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7400" windowHeight="11805" tabRatio="966"/>
  </bookViews>
  <sheets>
    <sheet name="수입자금예산서" sheetId="19" r:id="rId1"/>
    <sheet name="수입목별명세서" sheetId="17" r:id="rId2"/>
    <sheet name="지출자금예산서" sheetId="20" r:id="rId3"/>
    <sheet name="지출목별명세서" sheetId="18" r:id="rId4"/>
  </sheets>
  <definedNames>
    <definedName name="_xlnm._FilterDatabase" localSheetId="1" hidden="1">수입목별명세서!$A$3:$F$335</definedName>
    <definedName name="_xlnm._FilterDatabase" localSheetId="0" hidden="1">수입자금예산서!$A$5:$G$31</definedName>
    <definedName name="_xlnm._FilterDatabase" localSheetId="3" hidden="1">지출목별명세서!$A$3:$F$1098</definedName>
    <definedName name="_xlnm._FilterDatabase" localSheetId="2" hidden="1">지출자금예산서!$A$5:$G$61</definedName>
    <definedName name="_xlnm.Print_Area" localSheetId="1">수입목별명세서!$A$1:$F$335</definedName>
    <definedName name="_xlnm.Print_Area" localSheetId="0">수입자금예산서!$A$1:$G$31</definedName>
    <definedName name="_xlnm.Print_Area" localSheetId="3">지출목별명세서!$A$1:$F$1098</definedName>
    <definedName name="_xlnm.Print_Area" localSheetId="2">지출자금예산서!$A$1:$G$59</definedName>
    <definedName name="_xlnm.Print_Titles" localSheetId="1">수입목별명세서!$1:$3</definedName>
    <definedName name="_xlnm.Print_Titles" localSheetId="0">수입자금예산서!$3:$5</definedName>
    <definedName name="_xlnm.Print_Titles" localSheetId="3">지출목별명세서!$1:$3</definedName>
    <definedName name="_xlnm.Print_Titles" localSheetId="2">지출자금예산서!$3:$5</definedName>
  </definedNames>
  <calcPr calcId="125725"/>
</workbook>
</file>

<file path=xl/calcChain.xml><?xml version="1.0" encoding="utf-8"?>
<calcChain xmlns="http://schemas.openxmlformats.org/spreadsheetml/2006/main">
  <c r="D1084" i="18"/>
  <c r="D320" i="17"/>
  <c r="E31" i="19"/>
  <c r="D31"/>
  <c r="D49" i="18"/>
  <c r="D21"/>
  <c r="D103" i="17"/>
  <c r="D82"/>
  <c r="D142"/>
  <c r="D8"/>
  <c r="D1085" i="18" l="1"/>
  <c r="F766"/>
  <c r="D99"/>
  <c r="D76"/>
  <c r="D65"/>
  <c r="F30" i="19" l="1"/>
  <c r="F31" s="1"/>
  <c r="F28"/>
  <c r="F27"/>
  <c r="D26"/>
  <c r="D25" s="1"/>
  <c r="E26"/>
  <c r="E25" s="1"/>
  <c r="F24"/>
  <c r="F23"/>
  <c r="F22"/>
  <c r="F19"/>
  <c r="F20"/>
  <c r="F18"/>
  <c r="D21"/>
  <c r="D17"/>
  <c r="E21"/>
  <c r="E17"/>
  <c r="F15"/>
  <c r="F14" s="1"/>
  <c r="F13"/>
  <c r="F12" s="1"/>
  <c r="F11"/>
  <c r="F10" s="1"/>
  <c r="F9"/>
  <c r="F8" s="1"/>
  <c r="D14"/>
  <c r="D12"/>
  <c r="D10"/>
  <c r="D8"/>
  <c r="E14"/>
  <c r="E12"/>
  <c r="E10"/>
  <c r="E8"/>
  <c r="F58" i="20"/>
  <c r="F57"/>
  <c r="F56" s="1"/>
  <c r="F55"/>
  <c r="F54"/>
  <c r="D56"/>
  <c r="D53"/>
  <c r="E56"/>
  <c r="E53"/>
  <c r="F50"/>
  <c r="F49" s="1"/>
  <c r="F48" s="1"/>
  <c r="D49"/>
  <c r="D48" s="1"/>
  <c r="E49"/>
  <c r="E48" s="1"/>
  <c r="F47"/>
  <c r="F46"/>
  <c r="F45"/>
  <c r="F44"/>
  <c r="F43"/>
  <c r="F42"/>
  <c r="F41"/>
  <c r="F40"/>
  <c r="F39"/>
  <c r="F38"/>
  <c r="F37"/>
  <c r="F36"/>
  <c r="F35"/>
  <c r="F34"/>
  <c r="F33"/>
  <c r="D32"/>
  <c r="D31" s="1"/>
  <c r="E32"/>
  <c r="E31" s="1"/>
  <c r="F30"/>
  <c r="F29" s="1"/>
  <c r="F28"/>
  <c r="F27"/>
  <c r="F26"/>
  <c r="F25"/>
  <c r="F24"/>
  <c r="F22"/>
  <c r="F21"/>
  <c r="D29"/>
  <c r="D23"/>
  <c r="D20"/>
  <c r="E29"/>
  <c r="E23"/>
  <c r="E20"/>
  <c r="F18"/>
  <c r="F17" s="1"/>
  <c r="F16"/>
  <c r="F15"/>
  <c r="F14"/>
  <c r="F13"/>
  <c r="F12"/>
  <c r="F10"/>
  <c r="F9"/>
  <c r="D17"/>
  <c r="D11"/>
  <c r="D8"/>
  <c r="E17"/>
  <c r="E11"/>
  <c r="E8"/>
  <c r="D12" i="17"/>
  <c r="D11" s="1"/>
  <c r="D29"/>
  <c r="D28" s="1"/>
  <c r="D1117" i="18"/>
  <c r="E7" i="20" l="1"/>
  <c r="D52"/>
  <c r="D59" s="1"/>
  <c r="D7"/>
  <c r="E19"/>
  <c r="F53"/>
  <c r="F52" s="1"/>
  <c r="F59" s="1"/>
  <c r="F32"/>
  <c r="F31" s="1"/>
  <c r="F20"/>
  <c r="E16" i="19"/>
  <c r="E7"/>
  <c r="F17"/>
  <c r="D16"/>
  <c r="D7"/>
  <c r="F26"/>
  <c r="F25" s="1"/>
  <c r="F21"/>
  <c r="F7"/>
  <c r="F23" i="20"/>
  <c r="F8"/>
  <c r="F11"/>
  <c r="D19"/>
  <c r="E52"/>
  <c r="E59" s="1"/>
  <c r="D267" i="17"/>
  <c r="D266" s="1"/>
  <c r="D244"/>
  <c r="D108"/>
  <c r="D20"/>
  <c r="D19" s="1"/>
  <c r="D7"/>
  <c r="D6" s="1"/>
  <c r="D208"/>
  <c r="D85"/>
  <c r="D259"/>
  <c r="D179"/>
  <c r="D156"/>
  <c r="D43"/>
  <c r="D794" i="18"/>
  <c r="D72"/>
  <c r="D940"/>
  <c r="E51" i="20" l="1"/>
  <c r="E6" s="1"/>
  <c r="F7"/>
  <c r="D29" i="19"/>
  <c r="D6" s="1"/>
  <c r="E29"/>
  <c r="E6" s="1"/>
  <c r="D243" i="17"/>
  <c r="D242" s="1"/>
  <c r="F19" i="20"/>
  <c r="F16" i="19"/>
  <c r="F29" s="1"/>
  <c r="D51" i="20"/>
  <c r="D6" s="1"/>
  <c r="D265" i="17"/>
  <c r="D335" s="1"/>
  <c r="D155"/>
  <c r="D42"/>
  <c r="D5"/>
  <c r="D84" i="18"/>
  <c r="D973"/>
  <c r="D972" s="1"/>
  <c r="D971" s="1"/>
  <c r="D552"/>
  <c r="D7"/>
  <c r="D378"/>
  <c r="D911"/>
  <c r="D979"/>
  <c r="D491"/>
  <c r="D54"/>
  <c r="D718"/>
  <c r="D717" s="1"/>
  <c r="D498"/>
  <c r="D776"/>
  <c r="D524"/>
  <c r="D743"/>
  <c r="D797"/>
  <c r="D820"/>
  <c r="D842"/>
  <c r="D859"/>
  <c r="D878"/>
  <c r="D893"/>
  <c r="D921"/>
  <c r="D943"/>
  <c r="D1028"/>
  <c r="D1027" s="1"/>
  <c r="D98"/>
  <c r="D97" s="1"/>
  <c r="D1040"/>
  <c r="D1039" s="1"/>
  <c r="D1038" s="1"/>
  <c r="D24"/>
  <c r="D106"/>
  <c r="D1011"/>
  <c r="D198"/>
  <c r="D931"/>
  <c r="D61" i="20" l="1"/>
  <c r="F6" i="19"/>
  <c r="F51" i="20"/>
  <c r="F6" s="1"/>
  <c r="D41" i="17"/>
  <c r="D264" s="1"/>
  <c r="D53" i="18"/>
  <c r="D6"/>
  <c r="D978"/>
  <c r="D977" s="1"/>
  <c r="D1098" s="1"/>
  <c r="D377"/>
  <c r="D105"/>
  <c r="D4" i="17" l="1"/>
  <c r="D5" i="18"/>
  <c r="D104"/>
  <c r="D786"/>
  <c r="D742" s="1"/>
  <c r="D741" s="1"/>
  <c r="D976" l="1"/>
  <c r="D4" s="1"/>
  <c r="D1101" s="1"/>
  <c r="D1118" l="1"/>
</calcChain>
</file>

<file path=xl/sharedStrings.xml><?xml version="1.0" encoding="utf-8"?>
<sst xmlns="http://schemas.openxmlformats.org/spreadsheetml/2006/main" count="1573" uniqueCount="1300">
  <si>
    <t>(단위 : 원)</t>
  </si>
  <si>
    <t>연구제경비</t>
  </si>
  <si>
    <t>연구비</t>
  </si>
  <si>
    <t>인건비</t>
  </si>
  <si>
    <t xml:space="preserve">  가. 여비</t>
  </si>
  <si>
    <t xml:space="preserve">  나. 교통통신비</t>
  </si>
  <si>
    <t xml:space="preserve">  다. 유인물비</t>
  </si>
  <si>
    <t xml:space="preserve">  라. 회의비</t>
  </si>
  <si>
    <t xml:space="preserve">  마. 전산처리비</t>
  </si>
  <si>
    <t xml:space="preserve">  바. 시약 및 재료비</t>
  </si>
  <si>
    <t xml:space="preserve">  사. 임차료</t>
  </si>
  <si>
    <t xml:space="preserve">   4) 연구기자재 및 시설비 : 1,000,000원</t>
  </si>
  <si>
    <t>교육과정개발비</t>
  </si>
  <si>
    <t>장학금</t>
  </si>
  <si>
    <t>실험실습비</t>
  </si>
  <si>
    <t>기타교육운영비</t>
  </si>
  <si>
    <r>
      <rPr>
        <sz val="12"/>
        <rFont val="돋움"/>
        <family val="3"/>
        <charset val="129"/>
      </rPr>
      <t>지역혁신센터</t>
    </r>
    <r>
      <rPr>
        <sz val="12"/>
        <rFont val="Arial"/>
        <family val="2"/>
      </rPr>
      <t>(RIC)</t>
    </r>
    <phoneticPr fontId="2" type="noConversion"/>
  </si>
  <si>
    <t xml:space="preserve"> 6. 상주분단</t>
  </si>
  <si>
    <t xml:space="preserve"> 2. 상주분단</t>
  </si>
  <si>
    <t>1. 자금수입액</t>
  </si>
  <si>
    <t>(단위 : 천원)</t>
  </si>
  <si>
    <t>과             목</t>
  </si>
  <si>
    <t>증감액</t>
  </si>
  <si>
    <t>산출근거</t>
  </si>
  <si>
    <t>관</t>
  </si>
  <si>
    <t>항</t>
  </si>
  <si>
    <t>목</t>
  </si>
  <si>
    <t>산학협력수익</t>
  </si>
  <si>
    <t>산학협력연구수익</t>
  </si>
  <si>
    <t xml:space="preserve"> </t>
  </si>
  <si>
    <t>교육운영수익</t>
  </si>
  <si>
    <t>지적재산권운영·이전수익</t>
  </si>
  <si>
    <t>기타산학협력수익</t>
  </si>
  <si>
    <t>지원금수익</t>
  </si>
  <si>
    <t>국공지원금</t>
  </si>
  <si>
    <t>교육과학기술부지원금</t>
  </si>
  <si>
    <t>기타국고지원금</t>
  </si>
  <si>
    <t>지자체지원금</t>
  </si>
  <si>
    <t>기타지원금</t>
  </si>
  <si>
    <t>교비회계지원금</t>
  </si>
  <si>
    <t>산업체지원금</t>
  </si>
  <si>
    <t>운영외수익</t>
  </si>
  <si>
    <t>이자수익</t>
  </si>
  <si>
    <t>기타운영외수익</t>
  </si>
  <si>
    <t>기초의 자금</t>
  </si>
  <si>
    <t>2. 자금지출액</t>
  </si>
  <si>
    <t>산학협력비</t>
  </si>
  <si>
    <t>산학협력연구비</t>
  </si>
  <si>
    <t>교육운영비</t>
  </si>
  <si>
    <t>지적재산권운영·이전비</t>
  </si>
  <si>
    <t>산학협력보상금</t>
  </si>
  <si>
    <t>지원금사업비</t>
  </si>
  <si>
    <t>기타지원금사업비</t>
  </si>
  <si>
    <t>일반관리비</t>
  </si>
  <si>
    <t>교직원 보수</t>
  </si>
  <si>
    <t>퇴직급여</t>
  </si>
  <si>
    <t>복리후생비</t>
  </si>
  <si>
    <t>연구진흥비</t>
  </si>
  <si>
    <t>여비교통비</t>
  </si>
  <si>
    <t>교육훈련비</t>
  </si>
  <si>
    <t>소모품비</t>
  </si>
  <si>
    <t>업무추진비</t>
  </si>
  <si>
    <t>회의비</t>
  </si>
  <si>
    <t>지급수수료</t>
  </si>
  <si>
    <t>출판인쇄비</t>
  </si>
  <si>
    <t>홍보비</t>
  </si>
  <si>
    <t>학교회계전출금</t>
  </si>
  <si>
    <t>기타관리운영경비</t>
  </si>
  <si>
    <t>운영외비용</t>
  </si>
  <si>
    <t>기계기구 취득지출</t>
  </si>
  <si>
    <t>집기비품 취득지출</t>
  </si>
  <si>
    <t>지적재산권 취득지출</t>
  </si>
  <si>
    <t>기말의 자금</t>
  </si>
  <si>
    <t>수입과의  차액</t>
  </si>
  <si>
    <t>2011회계연도</t>
    <phoneticPr fontId="2" type="noConversion"/>
  </si>
  <si>
    <t>자금예산서</t>
    <phoneticPr fontId="2" type="noConversion"/>
  </si>
  <si>
    <t>부속서류</t>
    <phoneticPr fontId="2" type="noConversion"/>
  </si>
  <si>
    <t>예산목별</t>
    <phoneticPr fontId="2" type="noConversion"/>
  </si>
  <si>
    <t>명세서참조</t>
    <phoneticPr fontId="2" type="noConversion"/>
  </si>
  <si>
    <t>투자활동지출</t>
    <phoneticPr fontId="2" type="noConversion"/>
  </si>
  <si>
    <t>세금과공과</t>
    <phoneticPr fontId="2" type="noConversion"/>
  </si>
  <si>
    <t>유형자산 취득지출</t>
    <phoneticPr fontId="2" type="noConversion"/>
  </si>
  <si>
    <t>무형자산 취득지출</t>
    <phoneticPr fontId="2" type="noConversion"/>
  </si>
  <si>
    <r>
      <rPr>
        <b/>
        <sz val="12"/>
        <rFont val="돋움"/>
        <family val="3"/>
        <charset val="129"/>
      </rPr>
      <t>항</t>
    </r>
    <phoneticPr fontId="2" type="noConversion"/>
  </si>
  <si>
    <r>
      <rPr>
        <b/>
        <sz val="12"/>
        <rFont val="돋움"/>
        <family val="3"/>
        <charset val="129"/>
      </rPr>
      <t>예산액</t>
    </r>
  </si>
  <si>
    <r>
      <rPr>
        <sz val="12"/>
        <rFont val="돋움"/>
        <family val="3"/>
        <charset val="129"/>
      </rPr>
      <t>인건비</t>
    </r>
  </si>
  <si>
    <r>
      <rPr>
        <sz val="12"/>
        <rFont val="돋움"/>
        <family val="3"/>
        <charset val="129"/>
      </rPr>
      <t>연구제경비</t>
    </r>
  </si>
  <si>
    <r>
      <rPr>
        <sz val="12"/>
        <rFont val="돋움"/>
        <family val="3"/>
        <charset val="129"/>
      </rPr>
      <t>교육과정개발비</t>
    </r>
  </si>
  <si>
    <r>
      <rPr>
        <sz val="12"/>
        <rFont val="돋움"/>
        <family val="3"/>
        <charset val="129"/>
      </rPr>
      <t>장학금</t>
    </r>
  </si>
  <si>
    <r>
      <rPr>
        <sz val="12"/>
        <rFont val="돋움"/>
        <family val="3"/>
        <charset val="129"/>
      </rPr>
      <t>실험실습비</t>
    </r>
  </si>
  <si>
    <r>
      <rPr>
        <sz val="12"/>
        <rFont val="돋움"/>
        <family val="3"/>
        <charset val="129"/>
      </rPr>
      <t>기타교육운영비</t>
    </r>
  </si>
  <si>
    <r>
      <rPr>
        <sz val="12"/>
        <rFont val="돋움"/>
        <family val="3"/>
        <charset val="129"/>
      </rPr>
      <t>연구비</t>
    </r>
  </si>
  <si>
    <r>
      <rPr>
        <sz val="12"/>
        <rFont val="돋움"/>
        <family val="3"/>
        <charset val="129"/>
      </rPr>
      <t>산학협력비</t>
    </r>
    <phoneticPr fontId="2" type="noConversion"/>
  </si>
  <si>
    <r>
      <rPr>
        <sz val="12"/>
        <rFont val="돋움"/>
        <family val="3"/>
        <charset val="129"/>
      </rPr>
      <t>산학협력연구비</t>
    </r>
    <phoneticPr fontId="2" type="noConversion"/>
  </si>
  <si>
    <r>
      <rPr>
        <sz val="12"/>
        <rFont val="돋움"/>
        <family val="3"/>
        <charset val="129"/>
      </rPr>
      <t>인건비</t>
    </r>
    <phoneticPr fontId="2" type="noConversion"/>
  </si>
  <si>
    <r>
      <rPr>
        <sz val="12"/>
        <rFont val="돋움"/>
        <family val="3"/>
        <charset val="129"/>
      </rPr>
      <t>퇴직급여</t>
    </r>
    <phoneticPr fontId="2" type="noConversion"/>
  </si>
  <si>
    <r>
      <rPr>
        <sz val="12"/>
        <rFont val="돋움"/>
        <family val="3"/>
        <charset val="129"/>
      </rPr>
      <t>업무추진비</t>
    </r>
    <phoneticPr fontId="2" type="noConversion"/>
  </si>
  <si>
    <r>
      <rPr>
        <sz val="12"/>
        <rFont val="돋움"/>
        <family val="3"/>
        <charset val="129"/>
      </rPr>
      <t>기타관리운영경비</t>
    </r>
    <phoneticPr fontId="2" type="noConversion"/>
  </si>
  <si>
    <r>
      <rPr>
        <sz val="12"/>
        <rFont val="돋움"/>
        <family val="3"/>
        <charset val="129"/>
      </rPr>
      <t>유형자산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취득지출</t>
    </r>
    <phoneticPr fontId="2" type="noConversion"/>
  </si>
  <si>
    <r>
      <rPr>
        <sz val="12"/>
        <rFont val="돋움"/>
        <family val="3"/>
        <charset val="129"/>
      </rPr>
      <t>무형자산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취득지출</t>
    </r>
    <phoneticPr fontId="2" type="noConversion"/>
  </si>
  <si>
    <r>
      <rPr>
        <sz val="12"/>
        <rFont val="돋움"/>
        <family val="3"/>
        <charset val="129"/>
      </rPr>
      <t>농업교육센터</t>
    </r>
    <phoneticPr fontId="2" type="noConversion"/>
  </si>
  <si>
    <r>
      <rPr>
        <sz val="12"/>
        <rFont val="돋움"/>
        <family val="3"/>
        <charset val="129"/>
      </rPr>
      <t>공학교육</t>
    </r>
    <phoneticPr fontId="2" type="noConversion"/>
  </si>
  <si>
    <r>
      <rPr>
        <sz val="12"/>
        <rFont val="돋움"/>
        <family val="3"/>
        <charset val="129"/>
      </rPr>
      <t>운영외수익</t>
    </r>
    <phoneticPr fontId="2" type="noConversion"/>
  </si>
  <si>
    <r>
      <rPr>
        <sz val="12"/>
        <rFont val="돋움"/>
        <family val="3"/>
        <charset val="129"/>
      </rPr>
      <t>기초의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자금</t>
    </r>
    <phoneticPr fontId="2" type="noConversion"/>
  </si>
  <si>
    <r>
      <rPr>
        <b/>
        <sz val="12"/>
        <rFont val="돋움"/>
        <family val="3"/>
        <charset val="129"/>
      </rPr>
      <t>관</t>
    </r>
    <phoneticPr fontId="2" type="noConversion"/>
  </si>
  <si>
    <r>
      <rPr>
        <b/>
        <sz val="12"/>
        <rFont val="돋움"/>
        <family val="3"/>
        <charset val="129"/>
      </rPr>
      <t>목</t>
    </r>
    <phoneticPr fontId="2" type="noConversion"/>
  </si>
  <si>
    <r>
      <rPr>
        <b/>
        <sz val="12"/>
        <rFont val="돋움"/>
        <family val="3"/>
        <charset val="129"/>
      </rPr>
      <t>산출내역</t>
    </r>
    <phoneticPr fontId="2" type="noConversion"/>
  </si>
  <si>
    <r>
      <rPr>
        <sz val="12"/>
        <rFont val="돋움"/>
        <family val="3"/>
        <charset val="129"/>
      </rPr>
      <t>교육운영비</t>
    </r>
    <phoneticPr fontId="2" type="noConversion"/>
  </si>
  <si>
    <r>
      <rPr>
        <sz val="12"/>
        <rFont val="돋움"/>
        <family val="3"/>
        <charset val="129"/>
      </rPr>
      <t>지적재산권운영</t>
    </r>
    <r>
      <rPr>
        <sz val="12"/>
        <rFont val="Arial"/>
        <family val="2"/>
      </rPr>
      <t>․</t>
    </r>
    <r>
      <rPr>
        <sz val="12"/>
        <rFont val="돋움"/>
        <family val="3"/>
        <charset val="129"/>
      </rPr>
      <t>이전비</t>
    </r>
    <phoneticPr fontId="2" type="noConversion"/>
  </si>
  <si>
    <r>
      <rPr>
        <sz val="12"/>
        <rFont val="돋움"/>
        <family val="3"/>
        <charset val="129"/>
      </rPr>
      <t>산학협력보상금</t>
    </r>
    <phoneticPr fontId="2" type="noConversion"/>
  </si>
  <si>
    <r>
      <rPr>
        <sz val="12"/>
        <rFont val="돋움"/>
        <family val="3"/>
        <charset val="129"/>
      </rPr>
      <t>지원금사업비</t>
    </r>
    <phoneticPr fontId="2" type="noConversion"/>
  </si>
  <si>
    <r>
      <rPr>
        <sz val="12"/>
        <rFont val="돋움"/>
        <family val="3"/>
        <charset val="129"/>
      </rPr>
      <t>교육과정개발비</t>
    </r>
    <phoneticPr fontId="2" type="noConversion"/>
  </si>
  <si>
    <r>
      <rPr>
        <sz val="12"/>
        <rFont val="돋움"/>
        <family val="3"/>
        <charset val="129"/>
      </rPr>
      <t>장학금</t>
    </r>
    <phoneticPr fontId="2" type="noConversion"/>
  </si>
  <si>
    <r>
      <rPr>
        <sz val="12"/>
        <rFont val="돋움"/>
        <family val="3"/>
        <charset val="129"/>
      </rPr>
      <t>실험실습비</t>
    </r>
    <phoneticPr fontId="2" type="noConversion"/>
  </si>
  <si>
    <r>
      <rPr>
        <sz val="12"/>
        <rFont val="돋움"/>
        <family val="3"/>
        <charset val="129"/>
      </rPr>
      <t>기타교육운영비</t>
    </r>
    <phoneticPr fontId="2" type="noConversion"/>
  </si>
  <si>
    <r>
      <rPr>
        <sz val="12"/>
        <rFont val="돋움"/>
        <family val="3"/>
        <charset val="129"/>
      </rPr>
      <t>기타지원금사업비</t>
    </r>
    <phoneticPr fontId="2" type="noConversion"/>
  </si>
  <si>
    <t>일반관리비</t>
    <phoneticPr fontId="2" type="noConversion"/>
  </si>
  <si>
    <r>
      <rPr>
        <sz val="12"/>
        <rFont val="돋움"/>
        <family val="3"/>
        <charset val="129"/>
      </rPr>
      <t>일반관리비</t>
    </r>
    <phoneticPr fontId="2" type="noConversion"/>
  </si>
  <si>
    <r>
      <rPr>
        <sz val="12"/>
        <rFont val="돋움"/>
        <family val="3"/>
        <charset val="129"/>
      </rPr>
      <t>교직원보수</t>
    </r>
    <phoneticPr fontId="2" type="noConversion"/>
  </si>
  <si>
    <r>
      <rPr>
        <sz val="12"/>
        <rFont val="돋움"/>
        <family val="3"/>
        <charset val="129"/>
      </rPr>
      <t>복리후생비</t>
    </r>
    <phoneticPr fontId="2" type="noConversion"/>
  </si>
  <si>
    <r>
      <rPr>
        <sz val="12"/>
        <rFont val="돋움"/>
        <family val="3"/>
        <charset val="129"/>
      </rPr>
      <t>연구진흥비</t>
    </r>
    <phoneticPr fontId="2" type="noConversion"/>
  </si>
  <si>
    <r>
      <rPr>
        <sz val="12"/>
        <rFont val="돋움"/>
        <family val="3"/>
        <charset val="129"/>
      </rPr>
      <t>여비교통비</t>
    </r>
    <phoneticPr fontId="2" type="noConversion"/>
  </si>
  <si>
    <r>
      <rPr>
        <sz val="12"/>
        <rFont val="돋움"/>
        <family val="3"/>
        <charset val="129"/>
      </rPr>
      <t>교육훈련비</t>
    </r>
    <phoneticPr fontId="2" type="noConversion"/>
  </si>
  <si>
    <r>
      <rPr>
        <sz val="12"/>
        <rFont val="돋움"/>
        <family val="3"/>
        <charset val="129"/>
      </rPr>
      <t>소모품비</t>
    </r>
    <phoneticPr fontId="2" type="noConversion"/>
  </si>
  <si>
    <r>
      <rPr>
        <sz val="12"/>
        <rFont val="돋움"/>
        <family val="3"/>
        <charset val="129"/>
      </rPr>
      <t>회의비</t>
    </r>
    <phoneticPr fontId="2" type="noConversion"/>
  </si>
  <si>
    <r>
      <rPr>
        <sz val="12"/>
        <rFont val="돋움"/>
        <family val="3"/>
        <charset val="129"/>
      </rPr>
      <t>지급수수료</t>
    </r>
    <phoneticPr fontId="2" type="noConversion"/>
  </si>
  <si>
    <r>
      <rPr>
        <sz val="12"/>
        <rFont val="돋움"/>
        <family val="3"/>
        <charset val="129"/>
      </rPr>
      <t>세금과공과</t>
    </r>
    <phoneticPr fontId="2" type="noConversion"/>
  </si>
  <si>
    <r>
      <rPr>
        <sz val="12"/>
        <rFont val="돋움"/>
        <family val="3"/>
        <charset val="129"/>
      </rPr>
      <t>출판인쇄비</t>
    </r>
    <phoneticPr fontId="2" type="noConversion"/>
  </si>
  <si>
    <r>
      <rPr>
        <sz val="12"/>
        <rFont val="돋움"/>
        <family val="3"/>
        <charset val="129"/>
      </rPr>
      <t>홍보비</t>
    </r>
    <phoneticPr fontId="2" type="noConversion"/>
  </si>
  <si>
    <r>
      <rPr>
        <sz val="12"/>
        <rFont val="돋움"/>
        <family val="3"/>
        <charset val="129"/>
      </rPr>
      <t>학교회계전출금</t>
    </r>
    <phoneticPr fontId="2" type="noConversion"/>
  </si>
  <si>
    <r>
      <rPr>
        <sz val="12"/>
        <rFont val="돋움"/>
        <family val="3"/>
        <charset val="129"/>
      </rPr>
      <t>운영외비용</t>
    </r>
    <phoneticPr fontId="2" type="noConversion"/>
  </si>
  <si>
    <r>
      <rPr>
        <sz val="12"/>
        <rFont val="돋움"/>
        <family val="3"/>
        <charset val="129"/>
      </rPr>
      <t>기타운영외비용</t>
    </r>
    <phoneticPr fontId="2" type="noConversion"/>
  </si>
  <si>
    <r>
      <rPr>
        <sz val="12"/>
        <rFont val="돋움"/>
        <family val="3"/>
        <charset val="129"/>
      </rPr>
      <t>투자활동지출</t>
    </r>
    <phoneticPr fontId="2" type="noConversion"/>
  </si>
  <si>
    <r>
      <rPr>
        <sz val="12"/>
        <rFont val="돋움"/>
        <family val="3"/>
        <charset val="129"/>
      </rPr>
      <t>기계기구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취득지출</t>
    </r>
    <phoneticPr fontId="2" type="noConversion"/>
  </si>
  <si>
    <r>
      <rPr>
        <sz val="12"/>
        <rFont val="돋움"/>
        <family val="3"/>
        <charset val="129"/>
      </rPr>
      <t>집기비품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취득지출</t>
    </r>
    <phoneticPr fontId="2" type="noConversion"/>
  </si>
  <si>
    <r>
      <rPr>
        <sz val="12"/>
        <rFont val="돋움"/>
        <family val="3"/>
        <charset val="129"/>
      </rPr>
      <t>지적재산권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취득지출</t>
    </r>
    <phoneticPr fontId="2" type="noConversion"/>
  </si>
  <si>
    <r>
      <t xml:space="preserve">기말의 </t>
    </r>
    <r>
      <rPr>
        <b/>
        <sz val="12"/>
        <rFont val="돋움"/>
        <family val="3"/>
        <charset val="129"/>
      </rPr>
      <t>자금</t>
    </r>
    <phoneticPr fontId="2" type="noConversion"/>
  </si>
  <si>
    <r>
      <rPr>
        <sz val="12"/>
        <rFont val="돋움"/>
        <family val="3"/>
        <charset val="129"/>
      </rPr>
      <t>기말의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자금</t>
    </r>
    <phoneticPr fontId="2" type="noConversion"/>
  </si>
  <si>
    <r>
      <t xml:space="preserve">수입액과 </t>
    </r>
    <r>
      <rPr>
        <b/>
        <sz val="12"/>
        <rFont val="돋움"/>
        <family val="3"/>
        <charset val="129"/>
      </rPr>
      <t>차이</t>
    </r>
    <phoneticPr fontId="2" type="noConversion"/>
  </si>
  <si>
    <r>
      <rPr>
        <sz val="12"/>
        <rFont val="돋움"/>
        <family val="3"/>
        <charset val="129"/>
      </rPr>
      <t>반도체융합기술원</t>
    </r>
    <phoneticPr fontId="2" type="noConversion"/>
  </si>
  <si>
    <r>
      <rPr>
        <sz val="12"/>
        <rFont val="돋움"/>
        <family val="3"/>
        <charset val="129"/>
      </rPr>
      <t>영농정착교육</t>
    </r>
    <phoneticPr fontId="2" type="noConversion"/>
  </si>
  <si>
    <r>
      <t>IT</t>
    </r>
    <r>
      <rPr>
        <sz val="12"/>
        <rFont val="돋움"/>
        <family val="3"/>
        <charset val="129"/>
      </rPr>
      <t>협동연구센터설립지원사업</t>
    </r>
    <phoneticPr fontId="2" type="noConversion"/>
  </si>
  <si>
    <r>
      <rPr>
        <sz val="12"/>
        <rFont val="돋움"/>
        <family val="3"/>
        <charset val="129"/>
      </rPr>
      <t>국방수중통신</t>
    </r>
    <phoneticPr fontId="2" type="noConversion"/>
  </si>
  <si>
    <r>
      <rPr>
        <sz val="12"/>
        <rFont val="돋움"/>
        <family val="3"/>
        <charset val="129"/>
      </rPr>
      <t>지역</t>
    </r>
    <r>
      <rPr>
        <sz val="12"/>
        <rFont val="Arial"/>
        <family val="2"/>
      </rPr>
      <t>R&amp;D</t>
    </r>
    <r>
      <rPr>
        <sz val="12"/>
        <rFont val="돋움"/>
        <family val="3"/>
        <charset val="129"/>
      </rPr>
      <t>클러스터</t>
    </r>
    <phoneticPr fontId="2" type="noConversion"/>
  </si>
  <si>
    <r>
      <rPr>
        <sz val="12"/>
        <rFont val="돋움"/>
        <family val="3"/>
        <charset val="129"/>
      </rPr>
      <t>모바일디스플레이</t>
    </r>
    <phoneticPr fontId="2" type="noConversion"/>
  </si>
  <si>
    <r>
      <rPr>
        <sz val="12"/>
        <rFont val="돋움"/>
        <family val="3"/>
        <charset val="129"/>
      </rPr>
      <t>지역거점</t>
    </r>
    <phoneticPr fontId="2" type="noConversion"/>
  </si>
  <si>
    <r>
      <rPr>
        <sz val="12"/>
        <rFont val="돋움"/>
        <family val="3"/>
        <charset val="129"/>
      </rPr>
      <t>산중단</t>
    </r>
    <phoneticPr fontId="2" type="noConversion"/>
  </si>
  <si>
    <r>
      <rPr>
        <sz val="12"/>
        <rFont val="돋움"/>
        <family val="3"/>
        <charset val="129"/>
      </rPr>
      <t>상주분단</t>
    </r>
    <phoneticPr fontId="2" type="noConversion"/>
  </si>
  <si>
    <r>
      <rPr>
        <sz val="12"/>
        <rFont val="돋움"/>
        <family val="3"/>
        <charset val="129"/>
      </rPr>
      <t>지식재산팀</t>
    </r>
    <phoneticPr fontId="2" type="noConversion"/>
  </si>
  <si>
    <r>
      <rPr>
        <sz val="12"/>
        <rFont val="돋움"/>
        <family val="3"/>
        <charset val="129"/>
      </rPr>
      <t>산학협력수익</t>
    </r>
    <phoneticPr fontId="2" type="noConversion"/>
  </si>
  <si>
    <r>
      <rPr>
        <sz val="12"/>
        <rFont val="돋움"/>
        <family val="3"/>
        <charset val="129"/>
      </rPr>
      <t>산학협력연구수익</t>
    </r>
    <phoneticPr fontId="2" type="noConversion"/>
  </si>
  <si>
    <r>
      <rPr>
        <sz val="12"/>
        <rFont val="돋움"/>
        <family val="3"/>
        <charset val="129"/>
      </rPr>
      <t>교육운영수익</t>
    </r>
    <phoneticPr fontId="2" type="noConversion"/>
  </si>
  <si>
    <r>
      <rPr>
        <sz val="12"/>
        <rFont val="돋움"/>
        <family val="3"/>
        <charset val="129"/>
      </rPr>
      <t>지적재산권운영</t>
    </r>
    <r>
      <rPr>
        <sz val="12"/>
        <rFont val="Arial"/>
        <family val="2"/>
      </rPr>
      <t>·</t>
    </r>
    <r>
      <rPr>
        <sz val="12"/>
        <rFont val="돋움"/>
        <family val="3"/>
        <charset val="129"/>
      </rPr>
      <t>이전수익</t>
    </r>
    <phoneticPr fontId="2" type="noConversion"/>
  </si>
  <si>
    <r>
      <rPr>
        <sz val="12"/>
        <rFont val="돋움"/>
        <family val="3"/>
        <charset val="129"/>
      </rPr>
      <t>기타산학협력수익</t>
    </r>
    <phoneticPr fontId="2" type="noConversion"/>
  </si>
  <si>
    <r>
      <rPr>
        <sz val="12"/>
        <rFont val="돋움"/>
        <family val="3"/>
        <charset val="129"/>
      </rPr>
      <t>지원금수익</t>
    </r>
    <phoneticPr fontId="2" type="noConversion"/>
  </si>
  <si>
    <r>
      <rPr>
        <sz val="12"/>
        <rFont val="돋움"/>
        <family val="3"/>
        <charset val="129"/>
      </rPr>
      <t>국공지원금</t>
    </r>
    <phoneticPr fontId="2" type="noConversion"/>
  </si>
  <si>
    <r>
      <rPr>
        <sz val="12"/>
        <rFont val="돋움"/>
        <family val="3"/>
        <charset val="129"/>
      </rPr>
      <t>교육과학기술부지원금</t>
    </r>
    <phoneticPr fontId="2" type="noConversion"/>
  </si>
  <si>
    <r>
      <rPr>
        <sz val="12"/>
        <rFont val="돋움"/>
        <family val="3"/>
        <charset val="129"/>
      </rPr>
      <t>기타국고지원금</t>
    </r>
    <phoneticPr fontId="2" type="noConversion"/>
  </si>
  <si>
    <r>
      <rPr>
        <sz val="12"/>
        <rFont val="돋움"/>
        <family val="3"/>
        <charset val="129"/>
      </rPr>
      <t>지자체지원금</t>
    </r>
    <phoneticPr fontId="2" type="noConversion"/>
  </si>
  <si>
    <r>
      <rPr>
        <sz val="12"/>
        <rFont val="돋움"/>
        <family val="3"/>
        <charset val="129"/>
      </rPr>
      <t>기타지원금</t>
    </r>
    <phoneticPr fontId="2" type="noConversion"/>
  </si>
  <si>
    <r>
      <rPr>
        <sz val="12"/>
        <rFont val="돋움"/>
        <family val="3"/>
        <charset val="129"/>
      </rPr>
      <t>교비회계지원금</t>
    </r>
    <phoneticPr fontId="2" type="noConversion"/>
  </si>
  <si>
    <r>
      <rPr>
        <sz val="12"/>
        <rFont val="돋움"/>
        <family val="3"/>
        <charset val="129"/>
      </rPr>
      <t>산업체지원금</t>
    </r>
    <phoneticPr fontId="2" type="noConversion"/>
  </si>
  <si>
    <r>
      <rPr>
        <sz val="12"/>
        <rFont val="돋움"/>
        <family val="3"/>
        <charset val="129"/>
      </rPr>
      <t>이자수익</t>
    </r>
    <phoneticPr fontId="2" type="noConversion"/>
  </si>
  <si>
    <r>
      <rPr>
        <sz val="12"/>
        <rFont val="돋움"/>
        <family val="3"/>
        <charset val="129"/>
      </rPr>
      <t>기타운영외수익</t>
    </r>
    <phoneticPr fontId="2" type="noConversion"/>
  </si>
  <si>
    <t xml:space="preserve"> 2. BK21사업 지원금</t>
  </si>
  <si>
    <t xml:space="preserve">  가. 연구과제수행 지원금</t>
  </si>
  <si>
    <t xml:space="preserve"> 1. 공간정보특성화대학원지원사업 지원금(국토해양부)</t>
  </si>
  <si>
    <t xml:space="preserve">  가. 산학협력지원사업 지원금(경상북도)</t>
  </si>
  <si>
    <t xml:space="preserve">  나. 농업인교육사업 지원금(경상북도)</t>
  </si>
  <si>
    <t xml:space="preserve"> 7. 지역거점연구단육성사업</t>
  </si>
  <si>
    <t xml:space="preserve"> 1. 광역경제권 선도산업 인재양성사업 관리계좌 이자수익</t>
  </si>
  <si>
    <t xml:space="preserve"> 2. BK21사업단 관리계좌 이자수익</t>
  </si>
  <si>
    <t xml:space="preserve"> 3. WCU사업 관리계좌 이자수익</t>
  </si>
  <si>
    <t xml:space="preserve"> 4. 공간정보특성화대학원지원사업  관리계좌 이자수익</t>
  </si>
  <si>
    <r>
      <rPr>
        <b/>
        <sz val="12"/>
        <rFont val="돋움"/>
        <family val="3"/>
        <charset val="129"/>
      </rPr>
      <t>자금지출예산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합계</t>
    </r>
    <r>
      <rPr>
        <b/>
        <sz val="12"/>
        <rFont val="Arial"/>
        <family val="2"/>
      </rPr>
      <t xml:space="preserve">  (1) + (2)</t>
    </r>
    <phoneticPr fontId="2" type="noConversion"/>
  </si>
  <si>
    <t xml:space="preserve"> 1. 산업체 연구과제수익</t>
  </si>
  <si>
    <t xml:space="preserve">  가. 산업체 연구과제수익</t>
  </si>
  <si>
    <t xml:space="preserve"> 1. 계약학과사업</t>
  </si>
  <si>
    <t xml:space="preserve"> 1. 기술자문수익</t>
  </si>
  <si>
    <t xml:space="preserve">  가. 기업체 기술자문수익</t>
  </si>
  <si>
    <t xml:space="preserve"> 2. 기술이전수익</t>
  </si>
  <si>
    <t xml:space="preserve">  가. 기업체 기술이전 수익</t>
  </si>
  <si>
    <t xml:space="preserve"> 1. 디스플레이기술교육센터 수익금</t>
  </si>
  <si>
    <t xml:space="preserve"> 4. 지역혁신센터(RIC)사업 수익금</t>
  </si>
  <si>
    <t xml:space="preserve"> 5. IT협동연구센터설립지원사업 수익금</t>
  </si>
  <si>
    <t xml:space="preserve"> 6. 모바일디스플레이산학연공동연구기반구축사업 성과활용  수익금</t>
  </si>
  <si>
    <t xml:space="preserve">  가. 장비 및 기타 사용수익</t>
  </si>
  <si>
    <t xml:space="preserve">  가. IT융복합 글로벌 인재양성센터</t>
  </si>
  <si>
    <t xml:space="preserve">  가. 대사성증후군치료제개발사업단</t>
  </si>
  <si>
    <t xml:space="preserve">  나. 고에너지충돌물리연구사업단</t>
  </si>
  <si>
    <t xml:space="preserve">  다. 응용유체역학의 계산 및 방법론사업단</t>
  </si>
  <si>
    <t xml:space="preserve">  가. 인력양성사업</t>
  </si>
  <si>
    <t xml:space="preserve">  나. 기타학술지원사업</t>
  </si>
  <si>
    <t xml:space="preserve">  나. 경북농업마이스터대학</t>
  </si>
  <si>
    <t xml:space="preserve">  가. 정보기술연구 인력양성사업단(대구광역시)</t>
  </si>
  <si>
    <t xml:space="preserve">  나. 미래지향 글로벌 방재전문 인력양성사업단(대구광역시)</t>
  </si>
  <si>
    <t xml:space="preserve">  가. 농민사관학교(경상북도)</t>
  </si>
  <si>
    <t xml:space="preserve">       가) 경상북도 : 2,800,000원*90명=252,000,000원</t>
  </si>
  <si>
    <t xml:space="preserve">       나) 대구광역시 : 3,150,000원*10명=31,500,000원</t>
  </si>
  <si>
    <t xml:space="preserve">    2) 농촌지역 지도자양성교육과정 : 45,000,000원</t>
  </si>
  <si>
    <t xml:space="preserve">  나. 경북농업마이스터대학(경상북도)</t>
  </si>
  <si>
    <t xml:space="preserve">  가. 참여기관</t>
  </si>
  <si>
    <t xml:space="preserve">    1) 경북대학교병원 : 100,000,000원</t>
  </si>
  <si>
    <t xml:space="preserve">    2) 경일약품(주) : 8,000,000원</t>
  </si>
  <si>
    <t xml:space="preserve">    4) (주)원바이오젠 : 6,000,000원</t>
  </si>
  <si>
    <t xml:space="preserve">  가. 산학협력지원사업 (산업체)</t>
  </si>
  <si>
    <t xml:space="preserve">  나. 농민사관학교</t>
  </si>
  <si>
    <t xml:space="preserve">    1) 농업전문 CEO양성과정 : 66,500,000원</t>
  </si>
  <si>
    <t xml:space="preserve">       가) 교육생부담금(경상북도) : 700,000원*90명=63,000,000원</t>
  </si>
  <si>
    <t xml:space="preserve">       나) 교육생부담금(대구광역시) : 350,000원*10명=3,500,000원</t>
  </si>
  <si>
    <t xml:space="preserve">    2) 농촌지역지도자양성과정 : 500,000원*30명=15,000,000원</t>
  </si>
  <si>
    <t xml:space="preserve">  다. 경북농업마이스터대학(경상북도)</t>
  </si>
  <si>
    <t xml:space="preserve">  가. 간접경비 관리계좌 이자수익</t>
  </si>
  <si>
    <t xml:space="preserve">  나. 연구용역과제 이자수익</t>
  </si>
  <si>
    <t xml:space="preserve"> 1. 산학협력단 기타수익</t>
  </si>
  <si>
    <t xml:space="preserve">  가. 기타 환급금 등 수익</t>
  </si>
  <si>
    <t xml:space="preserve"> 1. 이전기술개발사업 이월금</t>
  </si>
  <si>
    <t xml:space="preserve"> 2. 광역경제권 선도산업 인재양성사업 이월금</t>
  </si>
  <si>
    <t xml:space="preserve"> 3. BK21사업 이월금</t>
  </si>
  <si>
    <t xml:space="preserve"> 4. 공간정보특성화대학원지원사업 이월금</t>
  </si>
  <si>
    <t xml:space="preserve"> 5. WCU사업 이월금</t>
  </si>
  <si>
    <t xml:space="preserve"> 6. 학술지원사업 이월금</t>
  </si>
  <si>
    <t xml:space="preserve">  가. 인력양성지원</t>
  </si>
  <si>
    <t xml:space="preserve">  나. 기타학술지원</t>
  </si>
  <si>
    <t xml:space="preserve"> 7. 산학협력중심대학사업 이월금</t>
  </si>
  <si>
    <t xml:space="preserve"> 8. 디스플레이전문인력양성사업 성과활용2차 이월금</t>
  </si>
  <si>
    <t xml:space="preserve"> 9. 반도체공정교육 및 지원센터 사업결과성과활용 이월금</t>
  </si>
  <si>
    <t>10. 반도체연구기반혁신사업 사업결과 성과활용 이월금</t>
  </si>
  <si>
    <t>11. 모바일디스플레이산학연공동연구기반구축사업 이월금</t>
  </si>
  <si>
    <t>12. 지역혁신센터(RIC)사업 이월금</t>
  </si>
  <si>
    <t>13. 지역R&amp;D클러스터 사업 이월금</t>
  </si>
  <si>
    <t>14. 국방 수중통신/탐지특화연구센터 사업 국고(제경비)이월금</t>
  </si>
  <si>
    <t>15. 공학교육혁신센터지원사업(거점) 이월금</t>
  </si>
  <si>
    <t>16. 지역거점연구단육성사업 이월금</t>
  </si>
  <si>
    <t>17. 농업인교육사업 이월금</t>
  </si>
  <si>
    <t xml:space="preserve"> 가. 농민사관학교</t>
  </si>
  <si>
    <t xml:space="preserve">  가. 산학협력단 간접경비</t>
  </si>
  <si>
    <t xml:space="preserve">  나. IT와법센터 이월액</t>
  </si>
  <si>
    <t xml:space="preserve"> 1. 디스플레이전문인력양성사업 성과활용</t>
  </si>
  <si>
    <t xml:space="preserve"> 2. 반도체연구기반혁신사업 사업결과 성과활용</t>
  </si>
  <si>
    <t xml:space="preserve"> 3. IT협동연구센터설립지원사업</t>
  </si>
  <si>
    <t xml:space="preserve">  가. 내외부인건비</t>
  </si>
  <si>
    <t xml:space="preserve">  나. 퇴직급여충당금</t>
  </si>
  <si>
    <t xml:space="preserve"> 4. 모바일디스플레이산학연공동연구기반구축사업 성과활용</t>
  </si>
  <si>
    <t xml:space="preserve">  가. 지역혁신센터(RIC) 성과활용사업</t>
  </si>
  <si>
    <t xml:space="preserve">  나. 산업체 연구과제</t>
  </si>
  <si>
    <t xml:space="preserve"> 3. 모바일디스플레이산학연공동연구기반구축사업 성과활용 </t>
  </si>
  <si>
    <t xml:space="preserve">  다. 기타연구제경비</t>
  </si>
  <si>
    <t xml:space="preserve"> 4. IT협동연구센터설립지원사업</t>
  </si>
  <si>
    <t xml:space="preserve">  가. 재료구입비</t>
  </si>
  <si>
    <t xml:space="preserve">  나. 여비교통비</t>
  </si>
  <si>
    <t xml:space="preserve"> 1. 기술자문수익에 따른 보상금</t>
  </si>
  <si>
    <t xml:space="preserve"> 2. 기술이전수익에 따른 보상금</t>
  </si>
  <si>
    <t xml:space="preserve"> 2. 광역경제권 선도산업 인재양성사업 </t>
  </si>
  <si>
    <t xml:space="preserve"> 3. WCU사업</t>
  </si>
  <si>
    <t xml:space="preserve"> 4. 공간정보특성화대학원지원사업</t>
  </si>
  <si>
    <t xml:space="preserve"> 5. 학술지원사업</t>
  </si>
  <si>
    <t xml:space="preserve">  가. 연구책임자</t>
  </si>
  <si>
    <t xml:space="preserve">  나. 연구원</t>
  </si>
  <si>
    <t xml:space="preserve">  다. 연구보조원</t>
  </si>
  <si>
    <t xml:space="preserve">  라. 보조원</t>
  </si>
  <si>
    <t xml:space="preserve">  마. 계약직원</t>
  </si>
  <si>
    <t xml:space="preserve">   2) 계약직원 퇴직금: 1인*1,800,000원*1회=1,800,000원</t>
  </si>
  <si>
    <t xml:space="preserve">   4) 4대보험 기관부담금:1인*170,000원*12개월=2,040,000원</t>
  </si>
  <si>
    <t xml:space="preserve">   5) 기타(초과근무수당, 연가보상비) : 1,000,000원</t>
  </si>
  <si>
    <t xml:space="preserve">  가. 사업단 인건비 (4대보험 기관부담금, 퇴직금 포함)</t>
  </si>
  <si>
    <t xml:space="preserve">  다. 2총괄</t>
  </si>
  <si>
    <t xml:space="preserve">  라. 3총괄</t>
  </si>
  <si>
    <t xml:space="preserve">  마. 4총괄</t>
  </si>
  <si>
    <t xml:space="preserve">  가. 산학협력중심대학사업</t>
  </si>
  <si>
    <t xml:space="preserve">  나. 산학협력지원사업</t>
  </si>
  <si>
    <t xml:space="preserve">  다. 연구과제수행</t>
  </si>
  <si>
    <t xml:space="preserve">  가. 재료구입 : 100건*2,000,000원</t>
  </si>
  <si>
    <t xml:space="preserve">  가. 사업단 운영비</t>
  </si>
  <si>
    <t xml:space="preserve">    가) 토너 구입 : 700,000원</t>
  </si>
  <si>
    <t xml:space="preserve">  나. 1총괄 연구제경비</t>
  </si>
  <si>
    <t xml:space="preserve">  다. 2총괄 연구제경비</t>
  </si>
  <si>
    <t xml:space="preserve">  라. 3총괄 연구제경비</t>
  </si>
  <si>
    <t xml:space="preserve">  마. 4총괄 연구제경비</t>
  </si>
  <si>
    <t xml:space="preserve">  나. 산혁협력지원사업 </t>
  </si>
  <si>
    <t xml:space="preserve">    1) 산학공동기술개발지원사업</t>
  </si>
  <si>
    <t xml:space="preserve">    2) 기업부설연구소설치지원사업</t>
  </si>
  <si>
    <t xml:space="preserve"> 1. 광역경제권 선도산업 인재양성사업 </t>
  </si>
  <si>
    <t xml:space="preserve"> 2. BK21사업</t>
  </si>
  <si>
    <t xml:space="preserve"> 3. 공간정보특성화대학원지원사업</t>
  </si>
  <si>
    <t xml:space="preserve">  가. 1,900,000원*1명*12개월</t>
  </si>
  <si>
    <t xml:space="preserve">  가. 농산물디지털유통전문화과정</t>
  </si>
  <si>
    <t xml:space="preserve">  나. 경북농민사관학교</t>
  </si>
  <si>
    <t xml:space="preserve">    1) 농업전문 CEO양성과정</t>
  </si>
  <si>
    <t xml:space="preserve">    2) 농촌지역 지도자양성과정</t>
  </si>
  <si>
    <t xml:space="preserve">    3) 해외농업개발과정</t>
  </si>
  <si>
    <t xml:space="preserve">    4) 향토전통식품전수과정</t>
  </si>
  <si>
    <t xml:space="preserve">  다. 경북농업마이스터대학</t>
  </si>
  <si>
    <t xml:space="preserve">    1) 사과과정</t>
  </si>
  <si>
    <t xml:space="preserve">   2) 배과정</t>
  </si>
  <si>
    <t xml:space="preserve">    3) 버섯과정</t>
  </si>
  <si>
    <t xml:space="preserve">    4) 포도과정</t>
  </si>
  <si>
    <t xml:space="preserve">    5) 시설채소(참외)과정</t>
  </si>
  <si>
    <t xml:space="preserve">    6) 마이스터대학본부운영비</t>
  </si>
  <si>
    <t xml:space="preserve">  라. 군위군친환경농업대학</t>
  </si>
  <si>
    <t xml:space="preserve">  나. 농민사관학교 사업</t>
  </si>
  <si>
    <t xml:space="preserve">    1) 산양삼산업화맟춤교육과정</t>
  </si>
  <si>
    <t xml:space="preserve">      다) 현자순회기술지도비 : 3,800,000원</t>
  </si>
  <si>
    <t xml:space="preserve">    2) 유기농기능사 양성과정</t>
  </si>
  <si>
    <t xml:space="preserve">    3) 유기농 기반형 과수생산 과정</t>
  </si>
  <si>
    <t xml:space="preserve">  가. 교보재제작비</t>
  </si>
  <si>
    <t xml:space="preserve"> 4. 기타학술지원</t>
  </si>
  <si>
    <t xml:space="preserve">  가. 의과학자양성지원</t>
  </si>
  <si>
    <t xml:space="preserve">  가. 시설운영비(실험재료비, 시작품제작비)</t>
  </si>
  <si>
    <t xml:space="preserve">   가. 정보활동비</t>
  </si>
  <si>
    <t xml:space="preserve">   다. 여비</t>
  </si>
  <si>
    <t xml:space="preserve">   라. 사업기획 및 평가비</t>
  </si>
  <si>
    <t xml:space="preserve">   마. 기타 직접사업비</t>
  </si>
  <si>
    <t xml:space="preserve">   바. 기타 연구제경비</t>
  </si>
  <si>
    <t xml:space="preserve">    1) 회의비 : 10,000,000원</t>
  </si>
  <si>
    <t xml:space="preserve">   1) 농업전문 CEO양성과정</t>
  </si>
  <si>
    <t xml:space="preserve">   2) 농촌지역 지도자양성과정</t>
  </si>
  <si>
    <t xml:space="preserve">   4) 향토전통식품전수과정</t>
  </si>
  <si>
    <t xml:space="preserve">   5) 말산업전문인력양성과정</t>
  </si>
  <si>
    <t xml:space="preserve">   1) 사과과정</t>
  </si>
  <si>
    <t xml:space="preserve">   3) 버섯과정</t>
  </si>
  <si>
    <t xml:space="preserve">  가. 산학협력중심대학사업 운영비 </t>
  </si>
  <si>
    <t xml:space="preserve">  나. 농민사관학교 운영비</t>
  </si>
  <si>
    <t xml:space="preserve"> 2. BK21사업 인건비</t>
  </si>
  <si>
    <t xml:space="preserve"> 3. WCU사업 인건비</t>
  </si>
  <si>
    <t xml:space="preserve"> 4. 산학협력단 인건비</t>
  </si>
  <si>
    <t xml:space="preserve">  마. 업무보조(연구행정 업무) 일용인부 : 39,000원*50일*7명</t>
  </si>
  <si>
    <t xml:space="preserve">  바. 건강보험료 등 기관부담금</t>
  </si>
  <si>
    <t xml:space="preserve">  사. 연구행정능률 성과금</t>
  </si>
  <si>
    <t xml:space="preserve"> 5. 상주분단 인건비</t>
  </si>
  <si>
    <t xml:space="preserve">  가. 퇴직금 : 1,500,000원*3명</t>
  </si>
  <si>
    <t xml:space="preserve">  가. 산학협력단분단 연구행정원 연가보상비, 효도휴가비</t>
  </si>
  <si>
    <t xml:space="preserve"> 1. 산학협력단 연구과제 인센티브</t>
  </si>
  <si>
    <t xml:space="preserve"> 2. 광역경제권선도산업인재양성사업  인센티브</t>
  </si>
  <si>
    <t xml:space="preserve"> 1. 이전기술개발사업 여비</t>
  </si>
  <si>
    <t xml:space="preserve">  가. 각종 회의 참석 등 출장여비</t>
  </si>
  <si>
    <t xml:space="preserve"> 2. 광역경제권선도산업인재양성사업 여비</t>
  </si>
  <si>
    <t xml:space="preserve"> 3. BK21사업 여비</t>
  </si>
  <si>
    <t xml:space="preserve"> 4. WCU사업 여비</t>
  </si>
  <si>
    <t xml:space="preserve">  가. 산학협력단 연구사업 설명회 참석등 관련여비</t>
  </si>
  <si>
    <t xml:space="preserve"> 4. WCU사업 교육훈련비</t>
  </si>
  <si>
    <t xml:space="preserve">  가. 연구관리 담당자 교육 훈련비</t>
  </si>
  <si>
    <t xml:space="preserve">  나. 연구행정원 자기능력 개발비 지원</t>
  </si>
  <si>
    <t xml:space="preserve">  다. 동물실험종사자 교육</t>
  </si>
  <si>
    <t xml:space="preserve"> 3. BK21사업 소모품 구입</t>
  </si>
  <si>
    <t xml:space="preserve"> 4. WCU사업 소모품 구입</t>
  </si>
  <si>
    <t xml:space="preserve"> 5. 산학협력단 소모품 구입</t>
  </si>
  <si>
    <t xml:space="preserve">  가. 사무용품 구입 : 1,500,000원*12회</t>
  </si>
  <si>
    <t xml:space="preserve">  나. 소모성 물품 구입비</t>
  </si>
  <si>
    <t xml:space="preserve">  다. 행정장비 및 비품수리 등</t>
  </si>
  <si>
    <t xml:space="preserve">  라. 정기간행물 등 </t>
  </si>
  <si>
    <t xml:space="preserve"> 1. 이전기술개발사업 업무협의</t>
  </si>
  <si>
    <t xml:space="preserve"> 2. 광역경제권선도산업인재양성사업 업무협의</t>
  </si>
  <si>
    <t xml:space="preserve"> 3. BK21사업 업무협의</t>
  </si>
  <si>
    <t xml:space="preserve"> 4. WCU사업 업무협의</t>
  </si>
  <si>
    <t xml:space="preserve">  가. 산학협력단 연구과제 관리 업무협의 등</t>
  </si>
  <si>
    <t xml:space="preserve">  가. 산학협력사업 및 연구과제 관리 업무협의 등</t>
  </si>
  <si>
    <t xml:space="preserve"> 1. 이전기술개발사업 회의비</t>
  </si>
  <si>
    <t xml:space="preserve">  가. 이전기술 관련 회의</t>
  </si>
  <si>
    <t xml:space="preserve"> 3. BK21사업 회의비</t>
  </si>
  <si>
    <t xml:space="preserve">  가. 산학협력단 각종 위원회 운영경비 등</t>
  </si>
  <si>
    <t xml:space="preserve">  가. 산학협력단 회계감사용역비 </t>
  </si>
  <si>
    <t xml:space="preserve">  나. 공인인증수수료</t>
  </si>
  <si>
    <t xml:space="preserve">  다. 각종 협의회 참가비</t>
  </si>
  <si>
    <t xml:space="preserve">  라. 연구과제 택배료</t>
  </si>
  <si>
    <t xml:space="preserve">  마. 보유기술가치평가용역비</t>
  </si>
  <si>
    <t xml:space="preserve">  바. GP건물 사무실 이전비용 등</t>
  </si>
  <si>
    <t xml:space="preserve">  가. 각종 사업신청서등 인쇄물비</t>
  </si>
  <si>
    <t xml:space="preserve"> 1. 산학협력단 학교회계전출금</t>
  </si>
  <si>
    <t xml:space="preserve">  가. 연구지원시설 공공요금 및 학술연구지원사업 경비 지원</t>
  </si>
  <si>
    <t xml:space="preserve"> 1. 이전기술개발사업 관리운영비</t>
  </si>
  <si>
    <t xml:space="preserve">  가. 이전기술개발사업 기타경비</t>
  </si>
  <si>
    <t xml:space="preserve"> 2. 광역경제권선도산업인재양성사업 관리운영비</t>
  </si>
  <si>
    <t xml:space="preserve"> 3. BK21사업 관리운영비</t>
  </si>
  <si>
    <t xml:space="preserve"> 4. WCU사업 관리운영비</t>
  </si>
  <si>
    <t xml:space="preserve"> 5. 산학협력단 기타관리운영경비</t>
  </si>
  <si>
    <t xml:space="preserve">  가. 전산시스템 유지보수료</t>
  </si>
  <si>
    <t xml:space="preserve">  나. 홈페이지 유지보수료</t>
  </si>
  <si>
    <t xml:space="preserve">  다. 전산시스템개발</t>
  </si>
  <si>
    <t xml:space="preserve">  라. 보조관리기관 지원경비</t>
  </si>
  <si>
    <t xml:space="preserve">  마. 학술활동진흥비(연구실안전관리비 및 과학문화활동비 등)</t>
  </si>
  <si>
    <t xml:space="preserve">  바. 기타경비</t>
  </si>
  <si>
    <t xml:space="preserve">  사. 특근매식비</t>
  </si>
  <si>
    <t xml:space="preserve">  아. 업무추진활동비</t>
  </si>
  <si>
    <t xml:space="preserve">  자. 예비비</t>
  </si>
  <si>
    <t xml:space="preserve">  가. IT융복합 글로벌 인재양성센터 기자재구입</t>
  </si>
  <si>
    <t xml:space="preserve"> 4. 산학협력중심대학사업 </t>
  </si>
  <si>
    <t xml:space="preserve">  가. 기자재구입비 등</t>
  </si>
  <si>
    <t xml:space="preserve"> 5. 지역혁신센터(RIC)사업 </t>
  </si>
  <si>
    <t xml:space="preserve"> 6. 지역R&amp;D클러스터 사업 </t>
  </si>
  <si>
    <t xml:space="preserve">  가. 1세부- 분자신호 적중 펩타이드 기반 분자영상 프로브 개발 과제 기자재 구입</t>
  </si>
  <si>
    <t xml:space="preserve">   가. 사업단 공동기자재구입비</t>
  </si>
  <si>
    <t xml:space="preserve"> 8. IT협동연구센터설립지원사업</t>
  </si>
  <si>
    <t xml:space="preserve">  가. 기자재구입비</t>
  </si>
  <si>
    <t xml:space="preserve"> 9. 연구과제수행</t>
  </si>
  <si>
    <t xml:space="preserve"> 가. 사무용 집기비품 구입</t>
  </si>
  <si>
    <t xml:space="preserve">  가. 노트북 : 2,000,000 * 1대</t>
  </si>
  <si>
    <t xml:space="preserve">  다. 전자복합기 : 15,000,000 * 1대</t>
  </si>
  <si>
    <t xml:space="preserve">  바. 프린터 : 800,000 * 5대</t>
  </si>
  <si>
    <t xml:space="preserve"> 1. 산학협력단 지적재산권 취득 및 관리비지원</t>
  </si>
  <si>
    <t xml:space="preserve"> 2. 지역R&amp;D클러스터 사업 </t>
  </si>
  <si>
    <t xml:space="preserve">  가. 1세부- 분자신호 적중 펩타이드 기반 분자영상 프로브 개발 </t>
  </si>
  <si>
    <t xml:space="preserve">  가. 산학협력단 특허 및 관리비지원</t>
  </si>
  <si>
    <t xml:space="preserve"> 2. BK21사업 이월예정액</t>
  </si>
  <si>
    <t xml:space="preserve"> 3. WCU사업 이월예정액</t>
  </si>
  <si>
    <t xml:space="preserve"> 4. 공간정보특성화대학원지원사업 이월예정액</t>
  </si>
  <si>
    <t xml:space="preserve"> 5. 학술지원사업 이월예정액</t>
  </si>
  <si>
    <t xml:space="preserve"> 6. 산학협력중심대학사업 이월예정액</t>
  </si>
  <si>
    <t xml:space="preserve"> 7. 디스플레이전문인력양성사업 성과활용 이월예정액</t>
  </si>
  <si>
    <t xml:space="preserve"> 8. 모바일디스플레이산학연공동연구기반구축사업 성과활용 이월예정액</t>
  </si>
  <si>
    <t xml:space="preserve"> 9. 반도체공정교육및지원센터 사업결과 성과활용  이월예정액</t>
  </si>
  <si>
    <t>10. 반도체연구기반혁신사업 사업결과 성과활용  이월예정액</t>
  </si>
  <si>
    <t>11. 지역혁신센터(RIC)사업  이월예정액</t>
  </si>
  <si>
    <t>12. 지역 R&amp;D클러스터 사업 이월예정액</t>
  </si>
  <si>
    <t>14. 공학교육혁신센터사업 이월예정액</t>
  </si>
  <si>
    <t>15. 지역거점연구단육성사업 이월예정액</t>
  </si>
  <si>
    <t>16. 농업인교육사업 이월예정액</t>
  </si>
  <si>
    <t>17. IT협동연구센터설립지원사업 이월예정액</t>
  </si>
  <si>
    <r>
      <t>(</t>
    </r>
    <r>
      <rPr>
        <sz val="12"/>
        <rFont val="돋움"/>
        <family val="3"/>
        <charset val="129"/>
      </rPr>
      <t>단위</t>
    </r>
    <r>
      <rPr>
        <sz val="12"/>
        <rFont val="Arial"/>
        <family val="2"/>
      </rPr>
      <t xml:space="preserve"> : 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)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</si>
  <si>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농업전문</t>
    </r>
    <r>
      <rPr>
        <sz val="12"/>
        <rFont val="Arial"/>
        <family val="2"/>
      </rPr>
      <t xml:space="preserve"> CEO</t>
    </r>
    <r>
      <rPr>
        <sz val="12"/>
        <rFont val="돋움"/>
        <family val="3"/>
        <charset val="129"/>
      </rPr>
      <t>양성과정</t>
    </r>
    <r>
      <rPr>
        <sz val="12"/>
        <rFont val="Arial"/>
        <family val="2"/>
      </rPr>
      <t/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</si>
  <si>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농촌지역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지도자양성교육과정</t>
    </r>
    <r>
      <rPr>
        <sz val="12"/>
        <rFont val="Arial"/>
        <family val="2"/>
      </rPr>
      <t/>
    </r>
    <phoneticPr fontId="2" type="noConversion"/>
  </si>
  <si>
    <r>
      <t>18. IT</t>
    </r>
    <r>
      <rPr>
        <b/>
        <sz val="12"/>
        <rFont val="돋움"/>
        <family val="3"/>
        <charset val="129"/>
      </rPr>
      <t>협동연구센터설립지원사업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</si>
  <si>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1</t>
    </r>
    <r>
      <rPr>
        <sz val="12"/>
        <rFont val="돋움"/>
        <family val="3"/>
        <charset val="129"/>
      </rPr>
      <t>총괄</t>
    </r>
    <phoneticPr fontId="2" type="noConversion"/>
  </si>
  <si>
    <r>
      <t xml:space="preserve">   3) </t>
    </r>
    <r>
      <rPr>
        <sz val="12"/>
        <rFont val="돋움"/>
        <family val="3"/>
        <charset val="129"/>
      </rPr>
      <t>해외농업개발과정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</si>
  <si>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아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샌드위치교육과정생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장학금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</si>
  <si>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사무용품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/>
    </r>
    <phoneticPr fontId="2" type="noConversion"/>
  </si>
  <si>
    <t>자금수입예산 합계 (1)+(2)</t>
    <phoneticPr fontId="2" type="noConversion"/>
  </si>
  <si>
    <t>운영수익 합계 (1)</t>
    <phoneticPr fontId="2" type="noConversion"/>
  </si>
  <si>
    <t>자본 및 부채 수입 합계 (2)</t>
    <phoneticPr fontId="2" type="noConversion"/>
  </si>
  <si>
    <t>자금지출예산 합계 (1)+(2)</t>
    <phoneticPr fontId="2" type="noConversion"/>
  </si>
  <si>
    <t>운영비용 합계 (1)</t>
    <phoneticPr fontId="2" type="noConversion"/>
  </si>
  <si>
    <t>자본 및 부채 지출 합계 (2)</t>
    <phoneticPr fontId="2" type="noConversion"/>
  </si>
  <si>
    <r>
      <rPr>
        <b/>
        <sz val="12"/>
        <rFont val="돋움"/>
        <family val="3"/>
        <charset val="129"/>
      </rPr>
      <t>자금수입예산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합계</t>
    </r>
    <r>
      <rPr>
        <b/>
        <sz val="12"/>
        <rFont val="Arial"/>
        <family val="2"/>
      </rPr>
      <t xml:space="preserve">  (1) + (2) </t>
    </r>
    <phoneticPr fontId="2" type="noConversion"/>
  </si>
  <si>
    <r>
      <rPr>
        <b/>
        <sz val="12"/>
        <rFont val="돋움"/>
        <family val="3"/>
        <charset val="129"/>
      </rPr>
      <t>운영수익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합계</t>
    </r>
    <r>
      <rPr>
        <b/>
        <sz val="12"/>
        <rFont val="Arial"/>
        <family val="2"/>
      </rPr>
      <t xml:space="preserve"> (1)</t>
    </r>
    <phoneticPr fontId="2" type="noConversion"/>
  </si>
  <si>
    <r>
      <rPr>
        <b/>
        <sz val="12"/>
        <rFont val="돋움"/>
        <family val="3"/>
        <charset val="129"/>
      </rPr>
      <t>자본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부채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합계</t>
    </r>
    <r>
      <rPr>
        <b/>
        <sz val="12"/>
        <rFont val="Arial"/>
        <family val="2"/>
      </rPr>
      <t xml:space="preserve"> (2)</t>
    </r>
    <phoneticPr fontId="2" type="noConversion"/>
  </si>
  <si>
    <r>
      <rPr>
        <b/>
        <sz val="12"/>
        <rFont val="돋움"/>
        <family val="3"/>
        <charset val="129"/>
      </rPr>
      <t>운영비용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합계</t>
    </r>
    <r>
      <rPr>
        <b/>
        <sz val="12"/>
        <rFont val="Arial"/>
        <family val="2"/>
      </rPr>
      <t xml:space="preserve"> (1)</t>
    </r>
    <phoneticPr fontId="2" type="noConversion"/>
  </si>
  <si>
    <r>
      <rPr>
        <b/>
        <sz val="12"/>
        <rFont val="돋움"/>
        <family val="3"/>
        <charset val="129"/>
      </rPr>
      <t>자본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부채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합계</t>
    </r>
    <r>
      <rPr>
        <b/>
        <sz val="12"/>
        <rFont val="Arial"/>
        <family val="2"/>
      </rPr>
      <t xml:space="preserve"> (2)</t>
    </r>
    <phoneticPr fontId="2" type="noConversion"/>
  </si>
  <si>
    <t>13. 국방 수중통신/탐지특화연구센터 이월예정액</t>
  </si>
  <si>
    <r>
      <t xml:space="preserve">    2) </t>
    </r>
    <r>
      <rPr>
        <sz val="12"/>
        <rFont val="돋움"/>
        <family val="3"/>
        <charset val="129"/>
      </rPr>
      <t>기업부설연구소설치지원사업</t>
    </r>
    <r>
      <rPr>
        <sz val="12"/>
        <rFont val="Arial"/>
        <family val="2"/>
      </rPr>
      <t xml:space="preserve"> : 25,000,000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</si>
  <si>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4) </t>
    </r>
    <r>
      <rPr>
        <sz val="12"/>
        <rFont val="돋움"/>
        <family val="3"/>
        <charset val="129"/>
      </rPr>
      <t>대학교수해외방문연구지원</t>
    </r>
    <r>
      <rPr>
        <sz val="12"/>
        <rFont val="Arial"/>
        <family val="2"/>
      </rPr>
      <t xml:space="preserve"> : 108,000,000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</si>
  <si>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5) </t>
    </r>
    <r>
      <rPr>
        <sz val="12"/>
        <rFont val="돋움"/>
        <family val="3"/>
        <charset val="129"/>
      </rPr>
      <t>일본논문박사학위지원</t>
    </r>
    <r>
      <rPr>
        <sz val="12"/>
        <rFont val="Arial"/>
        <family val="2"/>
      </rPr>
      <t xml:space="preserve"> : 2,100,000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</si>
  <si>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기타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전산소모품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: 300,000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</si>
  <si>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사무용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집기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: 1,000,000</t>
    </r>
    <r>
      <rPr>
        <sz val="12"/>
        <rFont val="돋움"/>
        <family val="3"/>
        <charset val="129"/>
      </rPr>
      <t>원</t>
    </r>
    <phoneticPr fontId="2" type="noConversion"/>
  </si>
  <si>
    <t>(2012. 1. 1.부터 2012.12.31.까지)</t>
    <phoneticPr fontId="2" type="noConversion"/>
  </si>
  <si>
    <t>2012회계연도</t>
    <phoneticPr fontId="2" type="noConversion"/>
  </si>
  <si>
    <r>
      <t>1) 2012</t>
    </r>
    <r>
      <rPr>
        <b/>
        <sz val="16"/>
        <rFont val="돋움"/>
        <family val="3"/>
        <charset val="129"/>
      </rPr>
      <t>년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수입의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부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예산목별명세서</t>
    </r>
    <r>
      <rPr>
        <b/>
        <sz val="14"/>
        <rFont val="Arial"/>
        <family val="2"/>
      </rPr>
      <t/>
    </r>
    <phoneticPr fontId="2" type="noConversion"/>
  </si>
  <si>
    <r>
      <t>2) 2012</t>
    </r>
    <r>
      <rPr>
        <b/>
        <sz val="16"/>
        <rFont val="돋움"/>
        <family val="3"/>
        <charset val="129"/>
      </rPr>
      <t>년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지출의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부</t>
    </r>
    <r>
      <rPr>
        <b/>
        <sz val="16"/>
        <rFont val="Arial"/>
        <family val="2"/>
      </rPr>
      <t xml:space="preserve"> </t>
    </r>
    <r>
      <rPr>
        <b/>
        <sz val="16"/>
        <rFont val="돋움"/>
        <family val="3"/>
        <charset val="129"/>
      </rPr>
      <t>예산목별명세서</t>
    </r>
    <r>
      <rPr>
        <b/>
        <sz val="14"/>
        <rFont val="Arial"/>
        <family val="2"/>
      </rPr>
      <t/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</si>
  <si>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5</t>
    </r>
    <r>
      <rPr>
        <sz val="12"/>
        <rFont val="돋움"/>
        <family val="3"/>
        <charset val="129"/>
      </rPr>
      <t>차년도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사업비</t>
    </r>
    <r>
      <rPr>
        <sz val="12"/>
        <rFont val="Arial"/>
        <family val="2"/>
      </rPr>
      <t xml:space="preserve"> </t>
    </r>
    <phoneticPr fontId="2" type="noConversion"/>
  </si>
  <si>
    <r>
      <t xml:space="preserve">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기술교류활동비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</si>
  <si>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캡스톤디자인경진대회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경비</t>
    </r>
    <r>
      <rPr>
        <sz val="12"/>
        <rFont val="Arial"/>
        <family val="2"/>
      </rPr>
      <t xml:space="preserve"> : 10,000,000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</si>
  <si>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제잡비</t>
    </r>
    <r>
      <rPr>
        <sz val="12"/>
        <rFont val="Arial"/>
        <family val="2"/>
      </rPr>
      <t xml:space="preserve"> : 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</si>
  <si>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1)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:1</t>
    </r>
    <r>
      <rPr>
        <sz val="12"/>
        <rFont val="돋움"/>
        <family val="3"/>
        <charset val="129"/>
      </rPr>
      <t>인</t>
    </r>
    <r>
      <rPr>
        <sz val="12"/>
        <rFont val="Arial"/>
        <family val="2"/>
      </rPr>
      <t>*1,700,000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=20,400,000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</si>
  <si>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3)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명절휴가비</t>
    </r>
    <r>
      <rPr>
        <sz val="12"/>
        <rFont val="Arial"/>
        <family val="2"/>
      </rPr>
      <t>:1</t>
    </r>
    <r>
      <rPr>
        <sz val="12"/>
        <rFont val="돋움"/>
        <family val="3"/>
        <charset val="129"/>
      </rPr>
      <t>인</t>
    </r>
    <r>
      <rPr>
        <sz val="12"/>
        <rFont val="Arial"/>
        <family val="2"/>
      </rPr>
      <t>*1,020,000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=2,040,000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</si>
  <si>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아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장비비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</si>
  <si>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자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시작비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</si>
  <si>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차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제경비</t>
    </r>
    <phoneticPr fontId="2" type="noConversion"/>
  </si>
  <si>
    <r>
      <t xml:space="preserve">   1) </t>
    </r>
    <r>
      <rPr>
        <sz val="12"/>
        <rFont val="돋움"/>
        <family val="3"/>
        <charset val="129"/>
      </rPr>
      <t>기술정보활동비</t>
    </r>
    <r>
      <rPr>
        <sz val="12"/>
        <rFont val="Arial"/>
        <family val="2"/>
      </rPr>
      <t xml:space="preserve"> : 5,600,000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</si>
  <si>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세미나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평가발표회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개최비</t>
    </r>
    <r>
      <rPr>
        <sz val="12"/>
        <rFont val="Arial"/>
        <family val="2"/>
      </rPr>
      <t>: 2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*1,500,000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=3,000,000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</si>
  <si>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학술대회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참가등록비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자문료</t>
    </r>
    <r>
      <rPr>
        <sz val="12"/>
        <rFont val="Arial"/>
        <family val="2"/>
      </rPr>
      <t xml:space="preserve"> : 800,000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</si>
  <si>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회의비</t>
    </r>
    <r>
      <rPr>
        <sz val="12"/>
        <rFont val="Arial"/>
        <family val="2"/>
      </rPr>
      <t xml:space="preserve"> : 6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*300,000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=1,800,000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</si>
  <si>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2) </t>
    </r>
    <r>
      <rPr>
        <sz val="12"/>
        <rFont val="돋움"/>
        <family val="3"/>
        <charset val="129"/>
      </rPr>
      <t>수용비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수수료</t>
    </r>
    <r>
      <rPr>
        <sz val="12"/>
        <rFont val="Arial"/>
        <family val="2"/>
      </rPr>
      <t xml:space="preserve"> : 5,933,000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</si>
  <si>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사무용품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구입비</t>
    </r>
    <r>
      <rPr>
        <sz val="12"/>
        <rFont val="Arial"/>
        <family val="2"/>
      </rPr>
      <t xml:space="preserve"> : 1,233,000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</si>
  <si>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공공요금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우편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택배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전화요금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수수료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>) : 700,000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</si>
  <si>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보고서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발간비</t>
    </r>
    <r>
      <rPr>
        <sz val="12"/>
        <rFont val="Arial"/>
        <family val="2"/>
      </rPr>
      <t xml:space="preserve"> : 1,000,000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</si>
  <si>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소식지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발간비</t>
    </r>
    <r>
      <rPr>
        <sz val="12"/>
        <rFont val="Arial"/>
        <family val="2"/>
      </rPr>
      <t xml:space="preserve"> : 3,000,000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</si>
  <si>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3) </t>
    </r>
    <r>
      <rPr>
        <sz val="12"/>
        <rFont val="돋움"/>
        <family val="3"/>
        <charset val="129"/>
      </rPr>
      <t>여비</t>
    </r>
    <r>
      <rPr>
        <sz val="12"/>
        <rFont val="Arial"/>
        <family val="2"/>
      </rPr>
      <t xml:space="preserve"> : 1,200,000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</si>
  <si>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서울</t>
    </r>
    <r>
      <rPr>
        <sz val="12"/>
        <rFont val="Arial"/>
        <family val="2"/>
      </rPr>
      <t>-</t>
    </r>
    <r>
      <rPr>
        <sz val="12"/>
        <rFont val="돋움"/>
        <family val="3"/>
        <charset val="129"/>
      </rPr>
      <t>대구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대구</t>
    </r>
    <r>
      <rPr>
        <sz val="12"/>
        <rFont val="Arial"/>
        <family val="2"/>
      </rPr>
      <t>-</t>
    </r>
    <r>
      <rPr>
        <sz val="12"/>
        <rFont val="돋움"/>
        <family val="3"/>
        <charset val="129"/>
      </rPr>
      <t>진해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1,200,000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</si>
  <si>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5) </t>
    </r>
    <r>
      <rPr>
        <sz val="12"/>
        <rFont val="돋움"/>
        <family val="3"/>
        <charset val="129"/>
      </rPr>
      <t>전산처리비</t>
    </r>
    <r>
      <rPr>
        <sz val="12"/>
        <rFont val="Arial"/>
        <family val="2"/>
      </rPr>
      <t xml:space="preserve"> : 1,000,000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</si>
  <si>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유한양행</t>
    </r>
    <r>
      <rPr>
        <sz val="12"/>
        <rFont val="Arial"/>
        <family val="2"/>
      </rPr>
      <t xml:space="preserve"> : 20,000,000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</si>
  <si>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1)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115,233,750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</si>
  <si>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2) </t>
    </r>
    <r>
      <rPr>
        <sz val="12"/>
        <rFont val="돋움"/>
        <family val="3"/>
        <charset val="129"/>
      </rPr>
      <t>연구수당</t>
    </r>
    <r>
      <rPr>
        <sz val="12"/>
        <rFont val="Arial"/>
        <family val="2"/>
      </rPr>
      <t xml:space="preserve"> : 5,200,000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</si>
  <si>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1)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201,997,737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</si>
  <si>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2) </t>
    </r>
    <r>
      <rPr>
        <sz val="12"/>
        <rFont val="돋움"/>
        <family val="3"/>
        <charset val="129"/>
      </rPr>
      <t>연구수당</t>
    </r>
    <r>
      <rPr>
        <sz val="12"/>
        <rFont val="Arial"/>
        <family val="2"/>
      </rPr>
      <t xml:space="preserve"> : 28,000,000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</si>
  <si>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1)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194,371,900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</si>
  <si>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2) </t>
    </r>
    <r>
      <rPr>
        <sz val="12"/>
        <rFont val="돋움"/>
        <family val="3"/>
        <charset val="129"/>
      </rPr>
      <t>연구수당</t>
    </r>
    <r>
      <rPr>
        <sz val="12"/>
        <rFont val="Arial"/>
        <family val="2"/>
      </rPr>
      <t xml:space="preserve"> : 14,125,000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</si>
  <si>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1)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84,018,750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</si>
  <si>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2) </t>
    </r>
    <r>
      <rPr>
        <sz val="12"/>
        <rFont val="돋움"/>
        <family val="3"/>
        <charset val="129"/>
      </rPr>
      <t>연구수당</t>
    </r>
    <r>
      <rPr>
        <sz val="12"/>
        <rFont val="Arial"/>
        <family val="2"/>
      </rPr>
      <t xml:space="preserve"> : 69,237,500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</si>
  <si>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연구지원활동비</t>
    </r>
    <r>
      <rPr>
        <sz val="12"/>
        <rFont val="Arial"/>
        <family val="2"/>
      </rPr>
      <t xml:space="preserve"> : 20,085,907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</si>
  <si>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행사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홍보비</t>
    </r>
    <r>
      <rPr>
        <sz val="12"/>
        <rFont val="Arial"/>
        <family val="2"/>
      </rPr>
      <t xml:space="preserve"> : 25,609,662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</si>
  <si>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관리운영비</t>
    </r>
    <r>
      <rPr>
        <sz val="12"/>
        <rFont val="Arial"/>
        <family val="2"/>
      </rPr>
      <t xml:space="preserve"> : 3,750,000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</si>
  <si>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장비유지보수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시설구축비</t>
    </r>
    <r>
      <rPr>
        <sz val="12"/>
        <rFont val="Arial"/>
        <family val="2"/>
      </rPr>
      <t xml:space="preserve"> : 8,750,712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</si>
  <si>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연구활동비</t>
    </r>
    <r>
      <rPr>
        <sz val="12"/>
        <rFont val="Arial"/>
        <family val="2"/>
      </rPr>
      <t xml:space="preserve"> : 65,292,575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</si>
  <si>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재료비</t>
    </r>
    <r>
      <rPr>
        <sz val="12"/>
        <rFont val="Arial"/>
        <family val="2"/>
      </rPr>
      <t xml:space="preserve"> : 124,571,149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</si>
  <si>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연구활동비</t>
    </r>
    <r>
      <rPr>
        <sz val="12"/>
        <rFont val="Arial"/>
        <family val="2"/>
      </rPr>
      <t xml:space="preserve"> : 91,310,276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</si>
  <si>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재료비</t>
    </r>
    <r>
      <rPr>
        <sz val="12"/>
        <rFont val="Arial"/>
        <family val="2"/>
      </rPr>
      <t xml:space="preserve"> : 356,416,277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</si>
  <si>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연구활동비</t>
    </r>
    <r>
      <rPr>
        <sz val="12"/>
        <rFont val="Arial"/>
        <family val="2"/>
      </rPr>
      <t xml:space="preserve"> : 39,309,781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</si>
  <si>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재료비</t>
    </r>
    <r>
      <rPr>
        <sz val="12"/>
        <rFont val="Arial"/>
        <family val="2"/>
      </rPr>
      <t xml:space="preserve"> : 145,920,700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</si>
  <si>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연구활동비</t>
    </r>
    <r>
      <rPr>
        <sz val="12"/>
        <rFont val="Arial"/>
        <family val="2"/>
      </rPr>
      <t xml:space="preserve"> : 38,454,016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</si>
  <si>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재료비</t>
    </r>
    <r>
      <rPr>
        <sz val="12"/>
        <rFont val="Arial"/>
        <family val="2"/>
      </rPr>
      <t xml:space="preserve"> : 160,467,787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</si>
  <si>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장학금</t>
    </r>
    <phoneticPr fontId="2" type="noConversion"/>
  </si>
  <si>
    <r>
      <t xml:space="preserve">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교육기자재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인력양성프로그램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</si>
  <si>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현장견학비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</si>
  <si>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WPL</t>
    </r>
    <r>
      <rPr>
        <sz val="12"/>
        <rFont val="돋움"/>
        <family val="3"/>
        <charset val="129"/>
      </rPr>
      <t>지원비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</si>
  <si>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현장실습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</si>
  <si>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교내실습비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</si>
  <si>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바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영농</t>
    </r>
    <r>
      <rPr>
        <sz val="12"/>
        <rFont val="Arial"/>
        <family val="2"/>
      </rPr>
      <t>JMP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</si>
  <si>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지역농고모임비</t>
    </r>
    <r>
      <rPr>
        <sz val="12"/>
        <rFont val="Arial"/>
        <family val="2"/>
      </rPr>
      <t xml:space="preserve"> 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</si>
  <si>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성공사례특강비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</si>
  <si>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창업농동아리활동비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</si>
  <si>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진로탐색프로그램비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</si>
  <si>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농산물디지털유통전문화과정</t>
    </r>
    <r>
      <rPr>
        <sz val="12"/>
        <rFont val="Arial"/>
        <family val="2"/>
      </rPr>
      <t xml:space="preserve"> : 1,750,000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*35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-61,250,000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</si>
  <si>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사과과정</t>
    </r>
    <r>
      <rPr>
        <sz val="12"/>
        <rFont val="Arial"/>
        <family val="2"/>
      </rPr>
      <t xml:space="preserve"> : 33,1000,000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</si>
  <si>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배과정</t>
    </r>
    <r>
      <rPr>
        <sz val="12"/>
        <rFont val="Arial"/>
        <family val="2"/>
      </rPr>
      <t xml:space="preserve"> : 33,200,000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</si>
  <si>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버섯과정</t>
    </r>
    <r>
      <rPr>
        <sz val="12"/>
        <rFont val="Arial"/>
        <family val="2"/>
      </rPr>
      <t xml:space="preserve"> : 35,000,000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</si>
  <si>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포도과정</t>
    </r>
    <r>
      <rPr>
        <sz val="12"/>
        <rFont val="Arial"/>
        <family val="2"/>
      </rPr>
      <t xml:space="preserve"> : 35,000,000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</si>
  <si>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5) </t>
    </r>
    <r>
      <rPr>
        <sz val="12"/>
        <rFont val="돋움"/>
        <family val="3"/>
        <charset val="129"/>
      </rPr>
      <t>시설채소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참외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과정</t>
    </r>
    <r>
      <rPr>
        <sz val="12"/>
        <rFont val="Arial"/>
        <family val="2"/>
      </rPr>
      <t xml:space="preserve"> : 33,900,000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</si>
  <si>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6) </t>
    </r>
    <r>
      <rPr>
        <sz val="12"/>
        <rFont val="돋움"/>
        <family val="3"/>
        <charset val="129"/>
      </rPr>
      <t>마이스터대학본부운영비</t>
    </r>
    <r>
      <rPr>
        <sz val="12"/>
        <rFont val="Arial"/>
        <family val="2"/>
      </rPr>
      <t xml:space="preserve"> : 121,845,000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</si>
  <si>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해외농업개발과정</t>
    </r>
    <r>
      <rPr>
        <sz val="12"/>
        <rFont val="Arial"/>
        <family val="2"/>
      </rPr>
      <t xml:space="preserve"> : 26,000,000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</si>
  <si>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향토전통식품전수과정</t>
    </r>
    <r>
      <rPr>
        <sz val="12"/>
        <rFont val="Arial"/>
        <family val="2"/>
      </rPr>
      <t xml:space="preserve"> : 31,000,000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</si>
  <si>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5) </t>
    </r>
    <r>
      <rPr>
        <sz val="12"/>
        <rFont val="돋움"/>
        <family val="3"/>
        <charset val="129"/>
      </rPr>
      <t>말산업전문인력양성과정</t>
    </r>
    <r>
      <rPr>
        <sz val="12"/>
        <rFont val="Arial"/>
        <family val="2"/>
      </rPr>
      <t xml:space="preserve"> : 17,000,000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</si>
  <si>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6) </t>
    </r>
    <r>
      <rPr>
        <sz val="12"/>
        <rFont val="돋움"/>
        <family val="3"/>
        <charset val="129"/>
      </rPr>
      <t>쌀가공식품개발과정</t>
    </r>
    <r>
      <rPr>
        <sz val="12"/>
        <rFont val="Arial"/>
        <family val="2"/>
      </rPr>
      <t xml:space="preserve"> : 26,000,000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</si>
  <si>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7) FTA</t>
    </r>
    <r>
      <rPr>
        <sz val="12"/>
        <rFont val="돋움"/>
        <family val="3"/>
        <charset val="129"/>
      </rPr>
      <t>대책대체과수생산과정</t>
    </r>
    <r>
      <rPr>
        <sz val="12"/>
        <rFont val="Arial"/>
        <family val="2"/>
      </rPr>
      <t xml:space="preserve"> : 17,000,000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</si>
  <si>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8) </t>
    </r>
    <r>
      <rPr>
        <sz val="12"/>
        <rFont val="돋움"/>
        <family val="3"/>
        <charset val="129"/>
      </rPr>
      <t>귀농인영농정착과정</t>
    </r>
    <r>
      <rPr>
        <sz val="12"/>
        <rFont val="Arial"/>
        <family val="2"/>
      </rPr>
      <t xml:space="preserve"> : 27,000,000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</si>
  <si>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9) </t>
    </r>
    <r>
      <rPr>
        <sz val="12"/>
        <rFont val="돋움"/>
        <family val="3"/>
        <charset val="129"/>
      </rPr>
      <t>농촌여성농산물가공창업과정</t>
    </r>
    <r>
      <rPr>
        <sz val="12"/>
        <rFont val="Arial"/>
        <family val="2"/>
      </rPr>
      <t xml:space="preserve"> : 27,000,000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</si>
  <si>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10) </t>
    </r>
    <r>
      <rPr>
        <sz val="12"/>
        <rFont val="돋움"/>
        <family val="3"/>
        <charset val="129"/>
      </rPr>
      <t>지역와인명품화과정</t>
    </r>
    <r>
      <rPr>
        <sz val="12"/>
        <rFont val="Arial"/>
        <family val="2"/>
      </rPr>
      <t xml:space="preserve"> : 21,500,000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</si>
  <si>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12) </t>
    </r>
    <r>
      <rPr>
        <sz val="12"/>
        <rFont val="돋움"/>
        <family val="3"/>
        <charset val="129"/>
      </rPr>
      <t>사무국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운영비</t>
    </r>
    <r>
      <rPr>
        <sz val="12"/>
        <rFont val="Arial"/>
        <family val="2"/>
      </rPr>
      <t xml:space="preserve"> : 167,300,000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</si>
  <si>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11) </t>
    </r>
    <r>
      <rPr>
        <sz val="12"/>
        <rFont val="돋움"/>
        <family val="3"/>
        <charset val="129"/>
      </rPr>
      <t>농산물마케팅과정</t>
    </r>
    <r>
      <rPr>
        <sz val="12"/>
        <rFont val="Arial"/>
        <family val="2"/>
      </rPr>
      <t xml:space="preserve"> : 26,000,000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</si>
  <si>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사과과정</t>
    </r>
    <r>
      <rPr>
        <sz val="12"/>
        <rFont val="Arial"/>
        <family val="2"/>
      </rPr>
      <t xml:space="preserve"> : 13,240,000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</si>
  <si>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배과정</t>
    </r>
    <r>
      <rPr>
        <sz val="12"/>
        <rFont val="Arial"/>
        <family val="2"/>
      </rPr>
      <t xml:space="preserve"> : 13,280,000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</si>
  <si>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버섯과정</t>
    </r>
    <r>
      <rPr>
        <sz val="12"/>
        <rFont val="Arial"/>
        <family val="2"/>
      </rPr>
      <t xml:space="preserve"> : 14,000,000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</si>
  <si>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포도과정</t>
    </r>
    <r>
      <rPr>
        <sz val="12"/>
        <rFont val="Arial"/>
        <family val="2"/>
      </rPr>
      <t xml:space="preserve"> : 14,000,000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</si>
  <si>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5) </t>
    </r>
    <r>
      <rPr>
        <sz val="12"/>
        <rFont val="돋움"/>
        <family val="3"/>
        <charset val="129"/>
      </rPr>
      <t>시설채소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참외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과정</t>
    </r>
    <r>
      <rPr>
        <sz val="12"/>
        <rFont val="Arial"/>
        <family val="2"/>
      </rPr>
      <t xml:space="preserve"> : 13,560,000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</si>
  <si>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친환경농업대학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군위군</t>
    </r>
    <r>
      <rPr>
        <sz val="12"/>
        <rFont val="Arial"/>
        <family val="2"/>
      </rPr>
      <t>) : 90,000,000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</si>
  <si>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농산물디지털유통전문화과정</t>
    </r>
    <r>
      <rPr>
        <sz val="12"/>
        <rFont val="Arial"/>
        <family val="2"/>
      </rPr>
      <t xml:space="preserve"> : 1,750,000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*35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=61,250,000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</si>
  <si>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해외농업개발과정</t>
    </r>
    <r>
      <rPr>
        <sz val="12"/>
        <rFont val="Arial"/>
        <family val="2"/>
      </rPr>
      <t xml:space="preserve"> : 200,000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*20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=4,000,000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</si>
  <si>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향토전통식품전수과정</t>
    </r>
    <r>
      <rPr>
        <sz val="12"/>
        <rFont val="Arial"/>
        <family val="2"/>
      </rPr>
      <t xml:space="preserve"> : 160,000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*25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=4,000,000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</si>
  <si>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5) </t>
    </r>
    <r>
      <rPr>
        <sz val="12"/>
        <rFont val="돋움"/>
        <family val="3"/>
        <charset val="129"/>
      </rPr>
      <t>말산업전문인력양성과정</t>
    </r>
    <r>
      <rPr>
        <sz val="12"/>
        <rFont val="Arial"/>
        <family val="2"/>
      </rPr>
      <t xml:space="preserve"> : 120,000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*25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=3,000,000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</si>
  <si>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6) </t>
    </r>
    <r>
      <rPr>
        <sz val="12"/>
        <rFont val="돋움"/>
        <family val="3"/>
        <charset val="129"/>
      </rPr>
      <t>쌀가공식품개발과정</t>
    </r>
    <r>
      <rPr>
        <sz val="12"/>
        <rFont val="Arial"/>
        <family val="2"/>
      </rPr>
      <t xml:space="preserve"> : 120,000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*25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=4,000,000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</si>
  <si>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7) FTA</t>
    </r>
    <r>
      <rPr>
        <sz val="12"/>
        <rFont val="돋움"/>
        <family val="3"/>
        <charset val="129"/>
      </rPr>
      <t>대책대체과수생산과정</t>
    </r>
    <r>
      <rPr>
        <sz val="12"/>
        <rFont val="Arial"/>
        <family val="2"/>
      </rPr>
      <t xml:space="preserve"> : 150,000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*20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=3,000,000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</si>
  <si>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8) </t>
    </r>
    <r>
      <rPr>
        <sz val="12"/>
        <rFont val="돋움"/>
        <family val="3"/>
        <charset val="129"/>
      </rPr>
      <t>귀농인영농정착과정</t>
    </r>
    <r>
      <rPr>
        <sz val="12"/>
        <rFont val="Arial"/>
        <family val="2"/>
      </rPr>
      <t xml:space="preserve"> : 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</si>
  <si>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9) </t>
    </r>
    <r>
      <rPr>
        <sz val="12"/>
        <rFont val="돋움"/>
        <family val="3"/>
        <charset val="129"/>
      </rPr>
      <t>농촌여성농산물가공창업과정</t>
    </r>
    <r>
      <rPr>
        <sz val="12"/>
        <rFont val="Arial"/>
        <family val="2"/>
      </rPr>
      <t xml:space="preserve"> : 3,000,000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</si>
  <si>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10) </t>
    </r>
    <r>
      <rPr>
        <sz val="12"/>
        <rFont val="돋움"/>
        <family val="3"/>
        <charset val="129"/>
      </rPr>
      <t>지역와인명품화과정</t>
    </r>
    <r>
      <rPr>
        <sz val="12"/>
        <rFont val="Arial"/>
        <family val="2"/>
      </rPr>
      <t xml:space="preserve"> : 3,500,000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</si>
  <si>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11) </t>
    </r>
    <r>
      <rPr>
        <sz val="12"/>
        <rFont val="돋움"/>
        <family val="3"/>
        <charset val="129"/>
      </rPr>
      <t>농산물마케팅과정</t>
    </r>
    <r>
      <rPr>
        <sz val="12"/>
        <rFont val="Arial"/>
        <family val="2"/>
      </rPr>
      <t xml:space="preserve"> : 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</si>
  <si>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사과과정</t>
    </r>
    <r>
      <rPr>
        <sz val="12"/>
        <rFont val="Arial"/>
        <family val="2"/>
      </rPr>
      <t xml:space="preserve"> : 19,860,000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</si>
  <si>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배과정</t>
    </r>
    <r>
      <rPr>
        <sz val="12"/>
        <rFont val="Arial"/>
        <family val="2"/>
      </rPr>
      <t xml:space="preserve"> : 19,920,000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</si>
  <si>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버섯과정</t>
    </r>
    <r>
      <rPr>
        <sz val="12"/>
        <rFont val="Arial"/>
        <family val="2"/>
      </rPr>
      <t xml:space="preserve"> : 21,000,000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</si>
  <si>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포도과정</t>
    </r>
    <r>
      <rPr>
        <sz val="12"/>
        <rFont val="Arial"/>
        <family val="2"/>
      </rPr>
      <t xml:space="preserve"> : 21,000,000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</si>
  <si>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5) </t>
    </r>
    <r>
      <rPr>
        <sz val="12"/>
        <rFont val="돋움"/>
        <family val="3"/>
        <charset val="129"/>
      </rPr>
      <t>시설채소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참외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과정</t>
    </r>
    <r>
      <rPr>
        <sz val="12"/>
        <rFont val="Arial"/>
        <family val="2"/>
      </rPr>
      <t xml:space="preserve"> : 20,340,000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</si>
  <si>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해외농업개발과정</t>
    </r>
    <r>
      <rPr>
        <sz val="12"/>
        <rFont val="Arial"/>
        <family val="2"/>
      </rPr>
      <t/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</si>
  <si>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향토전통식품전수과정</t>
    </r>
    <r>
      <rPr>
        <sz val="12"/>
        <rFont val="Arial"/>
        <family val="2"/>
      </rPr>
      <t/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</si>
  <si>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말산업전문인력양성과정</t>
    </r>
    <r>
      <rPr>
        <sz val="12"/>
        <rFont val="Arial"/>
        <family val="2"/>
      </rPr>
      <t/>
    </r>
    <phoneticPr fontId="2" type="noConversion"/>
  </si>
  <si>
    <r>
      <t xml:space="preserve">    5) </t>
    </r>
    <r>
      <rPr>
        <sz val="12"/>
        <rFont val="돋움"/>
        <family val="3"/>
        <charset val="129"/>
      </rPr>
      <t>쌀가공및식품개발과정</t>
    </r>
    <r>
      <rPr>
        <sz val="12"/>
        <rFont val="Arial"/>
        <family val="2"/>
      </rPr>
      <t/>
    </r>
    <phoneticPr fontId="2" type="noConversion"/>
  </si>
  <si>
    <r>
      <t xml:space="preserve">    6) FTA</t>
    </r>
    <r>
      <rPr>
        <sz val="12"/>
        <rFont val="돋움"/>
        <family val="3"/>
        <charset val="129"/>
      </rPr>
      <t>대책대체과수생산과정</t>
    </r>
    <r>
      <rPr>
        <sz val="12"/>
        <rFont val="Arial"/>
        <family val="2"/>
      </rPr>
      <t/>
    </r>
    <phoneticPr fontId="2" type="noConversion"/>
  </si>
  <si>
    <r>
      <t xml:space="preserve">    7) </t>
    </r>
    <r>
      <rPr>
        <sz val="12"/>
        <rFont val="돋움"/>
        <family val="3"/>
        <charset val="129"/>
      </rPr>
      <t>귀농인영농정착과정</t>
    </r>
    <r>
      <rPr>
        <sz val="12"/>
        <rFont val="Arial"/>
        <family val="2"/>
      </rPr>
      <t/>
    </r>
    <phoneticPr fontId="2" type="noConversion"/>
  </si>
  <si>
    <r>
      <t xml:space="preserve">    8) </t>
    </r>
    <r>
      <rPr>
        <sz val="12"/>
        <rFont val="돋움"/>
        <family val="3"/>
        <charset val="129"/>
      </rPr>
      <t>지역와인명품화과정</t>
    </r>
    <phoneticPr fontId="2" type="noConversion"/>
  </si>
  <si>
    <r>
      <t xml:space="preserve">    9) </t>
    </r>
    <r>
      <rPr>
        <sz val="12"/>
        <rFont val="돋움"/>
        <family val="3"/>
        <charset val="129"/>
      </rPr>
      <t>농산물마케팅과정</t>
    </r>
    <phoneticPr fontId="2" type="noConversion"/>
  </si>
  <si>
    <r>
      <t xml:space="preserve">   1) </t>
    </r>
    <r>
      <rPr>
        <sz val="12"/>
        <rFont val="돋움"/>
        <family val="3"/>
        <charset val="129"/>
      </rPr>
      <t>농업전문</t>
    </r>
    <r>
      <rPr>
        <sz val="12"/>
        <rFont val="Arial"/>
        <family val="2"/>
      </rPr>
      <t xml:space="preserve"> CEO</t>
    </r>
    <r>
      <rPr>
        <sz val="12"/>
        <rFont val="돋움"/>
        <family val="3"/>
        <charset val="129"/>
      </rPr>
      <t>양성과정</t>
    </r>
    <r>
      <rPr>
        <sz val="12"/>
        <rFont val="Arial"/>
        <family val="2"/>
      </rPr>
      <t xml:space="preserve"> : 24,646,000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</si>
  <si>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2) </t>
    </r>
    <r>
      <rPr>
        <sz val="12"/>
        <rFont val="돋움"/>
        <family val="3"/>
        <charset val="129"/>
      </rPr>
      <t>농촌지역지도자양성과정</t>
    </r>
    <r>
      <rPr>
        <sz val="12"/>
        <rFont val="Arial"/>
        <family val="2"/>
      </rPr>
      <t xml:space="preserve"> : 6,800,000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</si>
  <si>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3) </t>
    </r>
    <r>
      <rPr>
        <sz val="12"/>
        <rFont val="돋움"/>
        <family val="3"/>
        <charset val="129"/>
      </rPr>
      <t>사무국운영비</t>
    </r>
    <r>
      <rPr>
        <sz val="12"/>
        <rFont val="Arial"/>
        <family val="2"/>
      </rPr>
      <t xml:space="preserve"> : 18,000,000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</si>
  <si>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과정장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수당</t>
    </r>
    <r>
      <rPr>
        <sz val="12"/>
        <rFont val="Arial"/>
        <family val="2"/>
      </rPr>
      <t xml:space="preserve"> : 12,930,000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</si>
  <si>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: 14,000,000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</si>
  <si>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>: 53,300,000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</si>
  <si>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과정운영지도수당</t>
    </r>
    <r>
      <rPr>
        <sz val="12"/>
        <rFont val="Arial"/>
        <family val="2"/>
      </rPr>
      <t xml:space="preserve"> : 5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=30,000,000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</si>
  <si>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직원인건비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=47,710,000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</si>
  <si>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제보험료</t>
    </r>
    <r>
      <rPr>
        <sz val="12"/>
        <rFont val="Arial"/>
        <family val="2"/>
      </rPr>
      <t xml:space="preserve"> : 3,670,000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</si>
  <si>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12,280,000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</si>
  <si>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과정운영지도수당</t>
    </r>
    <r>
      <rPr>
        <sz val="12"/>
        <rFont val="Arial"/>
        <family val="2"/>
      </rPr>
      <t xml:space="preserve"> : 1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*11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=5,500,000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</si>
  <si>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보조원인건비</t>
    </r>
    <r>
      <rPr>
        <sz val="12"/>
        <rFont val="Arial"/>
        <family val="2"/>
      </rPr>
      <t xml:space="preserve"> :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*11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*600,000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=13,200,000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</si>
  <si>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: 12,450,000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</si>
  <si>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과정운영지도수당</t>
    </r>
    <r>
      <rPr>
        <sz val="12"/>
        <rFont val="Arial"/>
        <family val="2"/>
      </rPr>
      <t xml:space="preserve"> : 1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*7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=3,500,000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</si>
  <si>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보조원인건비</t>
    </r>
    <r>
      <rPr>
        <sz val="12"/>
        <rFont val="Arial"/>
        <family val="2"/>
      </rPr>
      <t xml:space="preserve"> :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*7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*600,000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=8,400,000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</si>
  <si>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: 7,800,000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</si>
  <si>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과정운영지도수당</t>
    </r>
    <r>
      <rPr>
        <sz val="12"/>
        <rFont val="Arial"/>
        <family val="2"/>
      </rPr>
      <t xml:space="preserve"> : 1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*9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=4,500,000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</si>
  <si>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보조원인건비</t>
    </r>
    <r>
      <rPr>
        <sz val="12"/>
        <rFont val="Arial"/>
        <family val="2"/>
      </rPr>
      <t xml:space="preserve"> :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*9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*600,000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=10,800,000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</si>
  <si>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5) </t>
    </r>
    <r>
      <rPr>
        <sz val="12"/>
        <rFont val="돋움"/>
        <family val="3"/>
        <charset val="129"/>
      </rPr>
      <t>말산업전문인력양성과정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</si>
  <si>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11,900,000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</si>
  <si>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지도교수인건비</t>
    </r>
    <r>
      <rPr>
        <sz val="12"/>
        <rFont val="Arial"/>
        <family val="2"/>
      </rPr>
      <t xml:space="preserve"> : 1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*10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=5,000,000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</si>
  <si>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보조원인건비</t>
    </r>
    <r>
      <rPr>
        <sz val="12"/>
        <rFont val="Arial"/>
        <family val="2"/>
      </rPr>
      <t xml:space="preserve"> : 1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*10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*600,000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=6,000,000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</si>
  <si>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6) </t>
    </r>
    <r>
      <rPr>
        <sz val="12"/>
        <rFont val="돋움"/>
        <family val="3"/>
        <charset val="129"/>
      </rPr>
      <t>쌀가공및식품개발과정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</si>
  <si>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: 9,660,000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</si>
  <si>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과정운영지도비</t>
    </r>
    <r>
      <rPr>
        <sz val="12"/>
        <rFont val="Arial"/>
        <family val="2"/>
      </rPr>
      <t xml:space="preserve"> : 1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*7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*500,000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=3,500,000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</si>
  <si>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보조원인건비</t>
    </r>
    <r>
      <rPr>
        <sz val="12"/>
        <rFont val="Arial"/>
        <family val="2"/>
      </rPr>
      <t xml:space="preserve"> :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*7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*600,000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=8,400,000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</si>
  <si>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7) FTA</t>
    </r>
    <r>
      <rPr>
        <sz val="12"/>
        <rFont val="돋움"/>
        <family val="3"/>
        <charset val="129"/>
      </rPr>
      <t>대책대체과수생산과정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</si>
  <si>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: 7,550,000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</si>
  <si>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과정운영지도수당</t>
    </r>
    <r>
      <rPr>
        <sz val="12"/>
        <rFont val="Arial"/>
        <family val="2"/>
      </rPr>
      <t xml:space="preserve"> : 1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*6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*500,000=3,000,000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</si>
  <si>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보조원인건비</t>
    </r>
    <r>
      <rPr>
        <sz val="12"/>
        <rFont val="Arial"/>
        <family val="2"/>
      </rPr>
      <t xml:space="preserve"> :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*6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*600,000=7,200,000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</si>
  <si>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8) </t>
    </r>
    <r>
      <rPr>
        <sz val="12"/>
        <rFont val="돋움"/>
        <family val="3"/>
        <charset val="129"/>
      </rPr>
      <t>농촌여성농산물가공창업과정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</si>
  <si>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10,679,000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</si>
  <si>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9) </t>
    </r>
    <r>
      <rPr>
        <sz val="12"/>
        <rFont val="돋움"/>
        <family val="3"/>
        <charset val="129"/>
      </rPr>
      <t>귀농인영농정착과정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</si>
  <si>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12,800,000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</si>
  <si>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10) </t>
    </r>
    <r>
      <rPr>
        <sz val="12"/>
        <rFont val="돋움"/>
        <family val="3"/>
        <charset val="129"/>
      </rPr>
      <t>지역와인명품화과정</t>
    </r>
    <phoneticPr fontId="2" type="noConversion"/>
  </si>
  <si>
    <r>
      <t xml:space="preserve">   11) </t>
    </r>
    <r>
      <rPr>
        <sz val="12"/>
        <rFont val="돋움"/>
        <family val="3"/>
        <charset val="129"/>
      </rPr>
      <t>농산물마케팅과정</t>
    </r>
    <phoneticPr fontId="2" type="noConversion"/>
  </si>
  <si>
    <r>
      <t xml:space="preserve">   12) </t>
    </r>
    <r>
      <rPr>
        <sz val="12"/>
        <rFont val="돋움"/>
        <family val="3"/>
        <charset val="129"/>
      </rPr>
      <t>사무국운영비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</si>
  <si>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8,170,000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</si>
  <si>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14,400,000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</si>
  <si>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23,000,000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</si>
  <si>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: 40,500,000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</si>
  <si>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: 40,500,000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</si>
  <si>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: 40,000,000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</si>
  <si>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대학장수당</t>
    </r>
    <r>
      <rPr>
        <sz val="12"/>
        <rFont val="Arial"/>
        <family val="2"/>
      </rPr>
      <t xml:space="preserve"> : 6,000,000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</si>
  <si>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캠퍼스장수당</t>
    </r>
    <r>
      <rPr>
        <sz val="12"/>
        <rFont val="Arial"/>
        <family val="2"/>
      </rPr>
      <t xml:space="preserve"> : 10,800,000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</si>
  <si>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주임교수수당</t>
    </r>
    <r>
      <rPr>
        <sz val="12"/>
        <rFont val="Arial"/>
        <family val="2"/>
      </rPr>
      <t xml:space="preserve"> : 24,000,000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</si>
  <si>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136,800,000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/6</t>
    </r>
    <r>
      <rPr>
        <sz val="12"/>
        <rFont val="돋움"/>
        <family val="3"/>
        <charset val="129"/>
      </rPr>
      <t>명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</si>
  <si>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: 16,750,000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</si>
  <si>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과정운영지도수당</t>
    </r>
    <r>
      <rPr>
        <sz val="12"/>
        <rFont val="Arial"/>
        <family val="2"/>
      </rPr>
      <t xml:space="preserve"> :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*8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*600,000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=9,600,000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</si>
  <si>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보조원인건비</t>
    </r>
    <r>
      <rPr>
        <sz val="12"/>
        <rFont val="Arial"/>
        <family val="2"/>
      </rPr>
      <t xml:space="preserve"> :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*8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*550,000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=8,800,000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</si>
  <si>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교육과정홍보비</t>
    </r>
    <r>
      <rPr>
        <sz val="12"/>
        <rFont val="Arial"/>
        <family val="2"/>
      </rPr>
      <t xml:space="preserve"> : 2,096,000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</si>
  <si>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이론교육</t>
    </r>
    <r>
      <rPr>
        <sz val="12"/>
        <rFont val="Arial"/>
        <family val="2"/>
      </rPr>
      <t xml:space="preserve"> : 3,955,000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</si>
  <si>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현장실습</t>
    </r>
    <r>
      <rPr>
        <sz val="12"/>
        <rFont val="Arial"/>
        <family val="2"/>
      </rPr>
      <t xml:space="preserve"> :11,294,000</t>
    </r>
    <r>
      <rPr>
        <sz val="12"/>
        <rFont val="돋움"/>
        <family val="3"/>
        <charset val="129"/>
      </rPr>
      <t>원</t>
    </r>
  </si>
  <si>
    <r>
      <t xml:space="preserve">    4) </t>
    </r>
    <r>
      <rPr>
        <sz val="12"/>
        <rFont val="돋움"/>
        <family val="3"/>
        <charset val="129"/>
      </rPr>
      <t>해외선진지견학비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항공료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체제비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>) : 55,500,000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유럽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또는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미국</t>
    </r>
    <r>
      <rPr>
        <sz val="12"/>
        <rFont val="Arial"/>
        <family val="2"/>
      </rPr>
      <t>)</t>
    </r>
  </si>
  <si>
    <r>
      <t xml:space="preserve">    5) </t>
    </r>
    <r>
      <rPr>
        <sz val="12"/>
        <rFont val="돋움"/>
        <family val="3"/>
        <charset val="129"/>
      </rPr>
      <t>교육생지원비</t>
    </r>
    <r>
      <rPr>
        <sz val="12"/>
        <rFont val="Arial"/>
        <family val="2"/>
      </rPr>
      <t xml:space="preserve"> : 9,520,000</t>
    </r>
    <r>
      <rPr>
        <sz val="12"/>
        <rFont val="돋움"/>
        <family val="3"/>
        <charset val="129"/>
      </rPr>
      <t>원</t>
    </r>
  </si>
  <si>
    <r>
      <t xml:space="preserve">    6) </t>
    </r>
    <r>
      <rPr>
        <sz val="12"/>
        <rFont val="돋움"/>
        <family val="3"/>
        <charset val="129"/>
      </rPr>
      <t>교육간접지원비</t>
    </r>
    <r>
      <rPr>
        <sz val="12"/>
        <rFont val="Arial"/>
        <family val="2"/>
      </rPr>
      <t xml:space="preserve"> :3,608,000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</si>
  <si>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교재제작</t>
    </r>
    <r>
      <rPr>
        <sz val="12"/>
        <rFont val="Arial"/>
        <family val="2"/>
      </rPr>
      <t xml:space="preserve"> : 23,700,000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</si>
  <si>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현장견학비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차량임차비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임장지도비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>) : 29,900,000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</si>
  <si>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해외농업견학비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항공료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체제비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>) : 67,000,000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</si>
  <si>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특별세미나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종합평가회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경비</t>
    </r>
    <r>
      <rPr>
        <sz val="12"/>
        <rFont val="Arial"/>
        <family val="2"/>
      </rPr>
      <t xml:space="preserve"> : 6,500,000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</si>
  <si>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전산교육비</t>
    </r>
    <r>
      <rPr>
        <sz val="12"/>
        <rFont val="Arial"/>
        <family val="2"/>
      </rPr>
      <t xml:space="preserve"> : 9,000,000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</si>
  <si>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바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교육생체육대회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경비</t>
    </r>
    <r>
      <rPr>
        <sz val="12"/>
        <rFont val="Arial"/>
        <family val="2"/>
      </rPr>
      <t>: 6,000,000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</si>
  <si>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사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교육생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입</t>
    </r>
    <r>
      <rPr>
        <sz val="12"/>
        <rFont val="Arial"/>
        <family val="2"/>
      </rPr>
      <t>·</t>
    </r>
    <r>
      <rPr>
        <sz val="12"/>
        <rFont val="돋움"/>
        <family val="3"/>
        <charset val="129"/>
      </rPr>
      <t>수료식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논문지도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>) : 17,300,000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</si>
  <si>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아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전국농학계대학협의회경비</t>
    </r>
    <r>
      <rPr>
        <sz val="12"/>
        <rFont val="Arial"/>
        <family val="2"/>
      </rPr>
      <t xml:space="preserve"> : 3,400,000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</si>
  <si>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자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교육과정홍보비</t>
    </r>
    <r>
      <rPr>
        <sz val="12"/>
        <rFont val="Arial"/>
        <family val="2"/>
      </rPr>
      <t xml:space="preserve"> : 7,600,000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</si>
  <si>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차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공공요금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교육운영출장비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:7,300,000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</si>
  <si>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카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과정운영소모품비</t>
    </r>
    <r>
      <rPr>
        <sz val="12"/>
        <rFont val="Arial"/>
        <family val="2"/>
      </rPr>
      <t xml:space="preserve"> : 8,120,000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</si>
  <si>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업무추진비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8,500,000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</si>
  <si>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제작</t>
    </r>
    <r>
      <rPr>
        <sz val="12"/>
        <rFont val="Arial"/>
        <family val="2"/>
      </rPr>
      <t xml:space="preserve"> : 4,200,000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</si>
  <si>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입</t>
    </r>
    <r>
      <rPr>
        <sz val="12"/>
        <rFont val="Arial"/>
        <family val="2"/>
      </rPr>
      <t>·</t>
    </r>
    <r>
      <rPr>
        <sz val="12"/>
        <rFont val="돋움"/>
        <family val="3"/>
        <charset val="129"/>
      </rPr>
      <t>수료식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특별세미나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종합평가회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4,070,000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</si>
  <si>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현장견학비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차량임차비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임장지도비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>) : 9,450,000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</si>
  <si>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해외농업견학비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항공료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체제비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>) : 11,500,000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</si>
  <si>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소모품비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공통교육운영비</t>
    </r>
    <r>
      <rPr>
        <sz val="12"/>
        <rFont val="Arial"/>
        <family val="2"/>
      </rPr>
      <t xml:space="preserve"> : 5,600,000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</si>
  <si>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제작</t>
    </r>
    <r>
      <rPr>
        <sz val="12"/>
        <rFont val="Arial"/>
        <family val="2"/>
      </rPr>
      <t xml:space="preserve"> : 3,200,000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</si>
  <si>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입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수료식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1,600,000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</si>
  <si>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소모품비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기타교육운영비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2,300,000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 xml:space="preserve"> 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</si>
  <si>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해외선진지견학비</t>
    </r>
    <r>
      <rPr>
        <sz val="12"/>
        <rFont val="Arial"/>
        <family val="2"/>
      </rPr>
      <t xml:space="preserve"> : 6,150,000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</si>
  <si>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</t>
    </r>
    <r>
      <rPr>
        <sz val="12"/>
        <rFont val="Arial"/>
        <family val="2"/>
      </rPr>
      <t xml:space="preserve"> 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유인물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제작</t>
    </r>
    <r>
      <rPr>
        <sz val="12"/>
        <rFont val="Arial"/>
        <family val="2"/>
      </rPr>
      <t>: 2,200,000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</si>
  <si>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현장견학비</t>
    </r>
    <r>
      <rPr>
        <sz val="12"/>
        <rFont val="Arial"/>
        <family val="2"/>
      </rPr>
      <t xml:space="preserve"> : 5,800,000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</si>
  <si>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입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수료식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1,500,000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</si>
  <si>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소모품비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과정운영비</t>
    </r>
    <r>
      <rPr>
        <sz val="12"/>
        <rFont val="Arial"/>
        <family val="2"/>
      </rPr>
      <t>: 10,000,000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</si>
  <si>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현장견학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실습비</t>
    </r>
    <r>
      <rPr>
        <sz val="12"/>
        <rFont val="Arial"/>
        <family val="2"/>
      </rPr>
      <t xml:space="preserve"> : 2,400,000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</si>
  <si>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교육생자치활동비</t>
    </r>
    <r>
      <rPr>
        <sz val="12"/>
        <rFont val="Arial"/>
        <family val="2"/>
      </rPr>
      <t xml:space="preserve"> : 2,400,000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</si>
  <si>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인쇄비</t>
    </r>
    <r>
      <rPr>
        <sz val="12"/>
        <rFont val="Arial"/>
        <family val="2"/>
      </rPr>
      <t xml:space="preserve"> : 500,000</t>
    </r>
    <r>
      <rPr>
        <sz val="12"/>
        <rFont val="돋움"/>
        <family val="3"/>
        <charset val="129"/>
      </rPr>
      <t>원</t>
    </r>
  </si>
  <si>
    <r>
      <t xml:space="preserve">   6) </t>
    </r>
    <r>
      <rPr>
        <sz val="12"/>
        <rFont val="돋움"/>
        <family val="3"/>
        <charset val="129"/>
      </rPr>
      <t>쌀가공및식품개발과정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</si>
  <si>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유인물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제작</t>
    </r>
    <r>
      <rPr>
        <sz val="12"/>
        <rFont val="Arial"/>
        <family val="2"/>
      </rPr>
      <t xml:space="preserve"> : 2,500,000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</si>
  <si>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현장견학비</t>
    </r>
    <r>
      <rPr>
        <sz val="12"/>
        <rFont val="Arial"/>
        <family val="2"/>
      </rPr>
      <t xml:space="preserve"> : 5,630,000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</si>
  <si>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입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수료식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1,800,000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</si>
  <si>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소모품비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과정운영비</t>
    </r>
    <r>
      <rPr>
        <sz val="12"/>
        <rFont val="Arial"/>
        <family val="2"/>
      </rPr>
      <t>: 6,110,000</t>
    </r>
    <r>
      <rPr>
        <sz val="12"/>
        <rFont val="돋움"/>
        <family val="3"/>
        <charset val="129"/>
      </rPr>
      <t>원</t>
    </r>
  </si>
  <si>
    <r>
      <t xml:space="preserve">   7) FTA</t>
    </r>
    <r>
      <rPr>
        <sz val="12"/>
        <rFont val="돋움"/>
        <family val="3"/>
        <charset val="129"/>
      </rPr>
      <t>대책대체과수생산과정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</si>
  <si>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유인물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제작</t>
    </r>
    <r>
      <rPr>
        <sz val="12"/>
        <rFont val="Arial"/>
        <family val="2"/>
      </rPr>
      <t xml:space="preserve"> : 1,270,000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</si>
  <si>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현장견학비</t>
    </r>
    <r>
      <rPr>
        <sz val="12"/>
        <rFont val="Arial"/>
        <family val="2"/>
      </rPr>
      <t xml:space="preserve"> : 1,880,000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</si>
  <si>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체육대회지원비</t>
    </r>
    <r>
      <rPr>
        <sz val="12"/>
        <rFont val="Arial"/>
        <family val="2"/>
      </rPr>
      <t xml:space="preserve"> : 500,000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</si>
  <si>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소모품비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과정운영비</t>
    </r>
    <r>
      <rPr>
        <sz val="12"/>
        <rFont val="Arial"/>
        <family val="2"/>
      </rPr>
      <t>: 800,000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</si>
  <si>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해외견학비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항공료및체제비등</t>
    </r>
    <r>
      <rPr>
        <sz val="12"/>
        <rFont val="Arial"/>
        <family val="2"/>
      </rPr>
      <t>) : 6,000,000</t>
    </r>
    <r>
      <rPr>
        <sz val="12"/>
        <rFont val="돋움"/>
        <family val="3"/>
        <charset val="129"/>
      </rPr>
      <t>원</t>
    </r>
  </si>
  <si>
    <r>
      <t xml:space="preserve">   8) </t>
    </r>
    <r>
      <rPr>
        <sz val="12"/>
        <rFont val="돋움"/>
        <family val="3"/>
        <charset val="129"/>
      </rPr>
      <t>농촌여성농산물가공창업과정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</si>
  <si>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교재제작비</t>
    </r>
    <r>
      <rPr>
        <sz val="12"/>
        <rFont val="Arial"/>
        <family val="2"/>
      </rPr>
      <t xml:space="preserve"> : 2,743,000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</si>
  <si>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사무용품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일반운영비</t>
    </r>
    <r>
      <rPr>
        <sz val="12"/>
        <rFont val="Arial"/>
        <family val="2"/>
      </rPr>
      <t>: 1,947,000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</si>
  <si>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현장교육비</t>
    </r>
    <r>
      <rPr>
        <sz val="12"/>
        <rFont val="Arial"/>
        <family val="2"/>
      </rPr>
      <t>: 12,831,000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</si>
  <si>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과정운영지원비</t>
    </r>
    <r>
      <rPr>
        <sz val="12"/>
        <rFont val="Arial"/>
        <family val="2"/>
      </rPr>
      <t xml:space="preserve"> : 1,800,000</t>
    </r>
    <r>
      <rPr>
        <sz val="12"/>
        <rFont val="돋움"/>
        <family val="3"/>
        <charset val="129"/>
      </rPr>
      <t>원</t>
    </r>
  </si>
  <si>
    <r>
      <t xml:space="preserve">   9) </t>
    </r>
    <r>
      <rPr>
        <sz val="12"/>
        <rFont val="돋움"/>
        <family val="3"/>
        <charset val="129"/>
      </rPr>
      <t>귀농인영농정착과정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</si>
  <si>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교재제작비</t>
    </r>
    <r>
      <rPr>
        <sz val="12"/>
        <rFont val="Arial"/>
        <family val="2"/>
      </rPr>
      <t xml:space="preserve"> : 6,300,000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</si>
  <si>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입</t>
    </r>
    <r>
      <rPr>
        <sz val="12"/>
        <rFont val="Arial"/>
        <family val="2"/>
      </rPr>
      <t>·</t>
    </r>
    <r>
      <rPr>
        <sz val="12"/>
        <rFont val="돋움"/>
        <family val="3"/>
        <charset val="129"/>
      </rPr>
      <t>수료식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지원비</t>
    </r>
    <r>
      <rPr>
        <sz val="12"/>
        <rFont val="Arial"/>
        <family val="2"/>
      </rPr>
      <t>: 1,800,000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</si>
  <si>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소모품비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공통교육운영비</t>
    </r>
    <r>
      <rPr>
        <sz val="12"/>
        <rFont val="Arial"/>
        <family val="2"/>
      </rPr>
      <t xml:space="preserve"> : 10,700,000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</si>
  <si>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현장교육지원비</t>
    </r>
    <r>
      <rPr>
        <sz val="12"/>
        <rFont val="Arial"/>
        <family val="2"/>
      </rPr>
      <t>: 6,000,000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</si>
  <si>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과정운영지원비</t>
    </r>
    <r>
      <rPr>
        <sz val="12"/>
        <rFont val="Arial"/>
        <family val="2"/>
      </rPr>
      <t xml:space="preserve"> : 2,400,000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</si>
  <si>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교재제작비</t>
    </r>
    <r>
      <rPr>
        <sz val="12"/>
        <rFont val="Arial"/>
        <family val="2"/>
      </rPr>
      <t xml:space="preserve"> : 4,160,000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</si>
  <si>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재료비</t>
    </r>
    <r>
      <rPr>
        <sz val="12"/>
        <rFont val="Arial"/>
        <family val="2"/>
      </rPr>
      <t>: 5,400,000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</si>
  <si>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품평회비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공통교육운영비</t>
    </r>
    <r>
      <rPr>
        <sz val="12"/>
        <rFont val="Arial"/>
        <family val="2"/>
      </rPr>
      <t>: 10,460,000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</si>
  <si>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현장교육지원비</t>
    </r>
    <r>
      <rPr>
        <sz val="12"/>
        <rFont val="Arial"/>
        <family val="2"/>
      </rPr>
      <t xml:space="preserve"> : 4,710,000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</si>
  <si>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과정운영지원비</t>
    </r>
    <r>
      <rPr>
        <sz val="12"/>
        <rFont val="Arial"/>
        <family val="2"/>
      </rPr>
      <t xml:space="preserve"> : 2,100,000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</si>
  <si>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교재제작비</t>
    </r>
    <r>
      <rPr>
        <sz val="12"/>
        <rFont val="Arial"/>
        <family val="2"/>
      </rPr>
      <t xml:space="preserve"> : 5,600,000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</si>
  <si>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입</t>
    </r>
    <r>
      <rPr>
        <sz val="12"/>
        <rFont val="Arial"/>
        <family val="2"/>
      </rPr>
      <t>·</t>
    </r>
    <r>
      <rPr>
        <sz val="12"/>
        <rFont val="돋움"/>
        <family val="3"/>
        <charset val="129"/>
      </rPr>
      <t>수료식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지원비</t>
    </r>
    <r>
      <rPr>
        <sz val="12"/>
        <rFont val="Arial"/>
        <family val="2"/>
      </rPr>
      <t>: 1,670,000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</si>
  <si>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소모품비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공통교육운영비</t>
    </r>
    <r>
      <rPr>
        <sz val="12"/>
        <rFont val="Arial"/>
        <family val="2"/>
      </rPr>
      <t xml:space="preserve"> : 10,630,000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</si>
  <si>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현장교육지원비</t>
    </r>
    <r>
      <rPr>
        <sz val="12"/>
        <rFont val="Arial"/>
        <family val="2"/>
      </rPr>
      <t>: 5,300,000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</si>
  <si>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합동행사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114,300,000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</si>
  <si>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운영비</t>
    </r>
    <r>
      <rPr>
        <sz val="12"/>
        <rFont val="Arial"/>
        <family val="2"/>
      </rPr>
      <t>: 17,500,000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</si>
  <si>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업무추진비</t>
    </r>
    <r>
      <rPr>
        <sz val="12"/>
        <rFont val="Arial"/>
        <family val="2"/>
      </rPr>
      <t>: 12,500,000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</si>
  <si>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임차료</t>
    </r>
    <r>
      <rPr>
        <sz val="12"/>
        <rFont val="Arial"/>
        <family val="2"/>
      </rPr>
      <t>: 11,000,000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</si>
  <si>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실습교육기자재구입</t>
    </r>
    <r>
      <rPr>
        <sz val="12"/>
        <rFont val="Arial"/>
        <family val="2"/>
      </rPr>
      <t>: 5,200,000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</si>
  <si>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식대비</t>
    </r>
    <r>
      <rPr>
        <sz val="12"/>
        <rFont val="Arial"/>
        <family val="2"/>
      </rPr>
      <t>: 5,800,000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</si>
  <si>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임차료</t>
    </r>
    <r>
      <rPr>
        <sz val="12"/>
        <rFont val="Arial"/>
        <family val="2"/>
      </rPr>
      <t>: 11,600,000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</si>
  <si>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실습교육기자재구입</t>
    </r>
    <r>
      <rPr>
        <sz val="12"/>
        <rFont val="Arial"/>
        <family val="2"/>
      </rPr>
      <t>: 5,000,000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</si>
  <si>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식대비</t>
    </r>
    <r>
      <rPr>
        <sz val="12"/>
        <rFont val="Arial"/>
        <family val="2"/>
      </rPr>
      <t>: 5,600,000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</si>
  <si>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임차료</t>
    </r>
    <r>
      <rPr>
        <sz val="12"/>
        <rFont val="Arial"/>
        <family val="2"/>
      </rPr>
      <t xml:space="preserve"> : 15,000,000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</si>
  <si>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실습교육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기자재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: 6,000,000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</si>
  <si>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식대비</t>
    </r>
    <r>
      <rPr>
        <sz val="12"/>
        <rFont val="Arial"/>
        <family val="2"/>
      </rPr>
      <t xml:space="preserve"> : 5,100,000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</si>
  <si>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임차료</t>
    </r>
    <r>
      <rPr>
        <sz val="12"/>
        <rFont val="Arial"/>
        <family val="2"/>
      </rPr>
      <t>: 15,000,000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</si>
  <si>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실습교육기자재구입</t>
    </r>
    <r>
      <rPr>
        <sz val="12"/>
        <rFont val="Arial"/>
        <family val="2"/>
      </rPr>
      <t>: 5,800,000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</si>
  <si>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식대비</t>
    </r>
    <r>
      <rPr>
        <sz val="12"/>
        <rFont val="Arial"/>
        <family val="2"/>
      </rPr>
      <t>: 6,700,000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</si>
  <si>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교육운영비</t>
    </r>
    <r>
      <rPr>
        <sz val="12"/>
        <rFont val="Arial"/>
        <family val="2"/>
      </rPr>
      <t>:24,520,000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</si>
  <si>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여비</t>
    </r>
    <r>
      <rPr>
        <sz val="12"/>
        <rFont val="Arial"/>
        <family val="2"/>
      </rPr>
      <t>:17,520,000</t>
    </r>
    <r>
      <rPr>
        <sz val="12"/>
        <rFont val="돋움"/>
        <family val="3"/>
        <charset val="129"/>
      </rPr>
      <t>원</t>
    </r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</si>
  <si>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업무추진비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>: 24,050,000</t>
    </r>
    <r>
      <rPr>
        <sz val="12"/>
        <rFont val="돋움"/>
        <family val="3"/>
        <charset val="129"/>
      </rPr>
      <t>원</t>
    </r>
  </si>
  <si>
    <r>
      <t xml:space="preserve">    1) </t>
    </r>
    <r>
      <rPr>
        <sz val="12"/>
        <rFont val="돋움"/>
        <family val="3"/>
        <charset val="129"/>
      </rPr>
      <t>교재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홍보자료등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제작</t>
    </r>
    <r>
      <rPr>
        <sz val="12"/>
        <rFont val="Arial"/>
        <family val="2"/>
      </rPr>
      <t xml:space="preserve"> : 5,300,000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</si>
  <si>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현장견학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실습지원비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항공료포함</t>
    </r>
    <r>
      <rPr>
        <sz val="12"/>
        <rFont val="Arial"/>
        <family val="2"/>
      </rPr>
      <t>) : 23,600,000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</si>
  <si>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입수료식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지원비등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교육지원비</t>
    </r>
    <r>
      <rPr>
        <sz val="12"/>
        <rFont val="Arial"/>
        <family val="2"/>
      </rPr>
      <t xml:space="preserve"> : 7,950,000</t>
    </r>
    <r>
      <rPr>
        <sz val="12"/>
        <rFont val="돋움"/>
        <family val="3"/>
        <charset val="129"/>
      </rPr>
      <t>원</t>
    </r>
  </si>
  <si>
    <r>
      <t xml:space="preserve">    4) </t>
    </r>
    <r>
      <rPr>
        <sz val="12"/>
        <rFont val="돋움"/>
        <family val="3"/>
        <charset val="129"/>
      </rPr>
      <t>소모품비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과정운영비</t>
    </r>
    <r>
      <rPr>
        <sz val="12"/>
        <rFont val="Arial"/>
        <family val="2"/>
      </rPr>
      <t xml:space="preserve"> : 9,000,000</t>
    </r>
    <r>
      <rPr>
        <sz val="12"/>
        <rFont val="돋움"/>
        <family val="3"/>
        <charset val="129"/>
      </rPr>
      <t>원</t>
    </r>
  </si>
  <si>
    <r>
      <t xml:space="preserve">  1) </t>
    </r>
    <r>
      <rPr>
        <sz val="12"/>
        <rFont val="돋움"/>
        <family val="3"/>
        <charset val="129"/>
      </rPr>
      <t>농업전문</t>
    </r>
    <r>
      <rPr>
        <sz val="12"/>
        <rFont val="Arial"/>
        <family val="2"/>
      </rPr>
      <t>CEO</t>
    </r>
    <r>
      <rPr>
        <sz val="12"/>
        <rFont val="돋움"/>
        <family val="3"/>
        <charset val="129"/>
      </rPr>
      <t>양성과정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이월액</t>
    </r>
  </si>
  <si>
    <r>
      <t xml:space="preserve">  2) </t>
    </r>
    <r>
      <rPr>
        <sz val="12"/>
        <rFont val="돋움"/>
        <family val="3"/>
        <charset val="129"/>
      </rPr>
      <t>농촌지역지도자양성과정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이월액</t>
    </r>
  </si>
  <si>
    <r>
      <t xml:space="preserve">  3) </t>
    </r>
    <r>
      <rPr>
        <sz val="12"/>
        <rFont val="돋움"/>
        <family val="3"/>
        <charset val="129"/>
      </rPr>
      <t>농민사관학교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사무국운영비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이월액</t>
    </r>
  </si>
  <si>
    <r>
      <t xml:space="preserve"> 2. </t>
    </r>
    <r>
      <rPr>
        <b/>
        <sz val="12"/>
        <rFont val="돋움"/>
        <family val="3"/>
        <charset val="129"/>
      </rPr>
      <t>반도체연구기반혁신사업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사업결과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수익금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</si>
  <si>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장비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사용수익</t>
    </r>
    <r>
      <rPr>
        <sz val="12"/>
        <rFont val="Arial"/>
        <family val="2"/>
      </rPr>
      <t xml:space="preserve"> : 30,000,000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월</t>
    </r>
    <phoneticPr fontId="2" type="noConversion"/>
  </si>
  <si>
    <r>
      <t xml:space="preserve"> 3. R&amp;BD</t>
    </r>
    <r>
      <rPr>
        <b/>
        <sz val="12"/>
        <rFont val="돋움"/>
        <family val="3"/>
        <charset val="129"/>
      </rPr>
      <t>체제를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통한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대구</t>
    </r>
    <r>
      <rPr>
        <b/>
        <sz val="12"/>
        <rFont val="Arial"/>
        <family val="2"/>
      </rPr>
      <t>.</t>
    </r>
    <r>
      <rPr>
        <b/>
        <sz val="12"/>
        <rFont val="돋움"/>
        <family val="3"/>
        <charset val="129"/>
      </rPr>
      <t>경북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임베디드시스템산업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진흥사업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수익금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</si>
  <si>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시스템반도체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설계</t>
    </r>
    <r>
      <rPr>
        <b/>
        <sz val="12"/>
        <rFont val="Arial"/>
        <family val="2"/>
      </rPr>
      <t>.</t>
    </r>
    <r>
      <rPr>
        <b/>
        <sz val="12"/>
        <rFont val="돋움"/>
        <family val="3"/>
        <charset val="129"/>
      </rPr>
      <t>공정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융복합지식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인력양성사업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수익금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</si>
  <si>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20,000,000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</si>
  <si>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시설운영비</t>
    </r>
    <r>
      <rPr>
        <sz val="12"/>
        <rFont val="Arial"/>
        <family val="2"/>
      </rPr>
      <t xml:space="preserve"> : 5,000,000*12</t>
    </r>
    <r>
      <rPr>
        <sz val="12"/>
        <rFont val="돋움"/>
        <family val="3"/>
        <charset val="129"/>
      </rPr>
      <t>개월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</si>
  <si>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기타연구제경비</t>
    </r>
    <phoneticPr fontId="2" type="noConversion"/>
  </si>
  <si>
    <r>
      <t xml:space="preserve"> 5. R&amp;BD</t>
    </r>
    <r>
      <rPr>
        <b/>
        <sz val="12"/>
        <rFont val="돋움"/>
        <family val="3"/>
        <charset val="129"/>
      </rPr>
      <t>체제를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통한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대구</t>
    </r>
    <r>
      <rPr>
        <b/>
        <sz val="12"/>
        <rFont val="Arial"/>
        <family val="2"/>
      </rPr>
      <t>.</t>
    </r>
    <r>
      <rPr>
        <b/>
        <sz val="12"/>
        <rFont val="돋움"/>
        <family val="3"/>
        <charset val="129"/>
      </rPr>
      <t>경북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임베디드시스템산업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진흥사업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</si>
  <si>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시스템반도체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설계</t>
    </r>
    <r>
      <rPr>
        <b/>
        <sz val="12"/>
        <rFont val="Arial"/>
        <family val="2"/>
      </rPr>
      <t>.</t>
    </r>
    <r>
      <rPr>
        <b/>
        <sz val="12"/>
        <rFont val="돋움"/>
        <family val="3"/>
        <charset val="129"/>
      </rPr>
      <t>공정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융복합지식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인력양성사업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phoneticPr fontId="2" type="noConversion"/>
  </si>
  <si>
    <r>
      <t xml:space="preserve">18. </t>
    </r>
    <r>
      <rPr>
        <b/>
        <sz val="12"/>
        <rFont val="돋움"/>
        <family val="3"/>
        <charset val="129"/>
      </rPr>
      <t>대구나노부품실용화인력양성사업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</si>
  <si>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19. </t>
    </r>
    <r>
      <rPr>
        <b/>
        <sz val="12"/>
        <rFont val="돋움"/>
        <family val="3"/>
        <charset val="129"/>
      </rPr>
      <t>대구지역전략산업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통합인력양성사업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</si>
  <si>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20. </t>
    </r>
    <r>
      <rPr>
        <b/>
        <sz val="12"/>
        <rFont val="돋움"/>
        <family val="3"/>
        <charset val="129"/>
      </rPr>
      <t>시스템반도체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설계</t>
    </r>
    <r>
      <rPr>
        <b/>
        <sz val="12"/>
        <rFont val="Arial"/>
        <family val="2"/>
      </rPr>
      <t>.</t>
    </r>
    <r>
      <rPr>
        <b/>
        <sz val="12"/>
        <rFont val="돋움"/>
        <family val="3"/>
        <charset val="129"/>
      </rPr>
      <t>공정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융복합지식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인력양성사업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</si>
  <si>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 8. </t>
    </r>
    <r>
      <rPr>
        <b/>
        <sz val="12"/>
        <rFont val="돋움"/>
        <family val="3"/>
        <charset val="129"/>
      </rPr>
      <t>산학협력중심대학사업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수익금</t>
    </r>
    <phoneticPr fontId="2" type="noConversion"/>
  </si>
  <si>
    <r>
      <t xml:space="preserve"> 9.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</si>
  <si>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</si>
  <si>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산학협력중심대학사업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</si>
  <si>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산학협력중심대학사업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</si>
  <si>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실험재료비및시제품제작비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</si>
  <si>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사업홍보비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</si>
  <si>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여비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</si>
  <si>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회의비</t>
    </r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</si>
  <si>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</si>
  <si>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강사료</t>
    </r>
    <phoneticPr fontId="2" type="noConversion"/>
  </si>
  <si>
    <r>
      <t xml:space="preserve"> 2. </t>
    </r>
    <r>
      <rPr>
        <b/>
        <sz val="12"/>
        <rFont val="돋움"/>
        <family val="3"/>
        <charset val="129"/>
      </rPr>
      <t>산학협력중심대학사업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</si>
  <si>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인쇄복사비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</si>
  <si>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실험재료비및시제품제작비</t>
    </r>
    <phoneticPr fontId="2" type="noConversion"/>
  </si>
  <si>
    <r>
      <t xml:space="preserve"> 2. </t>
    </r>
    <r>
      <rPr>
        <b/>
        <sz val="12"/>
        <rFont val="돋움"/>
        <family val="3"/>
        <charset val="129"/>
      </rPr>
      <t>산학협력중심대학사업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</si>
  <si>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산학협력중심대학사업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</si>
  <si>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사업홍보비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</si>
  <si>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지역혁신센터</t>
    </r>
    <r>
      <rPr>
        <b/>
        <sz val="12"/>
        <rFont val="Arial"/>
        <family val="2"/>
      </rPr>
      <t>(RIC)</t>
    </r>
    <r>
      <rPr>
        <b/>
        <sz val="12"/>
        <rFont val="돋움"/>
        <family val="3"/>
        <charset val="129"/>
      </rPr>
      <t>사업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</si>
  <si>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지역</t>
    </r>
    <r>
      <rPr>
        <b/>
        <sz val="12"/>
        <rFont val="Arial"/>
        <family val="2"/>
      </rPr>
      <t xml:space="preserve"> R&amp;D </t>
    </r>
    <r>
      <rPr>
        <b/>
        <sz val="12"/>
        <rFont val="돋움"/>
        <family val="3"/>
        <charset val="129"/>
      </rPr>
      <t>클러스터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사업</t>
    </r>
    <phoneticPr fontId="2" type="noConversion"/>
  </si>
  <si>
    <r>
      <t xml:space="preserve"> 8. </t>
    </r>
    <r>
      <rPr>
        <b/>
        <sz val="12"/>
        <rFont val="돋움"/>
        <family val="3"/>
        <charset val="129"/>
      </rPr>
      <t>국방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수중통신</t>
    </r>
    <r>
      <rPr>
        <b/>
        <sz val="12"/>
        <rFont val="Arial"/>
        <family val="2"/>
      </rPr>
      <t>/</t>
    </r>
    <r>
      <rPr>
        <b/>
        <sz val="12"/>
        <rFont val="돋움"/>
        <family val="3"/>
        <charset val="129"/>
      </rPr>
      <t>탐지특화연구센터사업</t>
    </r>
    <phoneticPr fontId="2" type="noConversion"/>
  </si>
  <si>
    <r>
      <t xml:space="preserve"> 9. </t>
    </r>
    <r>
      <rPr>
        <b/>
        <sz val="12"/>
        <rFont val="돋움"/>
        <family val="3"/>
        <charset val="129"/>
      </rPr>
      <t>지역거점연구단육성사업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</si>
  <si>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공학교육혁신센터지원사업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거점</t>
    </r>
    <r>
      <rPr>
        <b/>
        <sz val="12"/>
        <rFont val="Arial"/>
        <family val="2"/>
      </rPr>
      <t>)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</si>
  <si>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농업인교육사업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사업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</si>
  <si>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공학교육혁신센터지원사업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거점</t>
    </r>
    <r>
      <rPr>
        <b/>
        <sz val="12"/>
        <rFont val="Arial"/>
        <family val="2"/>
      </rPr>
      <t xml:space="preserve">) 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</si>
  <si>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공학교육혁신센터지원사업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거점</t>
    </r>
    <r>
      <rPr>
        <b/>
        <sz val="12"/>
        <rFont val="Arial"/>
        <family val="2"/>
      </rPr>
      <t>)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</si>
  <si>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영농정착교육과정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</si>
  <si>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공학교육혁신센터지원사업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거점</t>
    </r>
    <r>
      <rPr>
        <b/>
        <sz val="12"/>
        <rFont val="Arial"/>
        <family val="2"/>
      </rPr>
      <t>)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</si>
  <si>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지역거점연구단육성사업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</si>
  <si>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농업인교육사업</t>
    </r>
    <phoneticPr fontId="2" type="noConversion"/>
  </si>
  <si>
    <r>
      <t xml:space="preserve"> 8. </t>
    </r>
    <r>
      <rPr>
        <b/>
        <sz val="12"/>
        <rFont val="돋움"/>
        <family val="3"/>
        <charset val="129"/>
      </rPr>
      <t>영농정착교육과정</t>
    </r>
    <phoneticPr fontId="2" type="noConversion"/>
  </si>
  <si>
    <r>
      <t xml:space="preserve"> 2. </t>
    </r>
    <r>
      <rPr>
        <b/>
        <sz val="12"/>
        <rFont val="돋움"/>
        <family val="3"/>
        <charset val="129"/>
      </rPr>
      <t>우수스타기업육성사업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</si>
  <si>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㈜아진엑스텍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</si>
  <si>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㈜맥스로텍</t>
    </r>
    <phoneticPr fontId="2" type="noConversion"/>
  </si>
  <si>
    <t xml:space="preserve">    1) Robot : 69,400,000</t>
  </si>
  <si>
    <t xml:space="preserve">    2) Mecha: 21,000,000</t>
  </si>
  <si>
    <t xml:space="preserve">   1) Mecha:10,000,000</t>
  </si>
  <si>
    <t xml:space="preserve">   1) Robot:1,000,000</t>
  </si>
  <si>
    <t xml:space="preserve">   2) Mecha:4,400,000</t>
  </si>
  <si>
    <t xml:space="preserve">   1) Mecha:2,900,000</t>
  </si>
  <si>
    <t xml:space="preserve">   1) Robot:49,600,000</t>
  </si>
  <si>
    <t xml:space="preserve">   2) Mecha:40,400,000</t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</si>
  <si>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실험재료비및시제품제작비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</si>
  <si>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홍보비</t>
    </r>
  </si>
  <si>
    <r>
      <t xml:space="preserve">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여비</t>
    </r>
  </si>
  <si>
    <r>
      <t xml:space="preserve">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회의비</t>
    </r>
  </si>
  <si>
    <r>
      <t xml:space="preserve">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</t>
    </r>
  </si>
  <si>
    <r>
      <t xml:space="preserve"> 6. </t>
    </r>
    <r>
      <rPr>
        <b/>
        <sz val="12"/>
        <rFont val="돋움"/>
        <family val="3"/>
        <charset val="129"/>
      </rPr>
      <t>우수스타기업육성사업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</si>
  <si>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인턴쉽실습비</t>
    </r>
    <phoneticPr fontId="2" type="noConversion"/>
  </si>
  <si>
    <r>
      <t>19. R&amp;BD</t>
    </r>
    <r>
      <rPr>
        <b/>
        <sz val="12"/>
        <rFont val="돋움"/>
        <family val="3"/>
        <charset val="129"/>
      </rPr>
      <t>체제를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통한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대구</t>
    </r>
    <r>
      <rPr>
        <b/>
        <sz val="12"/>
        <rFont val="Arial"/>
        <family val="2"/>
      </rPr>
      <t>.</t>
    </r>
    <r>
      <rPr>
        <b/>
        <sz val="12"/>
        <rFont val="돋움"/>
        <family val="3"/>
        <charset val="129"/>
      </rPr>
      <t>경북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임베디드시스템산업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진흥사업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성과활용이월금</t>
    </r>
    <phoneticPr fontId="2" type="noConversion"/>
  </si>
  <si>
    <r>
      <t xml:space="preserve">20. </t>
    </r>
    <r>
      <rPr>
        <b/>
        <sz val="12"/>
        <rFont val="돋움"/>
        <family val="3"/>
        <charset val="129"/>
      </rPr>
      <t>대구나노부품실용화인력양성사업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</si>
  <si>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21. </t>
    </r>
    <r>
      <rPr>
        <b/>
        <sz val="12"/>
        <rFont val="돋움"/>
        <family val="3"/>
        <charset val="129"/>
      </rPr>
      <t>대구지역전략산업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통합인력양성사업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</si>
  <si>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22. </t>
    </r>
    <r>
      <rPr>
        <b/>
        <sz val="12"/>
        <rFont val="돋움"/>
        <family val="3"/>
        <charset val="129"/>
      </rPr>
      <t>시스템반도체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설계</t>
    </r>
    <r>
      <rPr>
        <b/>
        <sz val="12"/>
        <rFont val="Arial"/>
        <family val="2"/>
      </rPr>
      <t>.</t>
    </r>
    <r>
      <rPr>
        <b/>
        <sz val="12"/>
        <rFont val="돋움"/>
        <family val="3"/>
        <charset val="129"/>
      </rPr>
      <t>공정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융복합지식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인력양성사업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</si>
  <si>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참여기관</t>
    </r>
    <r>
      <rPr>
        <sz val="12"/>
        <rFont val="Arial"/>
        <family val="2"/>
      </rPr>
      <t>-</t>
    </r>
    <r>
      <rPr>
        <sz val="12"/>
        <rFont val="돋움"/>
        <family val="3"/>
        <charset val="129"/>
      </rPr>
      <t>경북대학교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병원</t>
    </r>
    <r>
      <rPr>
        <sz val="12"/>
        <rFont val="Arial"/>
        <family val="2"/>
      </rPr>
      <t xml:space="preserve"> &amp; </t>
    </r>
    <r>
      <rPr>
        <sz val="12"/>
        <rFont val="돋움"/>
        <family val="3"/>
        <charset val="129"/>
      </rPr>
      <t>㈜디케이씨코포레이션</t>
    </r>
    <r>
      <rPr>
        <sz val="12"/>
        <rFont val="Arial"/>
        <family val="2"/>
      </rPr>
      <t xml:space="preserve"> &amp; </t>
    </r>
    <r>
      <rPr>
        <sz val="12"/>
        <rFont val="돋움"/>
        <family val="3"/>
        <charset val="129"/>
      </rPr>
      <t>㈜하나제약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</si>
  <si>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15,866,667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 xml:space="preserve"> * </t>
    </r>
    <r>
      <rPr>
        <sz val="12"/>
        <rFont val="Arial"/>
        <family val="2"/>
      </rPr>
      <t xml:space="preserve"> 12</t>
    </r>
    <r>
      <rPr>
        <sz val="12"/>
        <rFont val="돋움"/>
        <family val="3"/>
        <charset val="129"/>
      </rPr>
      <t>개월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</si>
  <si>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1</t>
    </r>
    <r>
      <rPr>
        <sz val="12"/>
        <rFont val="돋움"/>
        <family val="3"/>
        <charset val="129"/>
      </rPr>
      <t>세부</t>
    </r>
    <r>
      <rPr>
        <sz val="12"/>
        <rFont val="Arial"/>
        <family val="2"/>
      </rPr>
      <t xml:space="preserve">- </t>
    </r>
    <r>
      <rPr>
        <sz val="12"/>
        <rFont val="돋움"/>
        <family val="3"/>
        <charset val="129"/>
      </rPr>
      <t>분자신호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적중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펩타이드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분자영상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프로브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11,690,000 * 12</t>
    </r>
    <r>
      <rPr>
        <sz val="12"/>
        <rFont val="돋움"/>
        <family val="3"/>
        <charset val="129"/>
      </rPr>
      <t>개월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</si>
  <si>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3</t>
    </r>
    <r>
      <rPr>
        <sz val="12"/>
        <rFont val="돋움"/>
        <family val="3"/>
        <charset val="129"/>
      </rPr>
      <t>세부</t>
    </r>
    <r>
      <rPr>
        <sz val="12"/>
        <rFont val="Arial"/>
        <family val="2"/>
      </rPr>
      <t xml:space="preserve">- </t>
    </r>
    <r>
      <rPr>
        <sz val="12"/>
        <rFont val="돋움"/>
        <family val="3"/>
        <charset val="129"/>
      </rPr>
      <t>의료영상용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고기능성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복합조영제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16,456,334 * 12</t>
    </r>
    <r>
      <rPr>
        <sz val="12"/>
        <rFont val="돋움"/>
        <family val="3"/>
        <charset val="129"/>
      </rPr>
      <t>개월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</si>
  <si>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기술정보활동비</t>
    </r>
    <r>
      <rPr>
        <sz val="12"/>
        <rFont val="Arial"/>
        <family val="2"/>
      </rPr>
      <t xml:space="preserve"> : 22,000,000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</si>
  <si>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행사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홍보비</t>
    </r>
    <r>
      <rPr>
        <sz val="12"/>
        <rFont val="Arial"/>
        <family val="2"/>
      </rPr>
      <t xml:space="preserve"> : 22,000,000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</si>
  <si>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:60,600,000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</si>
  <si>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1</t>
    </r>
    <r>
      <rPr>
        <sz val="12"/>
        <rFont val="돋움"/>
        <family val="3"/>
        <charset val="129"/>
      </rPr>
      <t>세부</t>
    </r>
    <r>
      <rPr>
        <sz val="12"/>
        <rFont val="Arial"/>
        <family val="2"/>
      </rPr>
      <t xml:space="preserve">- </t>
    </r>
    <r>
      <rPr>
        <sz val="12"/>
        <rFont val="돋움"/>
        <family val="3"/>
        <charset val="129"/>
      </rPr>
      <t>분자신호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적중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펩타이드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분자영상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프로브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과제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</si>
  <si>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재료구입</t>
    </r>
    <r>
      <rPr>
        <sz val="12"/>
        <rFont val="Arial"/>
        <family val="2"/>
      </rPr>
      <t xml:space="preserve"> : 217,318,000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</si>
  <si>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55,572,000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</si>
  <si>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 3</t>
    </r>
    <r>
      <rPr>
        <sz val="12"/>
        <rFont val="돋움"/>
        <family val="3"/>
        <charset val="129"/>
      </rPr>
      <t>세부</t>
    </r>
    <r>
      <rPr>
        <sz val="12"/>
        <rFont val="Arial"/>
        <family val="2"/>
      </rPr>
      <t xml:space="preserve">- </t>
    </r>
    <r>
      <rPr>
        <sz val="12"/>
        <rFont val="돋움"/>
        <family val="3"/>
        <charset val="129"/>
      </rPr>
      <t>의료영상용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고기능성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복합조영제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개발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</si>
  <si>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재료구입</t>
    </r>
    <r>
      <rPr>
        <sz val="12"/>
        <rFont val="Arial"/>
        <family val="2"/>
      </rPr>
      <t xml:space="preserve"> : 79,524,000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</si>
  <si>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79,857,000</t>
    </r>
    <r>
      <rPr>
        <sz val="12"/>
        <rFont val="돋움"/>
        <family val="3"/>
        <charset val="129"/>
      </rPr>
      <t>원</t>
    </r>
  </si>
  <si>
    <r>
      <t xml:space="preserve">    1)  PCR machine  x 1</t>
    </r>
    <r>
      <rPr>
        <sz val="12"/>
        <rFont val="돋움"/>
        <family val="3"/>
        <charset val="129"/>
      </rPr>
      <t>대</t>
    </r>
    <r>
      <rPr>
        <sz val="12"/>
        <rFont val="Arial"/>
        <family val="2"/>
      </rPr>
      <t xml:space="preserve"> = 16,500,000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</si>
  <si>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표면플라즈몬공명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시스템을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자동화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시스템</t>
    </r>
    <r>
      <rPr>
        <sz val="12"/>
        <rFont val="Arial"/>
        <family val="2"/>
      </rPr>
      <t xml:space="preserve"> x 1</t>
    </r>
    <r>
      <rPr>
        <sz val="12"/>
        <rFont val="돋움"/>
        <family val="3"/>
        <charset val="129"/>
      </rPr>
      <t>대</t>
    </r>
    <r>
      <rPr>
        <sz val="12"/>
        <rFont val="Arial"/>
        <family val="2"/>
      </rPr>
      <t xml:space="preserve"> = 90,000,000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</si>
  <si>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 3</t>
    </r>
    <r>
      <rPr>
        <sz val="12"/>
        <rFont val="돋움"/>
        <family val="3"/>
        <charset val="129"/>
      </rPr>
      <t>세부</t>
    </r>
    <r>
      <rPr>
        <sz val="12"/>
        <rFont val="Arial"/>
        <family val="2"/>
      </rPr>
      <t xml:space="preserve">- </t>
    </r>
    <r>
      <rPr>
        <sz val="12"/>
        <rFont val="돋움"/>
        <family val="3"/>
        <charset val="129"/>
      </rPr>
      <t>의료영상용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고기능성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복합조영제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개발</t>
    </r>
    <phoneticPr fontId="2" type="noConversion"/>
  </si>
  <si>
    <r>
      <t xml:space="preserve">     1) </t>
    </r>
    <r>
      <rPr>
        <sz val="12"/>
        <rFont val="돋움"/>
        <family val="3"/>
        <charset val="129"/>
      </rPr>
      <t>지적재산권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해외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출원</t>
    </r>
    <r>
      <rPr>
        <sz val="12"/>
        <rFont val="Arial"/>
        <family val="2"/>
      </rPr>
      <t xml:space="preserve"> * 2</t>
    </r>
    <r>
      <rPr>
        <sz val="12"/>
        <rFont val="돋움"/>
        <family val="3"/>
        <charset val="129"/>
      </rPr>
      <t>건</t>
    </r>
    <r>
      <rPr>
        <sz val="12"/>
        <rFont val="Arial"/>
        <family val="2"/>
      </rPr>
      <t xml:space="preserve"> = 22,000,000</t>
    </r>
    <phoneticPr fontId="2" type="noConversion"/>
  </si>
  <si>
    <r>
      <t xml:space="preserve">     1) </t>
    </r>
    <r>
      <rPr>
        <sz val="12"/>
        <rFont val="돋움"/>
        <family val="3"/>
        <charset val="129"/>
      </rPr>
      <t>국내출원</t>
    </r>
    <r>
      <rPr>
        <sz val="12"/>
        <rFont val="Arial"/>
        <family val="2"/>
      </rPr>
      <t xml:space="preserve"> * 1</t>
    </r>
    <r>
      <rPr>
        <sz val="12"/>
        <rFont val="돋움"/>
        <family val="3"/>
        <charset val="129"/>
      </rPr>
      <t>건</t>
    </r>
    <r>
      <rPr>
        <sz val="12"/>
        <rFont val="Arial"/>
        <family val="2"/>
      </rPr>
      <t xml:space="preserve"> = 1,000,000</t>
    </r>
    <phoneticPr fontId="2" type="noConversion"/>
  </si>
  <si>
    <r>
      <t xml:space="preserve">23. </t>
    </r>
    <r>
      <rPr>
        <b/>
        <sz val="12"/>
        <rFont val="돋움"/>
        <family val="3"/>
        <charset val="129"/>
      </rPr>
      <t>창업보육센터지원사업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</si>
  <si>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24. </t>
    </r>
    <r>
      <rPr>
        <b/>
        <sz val="12"/>
        <rFont val="돋움"/>
        <family val="3"/>
        <charset val="129"/>
      </rPr>
      <t>예비기술창업자육성사업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</si>
  <si>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>25. 2011</t>
    </r>
    <r>
      <rPr>
        <b/>
        <sz val="12"/>
        <rFont val="돋움"/>
        <family val="3"/>
        <charset val="129"/>
      </rPr>
      <t>년벤처창업보육센터지원사업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</si>
  <si>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10. </t>
    </r>
    <r>
      <rPr>
        <b/>
        <sz val="12"/>
        <rFont val="돋움"/>
        <family val="3"/>
        <charset val="129"/>
      </rPr>
      <t>창업보육센터지원사업</t>
    </r>
    <phoneticPr fontId="2" type="noConversion"/>
  </si>
  <si>
    <r>
      <t xml:space="preserve">11. </t>
    </r>
    <r>
      <rPr>
        <b/>
        <sz val="12"/>
        <rFont val="돋움"/>
        <family val="3"/>
        <charset val="129"/>
      </rPr>
      <t>창업보육센터건립지원사업</t>
    </r>
    <phoneticPr fontId="2" type="noConversion"/>
  </si>
  <si>
    <r>
      <t xml:space="preserve">12. </t>
    </r>
    <r>
      <rPr>
        <b/>
        <sz val="12"/>
        <rFont val="돋움"/>
        <family val="3"/>
        <charset val="129"/>
      </rPr>
      <t>기업기술경영지원센터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운영사업</t>
    </r>
    <phoneticPr fontId="2" type="noConversion"/>
  </si>
  <si>
    <r>
      <t>13. 2011</t>
    </r>
    <r>
      <rPr>
        <b/>
        <sz val="12"/>
        <rFont val="돋움"/>
        <family val="3"/>
        <charset val="129"/>
      </rPr>
      <t>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벤처창업보육센터지원사업</t>
    </r>
    <phoneticPr fontId="2" type="noConversion"/>
  </si>
  <si>
    <r>
      <t>14. 2012</t>
    </r>
    <r>
      <rPr>
        <b/>
        <sz val="12"/>
        <rFont val="돋움"/>
        <family val="3"/>
        <charset val="129"/>
      </rPr>
      <t>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벤처창업보육센터지원사업</t>
    </r>
    <phoneticPr fontId="2" type="noConversion"/>
  </si>
  <si>
    <r>
      <t xml:space="preserve">15. </t>
    </r>
    <r>
      <rPr>
        <b/>
        <sz val="12"/>
        <rFont val="돋움"/>
        <family val="3"/>
        <charset val="129"/>
      </rPr>
      <t>예비기술창업자육성사업</t>
    </r>
    <phoneticPr fontId="2" type="noConversion"/>
  </si>
  <si>
    <r>
      <t xml:space="preserve">16. </t>
    </r>
    <r>
      <rPr>
        <b/>
        <sz val="12"/>
        <rFont val="돋움"/>
        <family val="3"/>
        <charset val="129"/>
      </rPr>
      <t>교육과학기술부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연구과제</t>
    </r>
    <phoneticPr fontId="2" type="noConversion"/>
  </si>
  <si>
    <r>
      <t xml:space="preserve">17. </t>
    </r>
    <r>
      <rPr>
        <b/>
        <sz val="12"/>
        <rFont val="돋움"/>
        <family val="3"/>
        <charset val="129"/>
      </rPr>
      <t>기타정부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연구과제</t>
    </r>
    <phoneticPr fontId="2" type="noConversion"/>
  </si>
  <si>
    <r>
      <t xml:space="preserve">18. </t>
    </r>
    <r>
      <rPr>
        <b/>
        <sz val="12"/>
        <rFont val="돋움"/>
        <family val="3"/>
        <charset val="129"/>
      </rPr>
      <t>지방자치단체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연구과제</t>
    </r>
    <r>
      <rPr>
        <b/>
        <sz val="12"/>
        <rFont val="Arial"/>
        <family val="2"/>
      </rPr>
      <t xml:space="preserve"> </t>
    </r>
    <phoneticPr fontId="2" type="noConversion"/>
  </si>
  <si>
    <r>
      <t xml:space="preserve">19.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</si>
  <si>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입주기업지원비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</si>
  <si>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보육시설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유지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관리비</t>
    </r>
  </si>
  <si>
    <r>
      <t xml:space="preserve">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기타경상경비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</si>
  <si>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기타경상경비</t>
    </r>
  </si>
  <si>
    <r>
      <t xml:space="preserve">   1)</t>
    </r>
    <r>
      <rPr>
        <sz val="12"/>
        <rFont val="돋움"/>
        <family val="3"/>
        <charset val="129"/>
      </rPr>
      <t>여비</t>
    </r>
  </si>
  <si>
    <r>
      <t xml:space="preserve">   2)</t>
    </r>
    <r>
      <rPr>
        <sz val="12"/>
        <rFont val="돋움"/>
        <family val="3"/>
        <charset val="129"/>
      </rPr>
      <t>업무추진비</t>
    </r>
  </si>
  <si>
    <r>
      <t xml:space="preserve">   3)</t>
    </r>
    <r>
      <rPr>
        <sz val="12"/>
        <rFont val="돋움"/>
        <family val="3"/>
        <charset val="129"/>
      </rPr>
      <t>기타사무용품비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</si>
  <si>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기업지원비</t>
    </r>
    <phoneticPr fontId="2" type="noConversion"/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</si>
  <si>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.BI</t>
    </r>
    <r>
      <rPr>
        <sz val="12"/>
        <rFont val="돋움"/>
        <family val="3"/>
        <charset val="129"/>
      </rPr>
      <t>전문인력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역량강화비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</si>
  <si>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경영기술컨설팅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입주기업사업화지원비</t>
    </r>
  </si>
  <si>
    <r>
      <t xml:space="preserve">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통신기자재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설비사용지원비</t>
    </r>
  </si>
  <si>
    <r>
      <t xml:space="preserve">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세미나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간담회등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업무추진비등</t>
    </r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</si>
  <si>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보증금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</si>
  <si>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입주기업지원비</t>
    </r>
  </si>
  <si>
    <r>
      <t xml:space="preserve">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시설관리비</t>
    </r>
  </si>
  <si>
    <r>
      <t xml:space="preserve">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>.</t>
    </r>
    <r>
      <rPr>
        <sz val="12"/>
        <rFont val="돋움"/>
        <family val="3"/>
        <charset val="129"/>
      </rPr>
      <t>기타경상경비</t>
    </r>
  </si>
  <si>
    <r>
      <t xml:space="preserve">   1)</t>
    </r>
    <r>
      <rPr>
        <sz val="12"/>
        <rFont val="돋움"/>
        <family val="3"/>
        <charset val="129"/>
      </rPr>
      <t>공공요금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</si>
  <si>
    <r>
      <t xml:space="preserve">   2)</t>
    </r>
    <r>
      <rPr>
        <sz val="12"/>
        <rFont val="돋움"/>
        <family val="3"/>
        <charset val="129"/>
      </rPr>
      <t>홈페이지유지관리비</t>
    </r>
  </si>
  <si>
    <r>
      <t xml:space="preserve">   3)</t>
    </r>
    <r>
      <rPr>
        <sz val="12"/>
        <rFont val="돋움"/>
        <family val="3"/>
        <charset val="129"/>
      </rPr>
      <t>사무용품구입비</t>
    </r>
  </si>
  <si>
    <r>
      <t xml:space="preserve">   4)</t>
    </r>
    <r>
      <rPr>
        <sz val="12"/>
        <rFont val="돋움"/>
        <family val="3"/>
        <charset val="129"/>
      </rPr>
      <t>홍보비</t>
    </r>
  </si>
  <si>
    <r>
      <t xml:space="preserve">   5)</t>
    </r>
    <r>
      <rPr>
        <sz val="12"/>
        <rFont val="돋움"/>
        <family val="3"/>
        <charset val="129"/>
      </rPr>
      <t>정보활동비</t>
    </r>
  </si>
  <si>
    <r>
      <t xml:space="preserve">   6)</t>
    </r>
    <r>
      <rPr>
        <sz val="12"/>
        <rFont val="돋움"/>
        <family val="3"/>
        <charset val="129"/>
      </rPr>
      <t>여비</t>
    </r>
  </si>
  <si>
    <r>
      <t xml:space="preserve">   7)</t>
    </r>
    <r>
      <rPr>
        <sz val="12"/>
        <rFont val="돋움"/>
        <family val="3"/>
        <charset val="129"/>
      </rPr>
      <t>회의비</t>
    </r>
  </si>
  <si>
    <r>
      <t xml:space="preserve">   8)</t>
    </r>
    <r>
      <rPr>
        <sz val="12"/>
        <rFont val="돋움"/>
        <family val="3"/>
        <charset val="129"/>
      </rPr>
      <t>대외협의회비</t>
    </r>
  </si>
  <si>
    <r>
      <t xml:space="preserve">   9)</t>
    </r>
    <r>
      <rPr>
        <sz val="12"/>
        <rFont val="돋움"/>
        <family val="3"/>
        <charset val="129"/>
      </rPr>
      <t>기타제잡비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</si>
  <si>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내부인건비</t>
    </r>
    <r>
      <rPr>
        <sz val="12"/>
        <rFont val="Arial"/>
        <family val="2"/>
      </rPr>
      <t xml:space="preserve"> : 4,500,000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=57,600,000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</si>
  <si>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외부인건비</t>
    </r>
    <r>
      <rPr>
        <sz val="12"/>
        <rFont val="Arial"/>
        <family val="2"/>
      </rPr>
      <t xml:space="preserve"> : 2,520,000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=30,240,000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</si>
  <si>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재료비</t>
    </r>
    <r>
      <rPr>
        <sz val="12"/>
        <rFont val="Arial"/>
        <family val="2"/>
      </rPr>
      <t xml:space="preserve"> : 2,000,000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*10</t>
    </r>
    <r>
      <rPr>
        <sz val="12"/>
        <rFont val="돋움"/>
        <family val="3"/>
        <charset val="129"/>
      </rPr>
      <t>건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</si>
  <si>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기기수리비및유지비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</si>
  <si>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연구제경비</t>
    </r>
  </si>
  <si>
    <r>
      <t xml:space="preserve"> 6. </t>
    </r>
    <r>
      <rPr>
        <b/>
        <sz val="12"/>
        <rFont val="돋움"/>
        <family val="3"/>
        <charset val="129"/>
      </rPr>
      <t>지역혁신센터</t>
    </r>
    <r>
      <rPr>
        <b/>
        <sz val="12"/>
        <rFont val="Arial"/>
        <family val="2"/>
      </rPr>
      <t>(RIC)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</si>
  <si>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내부인건비</t>
    </r>
    <r>
      <rPr>
        <sz val="12"/>
        <rFont val="Arial"/>
        <family val="2"/>
      </rPr>
      <t xml:space="preserve"> : 12,100,000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*8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=96,800,000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</si>
  <si>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산업체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연구과제</t>
    </r>
    <phoneticPr fontId="2" type="noConversion"/>
  </si>
  <si>
    <r>
      <t xml:space="preserve"> 8.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</si>
  <si>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8. </t>
    </r>
    <r>
      <rPr>
        <b/>
        <sz val="12"/>
        <rFont val="돋움"/>
        <family val="3"/>
        <charset val="129"/>
      </rPr>
      <t>지역혁신센터</t>
    </r>
    <r>
      <rPr>
        <b/>
        <sz val="12"/>
        <rFont val="Arial"/>
        <family val="2"/>
      </rPr>
      <t>(RIC)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성과활용</t>
    </r>
    <phoneticPr fontId="2" type="noConversion"/>
  </si>
  <si>
    <r>
      <t xml:space="preserve"> 9. </t>
    </r>
    <r>
      <rPr>
        <b/>
        <sz val="12"/>
        <rFont val="돋움"/>
        <family val="3"/>
        <charset val="129"/>
      </rPr>
      <t>산업체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연구과제</t>
    </r>
    <phoneticPr fontId="2" type="noConversion"/>
  </si>
  <si>
    <r>
      <t xml:space="preserve"> 10.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</si>
  <si>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재료구입비</t>
    </r>
  </si>
  <si>
    <r>
      <t xml:space="preserve">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제잡비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기술정보비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여비</t>
    </r>
    <r>
      <rPr>
        <sz val="12"/>
        <rFont val="Arial"/>
        <family val="2"/>
      </rPr>
      <t>,</t>
    </r>
    <r>
      <rPr>
        <sz val="12"/>
        <rFont val="돋움"/>
        <family val="3"/>
        <charset val="129"/>
      </rPr>
      <t>제잡비</t>
    </r>
    <r>
      <rPr>
        <sz val="12"/>
        <rFont val="Arial"/>
        <family val="2"/>
      </rPr>
      <t>)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</si>
  <si>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유지보수비</t>
    </r>
    <r>
      <rPr>
        <sz val="12"/>
        <rFont val="Arial"/>
        <family val="2"/>
      </rPr>
      <t xml:space="preserve"> : 2,000,000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*8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=16,000,000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</si>
  <si>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내부인건비</t>
    </r>
    <r>
      <rPr>
        <sz val="12"/>
        <rFont val="Arial"/>
        <family val="2"/>
      </rPr>
      <t xml:space="preserve"> : 9,050,000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=18,100,000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</si>
  <si>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외부인건비</t>
    </r>
    <r>
      <rPr>
        <sz val="12"/>
        <rFont val="Arial"/>
        <family val="2"/>
      </rPr>
      <t xml:space="preserve"> : 6,776,500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=13,553,000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</si>
  <si>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기타연구제경비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</si>
  <si>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유지보수비</t>
    </r>
    <r>
      <rPr>
        <sz val="12"/>
        <rFont val="Arial"/>
        <family val="2"/>
      </rPr>
      <t xml:space="preserve"> : 1</t>
    </r>
    <r>
      <rPr>
        <sz val="12"/>
        <rFont val="돋움"/>
        <family val="3"/>
        <charset val="129"/>
      </rPr>
      <t>인</t>
    </r>
    <r>
      <rPr>
        <sz val="12"/>
        <rFont val="Arial"/>
        <family val="2"/>
      </rPr>
      <t>*2,000,000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=4,000,000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</si>
  <si>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출장여비</t>
    </r>
    <r>
      <rPr>
        <sz val="12"/>
        <rFont val="Arial"/>
        <family val="2"/>
      </rPr>
      <t xml:space="preserve"> : 100</t>
    </r>
    <r>
      <rPr>
        <sz val="12"/>
        <rFont val="돋움"/>
        <family val="3"/>
        <charset val="129"/>
      </rPr>
      <t>건</t>
    </r>
    <r>
      <rPr>
        <sz val="12"/>
        <rFont val="Arial"/>
        <family val="2"/>
      </rPr>
      <t>*200,000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</si>
  <si>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XRD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</si>
  <si>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지역</t>
    </r>
    <r>
      <rPr>
        <b/>
        <sz val="12"/>
        <rFont val="Arial"/>
        <family val="2"/>
      </rPr>
      <t>R&amp;D</t>
    </r>
    <r>
      <rPr>
        <b/>
        <sz val="12"/>
        <rFont val="돋움"/>
        <family val="3"/>
        <charset val="129"/>
      </rPr>
      <t>클러스터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구축사업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지식경제부</t>
    </r>
    <r>
      <rPr>
        <b/>
        <sz val="12"/>
        <rFont val="Arial"/>
        <family val="2"/>
      </rPr>
      <t>)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</si>
  <si>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국방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수중통신</t>
    </r>
    <r>
      <rPr>
        <b/>
        <sz val="12"/>
        <rFont val="Arial"/>
        <family val="2"/>
      </rPr>
      <t>/</t>
    </r>
    <r>
      <rPr>
        <b/>
        <sz val="12"/>
        <rFont val="돋움"/>
        <family val="3"/>
        <charset val="129"/>
      </rPr>
      <t>탐지특화연구센터사업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국방부</t>
    </r>
    <r>
      <rPr>
        <b/>
        <sz val="12"/>
        <rFont val="Arial"/>
        <family val="2"/>
      </rPr>
      <t>)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</si>
  <si>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농업인교육사업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농림수산식품부</t>
    </r>
    <r>
      <rPr>
        <b/>
        <sz val="12"/>
        <rFont val="Arial"/>
        <family val="2"/>
      </rPr>
      <t>)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</si>
  <si>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영농정착교육과정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농림수산식품부</t>
    </r>
    <r>
      <rPr>
        <b/>
        <sz val="12"/>
        <rFont val="Arial"/>
        <family val="2"/>
      </rPr>
      <t>)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</si>
  <si>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창업보육센터지원사업</t>
    </r>
    <phoneticPr fontId="2" type="noConversion"/>
  </si>
  <si>
    <r>
      <t xml:space="preserve"> 8. </t>
    </r>
    <r>
      <rPr>
        <b/>
        <sz val="12"/>
        <rFont val="돋움"/>
        <family val="3"/>
        <charset val="129"/>
      </rPr>
      <t>창업보육센터건립지원사업</t>
    </r>
    <phoneticPr fontId="2" type="noConversion"/>
  </si>
  <si>
    <r>
      <t xml:space="preserve"> 9. </t>
    </r>
    <r>
      <rPr>
        <b/>
        <sz val="12"/>
        <rFont val="돋움"/>
        <family val="3"/>
        <charset val="129"/>
      </rPr>
      <t>기업기술경영지원센터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운영사업</t>
    </r>
    <phoneticPr fontId="2" type="noConversion"/>
  </si>
  <si>
    <r>
      <t xml:space="preserve">10. </t>
    </r>
    <r>
      <rPr>
        <b/>
        <sz val="12"/>
        <rFont val="돋움"/>
        <family val="3"/>
        <charset val="129"/>
      </rPr>
      <t>연구과제수행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</si>
  <si>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11. </t>
    </r>
    <r>
      <rPr>
        <b/>
        <sz val="12"/>
        <rFont val="돋움"/>
        <family val="3"/>
        <charset val="129"/>
      </rPr>
      <t>상주분단</t>
    </r>
    <r>
      <rPr>
        <b/>
        <sz val="12"/>
        <rFont val="Arial"/>
        <family val="2"/>
      </rPr>
      <t xml:space="preserve"> 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</si>
  <si>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산학협력지원사업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보조금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지식경제부</t>
    </r>
    <r>
      <rPr>
        <sz val="12"/>
        <rFont val="Arial"/>
        <family val="2"/>
      </rPr>
      <t>)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</si>
  <si>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연구과제수행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보조금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</si>
  <si>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지역맞춤형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일자리창출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지원사업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고용노동부</t>
    </r>
    <r>
      <rPr>
        <sz val="12"/>
        <rFont val="Arial"/>
        <family val="2"/>
      </rPr>
      <t>)</t>
    </r>
  </si>
  <si>
    <r>
      <t xml:space="preserve">     1) </t>
    </r>
    <r>
      <rPr>
        <sz val="12"/>
        <rFont val="돋움"/>
        <family val="3"/>
        <charset val="129"/>
      </rPr>
      <t>산양삼산업화맞춤교육과정</t>
    </r>
    <r>
      <rPr>
        <sz val="12"/>
        <rFont val="Arial"/>
        <family val="2"/>
      </rPr>
      <t xml:space="preserve"> : 60,000,000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</si>
  <si>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2) </t>
    </r>
    <r>
      <rPr>
        <sz val="12"/>
        <rFont val="돋움"/>
        <family val="3"/>
        <charset val="129"/>
      </rPr>
      <t>유기농기능사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양성과정</t>
    </r>
    <r>
      <rPr>
        <sz val="12"/>
        <rFont val="Arial"/>
        <family val="2"/>
      </rPr>
      <t xml:space="preserve"> : 35,000,000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</si>
  <si>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3) </t>
    </r>
    <r>
      <rPr>
        <sz val="12"/>
        <rFont val="돋움"/>
        <family val="3"/>
        <charset val="129"/>
      </rPr>
      <t>유기농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기반형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과수생산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과정</t>
    </r>
    <r>
      <rPr>
        <sz val="12"/>
        <rFont val="Arial"/>
        <family val="2"/>
      </rPr>
      <t xml:space="preserve"> : 40,000,000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</si>
  <si>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4) </t>
    </r>
    <r>
      <rPr>
        <sz val="12"/>
        <rFont val="돋움"/>
        <family val="3"/>
        <charset val="129"/>
      </rPr>
      <t>농어촌관광지도자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양성과정</t>
    </r>
    <r>
      <rPr>
        <sz val="12"/>
        <rFont val="Arial"/>
        <family val="2"/>
      </rPr>
      <t xml:space="preserve"> : 30,000,000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</si>
  <si>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5) </t>
    </r>
    <r>
      <rPr>
        <sz val="12"/>
        <rFont val="돋움"/>
        <family val="3"/>
        <charset val="129"/>
      </rPr>
      <t>양잠곤충산업육성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교육과정</t>
    </r>
    <r>
      <rPr>
        <sz val="12"/>
        <rFont val="Arial"/>
        <family val="2"/>
      </rPr>
      <t xml:space="preserve"> : 40,000,000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</si>
  <si>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지역맞춤형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일자리창출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지원사업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상주시</t>
    </r>
    <r>
      <rPr>
        <sz val="12"/>
        <rFont val="Arial"/>
        <family val="2"/>
      </rPr>
      <t>)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</si>
  <si>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연구과제수행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보조금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</si>
  <si>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청년</t>
    </r>
    <r>
      <rPr>
        <sz val="12"/>
        <rFont val="Arial"/>
        <family val="2"/>
      </rPr>
      <t>CEO</t>
    </r>
    <r>
      <rPr>
        <sz val="12"/>
        <rFont val="돋움"/>
        <family val="3"/>
        <charset val="129"/>
      </rPr>
      <t>육성사업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보조금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상주시</t>
    </r>
    <r>
      <rPr>
        <sz val="12"/>
        <rFont val="Arial"/>
        <family val="2"/>
      </rPr>
      <t>)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</si>
  <si>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바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창업보육지원센터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보조금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상주시</t>
    </r>
    <r>
      <rPr>
        <sz val="12"/>
        <rFont val="Arial"/>
        <family val="2"/>
      </rPr>
      <t>)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</si>
  <si>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연구과제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</si>
  <si>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산학협력단분단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이자수익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</si>
  <si>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산학협력중심대학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성과활용사업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이월금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</si>
  <si>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산학협력지원사업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이월금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</si>
  <si>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지역혁신센터</t>
    </r>
    <r>
      <rPr>
        <sz val="12"/>
        <rFont val="Arial"/>
        <family val="2"/>
      </rPr>
      <t>(RIC)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이월금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</si>
  <si>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이월금</t>
    </r>
  </si>
  <si>
    <r>
      <t xml:space="preserve">    1) </t>
    </r>
    <r>
      <rPr>
        <sz val="12"/>
        <rFont val="돋움"/>
        <family val="3"/>
        <charset val="129"/>
      </rPr>
      <t>교육과학기술부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: 274,883,820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</si>
  <si>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기타정부부처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: 382,932,490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</si>
  <si>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지자체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: 73,402,000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</si>
  <si>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산업체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: 124,347,016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</si>
  <si>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청년</t>
    </r>
    <r>
      <rPr>
        <sz val="12"/>
        <rFont val="Arial"/>
        <family val="2"/>
      </rPr>
      <t>CEO</t>
    </r>
    <r>
      <rPr>
        <sz val="12"/>
        <rFont val="돋움"/>
        <family val="3"/>
        <charset val="129"/>
      </rPr>
      <t>육성사업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이월금</t>
    </r>
  </si>
  <si>
    <r>
      <t xml:space="preserve">  </t>
    </r>
    <r>
      <rPr>
        <sz val="12"/>
        <rFont val="돋움"/>
        <family val="3"/>
        <charset val="129"/>
      </rPr>
      <t>바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간접비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이월금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</si>
  <si>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산업체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연구과제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</si>
  <si>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산학공동기술개발지원사업</t>
    </r>
    <r>
      <rPr>
        <sz val="12"/>
        <rFont val="Arial"/>
        <family val="2"/>
      </rPr>
      <t xml:space="preserve"> : 57,600,000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</si>
  <si>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중소기업산학협력센터</t>
    </r>
    <r>
      <rPr>
        <sz val="12"/>
        <rFont val="Arial"/>
        <family val="2"/>
      </rPr>
      <t xml:space="preserve"> : 24,000,000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</si>
  <si>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1) </t>
    </r>
    <r>
      <rPr>
        <sz val="12"/>
        <rFont val="돋움"/>
        <family val="3"/>
        <charset val="129"/>
      </rPr>
      <t>교육과학기술부</t>
    </r>
    <r>
      <rPr>
        <sz val="12"/>
        <rFont val="Arial"/>
        <family val="2"/>
      </rPr>
      <t xml:space="preserve"> : 105,829,500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</si>
  <si>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2) </t>
    </r>
    <r>
      <rPr>
        <sz val="12"/>
        <rFont val="돋움"/>
        <family val="3"/>
        <charset val="129"/>
      </rPr>
      <t>기타정부부처</t>
    </r>
    <r>
      <rPr>
        <sz val="12"/>
        <rFont val="Arial"/>
        <family val="2"/>
      </rPr>
      <t xml:space="preserve"> : 562,391,550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</si>
  <si>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3) </t>
    </r>
    <r>
      <rPr>
        <sz val="12"/>
        <rFont val="돋움"/>
        <family val="3"/>
        <charset val="129"/>
      </rPr>
      <t>지방자치단체</t>
    </r>
    <r>
      <rPr>
        <sz val="12"/>
        <rFont val="Arial"/>
        <family val="2"/>
      </rPr>
      <t xml:space="preserve"> : 359,086,000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</si>
  <si>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재료구입</t>
    </r>
    <r>
      <rPr>
        <sz val="12"/>
        <rFont val="Arial"/>
        <family val="2"/>
      </rPr>
      <t xml:space="preserve"> : 8,000,000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</si>
  <si>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장비유지보수</t>
    </r>
    <r>
      <rPr>
        <sz val="12"/>
        <rFont val="Arial"/>
        <family val="2"/>
      </rPr>
      <t xml:space="preserve"> : 1,000,000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</si>
  <si>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공공요금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사무용품비</t>
    </r>
    <r>
      <rPr>
        <sz val="12"/>
        <rFont val="Arial"/>
        <family val="2"/>
      </rPr>
      <t xml:space="preserve"> : 1,000,000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</si>
  <si>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출장여비</t>
    </r>
    <r>
      <rPr>
        <sz val="12"/>
        <rFont val="Arial"/>
        <family val="2"/>
      </rPr>
      <t xml:space="preserve"> : 7,000,000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</si>
  <si>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5)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10,000,000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</si>
  <si>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재료구입</t>
    </r>
    <r>
      <rPr>
        <sz val="12"/>
        <rFont val="Arial"/>
        <family val="2"/>
      </rPr>
      <t xml:space="preserve"> : 40</t>
    </r>
    <r>
      <rPr>
        <sz val="12"/>
        <rFont val="돋움"/>
        <family val="3"/>
        <charset val="129"/>
      </rPr>
      <t>건</t>
    </r>
    <r>
      <rPr>
        <sz val="12"/>
        <rFont val="Arial"/>
        <family val="2"/>
      </rPr>
      <t>*2,000,000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=80,000,000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</si>
  <si>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출장여비</t>
    </r>
    <r>
      <rPr>
        <sz val="12"/>
        <rFont val="Arial"/>
        <family val="2"/>
      </rPr>
      <t xml:space="preserve"> : 80</t>
    </r>
    <r>
      <rPr>
        <sz val="12"/>
        <rFont val="돋움"/>
        <family val="3"/>
        <charset val="129"/>
      </rPr>
      <t>건</t>
    </r>
    <r>
      <rPr>
        <sz val="12"/>
        <rFont val="Arial"/>
        <family val="2"/>
      </rPr>
      <t>*100,000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=8,000,000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</si>
  <si>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120,000,000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</si>
  <si>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재료구입</t>
    </r>
    <r>
      <rPr>
        <sz val="12"/>
        <rFont val="Arial"/>
        <family val="2"/>
      </rPr>
      <t xml:space="preserve"> : 15</t>
    </r>
    <r>
      <rPr>
        <sz val="12"/>
        <rFont val="돋움"/>
        <family val="3"/>
        <charset val="129"/>
      </rPr>
      <t>건</t>
    </r>
    <r>
      <rPr>
        <sz val="12"/>
        <rFont val="Arial"/>
        <family val="2"/>
      </rPr>
      <t>*3,000,000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=45,000,000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</si>
  <si>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출장여비</t>
    </r>
    <r>
      <rPr>
        <sz val="12"/>
        <rFont val="Arial"/>
        <family val="2"/>
      </rPr>
      <t xml:space="preserve"> : 30</t>
    </r>
    <r>
      <rPr>
        <sz val="12"/>
        <rFont val="돋움"/>
        <family val="3"/>
        <charset val="129"/>
      </rPr>
      <t>건</t>
    </r>
    <r>
      <rPr>
        <sz val="12"/>
        <rFont val="Arial"/>
        <family val="2"/>
      </rPr>
      <t>*100,000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=3,000,000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</si>
  <si>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100,000,000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</si>
  <si>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1) </t>
    </r>
    <r>
      <rPr>
        <sz val="12"/>
        <rFont val="돋움"/>
        <family val="3"/>
        <charset val="129"/>
      </rPr>
      <t>교육과학기술부과제</t>
    </r>
    <r>
      <rPr>
        <sz val="12"/>
        <rFont val="Arial"/>
        <family val="2"/>
      </rPr>
      <t xml:space="preserve"> : 121,312,480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</si>
  <si>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2) </t>
    </r>
    <r>
      <rPr>
        <sz val="12"/>
        <rFont val="돋움"/>
        <family val="3"/>
        <charset val="129"/>
      </rPr>
      <t>기타정부부처과제</t>
    </r>
    <r>
      <rPr>
        <sz val="12"/>
        <rFont val="Arial"/>
        <family val="2"/>
      </rPr>
      <t xml:space="preserve"> : 549,450,360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</si>
  <si>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3) </t>
    </r>
    <r>
      <rPr>
        <sz val="12"/>
        <rFont val="돋움"/>
        <family val="3"/>
        <charset val="129"/>
      </rPr>
      <t>지방자치단체과제</t>
    </r>
    <r>
      <rPr>
        <sz val="12"/>
        <rFont val="Arial"/>
        <family val="2"/>
      </rPr>
      <t xml:space="preserve"> : 163,705,000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</si>
  <si>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기술지도비</t>
    </r>
    <r>
      <rPr>
        <sz val="12"/>
        <rFont val="Arial"/>
        <family val="2"/>
      </rPr>
      <t xml:space="preserve"> : 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</si>
  <si>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: 3,000,000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</si>
  <si>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3) </t>
    </r>
    <r>
      <rPr>
        <sz val="12"/>
        <rFont val="돋움"/>
        <family val="3"/>
        <charset val="129"/>
      </rPr>
      <t>교육훈련비</t>
    </r>
    <r>
      <rPr>
        <sz val="12"/>
        <rFont val="Arial"/>
        <family val="2"/>
      </rPr>
      <t xml:space="preserve"> : 2,000,000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</si>
  <si>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지도교수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교육보조원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18,000,000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</si>
  <si>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7,400,000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</si>
  <si>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지도교수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교육보조원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19,400,000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</si>
  <si>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7,690,000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</si>
  <si>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9,945,000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</si>
  <si>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4) </t>
    </r>
    <r>
      <rPr>
        <sz val="12"/>
        <rFont val="돋움"/>
        <family val="3"/>
        <charset val="129"/>
      </rPr>
      <t>농어촌관광지도자양성과정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</si>
  <si>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지도교수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교육보조원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11,000,000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</si>
  <si>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12,670,000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</si>
  <si>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지역맞춤형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일자리충출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지원사업</t>
    </r>
    <r>
      <rPr>
        <sz val="12"/>
        <rFont val="Arial"/>
        <family val="2"/>
      </rPr>
      <t xml:space="preserve"> </t>
    </r>
    <phoneticPr fontId="2" type="noConversion"/>
  </si>
  <si>
    <r>
      <t xml:space="preserve">    5) </t>
    </r>
    <r>
      <rPr>
        <sz val="12"/>
        <rFont val="돋움"/>
        <family val="3"/>
        <charset val="129"/>
      </rPr>
      <t>양잠곤충산업육성교육과정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</si>
  <si>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지도교수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교육보조원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15,300,000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</si>
  <si>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9,080,000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</si>
  <si>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1)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40,000,000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</si>
  <si>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   2)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: 44,000,000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</si>
  <si>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</si>
  <si>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지역맞춤형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일자리창출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지원사업</t>
    </r>
    <phoneticPr fontId="2" type="noConversion"/>
  </si>
  <si>
    <r>
      <t xml:space="preserve">    1) </t>
    </r>
    <r>
      <rPr>
        <sz val="12"/>
        <rFont val="돋움"/>
        <family val="3"/>
        <charset val="129"/>
      </rPr>
      <t>산양삼산업화맞춤교육과정</t>
    </r>
    <r>
      <rPr>
        <sz val="12"/>
        <rFont val="Arial"/>
        <family val="2"/>
      </rPr>
      <t xml:space="preserve"> : 27,200,000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</si>
  <si>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유기농기능사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양성과정</t>
    </r>
    <r>
      <rPr>
        <sz val="12"/>
        <rFont val="Arial"/>
        <family val="2"/>
      </rPr>
      <t xml:space="preserve"> : 5,810,000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</si>
  <si>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유기농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기반형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과수생산과정</t>
    </r>
    <r>
      <rPr>
        <sz val="12"/>
        <rFont val="Arial"/>
        <family val="2"/>
      </rPr>
      <t xml:space="preserve"> : 8,255,000</t>
    </r>
    <r>
      <rPr>
        <sz val="12"/>
        <rFont val="돋움"/>
        <family val="3"/>
        <charset val="129"/>
      </rPr>
      <t>원</t>
    </r>
  </si>
  <si>
    <r>
      <t xml:space="preserve">    4) </t>
    </r>
    <r>
      <rPr>
        <sz val="12"/>
        <rFont val="돋움"/>
        <family val="3"/>
        <charset val="129"/>
      </rPr>
      <t>농어촌관광지도자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양성과정</t>
    </r>
    <r>
      <rPr>
        <sz val="12"/>
        <rFont val="Arial"/>
        <family val="2"/>
      </rPr>
      <t xml:space="preserve"> : 4,530,000</t>
    </r>
    <r>
      <rPr>
        <sz val="12"/>
        <rFont val="돋움"/>
        <family val="3"/>
        <charset val="129"/>
      </rPr>
      <t>원</t>
    </r>
  </si>
  <si>
    <r>
      <t xml:space="preserve">    5) </t>
    </r>
    <r>
      <rPr>
        <sz val="12"/>
        <rFont val="돋움"/>
        <family val="3"/>
        <charset val="129"/>
      </rPr>
      <t>양잠곤충산업육성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교육과정</t>
    </r>
    <r>
      <rPr>
        <sz val="12"/>
        <rFont val="Arial"/>
        <family val="2"/>
      </rPr>
      <t xml:space="preserve"> : 13,220,000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</si>
  <si>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청년</t>
    </r>
    <r>
      <rPr>
        <sz val="12"/>
        <rFont val="Arial"/>
        <family val="2"/>
      </rPr>
      <t>CEO</t>
    </r>
    <r>
      <rPr>
        <sz val="12"/>
        <rFont val="돋움"/>
        <family val="3"/>
        <charset val="129"/>
      </rPr>
      <t>육성사업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</si>
  <si>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창업보육지원센터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</si>
  <si>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중소기업산학협력센터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운영경비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</si>
  <si>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연구행정원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보수</t>
    </r>
    <r>
      <rPr>
        <sz val="12"/>
        <rFont val="Arial"/>
        <family val="2"/>
      </rPr>
      <t xml:space="preserve"> : 1,500,000*12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*4</t>
    </r>
    <r>
      <rPr>
        <sz val="12"/>
        <rFont val="돋움"/>
        <family val="3"/>
        <charset val="129"/>
      </rPr>
      <t>명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</si>
  <si>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연구행정원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시간외근무수당</t>
    </r>
    <r>
      <rPr>
        <sz val="12"/>
        <rFont val="Arial"/>
        <family val="2"/>
      </rPr>
      <t xml:space="preserve"> : 9,000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*35</t>
    </r>
    <r>
      <rPr>
        <sz val="12"/>
        <rFont val="돋움"/>
        <family val="3"/>
        <charset val="129"/>
      </rPr>
      <t>시간</t>
    </r>
    <r>
      <rPr>
        <sz val="12"/>
        <rFont val="Arial"/>
        <family val="2"/>
      </rPr>
      <t>*4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월</t>
    </r>
  </si>
  <si>
    <r>
      <t xml:space="preserve">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업무보조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연구행정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일용인부</t>
    </r>
    <r>
      <rPr>
        <sz val="12"/>
        <rFont val="Arial"/>
        <family val="2"/>
      </rPr>
      <t xml:space="preserve"> : 45,000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*35</t>
    </r>
    <r>
      <rPr>
        <sz val="12"/>
        <rFont val="돋움"/>
        <family val="3"/>
        <charset val="129"/>
      </rPr>
      <t>일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</si>
  <si>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건강보험료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기관부담금</t>
    </r>
    <r>
      <rPr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</si>
  <si>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연구행정원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성과금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</si>
  <si>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퇴직충당금</t>
    </r>
    <r>
      <rPr>
        <sz val="12"/>
        <rFont val="Arial"/>
        <family val="2"/>
      </rPr>
      <t xml:space="preserve"> : 1,750,000 * 4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 xml:space="preserve"> *2</t>
    </r>
    <r>
      <rPr>
        <sz val="12"/>
        <rFont val="돋움"/>
        <family val="3"/>
        <charset val="129"/>
      </rPr>
      <t>회</t>
    </r>
    <phoneticPr fontId="2" type="noConversion"/>
  </si>
  <si>
    <r>
      <t xml:space="preserve">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업무협의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</si>
  <si>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직원해외연수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경비</t>
    </r>
    <r>
      <rPr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</si>
  <si>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설명회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 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</si>
  <si>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교육훈련지원</t>
    </r>
    <r>
      <rPr>
        <sz val="12"/>
        <rFont val="Arial"/>
        <family val="2"/>
      </rPr>
      <t xml:space="preserve"> : 400,000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*4</t>
    </r>
    <r>
      <rPr>
        <sz val="12"/>
        <rFont val="돋움"/>
        <family val="3"/>
        <charset val="129"/>
      </rPr>
      <t>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</si>
  <si>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직무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</t>
    </r>
    <r>
      <rPr>
        <sz val="12"/>
        <rFont val="Arial"/>
        <family val="2"/>
      </rPr>
      <t xml:space="preserve"> : 400,000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*5</t>
    </r>
    <r>
      <rPr>
        <sz val="12"/>
        <rFont val="돋움"/>
        <family val="3"/>
        <charset val="129"/>
      </rPr>
      <t>회</t>
    </r>
    <phoneticPr fontId="2" type="noConversion"/>
  </si>
  <si>
    <r>
      <t xml:space="preserve">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사무용품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: 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 xml:space="preserve"> = </t>
    </r>
  </si>
  <si>
    <r>
      <t xml:space="preserve">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전산소모품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:500,000*10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 xml:space="preserve"> = </t>
    </r>
  </si>
  <si>
    <r>
      <t xml:space="preserve">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행정장비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비품수리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</si>
  <si>
    <r>
      <t xml:space="preserve">   </t>
    </r>
    <r>
      <rPr>
        <b/>
        <sz val="12"/>
        <rFont val="돋움"/>
        <family val="3"/>
        <charset val="129"/>
      </rPr>
      <t>가</t>
    </r>
    <r>
      <rPr>
        <b/>
        <sz val="12"/>
        <rFont val="Arial"/>
        <family val="2"/>
      </rPr>
      <t xml:space="preserve">. </t>
    </r>
    <r>
      <rPr>
        <b/>
        <sz val="12"/>
        <rFont val="돋움"/>
        <family val="3"/>
        <charset val="129"/>
      </rPr>
      <t>기타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각종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수수료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납부</t>
    </r>
    <r>
      <rPr>
        <b/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</si>
  <si>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자체교육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강사수당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</si>
  <si>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회계관계직원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재정보험료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</si>
  <si>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우편요금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</si>
  <si>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홍보용품</t>
    </r>
    <r>
      <rPr>
        <sz val="12"/>
        <rFont val="Arial"/>
        <family val="2"/>
      </rPr>
      <t xml:space="preserve"> : 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 xml:space="preserve"> * 400</t>
    </r>
    <r>
      <rPr>
        <sz val="12"/>
        <rFont val="돋움"/>
        <family val="3"/>
        <charset val="129"/>
      </rPr>
      <t>개</t>
    </r>
    <phoneticPr fontId="2" type="noConversion"/>
  </si>
  <si>
    <r>
      <t xml:space="preserve">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연구개발능률성과급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지급</t>
    </r>
    <r>
      <rPr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</si>
  <si>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보조관리기관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</t>
    </r>
    <r>
      <rPr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</si>
  <si>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기타경비</t>
    </r>
    <r>
      <rPr>
        <sz val="12"/>
        <rFont val="Arial"/>
        <family val="2"/>
      </rPr>
      <t xml:space="preserve"> </t>
    </r>
  </si>
  <si>
    <r>
      <t xml:space="preserve"> 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예비비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</si>
  <si>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개인용</t>
    </r>
    <r>
      <rPr>
        <sz val="12"/>
        <rFont val="Arial"/>
        <family val="2"/>
      </rPr>
      <t>PC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비품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: 30,000,000 * 1</t>
    </r>
    <r>
      <rPr>
        <sz val="12"/>
        <rFont val="돋움"/>
        <family val="3"/>
        <charset val="129"/>
      </rPr>
      <t>식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</si>
  <si>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산학협력중심대학사업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이월예정액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</si>
  <si>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산학협력지원사업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이월예정액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</si>
  <si>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연구과제수행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이월예정액</t>
    </r>
  </si>
  <si>
    <r>
      <t xml:space="preserve">    1) </t>
    </r>
    <r>
      <rPr>
        <sz val="12"/>
        <rFont val="돋움"/>
        <family val="3"/>
        <charset val="129"/>
      </rPr>
      <t>교육과학기술부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: 493,149,740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</si>
  <si>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기타정부부처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: 637,587,880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</si>
  <si>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지자체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: 40,300,000</t>
    </r>
    <r>
      <rPr>
        <sz val="12"/>
        <rFont val="돋움"/>
        <family val="3"/>
        <charset val="129"/>
      </rPr>
      <t>원</t>
    </r>
  </si>
  <si>
    <r>
      <t xml:space="preserve">    4) </t>
    </r>
    <r>
      <rPr>
        <sz val="12"/>
        <rFont val="돋움"/>
        <family val="3"/>
        <charset val="129"/>
      </rPr>
      <t>산업체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연구과제</t>
    </r>
    <r>
      <rPr>
        <sz val="12"/>
        <rFont val="Arial"/>
        <family val="2"/>
      </rPr>
      <t xml:space="preserve"> : 20,080,975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</si>
  <si>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청년</t>
    </r>
    <r>
      <rPr>
        <sz val="12"/>
        <rFont val="Arial"/>
        <family val="2"/>
      </rPr>
      <t>CEO</t>
    </r>
    <r>
      <rPr>
        <sz val="12"/>
        <rFont val="돋움"/>
        <family val="3"/>
        <charset val="129"/>
      </rPr>
      <t>육성사업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이월예정액</t>
    </r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</si>
  <si>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간접비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이월예정액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</si>
  <si>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제어시스템전공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계약학과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운영비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</si>
  <si>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모바일공학전공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계약학과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운영비</t>
    </r>
  </si>
  <si>
    <r>
      <t xml:space="preserve"> 2. Track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</si>
  <si>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삼성전자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주</t>
    </r>
    <r>
      <rPr>
        <sz val="12"/>
        <rFont val="Arial"/>
        <family val="2"/>
      </rPr>
      <t xml:space="preserve">) STP </t>
    </r>
    <r>
      <rPr>
        <sz val="12"/>
        <rFont val="돋움"/>
        <family val="3"/>
        <charset val="129"/>
      </rPr>
      <t>운영비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</si>
  <si>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고려아연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주</t>
    </r>
    <r>
      <rPr>
        <sz val="12"/>
        <rFont val="Arial"/>
        <family val="2"/>
      </rPr>
      <t xml:space="preserve">) Track </t>
    </r>
    <r>
      <rPr>
        <sz val="12"/>
        <rFont val="돋움"/>
        <family val="3"/>
        <charset val="129"/>
      </rPr>
      <t>산학협력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장학금</t>
    </r>
  </si>
  <si>
    <r>
      <t xml:space="preserve">    1) </t>
    </r>
    <r>
      <rPr>
        <sz val="12"/>
        <rFont val="돋움"/>
        <family val="3"/>
        <charset val="129"/>
      </rPr>
      <t>일반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기업체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자문료</t>
    </r>
    <r>
      <rPr>
        <sz val="12"/>
        <rFont val="Arial"/>
        <family val="2"/>
      </rPr>
      <t xml:space="preserve"> : 330,000,000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</si>
  <si>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삼성전자㈜</t>
    </r>
    <r>
      <rPr>
        <sz val="12"/>
        <rFont val="Arial"/>
        <family val="2"/>
      </rPr>
      <t xml:space="preserve">  </t>
    </r>
    <r>
      <rPr>
        <sz val="12"/>
        <rFont val="돋움"/>
        <family val="3"/>
        <charset val="129"/>
      </rPr>
      <t>경영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자문료</t>
    </r>
    <r>
      <rPr>
        <sz val="12"/>
        <rFont val="Arial"/>
        <family val="2"/>
      </rPr>
      <t xml:space="preserve"> : 39,000,000*2=78,000,000</t>
    </r>
    <phoneticPr fontId="2" type="noConversion"/>
  </si>
  <si>
    <r>
      <t xml:space="preserve">    3) SL</t>
    </r>
    <r>
      <rPr>
        <sz val="12"/>
        <rFont val="돋움"/>
        <family val="3"/>
        <charset val="129"/>
      </rPr>
      <t>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자문료</t>
    </r>
    <r>
      <rPr>
        <sz val="12"/>
        <rFont val="Arial"/>
        <family val="2"/>
      </rPr>
      <t xml:space="preserve"> : 15,000,000</t>
    </r>
    <phoneticPr fontId="2" type="noConversion"/>
  </si>
  <si>
    <r>
      <t xml:space="preserve"> 9. </t>
    </r>
    <r>
      <rPr>
        <b/>
        <sz val="12"/>
        <rFont val="돋움"/>
        <family val="3"/>
        <charset val="129"/>
      </rPr>
      <t>정보통신연구전담교수채용기금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조성사업</t>
    </r>
    <phoneticPr fontId="2" type="noConversion"/>
  </si>
  <si>
    <r>
      <t xml:space="preserve"> 1. </t>
    </r>
    <r>
      <rPr>
        <b/>
        <sz val="12"/>
        <rFont val="돋움"/>
        <family val="3"/>
        <charset val="129"/>
      </rPr>
      <t>대학선도</t>
    </r>
    <r>
      <rPr>
        <b/>
        <sz val="12"/>
        <rFont val="Arial"/>
        <family val="2"/>
      </rPr>
      <t xml:space="preserve"> TLO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</si>
  <si>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수리계산사업단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</si>
  <si>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에너지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나노물리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특성화사업단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</si>
  <si>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차세대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화학소재사업단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</si>
  <si>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정보기술연구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인력양성사업단</t>
    </r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</si>
  <si>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미래지향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글로벌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방재전문인력양성사업단</t>
    </r>
  </si>
  <si>
    <r>
      <t xml:space="preserve">  </t>
    </r>
    <r>
      <rPr>
        <sz val="12"/>
        <rFont val="돋움"/>
        <family val="3"/>
        <charset val="129"/>
      </rPr>
      <t>바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지역혁신을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창의형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디지털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경영인재양성사업단</t>
    </r>
  </si>
  <si>
    <r>
      <t xml:space="preserve">  </t>
    </r>
    <r>
      <rPr>
        <sz val="12"/>
        <rFont val="돋움"/>
        <family val="3"/>
        <charset val="129"/>
      </rPr>
      <t>사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의료전문서비스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인력양성사업단</t>
    </r>
  </si>
  <si>
    <r>
      <t xml:space="preserve">  </t>
    </r>
    <r>
      <rPr>
        <sz val="12"/>
        <rFont val="돋움"/>
        <family val="3"/>
        <charset val="129"/>
      </rPr>
      <t>아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치의학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전문대학원</t>
    </r>
    <r>
      <rPr>
        <sz val="12"/>
        <rFont val="Arial"/>
        <family val="2"/>
      </rPr>
      <t xml:space="preserve"> BK21</t>
    </r>
    <r>
      <rPr>
        <sz val="12"/>
        <rFont val="돋움"/>
        <family val="3"/>
        <charset val="129"/>
      </rPr>
      <t>사업단</t>
    </r>
  </si>
  <si>
    <r>
      <t xml:space="preserve">  </t>
    </r>
    <r>
      <rPr>
        <sz val="12"/>
        <rFont val="돋움"/>
        <family val="3"/>
        <charset val="129"/>
      </rPr>
      <t>자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에너지자원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환경지질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사업팀</t>
    </r>
  </si>
  <si>
    <r>
      <t xml:space="preserve">  </t>
    </r>
    <r>
      <rPr>
        <sz val="12"/>
        <rFont val="돋움"/>
        <family val="3"/>
        <charset val="129"/>
      </rPr>
      <t>차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노화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손상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간세포의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재생촉진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기술개발사업팀</t>
    </r>
  </si>
  <si>
    <r>
      <t xml:space="preserve">  </t>
    </r>
    <r>
      <rPr>
        <sz val="12"/>
        <rFont val="돋움"/>
        <family val="3"/>
        <charset val="129"/>
      </rPr>
      <t>카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지능형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나노복합소재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인력양성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사업팀</t>
    </r>
  </si>
  <si>
    <r>
      <t xml:space="preserve">  </t>
    </r>
    <r>
      <rPr>
        <sz val="12"/>
        <rFont val="돋움"/>
        <family val="3"/>
        <charset val="129"/>
      </rPr>
      <t>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기후변화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환경에너지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사업팀</t>
    </r>
  </si>
  <si>
    <r>
      <t xml:space="preserve">  </t>
    </r>
    <r>
      <rPr>
        <sz val="12"/>
        <rFont val="돋움"/>
        <family val="3"/>
        <charset val="129"/>
      </rPr>
      <t>파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건강기능성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식품소재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인력양성</t>
    </r>
    <r>
      <rPr>
        <sz val="12"/>
        <rFont val="Arial"/>
        <family val="2"/>
      </rPr>
      <t xml:space="preserve"> BK21 </t>
    </r>
    <r>
      <rPr>
        <sz val="12"/>
        <rFont val="돋움"/>
        <family val="3"/>
        <charset val="129"/>
      </rPr>
      <t>사업팀</t>
    </r>
  </si>
  <si>
    <r>
      <t xml:space="preserve"> 3. </t>
    </r>
    <r>
      <rPr>
        <b/>
        <sz val="12"/>
        <rFont val="돋움"/>
        <family val="3"/>
        <charset val="129"/>
      </rPr>
      <t>글로벌박사펠로우십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</si>
  <si>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미래기초핵심리더양성사업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</si>
  <si>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5.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</si>
  <si>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학술지원사업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</si>
  <si>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공학교육혁신센터지원사업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거점</t>
    </r>
    <r>
      <rPr>
        <b/>
        <sz val="12"/>
        <rFont val="Arial"/>
        <family val="2"/>
      </rPr>
      <t xml:space="preserve">) </t>
    </r>
    <phoneticPr fontId="2" type="noConversion"/>
  </si>
  <si>
    <r>
      <t xml:space="preserve"> 8. </t>
    </r>
    <r>
      <rPr>
        <b/>
        <sz val="12"/>
        <rFont val="돋움"/>
        <family val="3"/>
        <charset val="129"/>
      </rPr>
      <t>지역거점연구단육성사업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</si>
  <si>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9. </t>
    </r>
    <r>
      <rPr>
        <b/>
        <sz val="12"/>
        <rFont val="돋움"/>
        <family val="3"/>
        <charset val="129"/>
      </rPr>
      <t>연구과제수행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</si>
  <si>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10. </t>
    </r>
    <r>
      <rPr>
        <b/>
        <sz val="12"/>
        <rFont val="돋움"/>
        <family val="3"/>
        <charset val="129"/>
      </rPr>
      <t>상주분단</t>
    </r>
    <r>
      <rPr>
        <b/>
        <sz val="12"/>
        <rFont val="Arial"/>
        <family val="2"/>
      </rPr>
      <t xml:space="preserve"> 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</si>
  <si>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대사성증후군치료제개발사업단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</si>
  <si>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고에너지충돌물리사업단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</si>
  <si>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응용유체역학계산사업단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</si>
  <si>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지능형폴리머사업단</t>
    </r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</si>
  <si>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>. 3</t>
    </r>
    <r>
      <rPr>
        <sz val="12"/>
        <rFont val="돋움"/>
        <family val="3"/>
        <charset val="129"/>
      </rPr>
      <t>차원반도체소자사업단</t>
    </r>
  </si>
  <si>
    <r>
      <t xml:space="preserve">    1) </t>
    </r>
    <r>
      <rPr>
        <sz val="12"/>
        <rFont val="돋움"/>
        <family val="3"/>
        <charset val="129"/>
      </rPr>
      <t>학술연구교수</t>
    </r>
    <r>
      <rPr>
        <sz val="12"/>
        <rFont val="Arial"/>
        <family val="2"/>
      </rPr>
      <t xml:space="preserve"> : 68,000,000</t>
    </r>
  </si>
  <si>
    <r>
      <t xml:space="preserve">    2) </t>
    </r>
    <r>
      <rPr>
        <sz val="12"/>
        <rFont val="돋움"/>
        <family val="3"/>
        <charset val="129"/>
      </rPr>
      <t>박사후국내연수</t>
    </r>
    <r>
      <rPr>
        <sz val="12"/>
        <rFont val="Arial"/>
        <family val="2"/>
      </rPr>
      <t xml:space="preserve"> : 116,000,000</t>
    </r>
  </si>
  <si>
    <r>
      <t xml:space="preserve">    3) </t>
    </r>
    <r>
      <rPr>
        <sz val="12"/>
        <rFont val="돋움"/>
        <family val="3"/>
        <charset val="129"/>
      </rPr>
      <t>시간강사연구지원</t>
    </r>
    <r>
      <rPr>
        <sz val="12"/>
        <rFont val="Arial"/>
        <family val="2"/>
      </rPr>
      <t xml:space="preserve"> :200,000,000</t>
    </r>
  </si>
  <si>
    <r>
      <t xml:space="preserve">    4) </t>
    </r>
    <r>
      <rPr>
        <sz val="12"/>
        <rFont val="돋움"/>
        <family val="3"/>
        <charset val="129"/>
      </rPr>
      <t>의과학자양성지원</t>
    </r>
    <r>
      <rPr>
        <sz val="12"/>
        <rFont val="Arial"/>
        <family val="2"/>
      </rPr>
      <t xml:space="preserve"> : 70,000,000</t>
    </r>
  </si>
  <si>
    <r>
      <t xml:space="preserve">    1) </t>
    </r>
    <r>
      <rPr>
        <sz val="12"/>
        <rFont val="돋움"/>
        <family val="3"/>
        <charset val="129"/>
      </rPr>
      <t>과학영재교육원지원사업</t>
    </r>
    <r>
      <rPr>
        <sz val="12"/>
        <rFont val="Arial"/>
        <family val="2"/>
      </rPr>
      <t xml:space="preserve"> : 260,000,000</t>
    </r>
  </si>
  <si>
    <r>
      <t xml:space="preserve">    2) </t>
    </r>
    <r>
      <rPr>
        <sz val="12"/>
        <rFont val="돋움"/>
        <family val="3"/>
        <charset val="129"/>
      </rPr>
      <t>전문경력인사</t>
    </r>
    <r>
      <rPr>
        <sz val="12"/>
        <rFont val="Arial"/>
        <family val="2"/>
      </rPr>
      <t xml:space="preserve"> : 140,000,000</t>
    </r>
  </si>
  <si>
    <r>
      <t xml:space="preserve">    3) </t>
    </r>
    <r>
      <rPr>
        <sz val="12"/>
        <rFont val="돋움"/>
        <family val="3"/>
        <charset val="129"/>
      </rPr>
      <t>대학교수해외방문연구지원</t>
    </r>
    <r>
      <rPr>
        <sz val="12"/>
        <rFont val="Arial"/>
        <family val="2"/>
      </rPr>
      <t xml:space="preserve"> : 108,000,000</t>
    </r>
  </si>
  <si>
    <r>
      <t xml:space="preserve">    4) </t>
    </r>
    <r>
      <rPr>
        <sz val="12"/>
        <rFont val="돋움"/>
        <family val="3"/>
        <charset val="129"/>
      </rPr>
      <t>우수논문사후지원사업</t>
    </r>
    <r>
      <rPr>
        <sz val="12"/>
        <rFont val="Arial"/>
        <family val="2"/>
      </rPr>
      <t xml:space="preserve"> : 35,000,000</t>
    </r>
  </si>
  <si>
    <r>
      <t xml:space="preserve">    5) </t>
    </r>
    <r>
      <rPr>
        <sz val="12"/>
        <rFont val="돋움"/>
        <family val="3"/>
        <charset val="129"/>
      </rPr>
      <t>기타지원사업</t>
    </r>
    <r>
      <rPr>
        <sz val="12"/>
        <rFont val="Arial"/>
        <family val="2"/>
      </rPr>
      <t xml:space="preserve"> : 100,000,000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</si>
  <si>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영재교육원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운영지원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대구광역시</t>
    </r>
    <r>
      <rPr>
        <sz val="12"/>
        <rFont val="Arial"/>
        <family val="2"/>
      </rPr>
      <t>)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</si>
  <si>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영재교육원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운영지원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경상북도</t>
    </r>
    <r>
      <rPr>
        <sz val="12"/>
        <rFont val="Arial"/>
        <family val="2"/>
      </rPr>
      <t>)</t>
    </r>
  </si>
  <si>
    <r>
      <t xml:space="preserve"> 1. BK21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</si>
  <si>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2. </t>
    </r>
    <r>
      <rPr>
        <b/>
        <sz val="12"/>
        <rFont val="돋움"/>
        <family val="3"/>
        <charset val="129"/>
      </rPr>
      <t>기타학술지원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</si>
  <si>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지역</t>
    </r>
    <r>
      <rPr>
        <b/>
        <sz val="12"/>
        <rFont val="Arial"/>
        <family val="2"/>
      </rPr>
      <t>R&amp;D</t>
    </r>
    <r>
      <rPr>
        <b/>
        <sz val="12"/>
        <rFont val="돋움"/>
        <family val="3"/>
        <charset val="129"/>
      </rPr>
      <t>클러스터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구축사업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대구광역시</t>
    </r>
    <r>
      <rPr>
        <b/>
        <sz val="12"/>
        <rFont val="Arial"/>
        <family val="2"/>
      </rPr>
      <t>)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</si>
  <si>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지역거점연구단육성사업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대구광역시</t>
    </r>
    <r>
      <rPr>
        <b/>
        <sz val="12"/>
        <rFont val="Arial"/>
        <family val="2"/>
      </rPr>
      <t>)</t>
    </r>
    <phoneticPr fontId="2" type="noConversion"/>
  </si>
  <si>
    <r>
      <t xml:space="preserve"> 5. 2012</t>
    </r>
    <r>
      <rPr>
        <b/>
        <sz val="12"/>
        <rFont val="돋움"/>
        <family val="3"/>
        <charset val="129"/>
      </rPr>
      <t>년벤처창업보육센터지원사업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대구광역시</t>
    </r>
    <r>
      <rPr>
        <b/>
        <sz val="12"/>
        <rFont val="Arial"/>
        <family val="2"/>
      </rPr>
      <t>)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</si>
  <si>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농업인교육사업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</si>
  <si>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연구과제수행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phoneticPr fontId="2" type="noConversion"/>
  </si>
  <si>
    <r>
      <t xml:space="preserve"> 1. BK21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</si>
  <si>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2.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</si>
  <si>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지역</t>
    </r>
    <r>
      <rPr>
        <b/>
        <sz val="12"/>
        <rFont val="Arial"/>
        <family val="2"/>
      </rPr>
      <t>R&amp;D</t>
    </r>
    <r>
      <rPr>
        <b/>
        <sz val="12"/>
        <rFont val="돋움"/>
        <family val="3"/>
        <charset val="129"/>
      </rPr>
      <t>클러스터사업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</si>
  <si>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국방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수중통신</t>
    </r>
    <r>
      <rPr>
        <b/>
        <sz val="12"/>
        <rFont val="Arial"/>
        <family val="2"/>
      </rPr>
      <t>/</t>
    </r>
    <r>
      <rPr>
        <b/>
        <sz val="12"/>
        <rFont val="돋움"/>
        <family val="3"/>
        <charset val="129"/>
      </rPr>
      <t>탐지특화연구센터사업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</si>
  <si>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지역거점연구단육성사업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</si>
  <si>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2. </t>
    </r>
    <r>
      <rPr>
        <b/>
        <sz val="12"/>
        <rFont val="돋움"/>
        <family val="3"/>
        <charset val="129"/>
      </rPr>
      <t>지역</t>
    </r>
    <r>
      <rPr>
        <b/>
        <sz val="12"/>
        <rFont val="Arial"/>
        <family val="2"/>
      </rPr>
      <t>R&amp;D</t>
    </r>
    <r>
      <rPr>
        <b/>
        <sz val="12"/>
        <rFont val="돋움"/>
        <family val="3"/>
        <charset val="129"/>
      </rPr>
      <t>클러스터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</si>
  <si>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지역거점연구단육성사업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</si>
  <si>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우수스타기업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</si>
  <si>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연구과제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대응투자금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</si>
  <si>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상주분단</t>
    </r>
    <r>
      <rPr>
        <b/>
        <sz val="12"/>
        <rFont val="Arial"/>
        <family val="2"/>
      </rPr>
      <t xml:space="preserve"> </t>
    </r>
    <phoneticPr fontId="2" type="noConversion"/>
  </si>
  <si>
    <r>
      <t xml:space="preserve"> 1. </t>
    </r>
    <r>
      <rPr>
        <b/>
        <sz val="12"/>
        <rFont val="돋움"/>
        <family val="3"/>
        <charset val="129"/>
      </rPr>
      <t>농업인교육사업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자부담금</t>
    </r>
    <phoneticPr fontId="2" type="noConversion"/>
  </si>
  <si>
    <r>
      <t xml:space="preserve"> 2. </t>
    </r>
    <r>
      <rPr>
        <b/>
        <sz val="12"/>
        <rFont val="돋움"/>
        <family val="3"/>
        <charset val="129"/>
      </rPr>
      <t>농업인교육사업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지원금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농협</t>
    </r>
    <r>
      <rPr>
        <b/>
        <sz val="12"/>
        <rFont val="Arial"/>
        <family val="2"/>
      </rPr>
      <t>)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</si>
  <si>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특허경비지원사업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관리계좌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이자수익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</si>
  <si>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대학선도</t>
    </r>
    <r>
      <rPr>
        <b/>
        <sz val="12"/>
        <rFont val="Arial"/>
        <family val="2"/>
      </rPr>
      <t xml:space="preserve"> TLO </t>
    </r>
    <r>
      <rPr>
        <b/>
        <sz val="12"/>
        <rFont val="돋움"/>
        <family val="3"/>
        <charset val="129"/>
      </rPr>
      <t>지원사업비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관리계좌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이자수익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</si>
  <si>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산학협력중심대학사업단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관리계좌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이자수익</t>
    </r>
    <phoneticPr fontId="2" type="noConversion"/>
  </si>
  <si>
    <r>
      <t xml:space="preserve"> 8. </t>
    </r>
    <r>
      <rPr>
        <b/>
        <sz val="12"/>
        <rFont val="돋움"/>
        <family val="3"/>
        <charset val="129"/>
      </rPr>
      <t>지역</t>
    </r>
    <r>
      <rPr>
        <b/>
        <sz val="12"/>
        <rFont val="Arial"/>
        <family val="2"/>
      </rPr>
      <t>R&amp;D</t>
    </r>
    <r>
      <rPr>
        <b/>
        <sz val="12"/>
        <rFont val="돋움"/>
        <family val="3"/>
        <charset val="129"/>
      </rPr>
      <t>클러스터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사업단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관리계좌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이자수익</t>
    </r>
    <phoneticPr fontId="2" type="noConversion"/>
  </si>
  <si>
    <r>
      <t xml:space="preserve"> 9. </t>
    </r>
    <r>
      <rPr>
        <b/>
        <sz val="12"/>
        <rFont val="돋움"/>
        <family val="3"/>
        <charset val="129"/>
      </rPr>
      <t>지역거점연구단육성사업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관리계좌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이자수익</t>
    </r>
    <phoneticPr fontId="2" type="noConversion"/>
  </si>
  <si>
    <r>
      <t xml:space="preserve">10.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이자수익</t>
    </r>
    <phoneticPr fontId="2" type="noConversion"/>
  </si>
  <si>
    <r>
      <t xml:space="preserve">11.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</si>
  <si>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하</t>
    </r>
    <r>
      <rPr>
        <sz val="12"/>
        <rFont val="Arial"/>
        <family val="2"/>
      </rPr>
      <t>. BK21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관리계좌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</si>
  <si>
    <r>
      <t xml:space="preserve">26. </t>
    </r>
    <r>
      <rPr>
        <b/>
        <sz val="12"/>
        <rFont val="돋움"/>
        <family val="3"/>
        <charset val="129"/>
      </rPr>
      <t>정보통신연구전담교수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채용기금조성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</si>
  <si>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27. </t>
    </r>
    <r>
      <rPr>
        <b/>
        <sz val="12"/>
        <rFont val="돋움"/>
        <family val="3"/>
        <charset val="129"/>
      </rPr>
      <t>대학선도</t>
    </r>
    <r>
      <rPr>
        <b/>
        <sz val="12"/>
        <rFont val="Arial"/>
        <family val="2"/>
      </rPr>
      <t xml:space="preserve"> TLO </t>
    </r>
    <r>
      <rPr>
        <b/>
        <sz val="12"/>
        <rFont val="돋움"/>
        <family val="3"/>
        <charset val="129"/>
      </rPr>
      <t>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</si>
  <si>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28. </t>
    </r>
    <r>
      <rPr>
        <b/>
        <sz val="12"/>
        <rFont val="돋움"/>
        <family val="3"/>
        <charset val="129"/>
      </rPr>
      <t>특허경비지원사업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</si>
  <si>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29. </t>
    </r>
    <r>
      <rPr>
        <b/>
        <sz val="12"/>
        <rFont val="돋움"/>
        <family val="3"/>
        <charset val="129"/>
      </rPr>
      <t>계약학과사업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</si>
  <si>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30. </t>
    </r>
    <r>
      <rPr>
        <b/>
        <sz val="12"/>
        <rFont val="돋움"/>
        <family val="3"/>
        <charset val="129"/>
      </rPr>
      <t>글로벌박사펠로우십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보조금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</si>
  <si>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31. </t>
    </r>
    <r>
      <rPr>
        <b/>
        <sz val="12"/>
        <rFont val="돋움"/>
        <family val="3"/>
        <charset val="129"/>
      </rPr>
      <t>미래기초핵심리더양성사업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</si>
  <si>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32. </t>
    </r>
    <r>
      <rPr>
        <b/>
        <sz val="12"/>
        <rFont val="돋움"/>
        <family val="3"/>
        <charset val="129"/>
      </rPr>
      <t>연구과제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</si>
  <si>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33.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이월금</t>
    </r>
    <phoneticPr fontId="2" type="noConversion"/>
  </si>
  <si>
    <r>
      <t xml:space="preserve">34.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</si>
  <si>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제어시스템전공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계약학과</t>
    </r>
    <phoneticPr fontId="2" type="noConversion"/>
  </si>
  <si>
    <r>
      <t xml:space="preserve">   1)  </t>
    </r>
    <r>
      <rPr>
        <sz val="12"/>
        <rFont val="돋움"/>
        <family val="3"/>
        <charset val="129"/>
      </rPr>
      <t>전공주임교수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직책보조비</t>
    </r>
    <phoneticPr fontId="2" type="noConversion"/>
  </si>
  <si>
    <r>
      <t xml:space="preserve">   2)  </t>
    </r>
    <r>
      <rPr>
        <sz val="12"/>
        <rFont val="돋움"/>
        <family val="3"/>
        <charset val="129"/>
      </rPr>
      <t>강사료</t>
    </r>
    <phoneticPr fontId="2" type="noConversion"/>
  </si>
  <si>
    <r>
      <t xml:space="preserve">   3)  </t>
    </r>
    <r>
      <rPr>
        <sz val="12"/>
        <rFont val="돋움"/>
        <family val="3"/>
        <charset val="129"/>
      </rPr>
      <t>논문지도비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</si>
  <si>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모바일공학전공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계약학과</t>
    </r>
    <phoneticPr fontId="2" type="noConversion"/>
  </si>
  <si>
    <r>
      <t xml:space="preserve">   1)  </t>
    </r>
    <r>
      <rPr>
        <sz val="12"/>
        <rFont val="돋움"/>
        <family val="3"/>
        <charset val="129"/>
      </rPr>
      <t>직원인건비</t>
    </r>
    <phoneticPr fontId="2" type="noConversion"/>
  </si>
  <si>
    <r>
      <t xml:space="preserve">   1)  </t>
    </r>
    <r>
      <rPr>
        <sz val="12"/>
        <rFont val="돋움"/>
        <family val="3"/>
        <charset val="129"/>
      </rPr>
      <t>교육프로그램개발비</t>
    </r>
    <phoneticPr fontId="2" type="noConversion"/>
  </si>
  <si>
    <r>
      <t xml:space="preserve">   2)  </t>
    </r>
    <r>
      <rPr>
        <sz val="12"/>
        <rFont val="돋움"/>
        <family val="3"/>
        <charset val="129"/>
      </rPr>
      <t>교재개발비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</si>
  <si>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제어시스템전공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계약학과</t>
    </r>
    <phoneticPr fontId="2" type="noConversion"/>
  </si>
  <si>
    <r>
      <t xml:space="preserve">   1)  </t>
    </r>
    <r>
      <rPr>
        <sz val="12"/>
        <rFont val="돋움"/>
        <family val="3"/>
        <charset val="129"/>
      </rPr>
      <t>장학금</t>
    </r>
    <phoneticPr fontId="2" type="noConversion"/>
  </si>
  <si>
    <r>
      <t xml:space="preserve">   1)  </t>
    </r>
    <r>
      <rPr>
        <sz val="12"/>
        <rFont val="돋움"/>
        <family val="3"/>
        <charset val="129"/>
      </rPr>
      <t>실험실습용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재료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구입비</t>
    </r>
    <phoneticPr fontId="2" type="noConversion"/>
  </si>
  <si>
    <r>
      <t xml:space="preserve">   1)  </t>
    </r>
    <r>
      <rPr>
        <sz val="12"/>
        <rFont val="돋움"/>
        <family val="3"/>
        <charset val="129"/>
      </rPr>
      <t>기타교육운영비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</si>
  <si>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제어시스템전공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계약학과</t>
    </r>
    <phoneticPr fontId="2" type="noConversion"/>
  </si>
  <si>
    <r>
      <t xml:space="preserve">   1) </t>
    </r>
    <r>
      <rPr>
        <sz val="12"/>
        <rFont val="돋움"/>
        <family val="3"/>
        <charset val="129"/>
      </rPr>
      <t>기타교육운영비</t>
    </r>
    <phoneticPr fontId="2" type="noConversion"/>
  </si>
  <si>
    <r>
      <t xml:space="preserve"> 2. Track</t>
    </r>
    <r>
      <rPr>
        <b/>
        <sz val="12"/>
        <rFont val="돋움"/>
        <family val="3"/>
        <charset val="129"/>
      </rPr>
      <t>지원금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사업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</si>
  <si>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고려아연㈜</t>
    </r>
    <r>
      <rPr>
        <sz val="12"/>
        <rFont val="Arial"/>
        <family val="2"/>
      </rPr>
      <t xml:space="preserve"> Track </t>
    </r>
    <r>
      <rPr>
        <sz val="12"/>
        <rFont val="돋움"/>
        <family val="3"/>
        <charset val="129"/>
      </rPr>
      <t>산학협력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장학금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</si>
  <si>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삼성전자㈜</t>
    </r>
    <r>
      <rPr>
        <sz val="12"/>
        <rFont val="Arial"/>
        <family val="2"/>
      </rPr>
      <t xml:space="preserve"> STP</t>
    </r>
    <r>
      <rPr>
        <sz val="12"/>
        <rFont val="돋움"/>
        <family val="3"/>
        <charset val="129"/>
      </rPr>
      <t>운영비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</si>
  <si>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정보통신연구전담교수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채용기금조성지원사업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</si>
  <si>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기술자문수익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보상금</t>
    </r>
    <r>
      <rPr>
        <sz val="12"/>
        <rFont val="Arial"/>
        <family val="2"/>
      </rPr>
      <t xml:space="preserve"> : 300,000,000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*90%=270,000,000</t>
    </r>
    <r>
      <rPr>
        <sz val="12"/>
        <rFont val="돋움"/>
        <family val="3"/>
        <charset val="129"/>
      </rPr>
      <t>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</si>
  <si>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기술이전수익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보상금</t>
    </r>
    <r>
      <rPr>
        <sz val="12"/>
        <rFont val="Arial"/>
        <family val="2"/>
      </rPr>
      <t xml:space="preserve"> :450,000,000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*70%=315,000,000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</si>
  <si>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기술이전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노하우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수익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보상금</t>
    </r>
    <r>
      <rPr>
        <sz val="12"/>
        <rFont val="Arial"/>
        <family val="2"/>
      </rPr>
      <t xml:space="preserve"> :450,000,000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*90%=405,000,000</t>
    </r>
  </si>
  <si>
    <r>
      <t xml:space="preserve"> 5. </t>
    </r>
    <r>
      <rPr>
        <b/>
        <sz val="12"/>
        <rFont val="돋움"/>
        <family val="3"/>
        <charset val="129"/>
      </rPr>
      <t>기술경영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경영관리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향상을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위한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운영경비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지금</t>
    </r>
    <r>
      <rPr>
        <b/>
        <sz val="12"/>
        <rFont val="Arial"/>
        <family val="2"/>
      </rPr>
      <t>(</t>
    </r>
    <r>
      <rPr>
        <b/>
        <sz val="12"/>
        <rFont val="돋움"/>
        <family val="3"/>
        <charset val="129"/>
      </rPr>
      <t>삼성전자㈜</t>
    </r>
    <r>
      <rPr>
        <b/>
        <sz val="12"/>
        <rFont val="Arial"/>
        <family val="2"/>
      </rPr>
      <t xml:space="preserve">, </t>
    </r>
    <r>
      <rPr>
        <b/>
        <sz val="12"/>
        <rFont val="돋움"/>
        <family val="3"/>
        <charset val="129"/>
      </rPr>
      <t>㈜</t>
    </r>
    <r>
      <rPr>
        <b/>
        <sz val="12"/>
        <rFont val="Arial"/>
        <family val="2"/>
      </rPr>
      <t>SL)</t>
    </r>
    <phoneticPr fontId="2" type="noConversion"/>
  </si>
  <si>
    <r>
      <t xml:space="preserve"> 1. </t>
    </r>
    <r>
      <rPr>
        <b/>
        <sz val="12"/>
        <rFont val="돋움"/>
        <family val="3"/>
        <charset val="129"/>
      </rPr>
      <t>미래기초과학핵심리더양성사업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</si>
  <si>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연구책임자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</si>
  <si>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IT</t>
    </r>
    <r>
      <rPr>
        <sz val="12"/>
        <rFont val="돋움"/>
        <family val="3"/>
        <charset val="129"/>
      </rPr>
      <t>융복합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글로벌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인재양성센터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</si>
  <si>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전담연구인력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2,937,500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=35,250,000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</si>
  <si>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대사성증후군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</si>
  <si>
    <r>
      <t xml:space="preserve">    1)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41,700,000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*4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=166,800,000</t>
    </r>
  </si>
  <si>
    <r>
      <t xml:space="preserve">    2) </t>
    </r>
    <r>
      <rPr>
        <sz val="12"/>
        <rFont val="돋움"/>
        <family val="3"/>
        <charset val="129"/>
      </rPr>
      <t>전문지원인력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2,530,000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 xml:space="preserve"> *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 xml:space="preserve"> * 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 60,720,000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</si>
  <si>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연구조원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6,873,000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=82,476,000</t>
    </r>
    <r>
      <rPr>
        <sz val="12"/>
        <rFont val="돋움"/>
        <family val="3"/>
        <charset val="129"/>
      </rPr>
      <t>원</t>
    </r>
  </si>
  <si>
    <r>
      <t xml:space="preserve">    4) </t>
    </r>
    <r>
      <rPr>
        <sz val="12"/>
        <rFont val="돋움"/>
        <family val="3"/>
        <charset val="129"/>
      </rPr>
      <t>연구수당</t>
    </r>
    <r>
      <rPr>
        <sz val="12"/>
        <rFont val="Arial"/>
        <family val="2"/>
      </rPr>
      <t>: 16,004,000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</si>
  <si>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고에너지충돌물리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</si>
  <si>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   1)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15,000,000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*4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=60,000,000</t>
    </r>
    <r>
      <rPr>
        <sz val="12"/>
        <rFont val="돋움"/>
        <family val="3"/>
        <charset val="129"/>
      </rPr>
      <t>원</t>
    </r>
  </si>
  <si>
    <r>
      <t xml:space="preserve">        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1,700,000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=20,400,000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</si>
  <si>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전문지원인력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2,000,000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 xml:space="preserve"> * 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 xml:space="preserve"> * 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 48,000,000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</si>
  <si>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연구조원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19,800,000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=237,600,000</t>
    </r>
    <r>
      <rPr>
        <sz val="12"/>
        <rFont val="돋움"/>
        <family val="3"/>
        <charset val="129"/>
      </rPr>
      <t>원</t>
    </r>
  </si>
  <si>
    <r>
      <t xml:space="preserve">    4) </t>
    </r>
    <r>
      <rPr>
        <sz val="12"/>
        <rFont val="돋움"/>
        <family val="3"/>
        <charset val="129"/>
      </rPr>
      <t>연구수당</t>
    </r>
    <r>
      <rPr>
        <sz val="12"/>
        <rFont val="Arial"/>
        <family val="2"/>
      </rPr>
      <t>: 34,000,000</t>
    </r>
    <r>
      <rPr>
        <sz val="12"/>
        <rFont val="돋움"/>
        <family val="3"/>
        <charset val="129"/>
      </rPr>
      <t>원</t>
    </r>
  </si>
  <si>
    <r>
      <t xml:space="preserve">    1)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25,000,000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*6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 150,000,000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</si>
  <si>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전문지원인력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: 2,300,000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 xml:space="preserve"> * 1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 xml:space="preserve"> * 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 27,600,000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</si>
  <si>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연구조원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8,400,000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 100,800,000</t>
    </r>
    <r>
      <rPr>
        <sz val="12"/>
        <rFont val="돋움"/>
        <family val="3"/>
        <charset val="129"/>
      </rPr>
      <t>원</t>
    </r>
  </si>
  <si>
    <r>
      <t xml:space="preserve">    4) </t>
    </r>
    <r>
      <rPr>
        <sz val="12"/>
        <rFont val="돋움"/>
        <family val="3"/>
        <charset val="129"/>
      </rPr>
      <t>연구수당</t>
    </r>
    <r>
      <rPr>
        <sz val="12"/>
        <rFont val="Arial"/>
        <family val="2"/>
      </rPr>
      <t>: 21,600,000</t>
    </r>
    <r>
      <rPr>
        <sz val="12"/>
        <rFont val="돋움"/>
        <family val="3"/>
        <charset val="129"/>
      </rPr>
      <t>원</t>
    </r>
  </si>
  <si>
    <r>
      <t xml:space="preserve">    1)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39,900,000*2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=79,800,000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</si>
  <si>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연구조원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3,000,000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 36,000,000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</si>
  <si>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연구수당</t>
    </r>
    <r>
      <rPr>
        <sz val="12"/>
        <rFont val="Arial"/>
        <family val="2"/>
      </rPr>
      <t>: 4,200,000</t>
    </r>
    <r>
      <rPr>
        <sz val="12"/>
        <rFont val="돋움"/>
        <family val="3"/>
        <charset val="129"/>
      </rPr>
      <t>원</t>
    </r>
  </si>
  <si>
    <r>
      <t xml:space="preserve">    1)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32,500,000*3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 65,000,000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</si>
  <si>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연구조원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2,100,000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 xml:space="preserve"> = 25,2000,000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</si>
  <si>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연구수당</t>
    </r>
    <r>
      <rPr>
        <sz val="12"/>
        <rFont val="Arial"/>
        <family val="2"/>
      </rPr>
      <t>: 5,800,000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</si>
  <si>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인력양성지원</t>
    </r>
  </si>
  <si>
    <r>
      <t xml:space="preserve">   1) </t>
    </r>
    <r>
      <rPr>
        <sz val="12"/>
        <rFont val="돋움"/>
        <family val="3"/>
        <charset val="129"/>
      </rPr>
      <t>학술연구교수</t>
    </r>
    <r>
      <rPr>
        <sz val="12"/>
        <rFont val="Arial"/>
        <family val="2"/>
      </rPr>
      <t xml:space="preserve"> : 181,000,000</t>
    </r>
  </si>
  <si>
    <r>
      <t xml:space="preserve">   2) </t>
    </r>
    <r>
      <rPr>
        <sz val="12"/>
        <rFont val="돋움"/>
        <family val="3"/>
        <charset val="129"/>
      </rPr>
      <t>박사후국내연수</t>
    </r>
    <r>
      <rPr>
        <sz val="12"/>
        <rFont val="Arial"/>
        <family val="2"/>
      </rPr>
      <t xml:space="preserve"> : 133,300,000</t>
    </r>
  </si>
  <si>
    <r>
      <t xml:space="preserve">   3) </t>
    </r>
    <r>
      <rPr>
        <sz val="12"/>
        <rFont val="돋움"/>
        <family val="3"/>
        <charset val="129"/>
      </rPr>
      <t>시간강사연구지원</t>
    </r>
    <r>
      <rPr>
        <sz val="12"/>
        <rFont val="Arial"/>
        <family val="2"/>
      </rPr>
      <t xml:space="preserve"> : 450,000,000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</si>
  <si>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기타학술지원</t>
    </r>
  </si>
  <si>
    <r>
      <t xml:space="preserve">   1) </t>
    </r>
    <r>
      <rPr>
        <sz val="12"/>
        <rFont val="돋움"/>
        <family val="3"/>
        <charset val="129"/>
      </rPr>
      <t>전문경력인사</t>
    </r>
    <r>
      <rPr>
        <sz val="12"/>
        <rFont val="Arial"/>
        <family val="2"/>
      </rPr>
      <t xml:space="preserve"> : 140,000,000</t>
    </r>
  </si>
  <si>
    <r>
      <t xml:space="preserve">   2) </t>
    </r>
    <r>
      <rPr>
        <sz val="12"/>
        <rFont val="돋움"/>
        <family val="3"/>
        <charset val="129"/>
      </rPr>
      <t>해외고급과학자초빙사업</t>
    </r>
    <r>
      <rPr>
        <sz val="12"/>
        <rFont val="Arial"/>
        <family val="2"/>
      </rPr>
      <t xml:space="preserve">(BrainPool) : 45,000,000 </t>
    </r>
  </si>
  <si>
    <r>
      <t xml:space="preserve">   3) </t>
    </r>
    <r>
      <rPr>
        <sz val="12"/>
        <rFont val="돋움"/>
        <family val="3"/>
        <charset val="129"/>
      </rPr>
      <t>기타사업</t>
    </r>
    <r>
      <rPr>
        <sz val="12"/>
        <rFont val="Arial"/>
        <family val="2"/>
      </rPr>
      <t xml:space="preserve"> : 30,000,000</t>
    </r>
  </si>
  <si>
    <r>
      <t xml:space="preserve"> 1. </t>
    </r>
    <r>
      <rPr>
        <b/>
        <sz val="12"/>
        <rFont val="돋움"/>
        <family val="3"/>
        <charset val="129"/>
      </rPr>
      <t>대학선도</t>
    </r>
    <r>
      <rPr>
        <b/>
        <sz val="12"/>
        <rFont val="Arial"/>
        <family val="2"/>
      </rPr>
      <t xml:space="preserve"> TLO </t>
    </r>
    <r>
      <rPr>
        <b/>
        <sz val="12"/>
        <rFont val="돋움"/>
        <family val="3"/>
        <charset val="129"/>
      </rPr>
      <t>지원사업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</si>
  <si>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아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기술정보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활동비</t>
    </r>
  </si>
  <si>
    <r>
      <t xml:space="preserve">  </t>
    </r>
    <r>
      <rPr>
        <sz val="12"/>
        <rFont val="돋움"/>
        <family val="3"/>
        <charset val="129"/>
      </rPr>
      <t>자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회의비</t>
    </r>
  </si>
  <si>
    <r>
      <t xml:space="preserve">  </t>
    </r>
    <r>
      <rPr>
        <sz val="12"/>
        <rFont val="돋움"/>
        <family val="3"/>
        <charset val="129"/>
      </rPr>
      <t>차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직접사업비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</si>
  <si>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기술상품화비</t>
    </r>
    <r>
      <rPr>
        <sz val="12"/>
        <rFont val="Arial"/>
        <family val="2"/>
      </rPr>
      <t>=15,000,000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</si>
  <si>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기술마케팅비</t>
    </r>
    <r>
      <rPr>
        <sz val="12"/>
        <rFont val="Arial"/>
        <family val="2"/>
      </rPr>
      <t>=8,000,000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</si>
  <si>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정보처리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관리비</t>
    </r>
    <r>
      <rPr>
        <sz val="12"/>
        <rFont val="Arial"/>
        <family val="2"/>
      </rPr>
      <t>=4,000,000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</si>
  <si>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기술교류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활동비</t>
    </r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</si>
  <si>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사업기획비</t>
    </r>
  </si>
  <si>
    <r>
      <t xml:space="preserve">  </t>
    </r>
    <r>
      <rPr>
        <sz val="12"/>
        <rFont val="돋움"/>
        <family val="3"/>
        <charset val="129"/>
      </rPr>
      <t>바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사업운영비</t>
    </r>
  </si>
  <si>
    <r>
      <t xml:space="preserve">  </t>
    </r>
    <r>
      <rPr>
        <sz val="12"/>
        <rFont val="돋움"/>
        <family val="3"/>
        <charset val="129"/>
      </rPr>
      <t>사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국내외여비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</si>
  <si>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IT</t>
    </r>
    <r>
      <rPr>
        <sz val="12"/>
        <rFont val="돋움"/>
        <family val="3"/>
        <charset val="129"/>
      </rPr>
      <t>융복합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글로벌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인재양성센터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연구제경비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</si>
  <si>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미래기초과학핵심리더양성사업</t>
    </r>
    <phoneticPr fontId="2" type="noConversion"/>
  </si>
  <si>
    <r>
      <t xml:space="preserve"> 4. WCU</t>
    </r>
    <r>
      <rPr>
        <b/>
        <sz val="12"/>
        <rFont val="돋움"/>
        <family val="3"/>
        <charset val="129"/>
      </rPr>
      <t>사업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</si>
  <si>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학술지원사업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</si>
  <si>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지역혁신센터</t>
    </r>
    <r>
      <rPr>
        <b/>
        <sz val="12"/>
        <rFont val="Arial"/>
        <family val="2"/>
      </rPr>
      <t>(RIC)</t>
    </r>
    <r>
      <rPr>
        <b/>
        <sz val="12"/>
        <rFont val="돋움"/>
        <family val="3"/>
        <charset val="129"/>
      </rPr>
      <t>사업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</si>
  <si>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지역</t>
    </r>
    <r>
      <rPr>
        <b/>
        <sz val="12"/>
        <rFont val="Arial"/>
        <family val="2"/>
      </rPr>
      <t xml:space="preserve"> R&amp;D </t>
    </r>
    <r>
      <rPr>
        <b/>
        <sz val="12"/>
        <rFont val="돋움"/>
        <family val="3"/>
        <charset val="129"/>
      </rPr>
      <t>클러스터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사업</t>
    </r>
    <phoneticPr fontId="2" type="noConversion"/>
  </si>
  <si>
    <r>
      <t xml:space="preserve">10. </t>
    </r>
    <r>
      <rPr>
        <b/>
        <sz val="12"/>
        <rFont val="돋움"/>
        <family val="3"/>
        <charset val="129"/>
      </rPr>
      <t>우수스타기업육성사업</t>
    </r>
    <r>
      <rPr>
        <b/>
        <sz val="12"/>
        <rFont val="Arial"/>
        <family val="2"/>
      </rPr>
      <t/>
    </r>
    <phoneticPr fontId="2" type="noConversion"/>
  </si>
  <si>
    <r>
      <t xml:space="preserve">11. </t>
    </r>
    <r>
      <rPr>
        <b/>
        <sz val="12"/>
        <rFont val="돋움"/>
        <family val="3"/>
        <charset val="129"/>
      </rPr>
      <t>창업보육센터지원사업</t>
    </r>
    <phoneticPr fontId="2" type="noConversion"/>
  </si>
  <si>
    <r>
      <t xml:space="preserve">12. </t>
    </r>
    <r>
      <rPr>
        <b/>
        <sz val="12"/>
        <rFont val="돋움"/>
        <family val="3"/>
        <charset val="129"/>
      </rPr>
      <t>창업보육센터건립지원사업</t>
    </r>
    <phoneticPr fontId="2" type="noConversion"/>
  </si>
  <si>
    <r>
      <t xml:space="preserve">13. </t>
    </r>
    <r>
      <rPr>
        <b/>
        <sz val="12"/>
        <rFont val="돋움"/>
        <family val="3"/>
        <charset val="129"/>
      </rPr>
      <t>기업기술경영지원센터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운영사업</t>
    </r>
    <phoneticPr fontId="2" type="noConversion"/>
  </si>
  <si>
    <r>
      <t>14. 2011</t>
    </r>
    <r>
      <rPr>
        <b/>
        <sz val="12"/>
        <rFont val="돋움"/>
        <family val="3"/>
        <charset val="129"/>
      </rPr>
      <t>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벤처창업보육센터지원사업</t>
    </r>
    <phoneticPr fontId="2" type="noConversion"/>
  </si>
  <si>
    <r>
      <t>15. 2012</t>
    </r>
    <r>
      <rPr>
        <b/>
        <sz val="12"/>
        <rFont val="돋움"/>
        <family val="3"/>
        <charset val="129"/>
      </rPr>
      <t>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벤처창업보육센터지원사업</t>
    </r>
    <phoneticPr fontId="2" type="noConversion"/>
  </si>
  <si>
    <r>
      <t xml:space="preserve">16. </t>
    </r>
    <r>
      <rPr>
        <b/>
        <sz val="12"/>
        <rFont val="돋움"/>
        <family val="3"/>
        <charset val="129"/>
      </rPr>
      <t>예비기술창업자육성사업</t>
    </r>
    <phoneticPr fontId="2" type="noConversion"/>
  </si>
  <si>
    <r>
      <t xml:space="preserve">17. </t>
    </r>
    <r>
      <rPr>
        <b/>
        <sz val="12"/>
        <rFont val="돋움"/>
        <family val="3"/>
        <charset val="129"/>
      </rPr>
      <t>교육과학기술부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연구과제</t>
    </r>
    <phoneticPr fontId="2" type="noConversion"/>
  </si>
  <si>
    <r>
      <t xml:space="preserve">18. </t>
    </r>
    <r>
      <rPr>
        <b/>
        <sz val="12"/>
        <rFont val="돋움"/>
        <family val="3"/>
        <charset val="129"/>
      </rPr>
      <t>기타정부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연구과제</t>
    </r>
    <phoneticPr fontId="2" type="noConversion"/>
  </si>
  <si>
    <r>
      <t xml:space="preserve">19. </t>
    </r>
    <r>
      <rPr>
        <b/>
        <sz val="12"/>
        <rFont val="돋움"/>
        <family val="3"/>
        <charset val="129"/>
      </rPr>
      <t>지방자치단체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연구과제</t>
    </r>
    <phoneticPr fontId="2" type="noConversion"/>
  </si>
  <si>
    <r>
      <t xml:space="preserve">20.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</si>
  <si>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   2) </t>
    </r>
    <r>
      <rPr>
        <sz val="12"/>
        <rFont val="돋움"/>
        <family val="3"/>
        <charset val="129"/>
      </rPr>
      <t>국내외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출장여비</t>
    </r>
    <r>
      <rPr>
        <sz val="12"/>
        <rFont val="Arial"/>
        <family val="2"/>
      </rPr>
      <t xml:space="preserve"> : 12,000,000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</si>
  <si>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 8,000,000</t>
    </r>
    <r>
      <rPr>
        <sz val="12"/>
        <rFont val="돋움"/>
        <family val="3"/>
        <charset val="129"/>
      </rPr>
      <t>원</t>
    </r>
  </si>
  <si>
    <r>
      <t xml:space="preserve">    1) </t>
    </r>
    <r>
      <rPr>
        <sz val="12"/>
        <rFont val="돋움"/>
        <family val="3"/>
        <charset val="129"/>
      </rPr>
      <t>재료구입</t>
    </r>
    <r>
      <rPr>
        <sz val="12"/>
        <rFont val="Arial"/>
        <family val="2"/>
      </rPr>
      <t xml:space="preserve"> : 30,000,000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</si>
  <si>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국내외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출장여비</t>
    </r>
    <r>
      <rPr>
        <sz val="12"/>
        <rFont val="Arial"/>
        <family val="2"/>
      </rPr>
      <t xml:space="preserve"> : 7,000,000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</si>
  <si>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2,000,000</t>
    </r>
    <r>
      <rPr>
        <sz val="12"/>
        <rFont val="돋움"/>
        <family val="3"/>
        <charset val="129"/>
      </rPr>
      <t>원</t>
    </r>
  </si>
  <si>
    <r>
      <t xml:space="preserve">    1) </t>
    </r>
    <r>
      <rPr>
        <sz val="12"/>
        <rFont val="돋움"/>
        <family val="3"/>
        <charset val="129"/>
      </rPr>
      <t>재료구입</t>
    </r>
    <r>
      <rPr>
        <sz val="12"/>
        <rFont val="Arial"/>
        <family val="2"/>
      </rPr>
      <t xml:space="preserve"> : 351,000,000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</si>
  <si>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국내외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출장여비</t>
    </r>
    <r>
      <rPr>
        <sz val="12"/>
        <rFont val="Arial"/>
        <family val="2"/>
      </rPr>
      <t xml:space="preserve"> : 50,000,000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</si>
  <si>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34,000,000</t>
    </r>
    <r>
      <rPr>
        <sz val="12"/>
        <rFont val="돋움"/>
        <family val="3"/>
        <charset val="129"/>
      </rPr>
      <t>원</t>
    </r>
  </si>
  <si>
    <r>
      <t xml:space="preserve">    1) </t>
    </r>
    <r>
      <rPr>
        <sz val="12"/>
        <rFont val="돋움"/>
        <family val="3"/>
        <charset val="129"/>
      </rPr>
      <t>재료구입</t>
    </r>
    <r>
      <rPr>
        <sz val="12"/>
        <rFont val="Arial"/>
        <family val="2"/>
      </rPr>
      <t xml:space="preserve"> : 100,000,000</t>
    </r>
    <r>
      <rPr>
        <sz val="12"/>
        <rFont val="돋움"/>
        <family val="3"/>
        <charset val="129"/>
      </rPr>
      <t>원</t>
    </r>
  </si>
  <si>
    <r>
      <t xml:space="preserve">    2) </t>
    </r>
    <r>
      <rPr>
        <sz val="12"/>
        <rFont val="돋움"/>
        <family val="3"/>
        <charset val="129"/>
      </rPr>
      <t>국내외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출장여비</t>
    </r>
    <r>
      <rPr>
        <sz val="12"/>
        <rFont val="Arial"/>
        <family val="2"/>
      </rPr>
      <t xml:space="preserve"> :72,000,000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</si>
  <si>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30,000,000</t>
    </r>
    <r>
      <rPr>
        <sz val="12"/>
        <rFont val="돋움"/>
        <family val="3"/>
        <charset val="129"/>
      </rPr>
      <t>원</t>
    </r>
  </si>
  <si>
    <r>
      <t xml:space="preserve">    1) </t>
    </r>
    <r>
      <rPr>
        <sz val="12"/>
        <rFont val="돋움"/>
        <family val="3"/>
        <charset val="129"/>
      </rPr>
      <t>재료구입</t>
    </r>
    <r>
      <rPr>
        <sz val="12"/>
        <rFont val="Arial"/>
        <family val="2"/>
      </rPr>
      <t xml:space="preserve"> : 20,000,000</t>
    </r>
    <r>
      <rPr>
        <sz val="12"/>
        <rFont val="돋움"/>
        <family val="3"/>
        <charset val="129"/>
      </rPr>
      <t>원</t>
    </r>
  </si>
  <si>
    <r>
      <t xml:space="preserve">    3) </t>
    </r>
    <r>
      <rPr>
        <sz val="12"/>
        <rFont val="돋움"/>
        <family val="3"/>
        <charset val="129"/>
      </rPr>
      <t>기타연구제경비</t>
    </r>
    <r>
      <rPr>
        <sz val="12"/>
        <rFont val="Arial"/>
        <family val="2"/>
      </rPr>
      <t xml:space="preserve"> : 25,000,000</t>
    </r>
    <r>
      <rPr>
        <sz val="12"/>
        <rFont val="돋움"/>
        <family val="3"/>
        <charset val="129"/>
      </rPr>
      <t>원</t>
    </r>
  </si>
  <si>
    <r>
      <t xml:space="preserve">   1) </t>
    </r>
    <r>
      <rPr>
        <sz val="12"/>
        <rFont val="돋움"/>
        <family val="3"/>
        <charset val="129"/>
      </rPr>
      <t>학술연구교수</t>
    </r>
    <r>
      <rPr>
        <sz val="12"/>
        <rFont val="Arial"/>
        <family val="2"/>
      </rPr>
      <t xml:space="preserve"> : 48,000,000</t>
    </r>
  </si>
  <si>
    <r>
      <t xml:space="preserve">   3) </t>
    </r>
    <r>
      <rPr>
        <sz val="12"/>
        <rFont val="돋움"/>
        <family val="3"/>
        <charset val="129"/>
      </rPr>
      <t>박사후국내연수</t>
    </r>
    <r>
      <rPr>
        <sz val="12"/>
        <rFont val="Arial"/>
        <family val="2"/>
      </rPr>
      <t xml:space="preserve"> : 16,000,000</t>
    </r>
  </si>
  <si>
    <r>
      <t xml:space="preserve">   1) </t>
    </r>
    <r>
      <rPr>
        <sz val="12"/>
        <rFont val="돋움"/>
        <family val="3"/>
        <charset val="129"/>
      </rPr>
      <t>대학교수해외방문연구지원</t>
    </r>
    <r>
      <rPr>
        <sz val="12"/>
        <rFont val="Arial"/>
        <family val="2"/>
      </rPr>
      <t xml:space="preserve"> : 108,000,000</t>
    </r>
  </si>
  <si>
    <r>
      <t xml:space="preserve">   2) </t>
    </r>
    <r>
      <rPr>
        <sz val="12"/>
        <rFont val="돋움"/>
        <family val="3"/>
        <charset val="129"/>
      </rPr>
      <t>우수논문사후지원</t>
    </r>
    <r>
      <rPr>
        <sz val="12"/>
        <rFont val="Arial"/>
        <family val="2"/>
      </rPr>
      <t xml:space="preserve"> : 35,000,000</t>
    </r>
  </si>
  <si>
    <r>
      <t xml:space="preserve">   3) </t>
    </r>
    <r>
      <rPr>
        <sz val="12"/>
        <rFont val="돋움"/>
        <family val="3"/>
        <charset val="129"/>
      </rPr>
      <t>한중신진과학기술자교류사업</t>
    </r>
    <r>
      <rPr>
        <sz val="12"/>
        <rFont val="Arial"/>
        <family val="2"/>
      </rPr>
      <t xml:space="preserve"> : 12,900,000</t>
    </r>
  </si>
  <si>
    <r>
      <t xml:space="preserve">   4) </t>
    </r>
    <r>
      <rPr>
        <sz val="12"/>
        <rFont val="돋움"/>
        <family val="3"/>
        <charset val="129"/>
      </rPr>
      <t>기타사업</t>
    </r>
    <r>
      <rPr>
        <sz val="12"/>
        <rFont val="Arial"/>
        <family val="2"/>
      </rPr>
      <t xml:space="preserve"> : 50,000,000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</si>
  <si>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전담행정인력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1,800,000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</si>
  <si>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전임교수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외부강사료</t>
    </r>
    <r>
      <rPr>
        <sz val="12"/>
        <rFont val="Arial"/>
        <family val="2"/>
      </rPr>
      <t>: 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*8</t>
    </r>
    <r>
      <rPr>
        <sz val="12"/>
        <rFont val="돋움"/>
        <family val="3"/>
        <charset val="129"/>
      </rPr>
      <t>회</t>
    </r>
    <phoneticPr fontId="2" type="noConversion"/>
  </si>
  <si>
    <r>
      <t xml:space="preserve"> 2. </t>
    </r>
    <r>
      <rPr>
        <b/>
        <sz val="12"/>
        <rFont val="돋움"/>
        <family val="3"/>
        <charset val="129"/>
      </rPr>
      <t>공간정보특성화대학원지원사업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</si>
  <si>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교재개발비</t>
    </r>
    <r>
      <rPr>
        <sz val="12"/>
        <rFont val="Arial"/>
        <family val="2"/>
      </rPr>
      <t xml:space="preserve"> : 1,000,000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건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</si>
  <si>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글로벌박사펠로우십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사업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</si>
  <si>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공간정보특성화대학원지원사업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</si>
  <si>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기타학술지원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</si>
  <si>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지역거점연구단육성사업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</si>
  <si>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국가근로장학사업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</si>
  <si>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참여대학원생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장학금</t>
    </r>
    <r>
      <rPr>
        <sz val="12"/>
        <rFont val="Arial"/>
        <family val="2"/>
      </rPr>
      <t xml:space="preserve"> :  7,100,000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/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</si>
  <si>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홈페이지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홍보비</t>
    </r>
    <r>
      <rPr>
        <sz val="12"/>
        <rFont val="Arial"/>
        <family val="2"/>
      </rPr>
      <t xml:space="preserve"> 10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</si>
  <si>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 </t>
    </r>
    <r>
      <rPr>
        <sz val="12"/>
        <rFont val="돋움"/>
        <family val="3"/>
        <charset val="129"/>
      </rPr>
      <t>국내외연수비</t>
    </r>
    <r>
      <rPr>
        <sz val="12"/>
        <rFont val="Arial"/>
        <family val="2"/>
      </rPr>
      <t>=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</si>
  <si>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 </t>
    </r>
    <r>
      <rPr>
        <sz val="12"/>
        <rFont val="돋움"/>
        <family val="3"/>
        <charset val="129"/>
      </rPr>
      <t>국내여비</t>
    </r>
    <r>
      <rPr>
        <sz val="12"/>
        <rFont val="Arial"/>
        <family val="2"/>
      </rPr>
      <t xml:space="preserve"> : 200,000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*15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</si>
  <si>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업무추진</t>
    </r>
    <r>
      <rPr>
        <sz val="12"/>
        <rFont val="Arial"/>
        <family val="2"/>
      </rPr>
      <t xml:space="preserve"> : 350,000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*10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</t>
    </r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</si>
  <si>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 </t>
    </r>
    <r>
      <rPr>
        <sz val="12"/>
        <rFont val="돋움"/>
        <family val="3"/>
        <charset val="129"/>
      </rPr>
      <t>외부회계법인감리비</t>
    </r>
    <r>
      <rPr>
        <sz val="12"/>
        <rFont val="Arial"/>
        <family val="2"/>
      </rPr>
      <t xml:space="preserve"> : 1,500,000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</t>
    </r>
  </si>
  <si>
    <r>
      <t xml:space="preserve">  </t>
    </r>
    <r>
      <rPr>
        <sz val="12"/>
        <rFont val="돋움"/>
        <family val="3"/>
        <charset val="129"/>
      </rPr>
      <t>바</t>
    </r>
    <r>
      <rPr>
        <sz val="12"/>
        <rFont val="Arial"/>
        <family val="2"/>
      </rPr>
      <t xml:space="preserve">. 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제잡비</t>
    </r>
    <r>
      <rPr>
        <sz val="12"/>
        <rFont val="Arial"/>
        <family val="2"/>
      </rPr>
      <t xml:space="preserve"> : 1,040,000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*5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</t>
    </r>
  </si>
  <si>
    <r>
      <t xml:space="preserve">  </t>
    </r>
    <r>
      <rPr>
        <sz val="12"/>
        <rFont val="돋움"/>
        <family val="3"/>
        <charset val="129"/>
      </rPr>
      <t>사</t>
    </r>
    <r>
      <rPr>
        <sz val="12"/>
        <rFont val="Arial"/>
        <family val="2"/>
      </rPr>
      <t xml:space="preserve">. 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회의</t>
    </r>
    <r>
      <rPr>
        <sz val="12"/>
        <rFont val="Arial"/>
        <family val="2"/>
      </rPr>
      <t xml:space="preserve"> : 150,000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*10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</t>
    </r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</si>
  <si>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과학영재교육원지원사업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</si>
  <si>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영재교육원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운영지원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대구광역시</t>
    </r>
    <r>
      <rPr>
        <sz val="12"/>
        <rFont val="Arial"/>
        <family val="2"/>
      </rPr>
      <t>)</t>
    </r>
  </si>
  <si>
    <r>
      <t xml:space="preserve">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영재교육원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운영지원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경상북도</t>
    </r>
    <r>
      <rPr>
        <sz val="12"/>
        <rFont val="Arial"/>
        <family val="2"/>
      </rPr>
      <t>)</t>
    </r>
  </si>
  <si>
    <r>
      <t xml:space="preserve"> 3. </t>
    </r>
    <r>
      <rPr>
        <b/>
        <sz val="12"/>
        <rFont val="돋움"/>
        <family val="3"/>
        <charset val="129"/>
      </rPr>
      <t>특허경비지원사업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</si>
  <si>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공간정보특성화대학원지원사업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</si>
  <si>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</si>
  <si>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봉급</t>
    </r>
    <r>
      <rPr>
        <sz val="12"/>
        <rFont val="Arial"/>
        <family val="2"/>
      </rPr>
      <t xml:space="preserve"> : 1,639,500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월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</si>
  <si>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명절휴가비</t>
    </r>
    <r>
      <rPr>
        <sz val="12"/>
        <rFont val="Arial"/>
        <family val="2"/>
      </rPr>
      <t xml:space="preserve"> : 984,000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회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</si>
  <si>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가족수당</t>
    </r>
    <r>
      <rPr>
        <sz val="12"/>
        <rFont val="Arial"/>
        <family val="2"/>
      </rPr>
      <t xml:space="preserve"> : 120,000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월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</si>
  <si>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시간외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수당</t>
    </r>
    <r>
      <rPr>
        <sz val="12"/>
        <rFont val="Arial"/>
        <family val="2"/>
      </rPr>
      <t xml:space="preserve"> : 270,000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월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</si>
  <si>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퇴직급여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적립</t>
    </r>
    <r>
      <rPr>
        <sz val="12"/>
        <rFont val="Arial"/>
        <family val="2"/>
      </rPr>
      <t xml:space="preserve"> : 2,300,000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</si>
  <si>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바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4</t>
    </r>
    <r>
      <rPr>
        <sz val="12"/>
        <rFont val="돋움"/>
        <family val="3"/>
        <charset val="129"/>
      </rPr>
      <t>대보험료</t>
    </r>
    <r>
      <rPr>
        <sz val="12"/>
        <rFont val="Arial"/>
        <family val="2"/>
      </rPr>
      <t xml:space="preserve"> : 600,000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개월</t>
    </r>
    <phoneticPr fontId="2" type="noConversion"/>
  </si>
  <si>
    <r>
      <t xml:space="preserve"> 1. </t>
    </r>
    <r>
      <rPr>
        <b/>
        <sz val="12"/>
        <rFont val="돋움"/>
        <family val="3"/>
        <charset val="129"/>
      </rPr>
      <t>광역경제권선도산업인재양성사업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인건비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</si>
  <si>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연구행정원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보수</t>
    </r>
    <r>
      <rPr>
        <sz val="12"/>
        <rFont val="Arial"/>
        <family val="2"/>
      </rPr>
      <t>:  1,500,000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</si>
  <si>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4</t>
    </r>
    <r>
      <rPr>
        <sz val="12"/>
        <rFont val="돋움"/>
        <family val="3"/>
        <charset val="129"/>
      </rPr>
      <t>대보험</t>
    </r>
    <r>
      <rPr>
        <sz val="12"/>
        <rFont val="Arial"/>
        <family val="2"/>
      </rPr>
      <t xml:space="preserve"> : 200,000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 xml:space="preserve"> 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</si>
  <si>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초과근무수당</t>
    </r>
    <r>
      <rPr>
        <sz val="12"/>
        <rFont val="Arial"/>
        <family val="2"/>
      </rPr>
      <t xml:space="preserve"> : 200,000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</si>
  <si>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>: 1,600,000*12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</si>
  <si>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시간외근무수당</t>
    </r>
    <r>
      <rPr>
        <sz val="12"/>
        <rFont val="Arial"/>
        <family val="2"/>
      </rPr>
      <t xml:space="preserve"> 9400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*30</t>
    </r>
    <r>
      <rPr>
        <sz val="12"/>
        <rFont val="돋움"/>
        <family val="3"/>
        <charset val="129"/>
      </rPr>
      <t>시간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</si>
  <si>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4</t>
    </r>
    <r>
      <rPr>
        <sz val="12"/>
        <rFont val="돋움"/>
        <family val="3"/>
        <charset val="129"/>
      </rPr>
      <t>대보험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기관부담금</t>
    </r>
    <r>
      <rPr>
        <sz val="12"/>
        <rFont val="Arial"/>
        <family val="2"/>
      </rPr>
      <t xml:space="preserve"> 300,000*12</t>
    </r>
    <r>
      <rPr>
        <sz val="12"/>
        <rFont val="돋움"/>
        <family val="3"/>
        <charset val="129"/>
      </rPr>
      <t>개월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명</t>
    </r>
  </si>
  <si>
    <r>
      <t xml:space="preserve">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인건비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환차손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기관부담금</t>
    </r>
    <r>
      <rPr>
        <sz val="12"/>
        <rFont val="Arial"/>
        <family val="2"/>
      </rPr>
      <t xml:space="preserve">   </t>
    </r>
  </si>
  <si>
    <r>
      <t xml:space="preserve"> 1. BK21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계약직원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퇴직금</t>
    </r>
    <phoneticPr fontId="2" type="noConversion"/>
  </si>
  <si>
    <r>
      <t xml:space="preserve"> 2.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계약직원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퇴직충당금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</si>
  <si>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연구행정원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퇴직충당금</t>
    </r>
    <r>
      <rPr>
        <b/>
        <sz val="12"/>
        <rFont val="Arial"/>
        <family val="2"/>
      </rPr>
      <t xml:space="preserve"> 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</si>
  <si>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</si>
  <si>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퇴직금</t>
    </r>
    <r>
      <rPr>
        <sz val="12"/>
        <rFont val="Arial"/>
        <family val="2"/>
      </rPr>
      <t xml:space="preserve"> : 1,600,000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명</t>
    </r>
    <phoneticPr fontId="2" type="noConversion"/>
  </si>
  <si>
    <r>
      <t xml:space="preserve"> 1. BK21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계약직원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복리후생비</t>
    </r>
    <phoneticPr fontId="2" type="noConversion"/>
  </si>
  <si>
    <r>
      <t xml:space="preserve"> 2.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계약직원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해외학자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복리후생비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</si>
  <si>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연구행정원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연가보상비</t>
    </r>
    <r>
      <rPr>
        <b/>
        <sz val="12"/>
        <rFont val="Arial"/>
        <family val="2"/>
      </rPr>
      <t xml:space="preserve"> , </t>
    </r>
    <r>
      <rPr>
        <b/>
        <sz val="12"/>
        <rFont val="돋움"/>
        <family val="3"/>
        <charset val="129"/>
      </rPr>
      <t>효도휴가비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</si>
  <si>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명절휴가비</t>
    </r>
    <r>
      <rPr>
        <sz val="12"/>
        <rFont val="Arial"/>
        <family val="2"/>
      </rPr>
      <t xml:space="preserve"> :3</t>
    </r>
    <r>
      <rPr>
        <sz val="12"/>
        <rFont val="돋움"/>
        <family val="3"/>
        <charset val="129"/>
      </rPr>
      <t>인</t>
    </r>
    <r>
      <rPr>
        <sz val="12"/>
        <rFont val="Arial"/>
        <family val="2"/>
      </rPr>
      <t>*750,000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회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</si>
  <si>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계약직원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연가보상비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명절휴가비</t>
    </r>
    <r>
      <rPr>
        <sz val="12"/>
        <rFont val="Arial"/>
        <family val="2"/>
      </rPr>
      <t xml:space="preserve"> 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</si>
  <si>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각종회의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참석</t>
    </r>
    <r>
      <rPr>
        <sz val="12"/>
        <rFont val="Arial"/>
        <family val="2"/>
      </rPr>
      <t xml:space="preserve"> :150,000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*4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 xml:space="preserve"> =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</si>
  <si>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국내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출장</t>
    </r>
    <r>
      <rPr>
        <sz val="12"/>
        <rFont val="Arial"/>
        <family val="2"/>
      </rPr>
      <t xml:space="preserve"> : 100,000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</si>
  <si>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각종회의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참석</t>
    </r>
    <r>
      <rPr>
        <sz val="12"/>
        <rFont val="Arial"/>
        <family val="2"/>
      </rPr>
      <t xml:space="preserve"> :100,000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*30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 xml:space="preserve"> =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</si>
  <si>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BK21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국내외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출장</t>
    </r>
    <r>
      <rPr>
        <sz val="12"/>
        <rFont val="Arial"/>
        <family val="2"/>
      </rPr>
      <t xml:space="preserve"> : 150,000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*20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 xml:space="preserve"> = 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</si>
  <si>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업무협의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참석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</si>
  <si>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국내외출장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</si>
  <si>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동반가족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출입국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항공료</t>
    </r>
    <r>
      <rPr>
        <sz val="12"/>
        <rFont val="Arial"/>
        <family val="2"/>
      </rPr>
      <t xml:space="preserve"> :  6,000,000*4</t>
    </r>
    <r>
      <rPr>
        <sz val="12"/>
        <rFont val="돋움"/>
        <family val="3"/>
        <charset val="129"/>
      </rPr>
      <t>개사업단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</si>
  <si>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설명회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국내외출장</t>
    </r>
    <r>
      <rPr>
        <sz val="12"/>
        <rFont val="Arial"/>
        <family val="2"/>
      </rPr>
      <t>: 800,000*5</t>
    </r>
    <r>
      <rPr>
        <sz val="12"/>
        <rFont val="돋움"/>
        <family val="3"/>
        <charset val="129"/>
      </rPr>
      <t>개사업단</t>
    </r>
  </si>
  <si>
    <r>
      <t xml:space="preserve"> 6.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여비</t>
    </r>
    <phoneticPr fontId="2" type="noConversion"/>
  </si>
  <si>
    <r>
      <t xml:space="preserve"> 7.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</si>
  <si>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5. </t>
    </r>
    <r>
      <rPr>
        <b/>
        <sz val="12"/>
        <rFont val="돋움"/>
        <family val="3"/>
        <charset val="129"/>
      </rPr>
      <t>학술지원사업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여비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</si>
  <si>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인력양성사업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참석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</si>
  <si>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기타학술지원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참석</t>
    </r>
  </si>
  <si>
    <r>
      <t xml:space="preserve"> 1. </t>
    </r>
    <r>
      <rPr>
        <b/>
        <sz val="12"/>
        <rFont val="돋움"/>
        <family val="3"/>
        <charset val="129"/>
      </rPr>
      <t>광역경제권선도산업인재양성사업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교육훈련비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</si>
  <si>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실무담당자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맞춤형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직무연수</t>
    </r>
    <r>
      <rPr>
        <sz val="12"/>
        <rFont val="Arial"/>
        <family val="2"/>
      </rPr>
      <t xml:space="preserve"> : 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*1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</t>
    </r>
  </si>
  <si>
    <r>
      <t xml:space="preserve"> 2. BK21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교육훈련비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</si>
  <si>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워크샵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개최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</si>
  <si>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컨설팅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강사료</t>
    </r>
    <r>
      <rPr>
        <sz val="12"/>
        <rFont val="Arial"/>
        <family val="2"/>
      </rPr>
      <t xml:space="preserve"> : 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*8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 xml:space="preserve"> = 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</si>
  <si>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교육훈련비</t>
    </r>
  </si>
  <si>
    <r>
      <t xml:space="preserve">     1) WCU</t>
    </r>
    <r>
      <rPr>
        <sz val="12"/>
        <rFont val="돋움"/>
        <family val="3"/>
        <charset val="129"/>
      </rPr>
      <t>워크샵</t>
    </r>
    <r>
      <rPr>
        <sz val="12"/>
        <rFont val="Arial"/>
        <family val="2"/>
      </rPr>
      <t xml:space="preserve"> 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간담회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개최</t>
    </r>
    <r>
      <rPr>
        <sz val="12"/>
        <rFont val="Arial"/>
        <family val="2"/>
      </rPr>
      <t xml:space="preserve">  10,000,000*2</t>
    </r>
    <r>
      <rPr>
        <sz val="12"/>
        <rFont val="돋움"/>
        <family val="3"/>
        <charset val="129"/>
      </rPr>
      <t>회</t>
    </r>
  </si>
  <si>
    <r>
      <t xml:space="preserve">     2)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담당자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교육훈련비</t>
    </r>
    <r>
      <rPr>
        <sz val="12"/>
        <rFont val="Arial"/>
        <family val="2"/>
      </rPr>
      <t xml:space="preserve"> 3,000,000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</si>
  <si>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워크샵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개최</t>
    </r>
    <r>
      <rPr>
        <sz val="12"/>
        <rFont val="Arial"/>
        <family val="2"/>
      </rPr>
      <t xml:space="preserve"> : 7,000,000*5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</si>
  <si>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관리담당자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참가</t>
    </r>
    <r>
      <rPr>
        <sz val="12"/>
        <rFont val="Arial"/>
        <family val="2"/>
      </rPr>
      <t xml:space="preserve">  400,000*5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</si>
  <si>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인력양성사업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관리담당자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등록비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</si>
  <si>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기타학술지원사업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관리담당자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교육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참가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등록비</t>
    </r>
  </si>
  <si>
    <r>
      <t xml:space="preserve"> 5. </t>
    </r>
    <r>
      <rPr>
        <b/>
        <sz val="12"/>
        <rFont val="돋움"/>
        <family val="3"/>
        <charset val="129"/>
      </rPr>
      <t>학술연구지원사업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교육훈련비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</si>
  <si>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교육훈련비</t>
    </r>
    <phoneticPr fontId="2" type="noConversion"/>
  </si>
  <si>
    <r>
      <t xml:space="preserve"> 1. </t>
    </r>
    <r>
      <rPr>
        <b/>
        <sz val="12"/>
        <rFont val="돋움"/>
        <family val="3"/>
        <charset val="129"/>
      </rPr>
      <t>광역경제권선도산업인재양성사업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소모품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구입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</si>
  <si>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업무용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물품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</si>
  <si>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BK21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토너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소모품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</si>
  <si>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행정실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사무용품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: 2,000,000*5</t>
    </r>
    <r>
      <rPr>
        <sz val="12"/>
        <rFont val="돋움"/>
        <family val="3"/>
        <charset val="129"/>
      </rPr>
      <t>개사업단</t>
    </r>
    <r>
      <rPr>
        <sz val="12"/>
        <rFont val="Arial"/>
        <family val="2"/>
      </rPr>
      <t xml:space="preserve"> 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</si>
  <si>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</si>
  <si>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센터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직원회의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: 200,000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회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</si>
  <si>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직원회의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</si>
  <si>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산학협력과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업무협의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</si>
  <si>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주요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국책사업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업무협의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</si>
  <si>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업무추진협의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간담회</t>
    </r>
    <r>
      <rPr>
        <sz val="12"/>
        <rFont val="Arial"/>
        <family val="2"/>
      </rPr>
      <t xml:space="preserve"> : 2,000,000*3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</si>
  <si>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>. 3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업무추진협의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간담회</t>
    </r>
    <r>
      <rPr>
        <sz val="12"/>
        <rFont val="Arial"/>
        <family val="2"/>
      </rPr>
      <t xml:space="preserve"> : 1,000,000*2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</si>
  <si>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인력양성사업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업무협의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</si>
  <si>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기타학술지원사업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업무협의</t>
    </r>
  </si>
  <si>
    <r>
      <t xml:space="preserve"> 5. </t>
    </r>
    <r>
      <rPr>
        <b/>
        <sz val="12"/>
        <rFont val="돋움"/>
        <family val="3"/>
        <charset val="129"/>
      </rPr>
      <t>학술지원사업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업무협의</t>
    </r>
    <phoneticPr fontId="2" type="noConversion"/>
  </si>
  <si>
    <r>
      <t xml:space="preserve"> 6.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업무협의</t>
    </r>
    <phoneticPr fontId="2" type="noConversion"/>
  </si>
  <si>
    <r>
      <t xml:space="preserve"> 2.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회의비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</si>
  <si>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>.2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운영회의</t>
    </r>
    <r>
      <rPr>
        <sz val="12"/>
        <rFont val="Arial"/>
        <family val="2"/>
      </rPr>
      <t xml:space="preserve"> : 100,000*5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</si>
  <si>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직원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단장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회의</t>
    </r>
    <r>
      <rPr>
        <sz val="12"/>
        <rFont val="Arial"/>
        <family val="2"/>
      </rPr>
      <t xml:space="preserve"> : 400,000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*10</t>
    </r>
    <r>
      <rPr>
        <sz val="12"/>
        <rFont val="돋움"/>
        <family val="3"/>
        <charset val="129"/>
      </rPr>
      <t>회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</si>
  <si>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연차평가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회의</t>
    </r>
    <r>
      <rPr>
        <sz val="12"/>
        <rFont val="Arial"/>
        <family val="2"/>
      </rPr>
      <t xml:space="preserve"> : 200,000*5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</si>
  <si>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운영회의</t>
    </r>
    <r>
      <rPr>
        <sz val="12"/>
        <rFont val="Arial"/>
        <family val="2"/>
      </rPr>
      <t xml:space="preserve"> : 200,000*10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</si>
  <si>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BK21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자체평가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회의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</si>
  <si>
    <r>
      <t xml:space="preserve"> 5.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회의비</t>
    </r>
    <phoneticPr fontId="2" type="noConversion"/>
  </si>
  <si>
    <r>
      <t xml:space="preserve"> 4. </t>
    </r>
    <r>
      <rPr>
        <b/>
        <sz val="12"/>
        <rFont val="돋움"/>
        <family val="3"/>
        <charset val="129"/>
      </rPr>
      <t>학술지원사업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회의비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</si>
  <si>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인력양성사업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회의비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</si>
  <si>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기타학술지원사업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회의비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</si>
  <si>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전국대학</t>
    </r>
    <r>
      <rPr>
        <sz val="12"/>
        <rFont val="Arial"/>
        <family val="2"/>
      </rPr>
      <t>BK21</t>
    </r>
    <r>
      <rPr>
        <sz val="12"/>
        <rFont val="돋움"/>
        <family val="3"/>
        <charset val="129"/>
      </rPr>
      <t>관리자협의회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연회비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수수료</t>
    </r>
    <phoneticPr fontId="2" type="noConversion"/>
  </si>
  <si>
    <r>
      <t xml:space="preserve"> 1. BK21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각종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수수료</t>
    </r>
    <phoneticPr fontId="2" type="noConversion"/>
  </si>
  <si>
    <r>
      <t xml:space="preserve"> 2.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각종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수수료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</si>
  <si>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각종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수수료</t>
    </r>
    <phoneticPr fontId="2" type="noConversion"/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</si>
  <si>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나라장터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이용수수료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</si>
  <si>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우편발송료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택배비</t>
    </r>
    <r>
      <rPr>
        <sz val="12"/>
        <rFont val="Arial"/>
        <family val="2"/>
      </rPr>
      <t xml:space="preserve"> </t>
    </r>
  </si>
  <si>
    <r>
      <t xml:space="preserve">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수수료</t>
    </r>
    <r>
      <rPr>
        <sz val="12"/>
        <rFont val="Arial"/>
        <family val="2"/>
      </rPr>
      <t>: 2,000,000*3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</si>
  <si>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>. 3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수수료</t>
    </r>
    <r>
      <rPr>
        <sz val="12"/>
        <rFont val="Arial"/>
        <family val="2"/>
      </rPr>
      <t>: 200,000*2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</si>
  <si>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1.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세금과공과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</si>
  <si>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전용회선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사용료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공과금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</si>
  <si>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공과금</t>
    </r>
    <r>
      <rPr>
        <sz val="12"/>
        <rFont val="Arial"/>
        <family val="2"/>
      </rPr>
      <t xml:space="preserve"> 1,000,000*3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</si>
  <si>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2.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회계관계직원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재정보험료</t>
    </r>
    <r>
      <rPr>
        <b/>
        <sz val="12"/>
        <rFont val="Arial"/>
        <family val="2"/>
      </rPr>
      <t xml:space="preserve">  </t>
    </r>
    <r>
      <rPr>
        <b/>
        <sz val="12"/>
        <rFont val="돋움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거점대학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단장협의회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회비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등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</si>
  <si>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부가가치세납부</t>
    </r>
    <phoneticPr fontId="2" type="noConversion"/>
  </si>
  <si>
    <r>
      <t xml:space="preserve">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산학협력단관련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협의회비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</si>
  <si>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BK21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인쇄</t>
    </r>
    <r>
      <rPr>
        <sz val="12"/>
        <rFont val="Arial"/>
        <family val="2"/>
      </rPr>
      <t xml:space="preserve"> : 500,000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*4</t>
    </r>
    <r>
      <rPr>
        <sz val="12"/>
        <rFont val="돋움"/>
        <family val="3"/>
        <charset val="129"/>
      </rPr>
      <t>회</t>
    </r>
    <phoneticPr fontId="2" type="noConversion"/>
  </si>
  <si>
    <r>
      <t xml:space="preserve"> 1. BK21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인쇄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도서구입비</t>
    </r>
    <phoneticPr fontId="2" type="noConversion"/>
  </si>
  <si>
    <r>
      <t xml:space="preserve"> 2.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출판인쇄비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</si>
  <si>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인쇄</t>
    </r>
    <r>
      <rPr>
        <sz val="12"/>
        <rFont val="Arial"/>
        <family val="2"/>
      </rPr>
      <t xml:space="preserve"> 300,000*10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=3,000,000</t>
    </r>
    <r>
      <rPr>
        <sz val="12"/>
        <rFont val="돋움"/>
        <family val="3"/>
        <charset val="129"/>
      </rPr>
      <t>원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</si>
  <si>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연차보고서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인쇄</t>
    </r>
    <r>
      <rPr>
        <sz val="12"/>
        <rFont val="Arial"/>
        <family val="2"/>
      </rPr>
      <t xml:space="preserve">  3,000,000*3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</si>
  <si>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.3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연차보고서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각종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자료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인쇄</t>
    </r>
    <r>
      <rPr>
        <sz val="12"/>
        <rFont val="Arial"/>
        <family val="2"/>
      </rPr>
      <t xml:space="preserve">  1,000,000*2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</si>
  <si>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3.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인쇄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도서구입비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</si>
  <si>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홍보용품</t>
    </r>
    <r>
      <rPr>
        <sz val="12"/>
        <rFont val="Arial"/>
        <family val="2"/>
      </rPr>
      <t xml:space="preserve"> : 5,000,000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 xml:space="preserve"> *2</t>
    </r>
    <r>
      <rPr>
        <sz val="12"/>
        <rFont val="돋움"/>
        <family val="3"/>
        <charset val="129"/>
      </rPr>
      <t>회</t>
    </r>
    <phoneticPr fontId="2" type="noConversion"/>
  </si>
  <si>
    <r>
      <t xml:space="preserve"> 1. BK21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홍보용품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구입</t>
    </r>
    <phoneticPr fontId="2" type="noConversion"/>
  </si>
  <si>
    <r>
      <t xml:space="preserve"> 2.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홍보비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</si>
  <si>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홍보용품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홍보물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제작</t>
    </r>
    <r>
      <rPr>
        <sz val="12"/>
        <rFont val="Arial"/>
        <family val="2"/>
      </rPr>
      <t xml:space="preserve"> 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</si>
  <si>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홍보용품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구입</t>
    </r>
    <r>
      <rPr>
        <sz val="12"/>
        <rFont val="Arial"/>
        <family val="2"/>
      </rPr>
      <t xml:space="preserve"> 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홍보물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제작</t>
    </r>
    <r>
      <rPr>
        <sz val="12"/>
        <rFont val="Arial"/>
        <family val="2"/>
      </rPr>
      <t xml:space="preserve"> 5,000,000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</si>
  <si>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3.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안내</t>
    </r>
    <r>
      <rPr>
        <b/>
        <sz val="12"/>
        <rFont val="Arial"/>
        <family val="2"/>
      </rPr>
      <t xml:space="preserve">, </t>
    </r>
    <r>
      <rPr>
        <b/>
        <sz val="12"/>
        <rFont val="돋움"/>
        <family val="3"/>
        <charset val="129"/>
      </rPr>
      <t>홍보물등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제작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</si>
  <si>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홈페이지업그레이드</t>
    </r>
    <r>
      <rPr>
        <sz val="12"/>
        <rFont val="Arial"/>
        <family val="2"/>
      </rPr>
      <t xml:space="preserve"> : 3,000,000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*1</t>
    </r>
    <r>
      <rPr>
        <sz val="12"/>
        <rFont val="돋움"/>
        <family val="3"/>
        <charset val="129"/>
      </rPr>
      <t>회</t>
    </r>
    <r>
      <rPr>
        <sz val="12"/>
        <rFont val="Arial"/>
        <family val="2"/>
      </rPr>
      <t>=</t>
    </r>
  </si>
  <si>
    <r>
      <t xml:space="preserve">  </t>
    </r>
    <r>
      <rPr>
        <sz val="12"/>
        <rFont val="돋움"/>
        <family val="3"/>
        <charset val="129"/>
      </rPr>
      <t>니</t>
    </r>
    <r>
      <rPr>
        <sz val="12"/>
        <rFont val="Arial"/>
        <family val="2"/>
      </rPr>
      <t>.  BK21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팀</t>
    </r>
    <r>
      <rPr>
        <sz val="12"/>
        <rFont val="Arial"/>
        <family val="2"/>
      </rPr>
      <t xml:space="preserve">) </t>
    </r>
    <r>
      <rPr>
        <sz val="12"/>
        <rFont val="돋움"/>
        <family val="3"/>
        <charset val="129"/>
      </rPr>
      <t>연차보고서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집중화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작업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지원</t>
    </r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</si>
  <si>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환경개선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유지보수비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</si>
  <si>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기타운영경비</t>
    </r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</si>
  <si>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주거공간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사용료</t>
    </r>
    <r>
      <rPr>
        <sz val="12"/>
        <rFont val="Arial"/>
        <family val="2"/>
      </rPr>
      <t xml:space="preserve"> </t>
    </r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</si>
  <si>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>. 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홈페이지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유지보수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기타관리운영경비</t>
    </r>
    <r>
      <rPr>
        <sz val="12"/>
        <rFont val="Arial"/>
        <family val="2"/>
      </rPr>
      <t xml:space="preserve"> 7,000,000*3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</si>
  <si>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>. 3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홈페이지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유지보수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기타관리운영경비</t>
    </r>
    <r>
      <rPr>
        <sz val="12"/>
        <rFont val="Arial"/>
        <family val="2"/>
      </rPr>
      <t xml:space="preserve"> 3,000,000*2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</si>
  <si>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1. </t>
    </r>
    <r>
      <rPr>
        <b/>
        <sz val="12"/>
        <rFont val="돋움"/>
        <family val="3"/>
        <charset val="129"/>
      </rPr>
      <t>연구과제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지원기관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반납</t>
    </r>
    <phoneticPr fontId="2" type="noConversion"/>
  </si>
  <si>
    <r>
      <t xml:space="preserve"> 2. </t>
    </r>
    <r>
      <rPr>
        <b/>
        <sz val="12"/>
        <rFont val="돋움"/>
        <family val="3"/>
        <charset val="129"/>
      </rPr>
      <t>공학교육혁신센터사업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</si>
  <si>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정보기술연구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인력양성사업단</t>
    </r>
  </si>
  <si>
    <r>
      <t xml:space="preserve">  </t>
    </r>
    <r>
      <rPr>
        <sz val="12"/>
        <rFont val="돋움"/>
        <family val="3"/>
        <charset val="129"/>
      </rPr>
      <t>바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미래지향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글로벌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방재전문인력양성사업단</t>
    </r>
  </si>
  <si>
    <r>
      <t xml:space="preserve">  </t>
    </r>
    <r>
      <rPr>
        <sz val="12"/>
        <rFont val="돋움"/>
        <family val="3"/>
        <charset val="129"/>
      </rPr>
      <t>사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지역혁신을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창의형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디지털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경영인재양성사업단</t>
    </r>
  </si>
  <si>
    <r>
      <t xml:space="preserve">  </t>
    </r>
    <r>
      <rPr>
        <sz val="12"/>
        <rFont val="돋움"/>
        <family val="3"/>
        <charset val="129"/>
      </rPr>
      <t>아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의료전문서비스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인력양성사업단</t>
    </r>
  </si>
  <si>
    <r>
      <t xml:space="preserve">  </t>
    </r>
    <r>
      <rPr>
        <sz val="12"/>
        <rFont val="돋움"/>
        <family val="3"/>
        <charset val="129"/>
      </rPr>
      <t>자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치의학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전문대학원</t>
    </r>
    <r>
      <rPr>
        <sz val="12"/>
        <rFont val="Arial"/>
        <family val="2"/>
      </rPr>
      <t xml:space="preserve"> BK21</t>
    </r>
    <r>
      <rPr>
        <sz val="12"/>
        <rFont val="돋움"/>
        <family val="3"/>
        <charset val="129"/>
      </rPr>
      <t>사업단</t>
    </r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</si>
  <si>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대사성증후군사업단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실험실습기자재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</si>
  <si>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고에너지충돌물리사업단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실험실습기자재</t>
    </r>
  </si>
  <si>
    <r>
      <t xml:space="preserve">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응용유체역학계산사업단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실험실습기자재</t>
    </r>
  </si>
  <si>
    <r>
      <t xml:space="preserve">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산학협력과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사무기자재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GP</t>
    </r>
    <r>
      <rPr>
        <sz val="12"/>
        <rFont val="돋움"/>
        <family val="3"/>
        <charset val="129"/>
      </rPr>
      <t>이전에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따른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행정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기자재</t>
    </r>
  </si>
  <si>
    <r>
      <t xml:space="preserve"> </t>
    </r>
    <r>
      <rPr>
        <sz val="12"/>
        <rFont val="돋움"/>
        <family val="3"/>
        <charset val="129"/>
      </rPr>
      <t>마</t>
    </r>
    <r>
      <rPr>
        <sz val="12"/>
        <rFont val="Arial"/>
        <family val="2"/>
      </rPr>
      <t>.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행정실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해외학자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사무기자재</t>
    </r>
    <r>
      <rPr>
        <sz val="12"/>
        <rFont val="Arial"/>
        <family val="2"/>
      </rPr>
      <t xml:space="preserve"> </t>
    </r>
    <phoneticPr fontId="2" type="noConversion"/>
  </si>
  <si>
    <r>
      <t xml:space="preserve"> 1. BK21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비품구입</t>
    </r>
    <phoneticPr fontId="2" type="noConversion"/>
  </si>
  <si>
    <r>
      <t xml:space="preserve"> 2.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비품구입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</si>
  <si>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집기비품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등</t>
    </r>
    <phoneticPr fontId="2" type="noConversion"/>
  </si>
  <si>
    <r>
      <t xml:space="preserve">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업무용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비품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GP</t>
    </r>
    <r>
      <rPr>
        <sz val="12"/>
        <rFont val="돋움"/>
        <family val="3"/>
        <charset val="129"/>
      </rPr>
      <t>이전에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따른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사무용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비품</t>
    </r>
  </si>
  <si>
    <r>
      <t xml:space="preserve">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대사성증후군사업단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동물실험실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비품</t>
    </r>
    <r>
      <rPr>
        <sz val="12"/>
        <rFont val="Arial"/>
        <family val="2"/>
      </rPr>
      <t xml:space="preserve"> </t>
    </r>
  </si>
  <si>
    <r>
      <t xml:space="preserve">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>. 2</t>
    </r>
    <r>
      <rPr>
        <sz val="12"/>
        <rFont val="돋움"/>
        <family val="3"/>
        <charset val="129"/>
      </rPr>
      <t>유형</t>
    </r>
    <r>
      <rPr>
        <sz val="12"/>
        <rFont val="Arial"/>
        <family val="2"/>
      </rPr>
      <t xml:space="preserve"> WCU</t>
    </r>
    <r>
      <rPr>
        <sz val="12"/>
        <rFont val="돋움"/>
        <family val="3"/>
        <charset val="129"/>
      </rPr>
      <t>사업단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연구실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행정실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집기비품</t>
    </r>
    <r>
      <rPr>
        <sz val="12"/>
        <rFont val="Arial"/>
        <family val="2"/>
      </rPr>
      <t xml:space="preserve"> 15,500,000*3</t>
    </r>
    <r>
      <rPr>
        <sz val="12"/>
        <rFont val="돋움"/>
        <family val="3"/>
        <charset val="129"/>
      </rPr>
      <t>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사업단</t>
    </r>
  </si>
  <si>
    <r>
      <t xml:space="preserve"> 3. WCU</t>
    </r>
    <r>
      <rPr>
        <b/>
        <sz val="12"/>
        <rFont val="돋움"/>
        <family val="3"/>
        <charset val="129"/>
      </rPr>
      <t>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지적재산권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취득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및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관리비지원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</si>
  <si>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하</t>
    </r>
    <r>
      <rPr>
        <sz val="12"/>
        <rFont val="Arial"/>
        <family val="2"/>
      </rPr>
      <t>. BK21</t>
    </r>
    <r>
      <rPr>
        <sz val="12"/>
        <rFont val="돋움"/>
        <family val="3"/>
        <charset val="129"/>
      </rPr>
      <t>사업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간접비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이월</t>
    </r>
  </si>
  <si>
    <r>
      <t xml:space="preserve"> 1. </t>
    </r>
    <r>
      <rPr>
        <b/>
        <sz val="12"/>
        <rFont val="돋움"/>
        <family val="3"/>
        <charset val="129"/>
      </rPr>
      <t>정보통신연구전담교수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채용기금조성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지원사업</t>
    </r>
    <r>
      <rPr>
        <b/>
        <sz val="12"/>
        <rFont val="Arial"/>
        <family val="2"/>
      </rPr>
      <t xml:space="preserve"> 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</si>
  <si>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 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인력양성지원</t>
    </r>
  </si>
  <si>
    <r>
      <t xml:space="preserve"> 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기타학술지원</t>
    </r>
  </si>
  <si>
    <r>
      <t xml:space="preserve">22. </t>
    </r>
    <r>
      <rPr>
        <b/>
        <sz val="12"/>
        <rFont val="돋움"/>
        <family val="3"/>
        <charset val="129"/>
      </rPr>
      <t>대학선도</t>
    </r>
    <r>
      <rPr>
        <b/>
        <sz val="12"/>
        <rFont val="Arial"/>
        <family val="2"/>
      </rPr>
      <t xml:space="preserve"> TLO </t>
    </r>
    <r>
      <rPr>
        <b/>
        <sz val="12"/>
        <rFont val="돋움"/>
        <family val="3"/>
        <charset val="129"/>
      </rPr>
      <t>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</si>
  <si>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21. </t>
    </r>
    <r>
      <rPr>
        <b/>
        <sz val="12"/>
        <rFont val="돋움"/>
        <family val="3"/>
        <charset val="129"/>
      </rPr>
      <t>창업보육센터지원사업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</si>
  <si>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23. </t>
    </r>
    <r>
      <rPr>
        <b/>
        <sz val="12"/>
        <rFont val="돋움"/>
        <family val="3"/>
        <charset val="129"/>
      </rPr>
      <t>글로벌박사펠로우십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보조금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</si>
  <si>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24. </t>
    </r>
    <r>
      <rPr>
        <b/>
        <sz val="12"/>
        <rFont val="돋움"/>
        <family val="3"/>
        <charset val="129"/>
      </rPr>
      <t>미래기초핵심리더양성사업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보조금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</si>
  <si>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25. </t>
    </r>
    <r>
      <rPr>
        <b/>
        <sz val="12"/>
        <rFont val="돋움"/>
        <family val="3"/>
        <charset val="129"/>
      </rPr>
      <t>연구과제수행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</si>
  <si>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26. </t>
    </r>
    <r>
      <rPr>
        <b/>
        <sz val="12"/>
        <rFont val="돋움"/>
        <family val="3"/>
        <charset val="129"/>
      </rPr>
      <t>산학협력단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이월예정액</t>
    </r>
    <phoneticPr fontId="2" type="noConversion"/>
  </si>
  <si>
    <r>
      <t xml:space="preserve">27. </t>
    </r>
    <r>
      <rPr>
        <b/>
        <sz val="12"/>
        <rFont val="돋움"/>
        <family val="3"/>
        <charset val="129"/>
      </rPr>
      <t>상주분단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</si>
  <si>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중앙관리기관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연구행정원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보수</t>
    </r>
    <r>
      <rPr>
        <sz val="12"/>
        <rFont val="Arial"/>
        <family val="2"/>
      </rPr>
      <t xml:space="preserve"> : 1,600,000*1.0625*12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*41</t>
    </r>
    <r>
      <rPr>
        <sz val="12"/>
        <rFont val="돋움"/>
        <family val="3"/>
        <charset val="129"/>
      </rPr>
      <t>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</si>
  <si>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중앙관리기관</t>
    </r>
    <r>
      <rPr>
        <sz val="12"/>
        <rFont val="Arial"/>
        <family val="2"/>
      </rPr>
      <t xml:space="preserve"> (</t>
    </r>
    <r>
      <rPr>
        <sz val="12"/>
        <rFont val="돋움"/>
        <family val="3"/>
        <charset val="129"/>
      </rPr>
      <t>특수경력직보수</t>
    </r>
    <r>
      <rPr>
        <sz val="12"/>
        <rFont val="Arial"/>
        <family val="2"/>
      </rPr>
      <t>) : 5,000,000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*2</t>
    </r>
    <r>
      <rPr>
        <sz val="12"/>
        <rFont val="돋움"/>
        <family val="3"/>
        <charset val="129"/>
      </rPr>
      <t>명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</si>
  <si>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연구행정원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시간외근무수당</t>
    </r>
    <r>
      <rPr>
        <sz val="12"/>
        <rFont val="Arial"/>
        <family val="2"/>
      </rPr>
      <t xml:space="preserve"> : 9,400</t>
    </r>
    <r>
      <rPr>
        <sz val="12"/>
        <rFont val="돋움"/>
        <family val="3"/>
        <charset val="129"/>
      </rPr>
      <t>원</t>
    </r>
    <r>
      <rPr>
        <sz val="12"/>
        <rFont val="Arial"/>
        <family val="2"/>
      </rPr>
      <t>*30</t>
    </r>
    <r>
      <rPr>
        <sz val="12"/>
        <rFont val="돋움"/>
        <family val="3"/>
        <charset val="129"/>
      </rPr>
      <t>시간</t>
    </r>
    <r>
      <rPr>
        <sz val="12"/>
        <rFont val="Arial"/>
        <family val="2"/>
      </rPr>
      <t>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*41</t>
    </r>
    <r>
      <rPr>
        <sz val="12"/>
        <rFont val="돋움"/>
        <family val="3"/>
        <charset val="129"/>
      </rPr>
      <t>명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</si>
  <si>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자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행정전담요원인건비지원</t>
    </r>
    <r>
      <rPr>
        <sz val="12"/>
        <rFont val="Arial"/>
        <family val="2"/>
      </rPr>
      <t xml:space="preserve"> 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</si>
  <si>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산학협력단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연구행정원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퇴직충당금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</si>
  <si>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보조관리기관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연구행정원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퇴직충당금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</si>
  <si>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나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개인용</t>
    </r>
    <r>
      <rPr>
        <sz val="12"/>
        <rFont val="Arial"/>
        <family val="2"/>
      </rPr>
      <t>PC : 1,500,000 * 15</t>
    </r>
    <r>
      <rPr>
        <sz val="12"/>
        <rFont val="돋움"/>
        <family val="3"/>
        <charset val="129"/>
      </rPr>
      <t>대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</si>
  <si>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라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전자복사기</t>
    </r>
    <r>
      <rPr>
        <sz val="12"/>
        <rFont val="Arial"/>
        <family val="2"/>
      </rPr>
      <t xml:space="preserve"> : 10,000,000 *2</t>
    </r>
    <r>
      <rPr>
        <sz val="12"/>
        <rFont val="돋움"/>
        <family val="3"/>
        <charset val="129"/>
      </rPr>
      <t>대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</si>
  <si>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사</t>
    </r>
    <r>
      <rPr>
        <sz val="12"/>
        <rFont val="Arial"/>
        <family val="2"/>
      </rPr>
      <t>. GP</t>
    </r>
    <r>
      <rPr>
        <sz val="12"/>
        <rFont val="돋움"/>
        <family val="3"/>
        <charset val="129"/>
      </rPr>
      <t>건물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사무실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이전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비품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회의실설치비용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전화기등</t>
    </r>
    <r>
      <rPr>
        <sz val="12"/>
        <rFont val="Arial"/>
        <family val="2"/>
      </rPr>
      <t>)</t>
    </r>
    <phoneticPr fontId="2" type="noConversion"/>
  </si>
  <si>
    <r>
      <t xml:space="preserve"> 3. </t>
    </r>
    <r>
      <rPr>
        <b/>
        <sz val="12"/>
        <rFont val="돋움"/>
        <family val="3"/>
        <charset val="129"/>
      </rPr>
      <t>연구과제</t>
    </r>
    <r>
      <rPr>
        <b/>
        <sz val="12"/>
        <rFont val="Arial"/>
        <family val="2"/>
      </rPr>
      <t xml:space="preserve"> </t>
    </r>
    <r>
      <rPr>
        <b/>
        <sz val="12"/>
        <rFont val="돋움"/>
        <family val="3"/>
        <charset val="129"/>
      </rPr>
      <t>기타부담금</t>
    </r>
    <phoneticPr fontId="2" type="noConversion"/>
  </si>
  <si>
    <r>
      <t xml:space="preserve">  </t>
    </r>
    <r>
      <rPr>
        <sz val="12"/>
        <rFont val="돋움"/>
        <family val="3"/>
        <charset val="129"/>
      </rPr>
      <t>다</t>
    </r>
    <r>
      <rPr>
        <sz val="12"/>
        <rFont val="Arial"/>
        <family val="2"/>
      </rPr>
      <t xml:space="preserve">. </t>
    </r>
    <r>
      <rPr>
        <sz val="12"/>
        <rFont val="돋움"/>
        <family val="3"/>
        <charset val="129"/>
      </rPr>
      <t>보조관리기관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연구행정원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보수</t>
    </r>
    <r>
      <rPr>
        <sz val="12"/>
        <rFont val="Arial"/>
        <family val="2"/>
      </rPr>
      <t xml:space="preserve"> : 1,500,000*12</t>
    </r>
    <r>
      <rPr>
        <sz val="12"/>
        <rFont val="돋움"/>
        <family val="3"/>
        <charset val="129"/>
      </rPr>
      <t>월</t>
    </r>
    <r>
      <rPr>
        <sz val="12"/>
        <rFont val="Arial"/>
        <family val="2"/>
      </rPr>
      <t>*39</t>
    </r>
    <r>
      <rPr>
        <sz val="12"/>
        <rFont val="돋움"/>
        <family val="3"/>
        <charset val="129"/>
      </rPr>
      <t>명</t>
    </r>
    <phoneticPr fontId="2" type="noConversion"/>
  </si>
  <si>
    <t>자금예산서</t>
    <phoneticPr fontId="2" type="noConversion"/>
  </si>
</sst>
</file>

<file path=xl/styles.xml><?xml version="1.0" encoding="utf-8"?>
<styleSheet xmlns="http://schemas.openxmlformats.org/spreadsheetml/2006/main">
  <numFmts count="3">
    <numFmt numFmtId="41" formatCode="_-* #,##0_-;\-* #,##0_-;_-* &quot;-&quot;_-;_-@_-"/>
    <numFmt numFmtId="176" formatCode="#,##0_ "/>
    <numFmt numFmtId="177" formatCode="#,##0;&quot;-&quot;#,##0"/>
  </numFmts>
  <fonts count="3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"/>
      <family val="3"/>
      <charset val="129"/>
    </font>
    <font>
      <sz val="14"/>
      <name val="Arial"/>
      <family val="2"/>
    </font>
    <font>
      <sz val="10"/>
      <name val="굴림"/>
      <family val="3"/>
      <charset val="129"/>
    </font>
    <font>
      <sz val="18"/>
      <name val="굴림"/>
      <family val="3"/>
      <charset val="129"/>
    </font>
    <font>
      <sz val="11"/>
      <name val="굴림"/>
      <family val="3"/>
      <charset val="129"/>
    </font>
    <font>
      <b/>
      <sz val="12"/>
      <name val="굴림"/>
      <family val="3"/>
      <charset val="129"/>
    </font>
    <font>
      <b/>
      <sz val="14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11"/>
      <name val="돋움"/>
      <family val="3"/>
      <charset val="129"/>
    </font>
    <font>
      <b/>
      <sz val="16"/>
      <name val="Arial"/>
      <family val="2"/>
    </font>
    <font>
      <b/>
      <sz val="16"/>
      <name val="돋움"/>
      <family val="3"/>
      <charset val="129"/>
    </font>
    <font>
      <sz val="16"/>
      <name val="Arial"/>
      <family val="2"/>
    </font>
    <font>
      <b/>
      <sz val="20"/>
      <name val="굴림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</fills>
  <borders count="7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3701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0" fontId="15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24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410">
    <xf numFmtId="0" fontId="0" fillId="0" borderId="0" xfId="0">
      <alignment vertical="center"/>
    </xf>
    <xf numFmtId="0" fontId="5" fillId="26" borderId="0" xfId="3550" applyFont="1" applyFill="1" applyAlignment="1">
      <alignment vertical="center"/>
    </xf>
    <xf numFmtId="0" fontId="5" fillId="0" borderId="0" xfId="3550" applyFont="1" applyFill="1" applyAlignment="1">
      <alignment vertical="center"/>
    </xf>
    <xf numFmtId="41" fontId="5" fillId="0" borderId="13" xfId="3550" applyNumberFormat="1" applyFont="1" applyBorder="1" applyAlignment="1">
      <alignment vertical="center"/>
    </xf>
    <xf numFmtId="41" fontId="5" fillId="0" borderId="0" xfId="2636" applyFont="1" applyAlignment="1">
      <alignment vertical="center" shrinkToFit="1"/>
    </xf>
    <xf numFmtId="41" fontId="5" fillId="0" borderId="13" xfId="2636" applyFont="1" applyBorder="1" applyAlignment="1">
      <alignment vertical="center"/>
    </xf>
    <xf numFmtId="0" fontId="4" fillId="0" borderId="0" xfId="3550" applyFont="1" applyAlignment="1">
      <alignment vertical="center"/>
    </xf>
    <xf numFmtId="0" fontId="6" fillId="0" borderId="0" xfId="3550" applyFont="1" applyAlignment="1">
      <alignment vertical="center"/>
    </xf>
    <xf numFmtId="3" fontId="5" fillId="0" borderId="0" xfId="3550" applyNumberFormat="1" applyFont="1" applyBorder="1" applyAlignment="1">
      <alignment vertical="center"/>
    </xf>
    <xf numFmtId="3" fontId="6" fillId="31" borderId="12" xfId="3550" applyNumberFormat="1" applyFont="1" applyFill="1" applyBorder="1" applyAlignment="1">
      <alignment vertical="center"/>
    </xf>
    <xf numFmtId="0" fontId="6" fillId="0" borderId="0" xfId="3594" applyFont="1" applyAlignment="1">
      <alignment vertical="center"/>
    </xf>
    <xf numFmtId="0" fontId="5" fillId="0" borderId="0" xfId="3594" applyFont="1" applyAlignment="1">
      <alignment vertical="center" shrinkToFit="1"/>
    </xf>
    <xf numFmtId="0" fontId="5" fillId="27" borderId="18" xfId="3594" applyFont="1" applyFill="1" applyBorder="1" applyAlignment="1">
      <alignment horizontal="center" vertical="center"/>
    </xf>
    <xf numFmtId="0" fontId="5" fillId="0" borderId="0" xfId="3594" applyFont="1" applyFill="1" applyBorder="1" applyAlignment="1">
      <alignment vertical="center"/>
    </xf>
    <xf numFmtId="0" fontId="5" fillId="0" borderId="0" xfId="2637" applyNumberFormat="1" applyFont="1" applyBorder="1" applyAlignment="1">
      <alignment vertical="center"/>
    </xf>
    <xf numFmtId="3" fontId="6" fillId="0" borderId="0" xfId="3550" applyNumberFormat="1" applyFont="1" applyAlignment="1">
      <alignment vertical="center"/>
    </xf>
    <xf numFmtId="0" fontId="6" fillId="0" borderId="0" xfId="3550" applyFont="1" applyFill="1" applyBorder="1" applyAlignment="1">
      <alignment vertical="center"/>
    </xf>
    <xf numFmtId="0" fontId="5" fillId="0" borderId="0" xfId="3550" applyFont="1" applyFill="1" applyBorder="1" applyAlignment="1">
      <alignment vertical="center" wrapText="1"/>
    </xf>
    <xf numFmtId="41" fontId="5" fillId="0" borderId="0" xfId="2636" applyFont="1" applyBorder="1" applyAlignment="1">
      <alignment horizontal="right" vertical="center" shrinkToFit="1"/>
    </xf>
    <xf numFmtId="41" fontId="5" fillId="31" borderId="19" xfId="2636" applyFont="1" applyFill="1" applyBorder="1" applyAlignment="1">
      <alignment vertical="center"/>
    </xf>
    <xf numFmtId="0" fontId="5" fillId="0" borderId="13" xfId="3550" applyFont="1" applyFill="1" applyBorder="1" applyAlignment="1">
      <alignment vertical="center" wrapText="1"/>
    </xf>
    <xf numFmtId="176" fontId="5" fillId="0" borderId="25" xfId="0" applyNumberFormat="1" applyFont="1" applyFill="1" applyBorder="1">
      <alignment vertical="center"/>
    </xf>
    <xf numFmtId="0" fontId="5" fillId="0" borderId="25" xfId="0" applyFont="1" applyFill="1" applyBorder="1">
      <alignment vertical="center"/>
    </xf>
    <xf numFmtId="0" fontId="5" fillId="0" borderId="0" xfId="0" applyFont="1" applyFill="1" applyBorder="1">
      <alignment vertical="center"/>
    </xf>
    <xf numFmtId="41" fontId="5" fillId="0" borderId="27" xfId="2636" applyFont="1" applyFill="1" applyBorder="1" applyAlignment="1">
      <alignment vertical="center"/>
    </xf>
    <xf numFmtId="41" fontId="5" fillId="0" borderId="25" xfId="0" applyNumberFormat="1" applyFont="1" applyBorder="1">
      <alignment vertical="center"/>
    </xf>
    <xf numFmtId="0" fontId="5" fillId="0" borderId="13" xfId="3665" applyFont="1" applyFill="1" applyBorder="1" applyAlignment="1">
      <alignment vertical="center"/>
    </xf>
    <xf numFmtId="0" fontId="6" fillId="0" borderId="17" xfId="3594" applyFont="1" applyBorder="1" applyAlignment="1">
      <alignment vertical="center" shrinkToFit="1"/>
    </xf>
    <xf numFmtId="0" fontId="5" fillId="0" borderId="13" xfId="2637" applyNumberFormat="1" applyFont="1" applyBorder="1" applyAlignment="1">
      <alignment vertical="center"/>
    </xf>
    <xf numFmtId="41" fontId="5" fillId="0" borderId="25" xfId="2636" applyNumberFormat="1" applyFont="1" applyFill="1" applyBorder="1" applyAlignment="1">
      <alignment vertical="center"/>
    </xf>
    <xf numFmtId="41" fontId="5" fillId="0" borderId="25" xfId="2636" applyNumberFormat="1" applyFont="1" applyBorder="1" applyAlignment="1">
      <alignment vertical="center"/>
    </xf>
    <xf numFmtId="0" fontId="5" fillId="36" borderId="13" xfId="3594" applyFont="1" applyFill="1" applyBorder="1" applyAlignment="1">
      <alignment horizontal="left" vertical="center"/>
    </xf>
    <xf numFmtId="41" fontId="5" fillId="36" borderId="26" xfId="2636" applyFont="1" applyFill="1" applyBorder="1" applyAlignment="1">
      <alignment vertical="center"/>
    </xf>
    <xf numFmtId="0" fontId="5" fillId="0" borderId="0" xfId="3594" applyFont="1" applyAlignment="1">
      <alignment vertical="center"/>
    </xf>
    <xf numFmtId="0" fontId="5" fillId="36" borderId="13" xfId="3594" applyFont="1" applyFill="1" applyBorder="1" applyAlignment="1">
      <alignment vertical="center" shrinkToFit="1"/>
    </xf>
    <xf numFmtId="0" fontId="6" fillId="28" borderId="0" xfId="3550" applyFont="1" applyFill="1" applyAlignment="1">
      <alignment vertical="center"/>
    </xf>
    <xf numFmtId="0" fontId="5" fillId="36" borderId="13" xfId="2637" applyNumberFormat="1" applyFont="1" applyFill="1" applyBorder="1" applyAlignment="1">
      <alignment vertical="center"/>
    </xf>
    <xf numFmtId="41" fontId="5" fillId="36" borderId="25" xfId="2636" applyFont="1" applyFill="1" applyBorder="1">
      <alignment vertical="center"/>
    </xf>
    <xf numFmtId="49" fontId="5" fillId="36" borderId="13" xfId="2637" applyNumberFormat="1" applyFont="1" applyFill="1" applyBorder="1" applyAlignment="1">
      <alignment vertical="center"/>
    </xf>
    <xf numFmtId="41" fontId="5" fillId="36" borderId="25" xfId="2636" applyFont="1" applyFill="1" applyBorder="1" applyAlignment="1">
      <alignment vertical="center" shrinkToFit="1"/>
    </xf>
    <xf numFmtId="0" fontId="5" fillId="36" borderId="13" xfId="3550" applyFont="1" applyFill="1" applyBorder="1" applyAlignment="1">
      <alignment vertical="center" shrinkToFit="1"/>
    </xf>
    <xf numFmtId="0" fontId="5" fillId="36" borderId="13" xfId="3550" applyFont="1" applyFill="1" applyBorder="1" applyAlignment="1">
      <alignment vertical="center"/>
    </xf>
    <xf numFmtId="0" fontId="5" fillId="36" borderId="13" xfId="3550" applyFont="1" applyFill="1" applyBorder="1" applyAlignment="1">
      <alignment vertical="center" wrapText="1"/>
    </xf>
    <xf numFmtId="41" fontId="5" fillId="36" borderId="26" xfId="2636" applyFont="1" applyFill="1" applyBorder="1" applyAlignment="1">
      <alignment vertical="center" shrinkToFit="1"/>
    </xf>
    <xf numFmtId="0" fontId="5" fillId="36" borderId="13" xfId="3594" applyFont="1" applyFill="1" applyBorder="1" applyAlignment="1">
      <alignment vertical="center"/>
    </xf>
    <xf numFmtId="41" fontId="5" fillId="35" borderId="0" xfId="2636" applyFont="1" applyFill="1" applyAlignment="1">
      <alignment vertical="center"/>
    </xf>
    <xf numFmtId="3" fontId="5" fillId="0" borderId="0" xfId="3550" applyNumberFormat="1" applyFont="1" applyAlignment="1">
      <alignment vertical="center"/>
    </xf>
    <xf numFmtId="41" fontId="5" fillId="36" borderId="25" xfId="2636" applyFont="1" applyFill="1" applyBorder="1" applyAlignment="1">
      <alignment vertical="center"/>
    </xf>
    <xf numFmtId="41" fontId="5" fillId="0" borderId="25" xfId="0" applyNumberFormat="1" applyFont="1" applyFill="1" applyBorder="1">
      <alignment vertical="center"/>
    </xf>
    <xf numFmtId="0" fontId="6" fillId="0" borderId="0" xfId="0" applyFont="1" applyBorder="1">
      <alignment vertical="center"/>
    </xf>
    <xf numFmtId="41" fontId="5" fillId="0" borderId="25" xfId="2636" applyNumberFormat="1" applyFont="1" applyBorder="1">
      <alignment vertical="center"/>
    </xf>
    <xf numFmtId="41" fontId="5" fillId="0" borderId="25" xfId="2636" applyNumberFormat="1" applyFont="1" applyFill="1" applyBorder="1" applyAlignment="1">
      <alignment horizontal="right" vertical="center"/>
    </xf>
    <xf numFmtId="41" fontId="5" fillId="0" borderId="0" xfId="2636" applyFont="1" applyBorder="1">
      <alignment vertical="center"/>
    </xf>
    <xf numFmtId="41" fontId="5" fillId="0" borderId="0" xfId="2636" applyFont="1" applyFill="1" applyBorder="1">
      <alignment vertical="center"/>
    </xf>
    <xf numFmtId="41" fontId="5" fillId="36" borderId="14" xfId="2636" applyFont="1" applyFill="1" applyBorder="1" applyAlignment="1">
      <alignment vertical="center"/>
    </xf>
    <xf numFmtId="41" fontId="5" fillId="0" borderId="13" xfId="2636" applyFont="1" applyFill="1" applyBorder="1">
      <alignment vertical="center"/>
    </xf>
    <xf numFmtId="41" fontId="5" fillId="0" borderId="15" xfId="2636" applyFont="1" applyFill="1" applyBorder="1" applyAlignment="1">
      <alignment vertical="center" shrinkToFit="1"/>
    </xf>
    <xf numFmtId="41" fontId="5" fillId="0" borderId="14" xfId="2636" applyFont="1" applyFill="1" applyBorder="1" applyAlignment="1">
      <alignment vertical="center" shrinkToFit="1"/>
    </xf>
    <xf numFmtId="0" fontId="5" fillId="24" borderId="11" xfId="3550" applyFont="1" applyFill="1" applyBorder="1" applyAlignment="1">
      <alignment vertical="center"/>
    </xf>
    <xf numFmtId="0" fontId="5" fillId="25" borderId="12" xfId="3550" applyFont="1" applyFill="1" applyBorder="1" applyAlignment="1">
      <alignment vertical="center"/>
    </xf>
    <xf numFmtId="0" fontId="5" fillId="0" borderId="0" xfId="3550" applyFont="1" applyFill="1" applyBorder="1" applyAlignment="1">
      <alignment vertical="center"/>
    </xf>
    <xf numFmtId="3" fontId="5" fillId="0" borderId="13" xfId="3550" applyNumberFormat="1" applyFont="1" applyFill="1" applyBorder="1" applyAlignment="1">
      <alignment vertical="center"/>
    </xf>
    <xf numFmtId="0" fontId="5" fillId="27" borderId="14" xfId="3594" applyFont="1" applyFill="1" applyBorder="1" applyAlignment="1">
      <alignment vertical="center"/>
    </xf>
    <xf numFmtId="0" fontId="5" fillId="0" borderId="14" xfId="3594" applyFont="1" applyBorder="1" applyAlignment="1">
      <alignment vertical="center" wrapText="1"/>
    </xf>
    <xf numFmtId="0" fontId="6" fillId="0" borderId="13" xfId="3594" applyFont="1" applyBorder="1" applyAlignment="1">
      <alignment vertical="center" shrinkToFit="1"/>
    </xf>
    <xf numFmtId="0" fontId="5" fillId="0" borderId="13" xfId="3594" applyFont="1" applyFill="1" applyBorder="1" applyAlignment="1">
      <alignment vertical="center" shrinkToFit="1"/>
    </xf>
    <xf numFmtId="0" fontId="6" fillId="25" borderId="12" xfId="3594" applyFont="1" applyFill="1" applyBorder="1" applyAlignment="1">
      <alignment vertical="center" shrinkToFit="1"/>
    </xf>
    <xf numFmtId="0" fontId="5" fillId="0" borderId="13" xfId="3594" applyFont="1" applyBorder="1" applyAlignment="1">
      <alignment vertical="center"/>
    </xf>
    <xf numFmtId="0" fontId="6" fillId="0" borderId="13" xfId="3550" applyFont="1" applyFill="1" applyBorder="1" applyAlignment="1">
      <alignment vertical="center"/>
    </xf>
    <xf numFmtId="0" fontId="6" fillId="24" borderId="12" xfId="3550" applyFont="1" applyFill="1" applyBorder="1" applyAlignment="1">
      <alignment vertical="center"/>
    </xf>
    <xf numFmtId="0" fontId="6" fillId="0" borderId="13" xfId="3594" applyFont="1" applyFill="1" applyBorder="1" applyAlignment="1">
      <alignment horizontal="left" vertical="center"/>
    </xf>
    <xf numFmtId="0" fontId="5" fillId="0" borderId="13" xfId="3550" applyFont="1" applyFill="1" applyBorder="1" applyAlignment="1">
      <alignment vertical="center"/>
    </xf>
    <xf numFmtId="0" fontId="6" fillId="0" borderId="13" xfId="3550" applyFont="1" applyBorder="1" applyAlignment="1">
      <alignment vertical="center"/>
    </xf>
    <xf numFmtId="0" fontId="5" fillId="0" borderId="11" xfId="3550" applyFont="1" applyFill="1" applyBorder="1" applyAlignment="1">
      <alignment vertical="center"/>
    </xf>
    <xf numFmtId="41" fontId="5" fillId="0" borderId="14" xfId="2636" applyFont="1" applyBorder="1" applyAlignment="1">
      <alignment vertical="center"/>
    </xf>
    <xf numFmtId="0" fontId="6" fillId="0" borderId="14" xfId="3550" applyFont="1" applyBorder="1" applyAlignment="1">
      <alignment vertical="center"/>
    </xf>
    <xf numFmtId="0" fontId="6" fillId="28" borderId="14" xfId="3550" applyFont="1" applyFill="1" applyBorder="1" applyAlignment="1">
      <alignment vertical="center"/>
    </xf>
    <xf numFmtId="0" fontId="5" fillId="0" borderId="13" xfId="3594" applyFont="1" applyFill="1" applyBorder="1" applyAlignment="1">
      <alignment vertical="center"/>
    </xf>
    <xf numFmtId="41" fontId="5" fillId="0" borderId="15" xfId="2636" applyFont="1" applyBorder="1" applyAlignment="1">
      <alignment vertical="center"/>
    </xf>
    <xf numFmtId="41" fontId="5" fillId="0" borderId="15" xfId="2636" applyFont="1" applyFill="1" applyBorder="1" applyAlignment="1">
      <alignment vertical="center"/>
    </xf>
    <xf numFmtId="0" fontId="6" fillId="0" borderId="0" xfId="3595" applyFont="1" applyBorder="1" applyAlignment="1">
      <alignment vertical="center"/>
    </xf>
    <xf numFmtId="0" fontId="5" fillId="0" borderId="14" xfId="3550" applyFont="1" applyFill="1" applyBorder="1" applyAlignment="1">
      <alignment vertical="center"/>
    </xf>
    <xf numFmtId="0" fontId="5" fillId="0" borderId="14" xfId="3594" applyFont="1" applyFill="1" applyBorder="1" applyAlignment="1">
      <alignment vertical="center" wrapText="1"/>
    </xf>
    <xf numFmtId="3" fontId="5" fillId="24" borderId="11" xfId="3550" applyNumberFormat="1" applyFont="1" applyFill="1" applyBorder="1" applyAlignment="1">
      <alignment vertical="center"/>
    </xf>
    <xf numFmtId="0" fontId="5" fillId="0" borderId="13" xfId="3594" applyFont="1" applyBorder="1" applyAlignment="1">
      <alignment vertical="center" shrinkToFit="1"/>
    </xf>
    <xf numFmtId="0" fontId="6" fillId="0" borderId="13" xfId="0" applyFont="1" applyBorder="1">
      <alignment vertical="center"/>
    </xf>
    <xf numFmtId="49" fontId="5" fillId="0" borderId="13" xfId="3550" applyNumberFormat="1" applyFont="1" applyBorder="1" applyAlignment="1">
      <alignment vertical="center" wrapText="1"/>
    </xf>
    <xf numFmtId="49" fontId="5" fillId="0" borderId="13" xfId="3550" applyNumberFormat="1" applyFont="1" applyBorder="1" applyAlignment="1">
      <alignment vertical="center"/>
    </xf>
    <xf numFmtId="49" fontId="5" fillId="0" borderId="13" xfId="2637" applyNumberFormat="1" applyFont="1" applyBorder="1" applyAlignment="1">
      <alignment vertical="center"/>
    </xf>
    <xf numFmtId="49" fontId="6" fillId="0" borderId="13" xfId="2637" applyNumberFormat="1" applyFont="1" applyBorder="1" applyAlignment="1">
      <alignment vertical="center"/>
    </xf>
    <xf numFmtId="41" fontId="6" fillId="27" borderId="14" xfId="2636" applyFont="1" applyFill="1" applyBorder="1" applyAlignment="1">
      <alignment vertical="center"/>
    </xf>
    <xf numFmtId="41" fontId="5" fillId="29" borderId="18" xfId="2636" applyFont="1" applyFill="1" applyBorder="1" applyAlignment="1">
      <alignment vertical="center"/>
    </xf>
    <xf numFmtId="41" fontId="5" fillId="25" borderId="18" xfId="2636" applyFont="1" applyFill="1" applyBorder="1" applyAlignment="1">
      <alignment vertical="center"/>
    </xf>
    <xf numFmtId="41" fontId="5" fillId="0" borderId="10" xfId="2636" applyFont="1" applyFill="1" applyBorder="1" applyAlignment="1">
      <alignment vertical="center"/>
    </xf>
    <xf numFmtId="41" fontId="6" fillId="27" borderId="18" xfId="2636" applyFont="1" applyFill="1" applyBorder="1" applyAlignment="1">
      <alignment vertical="center"/>
    </xf>
    <xf numFmtId="41" fontId="5" fillId="0" borderId="14" xfId="2636" applyFont="1" applyBorder="1">
      <alignment vertical="center"/>
    </xf>
    <xf numFmtId="41" fontId="6" fillId="30" borderId="18" xfId="2636" applyFont="1" applyFill="1" applyBorder="1" applyAlignment="1">
      <alignment vertical="center"/>
    </xf>
    <xf numFmtId="41" fontId="5" fillId="0" borderId="0" xfId="2636" applyFont="1" applyAlignment="1">
      <alignment vertical="center"/>
    </xf>
    <xf numFmtId="41" fontId="5" fillId="0" borderId="0" xfId="2636" applyFont="1" applyBorder="1" applyAlignment="1">
      <alignment vertical="center"/>
    </xf>
    <xf numFmtId="41" fontId="6" fillId="32" borderId="18" xfId="2636" applyFont="1" applyFill="1" applyBorder="1" applyAlignment="1">
      <alignment vertical="center"/>
    </xf>
    <xf numFmtId="41" fontId="5" fillId="24" borderId="10" xfId="2636" applyFont="1" applyFill="1" applyBorder="1" applyAlignment="1">
      <alignment vertical="center"/>
    </xf>
    <xf numFmtId="41" fontId="5" fillId="24" borderId="18" xfId="2636" applyFont="1" applyFill="1" applyBorder="1" applyAlignment="1">
      <alignment vertical="center"/>
    </xf>
    <xf numFmtId="41" fontId="6" fillId="32" borderId="18" xfId="2636" applyFont="1" applyFill="1" applyBorder="1" applyAlignment="1">
      <alignment horizontal="right" vertical="center"/>
    </xf>
    <xf numFmtId="41" fontId="5" fillId="28" borderId="14" xfId="2636" applyFont="1" applyFill="1" applyBorder="1" applyAlignment="1">
      <alignment vertical="center"/>
    </xf>
    <xf numFmtId="41" fontId="5" fillId="32" borderId="18" xfId="2636" applyFont="1" applyFill="1" applyBorder="1" applyAlignment="1">
      <alignment horizontal="right" vertical="center"/>
    </xf>
    <xf numFmtId="41" fontId="5" fillId="31" borderId="18" xfId="2636" applyFont="1" applyFill="1" applyBorder="1" applyAlignment="1">
      <alignment vertical="center"/>
    </xf>
    <xf numFmtId="0" fontId="5" fillId="0" borderId="0" xfId="3550" applyFont="1" applyAlignment="1">
      <alignment vertical="center"/>
    </xf>
    <xf numFmtId="0" fontId="5" fillId="0" borderId="14" xfId="3550" applyFont="1" applyBorder="1" applyAlignment="1">
      <alignment vertical="center"/>
    </xf>
    <xf numFmtId="0" fontId="5" fillId="0" borderId="0" xfId="3550" applyFont="1" applyBorder="1" applyAlignment="1">
      <alignment vertical="center"/>
    </xf>
    <xf numFmtId="0" fontId="5" fillId="0" borderId="13" xfId="3550" applyFont="1" applyBorder="1" applyAlignment="1">
      <alignment vertical="center"/>
    </xf>
    <xf numFmtId="0" fontId="5" fillId="32" borderId="18" xfId="3550" applyFont="1" applyFill="1" applyBorder="1" applyAlignment="1">
      <alignment vertical="center"/>
    </xf>
    <xf numFmtId="0" fontId="5" fillId="32" borderId="12" xfId="3550" applyFont="1" applyFill="1" applyBorder="1" applyAlignment="1">
      <alignment vertical="center"/>
    </xf>
    <xf numFmtId="3" fontId="5" fillId="24" borderId="12" xfId="3550" applyNumberFormat="1" applyFont="1" applyFill="1" applyBorder="1" applyAlignment="1">
      <alignment vertical="center"/>
    </xf>
    <xf numFmtId="3" fontId="5" fillId="32" borderId="12" xfId="3550" applyNumberFormat="1" applyFont="1" applyFill="1" applyBorder="1" applyAlignment="1">
      <alignment vertical="center"/>
    </xf>
    <xf numFmtId="0" fontId="5" fillId="24" borderId="12" xfId="3550" applyFont="1" applyFill="1" applyBorder="1" applyAlignment="1">
      <alignment vertical="center"/>
    </xf>
    <xf numFmtId="0" fontId="5" fillId="28" borderId="14" xfId="3550" applyFont="1" applyFill="1" applyBorder="1" applyAlignment="1">
      <alignment vertical="center"/>
    </xf>
    <xf numFmtId="0" fontId="5" fillId="28" borderId="0" xfId="3550" applyFont="1" applyFill="1" applyAlignment="1">
      <alignment vertical="center"/>
    </xf>
    <xf numFmtId="0" fontId="5" fillId="28" borderId="13" xfId="3550" applyFont="1" applyFill="1" applyBorder="1" applyAlignment="1">
      <alignment vertical="center"/>
    </xf>
    <xf numFmtId="0" fontId="5" fillId="28" borderId="0" xfId="3550" applyFont="1" applyFill="1" applyBorder="1" applyAlignment="1">
      <alignment vertical="center"/>
    </xf>
    <xf numFmtId="3" fontId="5" fillId="32" borderId="18" xfId="3550" applyNumberFormat="1" applyFont="1" applyFill="1" applyBorder="1" applyAlignment="1">
      <alignment vertical="center"/>
    </xf>
    <xf numFmtId="0" fontId="5" fillId="27" borderId="12" xfId="3594" applyFont="1" applyFill="1" applyBorder="1" applyAlignment="1">
      <alignment vertical="center" shrinkToFit="1"/>
    </xf>
    <xf numFmtId="0" fontId="5" fillId="0" borderId="14" xfId="3594" applyFont="1" applyBorder="1" applyAlignment="1">
      <alignment vertical="center"/>
    </xf>
    <xf numFmtId="0" fontId="5" fillId="29" borderId="18" xfId="3594" applyFont="1" applyFill="1" applyBorder="1" applyAlignment="1">
      <alignment vertical="center"/>
    </xf>
    <xf numFmtId="0" fontId="5" fillId="29" borderId="12" xfId="3594" applyFont="1" applyFill="1" applyBorder="1" applyAlignment="1">
      <alignment vertical="center" shrinkToFit="1"/>
    </xf>
    <xf numFmtId="0" fontId="5" fillId="25" borderId="12" xfId="3594" applyFont="1" applyFill="1" applyBorder="1" applyAlignment="1">
      <alignment vertical="center" shrinkToFit="1"/>
    </xf>
    <xf numFmtId="0" fontId="6" fillId="0" borderId="13" xfId="3594" applyFont="1" applyFill="1" applyBorder="1" applyAlignment="1">
      <alignment vertical="center" shrinkToFit="1"/>
    </xf>
    <xf numFmtId="0" fontId="5" fillId="27" borderId="18" xfId="3594" applyFont="1" applyFill="1" applyBorder="1" applyAlignment="1">
      <alignment vertical="center"/>
    </xf>
    <xf numFmtId="3" fontId="5" fillId="25" borderId="12" xfId="3594" applyNumberFormat="1" applyFont="1" applyFill="1" applyBorder="1" applyAlignment="1">
      <alignment vertical="center" shrinkToFit="1"/>
    </xf>
    <xf numFmtId="0" fontId="5" fillId="0" borderId="14" xfId="3594" applyFont="1" applyFill="1" applyBorder="1" applyAlignment="1">
      <alignment vertical="center"/>
    </xf>
    <xf numFmtId="3" fontId="6" fillId="27" borderId="12" xfId="3594" applyNumberFormat="1" applyFont="1" applyFill="1" applyBorder="1" applyAlignment="1">
      <alignment vertical="center" shrinkToFit="1"/>
    </xf>
    <xf numFmtId="3" fontId="6" fillId="29" borderId="12" xfId="3594" applyNumberFormat="1" applyFont="1" applyFill="1" applyBorder="1" applyAlignment="1">
      <alignment vertical="center" shrinkToFit="1"/>
    </xf>
    <xf numFmtId="0" fontId="5" fillId="27" borderId="18" xfId="3594" applyFont="1" applyFill="1" applyBorder="1" applyAlignment="1">
      <alignment horizontal="left" vertical="center"/>
    </xf>
    <xf numFmtId="0" fontId="5" fillId="29" borderId="18" xfId="3594" applyFont="1" applyFill="1" applyBorder="1" applyAlignment="1">
      <alignment horizontal="left" vertical="center"/>
    </xf>
    <xf numFmtId="0" fontId="6" fillId="0" borderId="13" xfId="3594" applyFont="1" applyFill="1" applyBorder="1" applyAlignment="1">
      <alignment vertical="center"/>
    </xf>
    <xf numFmtId="0" fontId="5" fillId="0" borderId="13" xfId="3550" applyFont="1" applyBorder="1" applyAlignment="1">
      <alignment vertical="center" wrapText="1"/>
    </xf>
    <xf numFmtId="41" fontId="5" fillId="0" borderId="14" xfId="2636" applyFont="1" applyFill="1" applyBorder="1" applyAlignment="1">
      <alignment vertical="center"/>
    </xf>
    <xf numFmtId="0" fontId="5" fillId="0" borderId="0" xfId="3594" applyFont="1" applyFill="1" applyAlignment="1">
      <alignment vertical="center"/>
    </xf>
    <xf numFmtId="41" fontId="5" fillId="25" borderId="18" xfId="2636" applyFont="1" applyFill="1" applyBorder="1" applyAlignment="1">
      <alignment horizontal="center" vertical="center"/>
    </xf>
    <xf numFmtId="0" fontId="5" fillId="0" borderId="15" xfId="3594" applyFont="1" applyFill="1" applyBorder="1" applyAlignment="1">
      <alignment vertical="center"/>
    </xf>
    <xf numFmtId="0" fontId="6" fillId="0" borderId="13" xfId="3682" applyFont="1" applyBorder="1" applyAlignment="1">
      <alignment vertical="center"/>
    </xf>
    <xf numFmtId="0" fontId="6" fillId="0" borderId="13" xfId="3548" applyFont="1" applyBorder="1" applyAlignment="1">
      <alignment vertical="center"/>
    </xf>
    <xf numFmtId="0" fontId="6" fillId="0" borderId="13" xfId="3550" applyFont="1" applyFill="1" applyBorder="1" applyAlignment="1">
      <alignment vertical="center" shrinkToFit="1"/>
    </xf>
    <xf numFmtId="3" fontId="6" fillId="32" borderId="12" xfId="3550" applyNumberFormat="1" applyFont="1" applyFill="1" applyBorder="1" applyAlignment="1">
      <alignment vertical="center"/>
    </xf>
    <xf numFmtId="3" fontId="6" fillId="24" borderId="11" xfId="3550" applyNumberFormat="1" applyFont="1" applyFill="1" applyBorder="1" applyAlignment="1">
      <alignment vertical="center"/>
    </xf>
    <xf numFmtId="3" fontId="6" fillId="25" borderId="12" xfId="3550" applyNumberFormat="1" applyFont="1" applyFill="1" applyBorder="1" applyAlignment="1">
      <alignment vertical="center"/>
    </xf>
    <xf numFmtId="0" fontId="6" fillId="25" borderId="12" xfId="3550" applyFont="1" applyFill="1" applyBorder="1" applyAlignment="1">
      <alignment vertical="center"/>
    </xf>
    <xf numFmtId="3" fontId="5" fillId="25" borderId="12" xfId="3550" applyNumberFormat="1" applyFont="1" applyFill="1" applyBorder="1" applyAlignment="1">
      <alignment vertical="center"/>
    </xf>
    <xf numFmtId="3" fontId="6" fillId="32" borderId="12" xfId="3550" applyNumberFormat="1" applyFont="1" applyFill="1" applyBorder="1" applyAlignment="1">
      <alignment horizontal="center" vertical="center"/>
    </xf>
    <xf numFmtId="3" fontId="6" fillId="24" borderId="12" xfId="3550" applyNumberFormat="1" applyFont="1" applyFill="1" applyBorder="1" applyAlignment="1">
      <alignment vertical="center"/>
    </xf>
    <xf numFmtId="0" fontId="5" fillId="0" borderId="13" xfId="3550" applyFont="1" applyBorder="1" applyAlignment="1">
      <alignment vertical="center" shrinkToFit="1"/>
    </xf>
    <xf numFmtId="0" fontId="6" fillId="0" borderId="13" xfId="3550" applyFont="1" applyBorder="1" applyAlignment="1">
      <alignment vertical="center" shrinkToFit="1"/>
    </xf>
    <xf numFmtId="0" fontId="6" fillId="0" borderId="13" xfId="2637" applyNumberFormat="1" applyFont="1" applyBorder="1" applyAlignment="1">
      <alignment vertical="center"/>
    </xf>
    <xf numFmtId="49" fontId="5" fillId="25" borderId="12" xfId="3550" applyNumberFormat="1" applyFont="1" applyFill="1" applyBorder="1" applyAlignment="1">
      <alignment vertical="center"/>
    </xf>
    <xf numFmtId="49" fontId="6" fillId="0" borderId="21" xfId="2637" applyNumberFormat="1" applyFont="1" applyBorder="1" applyAlignment="1">
      <alignment vertical="center"/>
    </xf>
    <xf numFmtId="49" fontId="5" fillId="28" borderId="13" xfId="2637" applyNumberFormat="1" applyFont="1" applyFill="1" applyBorder="1" applyAlignment="1">
      <alignment vertical="center"/>
    </xf>
    <xf numFmtId="49" fontId="5" fillId="0" borderId="0" xfId="2637" applyNumberFormat="1" applyFont="1" applyBorder="1" applyAlignment="1">
      <alignment vertical="center"/>
    </xf>
    <xf numFmtId="49" fontId="6" fillId="0" borderId="0" xfId="2637" applyNumberFormat="1" applyFont="1" applyBorder="1" applyAlignment="1">
      <alignment vertical="center"/>
    </xf>
    <xf numFmtId="41" fontId="5" fillId="27" borderId="23" xfId="2636" applyFont="1" applyFill="1" applyBorder="1" applyAlignment="1">
      <alignment vertical="center" shrinkToFit="1"/>
    </xf>
    <xf numFmtId="0" fontId="5" fillId="0" borderId="24" xfId="3594" applyFont="1" applyBorder="1" applyAlignment="1">
      <alignment vertical="center"/>
    </xf>
    <xf numFmtId="41" fontId="5" fillId="29" borderId="23" xfId="2636" applyFont="1" applyFill="1" applyBorder="1" applyAlignment="1">
      <alignment vertical="center" shrinkToFit="1"/>
    </xf>
    <xf numFmtId="0" fontId="5" fillId="0" borderId="24" xfId="3594" applyFont="1" applyBorder="1" applyAlignment="1">
      <alignment vertical="center" wrapText="1"/>
    </xf>
    <xf numFmtId="41" fontId="5" fillId="25" borderId="23" xfId="2636" applyFont="1" applyFill="1" applyBorder="1" applyAlignment="1">
      <alignment vertical="center" shrinkToFit="1"/>
    </xf>
    <xf numFmtId="0" fontId="5" fillId="0" borderId="24" xfId="3594" applyFont="1" applyFill="1" applyBorder="1" applyAlignment="1">
      <alignment vertical="center" wrapText="1"/>
    </xf>
    <xf numFmtId="41" fontId="5" fillId="0" borderId="25" xfId="2636" applyFont="1" applyFill="1" applyBorder="1" applyAlignment="1">
      <alignment vertical="center" shrinkToFit="1"/>
    </xf>
    <xf numFmtId="41" fontId="5" fillId="0" borderId="27" xfId="2636" applyFont="1" applyFill="1" applyBorder="1" applyAlignment="1">
      <alignment vertical="center" shrinkToFit="1"/>
    </xf>
    <xf numFmtId="41" fontId="5" fillId="0" borderId="25" xfId="2636" applyFont="1" applyBorder="1" applyAlignment="1">
      <alignment vertical="center" shrinkToFit="1"/>
    </xf>
    <xf numFmtId="41" fontId="5" fillId="0" borderId="25" xfId="2636" applyFont="1" applyFill="1" applyBorder="1" applyAlignment="1">
      <alignment vertical="center"/>
    </xf>
    <xf numFmtId="41" fontId="5" fillId="0" borderId="25" xfId="2636" applyFont="1" applyBorder="1" applyAlignment="1">
      <alignment vertical="center"/>
    </xf>
    <xf numFmtId="0" fontId="5" fillId="0" borderId="24" xfId="3594" applyFont="1" applyFill="1" applyBorder="1" applyAlignment="1">
      <alignment vertical="center"/>
    </xf>
    <xf numFmtId="0" fontId="5" fillId="0" borderId="29" xfId="3594" applyFont="1" applyBorder="1" applyAlignment="1">
      <alignment vertical="center"/>
    </xf>
    <xf numFmtId="0" fontId="5" fillId="0" borderId="29" xfId="3594" applyFont="1" applyFill="1" applyBorder="1" applyAlignment="1">
      <alignment vertical="center"/>
    </xf>
    <xf numFmtId="41" fontId="5" fillId="30" borderId="23" xfId="2636" applyFont="1" applyFill="1" applyBorder="1" applyAlignment="1">
      <alignment vertical="center" shrinkToFit="1"/>
    </xf>
    <xf numFmtId="41" fontId="5" fillId="0" borderId="25" xfId="2636" applyFont="1" applyBorder="1">
      <alignment vertical="center"/>
    </xf>
    <xf numFmtId="41" fontId="5" fillId="32" borderId="23" xfId="2636" applyFont="1" applyFill="1" applyBorder="1" applyAlignment="1">
      <alignment vertical="center"/>
    </xf>
    <xf numFmtId="0" fontId="5" fillId="0" borderId="24" xfId="3550" applyFont="1" applyBorder="1" applyAlignment="1">
      <alignment vertical="center"/>
    </xf>
    <xf numFmtId="41" fontId="5" fillId="24" borderId="26" xfId="2636" applyFont="1" applyFill="1" applyBorder="1" applyAlignment="1">
      <alignment vertical="center"/>
    </xf>
    <xf numFmtId="41" fontId="5" fillId="25" borderId="23" xfId="2636" applyFont="1" applyFill="1" applyBorder="1" applyAlignment="1">
      <alignment vertical="center"/>
    </xf>
    <xf numFmtId="41" fontId="5" fillId="24" borderId="23" xfId="2636" applyFont="1" applyFill="1" applyBorder="1" applyAlignment="1">
      <alignment vertical="center"/>
    </xf>
    <xf numFmtId="41" fontId="5" fillId="32" borderId="23" xfId="2636" applyFont="1" applyFill="1" applyBorder="1" applyAlignment="1">
      <alignment horizontal="center" vertical="center"/>
    </xf>
    <xf numFmtId="0" fontId="5" fillId="0" borderId="24" xfId="3550" applyFont="1" applyBorder="1" applyAlignment="1">
      <alignment vertical="center" wrapText="1"/>
    </xf>
    <xf numFmtId="0" fontId="5" fillId="0" borderId="24" xfId="3550" applyFont="1" applyFill="1" applyBorder="1" applyAlignment="1">
      <alignment vertical="center"/>
    </xf>
    <xf numFmtId="41" fontId="5" fillId="28" borderId="25" xfId="2636" applyFont="1" applyFill="1" applyBorder="1" applyAlignment="1">
      <alignment vertical="center"/>
    </xf>
    <xf numFmtId="0" fontId="5" fillId="28" borderId="24" xfId="3550" applyFont="1" applyFill="1" applyBorder="1" applyAlignment="1">
      <alignment vertical="center"/>
    </xf>
    <xf numFmtId="0" fontId="5" fillId="30" borderId="12" xfId="3594" applyFont="1" applyFill="1" applyBorder="1" applyAlignment="1">
      <alignment horizontal="center" vertical="center" shrinkToFit="1"/>
    </xf>
    <xf numFmtId="41" fontId="6" fillId="34" borderId="18" xfId="2636" applyFont="1" applyFill="1" applyBorder="1" applyAlignment="1">
      <alignment vertical="center"/>
    </xf>
    <xf numFmtId="0" fontId="5" fillId="0" borderId="10" xfId="3550" applyFont="1" applyBorder="1" applyAlignment="1">
      <alignment vertical="center"/>
    </xf>
    <xf numFmtId="0" fontId="5" fillId="0" borderId="10" xfId="3594" applyFont="1" applyFill="1" applyBorder="1" applyAlignment="1">
      <alignment vertical="center"/>
    </xf>
    <xf numFmtId="0" fontId="6" fillId="0" borderId="17" xfId="3594" applyFont="1" applyFill="1" applyBorder="1" applyAlignment="1">
      <alignment vertical="center" shrinkToFit="1"/>
    </xf>
    <xf numFmtId="0" fontId="6" fillId="0" borderId="13" xfId="0" applyFont="1" applyFill="1" applyBorder="1">
      <alignment vertical="center"/>
    </xf>
    <xf numFmtId="0" fontId="5" fillId="0" borderId="13" xfId="0" applyFont="1" applyFill="1" applyBorder="1">
      <alignment vertical="center"/>
    </xf>
    <xf numFmtId="0" fontId="6" fillId="0" borderId="13" xfId="3594" applyFont="1" applyBorder="1" applyAlignment="1">
      <alignment vertical="center"/>
    </xf>
    <xf numFmtId="0" fontId="5" fillId="32" borderId="28" xfId="3550" applyFont="1" applyFill="1" applyBorder="1" applyAlignment="1">
      <alignment vertical="center"/>
    </xf>
    <xf numFmtId="0" fontId="5" fillId="0" borderId="13" xfId="0" applyFont="1" applyBorder="1">
      <alignment vertical="center"/>
    </xf>
    <xf numFmtId="0" fontId="6" fillId="0" borderId="13" xfId="0" applyFont="1" applyFill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41" fontId="5" fillId="0" borderId="14" xfId="2636" applyFont="1" applyFill="1" applyBorder="1">
      <alignment vertical="center"/>
    </xf>
    <xf numFmtId="41" fontId="5" fillId="0" borderId="13" xfId="2636" applyFont="1" applyFill="1" applyBorder="1" applyAlignment="1">
      <alignment vertical="center"/>
    </xf>
    <xf numFmtId="41" fontId="5" fillId="0" borderId="16" xfId="2636" applyFont="1" applyFill="1" applyBorder="1" applyAlignment="1">
      <alignment vertical="center"/>
    </xf>
    <xf numFmtId="41" fontId="5" fillId="0" borderId="20" xfId="2636" applyFont="1" applyFill="1" applyBorder="1" applyAlignment="1">
      <alignment vertical="center"/>
    </xf>
    <xf numFmtId="0" fontId="5" fillId="0" borderId="29" xfId="3550" applyFont="1" applyBorder="1" applyAlignment="1">
      <alignment vertical="center"/>
    </xf>
    <xf numFmtId="3" fontId="6" fillId="32" borderId="35" xfId="3550" applyNumberFormat="1" applyFont="1" applyFill="1" applyBorder="1" applyAlignment="1">
      <alignment vertical="center"/>
    </xf>
    <xf numFmtId="176" fontId="5" fillId="0" borderId="0" xfId="2636" applyNumberFormat="1" applyFont="1" applyAlignment="1">
      <alignment horizontal="center" vertical="center"/>
    </xf>
    <xf numFmtId="176" fontId="5" fillId="0" borderId="14" xfId="2636" applyNumberFormat="1" applyFont="1" applyFill="1" applyBorder="1" applyAlignment="1">
      <alignment vertical="center"/>
    </xf>
    <xf numFmtId="176" fontId="5" fillId="0" borderId="14" xfId="2636" applyNumberFormat="1" applyFont="1" applyBorder="1" applyAlignment="1">
      <alignment vertical="center"/>
    </xf>
    <xf numFmtId="176" fontId="5" fillId="0" borderId="15" xfId="2636" applyNumberFormat="1" applyFont="1" applyFill="1" applyBorder="1" applyAlignment="1">
      <alignment vertical="center"/>
    </xf>
    <xf numFmtId="176" fontId="5" fillId="0" borderId="0" xfId="2636" applyNumberFormat="1" applyFont="1" applyFill="1" applyAlignment="1">
      <alignment vertical="center"/>
    </xf>
    <xf numFmtId="176" fontId="5" fillId="0" borderId="0" xfId="2636" applyNumberFormat="1" applyFont="1" applyAlignment="1">
      <alignment vertical="center"/>
    </xf>
    <xf numFmtId="0" fontId="5" fillId="27" borderId="11" xfId="3594" applyFont="1" applyFill="1" applyBorder="1" applyAlignment="1">
      <alignment vertical="center" shrinkToFit="1"/>
    </xf>
    <xf numFmtId="41" fontId="5" fillId="27" borderId="26" xfId="2636" applyFont="1" applyFill="1" applyBorder="1" applyAlignment="1">
      <alignment vertical="center" shrinkToFit="1"/>
    </xf>
    <xf numFmtId="0" fontId="5" fillId="30" borderId="31" xfId="3594" applyFont="1" applyFill="1" applyBorder="1" applyAlignment="1">
      <alignment vertical="center" shrinkToFit="1"/>
    </xf>
    <xf numFmtId="41" fontId="5" fillId="30" borderId="32" xfId="2636" applyFont="1" applyFill="1" applyBorder="1" applyAlignment="1">
      <alignment vertical="center" shrinkToFit="1"/>
    </xf>
    <xf numFmtId="0" fontId="5" fillId="32" borderId="10" xfId="3550" applyFont="1" applyFill="1" applyBorder="1" applyAlignment="1">
      <alignment vertical="center"/>
    </xf>
    <xf numFmtId="0" fontId="5" fillId="32" borderId="11" xfId="3550" applyFont="1" applyFill="1" applyBorder="1" applyAlignment="1">
      <alignment vertical="center"/>
    </xf>
    <xf numFmtId="41" fontId="6" fillId="32" borderId="10" xfId="2636" applyFont="1" applyFill="1" applyBorder="1" applyAlignment="1">
      <alignment vertical="center"/>
    </xf>
    <xf numFmtId="3" fontId="6" fillId="32" borderId="11" xfId="3550" applyNumberFormat="1" applyFont="1" applyFill="1" applyBorder="1" applyAlignment="1">
      <alignment vertical="center"/>
    </xf>
    <xf numFmtId="41" fontId="5" fillId="32" borderId="26" xfId="2636" applyFont="1" applyFill="1" applyBorder="1" applyAlignment="1">
      <alignment vertical="center"/>
    </xf>
    <xf numFmtId="41" fontId="6" fillId="34" borderId="30" xfId="2636" applyFont="1" applyFill="1" applyBorder="1" applyAlignment="1">
      <alignment vertical="center"/>
    </xf>
    <xf numFmtId="0" fontId="34" fillId="0" borderId="0" xfId="0" applyFont="1">
      <alignment vertical="center"/>
    </xf>
    <xf numFmtId="176" fontId="33" fillId="0" borderId="41" xfId="2637" applyNumberFormat="1" applyFont="1" applyBorder="1" applyAlignment="1">
      <alignment horizontal="right" vertical="center"/>
    </xf>
    <xf numFmtId="176" fontId="33" fillId="37" borderId="51" xfId="2637" applyNumberFormat="1" applyFont="1" applyFill="1" applyBorder="1" applyAlignment="1">
      <alignment vertical="center"/>
    </xf>
    <xf numFmtId="176" fontId="33" fillId="37" borderId="52" xfId="3684" applyNumberFormat="1" applyFont="1" applyFill="1" applyBorder="1" applyAlignment="1">
      <alignment vertical="center"/>
    </xf>
    <xf numFmtId="176" fontId="33" fillId="38" borderId="61" xfId="2637" applyNumberFormat="1" applyFont="1" applyFill="1" applyBorder="1" applyAlignment="1">
      <alignment vertical="center"/>
    </xf>
    <xf numFmtId="0" fontId="30" fillId="0" borderId="0" xfId="3684" applyFont="1" applyAlignment="1">
      <alignment vertical="center"/>
    </xf>
    <xf numFmtId="0" fontId="31" fillId="0" borderId="0" xfId="3684" applyFont="1" applyAlignment="1">
      <alignment vertical="center"/>
    </xf>
    <xf numFmtId="176" fontId="31" fillId="0" borderId="0" xfId="3684" applyNumberFormat="1" applyFont="1" applyAlignment="1">
      <alignment vertical="center"/>
    </xf>
    <xf numFmtId="176" fontId="27" fillId="0" borderId="0" xfId="3684" applyNumberFormat="1" applyFont="1" applyAlignment="1">
      <alignment horizontal="right"/>
    </xf>
    <xf numFmtId="0" fontId="27" fillId="0" borderId="49" xfId="3685" applyFont="1" applyBorder="1" applyAlignment="1">
      <alignment vertical="center"/>
    </xf>
    <xf numFmtId="176" fontId="27" fillId="29" borderId="50" xfId="3685" applyNumberFormat="1" applyFont="1" applyFill="1" applyBorder="1" applyAlignment="1">
      <alignment horizontal="center" vertical="center"/>
    </xf>
    <xf numFmtId="176" fontId="27" fillId="0" borderId="50" xfId="3685" applyNumberFormat="1" applyFont="1" applyBorder="1" applyAlignment="1">
      <alignment horizontal="center" vertical="center"/>
    </xf>
    <xf numFmtId="176" fontId="27" fillId="0" borderId="50" xfId="3685" applyNumberFormat="1" applyFont="1" applyBorder="1" applyAlignment="1">
      <alignment vertical="center"/>
    </xf>
    <xf numFmtId="176" fontId="27" fillId="29" borderId="50" xfId="3685" applyNumberFormat="1" applyFont="1" applyFill="1" applyBorder="1" applyAlignment="1">
      <alignment vertical="center"/>
    </xf>
    <xf numFmtId="0" fontId="27" fillId="0" borderId="53" xfId="3685" applyFont="1" applyBorder="1" applyAlignment="1">
      <alignment vertical="center"/>
    </xf>
    <xf numFmtId="176" fontId="27" fillId="0" borderId="54" xfId="3685" applyNumberFormat="1" applyFont="1" applyBorder="1" applyAlignment="1">
      <alignment vertical="center"/>
    </xf>
    <xf numFmtId="0" fontId="27" fillId="0" borderId="49" xfId="3685" applyFont="1" applyFill="1" applyBorder="1" applyAlignment="1">
      <alignment vertical="center"/>
    </xf>
    <xf numFmtId="176" fontId="27" fillId="0" borderId="50" xfId="3685" applyNumberFormat="1" applyFont="1" applyFill="1" applyBorder="1" applyAlignment="1">
      <alignment vertical="center"/>
    </xf>
    <xf numFmtId="176" fontId="33" fillId="37" borderId="50" xfId="3685" applyNumberFormat="1" applyFont="1" applyFill="1" applyBorder="1" applyAlignment="1">
      <alignment vertical="center"/>
    </xf>
    <xf numFmtId="0" fontId="33" fillId="0" borderId="49" xfId="3685" applyFont="1" applyBorder="1" applyAlignment="1">
      <alignment vertical="center"/>
    </xf>
    <xf numFmtId="176" fontId="33" fillId="0" borderId="50" xfId="3685" applyNumberFormat="1" applyFont="1" applyBorder="1" applyAlignment="1">
      <alignment vertical="center"/>
    </xf>
    <xf numFmtId="0" fontId="1" fillId="0" borderId="0" xfId="3685"/>
    <xf numFmtId="0" fontId="30" fillId="0" borderId="0" xfId="3685" applyFont="1" applyAlignment="1">
      <alignment vertical="center"/>
    </xf>
    <xf numFmtId="0" fontId="31" fillId="0" borderId="0" xfId="3685" applyFont="1" applyAlignment="1">
      <alignment vertical="center"/>
    </xf>
    <xf numFmtId="176" fontId="27" fillId="0" borderId="0" xfId="3685" applyNumberFormat="1" applyFont="1" applyAlignment="1">
      <alignment horizontal="right"/>
    </xf>
    <xf numFmtId="0" fontId="29" fillId="0" borderId="0" xfId="3685" applyFont="1" applyAlignment="1">
      <alignment vertical="center"/>
    </xf>
    <xf numFmtId="0" fontId="27" fillId="29" borderId="41" xfId="3685" applyFont="1" applyFill="1" applyBorder="1" applyAlignment="1">
      <alignment vertical="center"/>
    </xf>
    <xf numFmtId="0" fontId="27" fillId="0" borderId="41" xfId="3685" applyFont="1" applyBorder="1" applyAlignment="1">
      <alignment vertical="center"/>
    </xf>
    <xf numFmtId="0" fontId="27" fillId="0" borderId="41" xfId="3685" applyFont="1" applyFill="1" applyBorder="1" applyAlignment="1">
      <alignment vertical="center"/>
    </xf>
    <xf numFmtId="0" fontId="33" fillId="0" borderId="41" xfId="3685" applyFont="1" applyBorder="1" applyAlignment="1">
      <alignment vertical="center"/>
    </xf>
    <xf numFmtId="41" fontId="29" fillId="0" borderId="0" xfId="2637" applyFont="1" applyAlignment="1">
      <alignment vertical="center"/>
    </xf>
    <xf numFmtId="41" fontId="31" fillId="0" borderId="0" xfId="2637" applyFont="1" applyAlignment="1">
      <alignment vertical="center"/>
    </xf>
    <xf numFmtId="0" fontId="27" fillId="0" borderId="43" xfId="3685" applyFont="1" applyBorder="1" applyAlignment="1">
      <alignment vertical="center"/>
    </xf>
    <xf numFmtId="41" fontId="32" fillId="0" borderId="0" xfId="2637" applyFont="1" applyBorder="1" applyAlignment="1">
      <alignment vertical="center"/>
    </xf>
    <xf numFmtId="0" fontId="33" fillId="31" borderId="47" xfId="3684" applyFont="1" applyFill="1" applyBorder="1" applyAlignment="1">
      <alignment horizontal="left" vertical="center"/>
    </xf>
    <xf numFmtId="176" fontId="27" fillId="31" borderId="48" xfId="3684" applyNumberFormat="1" applyFont="1" applyFill="1" applyBorder="1" applyAlignment="1">
      <alignment horizontal="center" vertical="center"/>
    </xf>
    <xf numFmtId="0" fontId="27" fillId="0" borderId="49" xfId="3684" applyFont="1" applyBorder="1" applyAlignment="1">
      <alignment vertical="center"/>
    </xf>
    <xf numFmtId="176" fontId="27" fillId="29" borderId="50" xfId="3684" applyNumberFormat="1" applyFont="1" applyFill="1" applyBorder="1" applyAlignment="1">
      <alignment horizontal="center" vertical="center" wrapText="1"/>
    </xf>
    <xf numFmtId="176" fontId="27" fillId="0" borderId="50" xfId="3684" applyNumberFormat="1" applyFont="1" applyBorder="1" applyAlignment="1">
      <alignment horizontal="center" vertical="center"/>
    </xf>
    <xf numFmtId="176" fontId="27" fillId="29" borderId="50" xfId="3684" applyNumberFormat="1" applyFont="1" applyFill="1" applyBorder="1" applyAlignment="1">
      <alignment vertical="center"/>
    </xf>
    <xf numFmtId="176" fontId="27" fillId="0" borderId="50" xfId="3684" applyNumberFormat="1" applyFont="1" applyBorder="1" applyAlignment="1">
      <alignment vertical="center"/>
    </xf>
    <xf numFmtId="0" fontId="33" fillId="31" borderId="49" xfId="3684" applyFont="1" applyFill="1" applyBorder="1" applyAlignment="1">
      <alignment vertical="center"/>
    </xf>
    <xf numFmtId="176" fontId="33" fillId="31" borderId="50" xfId="3684" applyNumberFormat="1" applyFont="1" applyFill="1" applyBorder="1" applyAlignment="1">
      <alignment vertical="center"/>
    </xf>
    <xf numFmtId="176" fontId="27" fillId="31" borderId="50" xfId="3684" applyNumberFormat="1" applyFont="1" applyFill="1" applyBorder="1" applyAlignment="1">
      <alignment vertical="center"/>
    </xf>
    <xf numFmtId="176" fontId="33" fillId="37" borderId="50" xfId="3684" applyNumberFormat="1" applyFont="1" applyFill="1" applyBorder="1" applyAlignment="1">
      <alignment vertical="center"/>
    </xf>
    <xf numFmtId="0" fontId="33" fillId="31" borderId="49" xfId="3685" applyFont="1" applyFill="1" applyBorder="1" applyAlignment="1">
      <alignment vertical="center"/>
    </xf>
    <xf numFmtId="176" fontId="33" fillId="31" borderId="50" xfId="3685" applyNumberFormat="1" applyFont="1" applyFill="1" applyBorder="1" applyAlignment="1">
      <alignment vertical="center"/>
    </xf>
    <xf numFmtId="0" fontId="33" fillId="31" borderId="42" xfId="3684" applyFont="1" applyFill="1" applyBorder="1" applyAlignment="1">
      <alignment horizontal="center" vertical="center"/>
    </xf>
    <xf numFmtId="0" fontId="27" fillId="29" borderId="41" xfId="3684" applyFont="1" applyFill="1" applyBorder="1" applyAlignment="1">
      <alignment vertical="center"/>
    </xf>
    <xf numFmtId="0" fontId="27" fillId="0" borderId="41" xfId="3684" applyFont="1" applyBorder="1" applyAlignment="1">
      <alignment vertical="center"/>
    </xf>
    <xf numFmtId="0" fontId="33" fillId="31" borderId="41" xfId="3684" applyFont="1" applyFill="1" applyBorder="1" applyAlignment="1">
      <alignment vertical="center"/>
    </xf>
    <xf numFmtId="0" fontId="27" fillId="0" borderId="41" xfId="3684" applyFont="1" applyFill="1" applyBorder="1" applyAlignment="1">
      <alignment vertical="center"/>
    </xf>
    <xf numFmtId="176" fontId="33" fillId="31" borderId="42" xfId="2637" applyNumberFormat="1" applyFont="1" applyFill="1" applyBorder="1" applyAlignment="1">
      <alignment vertical="center"/>
    </xf>
    <xf numFmtId="176" fontId="27" fillId="29" borderId="41" xfId="2637" applyNumberFormat="1" applyFont="1" applyFill="1" applyBorder="1" applyAlignment="1">
      <alignment vertical="center"/>
    </xf>
    <xf numFmtId="176" fontId="33" fillId="29" borderId="41" xfId="2637" applyNumberFormat="1" applyFont="1" applyFill="1" applyBorder="1" applyAlignment="1">
      <alignment vertical="center"/>
    </xf>
    <xf numFmtId="176" fontId="27" fillId="0" borderId="41" xfId="2637" applyNumberFormat="1" applyFont="1" applyBorder="1" applyAlignment="1">
      <alignment horizontal="right" vertical="center"/>
    </xf>
    <xf numFmtId="176" fontId="27" fillId="0" borderId="41" xfId="2637" applyNumberFormat="1" applyFont="1" applyBorder="1" applyAlignment="1">
      <alignment vertical="center"/>
    </xf>
    <xf numFmtId="176" fontId="33" fillId="0" borderId="41" xfId="2637" applyNumberFormat="1" applyFont="1" applyBorder="1" applyAlignment="1">
      <alignment vertical="center"/>
    </xf>
    <xf numFmtId="0" fontId="33" fillId="31" borderId="41" xfId="3685" applyFont="1" applyFill="1" applyBorder="1" applyAlignment="1">
      <alignment vertical="center"/>
    </xf>
    <xf numFmtId="176" fontId="33" fillId="31" borderId="41" xfId="2637" applyNumberFormat="1" applyFont="1" applyFill="1" applyBorder="1" applyAlignment="1">
      <alignment vertical="center"/>
    </xf>
    <xf numFmtId="176" fontId="33" fillId="37" borderId="41" xfId="2637" applyNumberFormat="1" applyFont="1" applyFill="1" applyBorder="1" applyAlignment="1">
      <alignment vertical="center"/>
    </xf>
    <xf numFmtId="176" fontId="27" fillId="0" borderId="43" xfId="2637" applyNumberFormat="1" applyFont="1" applyBorder="1" applyAlignment="1">
      <alignment vertical="center"/>
    </xf>
    <xf numFmtId="176" fontId="27" fillId="0" borderId="41" xfId="2637" applyNumberFormat="1" applyFont="1" applyFill="1" applyBorder="1" applyAlignment="1">
      <alignment vertical="center"/>
    </xf>
    <xf numFmtId="0" fontId="33" fillId="31" borderId="47" xfId="3685" applyFont="1" applyFill="1" applyBorder="1" applyAlignment="1">
      <alignment vertical="center"/>
    </xf>
    <xf numFmtId="0" fontId="33" fillId="31" borderId="42" xfId="3685" applyFont="1" applyFill="1" applyBorder="1" applyAlignment="1">
      <alignment vertical="center"/>
    </xf>
    <xf numFmtId="176" fontId="33" fillId="37" borderId="52" xfId="3685" applyNumberFormat="1" applyFont="1" applyFill="1" applyBorder="1" applyAlignment="1">
      <alignment vertical="center"/>
    </xf>
    <xf numFmtId="41" fontId="6" fillId="30" borderId="30" xfId="2636" applyFont="1" applyFill="1" applyBorder="1" applyAlignment="1">
      <alignment vertical="center"/>
    </xf>
    <xf numFmtId="0" fontId="32" fillId="0" borderId="66" xfId="3685" applyFont="1" applyFill="1" applyBorder="1" applyAlignment="1">
      <alignment horizontal="center" vertical="center"/>
    </xf>
    <xf numFmtId="0" fontId="32" fillId="0" borderId="67" xfId="3685" applyFont="1" applyFill="1" applyBorder="1" applyAlignment="1">
      <alignment horizontal="center" vertical="center"/>
    </xf>
    <xf numFmtId="0" fontId="32" fillId="0" borderId="66" xfId="3684" applyFont="1" applyFill="1" applyBorder="1" applyAlignment="1">
      <alignment horizontal="center" vertical="center"/>
    </xf>
    <xf numFmtId="0" fontId="32" fillId="0" borderId="67" xfId="3684" applyFont="1" applyFill="1" applyBorder="1" applyAlignment="1">
      <alignment horizontal="center" vertical="center"/>
    </xf>
    <xf numFmtId="41" fontId="6" fillId="33" borderId="11" xfId="2636" applyFont="1" applyFill="1" applyBorder="1" applyAlignment="1">
      <alignment vertical="center" shrinkToFit="1"/>
    </xf>
    <xf numFmtId="0" fontId="6" fillId="33" borderId="11" xfId="3594" applyFont="1" applyFill="1" applyBorder="1" applyAlignment="1">
      <alignment vertical="center" shrinkToFit="1"/>
    </xf>
    <xf numFmtId="0" fontId="5" fillId="32" borderId="22" xfId="3550" applyFont="1" applyFill="1" applyBorder="1" applyAlignment="1">
      <alignment vertical="center"/>
    </xf>
    <xf numFmtId="0" fontId="5" fillId="24" borderId="10" xfId="3550" applyFont="1" applyFill="1" applyBorder="1" applyAlignment="1">
      <alignment vertical="center"/>
    </xf>
    <xf numFmtId="0" fontId="5" fillId="24" borderId="18" xfId="3550" applyFont="1" applyFill="1" applyBorder="1" applyAlignment="1">
      <alignment vertical="center"/>
    </xf>
    <xf numFmtId="0" fontId="5" fillId="0" borderId="14" xfId="3550" applyFont="1" applyFill="1" applyBorder="1" applyAlignment="1">
      <alignment horizontal="center" vertical="center"/>
    </xf>
    <xf numFmtId="0" fontId="6" fillId="0" borderId="13" xfId="3550" applyFont="1" applyFill="1" applyBorder="1" applyAlignment="1">
      <alignment vertical="center" wrapText="1"/>
    </xf>
    <xf numFmtId="0" fontId="5" fillId="0" borderId="14" xfId="3550" applyFont="1" applyBorder="1" applyAlignment="1">
      <alignment horizontal="center" vertical="center"/>
    </xf>
    <xf numFmtId="0" fontId="5" fillId="28" borderId="14" xfId="3550" applyFont="1" applyFill="1" applyBorder="1" applyAlignment="1">
      <alignment horizontal="center" vertical="center"/>
    </xf>
    <xf numFmtId="3" fontId="5" fillId="0" borderId="17" xfId="3550" applyNumberFormat="1" applyFont="1" applyFill="1" applyBorder="1" applyAlignment="1">
      <alignment vertical="center"/>
    </xf>
    <xf numFmtId="3" fontId="5" fillId="0" borderId="10" xfId="3550" applyNumberFormat="1" applyFont="1" applyFill="1" applyBorder="1" applyAlignment="1">
      <alignment vertical="center"/>
    </xf>
    <xf numFmtId="3" fontId="5" fillId="32" borderId="28" xfId="3550" applyNumberFormat="1" applyFont="1" applyFill="1" applyBorder="1" applyAlignment="1">
      <alignment vertical="center"/>
    </xf>
    <xf numFmtId="3" fontId="5" fillId="24" borderId="18" xfId="3550" applyNumberFormat="1" applyFont="1" applyFill="1" applyBorder="1" applyAlignment="1">
      <alignment vertical="center" wrapText="1"/>
    </xf>
    <xf numFmtId="49" fontId="6" fillId="0" borderId="13" xfId="2637" applyNumberFormat="1" applyFont="1" applyFill="1" applyBorder="1" applyAlignment="1">
      <alignment vertical="center"/>
    </xf>
    <xf numFmtId="0" fontId="5" fillId="0" borderId="29" xfId="0" applyFont="1" applyBorder="1">
      <alignment vertical="center"/>
    </xf>
    <xf numFmtId="0" fontId="5" fillId="0" borderId="14" xfId="0" applyFont="1" applyFill="1" applyBorder="1" applyAlignment="1">
      <alignment horizontal="left" vertical="center"/>
    </xf>
    <xf numFmtId="41" fontId="5" fillId="0" borderId="14" xfId="2636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left" vertical="center"/>
    </xf>
    <xf numFmtId="0" fontId="5" fillId="36" borderId="25" xfId="0" applyFont="1" applyFill="1" applyBorder="1">
      <alignment vertical="center"/>
    </xf>
    <xf numFmtId="0" fontId="26" fillId="0" borderId="0" xfId="3550" applyFont="1" applyAlignment="1">
      <alignment vertical="center"/>
    </xf>
    <xf numFmtId="41" fontId="26" fillId="0" borderId="0" xfId="2636" applyFont="1" applyAlignment="1">
      <alignment vertical="center"/>
    </xf>
    <xf numFmtId="3" fontId="26" fillId="0" borderId="0" xfId="3550" applyNumberFormat="1" applyFont="1" applyAlignment="1">
      <alignment vertical="center"/>
    </xf>
    <xf numFmtId="0" fontId="5" fillId="27" borderId="22" xfId="3594" applyFont="1" applyFill="1" applyBorder="1" applyAlignment="1">
      <alignment vertical="center"/>
    </xf>
    <xf numFmtId="0" fontId="5" fillId="25" borderId="18" xfId="3594" applyFont="1" applyFill="1" applyBorder="1" applyAlignment="1">
      <alignment vertical="center"/>
    </xf>
    <xf numFmtId="0" fontId="5" fillId="36" borderId="11" xfId="3594" applyFont="1" applyFill="1" applyBorder="1" applyAlignment="1">
      <alignment vertical="center" shrinkToFit="1"/>
    </xf>
    <xf numFmtId="0" fontId="5" fillId="0" borderId="16" xfId="3594" applyFont="1" applyFill="1" applyBorder="1" applyAlignment="1">
      <alignment vertical="center"/>
    </xf>
    <xf numFmtId="0" fontId="5" fillId="27" borderId="28" xfId="3594" applyFont="1" applyFill="1" applyBorder="1" applyAlignment="1">
      <alignment vertical="center"/>
    </xf>
    <xf numFmtId="0" fontId="5" fillId="0" borderId="14" xfId="3594" applyFont="1" applyBorder="1" applyAlignment="1">
      <alignment horizontal="center" vertical="center"/>
    </xf>
    <xf numFmtId="41" fontId="5" fillId="25" borderId="12" xfId="2637" applyFont="1" applyFill="1" applyBorder="1" applyAlignment="1">
      <alignment vertical="center"/>
    </xf>
    <xf numFmtId="41" fontId="5" fillId="36" borderId="11" xfId="2637" applyFont="1" applyFill="1" applyBorder="1" applyAlignment="1">
      <alignment vertical="center"/>
    </xf>
    <xf numFmtId="0" fontId="5" fillId="0" borderId="40" xfId="3594" applyFont="1" applyFill="1" applyBorder="1" applyAlignment="1">
      <alignment vertical="center"/>
    </xf>
    <xf numFmtId="0" fontId="5" fillId="27" borderId="28" xfId="3594" applyFont="1" applyFill="1" applyBorder="1" applyAlignment="1">
      <alignment horizontal="left" vertical="center"/>
    </xf>
    <xf numFmtId="0" fontId="5" fillId="0" borderId="13" xfId="0" applyFont="1" applyBorder="1" applyAlignment="1">
      <alignment vertical="center" shrinkToFit="1"/>
    </xf>
    <xf numFmtId="0" fontId="5" fillId="0" borderId="0" xfId="0" applyFont="1" applyBorder="1">
      <alignment vertical="center"/>
    </xf>
    <xf numFmtId="41" fontId="6" fillId="33" borderId="10" xfId="2636" applyFont="1" applyFill="1" applyBorder="1" applyAlignment="1">
      <alignment vertical="center"/>
    </xf>
    <xf numFmtId="0" fontId="5" fillId="33" borderId="11" xfId="3594" applyFont="1" applyFill="1" applyBorder="1" applyAlignment="1">
      <alignment vertical="center" shrinkToFit="1"/>
    </xf>
    <xf numFmtId="41" fontId="5" fillId="33" borderId="26" xfId="2636" applyFont="1" applyFill="1" applyBorder="1" applyAlignment="1">
      <alignment vertical="center" shrinkToFit="1"/>
    </xf>
    <xf numFmtId="176" fontId="27" fillId="38" borderId="62" xfId="3685" applyNumberFormat="1" applyFont="1" applyFill="1" applyBorder="1" applyAlignment="1">
      <alignment horizontal="center" vertical="center"/>
    </xf>
    <xf numFmtId="176" fontId="27" fillId="31" borderId="48" xfId="3685" applyNumberFormat="1" applyFont="1" applyFill="1" applyBorder="1" applyAlignment="1">
      <alignment horizontal="center" vertical="center"/>
    </xf>
    <xf numFmtId="176" fontId="27" fillId="38" borderId="62" xfId="3684" applyNumberFormat="1" applyFont="1" applyFill="1" applyBorder="1" applyAlignment="1">
      <alignment horizontal="center" vertical="center"/>
    </xf>
    <xf numFmtId="176" fontId="6" fillId="0" borderId="72" xfId="2636" applyNumberFormat="1" applyFont="1" applyFill="1" applyBorder="1" applyAlignment="1">
      <alignment horizontal="center" vertical="center"/>
    </xf>
    <xf numFmtId="41" fontId="6" fillId="0" borderId="72" xfId="2636" applyFont="1" applyFill="1" applyBorder="1" applyAlignment="1">
      <alignment horizontal="center" vertical="center"/>
    </xf>
    <xf numFmtId="0" fontId="6" fillId="0" borderId="72" xfId="3594" applyFont="1" applyBorder="1" applyAlignment="1">
      <alignment horizontal="center" vertical="center"/>
    </xf>
    <xf numFmtId="0" fontId="6" fillId="0" borderId="71" xfId="3594" applyFont="1" applyBorder="1" applyAlignment="1">
      <alignment horizontal="center" vertical="center"/>
    </xf>
    <xf numFmtId="0" fontId="35" fillId="0" borderId="0" xfId="3594" applyFont="1" applyAlignment="1">
      <alignment vertical="center"/>
    </xf>
    <xf numFmtId="0" fontId="37" fillId="0" borderId="0" xfId="3594" applyFont="1" applyAlignment="1">
      <alignment vertical="center"/>
    </xf>
    <xf numFmtId="176" fontId="37" fillId="0" borderId="0" xfId="2636" applyNumberFormat="1" applyFont="1" applyAlignment="1">
      <alignment horizontal="center" vertical="center"/>
    </xf>
    <xf numFmtId="0" fontId="37" fillId="0" borderId="0" xfId="3594" applyFont="1" applyAlignment="1">
      <alignment vertical="center" shrinkToFit="1"/>
    </xf>
    <xf numFmtId="41" fontId="37" fillId="0" borderId="0" xfId="2636" applyFont="1" applyAlignment="1">
      <alignment vertical="center" shrinkToFit="1"/>
    </xf>
    <xf numFmtId="0" fontId="35" fillId="0" borderId="0" xfId="3550" applyFont="1" applyAlignment="1">
      <alignment vertical="center"/>
    </xf>
    <xf numFmtId="0" fontId="5" fillId="0" borderId="0" xfId="0" applyFont="1" applyBorder="1">
      <alignment vertical="center"/>
    </xf>
    <xf numFmtId="0" fontId="6" fillId="0" borderId="24" xfId="3594" applyFont="1" applyBorder="1" applyAlignment="1">
      <alignment vertical="center"/>
    </xf>
    <xf numFmtId="0" fontId="6" fillId="0" borderId="14" xfId="3594" applyFont="1" applyBorder="1" applyAlignment="1">
      <alignment vertical="center"/>
    </xf>
    <xf numFmtId="41" fontId="6" fillId="0" borderId="25" xfId="2636" applyFont="1" applyBorder="1" applyAlignment="1">
      <alignment vertical="center" shrinkToFit="1"/>
    </xf>
    <xf numFmtId="0" fontId="6" fillId="0" borderId="13" xfId="3550" applyFont="1" applyBorder="1" applyAlignment="1">
      <alignment vertical="center" wrapText="1"/>
    </xf>
    <xf numFmtId="0" fontId="5" fillId="0" borderId="13" xfId="3548" applyFont="1" applyBorder="1" applyAlignment="1">
      <alignment vertical="center"/>
    </xf>
    <xf numFmtId="49" fontId="6" fillId="28" borderId="13" xfId="2637" applyNumberFormat="1" applyFont="1" applyFill="1" applyBorder="1" applyAlignment="1">
      <alignment vertical="center"/>
    </xf>
    <xf numFmtId="0" fontId="5" fillId="0" borderId="13" xfId="0" applyFont="1" applyFill="1" applyBorder="1" applyAlignment="1">
      <alignment vertical="center" shrinkToFit="1"/>
    </xf>
    <xf numFmtId="0" fontId="27" fillId="0" borderId="0" xfId="3684" applyFont="1" applyBorder="1" applyAlignment="1">
      <alignment horizontal="left" vertical="center" wrapText="1"/>
    </xf>
    <xf numFmtId="176" fontId="32" fillId="0" borderId="46" xfId="3684" applyNumberFormat="1" applyFont="1" applyFill="1" applyBorder="1" applyAlignment="1">
      <alignment horizontal="center" vertical="center"/>
    </xf>
    <xf numFmtId="176" fontId="32" fillId="0" borderId="68" xfId="3684" applyNumberFormat="1" applyFont="1" applyFill="1" applyBorder="1" applyAlignment="1">
      <alignment horizontal="center" vertical="center"/>
    </xf>
    <xf numFmtId="0" fontId="38" fillId="0" borderId="0" xfId="3684" applyFont="1" applyAlignment="1">
      <alignment horizontal="center" vertical="center"/>
    </xf>
    <xf numFmtId="0" fontId="29" fillId="0" borderId="0" xfId="3684" applyFont="1" applyAlignment="1">
      <alignment horizontal="center" vertical="center"/>
    </xf>
    <xf numFmtId="0" fontId="32" fillId="0" borderId="44" xfId="3684" applyFont="1" applyFill="1" applyBorder="1" applyAlignment="1">
      <alignment horizontal="center" vertical="center"/>
    </xf>
    <xf numFmtId="0" fontId="32" fillId="0" borderId="45" xfId="3684" applyFont="1" applyFill="1" applyBorder="1" applyAlignment="1">
      <alignment horizontal="center" vertical="center"/>
    </xf>
    <xf numFmtId="177" fontId="32" fillId="0" borderId="45" xfId="3684" applyNumberFormat="1" applyFont="1" applyFill="1" applyBorder="1" applyAlignment="1">
      <alignment horizontal="center" vertical="center"/>
    </xf>
    <xf numFmtId="177" fontId="32" fillId="0" borderId="67" xfId="3684" applyNumberFormat="1" applyFont="1" applyFill="1" applyBorder="1" applyAlignment="1">
      <alignment horizontal="center" vertical="center"/>
    </xf>
    <xf numFmtId="0" fontId="33" fillId="38" borderId="63" xfId="3684" applyFont="1" applyFill="1" applyBorder="1" applyAlignment="1">
      <alignment horizontal="center" vertical="center"/>
    </xf>
    <xf numFmtId="0" fontId="33" fillId="38" borderId="64" xfId="3684" applyFont="1" applyFill="1" applyBorder="1" applyAlignment="1">
      <alignment horizontal="center" vertical="center"/>
    </xf>
    <xf numFmtId="0" fontId="33" fillId="38" borderId="65" xfId="3684" applyFont="1" applyFill="1" applyBorder="1" applyAlignment="1">
      <alignment horizontal="center" vertical="center"/>
    </xf>
    <xf numFmtId="0" fontId="33" fillId="37" borderId="58" xfId="3684" applyFont="1" applyFill="1" applyBorder="1" applyAlignment="1">
      <alignment horizontal="center" vertical="center"/>
    </xf>
    <xf numFmtId="0" fontId="33" fillId="37" borderId="59" xfId="3684" applyFont="1" applyFill="1" applyBorder="1" applyAlignment="1">
      <alignment horizontal="center" vertical="center"/>
    </xf>
    <xf numFmtId="0" fontId="33" fillId="37" borderId="60" xfId="3684" applyFont="1" applyFill="1" applyBorder="1" applyAlignment="1">
      <alignment horizontal="center" vertical="center"/>
    </xf>
    <xf numFmtId="0" fontId="33" fillId="37" borderId="55" xfId="3684" applyFont="1" applyFill="1" applyBorder="1" applyAlignment="1">
      <alignment horizontal="center" vertical="center"/>
    </xf>
    <xf numFmtId="0" fontId="33" fillId="37" borderId="56" xfId="3684" applyFont="1" applyFill="1" applyBorder="1" applyAlignment="1">
      <alignment horizontal="center" vertical="center"/>
    </xf>
    <xf numFmtId="0" fontId="33" fillId="37" borderId="57" xfId="3684" applyFont="1" applyFill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30" borderId="38" xfId="3594" applyFont="1" applyFill="1" applyBorder="1" applyAlignment="1">
      <alignment horizontal="center" vertical="center" shrinkToFit="1"/>
    </xf>
    <xf numFmtId="0" fontId="6" fillId="30" borderId="37" xfId="3594" applyFont="1" applyFill="1" applyBorder="1" applyAlignment="1">
      <alignment horizontal="center" vertical="center" shrinkToFit="1"/>
    </xf>
    <xf numFmtId="0" fontId="5" fillId="0" borderId="0" xfId="0" applyFont="1" applyBorder="1">
      <alignment vertical="center"/>
    </xf>
    <xf numFmtId="0" fontId="6" fillId="30" borderId="39" xfId="3594" applyFont="1" applyFill="1" applyBorder="1" applyAlignment="1">
      <alignment horizontal="center" vertical="center" shrinkToFit="1"/>
    </xf>
    <xf numFmtId="0" fontId="6" fillId="30" borderId="33" xfId="3594" applyFont="1" applyFill="1" applyBorder="1" applyAlignment="1">
      <alignment horizontal="center" vertical="center" shrinkToFit="1"/>
    </xf>
    <xf numFmtId="0" fontId="5" fillId="0" borderId="36" xfId="0" applyFont="1" applyBorder="1">
      <alignment vertical="center"/>
    </xf>
    <xf numFmtId="0" fontId="6" fillId="33" borderId="69" xfId="3594" applyFont="1" applyFill="1" applyBorder="1" applyAlignment="1">
      <alignment horizontal="center" vertical="center" shrinkToFit="1"/>
    </xf>
    <xf numFmtId="0" fontId="6" fillId="33" borderId="70" xfId="3594" applyFont="1" applyFill="1" applyBorder="1" applyAlignment="1">
      <alignment horizontal="center" vertical="center" shrinkToFit="1"/>
    </xf>
    <xf numFmtId="0" fontId="6" fillId="33" borderId="40" xfId="3594" applyFont="1" applyFill="1" applyBorder="1" applyAlignment="1">
      <alignment horizontal="center" vertical="center" shrinkToFit="1"/>
    </xf>
    <xf numFmtId="0" fontId="33" fillId="37" borderId="58" xfId="3685" applyFont="1" applyFill="1" applyBorder="1" applyAlignment="1">
      <alignment horizontal="center" vertical="center"/>
    </xf>
    <xf numFmtId="0" fontId="33" fillId="37" borderId="59" xfId="3685" applyFont="1" applyFill="1" applyBorder="1" applyAlignment="1">
      <alignment horizontal="center" vertical="center"/>
    </xf>
    <xf numFmtId="0" fontId="33" fillId="37" borderId="60" xfId="3685" applyFont="1" applyFill="1" applyBorder="1" applyAlignment="1">
      <alignment horizontal="center" vertical="center"/>
    </xf>
    <xf numFmtId="0" fontId="33" fillId="38" borderId="63" xfId="3685" applyFont="1" applyFill="1" applyBorder="1" applyAlignment="1">
      <alignment horizontal="center" vertical="center"/>
    </xf>
    <xf numFmtId="0" fontId="33" fillId="38" borderId="64" xfId="3685" applyFont="1" applyFill="1" applyBorder="1" applyAlignment="1">
      <alignment horizontal="center" vertical="center"/>
    </xf>
    <xf numFmtId="0" fontId="33" fillId="38" borderId="65" xfId="3685" applyFont="1" applyFill="1" applyBorder="1" applyAlignment="1">
      <alignment horizontal="center" vertical="center"/>
    </xf>
    <xf numFmtId="0" fontId="33" fillId="37" borderId="55" xfId="3685" applyFont="1" applyFill="1" applyBorder="1" applyAlignment="1">
      <alignment horizontal="center" vertical="center"/>
    </xf>
    <xf numFmtId="0" fontId="33" fillId="37" borderId="56" xfId="3685" applyFont="1" applyFill="1" applyBorder="1" applyAlignment="1">
      <alignment horizontal="center" vertical="center"/>
    </xf>
    <xf numFmtId="0" fontId="33" fillId="37" borderId="57" xfId="3685" applyFont="1" applyFill="1" applyBorder="1" applyAlignment="1">
      <alignment horizontal="center" vertical="center"/>
    </xf>
    <xf numFmtId="0" fontId="28" fillId="0" borderId="0" xfId="3685" applyFont="1" applyAlignment="1">
      <alignment horizontal="center"/>
    </xf>
    <xf numFmtId="0" fontId="29" fillId="0" borderId="0" xfId="3685" applyFont="1" applyAlignment="1">
      <alignment horizontal="center" vertical="center"/>
    </xf>
    <xf numFmtId="0" fontId="32" fillId="0" borderId="44" xfId="3685" applyFont="1" applyFill="1" applyBorder="1" applyAlignment="1">
      <alignment horizontal="center" vertical="center"/>
    </xf>
    <xf numFmtId="0" fontId="32" fillId="0" borderId="45" xfId="3685" applyFont="1" applyFill="1" applyBorder="1" applyAlignment="1">
      <alignment horizontal="center" vertical="center"/>
    </xf>
    <xf numFmtId="41" fontId="32" fillId="0" borderId="45" xfId="2637" applyFont="1" applyFill="1" applyBorder="1" applyAlignment="1">
      <alignment horizontal="center" vertical="center"/>
    </xf>
    <xf numFmtId="41" fontId="32" fillId="0" borderId="67" xfId="2637" applyFont="1" applyFill="1" applyBorder="1" applyAlignment="1">
      <alignment horizontal="center" vertical="center"/>
    </xf>
    <xf numFmtId="176" fontId="32" fillId="0" borderId="46" xfId="3685" applyNumberFormat="1" applyFont="1" applyFill="1" applyBorder="1" applyAlignment="1">
      <alignment horizontal="center" vertical="center"/>
    </xf>
    <xf numFmtId="176" fontId="32" fillId="0" borderId="68" xfId="3685" applyNumberFormat="1" applyFont="1" applyFill="1" applyBorder="1" applyAlignment="1">
      <alignment horizontal="center" vertical="center"/>
    </xf>
    <xf numFmtId="41" fontId="6" fillId="33" borderId="69" xfId="2636" applyFont="1" applyFill="1" applyBorder="1" applyAlignment="1">
      <alignment horizontal="center" vertical="center" shrinkToFit="1"/>
    </xf>
    <xf numFmtId="41" fontId="6" fillId="33" borderId="70" xfId="2636" applyFont="1" applyFill="1" applyBorder="1" applyAlignment="1">
      <alignment horizontal="center" vertical="center" shrinkToFit="1"/>
    </xf>
    <xf numFmtId="41" fontId="6" fillId="33" borderId="40" xfId="2636" applyFont="1" applyFill="1" applyBorder="1" applyAlignment="1">
      <alignment horizontal="center" vertical="center" shrinkToFit="1"/>
    </xf>
    <xf numFmtId="3" fontId="6" fillId="31" borderId="12" xfId="3550" applyNumberFormat="1" applyFont="1" applyFill="1" applyBorder="1" applyAlignment="1">
      <alignment horizontal="center" vertical="center"/>
    </xf>
    <xf numFmtId="3" fontId="6" fillId="31" borderId="34" xfId="3550" applyNumberFormat="1" applyFont="1" applyFill="1" applyBorder="1" applyAlignment="1">
      <alignment horizontal="center" vertical="center"/>
    </xf>
    <xf numFmtId="3" fontId="6" fillId="31" borderId="19" xfId="3550" applyNumberFormat="1" applyFont="1" applyFill="1" applyBorder="1" applyAlignment="1">
      <alignment horizontal="center" vertical="center"/>
    </xf>
    <xf numFmtId="41" fontId="6" fillId="34" borderId="35" xfId="2636" applyFont="1" applyFill="1" applyBorder="1" applyAlignment="1">
      <alignment horizontal="center" vertical="center"/>
    </xf>
    <xf numFmtId="41" fontId="6" fillId="34" borderId="34" xfId="2636" applyFont="1" applyFill="1" applyBorder="1" applyAlignment="1">
      <alignment horizontal="center" vertical="center"/>
    </xf>
    <xf numFmtId="41" fontId="6" fillId="34" borderId="19" xfId="2636" applyFont="1" applyFill="1" applyBorder="1" applyAlignment="1">
      <alignment horizontal="center" vertical="center"/>
    </xf>
    <xf numFmtId="41" fontId="6" fillId="34" borderId="39" xfId="2636" applyFont="1" applyFill="1" applyBorder="1" applyAlignment="1">
      <alignment horizontal="center" vertical="center"/>
    </xf>
    <xf numFmtId="41" fontId="6" fillId="34" borderId="33" xfId="2636" applyFont="1" applyFill="1" applyBorder="1" applyAlignment="1">
      <alignment horizontal="center" vertical="center"/>
    </xf>
    <xf numFmtId="41" fontId="6" fillId="34" borderId="36" xfId="2636" applyFont="1" applyFill="1" applyBorder="1" applyAlignment="1">
      <alignment horizontal="center" vertical="center"/>
    </xf>
    <xf numFmtId="41" fontId="6" fillId="34" borderId="12" xfId="2636" applyFont="1" applyFill="1" applyBorder="1" applyAlignment="1">
      <alignment horizontal="center" vertical="center"/>
    </xf>
    <xf numFmtId="41" fontId="6" fillId="34" borderId="23" xfId="2636" applyFont="1" applyFill="1" applyBorder="1" applyAlignment="1">
      <alignment horizontal="center" vertical="center"/>
    </xf>
    <xf numFmtId="41" fontId="6" fillId="34" borderId="31" xfId="2636" applyFont="1" applyFill="1" applyBorder="1" applyAlignment="1">
      <alignment horizontal="center" vertical="center"/>
    </xf>
    <xf numFmtId="41" fontId="6" fillId="34" borderId="32" xfId="2636" applyFont="1" applyFill="1" applyBorder="1" applyAlignment="1">
      <alignment horizontal="center" vertical="center"/>
    </xf>
    <xf numFmtId="3" fontId="5" fillId="25" borderId="12" xfId="3550" applyNumberFormat="1" applyFont="1" applyFill="1" applyBorder="1" applyAlignment="1">
      <alignment horizontal="center" vertical="center"/>
    </xf>
    <xf numFmtId="3" fontId="5" fillId="25" borderId="23" xfId="3550" applyNumberFormat="1" applyFont="1" applyFill="1" applyBorder="1" applyAlignment="1">
      <alignment horizontal="center" vertical="center"/>
    </xf>
  </cellXfs>
  <cellStyles count="3701">
    <cellStyle name="20% - 강조색1 10" xfId="1"/>
    <cellStyle name="20% - 강조색1 10 2" xfId="2"/>
    <cellStyle name="20% - 강조색1 11" xfId="3"/>
    <cellStyle name="20% - 강조색1 11 2" xfId="4"/>
    <cellStyle name="20% - 강조색1 12" xfId="5"/>
    <cellStyle name="20% - 강조색1 12 2" xfId="6"/>
    <cellStyle name="20% - 강조색1 13" xfId="7"/>
    <cellStyle name="20% - 강조색1 13 2" xfId="8"/>
    <cellStyle name="20% - 강조색1 14" xfId="9"/>
    <cellStyle name="20% - 강조색1 14 2" xfId="10"/>
    <cellStyle name="20% - 강조색1 15" xfId="11"/>
    <cellStyle name="20% - 강조색1 15 2" xfId="12"/>
    <cellStyle name="20% - 강조색1 16" xfId="13"/>
    <cellStyle name="20% - 강조색1 16 2" xfId="14"/>
    <cellStyle name="20% - 강조색1 17" xfId="15"/>
    <cellStyle name="20% - 강조색1 17 2" xfId="16"/>
    <cellStyle name="20% - 강조색1 18" xfId="17"/>
    <cellStyle name="20% - 강조색1 18 2" xfId="18"/>
    <cellStyle name="20% - 강조색1 19" xfId="19"/>
    <cellStyle name="20% - 강조색1 19 2" xfId="20"/>
    <cellStyle name="20% - 강조색1 2" xfId="21"/>
    <cellStyle name="20% - 강조색1 2 10" xfId="22"/>
    <cellStyle name="20% - 강조색1 2 11" xfId="23"/>
    <cellStyle name="20% - 강조색1 2 12" xfId="24"/>
    <cellStyle name="20% - 강조색1 2 13" xfId="25"/>
    <cellStyle name="20% - 강조색1 2 14" xfId="26"/>
    <cellStyle name="20% - 강조색1 2 15" xfId="27"/>
    <cellStyle name="20% - 강조색1 2 2" xfId="28"/>
    <cellStyle name="20% - 강조색1 2 3" xfId="29"/>
    <cellStyle name="20% - 강조색1 2 4" xfId="30"/>
    <cellStyle name="20% - 강조색1 2 5" xfId="31"/>
    <cellStyle name="20% - 강조색1 2 6" xfId="32"/>
    <cellStyle name="20% - 강조색1 2 7" xfId="33"/>
    <cellStyle name="20% - 강조색1 2 8" xfId="34"/>
    <cellStyle name="20% - 강조색1 2 9" xfId="35"/>
    <cellStyle name="20% - 강조색1 20" xfId="36"/>
    <cellStyle name="20% - 강조색1 20 2" xfId="37"/>
    <cellStyle name="20% - 강조색1 21" xfId="38"/>
    <cellStyle name="20% - 강조색1 21 2" xfId="39"/>
    <cellStyle name="20% - 강조색1 22" xfId="40"/>
    <cellStyle name="20% - 강조색1 22 2" xfId="41"/>
    <cellStyle name="20% - 강조색1 23" xfId="42"/>
    <cellStyle name="20% - 강조색1 23 2" xfId="43"/>
    <cellStyle name="20% - 강조색1 24" xfId="44"/>
    <cellStyle name="20% - 강조색1 24 2" xfId="45"/>
    <cellStyle name="20% - 강조색1 25" xfId="46"/>
    <cellStyle name="20% - 강조색1 25 2" xfId="47"/>
    <cellStyle name="20% - 강조색1 26" xfId="48"/>
    <cellStyle name="20% - 강조색1 26 2" xfId="49"/>
    <cellStyle name="20% - 강조색1 27" xfId="50"/>
    <cellStyle name="20% - 강조색1 27 2" xfId="51"/>
    <cellStyle name="20% - 강조색1 28" xfId="52"/>
    <cellStyle name="20% - 강조색1 28 2" xfId="53"/>
    <cellStyle name="20% - 강조색1 29" xfId="54"/>
    <cellStyle name="20% - 강조색1 29 2" xfId="55"/>
    <cellStyle name="20% - 강조색1 3" xfId="56"/>
    <cellStyle name="20% - 강조색1 3 2" xfId="57"/>
    <cellStyle name="20% - 강조색1 30" xfId="58"/>
    <cellStyle name="20% - 강조색1 30 2" xfId="59"/>
    <cellStyle name="20% - 강조색1 31" xfId="60"/>
    <cellStyle name="20% - 강조색1 31 2" xfId="61"/>
    <cellStyle name="20% - 강조색1 32" xfId="62"/>
    <cellStyle name="20% - 강조색1 32 2" xfId="63"/>
    <cellStyle name="20% - 강조색1 33" xfId="64"/>
    <cellStyle name="20% - 강조색1 33 2" xfId="65"/>
    <cellStyle name="20% - 강조색1 34" xfId="66"/>
    <cellStyle name="20% - 강조색1 34 2" xfId="67"/>
    <cellStyle name="20% - 강조색1 35" xfId="68"/>
    <cellStyle name="20% - 강조색1 35 2" xfId="69"/>
    <cellStyle name="20% - 강조색1 36" xfId="70"/>
    <cellStyle name="20% - 강조색1 36 2" xfId="71"/>
    <cellStyle name="20% - 강조색1 37" xfId="72"/>
    <cellStyle name="20% - 강조색1 37 2" xfId="73"/>
    <cellStyle name="20% - 강조색1 4" xfId="74"/>
    <cellStyle name="20% - 강조색1 4 2" xfId="75"/>
    <cellStyle name="20% - 강조색1 5" xfId="76"/>
    <cellStyle name="20% - 강조색1 5 2" xfId="77"/>
    <cellStyle name="20% - 강조색1 6" xfId="78"/>
    <cellStyle name="20% - 강조색1 6 2" xfId="79"/>
    <cellStyle name="20% - 강조색1 7" xfId="80"/>
    <cellStyle name="20% - 강조색1 7 2" xfId="81"/>
    <cellStyle name="20% - 강조색1 8" xfId="82"/>
    <cellStyle name="20% - 강조색1 8 2" xfId="83"/>
    <cellStyle name="20% - 강조색1 9" xfId="84"/>
    <cellStyle name="20% - 강조색1 9 2" xfId="85"/>
    <cellStyle name="20% - 강조색2 10" xfId="86"/>
    <cellStyle name="20% - 강조색2 10 2" xfId="87"/>
    <cellStyle name="20% - 강조색2 11" xfId="88"/>
    <cellStyle name="20% - 강조색2 11 2" xfId="89"/>
    <cellStyle name="20% - 강조색2 12" xfId="90"/>
    <cellStyle name="20% - 강조색2 12 2" xfId="91"/>
    <cellStyle name="20% - 강조색2 13" xfId="92"/>
    <cellStyle name="20% - 강조색2 13 2" xfId="93"/>
    <cellStyle name="20% - 강조색2 14" xfId="94"/>
    <cellStyle name="20% - 강조색2 14 2" xfId="95"/>
    <cellStyle name="20% - 강조색2 15" xfId="96"/>
    <cellStyle name="20% - 강조색2 15 2" xfId="97"/>
    <cellStyle name="20% - 강조색2 16" xfId="98"/>
    <cellStyle name="20% - 강조색2 16 2" xfId="99"/>
    <cellStyle name="20% - 강조색2 17" xfId="100"/>
    <cellStyle name="20% - 강조색2 17 2" xfId="101"/>
    <cellStyle name="20% - 강조색2 18" xfId="102"/>
    <cellStyle name="20% - 강조색2 18 2" xfId="103"/>
    <cellStyle name="20% - 강조색2 19" xfId="104"/>
    <cellStyle name="20% - 강조색2 19 2" xfId="105"/>
    <cellStyle name="20% - 강조색2 2" xfId="106"/>
    <cellStyle name="20% - 강조색2 2 10" xfId="107"/>
    <cellStyle name="20% - 강조색2 2 11" xfId="108"/>
    <cellStyle name="20% - 강조색2 2 12" xfId="109"/>
    <cellStyle name="20% - 강조색2 2 13" xfId="110"/>
    <cellStyle name="20% - 강조색2 2 14" xfId="111"/>
    <cellStyle name="20% - 강조색2 2 15" xfId="112"/>
    <cellStyle name="20% - 강조색2 2 2" xfId="113"/>
    <cellStyle name="20% - 강조색2 2 3" xfId="114"/>
    <cellStyle name="20% - 강조색2 2 4" xfId="115"/>
    <cellStyle name="20% - 강조색2 2 5" xfId="116"/>
    <cellStyle name="20% - 강조색2 2 6" xfId="117"/>
    <cellStyle name="20% - 강조색2 2 7" xfId="118"/>
    <cellStyle name="20% - 강조색2 2 8" xfId="119"/>
    <cellStyle name="20% - 강조색2 2 9" xfId="120"/>
    <cellStyle name="20% - 강조색2 20" xfId="121"/>
    <cellStyle name="20% - 강조색2 20 2" xfId="122"/>
    <cellStyle name="20% - 강조색2 21" xfId="123"/>
    <cellStyle name="20% - 강조색2 21 2" xfId="124"/>
    <cellStyle name="20% - 강조색2 22" xfId="125"/>
    <cellStyle name="20% - 강조색2 22 2" xfId="126"/>
    <cellStyle name="20% - 강조색2 23" xfId="127"/>
    <cellStyle name="20% - 강조색2 23 2" xfId="128"/>
    <cellStyle name="20% - 강조색2 24" xfId="129"/>
    <cellStyle name="20% - 강조색2 24 2" xfId="130"/>
    <cellStyle name="20% - 강조색2 25" xfId="131"/>
    <cellStyle name="20% - 강조색2 25 2" xfId="132"/>
    <cellStyle name="20% - 강조색2 26" xfId="133"/>
    <cellStyle name="20% - 강조색2 26 2" xfId="134"/>
    <cellStyle name="20% - 강조색2 27" xfId="135"/>
    <cellStyle name="20% - 강조색2 27 2" xfId="136"/>
    <cellStyle name="20% - 강조색2 28" xfId="137"/>
    <cellStyle name="20% - 강조색2 28 2" xfId="138"/>
    <cellStyle name="20% - 강조색2 29" xfId="139"/>
    <cellStyle name="20% - 강조색2 29 2" xfId="140"/>
    <cellStyle name="20% - 강조색2 3" xfId="141"/>
    <cellStyle name="20% - 강조색2 3 2" xfId="142"/>
    <cellStyle name="20% - 강조색2 30" xfId="143"/>
    <cellStyle name="20% - 강조색2 30 2" xfId="144"/>
    <cellStyle name="20% - 강조색2 31" xfId="145"/>
    <cellStyle name="20% - 강조색2 31 2" xfId="146"/>
    <cellStyle name="20% - 강조색2 32" xfId="147"/>
    <cellStyle name="20% - 강조색2 32 2" xfId="148"/>
    <cellStyle name="20% - 강조색2 33" xfId="149"/>
    <cellStyle name="20% - 강조색2 33 2" xfId="150"/>
    <cellStyle name="20% - 강조색2 34" xfId="151"/>
    <cellStyle name="20% - 강조색2 34 2" xfId="152"/>
    <cellStyle name="20% - 강조색2 35" xfId="153"/>
    <cellStyle name="20% - 강조색2 35 2" xfId="154"/>
    <cellStyle name="20% - 강조색2 36" xfId="155"/>
    <cellStyle name="20% - 강조색2 36 2" xfId="156"/>
    <cellStyle name="20% - 강조색2 37" xfId="157"/>
    <cellStyle name="20% - 강조색2 37 2" xfId="158"/>
    <cellStyle name="20% - 강조색2 4" xfId="159"/>
    <cellStyle name="20% - 강조색2 4 2" xfId="160"/>
    <cellStyle name="20% - 강조색2 5" xfId="161"/>
    <cellStyle name="20% - 강조색2 5 2" xfId="162"/>
    <cellStyle name="20% - 강조색2 6" xfId="163"/>
    <cellStyle name="20% - 강조색2 6 2" xfId="164"/>
    <cellStyle name="20% - 강조색2 7" xfId="165"/>
    <cellStyle name="20% - 강조색2 7 2" xfId="166"/>
    <cellStyle name="20% - 강조색2 8" xfId="167"/>
    <cellStyle name="20% - 강조색2 8 2" xfId="168"/>
    <cellStyle name="20% - 강조색2 9" xfId="169"/>
    <cellStyle name="20% - 강조색2 9 2" xfId="170"/>
    <cellStyle name="20% - 강조색3 10" xfId="171"/>
    <cellStyle name="20% - 강조색3 10 2" xfId="172"/>
    <cellStyle name="20% - 강조색3 11" xfId="173"/>
    <cellStyle name="20% - 강조색3 11 2" xfId="174"/>
    <cellStyle name="20% - 강조색3 12" xfId="175"/>
    <cellStyle name="20% - 강조색3 12 2" xfId="176"/>
    <cellStyle name="20% - 강조색3 13" xfId="177"/>
    <cellStyle name="20% - 강조색3 13 2" xfId="178"/>
    <cellStyle name="20% - 강조색3 14" xfId="179"/>
    <cellStyle name="20% - 강조색3 14 2" xfId="180"/>
    <cellStyle name="20% - 강조색3 15" xfId="181"/>
    <cellStyle name="20% - 강조색3 15 2" xfId="182"/>
    <cellStyle name="20% - 강조색3 16" xfId="183"/>
    <cellStyle name="20% - 강조색3 16 2" xfId="184"/>
    <cellStyle name="20% - 강조색3 17" xfId="185"/>
    <cellStyle name="20% - 강조색3 17 2" xfId="186"/>
    <cellStyle name="20% - 강조색3 18" xfId="187"/>
    <cellStyle name="20% - 강조색3 18 2" xfId="188"/>
    <cellStyle name="20% - 강조색3 19" xfId="189"/>
    <cellStyle name="20% - 강조색3 19 2" xfId="190"/>
    <cellStyle name="20% - 강조색3 2" xfId="191"/>
    <cellStyle name="20% - 강조색3 2 10" xfId="192"/>
    <cellStyle name="20% - 강조색3 2 11" xfId="193"/>
    <cellStyle name="20% - 강조색3 2 12" xfId="194"/>
    <cellStyle name="20% - 강조색3 2 13" xfId="195"/>
    <cellStyle name="20% - 강조색3 2 14" xfId="196"/>
    <cellStyle name="20% - 강조색3 2 15" xfId="197"/>
    <cellStyle name="20% - 강조색3 2 2" xfId="198"/>
    <cellStyle name="20% - 강조색3 2 3" xfId="199"/>
    <cellStyle name="20% - 강조색3 2 4" xfId="200"/>
    <cellStyle name="20% - 강조색3 2 5" xfId="201"/>
    <cellStyle name="20% - 강조색3 2 6" xfId="202"/>
    <cellStyle name="20% - 강조색3 2 7" xfId="203"/>
    <cellStyle name="20% - 강조색3 2 8" xfId="204"/>
    <cellStyle name="20% - 강조색3 2 9" xfId="205"/>
    <cellStyle name="20% - 강조색3 20" xfId="206"/>
    <cellStyle name="20% - 강조색3 20 2" xfId="207"/>
    <cellStyle name="20% - 강조색3 21" xfId="208"/>
    <cellStyle name="20% - 강조색3 21 2" xfId="209"/>
    <cellStyle name="20% - 강조색3 22" xfId="210"/>
    <cellStyle name="20% - 강조색3 22 2" xfId="211"/>
    <cellStyle name="20% - 강조색3 23" xfId="212"/>
    <cellStyle name="20% - 강조색3 23 2" xfId="213"/>
    <cellStyle name="20% - 강조색3 24" xfId="214"/>
    <cellStyle name="20% - 강조색3 24 2" xfId="215"/>
    <cellStyle name="20% - 강조색3 25" xfId="216"/>
    <cellStyle name="20% - 강조색3 25 2" xfId="217"/>
    <cellStyle name="20% - 강조색3 26" xfId="218"/>
    <cellStyle name="20% - 강조색3 26 2" xfId="219"/>
    <cellStyle name="20% - 강조색3 27" xfId="220"/>
    <cellStyle name="20% - 강조색3 27 2" xfId="221"/>
    <cellStyle name="20% - 강조색3 28" xfId="222"/>
    <cellStyle name="20% - 강조색3 28 2" xfId="223"/>
    <cellStyle name="20% - 강조색3 29" xfId="224"/>
    <cellStyle name="20% - 강조색3 29 2" xfId="225"/>
    <cellStyle name="20% - 강조색3 3" xfId="226"/>
    <cellStyle name="20% - 강조색3 3 2" xfId="227"/>
    <cellStyle name="20% - 강조색3 30" xfId="228"/>
    <cellStyle name="20% - 강조색3 30 2" xfId="229"/>
    <cellStyle name="20% - 강조색3 31" xfId="230"/>
    <cellStyle name="20% - 강조색3 31 2" xfId="231"/>
    <cellStyle name="20% - 강조색3 32" xfId="232"/>
    <cellStyle name="20% - 강조색3 32 2" xfId="233"/>
    <cellStyle name="20% - 강조색3 33" xfId="234"/>
    <cellStyle name="20% - 강조색3 33 2" xfId="235"/>
    <cellStyle name="20% - 강조색3 34" xfId="236"/>
    <cellStyle name="20% - 강조색3 34 2" xfId="237"/>
    <cellStyle name="20% - 강조색3 35" xfId="238"/>
    <cellStyle name="20% - 강조색3 35 2" xfId="239"/>
    <cellStyle name="20% - 강조색3 36" xfId="240"/>
    <cellStyle name="20% - 강조색3 36 2" xfId="241"/>
    <cellStyle name="20% - 강조색3 37" xfId="242"/>
    <cellStyle name="20% - 강조색3 37 2" xfId="243"/>
    <cellStyle name="20% - 강조색3 4" xfId="244"/>
    <cellStyle name="20% - 강조색3 4 2" xfId="245"/>
    <cellStyle name="20% - 강조색3 5" xfId="246"/>
    <cellStyle name="20% - 강조색3 5 2" xfId="247"/>
    <cellStyle name="20% - 강조색3 6" xfId="248"/>
    <cellStyle name="20% - 강조색3 6 2" xfId="249"/>
    <cellStyle name="20% - 강조색3 7" xfId="250"/>
    <cellStyle name="20% - 강조색3 7 2" xfId="251"/>
    <cellStyle name="20% - 강조색3 8" xfId="252"/>
    <cellStyle name="20% - 강조색3 8 2" xfId="253"/>
    <cellStyle name="20% - 강조색3 9" xfId="254"/>
    <cellStyle name="20% - 강조색3 9 2" xfId="255"/>
    <cellStyle name="20% - 강조색4 10" xfId="256"/>
    <cellStyle name="20% - 강조색4 10 2" xfId="257"/>
    <cellStyle name="20% - 강조색4 11" xfId="258"/>
    <cellStyle name="20% - 강조색4 11 2" xfId="259"/>
    <cellStyle name="20% - 강조색4 12" xfId="260"/>
    <cellStyle name="20% - 강조색4 12 2" xfId="261"/>
    <cellStyle name="20% - 강조색4 13" xfId="262"/>
    <cellStyle name="20% - 강조색4 13 2" xfId="263"/>
    <cellStyle name="20% - 강조색4 14" xfId="264"/>
    <cellStyle name="20% - 강조색4 14 2" xfId="265"/>
    <cellStyle name="20% - 강조색4 15" xfId="266"/>
    <cellStyle name="20% - 강조색4 15 2" xfId="267"/>
    <cellStyle name="20% - 강조색4 16" xfId="268"/>
    <cellStyle name="20% - 강조색4 16 2" xfId="269"/>
    <cellStyle name="20% - 강조색4 17" xfId="270"/>
    <cellStyle name="20% - 강조색4 17 2" xfId="271"/>
    <cellStyle name="20% - 강조색4 18" xfId="272"/>
    <cellStyle name="20% - 강조색4 18 2" xfId="273"/>
    <cellStyle name="20% - 강조색4 19" xfId="274"/>
    <cellStyle name="20% - 강조색4 19 2" xfId="275"/>
    <cellStyle name="20% - 강조색4 2" xfId="276"/>
    <cellStyle name="20% - 강조색4 2 10" xfId="277"/>
    <cellStyle name="20% - 강조색4 2 11" xfId="278"/>
    <cellStyle name="20% - 강조색4 2 12" xfId="279"/>
    <cellStyle name="20% - 강조색4 2 13" xfId="280"/>
    <cellStyle name="20% - 강조색4 2 14" xfId="281"/>
    <cellStyle name="20% - 강조색4 2 15" xfId="282"/>
    <cellStyle name="20% - 강조색4 2 2" xfId="283"/>
    <cellStyle name="20% - 강조색4 2 3" xfId="284"/>
    <cellStyle name="20% - 강조색4 2 4" xfId="285"/>
    <cellStyle name="20% - 강조색4 2 5" xfId="286"/>
    <cellStyle name="20% - 강조색4 2 6" xfId="287"/>
    <cellStyle name="20% - 강조색4 2 7" xfId="288"/>
    <cellStyle name="20% - 강조색4 2 8" xfId="289"/>
    <cellStyle name="20% - 강조색4 2 9" xfId="290"/>
    <cellStyle name="20% - 강조색4 20" xfId="291"/>
    <cellStyle name="20% - 강조색4 20 2" xfId="292"/>
    <cellStyle name="20% - 강조색4 21" xfId="293"/>
    <cellStyle name="20% - 강조색4 21 2" xfId="294"/>
    <cellStyle name="20% - 강조색4 22" xfId="295"/>
    <cellStyle name="20% - 강조색4 22 2" xfId="296"/>
    <cellStyle name="20% - 강조색4 23" xfId="297"/>
    <cellStyle name="20% - 강조색4 23 2" xfId="298"/>
    <cellStyle name="20% - 강조색4 24" xfId="299"/>
    <cellStyle name="20% - 강조색4 24 2" xfId="300"/>
    <cellStyle name="20% - 강조색4 25" xfId="301"/>
    <cellStyle name="20% - 강조색4 25 2" xfId="302"/>
    <cellStyle name="20% - 강조색4 26" xfId="303"/>
    <cellStyle name="20% - 강조색4 26 2" xfId="304"/>
    <cellStyle name="20% - 강조색4 27" xfId="305"/>
    <cellStyle name="20% - 강조색4 27 2" xfId="306"/>
    <cellStyle name="20% - 강조색4 28" xfId="307"/>
    <cellStyle name="20% - 강조색4 28 2" xfId="308"/>
    <cellStyle name="20% - 강조색4 29" xfId="309"/>
    <cellStyle name="20% - 강조색4 29 2" xfId="310"/>
    <cellStyle name="20% - 강조색4 3" xfId="311"/>
    <cellStyle name="20% - 강조색4 3 2" xfId="312"/>
    <cellStyle name="20% - 강조색4 30" xfId="313"/>
    <cellStyle name="20% - 강조색4 30 2" xfId="314"/>
    <cellStyle name="20% - 강조색4 31" xfId="315"/>
    <cellStyle name="20% - 강조색4 31 2" xfId="316"/>
    <cellStyle name="20% - 강조색4 32" xfId="317"/>
    <cellStyle name="20% - 강조색4 32 2" xfId="318"/>
    <cellStyle name="20% - 강조색4 33" xfId="319"/>
    <cellStyle name="20% - 강조색4 33 2" xfId="320"/>
    <cellStyle name="20% - 강조색4 34" xfId="321"/>
    <cellStyle name="20% - 강조색4 34 2" xfId="322"/>
    <cellStyle name="20% - 강조색4 35" xfId="323"/>
    <cellStyle name="20% - 강조색4 35 2" xfId="324"/>
    <cellStyle name="20% - 강조색4 36" xfId="325"/>
    <cellStyle name="20% - 강조색4 36 2" xfId="326"/>
    <cellStyle name="20% - 강조색4 37" xfId="327"/>
    <cellStyle name="20% - 강조색4 37 2" xfId="328"/>
    <cellStyle name="20% - 강조색4 4" xfId="329"/>
    <cellStyle name="20% - 강조색4 4 2" xfId="330"/>
    <cellStyle name="20% - 강조색4 5" xfId="331"/>
    <cellStyle name="20% - 강조색4 5 2" xfId="332"/>
    <cellStyle name="20% - 강조색4 6" xfId="333"/>
    <cellStyle name="20% - 강조색4 6 2" xfId="334"/>
    <cellStyle name="20% - 강조색4 7" xfId="335"/>
    <cellStyle name="20% - 강조색4 7 2" xfId="336"/>
    <cellStyle name="20% - 강조색4 8" xfId="337"/>
    <cellStyle name="20% - 강조색4 8 2" xfId="338"/>
    <cellStyle name="20% - 강조색4 9" xfId="339"/>
    <cellStyle name="20% - 강조색4 9 2" xfId="340"/>
    <cellStyle name="20% - 강조색5 10" xfId="341"/>
    <cellStyle name="20% - 강조색5 10 2" xfId="342"/>
    <cellStyle name="20% - 강조색5 11" xfId="343"/>
    <cellStyle name="20% - 강조색5 11 2" xfId="344"/>
    <cellStyle name="20% - 강조색5 12" xfId="345"/>
    <cellStyle name="20% - 강조색5 12 2" xfId="346"/>
    <cellStyle name="20% - 강조색5 13" xfId="347"/>
    <cellStyle name="20% - 강조색5 13 2" xfId="348"/>
    <cellStyle name="20% - 강조색5 14" xfId="349"/>
    <cellStyle name="20% - 강조색5 14 2" xfId="350"/>
    <cellStyle name="20% - 강조색5 15" xfId="351"/>
    <cellStyle name="20% - 강조색5 15 2" xfId="352"/>
    <cellStyle name="20% - 강조색5 16" xfId="353"/>
    <cellStyle name="20% - 강조색5 16 2" xfId="354"/>
    <cellStyle name="20% - 강조색5 17" xfId="355"/>
    <cellStyle name="20% - 강조색5 17 2" xfId="356"/>
    <cellStyle name="20% - 강조색5 18" xfId="357"/>
    <cellStyle name="20% - 강조색5 18 2" xfId="358"/>
    <cellStyle name="20% - 강조색5 19" xfId="359"/>
    <cellStyle name="20% - 강조색5 19 2" xfId="360"/>
    <cellStyle name="20% - 강조색5 2" xfId="361"/>
    <cellStyle name="20% - 강조색5 2 10" xfId="362"/>
    <cellStyle name="20% - 강조색5 2 11" xfId="363"/>
    <cellStyle name="20% - 강조색5 2 12" xfId="364"/>
    <cellStyle name="20% - 강조색5 2 13" xfId="365"/>
    <cellStyle name="20% - 강조색5 2 14" xfId="366"/>
    <cellStyle name="20% - 강조색5 2 15" xfId="367"/>
    <cellStyle name="20% - 강조색5 2 2" xfId="368"/>
    <cellStyle name="20% - 강조색5 2 3" xfId="369"/>
    <cellStyle name="20% - 강조색5 2 4" xfId="370"/>
    <cellStyle name="20% - 강조색5 2 5" xfId="371"/>
    <cellStyle name="20% - 강조색5 2 6" xfId="372"/>
    <cellStyle name="20% - 강조색5 2 7" xfId="373"/>
    <cellStyle name="20% - 강조색5 2 8" xfId="374"/>
    <cellStyle name="20% - 강조색5 2 9" xfId="375"/>
    <cellStyle name="20% - 강조색5 20" xfId="376"/>
    <cellStyle name="20% - 강조색5 20 2" xfId="377"/>
    <cellStyle name="20% - 강조색5 21" xfId="378"/>
    <cellStyle name="20% - 강조색5 21 2" xfId="379"/>
    <cellStyle name="20% - 강조색5 22" xfId="380"/>
    <cellStyle name="20% - 강조색5 22 2" xfId="381"/>
    <cellStyle name="20% - 강조색5 23" xfId="382"/>
    <cellStyle name="20% - 강조색5 23 2" xfId="383"/>
    <cellStyle name="20% - 강조색5 24" xfId="384"/>
    <cellStyle name="20% - 강조색5 24 2" xfId="385"/>
    <cellStyle name="20% - 강조색5 25" xfId="386"/>
    <cellStyle name="20% - 강조색5 25 2" xfId="387"/>
    <cellStyle name="20% - 강조색5 26" xfId="388"/>
    <cellStyle name="20% - 강조색5 26 2" xfId="389"/>
    <cellStyle name="20% - 강조색5 27" xfId="390"/>
    <cellStyle name="20% - 강조색5 27 2" xfId="391"/>
    <cellStyle name="20% - 강조색5 28" xfId="392"/>
    <cellStyle name="20% - 강조색5 28 2" xfId="393"/>
    <cellStyle name="20% - 강조색5 29" xfId="394"/>
    <cellStyle name="20% - 강조색5 29 2" xfId="395"/>
    <cellStyle name="20% - 강조색5 3" xfId="396"/>
    <cellStyle name="20% - 강조색5 3 2" xfId="397"/>
    <cellStyle name="20% - 강조색5 30" xfId="398"/>
    <cellStyle name="20% - 강조색5 30 2" xfId="399"/>
    <cellStyle name="20% - 강조색5 31" xfId="400"/>
    <cellStyle name="20% - 강조색5 31 2" xfId="401"/>
    <cellStyle name="20% - 강조색5 32" xfId="402"/>
    <cellStyle name="20% - 강조색5 32 2" xfId="403"/>
    <cellStyle name="20% - 강조색5 33" xfId="404"/>
    <cellStyle name="20% - 강조색5 33 2" xfId="405"/>
    <cellStyle name="20% - 강조색5 34" xfId="406"/>
    <cellStyle name="20% - 강조색5 34 2" xfId="407"/>
    <cellStyle name="20% - 강조색5 35" xfId="408"/>
    <cellStyle name="20% - 강조색5 35 2" xfId="409"/>
    <cellStyle name="20% - 강조색5 36" xfId="410"/>
    <cellStyle name="20% - 강조색5 36 2" xfId="411"/>
    <cellStyle name="20% - 강조색5 37" xfId="412"/>
    <cellStyle name="20% - 강조색5 37 2" xfId="413"/>
    <cellStyle name="20% - 강조색5 4" xfId="414"/>
    <cellStyle name="20% - 강조색5 4 2" xfId="415"/>
    <cellStyle name="20% - 강조색5 5" xfId="416"/>
    <cellStyle name="20% - 강조색5 5 2" xfId="417"/>
    <cellStyle name="20% - 강조색5 6" xfId="418"/>
    <cellStyle name="20% - 강조색5 6 2" xfId="419"/>
    <cellStyle name="20% - 강조색5 7" xfId="420"/>
    <cellStyle name="20% - 강조색5 7 2" xfId="421"/>
    <cellStyle name="20% - 강조색5 8" xfId="422"/>
    <cellStyle name="20% - 강조색5 8 2" xfId="423"/>
    <cellStyle name="20% - 강조색5 9" xfId="424"/>
    <cellStyle name="20% - 강조색5 9 2" xfId="425"/>
    <cellStyle name="20% - 강조색6 10" xfId="426"/>
    <cellStyle name="20% - 강조색6 10 2" xfId="427"/>
    <cellStyle name="20% - 강조색6 11" xfId="428"/>
    <cellStyle name="20% - 강조색6 11 2" xfId="429"/>
    <cellStyle name="20% - 강조색6 12" xfId="430"/>
    <cellStyle name="20% - 강조색6 12 2" xfId="431"/>
    <cellStyle name="20% - 강조색6 13" xfId="432"/>
    <cellStyle name="20% - 강조색6 13 2" xfId="433"/>
    <cellStyle name="20% - 강조색6 14" xfId="434"/>
    <cellStyle name="20% - 강조색6 14 2" xfId="435"/>
    <cellStyle name="20% - 강조색6 15" xfId="436"/>
    <cellStyle name="20% - 강조색6 15 2" xfId="437"/>
    <cellStyle name="20% - 강조색6 16" xfId="438"/>
    <cellStyle name="20% - 강조색6 16 2" xfId="439"/>
    <cellStyle name="20% - 강조색6 17" xfId="440"/>
    <cellStyle name="20% - 강조색6 17 2" xfId="441"/>
    <cellStyle name="20% - 강조색6 18" xfId="442"/>
    <cellStyle name="20% - 강조색6 18 2" xfId="443"/>
    <cellStyle name="20% - 강조색6 19" xfId="444"/>
    <cellStyle name="20% - 강조색6 19 2" xfId="445"/>
    <cellStyle name="20% - 강조색6 2" xfId="446"/>
    <cellStyle name="20% - 강조색6 2 10" xfId="447"/>
    <cellStyle name="20% - 강조색6 2 11" xfId="448"/>
    <cellStyle name="20% - 강조색6 2 12" xfId="449"/>
    <cellStyle name="20% - 강조색6 2 13" xfId="450"/>
    <cellStyle name="20% - 강조색6 2 14" xfId="451"/>
    <cellStyle name="20% - 강조색6 2 15" xfId="452"/>
    <cellStyle name="20% - 강조색6 2 2" xfId="453"/>
    <cellStyle name="20% - 강조색6 2 3" xfId="454"/>
    <cellStyle name="20% - 강조색6 2 4" xfId="455"/>
    <cellStyle name="20% - 강조색6 2 5" xfId="456"/>
    <cellStyle name="20% - 강조색6 2 6" xfId="457"/>
    <cellStyle name="20% - 강조색6 2 7" xfId="458"/>
    <cellStyle name="20% - 강조색6 2 8" xfId="459"/>
    <cellStyle name="20% - 강조색6 2 9" xfId="460"/>
    <cellStyle name="20% - 강조색6 20" xfId="461"/>
    <cellStyle name="20% - 강조색6 20 2" xfId="462"/>
    <cellStyle name="20% - 강조색6 21" xfId="463"/>
    <cellStyle name="20% - 강조색6 21 2" xfId="464"/>
    <cellStyle name="20% - 강조색6 22" xfId="465"/>
    <cellStyle name="20% - 강조색6 22 2" xfId="466"/>
    <cellStyle name="20% - 강조색6 23" xfId="467"/>
    <cellStyle name="20% - 강조색6 23 2" xfId="468"/>
    <cellStyle name="20% - 강조색6 24" xfId="469"/>
    <cellStyle name="20% - 강조색6 24 2" xfId="470"/>
    <cellStyle name="20% - 강조색6 25" xfId="471"/>
    <cellStyle name="20% - 강조색6 25 2" xfId="472"/>
    <cellStyle name="20% - 강조색6 26" xfId="473"/>
    <cellStyle name="20% - 강조색6 26 2" xfId="474"/>
    <cellStyle name="20% - 강조색6 27" xfId="475"/>
    <cellStyle name="20% - 강조색6 27 2" xfId="476"/>
    <cellStyle name="20% - 강조색6 28" xfId="477"/>
    <cellStyle name="20% - 강조색6 28 2" xfId="478"/>
    <cellStyle name="20% - 강조색6 29" xfId="479"/>
    <cellStyle name="20% - 강조색6 29 2" xfId="480"/>
    <cellStyle name="20% - 강조색6 3" xfId="481"/>
    <cellStyle name="20% - 강조색6 3 2" xfId="482"/>
    <cellStyle name="20% - 강조색6 30" xfId="483"/>
    <cellStyle name="20% - 강조색6 30 2" xfId="484"/>
    <cellStyle name="20% - 강조색6 31" xfId="485"/>
    <cellStyle name="20% - 강조색6 31 2" xfId="486"/>
    <cellStyle name="20% - 강조색6 32" xfId="487"/>
    <cellStyle name="20% - 강조색6 32 2" xfId="488"/>
    <cellStyle name="20% - 강조색6 33" xfId="489"/>
    <cellStyle name="20% - 강조색6 33 2" xfId="490"/>
    <cellStyle name="20% - 강조색6 34" xfId="491"/>
    <cellStyle name="20% - 강조색6 34 2" xfId="492"/>
    <cellStyle name="20% - 강조색6 35" xfId="493"/>
    <cellStyle name="20% - 강조색6 35 2" xfId="494"/>
    <cellStyle name="20% - 강조색6 36" xfId="495"/>
    <cellStyle name="20% - 강조색6 36 2" xfId="496"/>
    <cellStyle name="20% - 강조색6 37" xfId="497"/>
    <cellStyle name="20% - 강조색6 37 2" xfId="498"/>
    <cellStyle name="20% - 강조색6 4" xfId="499"/>
    <cellStyle name="20% - 강조색6 4 2" xfId="500"/>
    <cellStyle name="20% - 강조색6 5" xfId="501"/>
    <cellStyle name="20% - 강조색6 5 2" xfId="502"/>
    <cellStyle name="20% - 강조색6 6" xfId="503"/>
    <cellStyle name="20% - 강조색6 6 2" xfId="504"/>
    <cellStyle name="20% - 강조색6 7" xfId="505"/>
    <cellStyle name="20% - 강조색6 7 2" xfId="506"/>
    <cellStyle name="20% - 강조색6 8" xfId="507"/>
    <cellStyle name="20% - 강조색6 8 2" xfId="508"/>
    <cellStyle name="20% - 강조색6 9" xfId="509"/>
    <cellStyle name="20% - 강조색6 9 2" xfId="510"/>
    <cellStyle name="40% - 강조색1 10" xfId="511"/>
    <cellStyle name="40% - 강조색1 10 2" xfId="512"/>
    <cellStyle name="40% - 강조색1 11" xfId="513"/>
    <cellStyle name="40% - 강조색1 11 2" xfId="514"/>
    <cellStyle name="40% - 강조색1 12" xfId="515"/>
    <cellStyle name="40% - 강조색1 12 2" xfId="516"/>
    <cellStyle name="40% - 강조색1 13" xfId="517"/>
    <cellStyle name="40% - 강조색1 13 2" xfId="518"/>
    <cellStyle name="40% - 강조색1 14" xfId="519"/>
    <cellStyle name="40% - 강조색1 14 2" xfId="520"/>
    <cellStyle name="40% - 강조색1 15" xfId="521"/>
    <cellStyle name="40% - 강조색1 15 2" xfId="522"/>
    <cellStyle name="40% - 강조색1 16" xfId="523"/>
    <cellStyle name="40% - 강조색1 16 2" xfId="524"/>
    <cellStyle name="40% - 강조색1 17" xfId="525"/>
    <cellStyle name="40% - 강조색1 17 2" xfId="526"/>
    <cellStyle name="40% - 강조색1 18" xfId="527"/>
    <cellStyle name="40% - 강조색1 18 2" xfId="528"/>
    <cellStyle name="40% - 강조색1 19" xfId="529"/>
    <cellStyle name="40% - 강조색1 19 2" xfId="530"/>
    <cellStyle name="40% - 강조색1 2" xfId="531"/>
    <cellStyle name="40% - 강조색1 2 10" xfId="532"/>
    <cellStyle name="40% - 강조색1 2 11" xfId="533"/>
    <cellStyle name="40% - 강조색1 2 12" xfId="534"/>
    <cellStyle name="40% - 강조색1 2 13" xfId="535"/>
    <cellStyle name="40% - 강조색1 2 14" xfId="536"/>
    <cellStyle name="40% - 강조색1 2 15" xfId="537"/>
    <cellStyle name="40% - 강조색1 2 2" xfId="538"/>
    <cellStyle name="40% - 강조색1 2 3" xfId="539"/>
    <cellStyle name="40% - 강조색1 2 4" xfId="540"/>
    <cellStyle name="40% - 강조색1 2 5" xfId="541"/>
    <cellStyle name="40% - 강조색1 2 6" xfId="542"/>
    <cellStyle name="40% - 강조색1 2 7" xfId="543"/>
    <cellStyle name="40% - 강조색1 2 8" xfId="544"/>
    <cellStyle name="40% - 강조색1 2 9" xfId="545"/>
    <cellStyle name="40% - 강조색1 20" xfId="546"/>
    <cellStyle name="40% - 강조색1 20 2" xfId="547"/>
    <cellStyle name="40% - 강조색1 21" xfId="548"/>
    <cellStyle name="40% - 강조색1 21 2" xfId="549"/>
    <cellStyle name="40% - 강조색1 22" xfId="550"/>
    <cellStyle name="40% - 강조색1 22 2" xfId="551"/>
    <cellStyle name="40% - 강조색1 23" xfId="552"/>
    <cellStyle name="40% - 강조색1 23 2" xfId="553"/>
    <cellStyle name="40% - 강조색1 24" xfId="554"/>
    <cellStyle name="40% - 강조색1 24 2" xfId="555"/>
    <cellStyle name="40% - 강조색1 25" xfId="556"/>
    <cellStyle name="40% - 강조색1 25 2" xfId="557"/>
    <cellStyle name="40% - 강조색1 26" xfId="558"/>
    <cellStyle name="40% - 강조색1 26 2" xfId="559"/>
    <cellStyle name="40% - 강조색1 27" xfId="560"/>
    <cellStyle name="40% - 강조색1 27 2" xfId="561"/>
    <cellStyle name="40% - 강조색1 28" xfId="562"/>
    <cellStyle name="40% - 강조색1 28 2" xfId="563"/>
    <cellStyle name="40% - 강조색1 29" xfId="564"/>
    <cellStyle name="40% - 강조색1 29 2" xfId="565"/>
    <cellStyle name="40% - 강조색1 3" xfId="566"/>
    <cellStyle name="40% - 강조색1 3 2" xfId="567"/>
    <cellStyle name="40% - 강조색1 30" xfId="568"/>
    <cellStyle name="40% - 강조색1 30 2" xfId="569"/>
    <cellStyle name="40% - 강조색1 31" xfId="570"/>
    <cellStyle name="40% - 강조색1 31 2" xfId="571"/>
    <cellStyle name="40% - 강조색1 32" xfId="572"/>
    <cellStyle name="40% - 강조색1 32 2" xfId="573"/>
    <cellStyle name="40% - 강조색1 33" xfId="574"/>
    <cellStyle name="40% - 강조색1 33 2" xfId="575"/>
    <cellStyle name="40% - 강조색1 34" xfId="576"/>
    <cellStyle name="40% - 강조색1 34 2" xfId="577"/>
    <cellStyle name="40% - 강조색1 35" xfId="578"/>
    <cellStyle name="40% - 강조색1 35 2" xfId="579"/>
    <cellStyle name="40% - 강조색1 36" xfId="580"/>
    <cellStyle name="40% - 강조색1 36 2" xfId="581"/>
    <cellStyle name="40% - 강조색1 37" xfId="582"/>
    <cellStyle name="40% - 강조색1 37 2" xfId="583"/>
    <cellStyle name="40% - 강조색1 4" xfId="584"/>
    <cellStyle name="40% - 강조색1 4 2" xfId="585"/>
    <cellStyle name="40% - 강조색1 5" xfId="586"/>
    <cellStyle name="40% - 강조색1 5 2" xfId="587"/>
    <cellStyle name="40% - 강조색1 6" xfId="588"/>
    <cellStyle name="40% - 강조색1 6 2" xfId="589"/>
    <cellStyle name="40% - 강조색1 7" xfId="590"/>
    <cellStyle name="40% - 강조색1 7 2" xfId="591"/>
    <cellStyle name="40% - 강조색1 8" xfId="592"/>
    <cellStyle name="40% - 강조색1 8 2" xfId="593"/>
    <cellStyle name="40% - 강조색1 9" xfId="594"/>
    <cellStyle name="40% - 강조색1 9 2" xfId="595"/>
    <cellStyle name="40% - 강조색2 10" xfId="596"/>
    <cellStyle name="40% - 강조색2 10 2" xfId="597"/>
    <cellStyle name="40% - 강조색2 11" xfId="598"/>
    <cellStyle name="40% - 강조색2 11 2" xfId="599"/>
    <cellStyle name="40% - 강조색2 12" xfId="600"/>
    <cellStyle name="40% - 강조색2 12 2" xfId="601"/>
    <cellStyle name="40% - 강조색2 13" xfId="602"/>
    <cellStyle name="40% - 강조색2 13 2" xfId="603"/>
    <cellStyle name="40% - 강조색2 14" xfId="604"/>
    <cellStyle name="40% - 강조색2 14 2" xfId="605"/>
    <cellStyle name="40% - 강조색2 15" xfId="606"/>
    <cellStyle name="40% - 강조색2 15 2" xfId="607"/>
    <cellStyle name="40% - 강조색2 16" xfId="608"/>
    <cellStyle name="40% - 강조색2 16 2" xfId="609"/>
    <cellStyle name="40% - 강조색2 17" xfId="610"/>
    <cellStyle name="40% - 강조색2 17 2" xfId="611"/>
    <cellStyle name="40% - 강조색2 18" xfId="612"/>
    <cellStyle name="40% - 강조색2 18 2" xfId="613"/>
    <cellStyle name="40% - 강조색2 19" xfId="614"/>
    <cellStyle name="40% - 강조색2 19 2" xfId="615"/>
    <cellStyle name="40% - 강조색2 2" xfId="616"/>
    <cellStyle name="40% - 강조색2 2 10" xfId="617"/>
    <cellStyle name="40% - 강조색2 2 11" xfId="618"/>
    <cellStyle name="40% - 강조색2 2 12" xfId="619"/>
    <cellStyle name="40% - 강조색2 2 13" xfId="620"/>
    <cellStyle name="40% - 강조색2 2 14" xfId="621"/>
    <cellStyle name="40% - 강조색2 2 15" xfId="622"/>
    <cellStyle name="40% - 강조색2 2 2" xfId="623"/>
    <cellStyle name="40% - 강조색2 2 3" xfId="624"/>
    <cellStyle name="40% - 강조색2 2 4" xfId="625"/>
    <cellStyle name="40% - 강조색2 2 5" xfId="626"/>
    <cellStyle name="40% - 강조색2 2 6" xfId="627"/>
    <cellStyle name="40% - 강조색2 2 7" xfId="628"/>
    <cellStyle name="40% - 강조색2 2 8" xfId="629"/>
    <cellStyle name="40% - 강조색2 2 9" xfId="630"/>
    <cellStyle name="40% - 강조색2 20" xfId="631"/>
    <cellStyle name="40% - 강조색2 20 2" xfId="632"/>
    <cellStyle name="40% - 강조색2 21" xfId="633"/>
    <cellStyle name="40% - 강조색2 21 2" xfId="634"/>
    <cellStyle name="40% - 강조색2 22" xfId="635"/>
    <cellStyle name="40% - 강조색2 22 2" xfId="636"/>
    <cellStyle name="40% - 강조색2 23" xfId="637"/>
    <cellStyle name="40% - 강조색2 23 2" xfId="638"/>
    <cellStyle name="40% - 강조색2 24" xfId="639"/>
    <cellStyle name="40% - 강조색2 24 2" xfId="640"/>
    <cellStyle name="40% - 강조색2 25" xfId="641"/>
    <cellStyle name="40% - 강조색2 25 2" xfId="642"/>
    <cellStyle name="40% - 강조색2 26" xfId="643"/>
    <cellStyle name="40% - 강조색2 26 2" xfId="644"/>
    <cellStyle name="40% - 강조색2 27" xfId="645"/>
    <cellStyle name="40% - 강조색2 27 2" xfId="646"/>
    <cellStyle name="40% - 강조색2 28" xfId="647"/>
    <cellStyle name="40% - 강조색2 28 2" xfId="648"/>
    <cellStyle name="40% - 강조색2 29" xfId="649"/>
    <cellStyle name="40% - 강조색2 29 2" xfId="650"/>
    <cellStyle name="40% - 강조색2 3" xfId="651"/>
    <cellStyle name="40% - 강조색2 3 2" xfId="652"/>
    <cellStyle name="40% - 강조색2 30" xfId="653"/>
    <cellStyle name="40% - 강조색2 30 2" xfId="654"/>
    <cellStyle name="40% - 강조색2 31" xfId="655"/>
    <cellStyle name="40% - 강조색2 31 2" xfId="656"/>
    <cellStyle name="40% - 강조색2 32" xfId="657"/>
    <cellStyle name="40% - 강조색2 32 2" xfId="658"/>
    <cellStyle name="40% - 강조색2 33" xfId="659"/>
    <cellStyle name="40% - 강조색2 33 2" xfId="660"/>
    <cellStyle name="40% - 강조색2 34" xfId="661"/>
    <cellStyle name="40% - 강조색2 34 2" xfId="662"/>
    <cellStyle name="40% - 강조색2 35" xfId="663"/>
    <cellStyle name="40% - 강조색2 35 2" xfId="664"/>
    <cellStyle name="40% - 강조색2 36" xfId="665"/>
    <cellStyle name="40% - 강조색2 36 2" xfId="666"/>
    <cellStyle name="40% - 강조색2 37" xfId="667"/>
    <cellStyle name="40% - 강조색2 37 2" xfId="668"/>
    <cellStyle name="40% - 강조색2 4" xfId="669"/>
    <cellStyle name="40% - 강조색2 4 2" xfId="670"/>
    <cellStyle name="40% - 강조색2 5" xfId="671"/>
    <cellStyle name="40% - 강조색2 5 2" xfId="672"/>
    <cellStyle name="40% - 강조색2 6" xfId="673"/>
    <cellStyle name="40% - 강조색2 6 2" xfId="674"/>
    <cellStyle name="40% - 강조색2 7" xfId="675"/>
    <cellStyle name="40% - 강조색2 7 2" xfId="676"/>
    <cellStyle name="40% - 강조색2 8" xfId="677"/>
    <cellStyle name="40% - 강조색2 8 2" xfId="678"/>
    <cellStyle name="40% - 강조색2 9" xfId="679"/>
    <cellStyle name="40% - 강조색2 9 2" xfId="680"/>
    <cellStyle name="40% - 강조색3 10" xfId="681"/>
    <cellStyle name="40% - 강조색3 10 2" xfId="682"/>
    <cellStyle name="40% - 강조색3 11" xfId="683"/>
    <cellStyle name="40% - 강조색3 11 2" xfId="684"/>
    <cellStyle name="40% - 강조색3 12" xfId="685"/>
    <cellStyle name="40% - 강조색3 12 2" xfId="686"/>
    <cellStyle name="40% - 강조색3 13" xfId="687"/>
    <cellStyle name="40% - 강조색3 13 2" xfId="688"/>
    <cellStyle name="40% - 강조색3 14" xfId="689"/>
    <cellStyle name="40% - 강조색3 14 2" xfId="690"/>
    <cellStyle name="40% - 강조색3 15" xfId="691"/>
    <cellStyle name="40% - 강조색3 15 2" xfId="692"/>
    <cellStyle name="40% - 강조색3 16" xfId="693"/>
    <cellStyle name="40% - 강조색3 16 2" xfId="694"/>
    <cellStyle name="40% - 강조색3 17" xfId="695"/>
    <cellStyle name="40% - 강조색3 17 2" xfId="696"/>
    <cellStyle name="40% - 강조색3 18" xfId="697"/>
    <cellStyle name="40% - 강조색3 18 2" xfId="698"/>
    <cellStyle name="40% - 강조색3 19" xfId="699"/>
    <cellStyle name="40% - 강조색3 19 2" xfId="700"/>
    <cellStyle name="40% - 강조색3 2" xfId="701"/>
    <cellStyle name="40% - 강조색3 2 10" xfId="702"/>
    <cellStyle name="40% - 강조색3 2 11" xfId="703"/>
    <cellStyle name="40% - 강조색3 2 12" xfId="704"/>
    <cellStyle name="40% - 강조색3 2 13" xfId="705"/>
    <cellStyle name="40% - 강조색3 2 14" xfId="706"/>
    <cellStyle name="40% - 강조색3 2 15" xfId="707"/>
    <cellStyle name="40% - 강조색3 2 2" xfId="708"/>
    <cellStyle name="40% - 강조색3 2 3" xfId="709"/>
    <cellStyle name="40% - 강조색3 2 4" xfId="710"/>
    <cellStyle name="40% - 강조색3 2 5" xfId="711"/>
    <cellStyle name="40% - 강조색3 2 6" xfId="712"/>
    <cellStyle name="40% - 강조색3 2 7" xfId="713"/>
    <cellStyle name="40% - 강조색3 2 8" xfId="714"/>
    <cellStyle name="40% - 강조색3 2 9" xfId="715"/>
    <cellStyle name="40% - 강조색3 20" xfId="716"/>
    <cellStyle name="40% - 강조색3 20 2" xfId="717"/>
    <cellStyle name="40% - 강조색3 21" xfId="718"/>
    <cellStyle name="40% - 강조색3 21 2" xfId="719"/>
    <cellStyle name="40% - 강조색3 22" xfId="720"/>
    <cellStyle name="40% - 강조색3 22 2" xfId="721"/>
    <cellStyle name="40% - 강조색3 23" xfId="722"/>
    <cellStyle name="40% - 강조색3 23 2" xfId="723"/>
    <cellStyle name="40% - 강조색3 24" xfId="724"/>
    <cellStyle name="40% - 강조색3 24 2" xfId="725"/>
    <cellStyle name="40% - 강조색3 25" xfId="726"/>
    <cellStyle name="40% - 강조색3 25 2" xfId="727"/>
    <cellStyle name="40% - 강조색3 26" xfId="728"/>
    <cellStyle name="40% - 강조색3 26 2" xfId="729"/>
    <cellStyle name="40% - 강조색3 27" xfId="730"/>
    <cellStyle name="40% - 강조색3 27 2" xfId="731"/>
    <cellStyle name="40% - 강조색3 28" xfId="732"/>
    <cellStyle name="40% - 강조색3 28 2" xfId="733"/>
    <cellStyle name="40% - 강조색3 29" xfId="734"/>
    <cellStyle name="40% - 강조색3 29 2" xfId="735"/>
    <cellStyle name="40% - 강조색3 3" xfId="736"/>
    <cellStyle name="40% - 강조색3 3 2" xfId="737"/>
    <cellStyle name="40% - 강조색3 30" xfId="738"/>
    <cellStyle name="40% - 강조색3 30 2" xfId="739"/>
    <cellStyle name="40% - 강조색3 31" xfId="740"/>
    <cellStyle name="40% - 강조색3 31 2" xfId="741"/>
    <cellStyle name="40% - 강조색3 32" xfId="742"/>
    <cellStyle name="40% - 강조색3 32 2" xfId="743"/>
    <cellStyle name="40% - 강조색3 33" xfId="744"/>
    <cellStyle name="40% - 강조색3 33 2" xfId="745"/>
    <cellStyle name="40% - 강조색3 34" xfId="746"/>
    <cellStyle name="40% - 강조색3 34 2" xfId="747"/>
    <cellStyle name="40% - 강조색3 35" xfId="748"/>
    <cellStyle name="40% - 강조색3 35 2" xfId="749"/>
    <cellStyle name="40% - 강조색3 36" xfId="750"/>
    <cellStyle name="40% - 강조색3 36 2" xfId="751"/>
    <cellStyle name="40% - 강조색3 37" xfId="752"/>
    <cellStyle name="40% - 강조색3 37 2" xfId="753"/>
    <cellStyle name="40% - 강조색3 4" xfId="754"/>
    <cellStyle name="40% - 강조색3 4 2" xfId="755"/>
    <cellStyle name="40% - 강조색3 5" xfId="756"/>
    <cellStyle name="40% - 강조색3 5 2" xfId="757"/>
    <cellStyle name="40% - 강조색3 6" xfId="758"/>
    <cellStyle name="40% - 강조색3 6 2" xfId="759"/>
    <cellStyle name="40% - 강조색3 7" xfId="760"/>
    <cellStyle name="40% - 강조색3 7 2" xfId="761"/>
    <cellStyle name="40% - 강조색3 8" xfId="762"/>
    <cellStyle name="40% - 강조색3 8 2" xfId="763"/>
    <cellStyle name="40% - 강조색3 9" xfId="764"/>
    <cellStyle name="40% - 강조색3 9 2" xfId="765"/>
    <cellStyle name="40% - 강조색4 10" xfId="766"/>
    <cellStyle name="40% - 강조색4 10 2" xfId="767"/>
    <cellStyle name="40% - 강조색4 11" xfId="768"/>
    <cellStyle name="40% - 강조색4 11 2" xfId="769"/>
    <cellStyle name="40% - 강조색4 12" xfId="770"/>
    <cellStyle name="40% - 강조색4 12 2" xfId="771"/>
    <cellStyle name="40% - 강조색4 13" xfId="772"/>
    <cellStyle name="40% - 강조색4 13 2" xfId="773"/>
    <cellStyle name="40% - 강조색4 14" xfId="774"/>
    <cellStyle name="40% - 강조색4 14 2" xfId="775"/>
    <cellStyle name="40% - 강조색4 15" xfId="776"/>
    <cellStyle name="40% - 강조색4 15 2" xfId="777"/>
    <cellStyle name="40% - 강조색4 16" xfId="778"/>
    <cellStyle name="40% - 강조색4 16 2" xfId="779"/>
    <cellStyle name="40% - 강조색4 17" xfId="780"/>
    <cellStyle name="40% - 강조색4 17 2" xfId="781"/>
    <cellStyle name="40% - 강조색4 18" xfId="782"/>
    <cellStyle name="40% - 강조색4 18 2" xfId="783"/>
    <cellStyle name="40% - 강조색4 19" xfId="784"/>
    <cellStyle name="40% - 강조색4 19 2" xfId="785"/>
    <cellStyle name="40% - 강조색4 2" xfId="786"/>
    <cellStyle name="40% - 강조색4 2 10" xfId="787"/>
    <cellStyle name="40% - 강조색4 2 11" xfId="788"/>
    <cellStyle name="40% - 강조색4 2 12" xfId="789"/>
    <cellStyle name="40% - 강조색4 2 13" xfId="790"/>
    <cellStyle name="40% - 강조색4 2 14" xfId="791"/>
    <cellStyle name="40% - 강조색4 2 15" xfId="792"/>
    <cellStyle name="40% - 강조색4 2 2" xfId="793"/>
    <cellStyle name="40% - 강조색4 2 3" xfId="794"/>
    <cellStyle name="40% - 강조색4 2 4" xfId="795"/>
    <cellStyle name="40% - 강조색4 2 5" xfId="796"/>
    <cellStyle name="40% - 강조색4 2 6" xfId="797"/>
    <cellStyle name="40% - 강조색4 2 7" xfId="798"/>
    <cellStyle name="40% - 강조색4 2 8" xfId="799"/>
    <cellStyle name="40% - 강조색4 2 9" xfId="800"/>
    <cellStyle name="40% - 강조색4 20" xfId="801"/>
    <cellStyle name="40% - 강조색4 20 2" xfId="802"/>
    <cellStyle name="40% - 강조색4 21" xfId="803"/>
    <cellStyle name="40% - 강조색4 21 2" xfId="804"/>
    <cellStyle name="40% - 강조색4 22" xfId="805"/>
    <cellStyle name="40% - 강조색4 22 2" xfId="806"/>
    <cellStyle name="40% - 강조색4 23" xfId="807"/>
    <cellStyle name="40% - 강조색4 23 2" xfId="808"/>
    <cellStyle name="40% - 강조색4 24" xfId="809"/>
    <cellStyle name="40% - 강조색4 24 2" xfId="810"/>
    <cellStyle name="40% - 강조색4 25" xfId="811"/>
    <cellStyle name="40% - 강조색4 25 2" xfId="812"/>
    <cellStyle name="40% - 강조색4 26" xfId="813"/>
    <cellStyle name="40% - 강조색4 26 2" xfId="814"/>
    <cellStyle name="40% - 강조색4 27" xfId="815"/>
    <cellStyle name="40% - 강조색4 27 2" xfId="816"/>
    <cellStyle name="40% - 강조색4 28" xfId="817"/>
    <cellStyle name="40% - 강조색4 28 2" xfId="818"/>
    <cellStyle name="40% - 강조색4 29" xfId="819"/>
    <cellStyle name="40% - 강조색4 29 2" xfId="820"/>
    <cellStyle name="40% - 강조색4 3" xfId="821"/>
    <cellStyle name="40% - 강조색4 3 2" xfId="822"/>
    <cellStyle name="40% - 강조색4 30" xfId="823"/>
    <cellStyle name="40% - 강조색4 30 2" xfId="824"/>
    <cellStyle name="40% - 강조색4 31" xfId="825"/>
    <cellStyle name="40% - 강조색4 31 2" xfId="826"/>
    <cellStyle name="40% - 강조색4 32" xfId="827"/>
    <cellStyle name="40% - 강조색4 32 2" xfId="828"/>
    <cellStyle name="40% - 강조색4 33" xfId="829"/>
    <cellStyle name="40% - 강조색4 33 2" xfId="830"/>
    <cellStyle name="40% - 강조색4 34" xfId="831"/>
    <cellStyle name="40% - 강조색4 34 2" xfId="832"/>
    <cellStyle name="40% - 강조색4 35" xfId="833"/>
    <cellStyle name="40% - 강조색4 35 2" xfId="834"/>
    <cellStyle name="40% - 강조색4 36" xfId="835"/>
    <cellStyle name="40% - 강조색4 36 2" xfId="836"/>
    <cellStyle name="40% - 강조색4 37" xfId="837"/>
    <cellStyle name="40% - 강조색4 37 2" xfId="838"/>
    <cellStyle name="40% - 강조색4 4" xfId="839"/>
    <cellStyle name="40% - 강조색4 4 2" xfId="840"/>
    <cellStyle name="40% - 강조색4 5" xfId="841"/>
    <cellStyle name="40% - 강조색4 5 2" xfId="842"/>
    <cellStyle name="40% - 강조색4 6" xfId="843"/>
    <cellStyle name="40% - 강조색4 6 2" xfId="844"/>
    <cellStyle name="40% - 강조색4 7" xfId="845"/>
    <cellStyle name="40% - 강조색4 7 2" xfId="846"/>
    <cellStyle name="40% - 강조색4 8" xfId="847"/>
    <cellStyle name="40% - 강조색4 8 2" xfId="848"/>
    <cellStyle name="40% - 강조색4 9" xfId="849"/>
    <cellStyle name="40% - 강조색4 9 2" xfId="850"/>
    <cellStyle name="40% - 강조색5 10" xfId="851"/>
    <cellStyle name="40% - 강조색5 10 2" xfId="852"/>
    <cellStyle name="40% - 강조색5 11" xfId="853"/>
    <cellStyle name="40% - 강조색5 11 2" xfId="854"/>
    <cellStyle name="40% - 강조색5 12" xfId="855"/>
    <cellStyle name="40% - 강조색5 12 2" xfId="856"/>
    <cellStyle name="40% - 강조색5 13" xfId="857"/>
    <cellStyle name="40% - 강조색5 13 2" xfId="858"/>
    <cellStyle name="40% - 강조색5 14" xfId="859"/>
    <cellStyle name="40% - 강조색5 14 2" xfId="860"/>
    <cellStyle name="40% - 강조색5 15" xfId="861"/>
    <cellStyle name="40% - 강조색5 15 2" xfId="862"/>
    <cellStyle name="40% - 강조색5 16" xfId="863"/>
    <cellStyle name="40% - 강조색5 16 2" xfId="864"/>
    <cellStyle name="40% - 강조색5 17" xfId="865"/>
    <cellStyle name="40% - 강조색5 17 2" xfId="866"/>
    <cellStyle name="40% - 강조색5 18" xfId="867"/>
    <cellStyle name="40% - 강조색5 18 2" xfId="868"/>
    <cellStyle name="40% - 강조색5 19" xfId="869"/>
    <cellStyle name="40% - 강조색5 19 2" xfId="870"/>
    <cellStyle name="40% - 강조색5 2" xfId="871"/>
    <cellStyle name="40% - 강조색5 2 10" xfId="872"/>
    <cellStyle name="40% - 강조색5 2 11" xfId="873"/>
    <cellStyle name="40% - 강조색5 2 12" xfId="874"/>
    <cellStyle name="40% - 강조색5 2 13" xfId="875"/>
    <cellStyle name="40% - 강조색5 2 14" xfId="876"/>
    <cellStyle name="40% - 강조색5 2 15" xfId="877"/>
    <cellStyle name="40% - 강조색5 2 2" xfId="878"/>
    <cellStyle name="40% - 강조색5 2 3" xfId="879"/>
    <cellStyle name="40% - 강조색5 2 4" xfId="880"/>
    <cellStyle name="40% - 강조색5 2 5" xfId="881"/>
    <cellStyle name="40% - 강조색5 2 6" xfId="882"/>
    <cellStyle name="40% - 강조색5 2 7" xfId="883"/>
    <cellStyle name="40% - 강조색5 2 8" xfId="884"/>
    <cellStyle name="40% - 강조색5 2 9" xfId="885"/>
    <cellStyle name="40% - 강조색5 20" xfId="886"/>
    <cellStyle name="40% - 강조색5 20 2" xfId="887"/>
    <cellStyle name="40% - 강조색5 21" xfId="888"/>
    <cellStyle name="40% - 강조색5 21 2" xfId="889"/>
    <cellStyle name="40% - 강조색5 22" xfId="890"/>
    <cellStyle name="40% - 강조색5 22 2" xfId="891"/>
    <cellStyle name="40% - 강조색5 23" xfId="892"/>
    <cellStyle name="40% - 강조색5 23 2" xfId="893"/>
    <cellStyle name="40% - 강조색5 24" xfId="894"/>
    <cellStyle name="40% - 강조색5 24 2" xfId="895"/>
    <cellStyle name="40% - 강조색5 25" xfId="896"/>
    <cellStyle name="40% - 강조색5 25 2" xfId="897"/>
    <cellStyle name="40% - 강조색5 26" xfId="898"/>
    <cellStyle name="40% - 강조색5 26 2" xfId="899"/>
    <cellStyle name="40% - 강조색5 27" xfId="900"/>
    <cellStyle name="40% - 강조색5 27 2" xfId="901"/>
    <cellStyle name="40% - 강조색5 28" xfId="902"/>
    <cellStyle name="40% - 강조색5 28 2" xfId="903"/>
    <cellStyle name="40% - 강조색5 29" xfId="904"/>
    <cellStyle name="40% - 강조색5 29 2" xfId="905"/>
    <cellStyle name="40% - 강조색5 3" xfId="906"/>
    <cellStyle name="40% - 강조색5 3 2" xfId="907"/>
    <cellStyle name="40% - 강조색5 30" xfId="908"/>
    <cellStyle name="40% - 강조색5 30 2" xfId="909"/>
    <cellStyle name="40% - 강조색5 31" xfId="910"/>
    <cellStyle name="40% - 강조색5 31 2" xfId="911"/>
    <cellStyle name="40% - 강조색5 32" xfId="912"/>
    <cellStyle name="40% - 강조색5 32 2" xfId="913"/>
    <cellStyle name="40% - 강조색5 33" xfId="914"/>
    <cellStyle name="40% - 강조색5 33 2" xfId="915"/>
    <cellStyle name="40% - 강조색5 34" xfId="916"/>
    <cellStyle name="40% - 강조색5 34 2" xfId="917"/>
    <cellStyle name="40% - 강조색5 35" xfId="918"/>
    <cellStyle name="40% - 강조색5 35 2" xfId="919"/>
    <cellStyle name="40% - 강조색5 36" xfId="920"/>
    <cellStyle name="40% - 강조색5 36 2" xfId="921"/>
    <cellStyle name="40% - 강조색5 37" xfId="922"/>
    <cellStyle name="40% - 강조색5 37 2" xfId="923"/>
    <cellStyle name="40% - 강조색5 4" xfId="924"/>
    <cellStyle name="40% - 강조색5 4 2" xfId="925"/>
    <cellStyle name="40% - 강조색5 5" xfId="926"/>
    <cellStyle name="40% - 강조색5 5 2" xfId="927"/>
    <cellStyle name="40% - 강조색5 6" xfId="928"/>
    <cellStyle name="40% - 강조색5 6 2" xfId="929"/>
    <cellStyle name="40% - 강조색5 7" xfId="930"/>
    <cellStyle name="40% - 강조색5 7 2" xfId="931"/>
    <cellStyle name="40% - 강조색5 8" xfId="932"/>
    <cellStyle name="40% - 강조색5 8 2" xfId="933"/>
    <cellStyle name="40% - 강조색5 9" xfId="934"/>
    <cellStyle name="40% - 강조색5 9 2" xfId="935"/>
    <cellStyle name="40% - 강조색6 10" xfId="936"/>
    <cellStyle name="40% - 강조색6 10 2" xfId="937"/>
    <cellStyle name="40% - 강조색6 11" xfId="938"/>
    <cellStyle name="40% - 강조색6 11 2" xfId="939"/>
    <cellStyle name="40% - 강조색6 12" xfId="940"/>
    <cellStyle name="40% - 강조색6 12 2" xfId="941"/>
    <cellStyle name="40% - 강조색6 13" xfId="942"/>
    <cellStyle name="40% - 강조색6 13 2" xfId="943"/>
    <cellStyle name="40% - 강조색6 14" xfId="944"/>
    <cellStyle name="40% - 강조색6 14 2" xfId="945"/>
    <cellStyle name="40% - 강조색6 15" xfId="946"/>
    <cellStyle name="40% - 강조색6 15 2" xfId="947"/>
    <cellStyle name="40% - 강조색6 16" xfId="948"/>
    <cellStyle name="40% - 강조색6 16 2" xfId="949"/>
    <cellStyle name="40% - 강조색6 17" xfId="950"/>
    <cellStyle name="40% - 강조색6 17 2" xfId="951"/>
    <cellStyle name="40% - 강조색6 18" xfId="952"/>
    <cellStyle name="40% - 강조색6 18 2" xfId="953"/>
    <cellStyle name="40% - 강조색6 19" xfId="954"/>
    <cellStyle name="40% - 강조색6 19 2" xfId="955"/>
    <cellStyle name="40% - 강조색6 2" xfId="956"/>
    <cellStyle name="40% - 강조색6 2 10" xfId="957"/>
    <cellStyle name="40% - 강조색6 2 11" xfId="958"/>
    <cellStyle name="40% - 강조색6 2 12" xfId="959"/>
    <cellStyle name="40% - 강조색6 2 13" xfId="960"/>
    <cellStyle name="40% - 강조색6 2 14" xfId="961"/>
    <cellStyle name="40% - 강조색6 2 15" xfId="962"/>
    <cellStyle name="40% - 강조색6 2 2" xfId="963"/>
    <cellStyle name="40% - 강조색6 2 3" xfId="964"/>
    <cellStyle name="40% - 강조색6 2 4" xfId="965"/>
    <cellStyle name="40% - 강조색6 2 5" xfId="966"/>
    <cellStyle name="40% - 강조색6 2 6" xfId="967"/>
    <cellStyle name="40% - 강조색6 2 7" xfId="968"/>
    <cellStyle name="40% - 강조색6 2 8" xfId="969"/>
    <cellStyle name="40% - 강조색6 2 9" xfId="970"/>
    <cellStyle name="40% - 강조색6 20" xfId="971"/>
    <cellStyle name="40% - 강조색6 20 2" xfId="972"/>
    <cellStyle name="40% - 강조색6 21" xfId="973"/>
    <cellStyle name="40% - 강조색6 21 2" xfId="974"/>
    <cellStyle name="40% - 강조색6 22" xfId="975"/>
    <cellStyle name="40% - 강조색6 22 2" xfId="976"/>
    <cellStyle name="40% - 강조색6 23" xfId="977"/>
    <cellStyle name="40% - 강조색6 23 2" xfId="978"/>
    <cellStyle name="40% - 강조색6 24" xfId="979"/>
    <cellStyle name="40% - 강조색6 24 2" xfId="980"/>
    <cellStyle name="40% - 강조색6 25" xfId="981"/>
    <cellStyle name="40% - 강조색6 25 2" xfId="982"/>
    <cellStyle name="40% - 강조색6 26" xfId="983"/>
    <cellStyle name="40% - 강조색6 26 2" xfId="984"/>
    <cellStyle name="40% - 강조색6 27" xfId="985"/>
    <cellStyle name="40% - 강조색6 27 2" xfId="986"/>
    <cellStyle name="40% - 강조색6 28" xfId="987"/>
    <cellStyle name="40% - 강조색6 28 2" xfId="988"/>
    <cellStyle name="40% - 강조색6 29" xfId="989"/>
    <cellStyle name="40% - 강조색6 29 2" xfId="990"/>
    <cellStyle name="40% - 강조색6 3" xfId="991"/>
    <cellStyle name="40% - 강조색6 3 2" xfId="992"/>
    <cellStyle name="40% - 강조색6 30" xfId="993"/>
    <cellStyle name="40% - 강조색6 30 2" xfId="994"/>
    <cellStyle name="40% - 강조색6 31" xfId="995"/>
    <cellStyle name="40% - 강조색6 31 2" xfId="996"/>
    <cellStyle name="40% - 강조색6 32" xfId="997"/>
    <cellStyle name="40% - 강조색6 32 2" xfId="998"/>
    <cellStyle name="40% - 강조색6 33" xfId="999"/>
    <cellStyle name="40% - 강조색6 33 2" xfId="1000"/>
    <cellStyle name="40% - 강조색6 34" xfId="1001"/>
    <cellStyle name="40% - 강조색6 34 2" xfId="1002"/>
    <cellStyle name="40% - 강조색6 35" xfId="1003"/>
    <cellStyle name="40% - 강조색6 35 2" xfId="1004"/>
    <cellStyle name="40% - 강조색6 36" xfId="1005"/>
    <cellStyle name="40% - 강조색6 36 2" xfId="1006"/>
    <cellStyle name="40% - 강조색6 37" xfId="1007"/>
    <cellStyle name="40% - 강조색6 37 2" xfId="1008"/>
    <cellStyle name="40% - 강조색6 4" xfId="1009"/>
    <cellStyle name="40% - 강조색6 4 2" xfId="1010"/>
    <cellStyle name="40% - 강조색6 5" xfId="1011"/>
    <cellStyle name="40% - 강조색6 5 2" xfId="1012"/>
    <cellStyle name="40% - 강조색6 6" xfId="1013"/>
    <cellStyle name="40% - 강조색6 6 2" xfId="1014"/>
    <cellStyle name="40% - 강조색6 7" xfId="1015"/>
    <cellStyle name="40% - 강조색6 7 2" xfId="1016"/>
    <cellStyle name="40% - 강조색6 8" xfId="1017"/>
    <cellStyle name="40% - 강조색6 8 2" xfId="1018"/>
    <cellStyle name="40% - 강조색6 9" xfId="1019"/>
    <cellStyle name="40% - 강조색6 9 2" xfId="1020"/>
    <cellStyle name="60% - 강조색1 10" xfId="1021"/>
    <cellStyle name="60% - 강조색1 10 2" xfId="1022"/>
    <cellStyle name="60% - 강조색1 11" xfId="1023"/>
    <cellStyle name="60% - 강조색1 11 2" xfId="1024"/>
    <cellStyle name="60% - 강조색1 12" xfId="1025"/>
    <cellStyle name="60% - 강조색1 12 2" xfId="1026"/>
    <cellStyle name="60% - 강조색1 13" xfId="1027"/>
    <cellStyle name="60% - 강조색1 13 2" xfId="1028"/>
    <cellStyle name="60% - 강조색1 14" xfId="1029"/>
    <cellStyle name="60% - 강조색1 14 2" xfId="1030"/>
    <cellStyle name="60% - 강조색1 15" xfId="1031"/>
    <cellStyle name="60% - 강조색1 15 2" xfId="1032"/>
    <cellStyle name="60% - 강조색1 16" xfId="1033"/>
    <cellStyle name="60% - 강조색1 16 2" xfId="1034"/>
    <cellStyle name="60% - 강조색1 17" xfId="1035"/>
    <cellStyle name="60% - 강조색1 17 2" xfId="1036"/>
    <cellStyle name="60% - 강조색1 18" xfId="1037"/>
    <cellStyle name="60% - 강조색1 18 2" xfId="1038"/>
    <cellStyle name="60% - 강조색1 19" xfId="1039"/>
    <cellStyle name="60% - 강조색1 19 2" xfId="1040"/>
    <cellStyle name="60% - 강조색1 2" xfId="1041"/>
    <cellStyle name="60% - 강조색1 2 10" xfId="1042"/>
    <cellStyle name="60% - 강조색1 2 11" xfId="1043"/>
    <cellStyle name="60% - 강조색1 2 12" xfId="1044"/>
    <cellStyle name="60% - 강조색1 2 13" xfId="1045"/>
    <cellStyle name="60% - 강조색1 2 14" xfId="1046"/>
    <cellStyle name="60% - 강조색1 2 15" xfId="1047"/>
    <cellStyle name="60% - 강조색1 2 2" xfId="1048"/>
    <cellStyle name="60% - 강조색1 2 3" xfId="1049"/>
    <cellStyle name="60% - 강조색1 2 4" xfId="1050"/>
    <cellStyle name="60% - 강조색1 2 5" xfId="1051"/>
    <cellStyle name="60% - 강조색1 2 6" xfId="1052"/>
    <cellStyle name="60% - 강조색1 2 7" xfId="1053"/>
    <cellStyle name="60% - 강조색1 2 8" xfId="1054"/>
    <cellStyle name="60% - 강조색1 2 9" xfId="1055"/>
    <cellStyle name="60% - 강조색1 20" xfId="1056"/>
    <cellStyle name="60% - 강조색1 20 2" xfId="1057"/>
    <cellStyle name="60% - 강조색1 21" xfId="1058"/>
    <cellStyle name="60% - 강조색1 21 2" xfId="1059"/>
    <cellStyle name="60% - 강조색1 22" xfId="1060"/>
    <cellStyle name="60% - 강조색1 22 2" xfId="1061"/>
    <cellStyle name="60% - 강조색1 23" xfId="1062"/>
    <cellStyle name="60% - 강조색1 23 2" xfId="1063"/>
    <cellStyle name="60% - 강조색1 24" xfId="1064"/>
    <cellStyle name="60% - 강조색1 24 2" xfId="1065"/>
    <cellStyle name="60% - 강조색1 25" xfId="1066"/>
    <cellStyle name="60% - 강조색1 25 2" xfId="1067"/>
    <cellStyle name="60% - 강조색1 26" xfId="1068"/>
    <cellStyle name="60% - 강조색1 26 2" xfId="1069"/>
    <cellStyle name="60% - 강조색1 27" xfId="1070"/>
    <cellStyle name="60% - 강조색1 27 2" xfId="1071"/>
    <cellStyle name="60% - 강조색1 28" xfId="1072"/>
    <cellStyle name="60% - 강조색1 28 2" xfId="1073"/>
    <cellStyle name="60% - 강조색1 29" xfId="1074"/>
    <cellStyle name="60% - 강조색1 29 2" xfId="1075"/>
    <cellStyle name="60% - 강조색1 3" xfId="1076"/>
    <cellStyle name="60% - 강조색1 3 2" xfId="1077"/>
    <cellStyle name="60% - 강조색1 30" xfId="1078"/>
    <cellStyle name="60% - 강조색1 30 2" xfId="1079"/>
    <cellStyle name="60% - 강조색1 31" xfId="1080"/>
    <cellStyle name="60% - 강조색1 31 2" xfId="1081"/>
    <cellStyle name="60% - 강조색1 32" xfId="1082"/>
    <cellStyle name="60% - 강조색1 32 2" xfId="1083"/>
    <cellStyle name="60% - 강조색1 33" xfId="1084"/>
    <cellStyle name="60% - 강조색1 33 2" xfId="1085"/>
    <cellStyle name="60% - 강조색1 34" xfId="1086"/>
    <cellStyle name="60% - 강조색1 34 2" xfId="1087"/>
    <cellStyle name="60% - 강조색1 35" xfId="1088"/>
    <cellStyle name="60% - 강조색1 35 2" xfId="1089"/>
    <cellStyle name="60% - 강조색1 36" xfId="1090"/>
    <cellStyle name="60% - 강조색1 36 2" xfId="1091"/>
    <cellStyle name="60% - 강조색1 37" xfId="1092"/>
    <cellStyle name="60% - 강조색1 37 2" xfId="1093"/>
    <cellStyle name="60% - 강조색1 4" xfId="1094"/>
    <cellStyle name="60% - 강조색1 4 2" xfId="1095"/>
    <cellStyle name="60% - 강조색1 5" xfId="1096"/>
    <cellStyle name="60% - 강조색1 5 2" xfId="1097"/>
    <cellStyle name="60% - 강조색1 6" xfId="1098"/>
    <cellStyle name="60% - 강조색1 6 2" xfId="1099"/>
    <cellStyle name="60% - 강조색1 7" xfId="1100"/>
    <cellStyle name="60% - 강조색1 7 2" xfId="1101"/>
    <cellStyle name="60% - 강조색1 8" xfId="1102"/>
    <cellStyle name="60% - 강조색1 8 2" xfId="1103"/>
    <cellStyle name="60% - 강조색1 9" xfId="1104"/>
    <cellStyle name="60% - 강조색1 9 2" xfId="1105"/>
    <cellStyle name="60% - 강조색2 10" xfId="1106"/>
    <cellStyle name="60% - 강조색2 10 2" xfId="1107"/>
    <cellStyle name="60% - 강조색2 11" xfId="1108"/>
    <cellStyle name="60% - 강조색2 11 2" xfId="1109"/>
    <cellStyle name="60% - 강조색2 12" xfId="1110"/>
    <cellStyle name="60% - 강조색2 12 2" xfId="1111"/>
    <cellStyle name="60% - 강조색2 13" xfId="1112"/>
    <cellStyle name="60% - 강조색2 13 2" xfId="1113"/>
    <cellStyle name="60% - 강조색2 14" xfId="1114"/>
    <cellStyle name="60% - 강조색2 14 2" xfId="1115"/>
    <cellStyle name="60% - 강조색2 15" xfId="1116"/>
    <cellStyle name="60% - 강조색2 15 2" xfId="1117"/>
    <cellStyle name="60% - 강조색2 16" xfId="1118"/>
    <cellStyle name="60% - 강조색2 16 2" xfId="1119"/>
    <cellStyle name="60% - 강조색2 17" xfId="1120"/>
    <cellStyle name="60% - 강조색2 17 2" xfId="1121"/>
    <cellStyle name="60% - 강조색2 18" xfId="1122"/>
    <cellStyle name="60% - 강조색2 18 2" xfId="1123"/>
    <cellStyle name="60% - 강조색2 19" xfId="1124"/>
    <cellStyle name="60% - 강조색2 19 2" xfId="1125"/>
    <cellStyle name="60% - 강조색2 2" xfId="1126"/>
    <cellStyle name="60% - 강조색2 2 10" xfId="1127"/>
    <cellStyle name="60% - 강조색2 2 11" xfId="1128"/>
    <cellStyle name="60% - 강조색2 2 12" xfId="1129"/>
    <cellStyle name="60% - 강조색2 2 13" xfId="1130"/>
    <cellStyle name="60% - 강조색2 2 14" xfId="1131"/>
    <cellStyle name="60% - 강조색2 2 15" xfId="1132"/>
    <cellStyle name="60% - 강조색2 2 2" xfId="1133"/>
    <cellStyle name="60% - 강조색2 2 3" xfId="1134"/>
    <cellStyle name="60% - 강조색2 2 4" xfId="1135"/>
    <cellStyle name="60% - 강조색2 2 5" xfId="1136"/>
    <cellStyle name="60% - 강조색2 2 6" xfId="1137"/>
    <cellStyle name="60% - 강조색2 2 7" xfId="1138"/>
    <cellStyle name="60% - 강조색2 2 8" xfId="1139"/>
    <cellStyle name="60% - 강조색2 2 9" xfId="1140"/>
    <cellStyle name="60% - 강조색2 20" xfId="1141"/>
    <cellStyle name="60% - 강조색2 20 2" xfId="1142"/>
    <cellStyle name="60% - 강조색2 21" xfId="1143"/>
    <cellStyle name="60% - 강조색2 21 2" xfId="1144"/>
    <cellStyle name="60% - 강조색2 22" xfId="1145"/>
    <cellStyle name="60% - 강조색2 22 2" xfId="1146"/>
    <cellStyle name="60% - 강조색2 23" xfId="1147"/>
    <cellStyle name="60% - 강조색2 23 2" xfId="1148"/>
    <cellStyle name="60% - 강조색2 24" xfId="1149"/>
    <cellStyle name="60% - 강조색2 24 2" xfId="1150"/>
    <cellStyle name="60% - 강조색2 25" xfId="1151"/>
    <cellStyle name="60% - 강조색2 25 2" xfId="1152"/>
    <cellStyle name="60% - 강조색2 26" xfId="1153"/>
    <cellStyle name="60% - 강조색2 26 2" xfId="1154"/>
    <cellStyle name="60% - 강조색2 27" xfId="1155"/>
    <cellStyle name="60% - 강조색2 27 2" xfId="1156"/>
    <cellStyle name="60% - 강조색2 28" xfId="1157"/>
    <cellStyle name="60% - 강조색2 28 2" xfId="1158"/>
    <cellStyle name="60% - 강조색2 29" xfId="1159"/>
    <cellStyle name="60% - 강조색2 29 2" xfId="1160"/>
    <cellStyle name="60% - 강조색2 3" xfId="1161"/>
    <cellStyle name="60% - 강조색2 3 2" xfId="1162"/>
    <cellStyle name="60% - 강조색2 30" xfId="1163"/>
    <cellStyle name="60% - 강조색2 30 2" xfId="1164"/>
    <cellStyle name="60% - 강조색2 31" xfId="1165"/>
    <cellStyle name="60% - 강조색2 31 2" xfId="1166"/>
    <cellStyle name="60% - 강조색2 32" xfId="1167"/>
    <cellStyle name="60% - 강조색2 32 2" xfId="1168"/>
    <cellStyle name="60% - 강조색2 33" xfId="1169"/>
    <cellStyle name="60% - 강조색2 33 2" xfId="1170"/>
    <cellStyle name="60% - 강조색2 34" xfId="1171"/>
    <cellStyle name="60% - 강조색2 34 2" xfId="1172"/>
    <cellStyle name="60% - 강조색2 35" xfId="1173"/>
    <cellStyle name="60% - 강조색2 35 2" xfId="1174"/>
    <cellStyle name="60% - 강조색2 36" xfId="1175"/>
    <cellStyle name="60% - 강조색2 36 2" xfId="1176"/>
    <cellStyle name="60% - 강조색2 37" xfId="1177"/>
    <cellStyle name="60% - 강조색2 37 2" xfId="1178"/>
    <cellStyle name="60% - 강조색2 4" xfId="1179"/>
    <cellStyle name="60% - 강조색2 4 2" xfId="1180"/>
    <cellStyle name="60% - 강조색2 5" xfId="1181"/>
    <cellStyle name="60% - 강조색2 5 2" xfId="1182"/>
    <cellStyle name="60% - 강조색2 6" xfId="1183"/>
    <cellStyle name="60% - 강조색2 6 2" xfId="1184"/>
    <cellStyle name="60% - 강조색2 7" xfId="1185"/>
    <cellStyle name="60% - 강조색2 7 2" xfId="1186"/>
    <cellStyle name="60% - 강조색2 8" xfId="1187"/>
    <cellStyle name="60% - 강조색2 8 2" xfId="1188"/>
    <cellStyle name="60% - 강조색2 9" xfId="1189"/>
    <cellStyle name="60% - 강조색2 9 2" xfId="1190"/>
    <cellStyle name="60% - 강조색3 10" xfId="1191"/>
    <cellStyle name="60% - 강조색3 10 2" xfId="1192"/>
    <cellStyle name="60% - 강조색3 11" xfId="1193"/>
    <cellStyle name="60% - 강조색3 11 2" xfId="1194"/>
    <cellStyle name="60% - 강조색3 12" xfId="1195"/>
    <cellStyle name="60% - 강조색3 12 2" xfId="1196"/>
    <cellStyle name="60% - 강조색3 13" xfId="1197"/>
    <cellStyle name="60% - 강조색3 13 2" xfId="1198"/>
    <cellStyle name="60% - 강조색3 14" xfId="1199"/>
    <cellStyle name="60% - 강조색3 14 2" xfId="1200"/>
    <cellStyle name="60% - 강조색3 15" xfId="1201"/>
    <cellStyle name="60% - 강조색3 15 2" xfId="1202"/>
    <cellStyle name="60% - 강조색3 16" xfId="1203"/>
    <cellStyle name="60% - 강조색3 16 2" xfId="1204"/>
    <cellStyle name="60% - 강조색3 17" xfId="1205"/>
    <cellStyle name="60% - 강조색3 17 2" xfId="1206"/>
    <cellStyle name="60% - 강조색3 18" xfId="1207"/>
    <cellStyle name="60% - 강조색3 18 2" xfId="1208"/>
    <cellStyle name="60% - 강조색3 19" xfId="1209"/>
    <cellStyle name="60% - 강조색3 19 2" xfId="1210"/>
    <cellStyle name="60% - 강조색3 2" xfId="1211"/>
    <cellStyle name="60% - 강조색3 2 10" xfId="1212"/>
    <cellStyle name="60% - 강조색3 2 11" xfId="1213"/>
    <cellStyle name="60% - 강조색3 2 12" xfId="1214"/>
    <cellStyle name="60% - 강조색3 2 13" xfId="1215"/>
    <cellStyle name="60% - 강조색3 2 14" xfId="1216"/>
    <cellStyle name="60% - 강조색3 2 15" xfId="1217"/>
    <cellStyle name="60% - 강조색3 2 2" xfId="1218"/>
    <cellStyle name="60% - 강조색3 2 3" xfId="1219"/>
    <cellStyle name="60% - 강조색3 2 4" xfId="1220"/>
    <cellStyle name="60% - 강조색3 2 5" xfId="1221"/>
    <cellStyle name="60% - 강조색3 2 6" xfId="1222"/>
    <cellStyle name="60% - 강조색3 2 7" xfId="1223"/>
    <cellStyle name="60% - 강조색3 2 8" xfId="1224"/>
    <cellStyle name="60% - 강조색3 2 9" xfId="1225"/>
    <cellStyle name="60% - 강조색3 20" xfId="1226"/>
    <cellStyle name="60% - 강조색3 20 2" xfId="1227"/>
    <cellStyle name="60% - 강조색3 21" xfId="1228"/>
    <cellStyle name="60% - 강조색3 21 2" xfId="1229"/>
    <cellStyle name="60% - 강조색3 22" xfId="1230"/>
    <cellStyle name="60% - 강조색3 22 2" xfId="1231"/>
    <cellStyle name="60% - 강조색3 23" xfId="1232"/>
    <cellStyle name="60% - 강조색3 23 2" xfId="1233"/>
    <cellStyle name="60% - 강조색3 24" xfId="1234"/>
    <cellStyle name="60% - 강조색3 24 2" xfId="1235"/>
    <cellStyle name="60% - 강조색3 25" xfId="1236"/>
    <cellStyle name="60% - 강조색3 25 2" xfId="1237"/>
    <cellStyle name="60% - 강조색3 26" xfId="1238"/>
    <cellStyle name="60% - 강조색3 26 2" xfId="1239"/>
    <cellStyle name="60% - 강조색3 27" xfId="1240"/>
    <cellStyle name="60% - 강조색3 27 2" xfId="1241"/>
    <cellStyle name="60% - 강조색3 28" xfId="1242"/>
    <cellStyle name="60% - 강조색3 28 2" xfId="1243"/>
    <cellStyle name="60% - 강조색3 29" xfId="1244"/>
    <cellStyle name="60% - 강조색3 29 2" xfId="1245"/>
    <cellStyle name="60% - 강조색3 3" xfId="1246"/>
    <cellStyle name="60% - 강조색3 3 2" xfId="1247"/>
    <cellStyle name="60% - 강조색3 30" xfId="1248"/>
    <cellStyle name="60% - 강조색3 30 2" xfId="1249"/>
    <cellStyle name="60% - 강조색3 31" xfId="1250"/>
    <cellStyle name="60% - 강조색3 31 2" xfId="1251"/>
    <cellStyle name="60% - 강조색3 32" xfId="1252"/>
    <cellStyle name="60% - 강조색3 32 2" xfId="1253"/>
    <cellStyle name="60% - 강조색3 33" xfId="1254"/>
    <cellStyle name="60% - 강조색3 33 2" xfId="1255"/>
    <cellStyle name="60% - 강조색3 34" xfId="1256"/>
    <cellStyle name="60% - 강조색3 34 2" xfId="1257"/>
    <cellStyle name="60% - 강조색3 35" xfId="1258"/>
    <cellStyle name="60% - 강조색3 35 2" xfId="1259"/>
    <cellStyle name="60% - 강조색3 36" xfId="1260"/>
    <cellStyle name="60% - 강조색3 36 2" xfId="1261"/>
    <cellStyle name="60% - 강조색3 37" xfId="1262"/>
    <cellStyle name="60% - 강조색3 37 2" xfId="1263"/>
    <cellStyle name="60% - 강조색3 4" xfId="1264"/>
    <cellStyle name="60% - 강조색3 4 2" xfId="1265"/>
    <cellStyle name="60% - 강조색3 5" xfId="1266"/>
    <cellStyle name="60% - 강조색3 5 2" xfId="1267"/>
    <cellStyle name="60% - 강조색3 6" xfId="1268"/>
    <cellStyle name="60% - 강조색3 6 2" xfId="1269"/>
    <cellStyle name="60% - 강조색3 7" xfId="1270"/>
    <cellStyle name="60% - 강조색3 7 2" xfId="1271"/>
    <cellStyle name="60% - 강조색3 8" xfId="1272"/>
    <cellStyle name="60% - 강조색3 8 2" xfId="1273"/>
    <cellStyle name="60% - 강조색3 9" xfId="1274"/>
    <cellStyle name="60% - 강조색3 9 2" xfId="1275"/>
    <cellStyle name="60% - 강조색4 10" xfId="1276"/>
    <cellStyle name="60% - 강조색4 10 2" xfId="1277"/>
    <cellStyle name="60% - 강조색4 11" xfId="1278"/>
    <cellStyle name="60% - 강조색4 11 2" xfId="1279"/>
    <cellStyle name="60% - 강조색4 12" xfId="1280"/>
    <cellStyle name="60% - 강조색4 12 2" xfId="1281"/>
    <cellStyle name="60% - 강조색4 13" xfId="1282"/>
    <cellStyle name="60% - 강조색4 13 2" xfId="1283"/>
    <cellStyle name="60% - 강조색4 14" xfId="1284"/>
    <cellStyle name="60% - 강조색4 14 2" xfId="1285"/>
    <cellStyle name="60% - 강조색4 15" xfId="1286"/>
    <cellStyle name="60% - 강조색4 15 2" xfId="1287"/>
    <cellStyle name="60% - 강조색4 16" xfId="1288"/>
    <cellStyle name="60% - 강조색4 16 2" xfId="1289"/>
    <cellStyle name="60% - 강조색4 17" xfId="1290"/>
    <cellStyle name="60% - 강조색4 17 2" xfId="1291"/>
    <cellStyle name="60% - 강조색4 18" xfId="1292"/>
    <cellStyle name="60% - 강조색4 18 2" xfId="1293"/>
    <cellStyle name="60% - 강조색4 19" xfId="1294"/>
    <cellStyle name="60% - 강조색4 19 2" xfId="1295"/>
    <cellStyle name="60% - 강조색4 2" xfId="1296"/>
    <cellStyle name="60% - 강조색4 2 10" xfId="1297"/>
    <cellStyle name="60% - 강조색4 2 11" xfId="1298"/>
    <cellStyle name="60% - 강조색4 2 12" xfId="1299"/>
    <cellStyle name="60% - 강조색4 2 13" xfId="1300"/>
    <cellStyle name="60% - 강조색4 2 14" xfId="1301"/>
    <cellStyle name="60% - 강조색4 2 15" xfId="1302"/>
    <cellStyle name="60% - 강조색4 2 2" xfId="1303"/>
    <cellStyle name="60% - 강조색4 2 3" xfId="1304"/>
    <cellStyle name="60% - 강조색4 2 4" xfId="1305"/>
    <cellStyle name="60% - 강조색4 2 5" xfId="1306"/>
    <cellStyle name="60% - 강조색4 2 6" xfId="1307"/>
    <cellStyle name="60% - 강조색4 2 7" xfId="1308"/>
    <cellStyle name="60% - 강조색4 2 8" xfId="1309"/>
    <cellStyle name="60% - 강조색4 2 9" xfId="1310"/>
    <cellStyle name="60% - 강조색4 20" xfId="1311"/>
    <cellStyle name="60% - 강조색4 20 2" xfId="1312"/>
    <cellStyle name="60% - 강조색4 21" xfId="1313"/>
    <cellStyle name="60% - 강조색4 21 2" xfId="1314"/>
    <cellStyle name="60% - 강조색4 22" xfId="1315"/>
    <cellStyle name="60% - 강조색4 22 2" xfId="1316"/>
    <cellStyle name="60% - 강조색4 23" xfId="1317"/>
    <cellStyle name="60% - 강조색4 23 2" xfId="1318"/>
    <cellStyle name="60% - 강조색4 24" xfId="1319"/>
    <cellStyle name="60% - 강조색4 24 2" xfId="1320"/>
    <cellStyle name="60% - 강조색4 25" xfId="1321"/>
    <cellStyle name="60% - 강조색4 25 2" xfId="1322"/>
    <cellStyle name="60% - 강조색4 26" xfId="1323"/>
    <cellStyle name="60% - 강조색4 26 2" xfId="1324"/>
    <cellStyle name="60% - 강조색4 27" xfId="1325"/>
    <cellStyle name="60% - 강조색4 27 2" xfId="1326"/>
    <cellStyle name="60% - 강조색4 28" xfId="1327"/>
    <cellStyle name="60% - 강조색4 28 2" xfId="1328"/>
    <cellStyle name="60% - 강조색4 29" xfId="1329"/>
    <cellStyle name="60% - 강조색4 29 2" xfId="1330"/>
    <cellStyle name="60% - 강조색4 3" xfId="1331"/>
    <cellStyle name="60% - 강조색4 3 2" xfId="1332"/>
    <cellStyle name="60% - 강조색4 30" xfId="1333"/>
    <cellStyle name="60% - 강조색4 30 2" xfId="1334"/>
    <cellStyle name="60% - 강조색4 31" xfId="1335"/>
    <cellStyle name="60% - 강조색4 31 2" xfId="1336"/>
    <cellStyle name="60% - 강조색4 32" xfId="1337"/>
    <cellStyle name="60% - 강조색4 32 2" xfId="1338"/>
    <cellStyle name="60% - 강조색4 33" xfId="1339"/>
    <cellStyle name="60% - 강조색4 33 2" xfId="1340"/>
    <cellStyle name="60% - 강조색4 34" xfId="1341"/>
    <cellStyle name="60% - 강조색4 34 2" xfId="1342"/>
    <cellStyle name="60% - 강조색4 35" xfId="1343"/>
    <cellStyle name="60% - 강조색4 35 2" xfId="1344"/>
    <cellStyle name="60% - 강조색4 36" xfId="1345"/>
    <cellStyle name="60% - 강조색4 36 2" xfId="1346"/>
    <cellStyle name="60% - 강조색4 37" xfId="1347"/>
    <cellStyle name="60% - 강조색4 37 2" xfId="1348"/>
    <cellStyle name="60% - 강조색4 4" xfId="1349"/>
    <cellStyle name="60% - 강조색4 4 2" xfId="1350"/>
    <cellStyle name="60% - 강조색4 5" xfId="1351"/>
    <cellStyle name="60% - 강조색4 5 2" xfId="1352"/>
    <cellStyle name="60% - 강조색4 6" xfId="1353"/>
    <cellStyle name="60% - 강조색4 6 2" xfId="1354"/>
    <cellStyle name="60% - 강조색4 7" xfId="1355"/>
    <cellStyle name="60% - 강조색4 7 2" xfId="1356"/>
    <cellStyle name="60% - 강조색4 8" xfId="1357"/>
    <cellStyle name="60% - 강조색4 8 2" xfId="1358"/>
    <cellStyle name="60% - 강조색4 9" xfId="1359"/>
    <cellStyle name="60% - 강조색4 9 2" xfId="1360"/>
    <cellStyle name="60% - 강조색5 10" xfId="1361"/>
    <cellStyle name="60% - 강조색5 10 2" xfId="1362"/>
    <cellStyle name="60% - 강조색5 11" xfId="1363"/>
    <cellStyle name="60% - 강조색5 11 2" xfId="1364"/>
    <cellStyle name="60% - 강조색5 12" xfId="1365"/>
    <cellStyle name="60% - 강조색5 12 2" xfId="1366"/>
    <cellStyle name="60% - 강조색5 13" xfId="1367"/>
    <cellStyle name="60% - 강조색5 13 2" xfId="1368"/>
    <cellStyle name="60% - 강조색5 14" xfId="1369"/>
    <cellStyle name="60% - 강조색5 14 2" xfId="1370"/>
    <cellStyle name="60% - 강조색5 15" xfId="1371"/>
    <cellStyle name="60% - 강조색5 15 2" xfId="1372"/>
    <cellStyle name="60% - 강조색5 16" xfId="1373"/>
    <cellStyle name="60% - 강조색5 16 2" xfId="1374"/>
    <cellStyle name="60% - 강조색5 17" xfId="1375"/>
    <cellStyle name="60% - 강조색5 17 2" xfId="1376"/>
    <cellStyle name="60% - 강조색5 18" xfId="1377"/>
    <cellStyle name="60% - 강조색5 18 2" xfId="1378"/>
    <cellStyle name="60% - 강조색5 19" xfId="1379"/>
    <cellStyle name="60% - 강조색5 19 2" xfId="1380"/>
    <cellStyle name="60% - 강조색5 2" xfId="1381"/>
    <cellStyle name="60% - 강조색5 2 10" xfId="1382"/>
    <cellStyle name="60% - 강조색5 2 11" xfId="1383"/>
    <cellStyle name="60% - 강조색5 2 12" xfId="1384"/>
    <cellStyle name="60% - 강조색5 2 13" xfId="1385"/>
    <cellStyle name="60% - 강조색5 2 14" xfId="1386"/>
    <cellStyle name="60% - 강조색5 2 15" xfId="1387"/>
    <cellStyle name="60% - 강조색5 2 2" xfId="1388"/>
    <cellStyle name="60% - 강조색5 2 3" xfId="1389"/>
    <cellStyle name="60% - 강조색5 2 4" xfId="1390"/>
    <cellStyle name="60% - 강조색5 2 5" xfId="1391"/>
    <cellStyle name="60% - 강조색5 2 6" xfId="1392"/>
    <cellStyle name="60% - 강조색5 2 7" xfId="1393"/>
    <cellStyle name="60% - 강조색5 2 8" xfId="1394"/>
    <cellStyle name="60% - 강조색5 2 9" xfId="1395"/>
    <cellStyle name="60% - 강조색5 20" xfId="1396"/>
    <cellStyle name="60% - 강조색5 20 2" xfId="1397"/>
    <cellStyle name="60% - 강조색5 21" xfId="1398"/>
    <cellStyle name="60% - 강조색5 21 2" xfId="1399"/>
    <cellStyle name="60% - 강조색5 22" xfId="1400"/>
    <cellStyle name="60% - 강조색5 22 2" xfId="1401"/>
    <cellStyle name="60% - 강조색5 23" xfId="1402"/>
    <cellStyle name="60% - 강조색5 23 2" xfId="1403"/>
    <cellStyle name="60% - 강조색5 24" xfId="1404"/>
    <cellStyle name="60% - 강조색5 24 2" xfId="1405"/>
    <cellStyle name="60% - 강조색5 25" xfId="1406"/>
    <cellStyle name="60% - 강조색5 25 2" xfId="1407"/>
    <cellStyle name="60% - 강조색5 26" xfId="1408"/>
    <cellStyle name="60% - 강조색5 26 2" xfId="1409"/>
    <cellStyle name="60% - 강조색5 27" xfId="1410"/>
    <cellStyle name="60% - 강조색5 27 2" xfId="1411"/>
    <cellStyle name="60% - 강조색5 28" xfId="1412"/>
    <cellStyle name="60% - 강조색5 28 2" xfId="1413"/>
    <cellStyle name="60% - 강조색5 29" xfId="1414"/>
    <cellStyle name="60% - 강조색5 29 2" xfId="1415"/>
    <cellStyle name="60% - 강조색5 3" xfId="1416"/>
    <cellStyle name="60% - 강조색5 3 2" xfId="1417"/>
    <cellStyle name="60% - 강조색5 30" xfId="1418"/>
    <cellStyle name="60% - 강조색5 30 2" xfId="1419"/>
    <cellStyle name="60% - 강조색5 31" xfId="1420"/>
    <cellStyle name="60% - 강조색5 31 2" xfId="1421"/>
    <cellStyle name="60% - 강조색5 32" xfId="1422"/>
    <cellStyle name="60% - 강조색5 32 2" xfId="1423"/>
    <cellStyle name="60% - 강조색5 33" xfId="1424"/>
    <cellStyle name="60% - 강조색5 33 2" xfId="1425"/>
    <cellStyle name="60% - 강조색5 34" xfId="1426"/>
    <cellStyle name="60% - 강조색5 34 2" xfId="1427"/>
    <cellStyle name="60% - 강조색5 35" xfId="1428"/>
    <cellStyle name="60% - 강조색5 35 2" xfId="1429"/>
    <cellStyle name="60% - 강조색5 36" xfId="1430"/>
    <cellStyle name="60% - 강조색5 36 2" xfId="1431"/>
    <cellStyle name="60% - 강조색5 37" xfId="1432"/>
    <cellStyle name="60% - 강조색5 37 2" xfId="1433"/>
    <cellStyle name="60% - 강조색5 4" xfId="1434"/>
    <cellStyle name="60% - 강조색5 4 2" xfId="1435"/>
    <cellStyle name="60% - 강조색5 5" xfId="1436"/>
    <cellStyle name="60% - 강조색5 5 2" xfId="1437"/>
    <cellStyle name="60% - 강조색5 6" xfId="1438"/>
    <cellStyle name="60% - 강조색5 6 2" xfId="1439"/>
    <cellStyle name="60% - 강조색5 7" xfId="1440"/>
    <cellStyle name="60% - 강조색5 7 2" xfId="1441"/>
    <cellStyle name="60% - 강조색5 8" xfId="1442"/>
    <cellStyle name="60% - 강조색5 8 2" xfId="1443"/>
    <cellStyle name="60% - 강조색5 9" xfId="1444"/>
    <cellStyle name="60% - 강조색5 9 2" xfId="1445"/>
    <cellStyle name="60% - 강조색6 10" xfId="1446"/>
    <cellStyle name="60% - 강조색6 10 2" xfId="1447"/>
    <cellStyle name="60% - 강조색6 11" xfId="1448"/>
    <cellStyle name="60% - 강조색6 11 2" xfId="1449"/>
    <cellStyle name="60% - 강조색6 12" xfId="1450"/>
    <cellStyle name="60% - 강조색6 12 2" xfId="1451"/>
    <cellStyle name="60% - 강조색6 13" xfId="1452"/>
    <cellStyle name="60% - 강조색6 13 2" xfId="1453"/>
    <cellStyle name="60% - 강조색6 14" xfId="1454"/>
    <cellStyle name="60% - 강조색6 14 2" xfId="1455"/>
    <cellStyle name="60% - 강조색6 15" xfId="1456"/>
    <cellStyle name="60% - 강조색6 15 2" xfId="1457"/>
    <cellStyle name="60% - 강조색6 16" xfId="1458"/>
    <cellStyle name="60% - 강조색6 16 2" xfId="1459"/>
    <cellStyle name="60% - 강조색6 17" xfId="1460"/>
    <cellStyle name="60% - 강조색6 17 2" xfId="1461"/>
    <cellStyle name="60% - 강조색6 18" xfId="1462"/>
    <cellStyle name="60% - 강조색6 18 2" xfId="1463"/>
    <cellStyle name="60% - 강조색6 19" xfId="1464"/>
    <cellStyle name="60% - 강조색6 19 2" xfId="1465"/>
    <cellStyle name="60% - 강조색6 2" xfId="1466"/>
    <cellStyle name="60% - 강조색6 2 10" xfId="1467"/>
    <cellStyle name="60% - 강조색6 2 11" xfId="1468"/>
    <cellStyle name="60% - 강조색6 2 12" xfId="1469"/>
    <cellStyle name="60% - 강조색6 2 13" xfId="1470"/>
    <cellStyle name="60% - 강조색6 2 14" xfId="1471"/>
    <cellStyle name="60% - 강조색6 2 15" xfId="1472"/>
    <cellStyle name="60% - 강조색6 2 2" xfId="1473"/>
    <cellStyle name="60% - 강조색6 2 3" xfId="1474"/>
    <cellStyle name="60% - 강조색6 2 4" xfId="1475"/>
    <cellStyle name="60% - 강조색6 2 5" xfId="1476"/>
    <cellStyle name="60% - 강조색6 2 6" xfId="1477"/>
    <cellStyle name="60% - 강조색6 2 7" xfId="1478"/>
    <cellStyle name="60% - 강조색6 2 8" xfId="1479"/>
    <cellStyle name="60% - 강조색6 2 9" xfId="1480"/>
    <cellStyle name="60% - 강조색6 20" xfId="1481"/>
    <cellStyle name="60% - 강조색6 20 2" xfId="1482"/>
    <cellStyle name="60% - 강조색6 21" xfId="1483"/>
    <cellStyle name="60% - 강조색6 21 2" xfId="1484"/>
    <cellStyle name="60% - 강조색6 22" xfId="1485"/>
    <cellStyle name="60% - 강조색6 22 2" xfId="1486"/>
    <cellStyle name="60% - 강조색6 23" xfId="1487"/>
    <cellStyle name="60% - 강조색6 23 2" xfId="1488"/>
    <cellStyle name="60% - 강조색6 24" xfId="1489"/>
    <cellStyle name="60% - 강조색6 24 2" xfId="1490"/>
    <cellStyle name="60% - 강조색6 25" xfId="1491"/>
    <cellStyle name="60% - 강조색6 25 2" xfId="1492"/>
    <cellStyle name="60% - 강조색6 26" xfId="1493"/>
    <cellStyle name="60% - 강조색6 26 2" xfId="1494"/>
    <cellStyle name="60% - 강조색6 27" xfId="1495"/>
    <cellStyle name="60% - 강조색6 27 2" xfId="1496"/>
    <cellStyle name="60% - 강조색6 28" xfId="1497"/>
    <cellStyle name="60% - 강조색6 28 2" xfId="1498"/>
    <cellStyle name="60% - 강조색6 29" xfId="1499"/>
    <cellStyle name="60% - 강조색6 29 2" xfId="1500"/>
    <cellStyle name="60% - 강조색6 3" xfId="1501"/>
    <cellStyle name="60% - 강조색6 3 2" xfId="1502"/>
    <cellStyle name="60% - 강조색6 30" xfId="1503"/>
    <cellStyle name="60% - 강조색6 30 2" xfId="1504"/>
    <cellStyle name="60% - 강조색6 31" xfId="1505"/>
    <cellStyle name="60% - 강조색6 31 2" xfId="1506"/>
    <cellStyle name="60% - 강조색6 32" xfId="1507"/>
    <cellStyle name="60% - 강조색6 32 2" xfId="1508"/>
    <cellStyle name="60% - 강조색6 33" xfId="1509"/>
    <cellStyle name="60% - 강조색6 33 2" xfId="1510"/>
    <cellStyle name="60% - 강조색6 34" xfId="1511"/>
    <cellStyle name="60% - 강조색6 34 2" xfId="1512"/>
    <cellStyle name="60% - 강조색6 35" xfId="1513"/>
    <cellStyle name="60% - 강조색6 35 2" xfId="1514"/>
    <cellStyle name="60% - 강조색6 36" xfId="1515"/>
    <cellStyle name="60% - 강조색6 36 2" xfId="1516"/>
    <cellStyle name="60% - 강조색6 37" xfId="1517"/>
    <cellStyle name="60% - 강조색6 37 2" xfId="1518"/>
    <cellStyle name="60% - 강조색6 4" xfId="1519"/>
    <cellStyle name="60% - 강조색6 4 2" xfId="1520"/>
    <cellStyle name="60% - 강조색6 5" xfId="1521"/>
    <cellStyle name="60% - 강조색6 5 2" xfId="1522"/>
    <cellStyle name="60% - 강조색6 6" xfId="1523"/>
    <cellStyle name="60% - 강조색6 6 2" xfId="1524"/>
    <cellStyle name="60% - 강조색6 7" xfId="1525"/>
    <cellStyle name="60% - 강조색6 7 2" xfId="1526"/>
    <cellStyle name="60% - 강조색6 8" xfId="1527"/>
    <cellStyle name="60% - 강조색6 8 2" xfId="1528"/>
    <cellStyle name="60% - 강조색6 9" xfId="1529"/>
    <cellStyle name="60% - 강조색6 9 2" xfId="1530"/>
    <cellStyle name="강조색1 10" xfId="1531"/>
    <cellStyle name="강조색1 10 2" xfId="1532"/>
    <cellStyle name="강조색1 11" xfId="1533"/>
    <cellStyle name="강조색1 11 2" xfId="1534"/>
    <cellStyle name="강조색1 12" xfId="1535"/>
    <cellStyle name="강조색1 12 2" xfId="1536"/>
    <cellStyle name="강조색1 13" xfId="1537"/>
    <cellStyle name="강조색1 13 2" xfId="1538"/>
    <cellStyle name="강조색1 14" xfId="1539"/>
    <cellStyle name="강조색1 14 2" xfId="1540"/>
    <cellStyle name="강조색1 15" xfId="1541"/>
    <cellStyle name="강조색1 15 2" xfId="1542"/>
    <cellStyle name="강조색1 16" xfId="1543"/>
    <cellStyle name="강조색1 16 2" xfId="1544"/>
    <cellStyle name="강조색1 17" xfId="1545"/>
    <cellStyle name="강조색1 17 2" xfId="1546"/>
    <cellStyle name="강조색1 18" xfId="1547"/>
    <cellStyle name="강조색1 18 2" xfId="1548"/>
    <cellStyle name="강조색1 19" xfId="1549"/>
    <cellStyle name="강조색1 19 2" xfId="1550"/>
    <cellStyle name="강조색1 2" xfId="1551"/>
    <cellStyle name="강조색1 2 10" xfId="1552"/>
    <cellStyle name="강조색1 2 11" xfId="1553"/>
    <cellStyle name="강조색1 2 12" xfId="1554"/>
    <cellStyle name="강조색1 2 13" xfId="1555"/>
    <cellStyle name="강조색1 2 14" xfId="1556"/>
    <cellStyle name="강조색1 2 15" xfId="1557"/>
    <cellStyle name="강조색1 2 2" xfId="1558"/>
    <cellStyle name="강조색1 2 3" xfId="1559"/>
    <cellStyle name="강조색1 2 4" xfId="1560"/>
    <cellStyle name="강조색1 2 5" xfId="1561"/>
    <cellStyle name="강조색1 2 6" xfId="1562"/>
    <cellStyle name="강조색1 2 7" xfId="1563"/>
    <cellStyle name="강조색1 2 8" xfId="1564"/>
    <cellStyle name="강조색1 2 9" xfId="1565"/>
    <cellStyle name="강조색1 20" xfId="1566"/>
    <cellStyle name="강조색1 20 2" xfId="1567"/>
    <cellStyle name="강조색1 21" xfId="1568"/>
    <cellStyle name="강조색1 21 2" xfId="1569"/>
    <cellStyle name="강조색1 22" xfId="1570"/>
    <cellStyle name="강조색1 22 2" xfId="1571"/>
    <cellStyle name="강조색1 23" xfId="1572"/>
    <cellStyle name="강조색1 23 2" xfId="1573"/>
    <cellStyle name="강조색1 24" xfId="1574"/>
    <cellStyle name="강조색1 24 2" xfId="1575"/>
    <cellStyle name="강조색1 25" xfId="1576"/>
    <cellStyle name="강조색1 25 2" xfId="1577"/>
    <cellStyle name="강조색1 26" xfId="1578"/>
    <cellStyle name="강조색1 26 2" xfId="1579"/>
    <cellStyle name="강조색1 27" xfId="1580"/>
    <cellStyle name="강조색1 27 2" xfId="1581"/>
    <cellStyle name="강조색1 28" xfId="1582"/>
    <cellStyle name="강조색1 28 2" xfId="1583"/>
    <cellStyle name="강조색1 29" xfId="1584"/>
    <cellStyle name="강조색1 29 2" xfId="1585"/>
    <cellStyle name="강조색1 3" xfId="1586"/>
    <cellStyle name="강조색1 3 2" xfId="1587"/>
    <cellStyle name="강조색1 30" xfId="1588"/>
    <cellStyle name="강조색1 30 2" xfId="1589"/>
    <cellStyle name="강조색1 31" xfId="1590"/>
    <cellStyle name="강조색1 31 2" xfId="1591"/>
    <cellStyle name="강조색1 32" xfId="1592"/>
    <cellStyle name="강조색1 32 2" xfId="1593"/>
    <cellStyle name="강조색1 33" xfId="1594"/>
    <cellStyle name="강조색1 33 2" xfId="1595"/>
    <cellStyle name="강조색1 34" xfId="1596"/>
    <cellStyle name="강조색1 34 2" xfId="1597"/>
    <cellStyle name="강조색1 35" xfId="1598"/>
    <cellStyle name="강조색1 35 2" xfId="1599"/>
    <cellStyle name="강조색1 36" xfId="1600"/>
    <cellStyle name="강조색1 36 2" xfId="1601"/>
    <cellStyle name="강조색1 37" xfId="1602"/>
    <cellStyle name="강조색1 37 2" xfId="1603"/>
    <cellStyle name="강조색1 4" xfId="1604"/>
    <cellStyle name="강조색1 4 2" xfId="1605"/>
    <cellStyle name="강조색1 5" xfId="1606"/>
    <cellStyle name="강조색1 5 2" xfId="1607"/>
    <cellStyle name="강조색1 6" xfId="1608"/>
    <cellStyle name="강조색1 6 2" xfId="1609"/>
    <cellStyle name="강조색1 7" xfId="1610"/>
    <cellStyle name="강조색1 7 2" xfId="1611"/>
    <cellStyle name="강조색1 8" xfId="1612"/>
    <cellStyle name="강조색1 8 2" xfId="1613"/>
    <cellStyle name="강조색1 9" xfId="1614"/>
    <cellStyle name="강조색1 9 2" xfId="1615"/>
    <cellStyle name="강조색2 10" xfId="1616"/>
    <cellStyle name="강조색2 10 2" xfId="1617"/>
    <cellStyle name="강조색2 11" xfId="1618"/>
    <cellStyle name="강조색2 11 2" xfId="1619"/>
    <cellStyle name="강조색2 12" xfId="1620"/>
    <cellStyle name="강조색2 12 2" xfId="1621"/>
    <cellStyle name="강조색2 13" xfId="1622"/>
    <cellStyle name="강조색2 13 2" xfId="1623"/>
    <cellStyle name="강조색2 14" xfId="1624"/>
    <cellStyle name="강조색2 14 2" xfId="1625"/>
    <cellStyle name="강조색2 15" xfId="1626"/>
    <cellStyle name="강조색2 15 2" xfId="1627"/>
    <cellStyle name="강조색2 16" xfId="1628"/>
    <cellStyle name="강조색2 16 2" xfId="1629"/>
    <cellStyle name="강조색2 17" xfId="1630"/>
    <cellStyle name="강조색2 17 2" xfId="1631"/>
    <cellStyle name="강조색2 18" xfId="1632"/>
    <cellStyle name="강조색2 18 2" xfId="1633"/>
    <cellStyle name="강조색2 19" xfId="1634"/>
    <cellStyle name="강조색2 19 2" xfId="1635"/>
    <cellStyle name="강조색2 2" xfId="1636"/>
    <cellStyle name="강조색2 2 10" xfId="1637"/>
    <cellStyle name="강조색2 2 11" xfId="1638"/>
    <cellStyle name="강조색2 2 12" xfId="1639"/>
    <cellStyle name="강조색2 2 13" xfId="1640"/>
    <cellStyle name="강조색2 2 14" xfId="1641"/>
    <cellStyle name="강조색2 2 15" xfId="1642"/>
    <cellStyle name="강조색2 2 2" xfId="1643"/>
    <cellStyle name="강조색2 2 3" xfId="1644"/>
    <cellStyle name="강조색2 2 4" xfId="1645"/>
    <cellStyle name="강조색2 2 5" xfId="1646"/>
    <cellStyle name="강조색2 2 6" xfId="1647"/>
    <cellStyle name="강조색2 2 7" xfId="1648"/>
    <cellStyle name="강조색2 2 8" xfId="1649"/>
    <cellStyle name="강조색2 2 9" xfId="1650"/>
    <cellStyle name="강조색2 20" xfId="1651"/>
    <cellStyle name="강조색2 20 2" xfId="1652"/>
    <cellStyle name="강조색2 21" xfId="1653"/>
    <cellStyle name="강조색2 21 2" xfId="1654"/>
    <cellStyle name="강조색2 22" xfId="1655"/>
    <cellStyle name="강조색2 22 2" xfId="1656"/>
    <cellStyle name="강조색2 23" xfId="1657"/>
    <cellStyle name="강조색2 23 2" xfId="1658"/>
    <cellStyle name="강조색2 24" xfId="1659"/>
    <cellStyle name="강조색2 24 2" xfId="1660"/>
    <cellStyle name="강조색2 25" xfId="1661"/>
    <cellStyle name="강조색2 25 2" xfId="1662"/>
    <cellStyle name="강조색2 26" xfId="1663"/>
    <cellStyle name="강조색2 26 2" xfId="1664"/>
    <cellStyle name="강조색2 27" xfId="1665"/>
    <cellStyle name="강조색2 27 2" xfId="1666"/>
    <cellStyle name="강조색2 28" xfId="1667"/>
    <cellStyle name="강조색2 28 2" xfId="1668"/>
    <cellStyle name="강조색2 29" xfId="1669"/>
    <cellStyle name="강조색2 29 2" xfId="1670"/>
    <cellStyle name="강조색2 3" xfId="1671"/>
    <cellStyle name="강조색2 3 2" xfId="1672"/>
    <cellStyle name="강조색2 30" xfId="1673"/>
    <cellStyle name="강조색2 30 2" xfId="1674"/>
    <cellStyle name="강조색2 31" xfId="1675"/>
    <cellStyle name="강조색2 31 2" xfId="1676"/>
    <cellStyle name="강조색2 32" xfId="1677"/>
    <cellStyle name="강조색2 32 2" xfId="1678"/>
    <cellStyle name="강조색2 33" xfId="1679"/>
    <cellStyle name="강조색2 33 2" xfId="1680"/>
    <cellStyle name="강조색2 34" xfId="1681"/>
    <cellStyle name="강조색2 34 2" xfId="1682"/>
    <cellStyle name="강조색2 35" xfId="1683"/>
    <cellStyle name="강조색2 35 2" xfId="1684"/>
    <cellStyle name="강조색2 36" xfId="1685"/>
    <cellStyle name="강조색2 36 2" xfId="1686"/>
    <cellStyle name="강조색2 37" xfId="1687"/>
    <cellStyle name="강조색2 37 2" xfId="1688"/>
    <cellStyle name="강조색2 4" xfId="1689"/>
    <cellStyle name="강조색2 4 2" xfId="1690"/>
    <cellStyle name="강조색2 5" xfId="1691"/>
    <cellStyle name="강조색2 5 2" xfId="1692"/>
    <cellStyle name="강조색2 6" xfId="1693"/>
    <cellStyle name="강조색2 6 2" xfId="1694"/>
    <cellStyle name="강조색2 7" xfId="1695"/>
    <cellStyle name="강조색2 7 2" xfId="1696"/>
    <cellStyle name="강조색2 8" xfId="1697"/>
    <cellStyle name="강조색2 8 2" xfId="1698"/>
    <cellStyle name="강조색2 9" xfId="1699"/>
    <cellStyle name="강조색2 9 2" xfId="1700"/>
    <cellStyle name="강조색3 10" xfId="1701"/>
    <cellStyle name="강조색3 10 2" xfId="1702"/>
    <cellStyle name="강조색3 11" xfId="1703"/>
    <cellStyle name="강조색3 11 2" xfId="1704"/>
    <cellStyle name="강조색3 12" xfId="1705"/>
    <cellStyle name="강조색3 12 2" xfId="1706"/>
    <cellStyle name="강조색3 13" xfId="1707"/>
    <cellStyle name="강조색3 13 2" xfId="1708"/>
    <cellStyle name="강조색3 14" xfId="1709"/>
    <cellStyle name="강조색3 14 2" xfId="1710"/>
    <cellStyle name="강조색3 15" xfId="1711"/>
    <cellStyle name="강조색3 15 2" xfId="1712"/>
    <cellStyle name="강조색3 16" xfId="1713"/>
    <cellStyle name="강조색3 16 2" xfId="1714"/>
    <cellStyle name="강조색3 17" xfId="1715"/>
    <cellStyle name="강조색3 17 2" xfId="1716"/>
    <cellStyle name="강조색3 18" xfId="1717"/>
    <cellStyle name="강조색3 18 2" xfId="1718"/>
    <cellStyle name="강조색3 19" xfId="1719"/>
    <cellStyle name="강조색3 19 2" xfId="1720"/>
    <cellStyle name="강조색3 2" xfId="1721"/>
    <cellStyle name="강조색3 2 10" xfId="1722"/>
    <cellStyle name="강조색3 2 11" xfId="1723"/>
    <cellStyle name="강조색3 2 12" xfId="1724"/>
    <cellStyle name="강조색3 2 13" xfId="1725"/>
    <cellStyle name="강조색3 2 14" xfId="1726"/>
    <cellStyle name="강조색3 2 15" xfId="1727"/>
    <cellStyle name="강조색3 2 2" xfId="1728"/>
    <cellStyle name="강조색3 2 3" xfId="1729"/>
    <cellStyle name="강조색3 2 4" xfId="1730"/>
    <cellStyle name="강조색3 2 5" xfId="1731"/>
    <cellStyle name="강조색3 2 6" xfId="1732"/>
    <cellStyle name="강조색3 2 7" xfId="1733"/>
    <cellStyle name="강조색3 2 8" xfId="1734"/>
    <cellStyle name="강조색3 2 9" xfId="1735"/>
    <cellStyle name="강조색3 20" xfId="1736"/>
    <cellStyle name="강조색3 20 2" xfId="1737"/>
    <cellStyle name="강조색3 21" xfId="1738"/>
    <cellStyle name="강조색3 21 2" xfId="1739"/>
    <cellStyle name="강조색3 22" xfId="1740"/>
    <cellStyle name="강조색3 22 2" xfId="1741"/>
    <cellStyle name="강조색3 23" xfId="1742"/>
    <cellStyle name="강조색3 23 2" xfId="1743"/>
    <cellStyle name="강조색3 24" xfId="1744"/>
    <cellStyle name="강조색3 24 2" xfId="1745"/>
    <cellStyle name="강조색3 25" xfId="1746"/>
    <cellStyle name="강조색3 25 2" xfId="1747"/>
    <cellStyle name="강조색3 26" xfId="1748"/>
    <cellStyle name="강조색3 26 2" xfId="1749"/>
    <cellStyle name="강조색3 27" xfId="1750"/>
    <cellStyle name="강조색3 27 2" xfId="1751"/>
    <cellStyle name="강조색3 28" xfId="1752"/>
    <cellStyle name="강조색3 28 2" xfId="1753"/>
    <cellStyle name="강조색3 29" xfId="1754"/>
    <cellStyle name="강조색3 29 2" xfId="1755"/>
    <cellStyle name="강조색3 3" xfId="1756"/>
    <cellStyle name="강조색3 3 2" xfId="1757"/>
    <cellStyle name="강조색3 30" xfId="1758"/>
    <cellStyle name="강조색3 30 2" xfId="1759"/>
    <cellStyle name="강조색3 31" xfId="1760"/>
    <cellStyle name="강조색3 31 2" xfId="1761"/>
    <cellStyle name="강조색3 32" xfId="1762"/>
    <cellStyle name="강조색3 32 2" xfId="1763"/>
    <cellStyle name="강조색3 33" xfId="1764"/>
    <cellStyle name="강조색3 33 2" xfId="1765"/>
    <cellStyle name="강조색3 34" xfId="1766"/>
    <cellStyle name="강조색3 34 2" xfId="1767"/>
    <cellStyle name="강조색3 35" xfId="1768"/>
    <cellStyle name="강조색3 35 2" xfId="1769"/>
    <cellStyle name="강조색3 36" xfId="1770"/>
    <cellStyle name="강조색3 36 2" xfId="1771"/>
    <cellStyle name="강조색3 37" xfId="1772"/>
    <cellStyle name="강조색3 37 2" xfId="1773"/>
    <cellStyle name="강조색3 4" xfId="1774"/>
    <cellStyle name="강조색3 4 2" xfId="1775"/>
    <cellStyle name="강조색3 5" xfId="1776"/>
    <cellStyle name="강조색3 5 2" xfId="1777"/>
    <cellStyle name="강조색3 6" xfId="1778"/>
    <cellStyle name="강조색3 6 2" xfId="1779"/>
    <cellStyle name="강조색3 7" xfId="1780"/>
    <cellStyle name="강조색3 7 2" xfId="1781"/>
    <cellStyle name="강조색3 8" xfId="1782"/>
    <cellStyle name="강조색3 8 2" xfId="1783"/>
    <cellStyle name="강조색3 9" xfId="1784"/>
    <cellStyle name="강조색3 9 2" xfId="1785"/>
    <cellStyle name="강조색4 10" xfId="1786"/>
    <cellStyle name="강조색4 10 2" xfId="1787"/>
    <cellStyle name="강조색4 11" xfId="1788"/>
    <cellStyle name="강조색4 11 2" xfId="1789"/>
    <cellStyle name="강조색4 12" xfId="1790"/>
    <cellStyle name="강조색4 12 2" xfId="1791"/>
    <cellStyle name="강조색4 13" xfId="1792"/>
    <cellStyle name="강조색4 13 2" xfId="1793"/>
    <cellStyle name="강조색4 14" xfId="1794"/>
    <cellStyle name="강조색4 14 2" xfId="1795"/>
    <cellStyle name="강조색4 15" xfId="1796"/>
    <cellStyle name="강조색4 15 2" xfId="1797"/>
    <cellStyle name="강조색4 16" xfId="1798"/>
    <cellStyle name="강조색4 16 2" xfId="1799"/>
    <cellStyle name="강조색4 17" xfId="1800"/>
    <cellStyle name="강조색4 17 2" xfId="1801"/>
    <cellStyle name="강조색4 18" xfId="1802"/>
    <cellStyle name="강조색4 18 2" xfId="1803"/>
    <cellStyle name="강조색4 19" xfId="1804"/>
    <cellStyle name="강조색4 19 2" xfId="1805"/>
    <cellStyle name="강조색4 2" xfId="1806"/>
    <cellStyle name="강조색4 2 10" xfId="1807"/>
    <cellStyle name="강조색4 2 11" xfId="1808"/>
    <cellStyle name="강조색4 2 12" xfId="1809"/>
    <cellStyle name="강조색4 2 13" xfId="1810"/>
    <cellStyle name="강조색4 2 14" xfId="1811"/>
    <cellStyle name="강조색4 2 15" xfId="1812"/>
    <cellStyle name="강조색4 2 2" xfId="1813"/>
    <cellStyle name="강조색4 2 3" xfId="1814"/>
    <cellStyle name="강조색4 2 4" xfId="1815"/>
    <cellStyle name="강조색4 2 5" xfId="1816"/>
    <cellStyle name="강조색4 2 6" xfId="1817"/>
    <cellStyle name="강조색4 2 7" xfId="1818"/>
    <cellStyle name="강조색4 2 8" xfId="1819"/>
    <cellStyle name="강조색4 2 9" xfId="1820"/>
    <cellStyle name="강조색4 20" xfId="1821"/>
    <cellStyle name="강조색4 20 2" xfId="1822"/>
    <cellStyle name="강조색4 21" xfId="1823"/>
    <cellStyle name="강조색4 21 2" xfId="1824"/>
    <cellStyle name="강조색4 22" xfId="1825"/>
    <cellStyle name="강조색4 22 2" xfId="1826"/>
    <cellStyle name="강조색4 23" xfId="1827"/>
    <cellStyle name="강조색4 23 2" xfId="1828"/>
    <cellStyle name="강조색4 24" xfId="1829"/>
    <cellStyle name="강조색4 24 2" xfId="1830"/>
    <cellStyle name="강조색4 25" xfId="1831"/>
    <cellStyle name="강조색4 25 2" xfId="1832"/>
    <cellStyle name="강조색4 26" xfId="1833"/>
    <cellStyle name="강조색4 26 2" xfId="1834"/>
    <cellStyle name="강조색4 27" xfId="1835"/>
    <cellStyle name="강조색4 27 2" xfId="1836"/>
    <cellStyle name="강조색4 28" xfId="1837"/>
    <cellStyle name="강조색4 28 2" xfId="1838"/>
    <cellStyle name="강조색4 29" xfId="1839"/>
    <cellStyle name="강조색4 29 2" xfId="1840"/>
    <cellStyle name="강조색4 3" xfId="1841"/>
    <cellStyle name="강조색4 3 2" xfId="1842"/>
    <cellStyle name="강조색4 30" xfId="1843"/>
    <cellStyle name="강조색4 30 2" xfId="1844"/>
    <cellStyle name="강조색4 31" xfId="1845"/>
    <cellStyle name="강조색4 31 2" xfId="1846"/>
    <cellStyle name="강조색4 32" xfId="1847"/>
    <cellStyle name="강조색4 32 2" xfId="1848"/>
    <cellStyle name="강조색4 33" xfId="1849"/>
    <cellStyle name="강조색4 33 2" xfId="1850"/>
    <cellStyle name="강조색4 34" xfId="1851"/>
    <cellStyle name="강조색4 34 2" xfId="1852"/>
    <cellStyle name="강조색4 35" xfId="1853"/>
    <cellStyle name="강조색4 35 2" xfId="1854"/>
    <cellStyle name="강조색4 36" xfId="1855"/>
    <cellStyle name="강조색4 36 2" xfId="1856"/>
    <cellStyle name="강조색4 37" xfId="1857"/>
    <cellStyle name="강조색4 37 2" xfId="1858"/>
    <cellStyle name="강조색4 4" xfId="1859"/>
    <cellStyle name="강조색4 4 2" xfId="1860"/>
    <cellStyle name="강조색4 5" xfId="1861"/>
    <cellStyle name="강조색4 5 2" xfId="1862"/>
    <cellStyle name="강조색4 6" xfId="1863"/>
    <cellStyle name="강조색4 6 2" xfId="1864"/>
    <cellStyle name="강조색4 7" xfId="1865"/>
    <cellStyle name="강조색4 7 2" xfId="1866"/>
    <cellStyle name="강조색4 8" xfId="1867"/>
    <cellStyle name="강조색4 8 2" xfId="1868"/>
    <cellStyle name="강조색4 9" xfId="1869"/>
    <cellStyle name="강조색4 9 2" xfId="1870"/>
    <cellStyle name="강조색5 10" xfId="1871"/>
    <cellStyle name="강조색5 10 2" xfId="1872"/>
    <cellStyle name="강조색5 11" xfId="1873"/>
    <cellStyle name="강조색5 11 2" xfId="1874"/>
    <cellStyle name="강조색5 12" xfId="1875"/>
    <cellStyle name="강조색5 12 2" xfId="1876"/>
    <cellStyle name="강조색5 13" xfId="1877"/>
    <cellStyle name="강조색5 13 2" xfId="1878"/>
    <cellStyle name="강조색5 14" xfId="1879"/>
    <cellStyle name="강조색5 14 2" xfId="1880"/>
    <cellStyle name="강조색5 15" xfId="1881"/>
    <cellStyle name="강조색5 15 2" xfId="1882"/>
    <cellStyle name="강조색5 16" xfId="1883"/>
    <cellStyle name="강조색5 16 2" xfId="1884"/>
    <cellStyle name="강조색5 17" xfId="1885"/>
    <cellStyle name="강조색5 17 2" xfId="1886"/>
    <cellStyle name="강조색5 18" xfId="1887"/>
    <cellStyle name="강조색5 18 2" xfId="1888"/>
    <cellStyle name="강조색5 19" xfId="1889"/>
    <cellStyle name="강조색5 19 2" xfId="1890"/>
    <cellStyle name="강조색5 2" xfId="1891"/>
    <cellStyle name="강조색5 2 10" xfId="1892"/>
    <cellStyle name="강조색5 2 11" xfId="1893"/>
    <cellStyle name="강조색5 2 12" xfId="1894"/>
    <cellStyle name="강조색5 2 13" xfId="1895"/>
    <cellStyle name="강조색5 2 14" xfId="1896"/>
    <cellStyle name="강조색5 2 15" xfId="1897"/>
    <cellStyle name="강조색5 2 2" xfId="1898"/>
    <cellStyle name="강조색5 2 3" xfId="1899"/>
    <cellStyle name="강조색5 2 4" xfId="1900"/>
    <cellStyle name="강조색5 2 5" xfId="1901"/>
    <cellStyle name="강조색5 2 6" xfId="1902"/>
    <cellStyle name="강조색5 2 7" xfId="1903"/>
    <cellStyle name="강조색5 2 8" xfId="1904"/>
    <cellStyle name="강조색5 2 9" xfId="1905"/>
    <cellStyle name="강조색5 20" xfId="1906"/>
    <cellStyle name="강조색5 20 2" xfId="1907"/>
    <cellStyle name="강조색5 21" xfId="1908"/>
    <cellStyle name="강조색5 21 2" xfId="1909"/>
    <cellStyle name="강조색5 22" xfId="1910"/>
    <cellStyle name="강조색5 22 2" xfId="1911"/>
    <cellStyle name="강조색5 23" xfId="1912"/>
    <cellStyle name="강조색5 23 2" xfId="1913"/>
    <cellStyle name="강조색5 24" xfId="1914"/>
    <cellStyle name="강조색5 24 2" xfId="1915"/>
    <cellStyle name="강조색5 25" xfId="1916"/>
    <cellStyle name="강조색5 25 2" xfId="1917"/>
    <cellStyle name="강조색5 26" xfId="1918"/>
    <cellStyle name="강조색5 26 2" xfId="1919"/>
    <cellStyle name="강조색5 27" xfId="1920"/>
    <cellStyle name="강조색5 27 2" xfId="1921"/>
    <cellStyle name="강조색5 28" xfId="1922"/>
    <cellStyle name="강조색5 28 2" xfId="1923"/>
    <cellStyle name="강조색5 29" xfId="1924"/>
    <cellStyle name="강조색5 29 2" xfId="1925"/>
    <cellStyle name="강조색5 3" xfId="1926"/>
    <cellStyle name="강조색5 3 2" xfId="1927"/>
    <cellStyle name="강조색5 30" xfId="1928"/>
    <cellStyle name="강조색5 30 2" xfId="1929"/>
    <cellStyle name="강조색5 31" xfId="1930"/>
    <cellStyle name="강조색5 31 2" xfId="1931"/>
    <cellStyle name="강조색5 32" xfId="1932"/>
    <cellStyle name="강조색5 32 2" xfId="1933"/>
    <cellStyle name="강조색5 33" xfId="1934"/>
    <cellStyle name="강조색5 33 2" xfId="1935"/>
    <cellStyle name="강조색5 34" xfId="1936"/>
    <cellStyle name="강조색5 34 2" xfId="1937"/>
    <cellStyle name="강조색5 35" xfId="1938"/>
    <cellStyle name="강조색5 35 2" xfId="1939"/>
    <cellStyle name="강조색5 36" xfId="1940"/>
    <cellStyle name="강조색5 36 2" xfId="1941"/>
    <cellStyle name="강조색5 37" xfId="1942"/>
    <cellStyle name="강조색5 37 2" xfId="1943"/>
    <cellStyle name="강조색5 4" xfId="1944"/>
    <cellStyle name="강조색5 4 2" xfId="1945"/>
    <cellStyle name="강조색5 5" xfId="1946"/>
    <cellStyle name="강조색5 5 2" xfId="1947"/>
    <cellStyle name="강조색5 6" xfId="1948"/>
    <cellStyle name="강조색5 6 2" xfId="1949"/>
    <cellStyle name="강조색5 7" xfId="1950"/>
    <cellStyle name="강조색5 7 2" xfId="1951"/>
    <cellStyle name="강조색5 8" xfId="1952"/>
    <cellStyle name="강조색5 8 2" xfId="1953"/>
    <cellStyle name="강조색5 9" xfId="1954"/>
    <cellStyle name="강조색5 9 2" xfId="1955"/>
    <cellStyle name="강조색6 10" xfId="1956"/>
    <cellStyle name="강조색6 10 2" xfId="1957"/>
    <cellStyle name="강조색6 11" xfId="1958"/>
    <cellStyle name="강조색6 11 2" xfId="1959"/>
    <cellStyle name="강조색6 12" xfId="1960"/>
    <cellStyle name="강조색6 12 2" xfId="1961"/>
    <cellStyle name="강조색6 13" xfId="1962"/>
    <cellStyle name="강조색6 13 2" xfId="1963"/>
    <cellStyle name="강조색6 14" xfId="1964"/>
    <cellStyle name="강조색6 14 2" xfId="1965"/>
    <cellStyle name="강조색6 15" xfId="1966"/>
    <cellStyle name="강조색6 15 2" xfId="1967"/>
    <cellStyle name="강조색6 16" xfId="1968"/>
    <cellStyle name="강조색6 16 2" xfId="1969"/>
    <cellStyle name="강조색6 17" xfId="1970"/>
    <cellStyle name="강조색6 17 2" xfId="1971"/>
    <cellStyle name="강조색6 18" xfId="1972"/>
    <cellStyle name="강조색6 18 2" xfId="1973"/>
    <cellStyle name="강조색6 19" xfId="1974"/>
    <cellStyle name="강조색6 19 2" xfId="1975"/>
    <cellStyle name="강조색6 2" xfId="1976"/>
    <cellStyle name="강조색6 2 10" xfId="1977"/>
    <cellStyle name="강조색6 2 11" xfId="1978"/>
    <cellStyle name="강조색6 2 12" xfId="1979"/>
    <cellStyle name="강조색6 2 13" xfId="1980"/>
    <cellStyle name="강조색6 2 14" xfId="1981"/>
    <cellStyle name="강조색6 2 15" xfId="1982"/>
    <cellStyle name="강조색6 2 2" xfId="1983"/>
    <cellStyle name="강조색6 2 3" xfId="1984"/>
    <cellStyle name="강조색6 2 4" xfId="1985"/>
    <cellStyle name="강조색6 2 5" xfId="1986"/>
    <cellStyle name="강조색6 2 6" xfId="1987"/>
    <cellStyle name="강조색6 2 7" xfId="1988"/>
    <cellStyle name="강조색6 2 8" xfId="1989"/>
    <cellStyle name="강조색6 2 9" xfId="1990"/>
    <cellStyle name="강조색6 20" xfId="1991"/>
    <cellStyle name="강조색6 20 2" xfId="1992"/>
    <cellStyle name="강조색6 21" xfId="1993"/>
    <cellStyle name="강조색6 21 2" xfId="1994"/>
    <cellStyle name="강조색6 22" xfId="1995"/>
    <cellStyle name="강조색6 22 2" xfId="1996"/>
    <cellStyle name="강조색6 23" xfId="1997"/>
    <cellStyle name="강조색6 23 2" xfId="1998"/>
    <cellStyle name="강조색6 24" xfId="1999"/>
    <cellStyle name="강조색6 24 2" xfId="2000"/>
    <cellStyle name="강조색6 25" xfId="2001"/>
    <cellStyle name="강조색6 25 2" xfId="2002"/>
    <cellStyle name="강조색6 26" xfId="2003"/>
    <cellStyle name="강조색6 26 2" xfId="2004"/>
    <cellStyle name="강조색6 27" xfId="2005"/>
    <cellStyle name="강조색6 27 2" xfId="2006"/>
    <cellStyle name="강조색6 28" xfId="2007"/>
    <cellStyle name="강조색6 28 2" xfId="2008"/>
    <cellStyle name="강조색6 29" xfId="2009"/>
    <cellStyle name="강조색6 29 2" xfId="2010"/>
    <cellStyle name="강조색6 3" xfId="2011"/>
    <cellStyle name="강조색6 3 2" xfId="2012"/>
    <cellStyle name="강조색6 30" xfId="2013"/>
    <cellStyle name="강조색6 30 2" xfId="2014"/>
    <cellStyle name="강조색6 31" xfId="2015"/>
    <cellStyle name="강조색6 31 2" xfId="2016"/>
    <cellStyle name="강조색6 32" xfId="2017"/>
    <cellStyle name="강조색6 32 2" xfId="2018"/>
    <cellStyle name="강조색6 33" xfId="2019"/>
    <cellStyle name="강조색6 33 2" xfId="2020"/>
    <cellStyle name="강조색6 34" xfId="2021"/>
    <cellStyle name="강조색6 34 2" xfId="2022"/>
    <cellStyle name="강조색6 35" xfId="2023"/>
    <cellStyle name="강조색6 35 2" xfId="2024"/>
    <cellStyle name="강조색6 36" xfId="2025"/>
    <cellStyle name="강조색6 36 2" xfId="2026"/>
    <cellStyle name="강조색6 37" xfId="2027"/>
    <cellStyle name="강조색6 37 2" xfId="2028"/>
    <cellStyle name="강조색6 4" xfId="2029"/>
    <cellStyle name="강조색6 4 2" xfId="2030"/>
    <cellStyle name="강조색6 5" xfId="2031"/>
    <cellStyle name="강조색6 5 2" xfId="2032"/>
    <cellStyle name="강조색6 6" xfId="2033"/>
    <cellStyle name="강조색6 6 2" xfId="2034"/>
    <cellStyle name="강조색6 7" xfId="2035"/>
    <cellStyle name="강조색6 7 2" xfId="2036"/>
    <cellStyle name="강조색6 8" xfId="2037"/>
    <cellStyle name="강조색6 8 2" xfId="2038"/>
    <cellStyle name="강조색6 9" xfId="2039"/>
    <cellStyle name="강조색6 9 2" xfId="2040"/>
    <cellStyle name="경고문 10" xfId="2041"/>
    <cellStyle name="경고문 10 2" xfId="2042"/>
    <cellStyle name="경고문 11" xfId="2043"/>
    <cellStyle name="경고문 11 2" xfId="2044"/>
    <cellStyle name="경고문 12" xfId="2045"/>
    <cellStyle name="경고문 12 2" xfId="2046"/>
    <cellStyle name="경고문 13" xfId="2047"/>
    <cellStyle name="경고문 13 2" xfId="2048"/>
    <cellStyle name="경고문 14" xfId="2049"/>
    <cellStyle name="경고문 14 2" xfId="2050"/>
    <cellStyle name="경고문 15" xfId="2051"/>
    <cellStyle name="경고문 15 2" xfId="2052"/>
    <cellStyle name="경고문 16" xfId="2053"/>
    <cellStyle name="경고문 16 2" xfId="2054"/>
    <cellStyle name="경고문 17" xfId="2055"/>
    <cellStyle name="경고문 17 2" xfId="2056"/>
    <cellStyle name="경고문 18" xfId="2057"/>
    <cellStyle name="경고문 18 2" xfId="2058"/>
    <cellStyle name="경고문 19" xfId="2059"/>
    <cellStyle name="경고문 19 2" xfId="2060"/>
    <cellStyle name="경고문 2" xfId="2061"/>
    <cellStyle name="경고문 2 10" xfId="2062"/>
    <cellStyle name="경고문 2 11" xfId="2063"/>
    <cellStyle name="경고문 2 12" xfId="2064"/>
    <cellStyle name="경고문 2 13" xfId="2065"/>
    <cellStyle name="경고문 2 14" xfId="2066"/>
    <cellStyle name="경고문 2 15" xfId="2067"/>
    <cellStyle name="경고문 2 2" xfId="2068"/>
    <cellStyle name="경고문 2 3" xfId="2069"/>
    <cellStyle name="경고문 2 4" xfId="2070"/>
    <cellStyle name="경고문 2 5" xfId="2071"/>
    <cellStyle name="경고문 2 6" xfId="2072"/>
    <cellStyle name="경고문 2 7" xfId="2073"/>
    <cellStyle name="경고문 2 8" xfId="2074"/>
    <cellStyle name="경고문 2 9" xfId="2075"/>
    <cellStyle name="경고문 20" xfId="2076"/>
    <cellStyle name="경고문 20 2" xfId="2077"/>
    <cellStyle name="경고문 21" xfId="2078"/>
    <cellStyle name="경고문 21 2" xfId="2079"/>
    <cellStyle name="경고문 22" xfId="2080"/>
    <cellStyle name="경고문 22 2" xfId="2081"/>
    <cellStyle name="경고문 23" xfId="2082"/>
    <cellStyle name="경고문 23 2" xfId="2083"/>
    <cellStyle name="경고문 24" xfId="2084"/>
    <cellStyle name="경고문 24 2" xfId="2085"/>
    <cellStyle name="경고문 25" xfId="2086"/>
    <cellStyle name="경고문 25 2" xfId="2087"/>
    <cellStyle name="경고문 26" xfId="2088"/>
    <cellStyle name="경고문 26 2" xfId="2089"/>
    <cellStyle name="경고문 27" xfId="2090"/>
    <cellStyle name="경고문 27 2" xfId="2091"/>
    <cellStyle name="경고문 28" xfId="2092"/>
    <cellStyle name="경고문 28 2" xfId="2093"/>
    <cellStyle name="경고문 29" xfId="2094"/>
    <cellStyle name="경고문 29 2" xfId="2095"/>
    <cellStyle name="경고문 3" xfId="2096"/>
    <cellStyle name="경고문 3 2" xfId="2097"/>
    <cellStyle name="경고문 30" xfId="2098"/>
    <cellStyle name="경고문 30 2" xfId="2099"/>
    <cellStyle name="경고문 31" xfId="2100"/>
    <cellStyle name="경고문 31 2" xfId="2101"/>
    <cellStyle name="경고문 32" xfId="2102"/>
    <cellStyle name="경고문 32 2" xfId="2103"/>
    <cellStyle name="경고문 33" xfId="2104"/>
    <cellStyle name="경고문 33 2" xfId="2105"/>
    <cellStyle name="경고문 34" xfId="2106"/>
    <cellStyle name="경고문 34 2" xfId="2107"/>
    <cellStyle name="경고문 35" xfId="2108"/>
    <cellStyle name="경고문 35 2" xfId="2109"/>
    <cellStyle name="경고문 36" xfId="2110"/>
    <cellStyle name="경고문 36 2" xfId="2111"/>
    <cellStyle name="경고문 37" xfId="2112"/>
    <cellStyle name="경고문 37 2" xfId="2113"/>
    <cellStyle name="경고문 4" xfId="2114"/>
    <cellStyle name="경고문 4 2" xfId="2115"/>
    <cellStyle name="경고문 5" xfId="2116"/>
    <cellStyle name="경고문 5 2" xfId="2117"/>
    <cellStyle name="경고문 6" xfId="2118"/>
    <cellStyle name="경고문 6 2" xfId="2119"/>
    <cellStyle name="경고문 7" xfId="2120"/>
    <cellStyle name="경고문 7 2" xfId="2121"/>
    <cellStyle name="경고문 8" xfId="2122"/>
    <cellStyle name="경고문 8 2" xfId="2123"/>
    <cellStyle name="경고문 9" xfId="2124"/>
    <cellStyle name="경고문 9 2" xfId="2125"/>
    <cellStyle name="계산 10" xfId="2126"/>
    <cellStyle name="계산 10 2" xfId="2127"/>
    <cellStyle name="계산 11" xfId="2128"/>
    <cellStyle name="계산 11 2" xfId="2129"/>
    <cellStyle name="계산 12" xfId="2130"/>
    <cellStyle name="계산 12 2" xfId="2131"/>
    <cellStyle name="계산 13" xfId="2132"/>
    <cellStyle name="계산 13 2" xfId="2133"/>
    <cellStyle name="계산 14" xfId="2134"/>
    <cellStyle name="계산 14 2" xfId="2135"/>
    <cellStyle name="계산 15" xfId="2136"/>
    <cellStyle name="계산 15 2" xfId="2137"/>
    <cellStyle name="계산 16" xfId="2138"/>
    <cellStyle name="계산 16 2" xfId="2139"/>
    <cellStyle name="계산 17" xfId="2140"/>
    <cellStyle name="계산 17 2" xfId="2141"/>
    <cellStyle name="계산 18" xfId="2142"/>
    <cellStyle name="계산 18 2" xfId="2143"/>
    <cellStyle name="계산 19" xfId="2144"/>
    <cellStyle name="계산 19 2" xfId="2145"/>
    <cellStyle name="계산 2" xfId="2146"/>
    <cellStyle name="계산 2 10" xfId="2147"/>
    <cellStyle name="계산 2 11" xfId="2148"/>
    <cellStyle name="계산 2 12" xfId="2149"/>
    <cellStyle name="계산 2 13" xfId="2150"/>
    <cellStyle name="계산 2 14" xfId="2151"/>
    <cellStyle name="계산 2 15" xfId="2152"/>
    <cellStyle name="계산 2 2" xfId="2153"/>
    <cellStyle name="계산 2 3" xfId="2154"/>
    <cellStyle name="계산 2 4" xfId="2155"/>
    <cellStyle name="계산 2 5" xfId="2156"/>
    <cellStyle name="계산 2 6" xfId="2157"/>
    <cellStyle name="계산 2 7" xfId="2158"/>
    <cellStyle name="계산 2 8" xfId="2159"/>
    <cellStyle name="계산 2 9" xfId="2160"/>
    <cellStyle name="계산 20" xfId="2161"/>
    <cellStyle name="계산 20 2" xfId="2162"/>
    <cellStyle name="계산 21" xfId="2163"/>
    <cellStyle name="계산 21 2" xfId="2164"/>
    <cellStyle name="계산 22" xfId="2165"/>
    <cellStyle name="계산 22 2" xfId="2166"/>
    <cellStyle name="계산 23" xfId="2167"/>
    <cellStyle name="계산 23 2" xfId="2168"/>
    <cellStyle name="계산 24" xfId="2169"/>
    <cellStyle name="계산 24 2" xfId="2170"/>
    <cellStyle name="계산 25" xfId="2171"/>
    <cellStyle name="계산 25 2" xfId="2172"/>
    <cellStyle name="계산 26" xfId="2173"/>
    <cellStyle name="계산 26 2" xfId="2174"/>
    <cellStyle name="계산 27" xfId="2175"/>
    <cellStyle name="계산 27 2" xfId="2176"/>
    <cellStyle name="계산 28" xfId="2177"/>
    <cellStyle name="계산 28 2" xfId="2178"/>
    <cellStyle name="계산 29" xfId="2179"/>
    <cellStyle name="계산 29 2" xfId="2180"/>
    <cellStyle name="계산 3" xfId="2181"/>
    <cellStyle name="계산 3 2" xfId="2182"/>
    <cellStyle name="계산 30" xfId="2183"/>
    <cellStyle name="계산 30 2" xfId="2184"/>
    <cellStyle name="계산 31" xfId="2185"/>
    <cellStyle name="계산 31 2" xfId="2186"/>
    <cellStyle name="계산 32" xfId="2187"/>
    <cellStyle name="계산 32 2" xfId="2188"/>
    <cellStyle name="계산 33" xfId="2189"/>
    <cellStyle name="계산 33 2" xfId="2190"/>
    <cellStyle name="계산 34" xfId="2191"/>
    <cellStyle name="계산 34 2" xfId="2192"/>
    <cellStyle name="계산 35" xfId="2193"/>
    <cellStyle name="계산 35 2" xfId="2194"/>
    <cellStyle name="계산 36" xfId="2195"/>
    <cellStyle name="계산 36 2" xfId="2196"/>
    <cellStyle name="계산 37" xfId="2197"/>
    <cellStyle name="계산 37 2" xfId="2198"/>
    <cellStyle name="계산 4" xfId="2199"/>
    <cellStyle name="계산 4 2" xfId="2200"/>
    <cellStyle name="계산 5" xfId="2201"/>
    <cellStyle name="계산 5 2" xfId="2202"/>
    <cellStyle name="계산 6" xfId="2203"/>
    <cellStyle name="계산 6 2" xfId="2204"/>
    <cellStyle name="계산 7" xfId="2205"/>
    <cellStyle name="계산 7 2" xfId="2206"/>
    <cellStyle name="계산 8" xfId="2207"/>
    <cellStyle name="계산 8 2" xfId="2208"/>
    <cellStyle name="계산 9" xfId="2209"/>
    <cellStyle name="계산 9 2" xfId="2210"/>
    <cellStyle name="나쁨 10" xfId="2211"/>
    <cellStyle name="나쁨 10 2" xfId="2212"/>
    <cellStyle name="나쁨 11" xfId="2213"/>
    <cellStyle name="나쁨 11 2" xfId="2214"/>
    <cellStyle name="나쁨 12" xfId="2215"/>
    <cellStyle name="나쁨 12 2" xfId="2216"/>
    <cellStyle name="나쁨 13" xfId="2217"/>
    <cellStyle name="나쁨 13 2" xfId="2218"/>
    <cellStyle name="나쁨 14" xfId="2219"/>
    <cellStyle name="나쁨 14 2" xfId="2220"/>
    <cellStyle name="나쁨 15" xfId="2221"/>
    <cellStyle name="나쁨 15 2" xfId="2222"/>
    <cellStyle name="나쁨 16" xfId="2223"/>
    <cellStyle name="나쁨 16 2" xfId="2224"/>
    <cellStyle name="나쁨 17" xfId="2225"/>
    <cellStyle name="나쁨 17 2" xfId="2226"/>
    <cellStyle name="나쁨 18" xfId="2227"/>
    <cellStyle name="나쁨 18 2" xfId="2228"/>
    <cellStyle name="나쁨 19" xfId="2229"/>
    <cellStyle name="나쁨 19 2" xfId="2230"/>
    <cellStyle name="나쁨 2" xfId="2231"/>
    <cellStyle name="나쁨 2 10" xfId="2232"/>
    <cellStyle name="나쁨 2 11" xfId="2233"/>
    <cellStyle name="나쁨 2 12" xfId="2234"/>
    <cellStyle name="나쁨 2 13" xfId="2235"/>
    <cellStyle name="나쁨 2 14" xfId="2236"/>
    <cellStyle name="나쁨 2 15" xfId="2237"/>
    <cellStyle name="나쁨 2 2" xfId="2238"/>
    <cellStyle name="나쁨 2 3" xfId="2239"/>
    <cellStyle name="나쁨 2 4" xfId="2240"/>
    <cellStyle name="나쁨 2 5" xfId="2241"/>
    <cellStyle name="나쁨 2 6" xfId="2242"/>
    <cellStyle name="나쁨 2 7" xfId="2243"/>
    <cellStyle name="나쁨 2 8" xfId="2244"/>
    <cellStyle name="나쁨 2 9" xfId="2245"/>
    <cellStyle name="나쁨 20" xfId="2246"/>
    <cellStyle name="나쁨 20 2" xfId="2247"/>
    <cellStyle name="나쁨 21" xfId="2248"/>
    <cellStyle name="나쁨 21 2" xfId="2249"/>
    <cellStyle name="나쁨 22" xfId="2250"/>
    <cellStyle name="나쁨 22 2" xfId="2251"/>
    <cellStyle name="나쁨 23" xfId="2252"/>
    <cellStyle name="나쁨 23 2" xfId="2253"/>
    <cellStyle name="나쁨 24" xfId="2254"/>
    <cellStyle name="나쁨 24 2" xfId="2255"/>
    <cellStyle name="나쁨 25" xfId="2256"/>
    <cellStyle name="나쁨 25 2" xfId="2257"/>
    <cellStyle name="나쁨 26" xfId="2258"/>
    <cellStyle name="나쁨 26 2" xfId="2259"/>
    <cellStyle name="나쁨 27" xfId="2260"/>
    <cellStyle name="나쁨 27 2" xfId="2261"/>
    <cellStyle name="나쁨 28" xfId="2262"/>
    <cellStyle name="나쁨 28 2" xfId="2263"/>
    <cellStyle name="나쁨 29" xfId="2264"/>
    <cellStyle name="나쁨 29 2" xfId="2265"/>
    <cellStyle name="나쁨 3" xfId="2266"/>
    <cellStyle name="나쁨 3 2" xfId="2267"/>
    <cellStyle name="나쁨 30" xfId="2268"/>
    <cellStyle name="나쁨 30 2" xfId="2269"/>
    <cellStyle name="나쁨 31" xfId="2270"/>
    <cellStyle name="나쁨 31 2" xfId="2271"/>
    <cellStyle name="나쁨 32" xfId="2272"/>
    <cellStyle name="나쁨 32 2" xfId="2273"/>
    <cellStyle name="나쁨 33" xfId="2274"/>
    <cellStyle name="나쁨 33 2" xfId="2275"/>
    <cellStyle name="나쁨 34" xfId="2276"/>
    <cellStyle name="나쁨 34 2" xfId="2277"/>
    <cellStyle name="나쁨 35" xfId="2278"/>
    <cellStyle name="나쁨 35 2" xfId="2279"/>
    <cellStyle name="나쁨 36" xfId="2280"/>
    <cellStyle name="나쁨 36 2" xfId="2281"/>
    <cellStyle name="나쁨 37" xfId="2282"/>
    <cellStyle name="나쁨 37 2" xfId="2283"/>
    <cellStyle name="나쁨 4" xfId="2284"/>
    <cellStyle name="나쁨 4 2" xfId="2285"/>
    <cellStyle name="나쁨 5" xfId="2286"/>
    <cellStyle name="나쁨 5 2" xfId="2287"/>
    <cellStyle name="나쁨 6" xfId="2288"/>
    <cellStyle name="나쁨 6 2" xfId="2289"/>
    <cellStyle name="나쁨 7" xfId="2290"/>
    <cellStyle name="나쁨 7 2" xfId="2291"/>
    <cellStyle name="나쁨 8" xfId="2292"/>
    <cellStyle name="나쁨 8 2" xfId="2293"/>
    <cellStyle name="나쁨 9" xfId="2294"/>
    <cellStyle name="나쁨 9 2" xfId="2295"/>
    <cellStyle name="메모 10" xfId="2296"/>
    <cellStyle name="메모 10 2" xfId="2297"/>
    <cellStyle name="메모 11" xfId="2298"/>
    <cellStyle name="메모 11 2" xfId="2299"/>
    <cellStyle name="메모 12" xfId="2300"/>
    <cellStyle name="메모 12 2" xfId="2301"/>
    <cellStyle name="메모 13" xfId="2302"/>
    <cellStyle name="메모 13 2" xfId="2303"/>
    <cellStyle name="메모 14" xfId="2304"/>
    <cellStyle name="메모 14 2" xfId="2305"/>
    <cellStyle name="메모 15" xfId="2306"/>
    <cellStyle name="메모 15 2" xfId="2307"/>
    <cellStyle name="메모 16" xfId="2308"/>
    <cellStyle name="메모 16 2" xfId="2309"/>
    <cellStyle name="메모 17" xfId="2310"/>
    <cellStyle name="메모 17 2" xfId="2311"/>
    <cellStyle name="메모 18" xfId="2312"/>
    <cellStyle name="메모 18 2" xfId="2313"/>
    <cellStyle name="메모 19" xfId="2314"/>
    <cellStyle name="메모 19 2" xfId="2315"/>
    <cellStyle name="메모 2" xfId="2316"/>
    <cellStyle name="메모 2 10" xfId="2317"/>
    <cellStyle name="메모 2 11" xfId="2318"/>
    <cellStyle name="메모 2 12" xfId="2319"/>
    <cellStyle name="메모 2 13" xfId="2320"/>
    <cellStyle name="메모 2 14" xfId="2321"/>
    <cellStyle name="메모 2 15" xfId="2322"/>
    <cellStyle name="메모 2 2" xfId="2323"/>
    <cellStyle name="메모 2 3" xfId="2324"/>
    <cellStyle name="메모 2 4" xfId="2325"/>
    <cellStyle name="메모 2 5" xfId="2326"/>
    <cellStyle name="메모 2 6" xfId="2327"/>
    <cellStyle name="메모 2 7" xfId="2328"/>
    <cellStyle name="메모 2 8" xfId="2329"/>
    <cellStyle name="메모 2 9" xfId="2330"/>
    <cellStyle name="메모 20" xfId="2331"/>
    <cellStyle name="메모 20 2" xfId="2332"/>
    <cellStyle name="메모 21" xfId="2333"/>
    <cellStyle name="메모 21 2" xfId="2334"/>
    <cellStyle name="메모 22" xfId="2335"/>
    <cellStyle name="메모 22 2" xfId="2336"/>
    <cellStyle name="메모 23" xfId="2337"/>
    <cellStyle name="메모 23 2" xfId="2338"/>
    <cellStyle name="메모 24" xfId="2339"/>
    <cellStyle name="메모 24 2" xfId="2340"/>
    <cellStyle name="메모 25" xfId="2341"/>
    <cellStyle name="메모 25 2" xfId="2342"/>
    <cellStyle name="메모 26" xfId="2343"/>
    <cellStyle name="메모 26 2" xfId="2344"/>
    <cellStyle name="메모 27" xfId="2345"/>
    <cellStyle name="메모 27 2" xfId="2346"/>
    <cellStyle name="메모 28" xfId="2347"/>
    <cellStyle name="메모 28 2" xfId="2348"/>
    <cellStyle name="메모 29" xfId="2349"/>
    <cellStyle name="메모 29 2" xfId="2350"/>
    <cellStyle name="메모 3" xfId="2351"/>
    <cellStyle name="메모 3 2" xfId="2352"/>
    <cellStyle name="메모 30" xfId="2353"/>
    <cellStyle name="메모 30 2" xfId="2354"/>
    <cellStyle name="메모 31" xfId="2355"/>
    <cellStyle name="메모 31 2" xfId="2356"/>
    <cellStyle name="메모 32" xfId="2357"/>
    <cellStyle name="메모 32 2" xfId="2358"/>
    <cellStyle name="메모 33" xfId="2359"/>
    <cellStyle name="메모 33 2" xfId="2360"/>
    <cellStyle name="메모 34" xfId="2361"/>
    <cellStyle name="메모 34 2" xfId="2362"/>
    <cellStyle name="메모 35" xfId="2363"/>
    <cellStyle name="메모 35 2" xfId="2364"/>
    <cellStyle name="메모 36" xfId="2365"/>
    <cellStyle name="메모 36 2" xfId="2366"/>
    <cellStyle name="메모 37" xfId="2367"/>
    <cellStyle name="메모 37 2" xfId="2368"/>
    <cellStyle name="메모 4" xfId="2369"/>
    <cellStyle name="메모 4 2" xfId="2370"/>
    <cellStyle name="메모 5" xfId="2371"/>
    <cellStyle name="메모 5 2" xfId="2372"/>
    <cellStyle name="메모 6" xfId="2373"/>
    <cellStyle name="메모 6 2" xfId="2374"/>
    <cellStyle name="메모 7" xfId="2375"/>
    <cellStyle name="메모 7 2" xfId="2376"/>
    <cellStyle name="메모 8" xfId="2377"/>
    <cellStyle name="메모 8 2" xfId="2378"/>
    <cellStyle name="메모 9" xfId="2379"/>
    <cellStyle name="메모 9 2" xfId="2380"/>
    <cellStyle name="보통 10" xfId="2381"/>
    <cellStyle name="보통 10 2" xfId="2382"/>
    <cellStyle name="보통 11" xfId="2383"/>
    <cellStyle name="보통 11 2" xfId="2384"/>
    <cellStyle name="보통 12" xfId="2385"/>
    <cellStyle name="보통 12 2" xfId="2386"/>
    <cellStyle name="보통 13" xfId="2387"/>
    <cellStyle name="보통 13 2" xfId="2388"/>
    <cellStyle name="보통 14" xfId="2389"/>
    <cellStyle name="보통 14 2" xfId="2390"/>
    <cellStyle name="보통 15" xfId="2391"/>
    <cellStyle name="보통 15 2" xfId="2392"/>
    <cellStyle name="보통 16" xfId="2393"/>
    <cellStyle name="보통 16 2" xfId="2394"/>
    <cellStyle name="보통 17" xfId="2395"/>
    <cellStyle name="보통 17 2" xfId="2396"/>
    <cellStyle name="보통 18" xfId="2397"/>
    <cellStyle name="보통 18 2" xfId="2398"/>
    <cellStyle name="보통 19" xfId="2399"/>
    <cellStyle name="보통 19 2" xfId="2400"/>
    <cellStyle name="보통 2" xfId="2401"/>
    <cellStyle name="보통 2 10" xfId="2402"/>
    <cellStyle name="보통 2 11" xfId="2403"/>
    <cellStyle name="보통 2 12" xfId="2404"/>
    <cellStyle name="보통 2 13" xfId="2405"/>
    <cellStyle name="보통 2 14" xfId="2406"/>
    <cellStyle name="보통 2 15" xfId="2407"/>
    <cellStyle name="보통 2 2" xfId="2408"/>
    <cellStyle name="보통 2 3" xfId="2409"/>
    <cellStyle name="보통 2 4" xfId="2410"/>
    <cellStyle name="보통 2 5" xfId="2411"/>
    <cellStyle name="보통 2 6" xfId="2412"/>
    <cellStyle name="보통 2 7" xfId="2413"/>
    <cellStyle name="보통 2 8" xfId="2414"/>
    <cellStyle name="보통 2 9" xfId="2415"/>
    <cellStyle name="보통 20" xfId="2416"/>
    <cellStyle name="보통 20 2" xfId="2417"/>
    <cellStyle name="보통 21" xfId="2418"/>
    <cellStyle name="보통 21 2" xfId="2419"/>
    <cellStyle name="보통 22" xfId="2420"/>
    <cellStyle name="보통 22 2" xfId="2421"/>
    <cellStyle name="보통 23" xfId="2422"/>
    <cellStyle name="보통 23 2" xfId="2423"/>
    <cellStyle name="보통 24" xfId="2424"/>
    <cellStyle name="보통 24 2" xfId="2425"/>
    <cellStyle name="보통 25" xfId="2426"/>
    <cellStyle name="보통 25 2" xfId="2427"/>
    <cellStyle name="보통 26" xfId="2428"/>
    <cellStyle name="보통 26 2" xfId="2429"/>
    <cellStyle name="보통 27" xfId="2430"/>
    <cellStyle name="보통 27 2" xfId="2431"/>
    <cellStyle name="보통 28" xfId="2432"/>
    <cellStyle name="보통 28 2" xfId="2433"/>
    <cellStyle name="보통 29" xfId="2434"/>
    <cellStyle name="보통 29 2" xfId="2435"/>
    <cellStyle name="보통 3" xfId="2436"/>
    <cellStyle name="보통 3 2" xfId="2437"/>
    <cellStyle name="보통 30" xfId="2438"/>
    <cellStyle name="보통 30 2" xfId="2439"/>
    <cellStyle name="보통 31" xfId="2440"/>
    <cellStyle name="보통 31 2" xfId="2441"/>
    <cellStyle name="보통 32" xfId="2442"/>
    <cellStyle name="보통 32 2" xfId="2443"/>
    <cellStyle name="보통 33" xfId="2444"/>
    <cellStyle name="보통 33 2" xfId="2445"/>
    <cellStyle name="보통 34" xfId="2446"/>
    <cellStyle name="보통 34 2" xfId="2447"/>
    <cellStyle name="보통 35" xfId="2448"/>
    <cellStyle name="보통 35 2" xfId="2449"/>
    <cellStyle name="보통 36" xfId="2450"/>
    <cellStyle name="보통 36 2" xfId="2451"/>
    <cellStyle name="보통 37" xfId="2452"/>
    <cellStyle name="보통 37 2" xfId="2453"/>
    <cellStyle name="보통 4" xfId="2454"/>
    <cellStyle name="보통 4 2" xfId="2455"/>
    <cellStyle name="보통 5" xfId="2456"/>
    <cellStyle name="보통 5 2" xfId="2457"/>
    <cellStyle name="보통 6" xfId="2458"/>
    <cellStyle name="보통 6 2" xfId="2459"/>
    <cellStyle name="보통 7" xfId="2460"/>
    <cellStyle name="보통 7 2" xfId="2461"/>
    <cellStyle name="보통 8" xfId="2462"/>
    <cellStyle name="보통 8 2" xfId="2463"/>
    <cellStyle name="보통 9" xfId="2464"/>
    <cellStyle name="보통 9 2" xfId="2465"/>
    <cellStyle name="설명 텍스트 10" xfId="2466"/>
    <cellStyle name="설명 텍스트 10 2" xfId="2467"/>
    <cellStyle name="설명 텍스트 11" xfId="2468"/>
    <cellStyle name="설명 텍스트 11 2" xfId="2469"/>
    <cellStyle name="설명 텍스트 12" xfId="2470"/>
    <cellStyle name="설명 텍스트 12 2" xfId="2471"/>
    <cellStyle name="설명 텍스트 13" xfId="2472"/>
    <cellStyle name="설명 텍스트 13 2" xfId="2473"/>
    <cellStyle name="설명 텍스트 14" xfId="2474"/>
    <cellStyle name="설명 텍스트 14 2" xfId="2475"/>
    <cellStyle name="설명 텍스트 15" xfId="2476"/>
    <cellStyle name="설명 텍스트 15 2" xfId="2477"/>
    <cellStyle name="설명 텍스트 16" xfId="2478"/>
    <cellStyle name="설명 텍스트 16 2" xfId="2479"/>
    <cellStyle name="설명 텍스트 17" xfId="2480"/>
    <cellStyle name="설명 텍스트 17 2" xfId="2481"/>
    <cellStyle name="설명 텍스트 18" xfId="2482"/>
    <cellStyle name="설명 텍스트 18 2" xfId="2483"/>
    <cellStyle name="설명 텍스트 19" xfId="2484"/>
    <cellStyle name="설명 텍스트 19 2" xfId="2485"/>
    <cellStyle name="설명 텍스트 2" xfId="2486"/>
    <cellStyle name="설명 텍스트 2 10" xfId="2487"/>
    <cellStyle name="설명 텍스트 2 11" xfId="2488"/>
    <cellStyle name="설명 텍스트 2 12" xfId="2489"/>
    <cellStyle name="설명 텍스트 2 13" xfId="2490"/>
    <cellStyle name="설명 텍스트 2 14" xfId="2491"/>
    <cellStyle name="설명 텍스트 2 15" xfId="2492"/>
    <cellStyle name="설명 텍스트 2 2" xfId="2493"/>
    <cellStyle name="설명 텍스트 2 3" xfId="2494"/>
    <cellStyle name="설명 텍스트 2 4" xfId="2495"/>
    <cellStyle name="설명 텍스트 2 5" xfId="2496"/>
    <cellStyle name="설명 텍스트 2 6" xfId="2497"/>
    <cellStyle name="설명 텍스트 2 7" xfId="2498"/>
    <cellStyle name="설명 텍스트 2 8" xfId="2499"/>
    <cellStyle name="설명 텍스트 2 9" xfId="2500"/>
    <cellStyle name="설명 텍스트 20" xfId="2501"/>
    <cellStyle name="설명 텍스트 20 2" xfId="2502"/>
    <cellStyle name="설명 텍스트 21" xfId="2503"/>
    <cellStyle name="설명 텍스트 21 2" xfId="2504"/>
    <cellStyle name="설명 텍스트 22" xfId="2505"/>
    <cellStyle name="설명 텍스트 22 2" xfId="2506"/>
    <cellStyle name="설명 텍스트 23" xfId="2507"/>
    <cellStyle name="설명 텍스트 23 2" xfId="2508"/>
    <cellStyle name="설명 텍스트 24" xfId="2509"/>
    <cellStyle name="설명 텍스트 24 2" xfId="2510"/>
    <cellStyle name="설명 텍스트 25" xfId="2511"/>
    <cellStyle name="설명 텍스트 25 2" xfId="2512"/>
    <cellStyle name="설명 텍스트 26" xfId="2513"/>
    <cellStyle name="설명 텍스트 26 2" xfId="2514"/>
    <cellStyle name="설명 텍스트 27" xfId="2515"/>
    <cellStyle name="설명 텍스트 27 2" xfId="2516"/>
    <cellStyle name="설명 텍스트 28" xfId="2517"/>
    <cellStyle name="설명 텍스트 28 2" xfId="2518"/>
    <cellStyle name="설명 텍스트 29" xfId="2519"/>
    <cellStyle name="설명 텍스트 29 2" xfId="2520"/>
    <cellStyle name="설명 텍스트 3" xfId="2521"/>
    <cellStyle name="설명 텍스트 3 2" xfId="2522"/>
    <cellStyle name="설명 텍스트 30" xfId="2523"/>
    <cellStyle name="설명 텍스트 30 2" xfId="2524"/>
    <cellStyle name="설명 텍스트 31" xfId="2525"/>
    <cellStyle name="설명 텍스트 31 2" xfId="2526"/>
    <cellStyle name="설명 텍스트 32" xfId="2527"/>
    <cellStyle name="설명 텍스트 32 2" xfId="2528"/>
    <cellStyle name="설명 텍스트 33" xfId="2529"/>
    <cellStyle name="설명 텍스트 33 2" xfId="2530"/>
    <cellStyle name="설명 텍스트 34" xfId="2531"/>
    <cellStyle name="설명 텍스트 34 2" xfId="2532"/>
    <cellStyle name="설명 텍스트 35" xfId="2533"/>
    <cellStyle name="설명 텍스트 35 2" xfId="2534"/>
    <cellStyle name="설명 텍스트 36" xfId="2535"/>
    <cellStyle name="설명 텍스트 36 2" xfId="2536"/>
    <cellStyle name="설명 텍스트 37" xfId="2537"/>
    <cellStyle name="설명 텍스트 37 2" xfId="2538"/>
    <cellStyle name="설명 텍스트 4" xfId="2539"/>
    <cellStyle name="설명 텍스트 4 2" xfId="2540"/>
    <cellStyle name="설명 텍스트 5" xfId="2541"/>
    <cellStyle name="설명 텍스트 5 2" xfId="2542"/>
    <cellStyle name="설명 텍스트 6" xfId="2543"/>
    <cellStyle name="설명 텍스트 6 2" xfId="2544"/>
    <cellStyle name="설명 텍스트 7" xfId="2545"/>
    <cellStyle name="설명 텍스트 7 2" xfId="2546"/>
    <cellStyle name="설명 텍스트 8" xfId="2547"/>
    <cellStyle name="설명 텍스트 8 2" xfId="2548"/>
    <cellStyle name="설명 텍스트 9" xfId="2549"/>
    <cellStyle name="설명 텍스트 9 2" xfId="2550"/>
    <cellStyle name="셀 확인 10" xfId="2551"/>
    <cellStyle name="셀 확인 10 2" xfId="2552"/>
    <cellStyle name="셀 확인 11" xfId="2553"/>
    <cellStyle name="셀 확인 11 2" xfId="2554"/>
    <cellStyle name="셀 확인 12" xfId="2555"/>
    <cellStyle name="셀 확인 12 2" xfId="2556"/>
    <cellStyle name="셀 확인 13" xfId="2557"/>
    <cellStyle name="셀 확인 13 2" xfId="2558"/>
    <cellStyle name="셀 확인 14" xfId="2559"/>
    <cellStyle name="셀 확인 14 2" xfId="2560"/>
    <cellStyle name="셀 확인 15" xfId="2561"/>
    <cellStyle name="셀 확인 15 2" xfId="2562"/>
    <cellStyle name="셀 확인 16" xfId="2563"/>
    <cellStyle name="셀 확인 16 2" xfId="2564"/>
    <cellStyle name="셀 확인 17" xfId="2565"/>
    <cellStyle name="셀 확인 17 2" xfId="2566"/>
    <cellStyle name="셀 확인 18" xfId="2567"/>
    <cellStyle name="셀 확인 18 2" xfId="2568"/>
    <cellStyle name="셀 확인 19" xfId="2569"/>
    <cellStyle name="셀 확인 19 2" xfId="2570"/>
    <cellStyle name="셀 확인 2" xfId="2571"/>
    <cellStyle name="셀 확인 2 10" xfId="2572"/>
    <cellStyle name="셀 확인 2 11" xfId="2573"/>
    <cellStyle name="셀 확인 2 12" xfId="2574"/>
    <cellStyle name="셀 확인 2 13" xfId="2575"/>
    <cellStyle name="셀 확인 2 14" xfId="2576"/>
    <cellStyle name="셀 확인 2 15" xfId="2577"/>
    <cellStyle name="셀 확인 2 2" xfId="2578"/>
    <cellStyle name="셀 확인 2 3" xfId="2579"/>
    <cellStyle name="셀 확인 2 4" xfId="2580"/>
    <cellStyle name="셀 확인 2 5" xfId="2581"/>
    <cellStyle name="셀 확인 2 6" xfId="2582"/>
    <cellStyle name="셀 확인 2 7" xfId="2583"/>
    <cellStyle name="셀 확인 2 8" xfId="2584"/>
    <cellStyle name="셀 확인 2 9" xfId="2585"/>
    <cellStyle name="셀 확인 20" xfId="2586"/>
    <cellStyle name="셀 확인 20 2" xfId="2587"/>
    <cellStyle name="셀 확인 21" xfId="2588"/>
    <cellStyle name="셀 확인 21 2" xfId="2589"/>
    <cellStyle name="셀 확인 22" xfId="2590"/>
    <cellStyle name="셀 확인 22 2" xfId="2591"/>
    <cellStyle name="셀 확인 23" xfId="2592"/>
    <cellStyle name="셀 확인 23 2" xfId="2593"/>
    <cellStyle name="셀 확인 24" xfId="2594"/>
    <cellStyle name="셀 확인 24 2" xfId="2595"/>
    <cellStyle name="셀 확인 25" xfId="2596"/>
    <cellStyle name="셀 확인 25 2" xfId="2597"/>
    <cellStyle name="셀 확인 26" xfId="2598"/>
    <cellStyle name="셀 확인 26 2" xfId="2599"/>
    <cellStyle name="셀 확인 27" xfId="2600"/>
    <cellStyle name="셀 확인 27 2" xfId="2601"/>
    <cellStyle name="셀 확인 28" xfId="2602"/>
    <cellStyle name="셀 확인 28 2" xfId="2603"/>
    <cellStyle name="셀 확인 29" xfId="2604"/>
    <cellStyle name="셀 확인 29 2" xfId="2605"/>
    <cellStyle name="셀 확인 3" xfId="2606"/>
    <cellStyle name="셀 확인 3 2" xfId="2607"/>
    <cellStyle name="셀 확인 30" xfId="2608"/>
    <cellStyle name="셀 확인 30 2" xfId="2609"/>
    <cellStyle name="셀 확인 31" xfId="2610"/>
    <cellStyle name="셀 확인 31 2" xfId="2611"/>
    <cellStyle name="셀 확인 32" xfId="2612"/>
    <cellStyle name="셀 확인 32 2" xfId="2613"/>
    <cellStyle name="셀 확인 33" xfId="2614"/>
    <cellStyle name="셀 확인 33 2" xfId="2615"/>
    <cellStyle name="셀 확인 34" xfId="2616"/>
    <cellStyle name="셀 확인 34 2" xfId="2617"/>
    <cellStyle name="셀 확인 35" xfId="2618"/>
    <cellStyle name="셀 확인 35 2" xfId="2619"/>
    <cellStyle name="셀 확인 36" xfId="2620"/>
    <cellStyle name="셀 확인 36 2" xfId="2621"/>
    <cellStyle name="셀 확인 37" xfId="2622"/>
    <cellStyle name="셀 확인 37 2" xfId="2623"/>
    <cellStyle name="셀 확인 4" xfId="2624"/>
    <cellStyle name="셀 확인 4 2" xfId="2625"/>
    <cellStyle name="셀 확인 5" xfId="2626"/>
    <cellStyle name="셀 확인 5 2" xfId="2627"/>
    <cellStyle name="셀 확인 6" xfId="2628"/>
    <cellStyle name="셀 확인 6 2" xfId="2629"/>
    <cellStyle name="셀 확인 7" xfId="2630"/>
    <cellStyle name="셀 확인 7 2" xfId="2631"/>
    <cellStyle name="셀 확인 8" xfId="2632"/>
    <cellStyle name="셀 확인 8 2" xfId="2633"/>
    <cellStyle name="셀 확인 9" xfId="2634"/>
    <cellStyle name="셀 확인 9 2" xfId="2635"/>
    <cellStyle name="쉼표 [0]" xfId="2636" builtinId="6"/>
    <cellStyle name="쉼표 [0] 11" xfId="3686"/>
    <cellStyle name="쉼표 [0] 2" xfId="2637"/>
    <cellStyle name="쉼표 [0] 2 2" xfId="2638"/>
    <cellStyle name="쉼표 [0] 2 2 10" xfId="2639"/>
    <cellStyle name="쉼표 [0] 2 2 11" xfId="2640"/>
    <cellStyle name="쉼표 [0] 2 2 12" xfId="2641"/>
    <cellStyle name="쉼표 [0] 2 2 2" xfId="2642"/>
    <cellStyle name="쉼표 [0] 2 2 3" xfId="2643"/>
    <cellStyle name="쉼표 [0] 2 2 4" xfId="2644"/>
    <cellStyle name="쉼표 [0] 2 2 5" xfId="2645"/>
    <cellStyle name="쉼표 [0] 2 2 6" xfId="2646"/>
    <cellStyle name="쉼표 [0] 2 2 7" xfId="2647"/>
    <cellStyle name="쉼표 [0] 2 2 8" xfId="2648"/>
    <cellStyle name="쉼표 [0] 2 2 9" xfId="2649"/>
    <cellStyle name="쉼표 [0] 2 3" xfId="2650"/>
    <cellStyle name="쉼표 [0] 3 10" xfId="2651"/>
    <cellStyle name="쉼표 [0] 3 11" xfId="2652"/>
    <cellStyle name="쉼표 [0] 3 12" xfId="2653"/>
    <cellStyle name="쉼표 [0] 3 13" xfId="2654"/>
    <cellStyle name="쉼표 [0] 3 14" xfId="2655"/>
    <cellStyle name="쉼표 [0] 3 15" xfId="2656"/>
    <cellStyle name="쉼표 [0] 3 16" xfId="2657"/>
    <cellStyle name="쉼표 [0] 3 17" xfId="2658"/>
    <cellStyle name="쉼표 [0] 3 18" xfId="2659"/>
    <cellStyle name="쉼표 [0] 3 19" xfId="2660"/>
    <cellStyle name="쉼표 [0] 3 2" xfId="2661"/>
    <cellStyle name="쉼표 [0] 3 20" xfId="2662"/>
    <cellStyle name="쉼표 [0] 3 21" xfId="2663"/>
    <cellStyle name="쉼표 [0] 3 22" xfId="2664"/>
    <cellStyle name="쉼표 [0] 3 23" xfId="2665"/>
    <cellStyle name="쉼표 [0] 3 24" xfId="2666"/>
    <cellStyle name="쉼표 [0] 3 25" xfId="2667"/>
    <cellStyle name="쉼표 [0] 3 26" xfId="2668"/>
    <cellStyle name="쉼표 [0] 3 27" xfId="2669"/>
    <cellStyle name="쉼표 [0] 3 28" xfId="2670"/>
    <cellStyle name="쉼표 [0] 3 29" xfId="2671"/>
    <cellStyle name="쉼표 [0] 3 3" xfId="2672"/>
    <cellStyle name="쉼표 [0] 3 30" xfId="2673"/>
    <cellStyle name="쉼표 [0] 3 31" xfId="2674"/>
    <cellStyle name="쉼표 [0] 3 32" xfId="2675"/>
    <cellStyle name="쉼표 [0] 3 33" xfId="2676"/>
    <cellStyle name="쉼표 [0] 3 34" xfId="2677"/>
    <cellStyle name="쉼표 [0] 3 35" xfId="2678"/>
    <cellStyle name="쉼표 [0] 3 36" xfId="2679"/>
    <cellStyle name="쉼표 [0] 3 37" xfId="2680"/>
    <cellStyle name="쉼표 [0] 3 4" xfId="2681"/>
    <cellStyle name="쉼표 [0] 3 5" xfId="2682"/>
    <cellStyle name="쉼표 [0] 3 6" xfId="2683"/>
    <cellStyle name="쉼표 [0] 3 7" xfId="2684"/>
    <cellStyle name="쉼표 [0] 3 8" xfId="2685"/>
    <cellStyle name="쉼표 [0] 3 9" xfId="2686"/>
    <cellStyle name="쉼표 [0] 5" xfId="2687"/>
    <cellStyle name="쉼표 [0] 5 2" xfId="2688"/>
    <cellStyle name="쉼표 [0] 6" xfId="2689"/>
    <cellStyle name="쉼표 [0] 6 2" xfId="2690"/>
    <cellStyle name="연결된 셀 10" xfId="2691"/>
    <cellStyle name="연결된 셀 10 2" xfId="2692"/>
    <cellStyle name="연결된 셀 11" xfId="2693"/>
    <cellStyle name="연결된 셀 11 2" xfId="2694"/>
    <cellStyle name="연결된 셀 12" xfId="2695"/>
    <cellStyle name="연결된 셀 12 2" xfId="2696"/>
    <cellStyle name="연결된 셀 13" xfId="2697"/>
    <cellStyle name="연결된 셀 13 2" xfId="2698"/>
    <cellStyle name="연결된 셀 14" xfId="2699"/>
    <cellStyle name="연결된 셀 14 2" xfId="2700"/>
    <cellStyle name="연결된 셀 15" xfId="2701"/>
    <cellStyle name="연결된 셀 15 2" xfId="2702"/>
    <cellStyle name="연결된 셀 16" xfId="2703"/>
    <cellStyle name="연결된 셀 16 2" xfId="2704"/>
    <cellStyle name="연결된 셀 17" xfId="2705"/>
    <cellStyle name="연결된 셀 17 2" xfId="2706"/>
    <cellStyle name="연결된 셀 18" xfId="2707"/>
    <cellStyle name="연결된 셀 18 2" xfId="2708"/>
    <cellStyle name="연결된 셀 19" xfId="2709"/>
    <cellStyle name="연결된 셀 19 2" xfId="2710"/>
    <cellStyle name="연결된 셀 2" xfId="2711"/>
    <cellStyle name="연결된 셀 2 10" xfId="2712"/>
    <cellStyle name="연결된 셀 2 11" xfId="2713"/>
    <cellStyle name="연결된 셀 2 12" xfId="2714"/>
    <cellStyle name="연결된 셀 2 13" xfId="2715"/>
    <cellStyle name="연결된 셀 2 14" xfId="2716"/>
    <cellStyle name="연결된 셀 2 15" xfId="2717"/>
    <cellStyle name="연결된 셀 2 2" xfId="2718"/>
    <cellStyle name="연결된 셀 2 3" xfId="2719"/>
    <cellStyle name="연결된 셀 2 4" xfId="2720"/>
    <cellStyle name="연결된 셀 2 5" xfId="2721"/>
    <cellStyle name="연결된 셀 2 6" xfId="2722"/>
    <cellStyle name="연결된 셀 2 7" xfId="2723"/>
    <cellStyle name="연결된 셀 2 8" xfId="2724"/>
    <cellStyle name="연결된 셀 2 9" xfId="2725"/>
    <cellStyle name="연결된 셀 20" xfId="2726"/>
    <cellStyle name="연결된 셀 20 2" xfId="2727"/>
    <cellStyle name="연결된 셀 21" xfId="2728"/>
    <cellStyle name="연결된 셀 21 2" xfId="2729"/>
    <cellStyle name="연결된 셀 22" xfId="2730"/>
    <cellStyle name="연결된 셀 22 2" xfId="2731"/>
    <cellStyle name="연결된 셀 23" xfId="2732"/>
    <cellStyle name="연결된 셀 23 2" xfId="2733"/>
    <cellStyle name="연결된 셀 24" xfId="2734"/>
    <cellStyle name="연결된 셀 24 2" xfId="2735"/>
    <cellStyle name="연결된 셀 25" xfId="2736"/>
    <cellStyle name="연결된 셀 25 2" xfId="2737"/>
    <cellStyle name="연결된 셀 26" xfId="2738"/>
    <cellStyle name="연결된 셀 26 2" xfId="2739"/>
    <cellStyle name="연결된 셀 27" xfId="2740"/>
    <cellStyle name="연결된 셀 27 2" xfId="2741"/>
    <cellStyle name="연결된 셀 28" xfId="2742"/>
    <cellStyle name="연결된 셀 28 2" xfId="2743"/>
    <cellStyle name="연결된 셀 29" xfId="2744"/>
    <cellStyle name="연결된 셀 29 2" xfId="2745"/>
    <cellStyle name="연결된 셀 3" xfId="2746"/>
    <cellStyle name="연결된 셀 3 2" xfId="2747"/>
    <cellStyle name="연결된 셀 30" xfId="2748"/>
    <cellStyle name="연결된 셀 30 2" xfId="2749"/>
    <cellStyle name="연결된 셀 31" xfId="2750"/>
    <cellStyle name="연결된 셀 31 2" xfId="2751"/>
    <cellStyle name="연결된 셀 32" xfId="2752"/>
    <cellStyle name="연결된 셀 32 2" xfId="2753"/>
    <cellStyle name="연결된 셀 33" xfId="2754"/>
    <cellStyle name="연결된 셀 33 2" xfId="2755"/>
    <cellStyle name="연결된 셀 34" xfId="2756"/>
    <cellStyle name="연결된 셀 34 2" xfId="2757"/>
    <cellStyle name="연결된 셀 35" xfId="2758"/>
    <cellStyle name="연결된 셀 35 2" xfId="2759"/>
    <cellStyle name="연결된 셀 36" xfId="2760"/>
    <cellStyle name="연결된 셀 36 2" xfId="2761"/>
    <cellStyle name="연결된 셀 37" xfId="2762"/>
    <cellStyle name="연결된 셀 37 2" xfId="2763"/>
    <cellStyle name="연결된 셀 4" xfId="2764"/>
    <cellStyle name="연결된 셀 4 2" xfId="2765"/>
    <cellStyle name="연결된 셀 5" xfId="2766"/>
    <cellStyle name="연결된 셀 5 2" xfId="2767"/>
    <cellStyle name="연결된 셀 6" xfId="2768"/>
    <cellStyle name="연결된 셀 6 2" xfId="2769"/>
    <cellStyle name="연결된 셀 7" xfId="2770"/>
    <cellStyle name="연결된 셀 7 2" xfId="2771"/>
    <cellStyle name="연결된 셀 8" xfId="2772"/>
    <cellStyle name="연결된 셀 8 2" xfId="2773"/>
    <cellStyle name="연결된 셀 9" xfId="2774"/>
    <cellStyle name="연결된 셀 9 2" xfId="2775"/>
    <cellStyle name="요약 10" xfId="2776"/>
    <cellStyle name="요약 10 2" xfId="2777"/>
    <cellStyle name="요약 11" xfId="2778"/>
    <cellStyle name="요약 11 2" xfId="2779"/>
    <cellStyle name="요약 12" xfId="2780"/>
    <cellStyle name="요약 12 2" xfId="2781"/>
    <cellStyle name="요약 13" xfId="2782"/>
    <cellStyle name="요약 13 2" xfId="2783"/>
    <cellStyle name="요약 14" xfId="2784"/>
    <cellStyle name="요약 14 2" xfId="2785"/>
    <cellStyle name="요약 15" xfId="2786"/>
    <cellStyle name="요약 15 2" xfId="2787"/>
    <cellStyle name="요약 16" xfId="2788"/>
    <cellStyle name="요약 16 2" xfId="2789"/>
    <cellStyle name="요약 17" xfId="2790"/>
    <cellStyle name="요약 17 2" xfId="2791"/>
    <cellStyle name="요약 18" xfId="2792"/>
    <cellStyle name="요약 18 2" xfId="2793"/>
    <cellStyle name="요약 19" xfId="2794"/>
    <cellStyle name="요약 19 2" xfId="2795"/>
    <cellStyle name="요약 2" xfId="2796"/>
    <cellStyle name="요약 2 10" xfId="2797"/>
    <cellStyle name="요약 2 11" xfId="2798"/>
    <cellStyle name="요약 2 12" xfId="2799"/>
    <cellStyle name="요약 2 13" xfId="2800"/>
    <cellStyle name="요약 2 14" xfId="2801"/>
    <cellStyle name="요약 2 15" xfId="2802"/>
    <cellStyle name="요약 2 2" xfId="2803"/>
    <cellStyle name="요약 2 3" xfId="2804"/>
    <cellStyle name="요약 2 4" xfId="2805"/>
    <cellStyle name="요약 2 5" xfId="2806"/>
    <cellStyle name="요약 2 6" xfId="2807"/>
    <cellStyle name="요약 2 7" xfId="2808"/>
    <cellStyle name="요약 2 8" xfId="2809"/>
    <cellStyle name="요약 2 9" xfId="2810"/>
    <cellStyle name="요약 20" xfId="2811"/>
    <cellStyle name="요약 20 2" xfId="2812"/>
    <cellStyle name="요약 21" xfId="2813"/>
    <cellStyle name="요약 21 2" xfId="2814"/>
    <cellStyle name="요약 22" xfId="2815"/>
    <cellStyle name="요약 22 2" xfId="2816"/>
    <cellStyle name="요약 23" xfId="2817"/>
    <cellStyle name="요약 23 2" xfId="2818"/>
    <cellStyle name="요약 24" xfId="2819"/>
    <cellStyle name="요약 24 2" xfId="2820"/>
    <cellStyle name="요약 25" xfId="2821"/>
    <cellStyle name="요약 25 2" xfId="2822"/>
    <cellStyle name="요약 26" xfId="2823"/>
    <cellStyle name="요약 26 2" xfId="2824"/>
    <cellStyle name="요약 27" xfId="2825"/>
    <cellStyle name="요약 27 2" xfId="2826"/>
    <cellStyle name="요약 28" xfId="2827"/>
    <cellStyle name="요약 28 2" xfId="2828"/>
    <cellStyle name="요약 29" xfId="2829"/>
    <cellStyle name="요약 29 2" xfId="2830"/>
    <cellStyle name="요약 3" xfId="2831"/>
    <cellStyle name="요약 3 2" xfId="2832"/>
    <cellStyle name="요약 30" xfId="2833"/>
    <cellStyle name="요약 30 2" xfId="2834"/>
    <cellStyle name="요약 31" xfId="2835"/>
    <cellStyle name="요약 31 2" xfId="2836"/>
    <cellStyle name="요약 32" xfId="2837"/>
    <cellStyle name="요약 32 2" xfId="2838"/>
    <cellStyle name="요약 33" xfId="2839"/>
    <cellStyle name="요약 33 2" xfId="2840"/>
    <cellStyle name="요약 34" xfId="2841"/>
    <cellStyle name="요약 34 2" xfId="2842"/>
    <cellStyle name="요약 35" xfId="2843"/>
    <cellStyle name="요약 35 2" xfId="2844"/>
    <cellStyle name="요약 36" xfId="2845"/>
    <cellStyle name="요약 36 2" xfId="2846"/>
    <cellStyle name="요약 37" xfId="2847"/>
    <cellStyle name="요약 37 2" xfId="2848"/>
    <cellStyle name="요약 4" xfId="2849"/>
    <cellStyle name="요약 4 2" xfId="2850"/>
    <cellStyle name="요약 5" xfId="2851"/>
    <cellStyle name="요약 5 2" xfId="2852"/>
    <cellStyle name="요약 6" xfId="2853"/>
    <cellStyle name="요약 6 2" xfId="2854"/>
    <cellStyle name="요약 7" xfId="2855"/>
    <cellStyle name="요약 7 2" xfId="2856"/>
    <cellStyle name="요약 8" xfId="2857"/>
    <cellStyle name="요약 8 2" xfId="2858"/>
    <cellStyle name="요약 9" xfId="2859"/>
    <cellStyle name="요약 9 2" xfId="2860"/>
    <cellStyle name="입력 10" xfId="2861"/>
    <cellStyle name="입력 10 2" xfId="2862"/>
    <cellStyle name="입력 11" xfId="2863"/>
    <cellStyle name="입력 11 2" xfId="2864"/>
    <cellStyle name="입력 12" xfId="2865"/>
    <cellStyle name="입력 12 2" xfId="2866"/>
    <cellStyle name="입력 13" xfId="2867"/>
    <cellStyle name="입력 13 2" xfId="2868"/>
    <cellStyle name="입력 14" xfId="2869"/>
    <cellStyle name="입력 14 2" xfId="2870"/>
    <cellStyle name="입력 15" xfId="2871"/>
    <cellStyle name="입력 15 2" xfId="2872"/>
    <cellStyle name="입력 16" xfId="2873"/>
    <cellStyle name="입력 16 2" xfId="2874"/>
    <cellStyle name="입력 17" xfId="2875"/>
    <cellStyle name="입력 17 2" xfId="2876"/>
    <cellStyle name="입력 18" xfId="2877"/>
    <cellStyle name="입력 18 2" xfId="2878"/>
    <cellStyle name="입력 19" xfId="2879"/>
    <cellStyle name="입력 19 2" xfId="2880"/>
    <cellStyle name="입력 2" xfId="2881"/>
    <cellStyle name="입력 2 10" xfId="2882"/>
    <cellStyle name="입력 2 11" xfId="2883"/>
    <cellStyle name="입력 2 12" xfId="2884"/>
    <cellStyle name="입력 2 13" xfId="2885"/>
    <cellStyle name="입력 2 14" xfId="2886"/>
    <cellStyle name="입력 2 15" xfId="2887"/>
    <cellStyle name="입력 2 2" xfId="2888"/>
    <cellStyle name="입력 2 3" xfId="2889"/>
    <cellStyle name="입력 2 4" xfId="2890"/>
    <cellStyle name="입력 2 5" xfId="2891"/>
    <cellStyle name="입력 2 6" xfId="2892"/>
    <cellStyle name="입력 2 7" xfId="2893"/>
    <cellStyle name="입력 2 8" xfId="2894"/>
    <cellStyle name="입력 2 9" xfId="2895"/>
    <cellStyle name="입력 20" xfId="2896"/>
    <cellStyle name="입력 20 2" xfId="2897"/>
    <cellStyle name="입력 21" xfId="2898"/>
    <cellStyle name="입력 21 2" xfId="2899"/>
    <cellStyle name="입력 22" xfId="2900"/>
    <cellStyle name="입력 22 2" xfId="2901"/>
    <cellStyle name="입력 23" xfId="2902"/>
    <cellStyle name="입력 23 2" xfId="2903"/>
    <cellStyle name="입력 24" xfId="2904"/>
    <cellStyle name="입력 24 2" xfId="2905"/>
    <cellStyle name="입력 25" xfId="2906"/>
    <cellStyle name="입력 25 2" xfId="2907"/>
    <cellStyle name="입력 26" xfId="2908"/>
    <cellStyle name="입력 26 2" xfId="2909"/>
    <cellStyle name="입력 27" xfId="2910"/>
    <cellStyle name="입력 27 2" xfId="2911"/>
    <cellStyle name="입력 28" xfId="2912"/>
    <cellStyle name="입력 28 2" xfId="2913"/>
    <cellStyle name="입력 29" xfId="2914"/>
    <cellStyle name="입력 29 2" xfId="2915"/>
    <cellStyle name="입력 3" xfId="2916"/>
    <cellStyle name="입력 3 2" xfId="2917"/>
    <cellStyle name="입력 30" xfId="2918"/>
    <cellStyle name="입력 30 2" xfId="2919"/>
    <cellStyle name="입력 31" xfId="2920"/>
    <cellStyle name="입력 31 2" xfId="2921"/>
    <cellStyle name="입력 32" xfId="2922"/>
    <cellStyle name="입력 32 2" xfId="2923"/>
    <cellStyle name="입력 33" xfId="2924"/>
    <cellStyle name="입력 33 2" xfId="2925"/>
    <cellStyle name="입력 34" xfId="2926"/>
    <cellStyle name="입력 34 2" xfId="2927"/>
    <cellStyle name="입력 35" xfId="2928"/>
    <cellStyle name="입력 35 2" xfId="2929"/>
    <cellStyle name="입력 36" xfId="2930"/>
    <cellStyle name="입력 36 2" xfId="2931"/>
    <cellStyle name="입력 37" xfId="2932"/>
    <cellStyle name="입력 37 2" xfId="2933"/>
    <cellStyle name="입력 4" xfId="2934"/>
    <cellStyle name="입력 4 2" xfId="2935"/>
    <cellStyle name="입력 5" xfId="2936"/>
    <cellStyle name="입력 5 2" xfId="2937"/>
    <cellStyle name="입력 6" xfId="2938"/>
    <cellStyle name="입력 6 2" xfId="2939"/>
    <cellStyle name="입력 7" xfId="2940"/>
    <cellStyle name="입력 7 2" xfId="2941"/>
    <cellStyle name="입력 8" xfId="2942"/>
    <cellStyle name="입력 8 2" xfId="2943"/>
    <cellStyle name="입력 9" xfId="2944"/>
    <cellStyle name="입력 9 2" xfId="2945"/>
    <cellStyle name="제목 1 10" xfId="2946"/>
    <cellStyle name="제목 1 10 2" xfId="2947"/>
    <cellStyle name="제목 1 11" xfId="2948"/>
    <cellStyle name="제목 1 11 2" xfId="2949"/>
    <cellStyle name="제목 1 12" xfId="2950"/>
    <cellStyle name="제목 1 12 2" xfId="2951"/>
    <cellStyle name="제목 1 13" xfId="2952"/>
    <cellStyle name="제목 1 13 2" xfId="2953"/>
    <cellStyle name="제목 1 14" xfId="2954"/>
    <cellStyle name="제목 1 14 2" xfId="2955"/>
    <cellStyle name="제목 1 15" xfId="2956"/>
    <cellStyle name="제목 1 15 2" xfId="2957"/>
    <cellStyle name="제목 1 16" xfId="2958"/>
    <cellStyle name="제목 1 16 2" xfId="2959"/>
    <cellStyle name="제목 1 17" xfId="2960"/>
    <cellStyle name="제목 1 17 2" xfId="2961"/>
    <cellStyle name="제목 1 18" xfId="2962"/>
    <cellStyle name="제목 1 18 2" xfId="2963"/>
    <cellStyle name="제목 1 19" xfId="2964"/>
    <cellStyle name="제목 1 19 2" xfId="2965"/>
    <cellStyle name="제목 1 2" xfId="2966"/>
    <cellStyle name="제목 1 2 10" xfId="2967"/>
    <cellStyle name="제목 1 2 11" xfId="2968"/>
    <cellStyle name="제목 1 2 12" xfId="2969"/>
    <cellStyle name="제목 1 2 13" xfId="2970"/>
    <cellStyle name="제목 1 2 14" xfId="2971"/>
    <cellStyle name="제목 1 2 15" xfId="2972"/>
    <cellStyle name="제목 1 2 2" xfId="2973"/>
    <cellStyle name="제목 1 2 3" xfId="2974"/>
    <cellStyle name="제목 1 2 4" xfId="2975"/>
    <cellStyle name="제목 1 2 5" xfId="2976"/>
    <cellStyle name="제목 1 2 6" xfId="2977"/>
    <cellStyle name="제목 1 2 7" xfId="2978"/>
    <cellStyle name="제목 1 2 8" xfId="2979"/>
    <cellStyle name="제목 1 2 9" xfId="2980"/>
    <cellStyle name="제목 1 20" xfId="2981"/>
    <cellStyle name="제목 1 20 2" xfId="2982"/>
    <cellStyle name="제목 1 21" xfId="2983"/>
    <cellStyle name="제목 1 21 2" xfId="2984"/>
    <cellStyle name="제목 1 22" xfId="2985"/>
    <cellStyle name="제목 1 22 2" xfId="2986"/>
    <cellStyle name="제목 1 23" xfId="2987"/>
    <cellStyle name="제목 1 23 2" xfId="2988"/>
    <cellStyle name="제목 1 24" xfId="2989"/>
    <cellStyle name="제목 1 24 2" xfId="2990"/>
    <cellStyle name="제목 1 25" xfId="2991"/>
    <cellStyle name="제목 1 25 2" xfId="2992"/>
    <cellStyle name="제목 1 26" xfId="2993"/>
    <cellStyle name="제목 1 26 2" xfId="2994"/>
    <cellStyle name="제목 1 27" xfId="2995"/>
    <cellStyle name="제목 1 27 2" xfId="2996"/>
    <cellStyle name="제목 1 28" xfId="2997"/>
    <cellStyle name="제목 1 28 2" xfId="2998"/>
    <cellStyle name="제목 1 29" xfId="2999"/>
    <cellStyle name="제목 1 29 2" xfId="3000"/>
    <cellStyle name="제목 1 3" xfId="3001"/>
    <cellStyle name="제목 1 3 2" xfId="3002"/>
    <cellStyle name="제목 1 30" xfId="3003"/>
    <cellStyle name="제목 1 30 2" xfId="3004"/>
    <cellStyle name="제목 1 31" xfId="3005"/>
    <cellStyle name="제목 1 31 2" xfId="3006"/>
    <cellStyle name="제목 1 32" xfId="3007"/>
    <cellStyle name="제목 1 32 2" xfId="3008"/>
    <cellStyle name="제목 1 33" xfId="3009"/>
    <cellStyle name="제목 1 33 2" xfId="3010"/>
    <cellStyle name="제목 1 34" xfId="3011"/>
    <cellStyle name="제목 1 34 2" xfId="3012"/>
    <cellStyle name="제목 1 35" xfId="3013"/>
    <cellStyle name="제목 1 35 2" xfId="3014"/>
    <cellStyle name="제목 1 36" xfId="3015"/>
    <cellStyle name="제목 1 36 2" xfId="3016"/>
    <cellStyle name="제목 1 37" xfId="3017"/>
    <cellStyle name="제목 1 37 2" xfId="3018"/>
    <cellStyle name="제목 1 4" xfId="3019"/>
    <cellStyle name="제목 1 4 2" xfId="3020"/>
    <cellStyle name="제목 1 5" xfId="3021"/>
    <cellStyle name="제목 1 5 2" xfId="3022"/>
    <cellStyle name="제목 1 6" xfId="3023"/>
    <cellStyle name="제목 1 6 2" xfId="3024"/>
    <cellStyle name="제목 1 7" xfId="3025"/>
    <cellStyle name="제목 1 7 2" xfId="3026"/>
    <cellStyle name="제목 1 8" xfId="3027"/>
    <cellStyle name="제목 1 8 2" xfId="3028"/>
    <cellStyle name="제목 1 9" xfId="3029"/>
    <cellStyle name="제목 1 9 2" xfId="3030"/>
    <cellStyle name="제목 10" xfId="3031"/>
    <cellStyle name="제목 10 2" xfId="3032"/>
    <cellStyle name="제목 11" xfId="3033"/>
    <cellStyle name="제목 11 2" xfId="3034"/>
    <cellStyle name="제목 12" xfId="3035"/>
    <cellStyle name="제목 12 2" xfId="3036"/>
    <cellStyle name="제목 13" xfId="3037"/>
    <cellStyle name="제목 13 2" xfId="3038"/>
    <cellStyle name="제목 14" xfId="3039"/>
    <cellStyle name="제목 14 2" xfId="3040"/>
    <cellStyle name="제목 15" xfId="3041"/>
    <cellStyle name="제목 15 2" xfId="3042"/>
    <cellStyle name="제목 16" xfId="3043"/>
    <cellStyle name="제목 16 2" xfId="3044"/>
    <cellStyle name="제목 17" xfId="3045"/>
    <cellStyle name="제목 17 2" xfId="3046"/>
    <cellStyle name="제목 18" xfId="3047"/>
    <cellStyle name="제목 18 2" xfId="3048"/>
    <cellStyle name="제목 19" xfId="3049"/>
    <cellStyle name="제목 19 2" xfId="3050"/>
    <cellStyle name="제목 2 10" xfId="3051"/>
    <cellStyle name="제목 2 10 2" xfId="3052"/>
    <cellStyle name="제목 2 11" xfId="3053"/>
    <cellStyle name="제목 2 11 2" xfId="3054"/>
    <cellStyle name="제목 2 12" xfId="3055"/>
    <cellStyle name="제목 2 12 2" xfId="3056"/>
    <cellStyle name="제목 2 13" xfId="3057"/>
    <cellStyle name="제목 2 13 2" xfId="3058"/>
    <cellStyle name="제목 2 14" xfId="3059"/>
    <cellStyle name="제목 2 14 2" xfId="3060"/>
    <cellStyle name="제목 2 15" xfId="3061"/>
    <cellStyle name="제목 2 15 2" xfId="3062"/>
    <cellStyle name="제목 2 16" xfId="3063"/>
    <cellStyle name="제목 2 16 2" xfId="3064"/>
    <cellStyle name="제목 2 17" xfId="3065"/>
    <cellStyle name="제목 2 17 2" xfId="3066"/>
    <cellStyle name="제목 2 18" xfId="3067"/>
    <cellStyle name="제목 2 18 2" xfId="3068"/>
    <cellStyle name="제목 2 19" xfId="3069"/>
    <cellStyle name="제목 2 19 2" xfId="3070"/>
    <cellStyle name="제목 2 2" xfId="3071"/>
    <cellStyle name="제목 2 2 10" xfId="3072"/>
    <cellStyle name="제목 2 2 11" xfId="3073"/>
    <cellStyle name="제목 2 2 12" xfId="3074"/>
    <cellStyle name="제목 2 2 13" xfId="3075"/>
    <cellStyle name="제목 2 2 14" xfId="3076"/>
    <cellStyle name="제목 2 2 15" xfId="3077"/>
    <cellStyle name="제목 2 2 2" xfId="3078"/>
    <cellStyle name="제목 2 2 3" xfId="3079"/>
    <cellStyle name="제목 2 2 4" xfId="3080"/>
    <cellStyle name="제목 2 2 5" xfId="3081"/>
    <cellStyle name="제목 2 2 6" xfId="3082"/>
    <cellStyle name="제목 2 2 7" xfId="3083"/>
    <cellStyle name="제목 2 2 8" xfId="3084"/>
    <cellStyle name="제목 2 2 9" xfId="3085"/>
    <cellStyle name="제목 2 20" xfId="3086"/>
    <cellStyle name="제목 2 20 2" xfId="3087"/>
    <cellStyle name="제목 2 21" xfId="3088"/>
    <cellStyle name="제목 2 21 2" xfId="3089"/>
    <cellStyle name="제목 2 22" xfId="3090"/>
    <cellStyle name="제목 2 22 2" xfId="3091"/>
    <cellStyle name="제목 2 23" xfId="3092"/>
    <cellStyle name="제목 2 23 2" xfId="3093"/>
    <cellStyle name="제목 2 24" xfId="3094"/>
    <cellStyle name="제목 2 24 2" xfId="3095"/>
    <cellStyle name="제목 2 25" xfId="3096"/>
    <cellStyle name="제목 2 25 2" xfId="3097"/>
    <cellStyle name="제목 2 26" xfId="3098"/>
    <cellStyle name="제목 2 26 2" xfId="3099"/>
    <cellStyle name="제목 2 27" xfId="3100"/>
    <cellStyle name="제목 2 27 2" xfId="3101"/>
    <cellStyle name="제목 2 28" xfId="3102"/>
    <cellStyle name="제목 2 28 2" xfId="3103"/>
    <cellStyle name="제목 2 29" xfId="3104"/>
    <cellStyle name="제목 2 29 2" xfId="3105"/>
    <cellStyle name="제목 2 3" xfId="3106"/>
    <cellStyle name="제목 2 3 2" xfId="3107"/>
    <cellStyle name="제목 2 30" xfId="3108"/>
    <cellStyle name="제목 2 30 2" xfId="3109"/>
    <cellStyle name="제목 2 31" xfId="3110"/>
    <cellStyle name="제목 2 31 2" xfId="3111"/>
    <cellStyle name="제목 2 32" xfId="3112"/>
    <cellStyle name="제목 2 32 2" xfId="3113"/>
    <cellStyle name="제목 2 33" xfId="3114"/>
    <cellStyle name="제목 2 33 2" xfId="3115"/>
    <cellStyle name="제목 2 34" xfId="3116"/>
    <cellStyle name="제목 2 34 2" xfId="3117"/>
    <cellStyle name="제목 2 35" xfId="3118"/>
    <cellStyle name="제목 2 35 2" xfId="3119"/>
    <cellStyle name="제목 2 36" xfId="3120"/>
    <cellStyle name="제목 2 36 2" xfId="3121"/>
    <cellStyle name="제목 2 37" xfId="3122"/>
    <cellStyle name="제목 2 37 2" xfId="3123"/>
    <cellStyle name="제목 2 4" xfId="3124"/>
    <cellStyle name="제목 2 4 2" xfId="3125"/>
    <cellStyle name="제목 2 5" xfId="3126"/>
    <cellStyle name="제목 2 5 2" xfId="3127"/>
    <cellStyle name="제목 2 6" xfId="3128"/>
    <cellStyle name="제목 2 6 2" xfId="3129"/>
    <cellStyle name="제목 2 7" xfId="3130"/>
    <cellStyle name="제목 2 7 2" xfId="3131"/>
    <cellStyle name="제목 2 8" xfId="3132"/>
    <cellStyle name="제목 2 8 2" xfId="3133"/>
    <cellStyle name="제목 2 9" xfId="3134"/>
    <cellStyle name="제목 2 9 2" xfId="3135"/>
    <cellStyle name="제목 20" xfId="3136"/>
    <cellStyle name="제목 20 2" xfId="3137"/>
    <cellStyle name="제목 21" xfId="3138"/>
    <cellStyle name="제목 21 2" xfId="3139"/>
    <cellStyle name="제목 22" xfId="3140"/>
    <cellStyle name="제목 22 2" xfId="3141"/>
    <cellStyle name="제목 23" xfId="3142"/>
    <cellStyle name="제목 23 2" xfId="3143"/>
    <cellStyle name="제목 24" xfId="3144"/>
    <cellStyle name="제목 24 2" xfId="3145"/>
    <cellStyle name="제목 25" xfId="3146"/>
    <cellStyle name="제목 25 2" xfId="3147"/>
    <cellStyle name="제목 26" xfId="3148"/>
    <cellStyle name="제목 26 2" xfId="3149"/>
    <cellStyle name="제목 27" xfId="3150"/>
    <cellStyle name="제목 27 2" xfId="3151"/>
    <cellStyle name="제목 28" xfId="3152"/>
    <cellStyle name="제목 28 2" xfId="3153"/>
    <cellStyle name="제목 29" xfId="3154"/>
    <cellStyle name="제목 29 2" xfId="3155"/>
    <cellStyle name="제목 3 10" xfId="3156"/>
    <cellStyle name="제목 3 10 2" xfId="3157"/>
    <cellStyle name="제목 3 11" xfId="3158"/>
    <cellStyle name="제목 3 11 2" xfId="3159"/>
    <cellStyle name="제목 3 12" xfId="3160"/>
    <cellStyle name="제목 3 12 2" xfId="3161"/>
    <cellStyle name="제목 3 13" xfId="3162"/>
    <cellStyle name="제목 3 13 2" xfId="3163"/>
    <cellStyle name="제목 3 14" xfId="3164"/>
    <cellStyle name="제목 3 14 2" xfId="3165"/>
    <cellStyle name="제목 3 15" xfId="3166"/>
    <cellStyle name="제목 3 15 2" xfId="3167"/>
    <cellStyle name="제목 3 16" xfId="3168"/>
    <cellStyle name="제목 3 16 2" xfId="3169"/>
    <cellStyle name="제목 3 17" xfId="3170"/>
    <cellStyle name="제목 3 17 2" xfId="3171"/>
    <cellStyle name="제목 3 18" xfId="3172"/>
    <cellStyle name="제목 3 18 2" xfId="3173"/>
    <cellStyle name="제목 3 19" xfId="3174"/>
    <cellStyle name="제목 3 19 2" xfId="3175"/>
    <cellStyle name="제목 3 2" xfId="3176"/>
    <cellStyle name="제목 3 2 10" xfId="3177"/>
    <cellStyle name="제목 3 2 11" xfId="3178"/>
    <cellStyle name="제목 3 2 12" xfId="3179"/>
    <cellStyle name="제목 3 2 13" xfId="3180"/>
    <cellStyle name="제목 3 2 14" xfId="3181"/>
    <cellStyle name="제목 3 2 15" xfId="3182"/>
    <cellStyle name="제목 3 2 2" xfId="3183"/>
    <cellStyle name="제목 3 2 3" xfId="3184"/>
    <cellStyle name="제목 3 2 4" xfId="3185"/>
    <cellStyle name="제목 3 2 5" xfId="3186"/>
    <cellStyle name="제목 3 2 6" xfId="3187"/>
    <cellStyle name="제목 3 2 7" xfId="3188"/>
    <cellStyle name="제목 3 2 8" xfId="3189"/>
    <cellStyle name="제목 3 2 9" xfId="3190"/>
    <cellStyle name="제목 3 20" xfId="3191"/>
    <cellStyle name="제목 3 20 2" xfId="3192"/>
    <cellStyle name="제목 3 21" xfId="3193"/>
    <cellStyle name="제목 3 21 2" xfId="3194"/>
    <cellStyle name="제목 3 22" xfId="3195"/>
    <cellStyle name="제목 3 22 2" xfId="3196"/>
    <cellStyle name="제목 3 23" xfId="3197"/>
    <cellStyle name="제목 3 23 2" xfId="3198"/>
    <cellStyle name="제목 3 24" xfId="3199"/>
    <cellStyle name="제목 3 24 2" xfId="3200"/>
    <cellStyle name="제목 3 25" xfId="3201"/>
    <cellStyle name="제목 3 25 2" xfId="3202"/>
    <cellStyle name="제목 3 26" xfId="3203"/>
    <cellStyle name="제목 3 26 2" xfId="3204"/>
    <cellStyle name="제목 3 27" xfId="3205"/>
    <cellStyle name="제목 3 27 2" xfId="3206"/>
    <cellStyle name="제목 3 28" xfId="3207"/>
    <cellStyle name="제목 3 28 2" xfId="3208"/>
    <cellStyle name="제목 3 29" xfId="3209"/>
    <cellStyle name="제목 3 29 2" xfId="3210"/>
    <cellStyle name="제목 3 3" xfId="3211"/>
    <cellStyle name="제목 3 3 2" xfId="3212"/>
    <cellStyle name="제목 3 30" xfId="3213"/>
    <cellStyle name="제목 3 30 2" xfId="3214"/>
    <cellStyle name="제목 3 31" xfId="3215"/>
    <cellStyle name="제목 3 31 2" xfId="3216"/>
    <cellStyle name="제목 3 32" xfId="3217"/>
    <cellStyle name="제목 3 32 2" xfId="3218"/>
    <cellStyle name="제목 3 33" xfId="3219"/>
    <cellStyle name="제목 3 33 2" xfId="3220"/>
    <cellStyle name="제목 3 34" xfId="3221"/>
    <cellStyle name="제목 3 34 2" xfId="3222"/>
    <cellStyle name="제목 3 35" xfId="3223"/>
    <cellStyle name="제목 3 35 2" xfId="3224"/>
    <cellStyle name="제목 3 36" xfId="3225"/>
    <cellStyle name="제목 3 36 2" xfId="3226"/>
    <cellStyle name="제목 3 37" xfId="3227"/>
    <cellStyle name="제목 3 37 2" xfId="3228"/>
    <cellStyle name="제목 3 4" xfId="3229"/>
    <cellStyle name="제목 3 4 2" xfId="3230"/>
    <cellStyle name="제목 3 5" xfId="3231"/>
    <cellStyle name="제목 3 5 2" xfId="3232"/>
    <cellStyle name="제목 3 6" xfId="3233"/>
    <cellStyle name="제목 3 6 2" xfId="3234"/>
    <cellStyle name="제목 3 7" xfId="3235"/>
    <cellStyle name="제목 3 7 2" xfId="3236"/>
    <cellStyle name="제목 3 8" xfId="3237"/>
    <cellStyle name="제목 3 8 2" xfId="3238"/>
    <cellStyle name="제목 3 9" xfId="3239"/>
    <cellStyle name="제목 3 9 2" xfId="3240"/>
    <cellStyle name="제목 30" xfId="3241"/>
    <cellStyle name="제목 30 2" xfId="3242"/>
    <cellStyle name="제목 31" xfId="3243"/>
    <cellStyle name="제목 31 2" xfId="3244"/>
    <cellStyle name="제목 32" xfId="3245"/>
    <cellStyle name="제목 32 2" xfId="3246"/>
    <cellStyle name="제목 33" xfId="3247"/>
    <cellStyle name="제목 33 2" xfId="3248"/>
    <cellStyle name="제목 34" xfId="3249"/>
    <cellStyle name="제목 34 2" xfId="3250"/>
    <cellStyle name="제목 35" xfId="3251"/>
    <cellStyle name="제목 35 2" xfId="3252"/>
    <cellStyle name="제목 36" xfId="3253"/>
    <cellStyle name="제목 36 2" xfId="3254"/>
    <cellStyle name="제목 37" xfId="3255"/>
    <cellStyle name="제목 37 2" xfId="3256"/>
    <cellStyle name="제목 38" xfId="3257"/>
    <cellStyle name="제목 38 2" xfId="3258"/>
    <cellStyle name="제목 39" xfId="3259"/>
    <cellStyle name="제목 39 2" xfId="3260"/>
    <cellStyle name="제목 4 10" xfId="3261"/>
    <cellStyle name="제목 4 10 2" xfId="3262"/>
    <cellStyle name="제목 4 11" xfId="3263"/>
    <cellStyle name="제목 4 11 2" xfId="3264"/>
    <cellStyle name="제목 4 12" xfId="3265"/>
    <cellStyle name="제목 4 12 2" xfId="3266"/>
    <cellStyle name="제목 4 13" xfId="3267"/>
    <cellStyle name="제목 4 13 2" xfId="3268"/>
    <cellStyle name="제목 4 14" xfId="3269"/>
    <cellStyle name="제목 4 14 2" xfId="3270"/>
    <cellStyle name="제목 4 15" xfId="3271"/>
    <cellStyle name="제목 4 15 2" xfId="3272"/>
    <cellStyle name="제목 4 16" xfId="3273"/>
    <cellStyle name="제목 4 16 2" xfId="3274"/>
    <cellStyle name="제목 4 17" xfId="3275"/>
    <cellStyle name="제목 4 17 2" xfId="3276"/>
    <cellStyle name="제목 4 18" xfId="3277"/>
    <cellStyle name="제목 4 18 2" xfId="3278"/>
    <cellStyle name="제목 4 19" xfId="3279"/>
    <cellStyle name="제목 4 19 2" xfId="3280"/>
    <cellStyle name="제목 4 2" xfId="3281"/>
    <cellStyle name="제목 4 2 10" xfId="3282"/>
    <cellStyle name="제목 4 2 11" xfId="3283"/>
    <cellStyle name="제목 4 2 12" xfId="3284"/>
    <cellStyle name="제목 4 2 13" xfId="3285"/>
    <cellStyle name="제목 4 2 14" xfId="3286"/>
    <cellStyle name="제목 4 2 15" xfId="3287"/>
    <cellStyle name="제목 4 2 2" xfId="3288"/>
    <cellStyle name="제목 4 2 3" xfId="3289"/>
    <cellStyle name="제목 4 2 4" xfId="3290"/>
    <cellStyle name="제목 4 2 5" xfId="3291"/>
    <cellStyle name="제목 4 2 6" xfId="3292"/>
    <cellStyle name="제목 4 2 7" xfId="3293"/>
    <cellStyle name="제목 4 2 8" xfId="3294"/>
    <cellStyle name="제목 4 2 9" xfId="3295"/>
    <cellStyle name="제목 4 20" xfId="3296"/>
    <cellStyle name="제목 4 20 2" xfId="3297"/>
    <cellStyle name="제목 4 21" xfId="3298"/>
    <cellStyle name="제목 4 21 2" xfId="3299"/>
    <cellStyle name="제목 4 22" xfId="3300"/>
    <cellStyle name="제목 4 22 2" xfId="3301"/>
    <cellStyle name="제목 4 23" xfId="3302"/>
    <cellStyle name="제목 4 23 2" xfId="3303"/>
    <cellStyle name="제목 4 24" xfId="3304"/>
    <cellStyle name="제목 4 24 2" xfId="3305"/>
    <cellStyle name="제목 4 25" xfId="3306"/>
    <cellStyle name="제목 4 25 2" xfId="3307"/>
    <cellStyle name="제목 4 26" xfId="3308"/>
    <cellStyle name="제목 4 26 2" xfId="3309"/>
    <cellStyle name="제목 4 27" xfId="3310"/>
    <cellStyle name="제목 4 27 2" xfId="3311"/>
    <cellStyle name="제목 4 28" xfId="3312"/>
    <cellStyle name="제목 4 28 2" xfId="3313"/>
    <cellStyle name="제목 4 29" xfId="3314"/>
    <cellStyle name="제목 4 29 2" xfId="3315"/>
    <cellStyle name="제목 4 3" xfId="3316"/>
    <cellStyle name="제목 4 3 2" xfId="3317"/>
    <cellStyle name="제목 4 30" xfId="3318"/>
    <cellStyle name="제목 4 30 2" xfId="3319"/>
    <cellStyle name="제목 4 31" xfId="3320"/>
    <cellStyle name="제목 4 31 2" xfId="3321"/>
    <cellStyle name="제목 4 32" xfId="3322"/>
    <cellStyle name="제목 4 32 2" xfId="3323"/>
    <cellStyle name="제목 4 33" xfId="3324"/>
    <cellStyle name="제목 4 33 2" xfId="3325"/>
    <cellStyle name="제목 4 34" xfId="3326"/>
    <cellStyle name="제목 4 34 2" xfId="3327"/>
    <cellStyle name="제목 4 35" xfId="3328"/>
    <cellStyle name="제목 4 35 2" xfId="3329"/>
    <cellStyle name="제목 4 36" xfId="3330"/>
    <cellStyle name="제목 4 36 2" xfId="3331"/>
    <cellStyle name="제목 4 37" xfId="3332"/>
    <cellStyle name="제목 4 37 2" xfId="3333"/>
    <cellStyle name="제목 4 4" xfId="3334"/>
    <cellStyle name="제목 4 4 2" xfId="3335"/>
    <cellStyle name="제목 4 5" xfId="3336"/>
    <cellStyle name="제목 4 5 2" xfId="3337"/>
    <cellStyle name="제목 4 6" xfId="3338"/>
    <cellStyle name="제목 4 6 2" xfId="3339"/>
    <cellStyle name="제목 4 7" xfId="3340"/>
    <cellStyle name="제목 4 7 2" xfId="3341"/>
    <cellStyle name="제목 4 8" xfId="3342"/>
    <cellStyle name="제목 4 8 2" xfId="3343"/>
    <cellStyle name="제목 4 9" xfId="3344"/>
    <cellStyle name="제목 4 9 2" xfId="3345"/>
    <cellStyle name="제목 40" xfId="3346"/>
    <cellStyle name="제목 40 2" xfId="3347"/>
    <cellStyle name="제목 5" xfId="3348"/>
    <cellStyle name="제목 5 10" xfId="3349"/>
    <cellStyle name="제목 5 11" xfId="3350"/>
    <cellStyle name="제목 5 12" xfId="3351"/>
    <cellStyle name="제목 5 13" xfId="3352"/>
    <cellStyle name="제목 5 14" xfId="3353"/>
    <cellStyle name="제목 5 15" xfId="3354"/>
    <cellStyle name="제목 5 2" xfId="3355"/>
    <cellStyle name="제목 5 3" xfId="3356"/>
    <cellStyle name="제목 5 4" xfId="3357"/>
    <cellStyle name="제목 5 5" xfId="3358"/>
    <cellStyle name="제목 5 6" xfId="3359"/>
    <cellStyle name="제목 5 7" xfId="3360"/>
    <cellStyle name="제목 5 8" xfId="3361"/>
    <cellStyle name="제목 5 9" xfId="3362"/>
    <cellStyle name="제목 6" xfId="3363"/>
    <cellStyle name="제목 6 2" xfId="3364"/>
    <cellStyle name="제목 7" xfId="3365"/>
    <cellStyle name="제목 7 2" xfId="3366"/>
    <cellStyle name="제목 8" xfId="3367"/>
    <cellStyle name="제목 8 2" xfId="3368"/>
    <cellStyle name="제목 9" xfId="3369"/>
    <cellStyle name="제목 9 2" xfId="3370"/>
    <cellStyle name="좋음 10" xfId="3371"/>
    <cellStyle name="좋음 10 2" xfId="3372"/>
    <cellStyle name="좋음 11" xfId="3373"/>
    <cellStyle name="좋음 11 2" xfId="3374"/>
    <cellStyle name="좋음 12" xfId="3375"/>
    <cellStyle name="좋음 12 2" xfId="3376"/>
    <cellStyle name="좋음 13" xfId="3377"/>
    <cellStyle name="좋음 13 2" xfId="3378"/>
    <cellStyle name="좋음 14" xfId="3379"/>
    <cellStyle name="좋음 14 2" xfId="3380"/>
    <cellStyle name="좋음 15" xfId="3381"/>
    <cellStyle name="좋음 15 2" xfId="3382"/>
    <cellStyle name="좋음 16" xfId="3383"/>
    <cellStyle name="좋음 16 2" xfId="3384"/>
    <cellStyle name="좋음 17" xfId="3385"/>
    <cellStyle name="좋음 17 2" xfId="3386"/>
    <cellStyle name="좋음 18" xfId="3387"/>
    <cellStyle name="좋음 18 2" xfId="3388"/>
    <cellStyle name="좋음 19" xfId="3389"/>
    <cellStyle name="좋음 19 2" xfId="3390"/>
    <cellStyle name="좋음 2" xfId="3391"/>
    <cellStyle name="좋음 2 10" xfId="3392"/>
    <cellStyle name="좋음 2 11" xfId="3393"/>
    <cellStyle name="좋음 2 12" xfId="3394"/>
    <cellStyle name="좋음 2 13" xfId="3395"/>
    <cellStyle name="좋음 2 14" xfId="3396"/>
    <cellStyle name="좋음 2 15" xfId="3397"/>
    <cellStyle name="좋음 2 2" xfId="3398"/>
    <cellStyle name="좋음 2 3" xfId="3399"/>
    <cellStyle name="좋음 2 4" xfId="3400"/>
    <cellStyle name="좋음 2 5" xfId="3401"/>
    <cellStyle name="좋음 2 6" xfId="3402"/>
    <cellStyle name="좋음 2 7" xfId="3403"/>
    <cellStyle name="좋음 2 8" xfId="3404"/>
    <cellStyle name="좋음 2 9" xfId="3405"/>
    <cellStyle name="좋음 20" xfId="3406"/>
    <cellStyle name="좋음 20 2" xfId="3407"/>
    <cellStyle name="좋음 21" xfId="3408"/>
    <cellStyle name="좋음 21 2" xfId="3409"/>
    <cellStyle name="좋음 22" xfId="3410"/>
    <cellStyle name="좋음 22 2" xfId="3411"/>
    <cellStyle name="좋음 23" xfId="3412"/>
    <cellStyle name="좋음 23 2" xfId="3413"/>
    <cellStyle name="좋음 24" xfId="3414"/>
    <cellStyle name="좋음 24 2" xfId="3415"/>
    <cellStyle name="좋음 25" xfId="3416"/>
    <cellStyle name="좋음 25 2" xfId="3417"/>
    <cellStyle name="좋음 26" xfId="3418"/>
    <cellStyle name="좋음 26 2" xfId="3419"/>
    <cellStyle name="좋음 27" xfId="3420"/>
    <cellStyle name="좋음 27 2" xfId="3421"/>
    <cellStyle name="좋음 28" xfId="3422"/>
    <cellStyle name="좋음 28 2" xfId="3423"/>
    <cellStyle name="좋음 29" xfId="3424"/>
    <cellStyle name="좋음 29 2" xfId="3425"/>
    <cellStyle name="좋음 3" xfId="3426"/>
    <cellStyle name="좋음 3 2" xfId="3427"/>
    <cellStyle name="좋음 30" xfId="3428"/>
    <cellStyle name="좋음 30 2" xfId="3429"/>
    <cellStyle name="좋음 31" xfId="3430"/>
    <cellStyle name="좋음 31 2" xfId="3431"/>
    <cellStyle name="좋음 32" xfId="3432"/>
    <cellStyle name="좋음 32 2" xfId="3433"/>
    <cellStyle name="좋음 33" xfId="3434"/>
    <cellStyle name="좋음 33 2" xfId="3435"/>
    <cellStyle name="좋음 34" xfId="3436"/>
    <cellStyle name="좋음 34 2" xfId="3437"/>
    <cellStyle name="좋음 35" xfId="3438"/>
    <cellStyle name="좋음 35 2" xfId="3439"/>
    <cellStyle name="좋음 36" xfId="3440"/>
    <cellStyle name="좋음 36 2" xfId="3441"/>
    <cellStyle name="좋음 37" xfId="3442"/>
    <cellStyle name="좋음 37 2" xfId="3443"/>
    <cellStyle name="좋음 4" xfId="3444"/>
    <cellStyle name="좋음 4 2" xfId="3445"/>
    <cellStyle name="좋음 5" xfId="3446"/>
    <cellStyle name="좋음 5 2" xfId="3447"/>
    <cellStyle name="좋음 6" xfId="3448"/>
    <cellStyle name="좋음 6 2" xfId="3449"/>
    <cellStyle name="좋음 7" xfId="3450"/>
    <cellStyle name="좋음 7 2" xfId="3451"/>
    <cellStyle name="좋음 8" xfId="3452"/>
    <cellStyle name="좋음 8 2" xfId="3453"/>
    <cellStyle name="좋음 9" xfId="3454"/>
    <cellStyle name="좋음 9 2" xfId="3455"/>
    <cellStyle name="출력 10" xfId="3456"/>
    <cellStyle name="출력 10 2" xfId="3457"/>
    <cellStyle name="출력 11" xfId="3458"/>
    <cellStyle name="출력 11 2" xfId="3459"/>
    <cellStyle name="출력 12" xfId="3460"/>
    <cellStyle name="출력 12 2" xfId="3461"/>
    <cellStyle name="출력 13" xfId="3462"/>
    <cellStyle name="출력 13 2" xfId="3463"/>
    <cellStyle name="출력 14" xfId="3464"/>
    <cellStyle name="출력 14 2" xfId="3465"/>
    <cellStyle name="출력 15" xfId="3466"/>
    <cellStyle name="출력 15 2" xfId="3467"/>
    <cellStyle name="출력 16" xfId="3468"/>
    <cellStyle name="출력 16 2" xfId="3469"/>
    <cellStyle name="출력 17" xfId="3470"/>
    <cellStyle name="출력 17 2" xfId="3471"/>
    <cellStyle name="출력 18" xfId="3472"/>
    <cellStyle name="출력 18 2" xfId="3473"/>
    <cellStyle name="출력 19" xfId="3474"/>
    <cellStyle name="출력 19 2" xfId="3475"/>
    <cellStyle name="출력 2" xfId="3476"/>
    <cellStyle name="출력 2 10" xfId="3477"/>
    <cellStyle name="출력 2 11" xfId="3478"/>
    <cellStyle name="출력 2 12" xfId="3479"/>
    <cellStyle name="출력 2 13" xfId="3480"/>
    <cellStyle name="출력 2 14" xfId="3481"/>
    <cellStyle name="출력 2 15" xfId="3482"/>
    <cellStyle name="출력 2 2" xfId="3483"/>
    <cellStyle name="출력 2 3" xfId="3484"/>
    <cellStyle name="출력 2 4" xfId="3485"/>
    <cellStyle name="출력 2 5" xfId="3486"/>
    <cellStyle name="출력 2 6" xfId="3487"/>
    <cellStyle name="출력 2 7" xfId="3488"/>
    <cellStyle name="출력 2 8" xfId="3489"/>
    <cellStyle name="출력 2 9" xfId="3490"/>
    <cellStyle name="출력 20" xfId="3491"/>
    <cellStyle name="출력 20 2" xfId="3492"/>
    <cellStyle name="출력 21" xfId="3493"/>
    <cellStyle name="출력 21 2" xfId="3494"/>
    <cellStyle name="출력 22" xfId="3495"/>
    <cellStyle name="출력 22 2" xfId="3496"/>
    <cellStyle name="출력 23" xfId="3497"/>
    <cellStyle name="출력 23 2" xfId="3498"/>
    <cellStyle name="출력 24" xfId="3499"/>
    <cellStyle name="출력 24 2" xfId="3500"/>
    <cellStyle name="출력 25" xfId="3501"/>
    <cellStyle name="출력 25 2" xfId="3502"/>
    <cellStyle name="출력 26" xfId="3503"/>
    <cellStyle name="출력 26 2" xfId="3504"/>
    <cellStyle name="출력 27" xfId="3505"/>
    <cellStyle name="출력 27 2" xfId="3506"/>
    <cellStyle name="출력 28" xfId="3507"/>
    <cellStyle name="출력 28 2" xfId="3508"/>
    <cellStyle name="출력 29" xfId="3509"/>
    <cellStyle name="출력 29 2" xfId="3510"/>
    <cellStyle name="출력 3" xfId="3511"/>
    <cellStyle name="출력 3 2" xfId="3512"/>
    <cellStyle name="출력 30" xfId="3513"/>
    <cellStyle name="출력 30 2" xfId="3514"/>
    <cellStyle name="출력 31" xfId="3515"/>
    <cellStyle name="출력 31 2" xfId="3516"/>
    <cellStyle name="출력 32" xfId="3517"/>
    <cellStyle name="출력 32 2" xfId="3518"/>
    <cellStyle name="출력 33" xfId="3519"/>
    <cellStyle name="출력 33 2" xfId="3520"/>
    <cellStyle name="출력 34" xfId="3521"/>
    <cellStyle name="출력 34 2" xfId="3522"/>
    <cellStyle name="출력 35" xfId="3523"/>
    <cellStyle name="출력 35 2" xfId="3524"/>
    <cellStyle name="출력 36" xfId="3525"/>
    <cellStyle name="출력 36 2" xfId="3526"/>
    <cellStyle name="출력 37" xfId="3527"/>
    <cellStyle name="출력 37 2" xfId="3528"/>
    <cellStyle name="출력 4" xfId="3529"/>
    <cellStyle name="출력 4 2" xfId="3530"/>
    <cellStyle name="출력 5" xfId="3531"/>
    <cellStyle name="출력 5 2" xfId="3532"/>
    <cellStyle name="출력 6" xfId="3533"/>
    <cellStyle name="출력 6 2" xfId="3534"/>
    <cellStyle name="출력 7" xfId="3535"/>
    <cellStyle name="출력 7 2" xfId="3536"/>
    <cellStyle name="출력 8" xfId="3537"/>
    <cellStyle name="출력 8 2" xfId="3538"/>
    <cellStyle name="출력 9" xfId="3539"/>
    <cellStyle name="출력 9 2" xfId="3540"/>
    <cellStyle name="표준" xfId="0" builtinId="0"/>
    <cellStyle name="표준 10" xfId="3541"/>
    <cellStyle name="표준 10 2" xfId="3542"/>
    <cellStyle name="표준 10 3" xfId="3543"/>
    <cellStyle name="표준 10 4" xfId="3544"/>
    <cellStyle name="표준 10 5" xfId="3545"/>
    <cellStyle name="표준 10 6" xfId="3546"/>
    <cellStyle name="표준 10 7" xfId="3547"/>
    <cellStyle name="표준 11" xfId="3548"/>
    <cellStyle name="표준 11 2" xfId="3549"/>
    <cellStyle name="표준 12" xfId="3684"/>
    <cellStyle name="표준 13" xfId="3685"/>
    <cellStyle name="표준 14" xfId="3699"/>
    <cellStyle name="표준 15" xfId="3700"/>
    <cellStyle name="표준 16" xfId="3687"/>
    <cellStyle name="표준 17" xfId="3688"/>
    <cellStyle name="표준 2" xfId="3550"/>
    <cellStyle name="표준 2 10" xfId="3551"/>
    <cellStyle name="표준 2 10 10" xfId="3552"/>
    <cellStyle name="표준 2 10 11" xfId="3553"/>
    <cellStyle name="표준 2 10 2" xfId="3554"/>
    <cellStyle name="표준 2 10 3" xfId="3555"/>
    <cellStyle name="표준 2 10 4" xfId="3556"/>
    <cellStyle name="표준 2 10 5" xfId="3557"/>
    <cellStyle name="표준 2 10 6" xfId="3558"/>
    <cellStyle name="표준 2 10 7" xfId="3559"/>
    <cellStyle name="표준 2 10 8" xfId="3560"/>
    <cellStyle name="표준 2 10 9" xfId="3561"/>
    <cellStyle name="표준 2 11" xfId="3562"/>
    <cellStyle name="표준 2 11 10" xfId="3563"/>
    <cellStyle name="표준 2 11 11" xfId="3564"/>
    <cellStyle name="표준 2 11 2" xfId="3565"/>
    <cellStyle name="표준 2 11 3" xfId="3566"/>
    <cellStyle name="표준 2 11 4" xfId="3567"/>
    <cellStyle name="표준 2 11 5" xfId="3568"/>
    <cellStyle name="표준 2 11 6" xfId="3569"/>
    <cellStyle name="표준 2 11 7" xfId="3570"/>
    <cellStyle name="표준 2 11 8" xfId="3571"/>
    <cellStyle name="표준 2 11 9" xfId="3572"/>
    <cellStyle name="표준 2 2" xfId="3573"/>
    <cellStyle name="표준 2 3" xfId="3574"/>
    <cellStyle name="표준 2 3 10" xfId="3575"/>
    <cellStyle name="표준 2 3 11" xfId="3576"/>
    <cellStyle name="표준 2 3 12" xfId="3577"/>
    <cellStyle name="표준 2 3 13" xfId="3578"/>
    <cellStyle name="표준 2 3 14" xfId="3579"/>
    <cellStyle name="표준 2 3 2" xfId="3580"/>
    <cellStyle name="표준 2 3 3" xfId="3581"/>
    <cellStyle name="표준 2 3 4" xfId="3582"/>
    <cellStyle name="표준 2 3 5" xfId="3583"/>
    <cellStyle name="표준 2 3 6" xfId="3584"/>
    <cellStyle name="표준 2 3 7" xfId="3585"/>
    <cellStyle name="표준 2 3 8" xfId="3586"/>
    <cellStyle name="표준 2 3 9" xfId="3587"/>
    <cellStyle name="표준 2 4" xfId="3588"/>
    <cellStyle name="표준 2 5" xfId="3589"/>
    <cellStyle name="표준 2 6" xfId="3590"/>
    <cellStyle name="표준 2 7" xfId="3591"/>
    <cellStyle name="표준 2 8" xfId="3592"/>
    <cellStyle name="표준 2 9" xfId="3593"/>
    <cellStyle name="표준 3" xfId="3594"/>
    <cellStyle name="표준 4" xfId="3595"/>
    <cellStyle name="표준 4 10" xfId="3596"/>
    <cellStyle name="표준 4 11" xfId="3597"/>
    <cellStyle name="표준 4 12" xfId="3598"/>
    <cellStyle name="표준 4 13" xfId="3599"/>
    <cellStyle name="표준 4 14" xfId="3600"/>
    <cellStyle name="표준 4 15" xfId="3601"/>
    <cellStyle name="표준 4 16" xfId="3602"/>
    <cellStyle name="표준 4 17" xfId="3603"/>
    <cellStyle name="표준 4 18" xfId="3604"/>
    <cellStyle name="표준 4 19" xfId="3605"/>
    <cellStyle name="표준 4 2" xfId="3606"/>
    <cellStyle name="표준 4 20" xfId="3607"/>
    <cellStyle name="표준 4 21" xfId="3608"/>
    <cellStyle name="표준 4 22" xfId="3609"/>
    <cellStyle name="표준 4 23" xfId="3610"/>
    <cellStyle name="표준 4 24" xfId="3611"/>
    <cellStyle name="표준 4 25" xfId="3612"/>
    <cellStyle name="표준 4 26" xfId="3613"/>
    <cellStyle name="표준 4 27" xfId="3614"/>
    <cellStyle name="표준 4 28" xfId="3615"/>
    <cellStyle name="표준 4 29" xfId="3616"/>
    <cellStyle name="표준 4 3" xfId="3617"/>
    <cellStyle name="표준 4 30" xfId="3618"/>
    <cellStyle name="표준 4 31" xfId="3619"/>
    <cellStyle name="표준 4 32" xfId="3620"/>
    <cellStyle name="표준 4 33" xfId="3621"/>
    <cellStyle name="표준 4 34" xfId="3622"/>
    <cellStyle name="표준 4 35" xfId="3623"/>
    <cellStyle name="표준 4 36" xfId="3624"/>
    <cellStyle name="표준 4 37" xfId="3625"/>
    <cellStyle name="표준 4 38" xfId="3626"/>
    <cellStyle name="표준 4 39" xfId="3627"/>
    <cellStyle name="표준 4 4" xfId="3628"/>
    <cellStyle name="표준 4 40" xfId="3629"/>
    <cellStyle name="표준 4 41" xfId="3630"/>
    <cellStyle name="표준 4 42" xfId="3631"/>
    <cellStyle name="표준 4 43" xfId="3632"/>
    <cellStyle name="표준 4 44" xfId="3633"/>
    <cellStyle name="표준 4 45" xfId="3634"/>
    <cellStyle name="표준 4 46" xfId="3635"/>
    <cellStyle name="표준 4 47" xfId="3636"/>
    <cellStyle name="표준 4 48" xfId="3637"/>
    <cellStyle name="표준 4 49" xfId="3638"/>
    <cellStyle name="표준 4 5" xfId="3639"/>
    <cellStyle name="표준 4 50" xfId="3640"/>
    <cellStyle name="표준 4 51" xfId="3641"/>
    <cellStyle name="표준 4 52" xfId="3642"/>
    <cellStyle name="표준 4 53" xfId="3643"/>
    <cellStyle name="표준 4 54" xfId="3644"/>
    <cellStyle name="표준 4 55" xfId="3645"/>
    <cellStyle name="표준 4 6" xfId="3646"/>
    <cellStyle name="표준 4 7" xfId="3647"/>
    <cellStyle name="표준 4 8" xfId="3648"/>
    <cellStyle name="표준 4 9" xfId="3649"/>
    <cellStyle name="표준 5" xfId="3650"/>
    <cellStyle name="표준 5 2" xfId="3651"/>
    <cellStyle name="표준 5 3" xfId="3652"/>
    <cellStyle name="표준 5 4" xfId="3653"/>
    <cellStyle name="표준 6" xfId="3654"/>
    <cellStyle name="표준 6 2" xfId="3655"/>
    <cellStyle name="표준 6 3" xfId="3656"/>
    <cellStyle name="표준 6 4" xfId="3657"/>
    <cellStyle name="표준 7" xfId="3658"/>
    <cellStyle name="표준 7 10" xfId="3689"/>
    <cellStyle name="표준 7 11" xfId="3690"/>
    <cellStyle name="표준 7 12" xfId="3691"/>
    <cellStyle name="표준 7 2" xfId="3659"/>
    <cellStyle name="표준 7 3" xfId="3660"/>
    <cellStyle name="표준 7 4" xfId="3661"/>
    <cellStyle name="표준 7 5" xfId="3662"/>
    <cellStyle name="표준 7 6" xfId="3663"/>
    <cellStyle name="표준 7 7" xfId="3664"/>
    <cellStyle name="표준 7 8" xfId="3692"/>
    <cellStyle name="표준 7 9" xfId="3693"/>
    <cellStyle name="표준 8" xfId="3665"/>
    <cellStyle name="표준 8 10" xfId="3694"/>
    <cellStyle name="표준 8 11" xfId="3695"/>
    <cellStyle name="표준 8 12" xfId="3696"/>
    <cellStyle name="표준 8 2" xfId="3666"/>
    <cellStyle name="표준 8 3" xfId="3667"/>
    <cellStyle name="표준 8 4" xfId="3668"/>
    <cellStyle name="표준 8 5" xfId="3669"/>
    <cellStyle name="표준 8 5 10" xfId="3670"/>
    <cellStyle name="표준 8 5 11" xfId="3671"/>
    <cellStyle name="표준 8 5 2" xfId="3672"/>
    <cellStyle name="표준 8 5 3" xfId="3673"/>
    <cellStyle name="표준 8 5 4" xfId="3674"/>
    <cellStyle name="표준 8 5 5" xfId="3675"/>
    <cellStyle name="표준 8 5 6" xfId="3676"/>
    <cellStyle name="표준 8 5 7" xfId="3677"/>
    <cellStyle name="표준 8 5 8" xfId="3678"/>
    <cellStyle name="표준 8 5 9" xfId="3679"/>
    <cellStyle name="표준 8 6" xfId="3680"/>
    <cellStyle name="표준 8 7" xfId="3681"/>
    <cellStyle name="표준 8 8" xfId="3697"/>
    <cellStyle name="표준 8 9" xfId="3698"/>
    <cellStyle name="표준 9" xfId="3682"/>
    <cellStyle name="표준 9 2" xfId="368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>
      <selection activeCell="A12" sqref="A12"/>
    </sheetView>
  </sheetViews>
  <sheetFormatPr defaultColWidth="15.88671875" defaultRowHeight="20.100000000000001" customHeight="1"/>
  <cols>
    <col min="2" max="2" width="21" customWidth="1"/>
    <col min="3" max="3" width="20.109375" customWidth="1"/>
  </cols>
  <sheetData>
    <row r="1" spans="1:7" ht="24.95" customHeight="1">
      <c r="A1" s="349" t="s">
        <v>1299</v>
      </c>
      <c r="B1" s="349"/>
      <c r="C1" s="349"/>
      <c r="D1" s="349"/>
      <c r="E1" s="349"/>
      <c r="F1" s="349"/>
      <c r="G1" s="349"/>
    </row>
    <row r="2" spans="1:7" ht="24.95" customHeight="1">
      <c r="A2" s="350" t="s">
        <v>443</v>
      </c>
      <c r="B2" s="350"/>
      <c r="C2" s="350"/>
      <c r="D2" s="350"/>
      <c r="E2" s="350"/>
      <c r="F2" s="350"/>
      <c r="G2" s="350"/>
    </row>
    <row r="3" spans="1:7" ht="24.95" customHeight="1" thickBot="1">
      <c r="A3" s="222" t="s">
        <v>19</v>
      </c>
      <c r="B3" s="223"/>
      <c r="C3" s="223"/>
      <c r="D3" s="224"/>
      <c r="E3" s="224"/>
      <c r="F3" s="224"/>
      <c r="G3" s="225" t="s">
        <v>20</v>
      </c>
    </row>
    <row r="4" spans="1:7" ht="20.100000000000001" customHeight="1">
      <c r="A4" s="351" t="s">
        <v>21</v>
      </c>
      <c r="B4" s="352"/>
      <c r="C4" s="352"/>
      <c r="D4" s="353" t="s">
        <v>444</v>
      </c>
      <c r="E4" s="353" t="s">
        <v>74</v>
      </c>
      <c r="F4" s="353" t="s">
        <v>22</v>
      </c>
      <c r="G4" s="347" t="s">
        <v>23</v>
      </c>
    </row>
    <row r="5" spans="1:7" ht="20.100000000000001" customHeight="1" thickBot="1">
      <c r="A5" s="286" t="s">
        <v>24</v>
      </c>
      <c r="B5" s="287" t="s">
        <v>25</v>
      </c>
      <c r="C5" s="287" t="s">
        <v>26</v>
      </c>
      <c r="D5" s="354"/>
      <c r="E5" s="354"/>
      <c r="F5" s="354"/>
      <c r="G5" s="348"/>
    </row>
    <row r="6" spans="1:7" ht="20.100000000000001" customHeight="1" thickTop="1">
      <c r="A6" s="355" t="s">
        <v>426</v>
      </c>
      <c r="B6" s="356"/>
      <c r="C6" s="357"/>
      <c r="D6" s="221">
        <f>D29+D31</f>
        <v>217779006</v>
      </c>
      <c r="E6" s="221">
        <f>E29+E31</f>
        <v>210870387</v>
      </c>
      <c r="F6" s="221">
        <f>F29+F31</f>
        <v>6908619</v>
      </c>
      <c r="G6" s="327" t="s">
        <v>76</v>
      </c>
    </row>
    <row r="7" spans="1:7" ht="20.100000000000001" customHeight="1">
      <c r="A7" s="251" t="s">
        <v>27</v>
      </c>
      <c r="B7" s="264"/>
      <c r="C7" s="264"/>
      <c r="D7" s="269">
        <f>D8+D10+D12+D14</f>
        <v>29079796</v>
      </c>
      <c r="E7" s="269">
        <f>E8+E10+E12+E14</f>
        <v>27686576</v>
      </c>
      <c r="F7" s="269">
        <f>F8+F10+F12+F14</f>
        <v>1393220</v>
      </c>
      <c r="G7" s="252" t="s">
        <v>77</v>
      </c>
    </row>
    <row r="8" spans="1:7" ht="20.100000000000001" customHeight="1">
      <c r="A8" s="253"/>
      <c r="B8" s="265" t="s">
        <v>28</v>
      </c>
      <c r="C8" s="265" t="s">
        <v>29</v>
      </c>
      <c r="D8" s="270">
        <f>D9</f>
        <v>25122727</v>
      </c>
      <c r="E8" s="270">
        <f>E9</f>
        <v>23058421</v>
      </c>
      <c r="F8" s="271">
        <f>F9</f>
        <v>2064306</v>
      </c>
      <c r="G8" s="254" t="s">
        <v>78</v>
      </c>
    </row>
    <row r="9" spans="1:7" ht="20.100000000000001" customHeight="1">
      <c r="A9" s="253"/>
      <c r="B9" s="266"/>
      <c r="C9" s="266" t="s">
        <v>28</v>
      </c>
      <c r="D9" s="272">
        <v>25122727</v>
      </c>
      <c r="E9" s="272">
        <v>23058421</v>
      </c>
      <c r="F9" s="218">
        <f>D9-E9</f>
        <v>2064306</v>
      </c>
      <c r="G9" s="255"/>
    </row>
    <row r="10" spans="1:7" ht="20.100000000000001" customHeight="1">
      <c r="A10" s="253"/>
      <c r="B10" s="265" t="s">
        <v>30</v>
      </c>
      <c r="C10" s="265"/>
      <c r="D10" s="270">
        <f>D11</f>
        <v>414648</v>
      </c>
      <c r="E10" s="270">
        <f>E11</f>
        <v>454648</v>
      </c>
      <c r="F10" s="271">
        <f>F11</f>
        <v>-40000</v>
      </c>
      <c r="G10" s="256"/>
    </row>
    <row r="11" spans="1:7" ht="20.100000000000001" customHeight="1">
      <c r="A11" s="253"/>
      <c r="B11" s="266"/>
      <c r="C11" s="266" t="s">
        <v>30</v>
      </c>
      <c r="D11" s="272">
        <v>414648</v>
      </c>
      <c r="E11" s="272">
        <v>454648</v>
      </c>
      <c r="F11" s="218">
        <f>D11-E11</f>
        <v>-40000</v>
      </c>
      <c r="G11" s="257"/>
    </row>
    <row r="12" spans="1:7" ht="20.100000000000001" customHeight="1">
      <c r="A12" s="253"/>
      <c r="B12" s="265" t="s">
        <v>31</v>
      </c>
      <c r="C12" s="265"/>
      <c r="D12" s="270">
        <f>D13</f>
        <v>1383000</v>
      </c>
      <c r="E12" s="270">
        <f>E13</f>
        <v>1013433</v>
      </c>
      <c r="F12" s="271">
        <f>F13</f>
        <v>369567</v>
      </c>
      <c r="G12" s="256"/>
    </row>
    <row r="13" spans="1:7" ht="20.100000000000001" customHeight="1">
      <c r="A13" s="253"/>
      <c r="B13" s="266"/>
      <c r="C13" s="266" t="s">
        <v>31</v>
      </c>
      <c r="D13" s="272">
        <v>1383000</v>
      </c>
      <c r="E13" s="272">
        <v>1013433</v>
      </c>
      <c r="F13" s="218">
        <f>D13-E13</f>
        <v>369567</v>
      </c>
      <c r="G13" s="257"/>
    </row>
    <row r="14" spans="1:7" ht="20.100000000000001" customHeight="1">
      <c r="A14" s="253"/>
      <c r="B14" s="265" t="s">
        <v>32</v>
      </c>
      <c r="C14" s="265"/>
      <c r="D14" s="270">
        <f>D15</f>
        <v>2159421</v>
      </c>
      <c r="E14" s="270">
        <f>E15</f>
        <v>3160074</v>
      </c>
      <c r="F14" s="271">
        <f>F15</f>
        <v>-1000653</v>
      </c>
      <c r="G14" s="256"/>
    </row>
    <row r="15" spans="1:7" ht="20.100000000000001" customHeight="1">
      <c r="A15" s="253"/>
      <c r="B15" s="266"/>
      <c r="C15" s="266" t="s">
        <v>32</v>
      </c>
      <c r="D15" s="272">
        <v>2159421</v>
      </c>
      <c r="E15" s="272">
        <v>3160074</v>
      </c>
      <c r="F15" s="218">
        <f>D15-E15</f>
        <v>-1000653</v>
      </c>
      <c r="G15" s="257"/>
    </row>
    <row r="16" spans="1:7" ht="20.100000000000001" customHeight="1">
      <c r="A16" s="258" t="s">
        <v>33</v>
      </c>
      <c r="B16" s="267"/>
      <c r="C16" s="267"/>
      <c r="D16" s="276">
        <f>D17+D21</f>
        <v>134577565</v>
      </c>
      <c r="E16" s="276">
        <f>E17+E21</f>
        <v>120152515</v>
      </c>
      <c r="F16" s="276">
        <f>F17+F21</f>
        <v>14425050</v>
      </c>
      <c r="G16" s="259"/>
    </row>
    <row r="17" spans="1:7" ht="20.100000000000001" customHeight="1">
      <c r="A17" s="253"/>
      <c r="B17" s="265" t="s">
        <v>34</v>
      </c>
      <c r="C17" s="265"/>
      <c r="D17" s="270">
        <f>SUM(D18:D20)</f>
        <v>129899618</v>
      </c>
      <c r="E17" s="270">
        <f>SUM(E18:E20)</f>
        <v>114742920</v>
      </c>
      <c r="F17" s="271">
        <f>SUM(F18:F20)</f>
        <v>15156698</v>
      </c>
      <c r="G17" s="256"/>
    </row>
    <row r="18" spans="1:7" ht="20.100000000000001" customHeight="1">
      <c r="A18" s="253"/>
      <c r="B18" s="266"/>
      <c r="C18" s="266" t="s">
        <v>35</v>
      </c>
      <c r="D18" s="272">
        <v>76874242</v>
      </c>
      <c r="E18" s="272">
        <v>69071294</v>
      </c>
      <c r="F18" s="218">
        <f>D18-E18</f>
        <v>7802948</v>
      </c>
      <c r="G18" s="257"/>
    </row>
    <row r="19" spans="1:7" ht="20.100000000000001" customHeight="1">
      <c r="A19" s="253"/>
      <c r="B19" s="266"/>
      <c r="C19" s="266" t="s">
        <v>36</v>
      </c>
      <c r="D19" s="272">
        <v>47079189</v>
      </c>
      <c r="E19" s="272">
        <v>40037630</v>
      </c>
      <c r="F19" s="218">
        <f t="shared" ref="F19:F20" si="0">D19-E19</f>
        <v>7041559</v>
      </c>
      <c r="G19" s="257"/>
    </row>
    <row r="20" spans="1:7" ht="20.100000000000001" customHeight="1">
      <c r="A20" s="253"/>
      <c r="B20" s="266"/>
      <c r="C20" s="266" t="s">
        <v>37</v>
      </c>
      <c r="D20" s="272">
        <v>5946187</v>
      </c>
      <c r="E20" s="272">
        <v>5633996</v>
      </c>
      <c r="F20" s="218">
        <f t="shared" si="0"/>
        <v>312191</v>
      </c>
      <c r="G20" s="257"/>
    </row>
    <row r="21" spans="1:7" ht="20.100000000000001" customHeight="1">
      <c r="A21" s="253"/>
      <c r="B21" s="265" t="s">
        <v>38</v>
      </c>
      <c r="C21" s="265"/>
      <c r="D21" s="270">
        <f>SUM(D22:D24)</f>
        <v>4677947</v>
      </c>
      <c r="E21" s="270">
        <f>SUM(E22:E24)</f>
        <v>5409595</v>
      </c>
      <c r="F21" s="271">
        <f>SUM(F22:F24)</f>
        <v>-731648</v>
      </c>
      <c r="G21" s="256"/>
    </row>
    <row r="22" spans="1:7" ht="20.100000000000001" customHeight="1">
      <c r="A22" s="253"/>
      <c r="B22" s="266"/>
      <c r="C22" s="266" t="s">
        <v>39</v>
      </c>
      <c r="D22" s="272">
        <v>2437656</v>
      </c>
      <c r="E22" s="272">
        <v>2547587</v>
      </c>
      <c r="F22" s="218">
        <f>D22-E22</f>
        <v>-109931</v>
      </c>
      <c r="G22" s="257"/>
    </row>
    <row r="23" spans="1:7" ht="20.100000000000001" customHeight="1">
      <c r="A23" s="253"/>
      <c r="B23" s="266"/>
      <c r="C23" s="266" t="s">
        <v>40</v>
      </c>
      <c r="D23" s="272">
        <v>1862921</v>
      </c>
      <c r="E23" s="272">
        <v>2401790</v>
      </c>
      <c r="F23" s="218">
        <f>D23-E23</f>
        <v>-538869</v>
      </c>
      <c r="G23" s="257"/>
    </row>
    <row r="24" spans="1:7" ht="20.100000000000001" customHeight="1">
      <c r="A24" s="253"/>
      <c r="B24" s="266"/>
      <c r="C24" s="266" t="s">
        <v>38</v>
      </c>
      <c r="D24" s="272">
        <v>377370</v>
      </c>
      <c r="E24" s="272">
        <v>460218</v>
      </c>
      <c r="F24" s="218">
        <f>D24-E24</f>
        <v>-82848</v>
      </c>
      <c r="G24" s="257"/>
    </row>
    <row r="25" spans="1:7" ht="20.100000000000001" customHeight="1">
      <c r="A25" s="258" t="s">
        <v>41</v>
      </c>
      <c r="B25" s="267"/>
      <c r="C25" s="267"/>
      <c r="D25" s="276">
        <f>D26</f>
        <v>1672423</v>
      </c>
      <c r="E25" s="276">
        <f>E26</f>
        <v>1737751</v>
      </c>
      <c r="F25" s="276">
        <f>F26</f>
        <v>-65328</v>
      </c>
      <c r="G25" s="260"/>
    </row>
    <row r="26" spans="1:7" ht="20.100000000000001" customHeight="1">
      <c r="A26" s="253"/>
      <c r="B26" s="265" t="s">
        <v>41</v>
      </c>
      <c r="C26" s="265"/>
      <c r="D26" s="270">
        <f>SUM(D27:D28)</f>
        <v>1672423</v>
      </c>
      <c r="E26" s="270">
        <f>SUM(E27:E28)</f>
        <v>1737751</v>
      </c>
      <c r="F26" s="271">
        <f>SUM(F27:F28)</f>
        <v>-65328</v>
      </c>
      <c r="G26" s="256"/>
    </row>
    <row r="27" spans="1:7" ht="20.100000000000001" customHeight="1">
      <c r="A27" s="253"/>
      <c r="B27" s="266"/>
      <c r="C27" s="266" t="s">
        <v>42</v>
      </c>
      <c r="D27" s="272">
        <v>1559423</v>
      </c>
      <c r="E27" s="272">
        <v>1635265</v>
      </c>
      <c r="F27" s="218">
        <f>D27-E27</f>
        <v>-75842</v>
      </c>
      <c r="G27" s="257"/>
    </row>
    <row r="28" spans="1:7" ht="20.100000000000001" customHeight="1">
      <c r="A28" s="253"/>
      <c r="B28" s="266"/>
      <c r="C28" s="268" t="s">
        <v>43</v>
      </c>
      <c r="D28" s="272">
        <v>113000</v>
      </c>
      <c r="E28" s="272">
        <v>102486</v>
      </c>
      <c r="F28" s="218">
        <f>D28-E28</f>
        <v>10514</v>
      </c>
      <c r="G28" s="257"/>
    </row>
    <row r="29" spans="1:7" ht="20.100000000000001" customHeight="1">
      <c r="A29" s="361" t="s">
        <v>427</v>
      </c>
      <c r="B29" s="362"/>
      <c r="C29" s="363"/>
      <c r="D29" s="277">
        <f>D7+D16+D25</f>
        <v>165329784</v>
      </c>
      <c r="E29" s="277">
        <f>E7+E16+E25</f>
        <v>149576842</v>
      </c>
      <c r="F29" s="277">
        <f>F7+F16+F25</f>
        <v>15752942</v>
      </c>
      <c r="G29" s="261"/>
    </row>
    <row r="30" spans="1:7" ht="20.100000000000001" customHeight="1">
      <c r="A30" s="258" t="s">
        <v>44</v>
      </c>
      <c r="B30" s="267"/>
      <c r="C30" s="267"/>
      <c r="D30" s="276">
        <v>52449222</v>
      </c>
      <c r="E30" s="276">
        <v>61293545</v>
      </c>
      <c r="F30" s="276">
        <f>D30-E30</f>
        <v>-8844323</v>
      </c>
      <c r="G30" s="260"/>
    </row>
    <row r="31" spans="1:7" ht="20.100000000000001" customHeight="1" thickBot="1">
      <c r="A31" s="358" t="s">
        <v>428</v>
      </c>
      <c r="B31" s="359"/>
      <c r="C31" s="360"/>
      <c r="D31" s="219">
        <f>D30</f>
        <v>52449222</v>
      </c>
      <c r="E31" s="219">
        <f>E30</f>
        <v>61293545</v>
      </c>
      <c r="F31" s="219">
        <f>F30</f>
        <v>-8844323</v>
      </c>
      <c r="G31" s="220"/>
    </row>
    <row r="32" spans="1:7" ht="20.100000000000001" customHeight="1">
      <c r="A32" s="346"/>
      <c r="B32" s="346"/>
      <c r="C32" s="346"/>
      <c r="D32" s="346"/>
      <c r="E32" s="346"/>
      <c r="F32" s="346"/>
      <c r="G32" s="346"/>
    </row>
  </sheetData>
  <autoFilter ref="A5:G31"/>
  <mergeCells count="11">
    <mergeCell ref="A32:G32"/>
    <mergeCell ref="G4:G5"/>
    <mergeCell ref="A1:G1"/>
    <mergeCell ref="A2:G2"/>
    <mergeCell ref="A4:C4"/>
    <mergeCell ref="D4:D5"/>
    <mergeCell ref="E4:E5"/>
    <mergeCell ref="F4:F5"/>
    <mergeCell ref="A6:C6"/>
    <mergeCell ref="A31:C31"/>
    <mergeCell ref="A29:C29"/>
  </mergeCells>
  <phoneticPr fontId="2" type="noConversion"/>
  <printOptions horizontalCentered="1"/>
  <pageMargins left="0.19685039370078741" right="0.19685039370078741" top="0.74803149606299213" bottom="0.47244094488188981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52"/>
  </sheetPr>
  <dimension ref="A1:F336"/>
  <sheetViews>
    <sheetView zoomScale="75" zoomScaleNormal="75" zoomScaleSheetLayoutView="79" workbookViewId="0">
      <pane ySplit="3" topLeftCell="A4" activePane="bottomLeft" state="frozenSplit"/>
      <selection activeCell="E51" sqref="E51"/>
      <selection pane="bottomLeft" activeCell="C17" sqref="C17"/>
    </sheetView>
  </sheetViews>
  <sheetFormatPr defaultRowHeight="24.95" customHeight="1"/>
  <cols>
    <col min="1" max="1" width="24.109375" style="33" customWidth="1"/>
    <col min="2" max="2" width="23" style="33" customWidth="1"/>
    <col min="3" max="3" width="24.109375" style="33" customWidth="1"/>
    <col min="4" max="4" width="16.77734375" style="206" customWidth="1"/>
    <col min="5" max="5" width="66.5546875" style="11" customWidth="1"/>
    <col min="6" max="6" width="18" style="4" customWidth="1"/>
    <col min="7" max="16384" width="8.88671875" style="33"/>
  </cols>
  <sheetData>
    <row r="1" spans="1:6" s="333" customFormat="1" ht="24.95" customHeight="1">
      <c r="A1" s="332" t="s">
        <v>445</v>
      </c>
      <c r="B1" s="332"/>
      <c r="D1" s="334"/>
      <c r="E1" s="335"/>
      <c r="F1" s="336"/>
    </row>
    <row r="2" spans="1:6" ht="24.95" customHeight="1" thickBot="1">
      <c r="B2" s="10"/>
      <c r="D2" s="201"/>
      <c r="E2" s="33"/>
      <c r="F2" s="18" t="s">
        <v>418</v>
      </c>
    </row>
    <row r="3" spans="1:6" ht="24.95" customHeight="1" thickBot="1">
      <c r="A3" s="331" t="s">
        <v>104</v>
      </c>
      <c r="B3" s="330" t="s">
        <v>83</v>
      </c>
      <c r="C3" s="330" t="s">
        <v>105</v>
      </c>
      <c r="D3" s="328" t="s">
        <v>84</v>
      </c>
      <c r="E3" s="364" t="s">
        <v>106</v>
      </c>
      <c r="F3" s="365"/>
    </row>
    <row r="4" spans="1:6" ht="24.95" customHeight="1" thickTop="1">
      <c r="A4" s="372" t="s">
        <v>432</v>
      </c>
      <c r="B4" s="373"/>
      <c r="C4" s="374"/>
      <c r="D4" s="322">
        <f>D335+D264</f>
        <v>217779006469</v>
      </c>
      <c r="E4" s="323"/>
      <c r="F4" s="324"/>
    </row>
    <row r="5" spans="1:6" ht="24.95" customHeight="1">
      <c r="A5" s="310" t="s">
        <v>149</v>
      </c>
      <c r="B5" s="62"/>
      <c r="C5" s="62"/>
      <c r="D5" s="90">
        <f>D6+D11+D19+D28</f>
        <v>29079796261</v>
      </c>
      <c r="E5" s="207"/>
      <c r="F5" s="208"/>
    </row>
    <row r="6" spans="1:6" ht="24.95" customHeight="1">
      <c r="A6" s="158"/>
      <c r="B6" s="122" t="s">
        <v>150</v>
      </c>
      <c r="C6" s="122"/>
      <c r="D6" s="91">
        <f>D7</f>
        <v>25122727421</v>
      </c>
      <c r="E6" s="123"/>
      <c r="F6" s="159"/>
    </row>
    <row r="7" spans="1:6" ht="24.95" customHeight="1">
      <c r="A7" s="160"/>
      <c r="B7" s="63"/>
      <c r="C7" s="311" t="s">
        <v>150</v>
      </c>
      <c r="D7" s="92">
        <f>SUM(D8:D10)</f>
        <v>25122727421</v>
      </c>
      <c r="E7" s="124"/>
      <c r="F7" s="161"/>
    </row>
    <row r="8" spans="1:6" s="136" customFormat="1" ht="24.95" customHeight="1">
      <c r="A8" s="162"/>
      <c r="B8" s="82"/>
      <c r="C8" s="128"/>
      <c r="D8" s="202">
        <f>145522000+20000000+550000000+5000000+21742986000+1069690870</f>
        <v>23533198870</v>
      </c>
      <c r="E8" s="125" t="s">
        <v>175</v>
      </c>
      <c r="F8" s="163"/>
    </row>
    <row r="9" spans="1:6" s="136" customFormat="1" ht="24.95" customHeight="1">
      <c r="A9" s="162"/>
      <c r="B9" s="82"/>
      <c r="C9" s="128"/>
      <c r="D9" s="135">
        <v>1589528551</v>
      </c>
      <c r="E9" s="125" t="s">
        <v>18</v>
      </c>
      <c r="F9" s="163"/>
    </row>
    <row r="10" spans="1:6" s="136" customFormat="1" ht="24.95" customHeight="1">
      <c r="A10" s="162"/>
      <c r="B10" s="82"/>
      <c r="C10" s="186"/>
      <c r="D10" s="93"/>
      <c r="E10" s="312" t="s">
        <v>176</v>
      </c>
      <c r="F10" s="43">
        <v>1589528551</v>
      </c>
    </row>
    <row r="11" spans="1:6" ht="24.95" customHeight="1">
      <c r="A11" s="158"/>
      <c r="B11" s="122" t="s">
        <v>151</v>
      </c>
      <c r="C11" s="122"/>
      <c r="D11" s="91">
        <f>D12</f>
        <v>414648000</v>
      </c>
      <c r="E11" s="123"/>
      <c r="F11" s="159"/>
    </row>
    <row r="12" spans="1:6" ht="24.95" customHeight="1">
      <c r="A12" s="160"/>
      <c r="B12" s="63"/>
      <c r="C12" s="311" t="s">
        <v>151</v>
      </c>
      <c r="D12" s="92">
        <f>SUM(D13:D18)</f>
        <v>414648000</v>
      </c>
      <c r="E12" s="124"/>
      <c r="F12" s="161"/>
    </row>
    <row r="13" spans="1:6" s="136" customFormat="1" ht="24.95" customHeight="1">
      <c r="A13" s="162"/>
      <c r="B13" s="82"/>
      <c r="C13" s="313"/>
      <c r="D13" s="197">
        <v>305006000</v>
      </c>
      <c r="E13" s="187" t="s">
        <v>177</v>
      </c>
      <c r="F13" s="164"/>
    </row>
    <row r="14" spans="1:6" s="136" customFormat="1" ht="24.95" customHeight="1">
      <c r="A14" s="162"/>
      <c r="B14" s="82"/>
      <c r="C14" s="128"/>
      <c r="D14" s="135"/>
      <c r="E14" s="65" t="s">
        <v>940</v>
      </c>
      <c r="F14" s="163">
        <v>195602000</v>
      </c>
    </row>
    <row r="15" spans="1:6" s="136" customFormat="1" ht="24.95" customHeight="1">
      <c r="A15" s="162"/>
      <c r="B15" s="82"/>
      <c r="C15" s="128"/>
      <c r="D15" s="135"/>
      <c r="E15" s="65" t="s">
        <v>941</v>
      </c>
      <c r="F15" s="163">
        <v>109404000</v>
      </c>
    </row>
    <row r="16" spans="1:6" s="136" customFormat="1" ht="24.95" customHeight="1">
      <c r="A16" s="162"/>
      <c r="B16" s="82"/>
      <c r="C16" s="128"/>
      <c r="D16" s="135">
        <v>109642000</v>
      </c>
      <c r="E16" s="125" t="s">
        <v>942</v>
      </c>
      <c r="F16" s="163"/>
    </row>
    <row r="17" spans="1:6" s="136" customFormat="1" ht="24.95" customHeight="1">
      <c r="A17" s="162"/>
      <c r="B17" s="82"/>
      <c r="C17" s="128"/>
      <c r="D17" s="135"/>
      <c r="E17" s="65" t="s">
        <v>944</v>
      </c>
      <c r="F17" s="163">
        <v>9642000</v>
      </c>
    </row>
    <row r="18" spans="1:6" s="136" customFormat="1" ht="24.95" customHeight="1">
      <c r="A18" s="162"/>
      <c r="B18" s="82"/>
      <c r="C18" s="128"/>
      <c r="D18" s="135"/>
      <c r="E18" s="65" t="s">
        <v>943</v>
      </c>
      <c r="F18" s="163">
        <v>100000000</v>
      </c>
    </row>
    <row r="19" spans="1:6" ht="24.95" customHeight="1">
      <c r="A19" s="158"/>
      <c r="B19" s="122" t="s">
        <v>152</v>
      </c>
      <c r="C19" s="122"/>
      <c r="D19" s="91">
        <f>D20</f>
        <v>1383000000</v>
      </c>
      <c r="E19" s="123"/>
      <c r="F19" s="159"/>
    </row>
    <row r="20" spans="1:6" ht="24.95" customHeight="1">
      <c r="A20" s="158"/>
      <c r="B20" s="121"/>
      <c r="C20" s="311" t="s">
        <v>152</v>
      </c>
      <c r="D20" s="92">
        <f>SUM(D21:D27)</f>
        <v>1383000000</v>
      </c>
      <c r="E20" s="124"/>
      <c r="F20" s="161"/>
    </row>
    <row r="21" spans="1:6" ht="24.95" customHeight="1">
      <c r="A21" s="160"/>
      <c r="B21" s="63"/>
      <c r="C21" s="63"/>
      <c r="D21" s="135">
        <v>393000000</v>
      </c>
      <c r="E21" s="125" t="s">
        <v>178</v>
      </c>
      <c r="F21" s="163"/>
    </row>
    <row r="22" spans="1:6" ht="24.95" customHeight="1">
      <c r="A22" s="160"/>
      <c r="B22" s="63"/>
      <c r="C22" s="63"/>
      <c r="D22" s="135"/>
      <c r="E22" s="321" t="s">
        <v>179</v>
      </c>
      <c r="F22" s="25">
        <v>393000000</v>
      </c>
    </row>
    <row r="23" spans="1:6" ht="24.95" customHeight="1">
      <c r="A23" s="160"/>
      <c r="B23" s="63"/>
      <c r="C23" s="63"/>
      <c r="D23" s="135"/>
      <c r="E23" s="338" t="s">
        <v>945</v>
      </c>
      <c r="F23" s="25"/>
    </row>
    <row r="24" spans="1:6" ht="24.95" customHeight="1">
      <c r="A24" s="160"/>
      <c r="B24" s="63"/>
      <c r="C24" s="63"/>
      <c r="D24" s="135"/>
      <c r="E24" s="338" t="s">
        <v>946</v>
      </c>
      <c r="F24" s="25"/>
    </row>
    <row r="25" spans="1:6" ht="24.95" customHeight="1">
      <c r="A25" s="160"/>
      <c r="B25" s="63"/>
      <c r="C25" s="63"/>
      <c r="D25" s="135"/>
      <c r="E25" s="338" t="s">
        <v>947</v>
      </c>
      <c r="F25" s="25"/>
    </row>
    <row r="26" spans="1:6" ht="24.95" customHeight="1">
      <c r="A26" s="160"/>
      <c r="B26" s="63"/>
      <c r="C26" s="63"/>
      <c r="D26" s="135">
        <v>990000000</v>
      </c>
      <c r="E26" s="125" t="s">
        <v>180</v>
      </c>
      <c r="F26" s="163"/>
    </row>
    <row r="27" spans="1:6" ht="24.95" customHeight="1">
      <c r="A27" s="160"/>
      <c r="B27" s="63"/>
      <c r="C27" s="63"/>
      <c r="D27" s="135"/>
      <c r="E27" s="65" t="s">
        <v>181</v>
      </c>
      <c r="F27" s="163">
        <v>990000000</v>
      </c>
    </row>
    <row r="28" spans="1:6" ht="24.95" customHeight="1">
      <c r="A28" s="158"/>
      <c r="B28" s="122" t="s">
        <v>153</v>
      </c>
      <c r="C28" s="122"/>
      <c r="D28" s="91">
        <f>SUM(D29)</f>
        <v>2159420840</v>
      </c>
      <c r="E28" s="123"/>
      <c r="F28" s="159"/>
    </row>
    <row r="29" spans="1:6" ht="24.95" customHeight="1">
      <c r="A29" s="158"/>
      <c r="B29" s="121"/>
      <c r="C29" s="311" t="s">
        <v>153</v>
      </c>
      <c r="D29" s="92">
        <f>SUM(D30:D40)</f>
        <v>2159420840</v>
      </c>
      <c r="E29" s="66"/>
      <c r="F29" s="161"/>
    </row>
    <row r="30" spans="1:6" ht="24.95" customHeight="1">
      <c r="A30" s="158"/>
      <c r="B30" s="121"/>
      <c r="C30" s="63"/>
      <c r="D30" s="135">
        <v>30000000</v>
      </c>
      <c r="E30" s="125" t="s">
        <v>182</v>
      </c>
      <c r="F30" s="163"/>
    </row>
    <row r="31" spans="1:6" ht="24.95" customHeight="1">
      <c r="A31" s="158"/>
      <c r="B31" s="121"/>
      <c r="C31" s="63"/>
      <c r="D31" s="135">
        <v>360000000</v>
      </c>
      <c r="E31" s="125" t="s">
        <v>686</v>
      </c>
      <c r="F31" s="163"/>
    </row>
    <row r="32" spans="1:6" ht="24.95" customHeight="1">
      <c r="A32" s="158"/>
      <c r="B32" s="121"/>
      <c r="C32" s="63"/>
      <c r="D32" s="135"/>
      <c r="E32" s="65" t="s">
        <v>687</v>
      </c>
      <c r="F32" s="163">
        <v>360000000</v>
      </c>
    </row>
    <row r="33" spans="1:6" ht="24.95" customHeight="1">
      <c r="A33" s="158"/>
      <c r="B33" s="121"/>
      <c r="C33" s="63"/>
      <c r="D33" s="135">
        <v>26023000</v>
      </c>
      <c r="E33" s="125" t="s">
        <v>688</v>
      </c>
      <c r="F33" s="163"/>
    </row>
    <row r="34" spans="1:6" ht="24.95" customHeight="1">
      <c r="A34" s="158"/>
      <c r="B34" s="121"/>
      <c r="C34" s="63"/>
      <c r="D34" s="135">
        <v>200000000</v>
      </c>
      <c r="E34" s="125" t="s">
        <v>183</v>
      </c>
      <c r="F34" s="163"/>
    </row>
    <row r="35" spans="1:6" ht="24.95" customHeight="1">
      <c r="A35" s="158"/>
      <c r="B35" s="121"/>
      <c r="C35" s="63"/>
      <c r="D35" s="135">
        <v>350000000</v>
      </c>
      <c r="E35" s="125" t="s">
        <v>184</v>
      </c>
      <c r="F35" s="166"/>
    </row>
    <row r="36" spans="1:6" ht="24.95" customHeight="1">
      <c r="A36" s="158"/>
      <c r="B36" s="121"/>
      <c r="C36" s="63"/>
      <c r="D36" s="135">
        <v>150000000</v>
      </c>
      <c r="E36" s="125" t="s">
        <v>185</v>
      </c>
      <c r="F36" s="163"/>
    </row>
    <row r="37" spans="1:6" ht="24.95" customHeight="1">
      <c r="A37" s="158"/>
      <c r="B37" s="121"/>
      <c r="C37" s="63"/>
      <c r="D37" s="135"/>
      <c r="E37" s="65" t="s">
        <v>186</v>
      </c>
      <c r="F37" s="163">
        <v>150000000</v>
      </c>
    </row>
    <row r="38" spans="1:6" ht="24.95" customHeight="1">
      <c r="A38" s="158"/>
      <c r="B38" s="121"/>
      <c r="C38" s="63"/>
      <c r="D38" s="135">
        <v>6500000</v>
      </c>
      <c r="E38" s="125" t="s">
        <v>689</v>
      </c>
      <c r="F38" s="163"/>
    </row>
    <row r="39" spans="1:6" ht="24.95" customHeight="1">
      <c r="A39" s="158"/>
      <c r="B39" s="121"/>
      <c r="C39" s="63"/>
      <c r="D39" s="135">
        <v>970412515</v>
      </c>
      <c r="E39" s="125" t="s">
        <v>698</v>
      </c>
      <c r="F39" s="163"/>
    </row>
    <row r="40" spans="1:6" ht="24.95" customHeight="1">
      <c r="A40" s="158"/>
      <c r="B40" s="121"/>
      <c r="C40" s="63"/>
      <c r="D40" s="135">
        <v>66485325</v>
      </c>
      <c r="E40" s="125" t="s">
        <v>948</v>
      </c>
      <c r="F40" s="166"/>
    </row>
    <row r="41" spans="1:6" ht="24.95" customHeight="1">
      <c r="A41" s="314" t="s">
        <v>154</v>
      </c>
      <c r="B41" s="126"/>
      <c r="C41" s="126"/>
      <c r="D41" s="94">
        <f>D42+D155</f>
        <v>134577565529</v>
      </c>
      <c r="E41" s="120"/>
      <c r="F41" s="157"/>
    </row>
    <row r="42" spans="1:6" ht="24.95" customHeight="1">
      <c r="A42" s="158"/>
      <c r="B42" s="122" t="s">
        <v>155</v>
      </c>
      <c r="C42" s="122"/>
      <c r="D42" s="91">
        <f>D43+D85+D108</f>
        <v>129899618579</v>
      </c>
      <c r="E42" s="123"/>
      <c r="F42" s="159"/>
    </row>
    <row r="43" spans="1:6" ht="24.95" customHeight="1">
      <c r="A43" s="158"/>
      <c r="B43" s="121"/>
      <c r="C43" s="311" t="s">
        <v>156</v>
      </c>
      <c r="D43" s="92">
        <f>SUM(D44:D84)</f>
        <v>76874241960</v>
      </c>
      <c r="E43" s="127"/>
      <c r="F43" s="161"/>
    </row>
    <row r="44" spans="1:6" ht="24.95" customHeight="1">
      <c r="A44" s="158"/>
      <c r="B44" s="121"/>
      <c r="C44" s="121"/>
      <c r="D44" s="135">
        <v>45000000</v>
      </c>
      <c r="E44" s="64" t="s">
        <v>949</v>
      </c>
      <c r="F44" s="167"/>
    </row>
    <row r="45" spans="1:6" ht="24.95" customHeight="1">
      <c r="A45" s="158"/>
      <c r="B45" s="121"/>
      <c r="C45" s="121"/>
      <c r="D45" s="135">
        <v>8145309770</v>
      </c>
      <c r="E45" s="64" t="s">
        <v>164</v>
      </c>
      <c r="F45" s="165"/>
    </row>
    <row r="46" spans="1:6" ht="24.95" customHeight="1">
      <c r="A46" s="158"/>
      <c r="B46" s="121"/>
      <c r="C46" s="121"/>
      <c r="D46" s="74"/>
      <c r="E46" s="338" t="s">
        <v>950</v>
      </c>
      <c r="F46" s="25">
        <v>320253960</v>
      </c>
    </row>
    <row r="47" spans="1:6" ht="24.95" customHeight="1">
      <c r="A47" s="158"/>
      <c r="B47" s="121"/>
      <c r="C47" s="121"/>
      <c r="D47" s="74"/>
      <c r="E47" s="338" t="s">
        <v>951</v>
      </c>
      <c r="F47" s="25">
        <v>420563390</v>
      </c>
    </row>
    <row r="48" spans="1:6" ht="24.95" customHeight="1">
      <c r="A48" s="158"/>
      <c r="B48" s="121"/>
      <c r="C48" s="121"/>
      <c r="D48" s="74"/>
      <c r="E48" s="338" t="s">
        <v>952</v>
      </c>
      <c r="F48" s="25">
        <v>471178240</v>
      </c>
    </row>
    <row r="49" spans="1:6" ht="24.95" customHeight="1">
      <c r="A49" s="158"/>
      <c r="B49" s="121"/>
      <c r="C49" s="121"/>
      <c r="D49" s="74"/>
      <c r="E49" s="338" t="s">
        <v>953</v>
      </c>
      <c r="F49" s="25">
        <v>3730774580</v>
      </c>
    </row>
    <row r="50" spans="1:6" ht="24.95" customHeight="1">
      <c r="A50" s="158"/>
      <c r="B50" s="121"/>
      <c r="C50" s="121"/>
      <c r="D50" s="74"/>
      <c r="E50" s="338" t="s">
        <v>954</v>
      </c>
      <c r="F50" s="25">
        <v>762903830</v>
      </c>
    </row>
    <row r="51" spans="1:6" ht="24.95" customHeight="1">
      <c r="A51" s="158"/>
      <c r="B51" s="121"/>
      <c r="C51" s="121"/>
      <c r="D51" s="74"/>
      <c r="E51" s="338" t="s">
        <v>955</v>
      </c>
      <c r="F51" s="25">
        <v>736216000</v>
      </c>
    </row>
    <row r="52" spans="1:6" ht="24.95" customHeight="1">
      <c r="A52" s="158"/>
      <c r="B52" s="121"/>
      <c r="C52" s="121"/>
      <c r="D52" s="74"/>
      <c r="E52" s="338" t="s">
        <v>956</v>
      </c>
      <c r="F52" s="25">
        <v>661674130</v>
      </c>
    </row>
    <row r="53" spans="1:6" ht="24.95" customHeight="1">
      <c r="A53" s="158"/>
      <c r="B53" s="121"/>
      <c r="C53" s="121"/>
      <c r="D53" s="74"/>
      <c r="E53" s="338" t="s">
        <v>957</v>
      </c>
      <c r="F53" s="25">
        <v>103990510</v>
      </c>
    </row>
    <row r="54" spans="1:6" ht="24.95" customHeight="1">
      <c r="A54" s="158"/>
      <c r="B54" s="121"/>
      <c r="C54" s="121"/>
      <c r="D54" s="74"/>
      <c r="E54" s="338" t="s">
        <v>958</v>
      </c>
      <c r="F54" s="25">
        <v>173010760</v>
      </c>
    </row>
    <row r="55" spans="1:6" ht="24.95" customHeight="1">
      <c r="A55" s="158"/>
      <c r="B55" s="121"/>
      <c r="C55" s="121"/>
      <c r="D55" s="74"/>
      <c r="E55" s="338" t="s">
        <v>959</v>
      </c>
      <c r="F55" s="25">
        <v>171170220</v>
      </c>
    </row>
    <row r="56" spans="1:6" ht="24.95" customHeight="1">
      <c r="A56" s="158"/>
      <c r="B56" s="121"/>
      <c r="C56" s="121"/>
      <c r="D56" s="74"/>
      <c r="E56" s="338" t="s">
        <v>960</v>
      </c>
      <c r="F56" s="25">
        <v>184054000</v>
      </c>
    </row>
    <row r="57" spans="1:6" ht="24.95" customHeight="1">
      <c r="A57" s="158"/>
      <c r="B57" s="121"/>
      <c r="C57" s="121"/>
      <c r="D57" s="74"/>
      <c r="E57" s="338" t="s">
        <v>961</v>
      </c>
      <c r="F57" s="25">
        <v>225466150</v>
      </c>
    </row>
    <row r="58" spans="1:6" ht="24.95" customHeight="1">
      <c r="A58" s="158"/>
      <c r="B58" s="121"/>
      <c r="C58" s="121"/>
      <c r="D58" s="74"/>
      <c r="E58" s="338" t="s">
        <v>962</v>
      </c>
      <c r="F58" s="25">
        <v>184054000</v>
      </c>
    </row>
    <row r="59" spans="1:6" ht="24.95" customHeight="1">
      <c r="A59" s="158"/>
      <c r="B59" s="121"/>
      <c r="C59" s="121"/>
      <c r="D59" s="74">
        <v>60000000</v>
      </c>
      <c r="E59" s="64" t="s">
        <v>963</v>
      </c>
      <c r="F59" s="25"/>
    </row>
    <row r="60" spans="1:6" ht="24.95" customHeight="1">
      <c r="A60" s="158"/>
      <c r="B60" s="121"/>
      <c r="C60" s="121"/>
      <c r="D60" s="74">
        <v>120000000</v>
      </c>
      <c r="E60" s="64" t="s">
        <v>964</v>
      </c>
      <c r="F60" s="25"/>
    </row>
    <row r="61" spans="1:6" ht="24.95" customHeight="1">
      <c r="A61" s="158"/>
      <c r="B61" s="121"/>
      <c r="C61" s="121"/>
      <c r="D61" s="135">
        <v>2789000000</v>
      </c>
      <c r="E61" s="64" t="s">
        <v>965</v>
      </c>
      <c r="F61" s="165"/>
    </row>
    <row r="62" spans="1:6" ht="24.95" customHeight="1">
      <c r="A62" s="158"/>
      <c r="B62" s="121"/>
      <c r="C62" s="121"/>
      <c r="D62" s="74"/>
      <c r="E62" s="84" t="s">
        <v>971</v>
      </c>
      <c r="F62" s="172">
        <v>1149000000</v>
      </c>
    </row>
    <row r="63" spans="1:6" ht="24.95" customHeight="1">
      <c r="A63" s="158"/>
      <c r="B63" s="121"/>
      <c r="C63" s="121"/>
      <c r="D63" s="74"/>
      <c r="E63" s="84" t="s">
        <v>972</v>
      </c>
      <c r="F63" s="172">
        <v>713000000</v>
      </c>
    </row>
    <row r="64" spans="1:6" ht="24.95" customHeight="1">
      <c r="A64" s="158"/>
      <c r="B64" s="121"/>
      <c r="C64" s="121"/>
      <c r="D64" s="74"/>
      <c r="E64" s="84" t="s">
        <v>973</v>
      </c>
      <c r="F64" s="172">
        <v>561000000</v>
      </c>
    </row>
    <row r="65" spans="1:6" ht="24.95" customHeight="1">
      <c r="A65" s="158"/>
      <c r="B65" s="121"/>
      <c r="C65" s="121"/>
      <c r="D65" s="74"/>
      <c r="E65" s="84" t="s">
        <v>974</v>
      </c>
      <c r="F65" s="172">
        <v>203000000</v>
      </c>
    </row>
    <row r="66" spans="1:6" ht="24.95" customHeight="1">
      <c r="A66" s="158"/>
      <c r="B66" s="121"/>
      <c r="C66" s="121"/>
      <c r="D66" s="74"/>
      <c r="E66" s="84" t="s">
        <v>975</v>
      </c>
      <c r="F66" s="172">
        <v>163000000</v>
      </c>
    </row>
    <row r="67" spans="1:6" ht="24.95" customHeight="1">
      <c r="A67" s="158"/>
      <c r="B67" s="121"/>
      <c r="C67" s="121"/>
      <c r="D67" s="135">
        <v>1097000000</v>
      </c>
      <c r="E67" s="64" t="s">
        <v>966</v>
      </c>
      <c r="F67" s="166"/>
    </row>
    <row r="68" spans="1:6" ht="24.95" customHeight="1">
      <c r="A68" s="158"/>
      <c r="B68" s="121"/>
      <c r="C68" s="121"/>
      <c r="D68" s="135"/>
      <c r="E68" s="23" t="s">
        <v>191</v>
      </c>
      <c r="F68" s="21">
        <v>454000000</v>
      </c>
    </row>
    <row r="69" spans="1:6" ht="24.95" customHeight="1">
      <c r="A69" s="158"/>
      <c r="B69" s="121"/>
      <c r="C69" s="121"/>
      <c r="D69" s="95"/>
      <c r="E69" s="23" t="s">
        <v>976</v>
      </c>
      <c r="F69" s="21"/>
    </row>
    <row r="70" spans="1:6" ht="24.95" customHeight="1">
      <c r="A70" s="158"/>
      <c r="B70" s="121"/>
      <c r="C70" s="121"/>
      <c r="D70" s="95"/>
      <c r="E70" s="23" t="s">
        <v>977</v>
      </c>
      <c r="F70" s="21"/>
    </row>
    <row r="71" spans="1:6" ht="24.95" customHeight="1">
      <c r="A71" s="158"/>
      <c r="B71" s="121"/>
      <c r="C71" s="121"/>
      <c r="D71" s="95"/>
      <c r="E71" s="23" t="s">
        <v>978</v>
      </c>
      <c r="F71" s="21"/>
    </row>
    <row r="72" spans="1:6" ht="24.95" customHeight="1">
      <c r="A72" s="158"/>
      <c r="B72" s="121"/>
      <c r="C72" s="121"/>
      <c r="D72" s="95"/>
      <c r="E72" s="23" t="s">
        <v>979</v>
      </c>
      <c r="F72" s="21"/>
    </row>
    <row r="73" spans="1:6" ht="24.95" customHeight="1">
      <c r="A73" s="158"/>
      <c r="B73" s="121"/>
      <c r="C73" s="121"/>
      <c r="D73" s="95"/>
      <c r="E73" s="23" t="s">
        <v>192</v>
      </c>
      <c r="F73" s="21">
        <v>643000000</v>
      </c>
    </row>
    <row r="74" spans="1:6" ht="24.95" customHeight="1">
      <c r="A74" s="158"/>
      <c r="B74" s="121"/>
      <c r="C74" s="121"/>
      <c r="D74" s="95"/>
      <c r="E74" s="23" t="s">
        <v>980</v>
      </c>
      <c r="F74" s="22"/>
    </row>
    <row r="75" spans="1:6" ht="24.95" customHeight="1">
      <c r="A75" s="158"/>
      <c r="B75" s="121"/>
      <c r="C75" s="121"/>
      <c r="D75" s="95"/>
      <c r="E75" s="23" t="s">
        <v>981</v>
      </c>
      <c r="F75" s="22"/>
    </row>
    <row r="76" spans="1:6" ht="24.95" customHeight="1">
      <c r="A76" s="158"/>
      <c r="B76" s="121"/>
      <c r="C76" s="121"/>
      <c r="D76" s="95"/>
      <c r="E76" s="23" t="s">
        <v>982</v>
      </c>
      <c r="F76" s="22"/>
    </row>
    <row r="77" spans="1:6" ht="24.95" customHeight="1">
      <c r="A77" s="158"/>
      <c r="B77" s="121"/>
      <c r="C77" s="121"/>
      <c r="D77" s="95"/>
      <c r="E77" s="23" t="s">
        <v>983</v>
      </c>
      <c r="F77" s="22"/>
    </row>
    <row r="78" spans="1:6" ht="24.95" customHeight="1">
      <c r="A78" s="158"/>
      <c r="B78" s="121"/>
      <c r="C78" s="121"/>
      <c r="D78" s="95"/>
      <c r="E78" s="23" t="s">
        <v>984</v>
      </c>
      <c r="F78" s="22"/>
    </row>
    <row r="79" spans="1:6" ht="24.95" customHeight="1">
      <c r="A79" s="158"/>
      <c r="B79" s="121"/>
      <c r="C79" s="121"/>
      <c r="D79" s="135">
        <v>200000000</v>
      </c>
      <c r="E79" s="125" t="s">
        <v>967</v>
      </c>
      <c r="F79" s="167"/>
    </row>
    <row r="80" spans="1:6" ht="24.95" customHeight="1">
      <c r="A80" s="158"/>
      <c r="B80" s="121"/>
      <c r="C80" s="121"/>
      <c r="D80" s="74"/>
      <c r="E80" s="84" t="s">
        <v>447</v>
      </c>
      <c r="F80" s="167">
        <v>200000000</v>
      </c>
    </row>
    <row r="81" spans="1:6" ht="24.95" customHeight="1">
      <c r="A81" s="158"/>
      <c r="B81" s="121"/>
      <c r="C81" s="121"/>
      <c r="D81" s="135">
        <v>2000000000</v>
      </c>
      <c r="E81" s="70" t="s">
        <v>968</v>
      </c>
      <c r="F81" s="167"/>
    </row>
    <row r="82" spans="1:6" ht="24.95" customHeight="1">
      <c r="A82" s="158"/>
      <c r="B82" s="121"/>
      <c r="C82" s="121"/>
      <c r="D82" s="203">
        <f>57847093650+4000000000</f>
        <v>61847093650</v>
      </c>
      <c r="E82" s="70" t="s">
        <v>969</v>
      </c>
      <c r="F82" s="167"/>
    </row>
    <row r="83" spans="1:6" s="136" customFormat="1" ht="24.95" customHeight="1">
      <c r="A83" s="168"/>
      <c r="B83" s="128"/>
      <c r="C83" s="128"/>
      <c r="D83" s="135">
        <v>570838540</v>
      </c>
      <c r="E83" s="70" t="s">
        <v>970</v>
      </c>
      <c r="F83" s="163"/>
    </row>
    <row r="84" spans="1:6" ht="24.95" customHeight="1">
      <c r="A84" s="158"/>
      <c r="B84" s="315"/>
      <c r="C84" s="121"/>
      <c r="D84" s="135"/>
      <c r="E84" s="31" t="s">
        <v>165</v>
      </c>
      <c r="F84" s="39">
        <v>570838540</v>
      </c>
    </row>
    <row r="85" spans="1:6" ht="24.95" customHeight="1">
      <c r="A85" s="158"/>
      <c r="B85" s="121"/>
      <c r="C85" s="311" t="s">
        <v>157</v>
      </c>
      <c r="D85" s="92">
        <f>SUM(D86:D107)</f>
        <v>47079189230</v>
      </c>
      <c r="E85" s="124"/>
      <c r="F85" s="161"/>
    </row>
    <row r="86" spans="1:6" ht="24.95" customHeight="1">
      <c r="A86" s="158"/>
      <c r="B86" s="121"/>
      <c r="C86" s="121"/>
      <c r="D86" s="135">
        <v>200000000</v>
      </c>
      <c r="E86" s="125" t="s">
        <v>166</v>
      </c>
      <c r="F86" s="163"/>
    </row>
    <row r="87" spans="1:6" ht="24.95" customHeight="1">
      <c r="A87" s="158"/>
      <c r="B87" s="121"/>
      <c r="C87" s="121"/>
      <c r="D87" s="135">
        <v>122700000</v>
      </c>
      <c r="E87" s="125" t="s">
        <v>728</v>
      </c>
      <c r="F87" s="163"/>
    </row>
    <row r="88" spans="1:6" ht="24.95" customHeight="1">
      <c r="A88" s="158"/>
      <c r="B88" s="121"/>
      <c r="C88" s="121"/>
      <c r="D88" s="135">
        <v>821000000</v>
      </c>
      <c r="E88" s="125" t="s">
        <v>827</v>
      </c>
      <c r="F88" s="165"/>
    </row>
    <row r="89" spans="1:6" ht="24.95" customHeight="1">
      <c r="A89" s="158"/>
      <c r="B89" s="121"/>
      <c r="C89" s="121"/>
      <c r="D89" s="56">
        <v>1310000000</v>
      </c>
      <c r="E89" s="125" t="s">
        <v>828</v>
      </c>
      <c r="F89" s="165"/>
    </row>
    <row r="90" spans="1:6" ht="24.95" customHeight="1">
      <c r="A90" s="158"/>
      <c r="B90" s="121"/>
      <c r="C90" s="121"/>
      <c r="D90" s="135">
        <v>353295000</v>
      </c>
      <c r="E90" s="125" t="s">
        <v>829</v>
      </c>
      <c r="F90" s="163"/>
    </row>
    <row r="91" spans="1:6" ht="24.95" customHeight="1">
      <c r="A91" s="158"/>
      <c r="B91" s="121"/>
      <c r="C91" s="121"/>
      <c r="D91" s="135"/>
      <c r="E91" s="65" t="s">
        <v>500</v>
      </c>
      <c r="F91" s="163">
        <v>61250000</v>
      </c>
    </row>
    <row r="92" spans="1:6" ht="24.95" customHeight="1">
      <c r="A92" s="158"/>
      <c r="B92" s="121"/>
      <c r="C92" s="121"/>
      <c r="D92" s="135"/>
      <c r="E92" s="65" t="s">
        <v>193</v>
      </c>
      <c r="F92" s="163">
        <v>292045000</v>
      </c>
    </row>
    <row r="93" spans="1:6" ht="24.95" customHeight="1">
      <c r="A93" s="158"/>
      <c r="B93" s="121"/>
      <c r="C93" s="121"/>
      <c r="D93" s="135"/>
      <c r="E93" s="65" t="s">
        <v>501</v>
      </c>
      <c r="F93" s="163"/>
    </row>
    <row r="94" spans="1:6" ht="24.95" customHeight="1">
      <c r="A94" s="158"/>
      <c r="B94" s="121"/>
      <c r="C94" s="121"/>
      <c r="D94" s="135"/>
      <c r="E94" s="65" t="s">
        <v>502</v>
      </c>
      <c r="F94" s="163"/>
    </row>
    <row r="95" spans="1:6" ht="24.95" customHeight="1">
      <c r="A95" s="158"/>
      <c r="B95" s="121"/>
      <c r="C95" s="121"/>
      <c r="D95" s="135"/>
      <c r="E95" s="65" t="s">
        <v>503</v>
      </c>
      <c r="F95" s="163"/>
    </row>
    <row r="96" spans="1:6" ht="24.95" customHeight="1">
      <c r="A96" s="158"/>
      <c r="B96" s="121"/>
      <c r="C96" s="121"/>
      <c r="D96" s="135"/>
      <c r="E96" s="65" t="s">
        <v>504</v>
      </c>
      <c r="F96" s="163"/>
    </row>
    <row r="97" spans="1:6" ht="24.95" customHeight="1">
      <c r="A97" s="158"/>
      <c r="B97" s="121"/>
      <c r="C97" s="121"/>
      <c r="D97" s="135"/>
      <c r="E97" s="65" t="s">
        <v>505</v>
      </c>
      <c r="F97" s="163"/>
    </row>
    <row r="98" spans="1:6" ht="24.95" customHeight="1">
      <c r="A98" s="158"/>
      <c r="B98" s="121"/>
      <c r="C98" s="121"/>
      <c r="D98" s="135"/>
      <c r="E98" s="65" t="s">
        <v>506</v>
      </c>
      <c r="F98" s="163"/>
    </row>
    <row r="99" spans="1:6" ht="24.95" customHeight="1">
      <c r="A99" s="158"/>
      <c r="B99" s="121"/>
      <c r="C99" s="121"/>
      <c r="D99" s="79">
        <v>180000000</v>
      </c>
      <c r="E99" s="125" t="s">
        <v>830</v>
      </c>
      <c r="F99" s="163"/>
    </row>
    <row r="100" spans="1:6" ht="24.95" customHeight="1">
      <c r="A100" s="158"/>
      <c r="B100" s="121"/>
      <c r="C100" s="121"/>
      <c r="D100" s="79">
        <v>160000000</v>
      </c>
      <c r="E100" s="125" t="s">
        <v>831</v>
      </c>
      <c r="F100" s="163"/>
    </row>
    <row r="101" spans="1:6" ht="24.95" customHeight="1">
      <c r="A101" s="158"/>
      <c r="B101" s="121"/>
      <c r="C101" s="121"/>
      <c r="D101" s="79">
        <v>80000000</v>
      </c>
      <c r="E101" s="125" t="s">
        <v>832</v>
      </c>
      <c r="F101" s="163"/>
    </row>
    <row r="102" spans="1:6" ht="24.95" customHeight="1">
      <c r="A102" s="158"/>
      <c r="B102" s="121"/>
      <c r="C102" s="121"/>
      <c r="D102" s="79">
        <v>80000000</v>
      </c>
      <c r="E102" s="125" t="s">
        <v>833</v>
      </c>
      <c r="F102" s="163"/>
    </row>
    <row r="103" spans="1:6" s="136" customFormat="1" ht="24.95" customHeight="1">
      <c r="A103" s="168"/>
      <c r="B103" s="128"/>
      <c r="C103" s="128"/>
      <c r="D103" s="204">
        <f>37761193290+4000000000</f>
        <v>41761193290</v>
      </c>
      <c r="E103" s="125" t="s">
        <v>834</v>
      </c>
      <c r="F103" s="166"/>
    </row>
    <row r="104" spans="1:6" ht="24.95" customHeight="1">
      <c r="A104" s="158"/>
      <c r="B104" s="121"/>
      <c r="C104" s="121"/>
      <c r="D104" s="135">
        <v>2011000940</v>
      </c>
      <c r="E104" s="125" t="s">
        <v>835</v>
      </c>
      <c r="F104" s="163"/>
    </row>
    <row r="105" spans="1:6" ht="24.95" customHeight="1">
      <c r="A105" s="158"/>
      <c r="B105" s="315"/>
      <c r="C105" s="121"/>
      <c r="D105" s="135"/>
      <c r="E105" s="65" t="s">
        <v>836</v>
      </c>
      <c r="F105" s="39">
        <v>269073000</v>
      </c>
    </row>
    <row r="106" spans="1:6" ht="24.95" customHeight="1">
      <c r="A106" s="158"/>
      <c r="B106" s="315"/>
      <c r="C106" s="121"/>
      <c r="D106" s="135"/>
      <c r="E106" s="65" t="s">
        <v>837</v>
      </c>
      <c r="F106" s="39">
        <v>1491927940</v>
      </c>
    </row>
    <row r="107" spans="1:6" ht="24.95" customHeight="1">
      <c r="A107" s="158"/>
      <c r="B107" s="121"/>
      <c r="C107" s="121"/>
      <c r="D107" s="135"/>
      <c r="E107" s="65" t="s">
        <v>838</v>
      </c>
      <c r="F107" s="39">
        <v>250000000</v>
      </c>
    </row>
    <row r="108" spans="1:6" ht="24.95" customHeight="1">
      <c r="A108" s="158"/>
      <c r="B108" s="121"/>
      <c r="C108" s="311" t="s">
        <v>158</v>
      </c>
      <c r="D108" s="92">
        <f>SUM(D109:D154)</f>
        <v>5946187389</v>
      </c>
      <c r="E108" s="124"/>
      <c r="F108" s="161"/>
    </row>
    <row r="109" spans="1:6" ht="24.95" customHeight="1">
      <c r="A109" s="158"/>
      <c r="B109" s="121"/>
      <c r="C109" s="128"/>
      <c r="D109" s="135">
        <v>224685000</v>
      </c>
      <c r="E109" s="125" t="s">
        <v>987</v>
      </c>
      <c r="F109" s="163"/>
    </row>
    <row r="110" spans="1:6" ht="24.95" customHeight="1">
      <c r="A110" s="158"/>
      <c r="B110" s="121"/>
      <c r="C110" s="128"/>
      <c r="D110" s="135"/>
      <c r="E110" s="321" t="s">
        <v>194</v>
      </c>
      <c r="F110" s="25">
        <v>186539000</v>
      </c>
    </row>
    <row r="111" spans="1:6" ht="24.95" customHeight="1">
      <c r="A111" s="158"/>
      <c r="B111" s="121"/>
      <c r="C111" s="128"/>
      <c r="D111" s="135"/>
      <c r="E111" s="321" t="s">
        <v>195</v>
      </c>
      <c r="F111" s="25">
        <v>38146000</v>
      </c>
    </row>
    <row r="112" spans="1:6" ht="24.95" customHeight="1">
      <c r="A112" s="158"/>
      <c r="B112" s="121"/>
      <c r="C112" s="303"/>
      <c r="D112" s="195">
        <v>200000000</v>
      </c>
      <c r="E112" s="188" t="s">
        <v>988</v>
      </c>
      <c r="F112" s="166"/>
    </row>
    <row r="113" spans="1:6" ht="24.95" customHeight="1">
      <c r="A113" s="158"/>
      <c r="B113" s="121"/>
      <c r="C113" s="303"/>
      <c r="D113" s="95"/>
      <c r="E113" s="23" t="s">
        <v>985</v>
      </c>
      <c r="F113" s="166">
        <v>150000000</v>
      </c>
    </row>
    <row r="114" spans="1:6" ht="24.95" customHeight="1">
      <c r="A114" s="158"/>
      <c r="B114" s="121"/>
      <c r="C114" s="303"/>
      <c r="D114" s="95"/>
      <c r="E114" s="23" t="s">
        <v>986</v>
      </c>
      <c r="F114" s="166">
        <v>50000000</v>
      </c>
    </row>
    <row r="115" spans="1:6" ht="24.95" customHeight="1">
      <c r="A115" s="158"/>
      <c r="B115" s="121"/>
      <c r="C115" s="128"/>
      <c r="D115" s="135">
        <v>210000000</v>
      </c>
      <c r="E115" s="125" t="s">
        <v>989</v>
      </c>
      <c r="F115" s="163"/>
    </row>
    <row r="116" spans="1:6" ht="24.95" customHeight="1">
      <c r="A116" s="158"/>
      <c r="B116" s="121"/>
      <c r="C116" s="128"/>
      <c r="D116" s="135">
        <v>328000000</v>
      </c>
      <c r="E116" s="125" t="s">
        <v>990</v>
      </c>
      <c r="F116" s="163"/>
    </row>
    <row r="117" spans="1:6" ht="24.95" customHeight="1">
      <c r="A117" s="158"/>
      <c r="B117" s="121"/>
      <c r="C117" s="128"/>
      <c r="D117" s="135">
        <v>25000000</v>
      </c>
      <c r="E117" s="125" t="s">
        <v>991</v>
      </c>
      <c r="F117" s="163"/>
    </row>
    <row r="118" spans="1:6" ht="24.95" customHeight="1">
      <c r="A118" s="158"/>
      <c r="B118" s="121"/>
      <c r="C118" s="128"/>
      <c r="D118" s="135">
        <v>993225000</v>
      </c>
      <c r="E118" s="125" t="s">
        <v>992</v>
      </c>
      <c r="F118" s="163"/>
    </row>
    <row r="119" spans="1:6" ht="24.95" customHeight="1">
      <c r="A119" s="158"/>
      <c r="B119" s="121"/>
      <c r="C119" s="128"/>
      <c r="D119" s="135"/>
      <c r="E119" s="65" t="s">
        <v>196</v>
      </c>
      <c r="F119" s="163">
        <v>713300000</v>
      </c>
    </row>
    <row r="120" spans="1:6" ht="24.95" customHeight="1">
      <c r="A120" s="158"/>
      <c r="B120" s="121"/>
      <c r="C120" s="128"/>
      <c r="D120" s="135"/>
      <c r="E120" s="65" t="s">
        <v>419</v>
      </c>
      <c r="F120" s="163"/>
    </row>
    <row r="121" spans="1:6" ht="24.95" customHeight="1">
      <c r="A121" s="158"/>
      <c r="B121" s="121"/>
      <c r="C121" s="128"/>
      <c r="D121" s="135"/>
      <c r="E121" s="65" t="s">
        <v>197</v>
      </c>
      <c r="F121" s="163"/>
    </row>
    <row r="122" spans="1:6" ht="24.95" customHeight="1">
      <c r="A122" s="158"/>
      <c r="B122" s="121"/>
      <c r="C122" s="128"/>
      <c r="D122" s="135"/>
      <c r="E122" s="65" t="s">
        <v>198</v>
      </c>
      <c r="F122" s="163"/>
    </row>
    <row r="123" spans="1:6" ht="24.95" customHeight="1">
      <c r="A123" s="158"/>
      <c r="B123" s="121"/>
      <c r="C123" s="128"/>
      <c r="D123" s="135"/>
      <c r="E123" s="65" t="s">
        <v>199</v>
      </c>
      <c r="F123" s="163"/>
    </row>
    <row r="124" spans="1:6" ht="24.95" customHeight="1">
      <c r="A124" s="158"/>
      <c r="B124" s="121"/>
      <c r="C124" s="128"/>
      <c r="D124" s="135"/>
      <c r="E124" s="65" t="s">
        <v>507</v>
      </c>
      <c r="F124" s="163"/>
    </row>
    <row r="125" spans="1:6" ht="24.95" customHeight="1">
      <c r="A125" s="158"/>
      <c r="B125" s="121"/>
      <c r="C125" s="128"/>
      <c r="D125" s="135"/>
      <c r="E125" s="65" t="s">
        <v>508</v>
      </c>
      <c r="F125" s="163"/>
    </row>
    <row r="126" spans="1:6" ht="24.95" customHeight="1">
      <c r="A126" s="158"/>
      <c r="B126" s="121"/>
      <c r="C126" s="128"/>
      <c r="D126" s="135"/>
      <c r="E126" s="65" t="s">
        <v>509</v>
      </c>
      <c r="F126" s="163"/>
    </row>
    <row r="127" spans="1:6" ht="24.95" customHeight="1">
      <c r="A127" s="158"/>
      <c r="B127" s="121"/>
      <c r="C127" s="128"/>
      <c r="D127" s="135"/>
      <c r="E127" s="65" t="s">
        <v>510</v>
      </c>
      <c r="F127" s="163"/>
    </row>
    <row r="128" spans="1:6" ht="24.95" customHeight="1">
      <c r="A128" s="158"/>
      <c r="B128" s="121"/>
      <c r="C128" s="128"/>
      <c r="D128" s="135"/>
      <c r="E128" s="65" t="s">
        <v>511</v>
      </c>
      <c r="F128" s="163"/>
    </row>
    <row r="129" spans="1:6" ht="24.95" customHeight="1">
      <c r="A129" s="158"/>
      <c r="B129" s="121"/>
      <c r="C129" s="128"/>
      <c r="D129" s="135"/>
      <c r="E129" s="65" t="s">
        <v>512</v>
      </c>
      <c r="F129" s="163"/>
    </row>
    <row r="130" spans="1:6" ht="24.95" customHeight="1">
      <c r="A130" s="158"/>
      <c r="B130" s="121"/>
      <c r="C130" s="128"/>
      <c r="D130" s="135"/>
      <c r="E130" s="65" t="s">
        <v>513</v>
      </c>
      <c r="F130" s="163"/>
    </row>
    <row r="131" spans="1:6" ht="24.95" customHeight="1">
      <c r="A131" s="158"/>
      <c r="B131" s="121"/>
      <c r="C131" s="128"/>
      <c r="D131" s="135"/>
      <c r="E131" s="65" t="s">
        <v>514</v>
      </c>
      <c r="F131" s="163"/>
    </row>
    <row r="132" spans="1:6" ht="24.95" customHeight="1">
      <c r="A132" s="158"/>
      <c r="B132" s="121"/>
      <c r="C132" s="128"/>
      <c r="D132" s="135"/>
      <c r="E132" s="65" t="s">
        <v>516</v>
      </c>
      <c r="F132" s="163"/>
    </row>
    <row r="133" spans="1:6" ht="24.95" customHeight="1">
      <c r="A133" s="158"/>
      <c r="B133" s="121"/>
      <c r="C133" s="128"/>
      <c r="D133" s="135"/>
      <c r="E133" s="65" t="s">
        <v>515</v>
      </c>
      <c r="F133" s="163"/>
    </row>
    <row r="134" spans="1:6" ht="24.95" customHeight="1">
      <c r="A134" s="158"/>
      <c r="B134" s="121"/>
      <c r="C134" s="128"/>
      <c r="D134" s="135"/>
      <c r="E134" s="65" t="s">
        <v>200</v>
      </c>
      <c r="F134" s="163">
        <v>189925000</v>
      </c>
    </row>
    <row r="135" spans="1:6" ht="24.95" customHeight="1">
      <c r="A135" s="158"/>
      <c r="B135" s="121"/>
      <c r="C135" s="128"/>
      <c r="D135" s="135"/>
      <c r="E135" s="65" t="s">
        <v>517</v>
      </c>
      <c r="F135" s="163"/>
    </row>
    <row r="136" spans="1:6" ht="24.95" customHeight="1">
      <c r="A136" s="158"/>
      <c r="B136" s="121"/>
      <c r="C136" s="128"/>
      <c r="D136" s="135"/>
      <c r="E136" s="65" t="s">
        <v>518</v>
      </c>
      <c r="F136" s="163"/>
    </row>
    <row r="137" spans="1:6" ht="24.95" customHeight="1">
      <c r="A137" s="158"/>
      <c r="B137" s="121"/>
      <c r="C137" s="128"/>
      <c r="D137" s="135"/>
      <c r="E137" s="65" t="s">
        <v>519</v>
      </c>
      <c r="F137" s="163"/>
    </row>
    <row r="138" spans="1:6" ht="24.95" customHeight="1">
      <c r="A138" s="158"/>
      <c r="B138" s="121"/>
      <c r="C138" s="128"/>
      <c r="D138" s="135"/>
      <c r="E138" s="65" t="s">
        <v>520</v>
      </c>
      <c r="F138" s="163"/>
    </row>
    <row r="139" spans="1:6" ht="24.95" customHeight="1">
      <c r="A139" s="158"/>
      <c r="B139" s="121"/>
      <c r="C139" s="128"/>
      <c r="D139" s="135"/>
      <c r="E139" s="65" t="s">
        <v>521</v>
      </c>
      <c r="F139" s="163"/>
    </row>
    <row r="140" spans="1:6" ht="24.95" customHeight="1">
      <c r="A140" s="158"/>
      <c r="B140" s="121"/>
      <c r="C140" s="128"/>
      <c r="D140" s="135"/>
      <c r="E140" s="65" t="s">
        <v>506</v>
      </c>
      <c r="F140" s="163"/>
    </row>
    <row r="141" spans="1:6" ht="24.95" customHeight="1">
      <c r="A141" s="158"/>
      <c r="B141" s="121"/>
      <c r="C141" s="128"/>
      <c r="D141" s="135"/>
      <c r="E141" s="65" t="s">
        <v>522</v>
      </c>
      <c r="F141" s="163">
        <v>90000000</v>
      </c>
    </row>
    <row r="142" spans="1:6" s="136" customFormat="1" ht="24.95" customHeight="1">
      <c r="A142" s="168"/>
      <c r="B142" s="128"/>
      <c r="C142" s="128"/>
      <c r="D142" s="202">
        <f>2951876800</f>
        <v>2951876800</v>
      </c>
      <c r="E142" s="125" t="s">
        <v>993</v>
      </c>
      <c r="F142" s="163"/>
    </row>
    <row r="143" spans="1:6" s="136" customFormat="1" ht="24.95" customHeight="1">
      <c r="A143" s="168"/>
      <c r="B143" s="128"/>
      <c r="C143" s="128"/>
      <c r="D143" s="135">
        <v>1013400589</v>
      </c>
      <c r="E143" s="125" t="s">
        <v>970</v>
      </c>
      <c r="F143" s="163"/>
    </row>
    <row r="144" spans="1:6" s="136" customFormat="1" ht="24.95" customHeight="1">
      <c r="A144" s="168"/>
      <c r="B144" s="128"/>
      <c r="C144" s="128"/>
      <c r="D144" s="135"/>
      <c r="E144" s="34" t="s">
        <v>167</v>
      </c>
      <c r="F144" s="47">
        <v>168761250</v>
      </c>
    </row>
    <row r="145" spans="1:6" s="136" customFormat="1" ht="24.95" customHeight="1">
      <c r="A145" s="168"/>
      <c r="B145" s="128"/>
      <c r="C145" s="128"/>
      <c r="D145" s="135"/>
      <c r="E145" s="34" t="s">
        <v>168</v>
      </c>
      <c r="F145" s="39">
        <v>205000000</v>
      </c>
    </row>
    <row r="146" spans="1:6" s="136" customFormat="1" ht="24.95" customHeight="1">
      <c r="A146" s="168"/>
      <c r="B146" s="128"/>
      <c r="C146" s="128"/>
      <c r="D146" s="135"/>
      <c r="E146" s="34" t="s">
        <v>839</v>
      </c>
      <c r="F146" s="39"/>
    </row>
    <row r="147" spans="1:6" s="136" customFormat="1" ht="24.95" customHeight="1">
      <c r="A147" s="168"/>
      <c r="B147" s="128"/>
      <c r="C147" s="128"/>
      <c r="D147" s="135"/>
      <c r="E147" s="34" t="s">
        <v>840</v>
      </c>
      <c r="F147" s="39"/>
    </row>
    <row r="148" spans="1:6" s="136" customFormat="1" ht="24.95" customHeight="1">
      <c r="A148" s="168"/>
      <c r="B148" s="128"/>
      <c r="C148" s="128"/>
      <c r="D148" s="135"/>
      <c r="E148" s="34" t="s">
        <v>841</v>
      </c>
      <c r="F148" s="39"/>
    </row>
    <row r="149" spans="1:6" s="136" customFormat="1" ht="24.95" customHeight="1">
      <c r="A149" s="168"/>
      <c r="B149" s="128"/>
      <c r="C149" s="128"/>
      <c r="D149" s="135"/>
      <c r="E149" s="34" t="s">
        <v>842</v>
      </c>
      <c r="F149" s="39"/>
    </row>
    <row r="150" spans="1:6" s="136" customFormat="1" ht="24.95" customHeight="1">
      <c r="A150" s="168"/>
      <c r="B150" s="128"/>
      <c r="C150" s="128"/>
      <c r="D150" s="135"/>
      <c r="E150" s="34" t="s">
        <v>843</v>
      </c>
      <c r="F150" s="39"/>
    </row>
    <row r="151" spans="1:6" s="136" customFormat="1" ht="24.95" customHeight="1">
      <c r="A151" s="168"/>
      <c r="B151" s="128"/>
      <c r="C151" s="128"/>
      <c r="D151" s="135"/>
      <c r="E151" s="34" t="s">
        <v>844</v>
      </c>
      <c r="F151" s="47">
        <v>20000000</v>
      </c>
    </row>
    <row r="152" spans="1:6" s="136" customFormat="1" ht="24.95" customHeight="1">
      <c r="A152" s="168"/>
      <c r="B152" s="128"/>
      <c r="C152" s="128"/>
      <c r="D152" s="135"/>
      <c r="E152" s="34" t="s">
        <v>845</v>
      </c>
      <c r="F152" s="47">
        <v>519639339</v>
      </c>
    </row>
    <row r="153" spans="1:6" s="136" customFormat="1" ht="24.95" customHeight="1">
      <c r="A153" s="168"/>
      <c r="B153" s="128"/>
      <c r="C153" s="128"/>
      <c r="D153" s="135"/>
      <c r="E153" s="34" t="s">
        <v>846</v>
      </c>
      <c r="F153" s="47">
        <v>80000000</v>
      </c>
    </row>
    <row r="154" spans="1:6" s="136" customFormat="1" ht="24.95" customHeight="1">
      <c r="A154" s="168"/>
      <c r="B154" s="128"/>
      <c r="C154" s="128"/>
      <c r="D154" s="135"/>
      <c r="E154" s="34" t="s">
        <v>847</v>
      </c>
      <c r="F154" s="32">
        <v>20000000</v>
      </c>
    </row>
    <row r="155" spans="1:6" ht="24.95" customHeight="1">
      <c r="A155" s="158"/>
      <c r="B155" s="122" t="s">
        <v>159</v>
      </c>
      <c r="C155" s="122"/>
      <c r="D155" s="91">
        <f>D156+D179+D208</f>
        <v>4677946950</v>
      </c>
      <c r="E155" s="123"/>
      <c r="F155" s="159"/>
    </row>
    <row r="156" spans="1:6" ht="24.95" customHeight="1">
      <c r="A156" s="158"/>
      <c r="B156" s="121"/>
      <c r="C156" s="311" t="s">
        <v>160</v>
      </c>
      <c r="D156" s="92">
        <f>SUM(D157:D178)</f>
        <v>2437656400</v>
      </c>
      <c r="E156" s="316"/>
      <c r="F156" s="161"/>
    </row>
    <row r="157" spans="1:6" s="136" customFormat="1" ht="24.95" customHeight="1">
      <c r="A157" s="168"/>
      <c r="B157" s="128"/>
      <c r="C157" s="128"/>
      <c r="D157" s="53">
        <v>558340000</v>
      </c>
      <c r="E157" s="64" t="s">
        <v>994</v>
      </c>
      <c r="F157" s="163"/>
    </row>
    <row r="158" spans="1:6" s="136" customFormat="1" ht="24.95" customHeight="1">
      <c r="A158" s="168"/>
      <c r="B158" s="128"/>
      <c r="C158" s="128"/>
      <c r="D158" s="74"/>
      <c r="E158" s="338" t="s">
        <v>950</v>
      </c>
      <c r="F158" s="25">
        <v>23160000</v>
      </c>
    </row>
    <row r="159" spans="1:6" s="136" customFormat="1" ht="24.95" customHeight="1">
      <c r="A159" s="168"/>
      <c r="B159" s="128"/>
      <c r="C159" s="128"/>
      <c r="D159" s="74"/>
      <c r="E159" s="338" t="s">
        <v>951</v>
      </c>
      <c r="F159" s="25">
        <v>29530000</v>
      </c>
    </row>
    <row r="160" spans="1:6" s="136" customFormat="1" ht="24.95" customHeight="1">
      <c r="A160" s="168"/>
      <c r="B160" s="128"/>
      <c r="C160" s="128"/>
      <c r="D160" s="74"/>
      <c r="E160" s="338" t="s">
        <v>952</v>
      </c>
      <c r="F160" s="25">
        <v>32990000</v>
      </c>
    </row>
    <row r="161" spans="1:6" s="136" customFormat="1" ht="24.95" customHeight="1">
      <c r="A161" s="168"/>
      <c r="B161" s="128"/>
      <c r="C161" s="128"/>
      <c r="D161" s="74"/>
      <c r="E161" s="338" t="s">
        <v>953</v>
      </c>
      <c r="F161" s="25">
        <v>266760000</v>
      </c>
    </row>
    <row r="162" spans="1:6" s="136" customFormat="1" ht="24.95" customHeight="1">
      <c r="A162" s="168"/>
      <c r="B162" s="128"/>
      <c r="C162" s="128"/>
      <c r="D162" s="74"/>
      <c r="E162" s="338" t="s">
        <v>954</v>
      </c>
      <c r="F162" s="25">
        <v>38910000</v>
      </c>
    </row>
    <row r="163" spans="1:6" s="136" customFormat="1" ht="24.95" customHeight="1">
      <c r="A163" s="168"/>
      <c r="B163" s="128"/>
      <c r="C163" s="128"/>
      <c r="D163" s="74"/>
      <c r="E163" s="338" t="s">
        <v>955</v>
      </c>
      <c r="F163" s="25">
        <v>37040000</v>
      </c>
    </row>
    <row r="164" spans="1:6" s="136" customFormat="1" ht="24.95" customHeight="1">
      <c r="A164" s="168"/>
      <c r="B164" s="128"/>
      <c r="C164" s="128"/>
      <c r="D164" s="74"/>
      <c r="E164" s="338" t="s">
        <v>956</v>
      </c>
      <c r="F164" s="25">
        <v>33220000</v>
      </c>
    </row>
    <row r="165" spans="1:6" s="136" customFormat="1" ht="24.95" customHeight="1">
      <c r="A165" s="168"/>
      <c r="B165" s="128"/>
      <c r="C165" s="128"/>
      <c r="D165" s="74"/>
      <c r="E165" s="338" t="s">
        <v>957</v>
      </c>
      <c r="F165" s="25">
        <v>10400000</v>
      </c>
    </row>
    <row r="166" spans="1:6" s="136" customFormat="1" ht="24.95" customHeight="1">
      <c r="A166" s="168"/>
      <c r="B166" s="128"/>
      <c r="C166" s="128"/>
      <c r="D166" s="74"/>
      <c r="E166" s="338" t="s">
        <v>958</v>
      </c>
      <c r="F166" s="25">
        <v>12290000</v>
      </c>
    </row>
    <row r="167" spans="1:6" s="136" customFormat="1" ht="24.95" customHeight="1">
      <c r="A167" s="168"/>
      <c r="B167" s="128"/>
      <c r="C167" s="128"/>
      <c r="D167" s="74"/>
      <c r="E167" s="338" t="s">
        <v>959</v>
      </c>
      <c r="F167" s="25">
        <v>8730000</v>
      </c>
    </row>
    <row r="168" spans="1:6" s="136" customFormat="1" ht="24.95" customHeight="1">
      <c r="A168" s="168"/>
      <c r="B168" s="128"/>
      <c r="C168" s="128"/>
      <c r="D168" s="74"/>
      <c r="E168" s="338" t="s">
        <v>960</v>
      </c>
      <c r="F168" s="25">
        <v>20250000</v>
      </c>
    </row>
    <row r="169" spans="1:6" s="136" customFormat="1" ht="24.95" customHeight="1">
      <c r="A169" s="168"/>
      <c r="B169" s="128"/>
      <c r="C169" s="128"/>
      <c r="D169" s="74"/>
      <c r="E169" s="338" t="s">
        <v>961</v>
      </c>
      <c r="F169" s="25">
        <v>24810000</v>
      </c>
    </row>
    <row r="170" spans="1:6" s="136" customFormat="1" ht="24.95" customHeight="1">
      <c r="A170" s="168"/>
      <c r="B170" s="128"/>
      <c r="C170" s="128"/>
      <c r="D170" s="74"/>
      <c r="E170" s="338" t="s">
        <v>962</v>
      </c>
      <c r="F170" s="25">
        <v>20250000</v>
      </c>
    </row>
    <row r="171" spans="1:6" s="136" customFormat="1" ht="24.95" customHeight="1">
      <c r="A171" s="168"/>
      <c r="B171" s="128"/>
      <c r="C171" s="128"/>
      <c r="D171" s="53">
        <v>480000000</v>
      </c>
      <c r="E171" s="125" t="s">
        <v>995</v>
      </c>
      <c r="F171" s="163"/>
    </row>
    <row r="172" spans="1:6" s="136" customFormat="1" ht="24.95" customHeight="1">
      <c r="A172" s="168"/>
      <c r="B172" s="128"/>
      <c r="C172" s="128"/>
      <c r="D172" s="52"/>
      <c r="E172" s="84" t="s">
        <v>188</v>
      </c>
      <c r="F172" s="163">
        <v>160000000</v>
      </c>
    </row>
    <row r="173" spans="1:6" s="136" customFormat="1" ht="24.95" customHeight="1">
      <c r="A173" s="168"/>
      <c r="B173" s="128"/>
      <c r="C173" s="128"/>
      <c r="D173" s="52"/>
      <c r="E173" s="84" t="s">
        <v>189</v>
      </c>
      <c r="F173" s="163">
        <v>160000000</v>
      </c>
    </row>
    <row r="174" spans="1:6" s="136" customFormat="1" ht="24.95" customHeight="1">
      <c r="A174" s="168"/>
      <c r="B174" s="128"/>
      <c r="C174" s="128"/>
      <c r="D174" s="52"/>
      <c r="E174" s="84" t="s">
        <v>190</v>
      </c>
      <c r="F174" s="163">
        <v>160000000</v>
      </c>
    </row>
    <row r="175" spans="1:6" s="136" customFormat="1" ht="24.95" customHeight="1">
      <c r="A175" s="168"/>
      <c r="B175" s="128"/>
      <c r="C175" s="128"/>
      <c r="D175" s="135">
        <v>200000000</v>
      </c>
      <c r="E175" s="125" t="s">
        <v>996</v>
      </c>
      <c r="F175" s="163"/>
    </row>
    <row r="176" spans="1:6" s="136" customFormat="1" ht="24.95" customHeight="1">
      <c r="A176" s="168"/>
      <c r="B176" s="128"/>
      <c r="C176" s="128"/>
      <c r="D176" s="135">
        <v>40000000</v>
      </c>
      <c r="E176" s="125" t="s">
        <v>997</v>
      </c>
      <c r="F176" s="163"/>
    </row>
    <row r="177" spans="1:6" s="136" customFormat="1" ht="24.95" customHeight="1">
      <c r="A177" s="168"/>
      <c r="B177" s="128"/>
      <c r="C177" s="128"/>
      <c r="D177" s="135">
        <v>50000000</v>
      </c>
      <c r="E177" s="125" t="s">
        <v>998</v>
      </c>
      <c r="F177" s="163"/>
    </row>
    <row r="178" spans="1:6" s="136" customFormat="1" ht="24.95" customHeight="1">
      <c r="A178" s="168"/>
      <c r="B178" s="128"/>
      <c r="C178" s="128"/>
      <c r="D178" s="202">
        <v>1109316400</v>
      </c>
      <c r="E178" s="125" t="s">
        <v>848</v>
      </c>
      <c r="F178" s="163"/>
    </row>
    <row r="179" spans="1:6" ht="24.95" customHeight="1">
      <c r="A179" s="158"/>
      <c r="B179" s="121"/>
      <c r="C179" s="311" t="s">
        <v>161</v>
      </c>
      <c r="D179" s="92">
        <f>SUM(D180:D206)</f>
        <v>1862920550</v>
      </c>
      <c r="E179" s="316"/>
      <c r="F179" s="161"/>
    </row>
    <row r="180" spans="1:6" s="136" customFormat="1" ht="24.95" customHeight="1">
      <c r="A180" s="168"/>
      <c r="B180" s="128"/>
      <c r="C180" s="128"/>
      <c r="D180" s="135">
        <v>1083130000</v>
      </c>
      <c r="E180" s="64" t="s">
        <v>994</v>
      </c>
      <c r="F180" s="163"/>
    </row>
    <row r="181" spans="1:6" s="136" customFormat="1" ht="24.95" customHeight="1">
      <c r="A181" s="168"/>
      <c r="B181" s="128"/>
      <c r="C181" s="128"/>
      <c r="D181" s="74"/>
      <c r="E181" s="338" t="s">
        <v>950</v>
      </c>
      <c r="F181" s="25">
        <v>60850000</v>
      </c>
    </row>
    <row r="182" spans="1:6" s="136" customFormat="1" ht="24.95" customHeight="1">
      <c r="A182" s="168"/>
      <c r="B182" s="128"/>
      <c r="C182" s="128"/>
      <c r="D182" s="74"/>
      <c r="E182" s="338" t="s">
        <v>951</v>
      </c>
      <c r="F182" s="25">
        <v>42060000</v>
      </c>
    </row>
    <row r="183" spans="1:6" s="136" customFormat="1" ht="24.95" customHeight="1">
      <c r="A183" s="168"/>
      <c r="B183" s="128"/>
      <c r="C183" s="128"/>
      <c r="D183" s="74"/>
      <c r="E183" s="338" t="s">
        <v>952</v>
      </c>
      <c r="F183" s="25">
        <v>10840000</v>
      </c>
    </row>
    <row r="184" spans="1:6" s="136" customFormat="1" ht="24.95" customHeight="1">
      <c r="A184" s="168"/>
      <c r="B184" s="128"/>
      <c r="C184" s="128"/>
      <c r="D184" s="74"/>
      <c r="E184" s="338" t="s">
        <v>953</v>
      </c>
      <c r="F184" s="25">
        <v>652890000</v>
      </c>
    </row>
    <row r="185" spans="1:6" s="136" customFormat="1" ht="24.95" customHeight="1">
      <c r="A185" s="168"/>
      <c r="B185" s="128"/>
      <c r="C185" s="128"/>
      <c r="D185" s="74"/>
      <c r="E185" s="338" t="s">
        <v>954</v>
      </c>
      <c r="F185" s="25">
        <v>22130000</v>
      </c>
    </row>
    <row r="186" spans="1:6" s="136" customFormat="1" ht="24.95" customHeight="1">
      <c r="A186" s="168"/>
      <c r="B186" s="128"/>
      <c r="C186" s="128"/>
      <c r="D186" s="74"/>
      <c r="E186" s="338" t="s">
        <v>955</v>
      </c>
      <c r="F186" s="25">
        <v>11050000</v>
      </c>
    </row>
    <row r="187" spans="1:6" s="136" customFormat="1" ht="24.95" customHeight="1">
      <c r="A187" s="168"/>
      <c r="B187" s="128"/>
      <c r="C187" s="128"/>
      <c r="D187" s="74"/>
      <c r="E187" s="338" t="s">
        <v>956</v>
      </c>
      <c r="F187" s="25">
        <v>67500000</v>
      </c>
    </row>
    <row r="188" spans="1:6" s="136" customFormat="1" ht="24.95" customHeight="1">
      <c r="A188" s="168"/>
      <c r="B188" s="128"/>
      <c r="C188" s="128"/>
      <c r="D188" s="74"/>
      <c r="E188" s="338" t="s">
        <v>957</v>
      </c>
      <c r="F188" s="25">
        <v>16330000</v>
      </c>
    </row>
    <row r="189" spans="1:6" s="136" customFormat="1" ht="24.95" customHeight="1">
      <c r="A189" s="168"/>
      <c r="B189" s="128"/>
      <c r="C189" s="128"/>
      <c r="D189" s="74"/>
      <c r="E189" s="338" t="s">
        <v>958</v>
      </c>
      <c r="F189" s="25">
        <v>18860000</v>
      </c>
    </row>
    <row r="190" spans="1:6" s="136" customFormat="1" ht="24.95" customHeight="1">
      <c r="A190" s="168"/>
      <c r="B190" s="128"/>
      <c r="C190" s="128"/>
      <c r="D190" s="74"/>
      <c r="E190" s="338" t="s">
        <v>959</v>
      </c>
      <c r="F190" s="25">
        <v>33210000</v>
      </c>
    </row>
    <row r="191" spans="1:6" s="136" customFormat="1" ht="24.95" customHeight="1">
      <c r="A191" s="168"/>
      <c r="B191" s="128"/>
      <c r="C191" s="128"/>
      <c r="D191" s="74"/>
      <c r="E191" s="338" t="s">
        <v>960</v>
      </c>
      <c r="F191" s="25">
        <v>18480000</v>
      </c>
    </row>
    <row r="192" spans="1:6" s="136" customFormat="1" ht="24.95" customHeight="1">
      <c r="A192" s="168"/>
      <c r="B192" s="128"/>
      <c r="C192" s="128"/>
      <c r="D192" s="74"/>
      <c r="E192" s="338" t="s">
        <v>961</v>
      </c>
      <c r="F192" s="25">
        <v>92110000</v>
      </c>
    </row>
    <row r="193" spans="1:6" s="136" customFormat="1" ht="24.95" customHeight="1">
      <c r="A193" s="168"/>
      <c r="B193" s="128"/>
      <c r="C193" s="128"/>
      <c r="D193" s="74"/>
      <c r="E193" s="338" t="s">
        <v>962</v>
      </c>
      <c r="F193" s="25">
        <v>36820000</v>
      </c>
    </row>
    <row r="194" spans="1:6" s="136" customFormat="1" ht="24.95" customHeight="1">
      <c r="A194" s="168"/>
      <c r="B194" s="128"/>
      <c r="C194" s="128"/>
      <c r="D194" s="135">
        <v>108000000</v>
      </c>
      <c r="E194" s="125" t="s">
        <v>999</v>
      </c>
      <c r="F194" s="165"/>
    </row>
    <row r="195" spans="1:6" s="136" customFormat="1" ht="24.95" customHeight="1">
      <c r="A195" s="168"/>
      <c r="B195" s="128"/>
      <c r="C195" s="128"/>
      <c r="D195" s="135"/>
      <c r="E195" s="65" t="s">
        <v>750</v>
      </c>
      <c r="F195" s="166">
        <v>108000000</v>
      </c>
    </row>
    <row r="196" spans="1:6" s="136" customFormat="1" ht="24.95" customHeight="1">
      <c r="A196" s="168"/>
      <c r="B196" s="128"/>
      <c r="C196" s="128"/>
      <c r="D196" s="135">
        <v>134000000</v>
      </c>
      <c r="E196" s="64" t="s">
        <v>1000</v>
      </c>
      <c r="F196" s="163"/>
    </row>
    <row r="197" spans="1:6" s="136" customFormat="1" ht="24.95" customHeight="1">
      <c r="A197" s="168"/>
      <c r="B197" s="128"/>
      <c r="C197" s="128"/>
      <c r="D197" s="74"/>
      <c r="E197" s="65" t="s">
        <v>201</v>
      </c>
      <c r="F197" s="166"/>
    </row>
    <row r="198" spans="1:6" s="136" customFormat="1" ht="24.95" customHeight="1">
      <c r="A198" s="168"/>
      <c r="B198" s="128"/>
      <c r="C198" s="128"/>
      <c r="D198" s="74"/>
      <c r="E198" s="65" t="s">
        <v>202</v>
      </c>
      <c r="F198" s="165">
        <v>100000000</v>
      </c>
    </row>
    <row r="199" spans="1:6" s="136" customFormat="1" ht="24.95" customHeight="1">
      <c r="A199" s="168"/>
      <c r="B199" s="128"/>
      <c r="C199" s="128"/>
      <c r="D199" s="74"/>
      <c r="E199" s="65" t="s">
        <v>203</v>
      </c>
      <c r="F199" s="165">
        <v>8000000</v>
      </c>
    </row>
    <row r="200" spans="1:6" s="136" customFormat="1" ht="24.95" customHeight="1">
      <c r="A200" s="168"/>
      <c r="B200" s="128"/>
      <c r="C200" s="128"/>
      <c r="D200" s="74"/>
      <c r="E200" s="65" t="s">
        <v>468</v>
      </c>
      <c r="F200" s="165">
        <v>20000000</v>
      </c>
    </row>
    <row r="201" spans="1:6" s="136" customFormat="1" ht="24.95" customHeight="1">
      <c r="A201" s="168"/>
      <c r="B201" s="128"/>
      <c r="C201" s="128"/>
      <c r="D201" s="74"/>
      <c r="E201" s="65" t="s">
        <v>204</v>
      </c>
      <c r="F201" s="165">
        <v>6000000</v>
      </c>
    </row>
    <row r="202" spans="1:6" s="136" customFormat="1" ht="24.95" customHeight="1">
      <c r="A202" s="168"/>
      <c r="B202" s="128"/>
      <c r="C202" s="128"/>
      <c r="D202" s="74">
        <v>83000000</v>
      </c>
      <c r="E202" s="125" t="s">
        <v>1001</v>
      </c>
      <c r="F202" s="165"/>
    </row>
    <row r="203" spans="1:6" s="136" customFormat="1" ht="24.95" customHeight="1">
      <c r="A203" s="168"/>
      <c r="B203" s="128"/>
      <c r="C203" s="128"/>
      <c r="D203" s="74"/>
      <c r="E203" s="65" t="s">
        <v>730</v>
      </c>
      <c r="F203" s="165">
        <v>60000000</v>
      </c>
    </row>
    <row r="204" spans="1:6" s="136" customFormat="1" ht="24.95" customHeight="1">
      <c r="A204" s="168"/>
      <c r="B204" s="128"/>
      <c r="C204" s="128"/>
      <c r="D204" s="74"/>
      <c r="E204" s="65" t="s">
        <v>729</v>
      </c>
      <c r="F204" s="165">
        <v>23000000</v>
      </c>
    </row>
    <row r="205" spans="1:6" s="136" customFormat="1" ht="24.95" customHeight="1">
      <c r="A205" s="168"/>
      <c r="B205" s="128"/>
      <c r="C205" s="128"/>
      <c r="D205" s="203">
        <v>440864400</v>
      </c>
      <c r="E205" s="125" t="s">
        <v>1002</v>
      </c>
      <c r="F205" s="165"/>
    </row>
    <row r="206" spans="1:6" s="136" customFormat="1" ht="24.95" customHeight="1">
      <c r="A206" s="168"/>
      <c r="B206" s="128"/>
      <c r="C206" s="128"/>
      <c r="D206" s="135">
        <v>13926150</v>
      </c>
      <c r="E206" s="125" t="s">
        <v>1003</v>
      </c>
      <c r="F206" s="163"/>
    </row>
    <row r="207" spans="1:6" s="136" customFormat="1" ht="24.95" customHeight="1">
      <c r="A207" s="168"/>
      <c r="B207" s="128"/>
      <c r="C207" s="186"/>
      <c r="D207" s="93"/>
      <c r="E207" s="317" t="s">
        <v>205</v>
      </c>
      <c r="F207" s="43">
        <v>13926150</v>
      </c>
    </row>
    <row r="208" spans="1:6" ht="24.95" customHeight="1">
      <c r="A208" s="158"/>
      <c r="B208" s="121"/>
      <c r="C208" s="311" t="s">
        <v>159</v>
      </c>
      <c r="D208" s="92">
        <f>SUM(D209:D241)</f>
        <v>377370000</v>
      </c>
      <c r="E208" s="316"/>
      <c r="F208" s="161"/>
    </row>
    <row r="209" spans="1:6" ht="24.95" customHeight="1">
      <c r="A209" s="158"/>
      <c r="B209" s="121"/>
      <c r="C209" s="121"/>
      <c r="D209" s="135">
        <v>277370000</v>
      </c>
      <c r="E209" s="64" t="s">
        <v>1004</v>
      </c>
      <c r="F209" s="163"/>
    </row>
    <row r="210" spans="1:6" ht="24.95" customHeight="1">
      <c r="A210" s="158"/>
      <c r="B210" s="121"/>
      <c r="C210" s="121"/>
      <c r="D210" s="74"/>
      <c r="E210" s="65" t="s">
        <v>523</v>
      </c>
      <c r="F210" s="163">
        <v>61250000</v>
      </c>
    </row>
    <row r="211" spans="1:6" ht="24.95" customHeight="1">
      <c r="A211" s="158"/>
      <c r="B211" s="121"/>
      <c r="C211" s="121"/>
      <c r="D211" s="74"/>
      <c r="E211" s="65" t="s">
        <v>206</v>
      </c>
      <c r="F211" s="163">
        <v>114000000</v>
      </c>
    </row>
    <row r="212" spans="1:6" ht="24.95" customHeight="1">
      <c r="A212" s="158"/>
      <c r="B212" s="121"/>
      <c r="C212" s="121"/>
      <c r="D212" s="74"/>
      <c r="E212" s="65" t="s">
        <v>207</v>
      </c>
      <c r="F212" s="163"/>
    </row>
    <row r="213" spans="1:6" ht="24.95" customHeight="1">
      <c r="A213" s="158"/>
      <c r="B213" s="121"/>
      <c r="C213" s="121"/>
      <c r="D213" s="74"/>
      <c r="E213" s="65" t="s">
        <v>208</v>
      </c>
      <c r="F213" s="163"/>
    </row>
    <row r="214" spans="1:6" ht="24.95" customHeight="1">
      <c r="A214" s="158"/>
      <c r="B214" s="121"/>
      <c r="C214" s="121"/>
      <c r="D214" s="74"/>
      <c r="E214" s="65" t="s">
        <v>209</v>
      </c>
      <c r="F214" s="163"/>
    </row>
    <row r="215" spans="1:6" ht="24.95" customHeight="1">
      <c r="A215" s="158"/>
      <c r="B215" s="121"/>
      <c r="C215" s="121"/>
      <c r="D215" s="74"/>
      <c r="E215" s="65" t="s">
        <v>210</v>
      </c>
      <c r="F215" s="163"/>
    </row>
    <row r="216" spans="1:6" ht="24.95" customHeight="1">
      <c r="A216" s="158"/>
      <c r="B216" s="121"/>
      <c r="C216" s="121"/>
      <c r="D216" s="74"/>
      <c r="E216" s="65" t="s">
        <v>524</v>
      </c>
      <c r="F216" s="163"/>
    </row>
    <row r="217" spans="1:6" ht="24.95" customHeight="1">
      <c r="A217" s="158"/>
      <c r="B217" s="121"/>
      <c r="C217" s="121"/>
      <c r="D217" s="74"/>
      <c r="E217" s="65" t="s">
        <v>525</v>
      </c>
      <c r="F217" s="163"/>
    </row>
    <row r="218" spans="1:6" ht="24.95" customHeight="1">
      <c r="A218" s="158"/>
      <c r="B218" s="121"/>
      <c r="C218" s="121"/>
      <c r="D218" s="74"/>
      <c r="E218" s="65" t="s">
        <v>526</v>
      </c>
      <c r="F218" s="163"/>
    </row>
    <row r="219" spans="1:6" ht="24.95" customHeight="1">
      <c r="A219" s="158"/>
      <c r="B219" s="121"/>
      <c r="C219" s="121"/>
      <c r="D219" s="74"/>
      <c r="E219" s="65" t="s">
        <v>527</v>
      </c>
      <c r="F219" s="163"/>
    </row>
    <row r="220" spans="1:6" ht="24.95" customHeight="1">
      <c r="A220" s="158"/>
      <c r="B220" s="121"/>
      <c r="C220" s="121"/>
      <c r="D220" s="74"/>
      <c r="E220" s="65" t="s">
        <v>528</v>
      </c>
      <c r="F220" s="163"/>
    </row>
    <row r="221" spans="1:6" ht="24.95" customHeight="1">
      <c r="A221" s="158"/>
      <c r="B221" s="121"/>
      <c r="C221" s="121"/>
      <c r="D221" s="74"/>
      <c r="E221" s="65" t="s">
        <v>529</v>
      </c>
      <c r="F221" s="163"/>
    </row>
    <row r="222" spans="1:6" ht="24.95" customHeight="1">
      <c r="A222" s="158"/>
      <c r="B222" s="121"/>
      <c r="C222" s="121"/>
      <c r="D222" s="74"/>
      <c r="E222" s="65" t="s">
        <v>530</v>
      </c>
      <c r="F222" s="163"/>
    </row>
    <row r="223" spans="1:6" ht="24.95" customHeight="1">
      <c r="A223" s="158"/>
      <c r="B223" s="121"/>
      <c r="C223" s="121"/>
      <c r="D223" s="74"/>
      <c r="E223" s="65" t="s">
        <v>531</v>
      </c>
      <c r="F223" s="163"/>
    </row>
    <row r="224" spans="1:6" ht="24.95" customHeight="1">
      <c r="A224" s="158"/>
      <c r="B224" s="121"/>
      <c r="C224" s="121"/>
      <c r="D224" s="74"/>
      <c r="E224" s="65" t="s">
        <v>532</v>
      </c>
      <c r="F224" s="163"/>
    </row>
    <row r="225" spans="1:6" ht="24.95" customHeight="1">
      <c r="A225" s="158"/>
      <c r="B225" s="121"/>
      <c r="C225" s="121"/>
      <c r="D225" s="74"/>
      <c r="E225" s="65" t="s">
        <v>211</v>
      </c>
      <c r="F225" s="163">
        <v>102120000</v>
      </c>
    </row>
    <row r="226" spans="1:6" ht="24.95" customHeight="1">
      <c r="A226" s="158"/>
      <c r="B226" s="121"/>
      <c r="C226" s="121"/>
      <c r="D226" s="74"/>
      <c r="E226" s="65" t="s">
        <v>533</v>
      </c>
      <c r="F226" s="163"/>
    </row>
    <row r="227" spans="1:6" ht="24.95" customHeight="1">
      <c r="A227" s="158"/>
      <c r="B227" s="121"/>
      <c r="C227" s="121"/>
      <c r="D227" s="74"/>
      <c r="E227" s="65" t="s">
        <v>534</v>
      </c>
      <c r="F227" s="163"/>
    </row>
    <row r="228" spans="1:6" ht="24.95" customHeight="1">
      <c r="A228" s="158"/>
      <c r="B228" s="121"/>
      <c r="C228" s="121"/>
      <c r="D228" s="74"/>
      <c r="E228" s="65" t="s">
        <v>535</v>
      </c>
      <c r="F228" s="163"/>
    </row>
    <row r="229" spans="1:6" ht="24.95" customHeight="1">
      <c r="A229" s="158"/>
      <c r="B229" s="121"/>
      <c r="C229" s="121"/>
      <c r="D229" s="74"/>
      <c r="E229" s="65" t="s">
        <v>536</v>
      </c>
      <c r="F229" s="163"/>
    </row>
    <row r="230" spans="1:6" ht="24.95" customHeight="1">
      <c r="A230" s="158"/>
      <c r="B230" s="121"/>
      <c r="C230" s="121"/>
      <c r="D230" s="74"/>
      <c r="E230" s="65" t="s">
        <v>537</v>
      </c>
      <c r="F230" s="163"/>
    </row>
    <row r="231" spans="1:6" ht="24.95" customHeight="1">
      <c r="A231" s="158"/>
      <c r="B231" s="121"/>
      <c r="C231" s="121"/>
      <c r="D231" s="135">
        <v>90000000</v>
      </c>
      <c r="E231" s="64" t="s">
        <v>1005</v>
      </c>
      <c r="F231" s="163"/>
    </row>
    <row r="232" spans="1:6" ht="24.95" customHeight="1">
      <c r="A232" s="158"/>
      <c r="B232" s="121"/>
      <c r="C232" s="121"/>
      <c r="D232" s="74"/>
      <c r="E232" s="65" t="s">
        <v>420</v>
      </c>
      <c r="F232" s="163">
        <v>10000000</v>
      </c>
    </row>
    <row r="233" spans="1:6" ht="24.95" customHeight="1">
      <c r="A233" s="158"/>
      <c r="B233" s="121"/>
      <c r="C233" s="121"/>
      <c r="D233" s="74"/>
      <c r="E233" s="65" t="s">
        <v>538</v>
      </c>
      <c r="F233" s="163">
        <v>10000000</v>
      </c>
    </row>
    <row r="234" spans="1:6" ht="24.95" customHeight="1">
      <c r="A234" s="158"/>
      <c r="B234" s="121"/>
      <c r="C234" s="121"/>
      <c r="D234" s="74"/>
      <c r="E234" s="65" t="s">
        <v>539</v>
      </c>
      <c r="F234" s="163">
        <v>10000000</v>
      </c>
    </row>
    <row r="235" spans="1:6" ht="24.95" customHeight="1">
      <c r="A235" s="158"/>
      <c r="B235" s="121"/>
      <c r="C235" s="121"/>
      <c r="D235" s="74"/>
      <c r="E235" s="65" t="s">
        <v>540</v>
      </c>
      <c r="F235" s="163">
        <v>10000000</v>
      </c>
    </row>
    <row r="236" spans="1:6" ht="24.95" customHeight="1">
      <c r="A236" s="158"/>
      <c r="B236" s="121"/>
      <c r="C236" s="121"/>
      <c r="D236" s="74"/>
      <c r="E236" s="65" t="s">
        <v>541</v>
      </c>
      <c r="F236" s="163">
        <v>10000000</v>
      </c>
    </row>
    <row r="237" spans="1:6" ht="24.95" customHeight="1">
      <c r="A237" s="158"/>
      <c r="B237" s="121"/>
      <c r="C237" s="121"/>
      <c r="D237" s="74"/>
      <c r="E237" s="65" t="s">
        <v>542</v>
      </c>
      <c r="F237" s="163">
        <v>10000000</v>
      </c>
    </row>
    <row r="238" spans="1:6" ht="24.95" customHeight="1">
      <c r="A238" s="158"/>
      <c r="B238" s="121"/>
      <c r="C238" s="121"/>
      <c r="D238" s="74"/>
      <c r="E238" s="65" t="s">
        <v>543</v>
      </c>
      <c r="F238" s="163">
        <v>10000000</v>
      </c>
    </row>
    <row r="239" spans="1:6" ht="24.95" customHeight="1">
      <c r="A239" s="158"/>
      <c r="B239" s="121"/>
      <c r="C239" s="121"/>
      <c r="D239" s="74"/>
      <c r="E239" s="65" t="s">
        <v>544</v>
      </c>
      <c r="F239" s="163">
        <v>10000000</v>
      </c>
    </row>
    <row r="240" spans="1:6" ht="24.95" customHeight="1">
      <c r="A240" s="158"/>
      <c r="B240" s="121"/>
      <c r="C240" s="121"/>
      <c r="D240" s="74"/>
      <c r="E240" s="65" t="s">
        <v>545</v>
      </c>
      <c r="F240" s="163">
        <v>10000000</v>
      </c>
    </row>
    <row r="241" spans="1:6" ht="24.95" customHeight="1">
      <c r="A241" s="158"/>
      <c r="B241" s="121"/>
      <c r="C241" s="121"/>
      <c r="D241" s="74">
        <v>10000000</v>
      </c>
      <c r="E241" s="125" t="s">
        <v>1297</v>
      </c>
      <c r="F241" s="163"/>
    </row>
    <row r="242" spans="1:6" ht="24.95" customHeight="1">
      <c r="A242" s="314" t="s">
        <v>102</v>
      </c>
      <c r="B242" s="126"/>
      <c r="C242" s="126"/>
      <c r="D242" s="94">
        <f>D243</f>
        <v>1672422875</v>
      </c>
      <c r="E242" s="129"/>
      <c r="F242" s="157"/>
    </row>
    <row r="243" spans="1:6" ht="24.95" customHeight="1">
      <c r="A243" s="158"/>
      <c r="B243" s="122" t="s">
        <v>102</v>
      </c>
      <c r="C243" s="122"/>
      <c r="D243" s="91">
        <f>D244+D259</f>
        <v>1672422875</v>
      </c>
      <c r="E243" s="130"/>
      <c r="F243" s="159"/>
    </row>
    <row r="244" spans="1:6" ht="24.95" customHeight="1">
      <c r="A244" s="158"/>
      <c r="B244" s="121"/>
      <c r="C244" s="311" t="s">
        <v>162</v>
      </c>
      <c r="D244" s="92">
        <f>SUM(D245:D258)</f>
        <v>1559422875</v>
      </c>
      <c r="E244" s="124"/>
      <c r="F244" s="161"/>
    </row>
    <row r="245" spans="1:6" ht="24.95" customHeight="1">
      <c r="A245" s="158"/>
      <c r="B245" s="121"/>
      <c r="C245" s="128"/>
      <c r="D245" s="135">
        <v>30000000</v>
      </c>
      <c r="E245" s="187" t="s">
        <v>170</v>
      </c>
      <c r="F245" s="24"/>
    </row>
    <row r="246" spans="1:6" ht="24.95" customHeight="1">
      <c r="A246" s="158"/>
      <c r="B246" s="121"/>
      <c r="C246" s="128"/>
      <c r="D246" s="135">
        <v>70000000</v>
      </c>
      <c r="E246" s="125" t="s">
        <v>171</v>
      </c>
      <c r="F246" s="25"/>
    </row>
    <row r="247" spans="1:6" ht="24.95" customHeight="1">
      <c r="A247" s="158"/>
      <c r="B247" s="121"/>
      <c r="C247" s="128"/>
      <c r="D247" s="135">
        <v>40000000</v>
      </c>
      <c r="E247" s="125" t="s">
        <v>172</v>
      </c>
      <c r="F247" s="163"/>
    </row>
    <row r="248" spans="1:6" ht="24.95" customHeight="1">
      <c r="A248" s="169"/>
      <c r="B248" s="121"/>
      <c r="C248" s="128"/>
      <c r="D248" s="135">
        <v>100000</v>
      </c>
      <c r="E248" s="125" t="s">
        <v>173</v>
      </c>
      <c r="F248" s="163"/>
    </row>
    <row r="249" spans="1:6" ht="24.95" customHeight="1">
      <c r="A249" s="169"/>
      <c r="B249" s="121"/>
      <c r="C249" s="138"/>
      <c r="D249" s="135">
        <v>8000</v>
      </c>
      <c r="E249" s="125" t="s">
        <v>1006</v>
      </c>
      <c r="F249" s="163"/>
    </row>
    <row r="250" spans="1:6" ht="24.95" customHeight="1">
      <c r="A250" s="169"/>
      <c r="B250" s="121"/>
      <c r="C250" s="138"/>
      <c r="D250" s="135">
        <v>4000</v>
      </c>
      <c r="E250" s="125" t="s">
        <v>1007</v>
      </c>
      <c r="F250" s="163"/>
    </row>
    <row r="251" spans="1:6" ht="24.95" customHeight="1">
      <c r="A251" s="169"/>
      <c r="B251" s="121"/>
      <c r="C251" s="138"/>
      <c r="D251" s="135">
        <v>3000000</v>
      </c>
      <c r="E251" s="125" t="s">
        <v>1008</v>
      </c>
      <c r="F251" s="163"/>
    </row>
    <row r="252" spans="1:6" ht="24.95" customHeight="1">
      <c r="A252" s="169"/>
      <c r="B252" s="121"/>
      <c r="C252" s="138"/>
      <c r="D252" s="135">
        <v>1000000</v>
      </c>
      <c r="E252" s="125" t="s">
        <v>1009</v>
      </c>
      <c r="F252" s="166"/>
    </row>
    <row r="253" spans="1:6" s="136" customFormat="1" ht="24.95" customHeight="1">
      <c r="A253" s="170"/>
      <c r="B253" s="128"/>
      <c r="C253" s="138"/>
      <c r="D253" s="135">
        <v>2310875</v>
      </c>
      <c r="E253" s="125" t="s">
        <v>1010</v>
      </c>
      <c r="F253" s="163"/>
    </row>
    <row r="254" spans="1:6" s="136" customFormat="1" ht="24.95" customHeight="1">
      <c r="A254" s="170"/>
      <c r="B254" s="128"/>
      <c r="C254" s="138"/>
      <c r="D254" s="135">
        <v>1410000000</v>
      </c>
      <c r="E254" s="125" t="s">
        <v>1011</v>
      </c>
      <c r="F254" s="163"/>
    </row>
    <row r="255" spans="1:6" s="136" customFormat="1" ht="24.95" customHeight="1">
      <c r="A255" s="170"/>
      <c r="B255" s="128"/>
      <c r="C255" s="138"/>
      <c r="D255" s="135"/>
      <c r="E255" s="320" t="s">
        <v>212</v>
      </c>
      <c r="F255" s="163">
        <v>510000000</v>
      </c>
    </row>
    <row r="256" spans="1:6" s="136" customFormat="1" ht="24.95" customHeight="1">
      <c r="A256" s="170"/>
      <c r="B256" s="128"/>
      <c r="C256" s="138"/>
      <c r="D256" s="202"/>
      <c r="E256" s="345" t="s">
        <v>213</v>
      </c>
      <c r="F256" s="163">
        <v>900000000</v>
      </c>
    </row>
    <row r="257" spans="1:6" s="136" customFormat="1" ht="24.95" customHeight="1">
      <c r="A257" s="170"/>
      <c r="B257" s="128"/>
      <c r="C257" s="138"/>
      <c r="D257" s="135">
        <v>3000000</v>
      </c>
      <c r="E257" s="125" t="s">
        <v>1012</v>
      </c>
      <c r="F257" s="163"/>
    </row>
    <row r="258" spans="1:6" s="136" customFormat="1" ht="24.95" customHeight="1">
      <c r="A258" s="170"/>
      <c r="B258" s="128"/>
      <c r="C258" s="138"/>
      <c r="D258" s="135"/>
      <c r="E258" s="34" t="s">
        <v>849</v>
      </c>
      <c r="F258" s="39">
        <v>3000000</v>
      </c>
    </row>
    <row r="259" spans="1:6" s="13" customFormat="1" ht="24.95" customHeight="1">
      <c r="A259" s="170"/>
      <c r="B259" s="128"/>
      <c r="C259" s="311" t="s">
        <v>163</v>
      </c>
      <c r="D259" s="92">
        <f>SUM(D260:D262)</f>
        <v>113000000</v>
      </c>
      <c r="E259" s="124"/>
      <c r="F259" s="161"/>
    </row>
    <row r="260" spans="1:6" s="136" customFormat="1" ht="24.95" customHeight="1">
      <c r="A260" s="170"/>
      <c r="B260" s="128"/>
      <c r="C260" s="138"/>
      <c r="D260" s="135">
        <v>90000000</v>
      </c>
      <c r="E260" s="125" t="s">
        <v>214</v>
      </c>
      <c r="F260" s="163"/>
    </row>
    <row r="261" spans="1:6" s="136" customFormat="1" ht="24.95" customHeight="1">
      <c r="A261" s="170"/>
      <c r="B261" s="128"/>
      <c r="C261" s="138"/>
      <c r="D261" s="135"/>
      <c r="E261" s="34" t="s">
        <v>215</v>
      </c>
      <c r="F261" s="163">
        <v>90000000</v>
      </c>
    </row>
    <row r="262" spans="1:6" s="136" customFormat="1" ht="24.95" customHeight="1">
      <c r="A262" s="170"/>
      <c r="B262" s="128"/>
      <c r="C262" s="138"/>
      <c r="D262" s="135">
        <v>23000000</v>
      </c>
      <c r="E262" s="125" t="s">
        <v>18</v>
      </c>
      <c r="F262" s="39"/>
    </row>
    <row r="263" spans="1:6" s="136" customFormat="1" ht="24.95" customHeight="1">
      <c r="A263" s="170"/>
      <c r="B263" s="186"/>
      <c r="C263" s="318"/>
      <c r="D263" s="135"/>
      <c r="E263" s="34" t="s">
        <v>215</v>
      </c>
      <c r="F263" s="39">
        <v>23000000</v>
      </c>
    </row>
    <row r="264" spans="1:6" ht="24.95" customHeight="1">
      <c r="A264" s="366" t="s">
        <v>433</v>
      </c>
      <c r="B264" s="367"/>
      <c r="C264" s="368"/>
      <c r="D264" s="96">
        <f>D5+D41+D242</f>
        <v>165329784665</v>
      </c>
      <c r="E264" s="183"/>
      <c r="F264" s="171"/>
    </row>
    <row r="265" spans="1:6" ht="24.95" customHeight="1">
      <c r="A265" s="319" t="s">
        <v>103</v>
      </c>
      <c r="B265" s="12"/>
      <c r="C265" s="131"/>
      <c r="D265" s="94">
        <f>D267</f>
        <v>52449221804</v>
      </c>
      <c r="E265" s="120"/>
      <c r="F265" s="157"/>
    </row>
    <row r="266" spans="1:6" ht="24.95" customHeight="1">
      <c r="A266" s="158"/>
      <c r="B266" s="132" t="s">
        <v>103</v>
      </c>
      <c r="C266" s="132"/>
      <c r="D266" s="91">
        <f>D267</f>
        <v>52449221804</v>
      </c>
      <c r="E266" s="123"/>
      <c r="F266" s="159"/>
    </row>
    <row r="267" spans="1:6" ht="24.95" customHeight="1">
      <c r="A267" s="158"/>
      <c r="B267" s="121"/>
      <c r="C267" s="311" t="s">
        <v>103</v>
      </c>
      <c r="D267" s="92">
        <f>SUM(D268:D334)</f>
        <v>52449221804</v>
      </c>
      <c r="E267" s="127"/>
      <c r="F267" s="161"/>
    </row>
    <row r="268" spans="1:6" ht="24.95" customHeight="1">
      <c r="A268" s="158"/>
      <c r="B268" s="121"/>
      <c r="C268" s="121"/>
      <c r="D268" s="135">
        <v>17480166</v>
      </c>
      <c r="E268" s="190" t="s">
        <v>216</v>
      </c>
      <c r="F268" s="165"/>
    </row>
    <row r="269" spans="1:6" ht="24.95" customHeight="1">
      <c r="A269" s="158"/>
      <c r="B269" s="121"/>
      <c r="C269" s="121"/>
      <c r="D269" s="196">
        <v>1931751244</v>
      </c>
      <c r="E269" s="64" t="s">
        <v>217</v>
      </c>
      <c r="F269" s="167"/>
    </row>
    <row r="270" spans="1:6" ht="24.95" customHeight="1">
      <c r="A270" s="158"/>
      <c r="B270" s="121"/>
      <c r="C270" s="121"/>
      <c r="D270" s="5"/>
      <c r="E270" s="84" t="s">
        <v>187</v>
      </c>
      <c r="F270" s="167">
        <v>1931751244</v>
      </c>
    </row>
    <row r="271" spans="1:6" ht="24.95" customHeight="1">
      <c r="A271" s="158"/>
      <c r="B271" s="121"/>
      <c r="C271" s="121"/>
      <c r="D271" s="135">
        <v>3130432414</v>
      </c>
      <c r="E271" s="125" t="s">
        <v>218</v>
      </c>
      <c r="F271" s="165"/>
    </row>
    <row r="272" spans="1:6" ht="24.95" customHeight="1">
      <c r="A272" s="158"/>
      <c r="B272" s="121"/>
      <c r="C272" s="121"/>
      <c r="D272" s="135"/>
      <c r="E272" s="65" t="s">
        <v>950</v>
      </c>
      <c r="F272" s="165">
        <v>146562030</v>
      </c>
    </row>
    <row r="273" spans="1:6" ht="24.95" customHeight="1">
      <c r="A273" s="158"/>
      <c r="B273" s="121"/>
      <c r="C273" s="121"/>
      <c r="D273" s="135"/>
      <c r="E273" s="65" t="s">
        <v>951</v>
      </c>
      <c r="F273" s="165">
        <v>141992900</v>
      </c>
    </row>
    <row r="274" spans="1:6" ht="24.95" customHeight="1">
      <c r="A274" s="158"/>
      <c r="B274" s="121"/>
      <c r="C274" s="121"/>
      <c r="D274" s="135"/>
      <c r="E274" s="65" t="s">
        <v>952</v>
      </c>
      <c r="F274" s="165">
        <v>105624924</v>
      </c>
    </row>
    <row r="275" spans="1:6" ht="24.95" customHeight="1">
      <c r="A275" s="158"/>
      <c r="B275" s="121"/>
      <c r="C275" s="121"/>
      <c r="D275" s="135"/>
      <c r="E275" s="65" t="s">
        <v>953</v>
      </c>
      <c r="F275" s="165">
        <v>932613177</v>
      </c>
    </row>
    <row r="276" spans="1:6" ht="24.95" customHeight="1">
      <c r="A276" s="158"/>
      <c r="B276" s="121"/>
      <c r="C276" s="121"/>
      <c r="D276" s="135"/>
      <c r="E276" s="65" t="s">
        <v>954</v>
      </c>
      <c r="F276" s="165">
        <v>293772180</v>
      </c>
    </row>
    <row r="277" spans="1:6" ht="24.95" customHeight="1">
      <c r="A277" s="158"/>
      <c r="B277" s="121"/>
      <c r="C277" s="121"/>
      <c r="D277" s="135"/>
      <c r="E277" s="65" t="s">
        <v>955</v>
      </c>
      <c r="F277" s="165">
        <v>275878143</v>
      </c>
    </row>
    <row r="278" spans="1:6" ht="24.95" customHeight="1">
      <c r="A278" s="158"/>
      <c r="B278" s="121"/>
      <c r="C278" s="121"/>
      <c r="D278" s="135"/>
      <c r="E278" s="65" t="s">
        <v>956</v>
      </c>
      <c r="F278" s="165">
        <v>498497378</v>
      </c>
    </row>
    <row r="279" spans="1:6" ht="24.95" customHeight="1">
      <c r="A279" s="158"/>
      <c r="B279" s="121"/>
      <c r="C279" s="121"/>
      <c r="D279" s="135"/>
      <c r="E279" s="65" t="s">
        <v>957</v>
      </c>
      <c r="F279" s="165">
        <v>175139826</v>
      </c>
    </row>
    <row r="280" spans="1:6" ht="24.95" customHeight="1">
      <c r="A280" s="158"/>
      <c r="B280" s="121"/>
      <c r="C280" s="121"/>
      <c r="D280" s="135"/>
      <c r="E280" s="65" t="s">
        <v>958</v>
      </c>
      <c r="F280" s="165">
        <v>64419318</v>
      </c>
    </row>
    <row r="281" spans="1:6" ht="24.95" customHeight="1">
      <c r="A281" s="158"/>
      <c r="B281" s="121"/>
      <c r="C281" s="121"/>
      <c r="D281" s="135"/>
      <c r="E281" s="65" t="s">
        <v>959</v>
      </c>
      <c r="F281" s="165">
        <v>85392108</v>
      </c>
    </row>
    <row r="282" spans="1:6" ht="24.95" customHeight="1">
      <c r="A282" s="158"/>
      <c r="B282" s="121"/>
      <c r="C282" s="121"/>
      <c r="D282" s="135"/>
      <c r="E282" s="65" t="s">
        <v>960</v>
      </c>
      <c r="F282" s="165">
        <v>81051041</v>
      </c>
    </row>
    <row r="283" spans="1:6" ht="24.95" customHeight="1">
      <c r="A283" s="158"/>
      <c r="B283" s="121"/>
      <c r="C283" s="121"/>
      <c r="D283" s="135"/>
      <c r="E283" s="65" t="s">
        <v>961</v>
      </c>
      <c r="F283" s="165">
        <v>147926952</v>
      </c>
    </row>
    <row r="284" spans="1:6" ht="24.95" customHeight="1">
      <c r="A284" s="158"/>
      <c r="B284" s="121"/>
      <c r="C284" s="121"/>
      <c r="D284" s="135"/>
      <c r="E284" s="65" t="s">
        <v>962</v>
      </c>
      <c r="F284" s="165">
        <v>85961186</v>
      </c>
    </row>
    <row r="285" spans="1:6" ht="24.95" customHeight="1">
      <c r="A285" s="158"/>
      <c r="B285" s="121"/>
      <c r="C285" s="121"/>
      <c r="D285" s="135"/>
      <c r="E285" s="65" t="s">
        <v>1013</v>
      </c>
      <c r="F285" s="165">
        <v>95601251</v>
      </c>
    </row>
    <row r="286" spans="1:6" ht="24.95" customHeight="1">
      <c r="A286" s="158"/>
      <c r="B286" s="121"/>
      <c r="C286" s="121"/>
      <c r="D286" s="135">
        <v>66125486</v>
      </c>
      <c r="E286" s="125" t="s">
        <v>219</v>
      </c>
      <c r="F286" s="163"/>
    </row>
    <row r="287" spans="1:6" ht="24.95" customHeight="1">
      <c r="A287" s="158"/>
      <c r="B287" s="121"/>
      <c r="C287" s="121"/>
      <c r="D287" s="135">
        <v>3170877755</v>
      </c>
      <c r="E287" s="125" t="s">
        <v>220</v>
      </c>
      <c r="F287" s="163"/>
    </row>
    <row r="288" spans="1:6" ht="24.95" customHeight="1">
      <c r="A288" s="158"/>
      <c r="B288" s="121"/>
      <c r="C288" s="121"/>
      <c r="D288" s="135">
        <v>743844642</v>
      </c>
      <c r="E288" s="125" t="s">
        <v>221</v>
      </c>
      <c r="F288" s="163"/>
    </row>
    <row r="289" spans="1:6" ht="24.95" customHeight="1">
      <c r="A289" s="158"/>
      <c r="B289" s="121"/>
      <c r="C289" s="121"/>
      <c r="D289" s="74"/>
      <c r="E289" s="26" t="s">
        <v>222</v>
      </c>
      <c r="F289" s="163">
        <v>604463637</v>
      </c>
    </row>
    <row r="290" spans="1:6" ht="24.95" customHeight="1">
      <c r="A290" s="158"/>
      <c r="B290" s="121"/>
      <c r="C290" s="121"/>
      <c r="D290" s="74"/>
      <c r="E290" s="26" t="s">
        <v>223</v>
      </c>
      <c r="F290" s="163">
        <v>139381005</v>
      </c>
    </row>
    <row r="291" spans="1:6" ht="24.95" customHeight="1">
      <c r="A291" s="158"/>
      <c r="B291" s="121"/>
      <c r="C291" s="121"/>
      <c r="D291" s="196">
        <v>28896625</v>
      </c>
      <c r="E291" s="64" t="s">
        <v>224</v>
      </c>
      <c r="F291" s="163"/>
    </row>
    <row r="292" spans="1:6" ht="24.95" customHeight="1">
      <c r="A292" s="158"/>
      <c r="B292" s="121"/>
      <c r="C292" s="121"/>
      <c r="D292" s="196">
        <v>42192488</v>
      </c>
      <c r="E292" s="125" t="s">
        <v>225</v>
      </c>
      <c r="F292" s="163"/>
    </row>
    <row r="293" spans="1:6" ht="24.95" customHeight="1">
      <c r="A293" s="158"/>
      <c r="B293" s="121"/>
      <c r="C293" s="121"/>
      <c r="D293" s="196">
        <v>204047</v>
      </c>
      <c r="E293" s="64" t="s">
        <v>226</v>
      </c>
      <c r="F293" s="167"/>
    </row>
    <row r="294" spans="1:6" ht="24.95" customHeight="1">
      <c r="A294" s="158"/>
      <c r="B294" s="121"/>
      <c r="C294" s="121"/>
      <c r="D294" s="196">
        <v>291762766</v>
      </c>
      <c r="E294" s="125" t="s">
        <v>227</v>
      </c>
      <c r="F294" s="167"/>
    </row>
    <row r="295" spans="1:6" ht="24.95" customHeight="1">
      <c r="A295" s="158"/>
      <c r="B295" s="121"/>
      <c r="C295" s="121"/>
      <c r="D295" s="196">
        <v>265170082</v>
      </c>
      <c r="E295" s="125" t="s">
        <v>228</v>
      </c>
      <c r="F295" s="167"/>
    </row>
    <row r="296" spans="1:6" ht="24.95" customHeight="1">
      <c r="A296" s="158"/>
      <c r="B296" s="121"/>
      <c r="C296" s="121"/>
      <c r="D296" s="196">
        <v>1132301446</v>
      </c>
      <c r="E296" s="125" t="s">
        <v>229</v>
      </c>
      <c r="F296" s="163"/>
    </row>
    <row r="297" spans="1:6" ht="24.95" customHeight="1">
      <c r="A297" s="158"/>
      <c r="B297" s="121"/>
      <c r="C297" s="121"/>
      <c r="D297" s="196">
        <v>477244767</v>
      </c>
      <c r="E297" s="64" t="s">
        <v>230</v>
      </c>
      <c r="F297" s="167"/>
    </row>
    <row r="298" spans="1:6" ht="24.95" customHeight="1">
      <c r="A298" s="158"/>
      <c r="B298" s="121"/>
      <c r="C298" s="121"/>
      <c r="D298" s="196">
        <v>57634550</v>
      </c>
      <c r="E298" s="64" t="s">
        <v>231</v>
      </c>
      <c r="F298" s="165"/>
    </row>
    <row r="299" spans="1:6" ht="24.95" customHeight="1">
      <c r="A299" s="158"/>
      <c r="B299" s="121"/>
      <c r="C299" s="121"/>
      <c r="D299" s="55">
        <v>46828661</v>
      </c>
      <c r="E299" s="190" t="s">
        <v>232</v>
      </c>
      <c r="F299" s="172"/>
    </row>
    <row r="300" spans="1:6" ht="24.95" customHeight="1">
      <c r="A300" s="158"/>
      <c r="B300" s="121"/>
      <c r="C300" s="121"/>
      <c r="D300" s="55">
        <v>893210225</v>
      </c>
      <c r="E300" s="125" t="s">
        <v>233</v>
      </c>
      <c r="F300" s="172"/>
    </row>
    <row r="301" spans="1:6" ht="24.95" customHeight="1">
      <c r="A301" s="158"/>
      <c r="B301" s="121"/>
      <c r="C301" s="121"/>
      <c r="D301" s="135">
        <v>49446000</v>
      </c>
      <c r="E301" s="190" t="s">
        <v>234</v>
      </c>
      <c r="F301" s="165"/>
    </row>
    <row r="302" spans="1:6" ht="24.95" customHeight="1">
      <c r="A302" s="158"/>
      <c r="B302" s="121"/>
      <c r="C302" s="121"/>
      <c r="D302" s="135"/>
      <c r="E302" s="67" t="s">
        <v>235</v>
      </c>
      <c r="F302" s="165">
        <v>49446000</v>
      </c>
    </row>
    <row r="303" spans="1:6" ht="24.95" customHeight="1">
      <c r="A303" s="158"/>
      <c r="B303" s="121"/>
      <c r="C303" s="121"/>
      <c r="D303" s="135"/>
      <c r="E303" s="67" t="s">
        <v>546</v>
      </c>
      <c r="F303" s="165"/>
    </row>
    <row r="304" spans="1:6" ht="24.95" customHeight="1">
      <c r="A304" s="158"/>
      <c r="B304" s="121"/>
      <c r="C304" s="121"/>
      <c r="D304" s="135"/>
      <c r="E304" s="67" t="s">
        <v>547</v>
      </c>
      <c r="F304" s="165"/>
    </row>
    <row r="305" spans="1:6" ht="24.95" customHeight="1">
      <c r="A305" s="158"/>
      <c r="B305" s="121"/>
      <c r="C305" s="121"/>
      <c r="D305" s="135"/>
      <c r="E305" s="67" t="s">
        <v>548</v>
      </c>
      <c r="F305" s="165"/>
    </row>
    <row r="306" spans="1:6" ht="24.95" customHeight="1">
      <c r="A306" s="158"/>
      <c r="B306" s="121"/>
      <c r="C306" s="121"/>
      <c r="D306" s="135">
        <v>9820710377</v>
      </c>
      <c r="E306" s="125" t="s">
        <v>421</v>
      </c>
      <c r="F306" s="167"/>
    </row>
    <row r="307" spans="1:6" ht="24.95" customHeight="1">
      <c r="A307" s="158"/>
      <c r="B307" s="121"/>
      <c r="C307" s="121"/>
      <c r="D307" s="135">
        <v>6951</v>
      </c>
      <c r="E307" s="80" t="s">
        <v>746</v>
      </c>
      <c r="F307" s="167"/>
    </row>
    <row r="308" spans="1:6" ht="24.95" customHeight="1">
      <c r="A308" s="158"/>
      <c r="B308" s="121"/>
      <c r="C308" s="121"/>
      <c r="D308" s="135">
        <v>21289996</v>
      </c>
      <c r="E308" s="80" t="s">
        <v>747</v>
      </c>
      <c r="F308" s="167"/>
    </row>
    <row r="309" spans="1:6" ht="24.95" customHeight="1">
      <c r="A309" s="158"/>
      <c r="B309" s="121"/>
      <c r="C309" s="121"/>
      <c r="D309" s="135">
        <v>4445746</v>
      </c>
      <c r="E309" s="80" t="s">
        <v>748</v>
      </c>
      <c r="F309" s="167"/>
    </row>
    <row r="310" spans="1:6" ht="24.95" customHeight="1">
      <c r="A310" s="158"/>
      <c r="B310" s="121"/>
      <c r="C310" s="121"/>
      <c r="D310" s="135">
        <v>5465500</v>
      </c>
      <c r="E310" s="80" t="s">
        <v>749</v>
      </c>
      <c r="F310" s="167"/>
    </row>
    <row r="311" spans="1:6" ht="24.95" customHeight="1">
      <c r="A311" s="158"/>
      <c r="B311" s="121"/>
      <c r="C311" s="121"/>
      <c r="D311" s="135">
        <v>81338380</v>
      </c>
      <c r="E311" s="80" t="s">
        <v>768</v>
      </c>
      <c r="F311" s="167"/>
    </row>
    <row r="312" spans="1:6" ht="24.95" customHeight="1">
      <c r="A312" s="158"/>
      <c r="B312" s="121"/>
      <c r="C312" s="121"/>
      <c r="D312" s="135">
        <v>155810574</v>
      </c>
      <c r="E312" s="80" t="s">
        <v>769</v>
      </c>
      <c r="F312" s="167"/>
    </row>
    <row r="313" spans="1:6" ht="24.95" customHeight="1">
      <c r="A313" s="158"/>
      <c r="B313" s="121"/>
      <c r="C313" s="121"/>
      <c r="D313" s="135">
        <v>25000000</v>
      </c>
      <c r="E313" s="80" t="s">
        <v>770</v>
      </c>
      <c r="F313" s="167"/>
    </row>
    <row r="314" spans="1:6" ht="24.95" customHeight="1">
      <c r="A314" s="158"/>
      <c r="B314" s="121"/>
      <c r="C314" s="121"/>
      <c r="D314" s="135">
        <v>1600000000</v>
      </c>
      <c r="E314" s="80" t="s">
        <v>1014</v>
      </c>
      <c r="F314" s="167"/>
    </row>
    <row r="315" spans="1:6" ht="24.95" customHeight="1">
      <c r="A315" s="158"/>
      <c r="B315" s="121"/>
      <c r="C315" s="121"/>
      <c r="D315" s="135">
        <v>10231709</v>
      </c>
      <c r="E315" s="80" t="s">
        <v>1015</v>
      </c>
      <c r="F315" s="167"/>
    </row>
    <row r="316" spans="1:6" ht="24.95" customHeight="1">
      <c r="A316" s="158"/>
      <c r="B316" s="121"/>
      <c r="C316" s="121"/>
      <c r="D316" s="135">
        <v>2149305</v>
      </c>
      <c r="E316" s="80" t="s">
        <v>1016</v>
      </c>
      <c r="F316" s="167"/>
    </row>
    <row r="317" spans="1:6" ht="24.95" customHeight="1">
      <c r="A317" s="158"/>
      <c r="B317" s="121"/>
      <c r="C317" s="121"/>
      <c r="D317" s="135">
        <v>17370</v>
      </c>
      <c r="E317" s="80" t="s">
        <v>1017</v>
      </c>
      <c r="F317" s="167"/>
    </row>
    <row r="318" spans="1:6" ht="24.95" customHeight="1">
      <c r="A318" s="158"/>
      <c r="B318" s="121"/>
      <c r="C318" s="121"/>
      <c r="D318" s="135">
        <v>10000000</v>
      </c>
      <c r="E318" s="80" t="s">
        <v>1018</v>
      </c>
      <c r="F318" s="167"/>
    </row>
    <row r="319" spans="1:6" ht="24.95" customHeight="1">
      <c r="A319" s="158"/>
      <c r="B319" s="121"/>
      <c r="C319" s="121"/>
      <c r="D319" s="135">
        <v>6796650</v>
      </c>
      <c r="E319" s="80" t="s">
        <v>1019</v>
      </c>
      <c r="F319" s="167"/>
    </row>
    <row r="320" spans="1:6" s="10" customFormat="1" ht="24.95" customHeight="1">
      <c r="A320" s="339"/>
      <c r="B320" s="340"/>
      <c r="C320" s="340"/>
      <c r="D320" s="202">
        <f>17591176367+1398631486</f>
        <v>18989807853</v>
      </c>
      <c r="E320" s="80" t="s">
        <v>1020</v>
      </c>
      <c r="F320" s="341"/>
    </row>
    <row r="321" spans="1:6" ht="24.95" customHeight="1">
      <c r="A321" s="158"/>
      <c r="B321" s="121"/>
      <c r="C321" s="121"/>
      <c r="D321" s="135">
        <v>7811060199</v>
      </c>
      <c r="E321" s="133" t="s">
        <v>1021</v>
      </c>
      <c r="F321" s="165"/>
    </row>
    <row r="322" spans="1:6" ht="24.95" customHeight="1">
      <c r="A322" s="169"/>
      <c r="B322" s="121"/>
      <c r="C322" s="121"/>
      <c r="D322" s="135"/>
      <c r="E322" s="77" t="s">
        <v>236</v>
      </c>
      <c r="F322" s="165">
        <v>7794936000</v>
      </c>
    </row>
    <row r="323" spans="1:6" ht="24.95" customHeight="1">
      <c r="A323" s="169"/>
      <c r="B323" s="121"/>
      <c r="C323" s="121"/>
      <c r="D323" s="135"/>
      <c r="E323" s="77" t="s">
        <v>237</v>
      </c>
      <c r="F323" s="165">
        <v>16124199</v>
      </c>
    </row>
    <row r="324" spans="1:6" ht="24.95" customHeight="1">
      <c r="A324" s="169"/>
      <c r="B324" s="121"/>
      <c r="C324" s="121"/>
      <c r="D324" s="135">
        <v>1559687830</v>
      </c>
      <c r="E324" s="133" t="s">
        <v>1022</v>
      </c>
      <c r="F324" s="165"/>
    </row>
    <row r="325" spans="1:6" ht="24.95" customHeight="1">
      <c r="A325" s="169"/>
      <c r="B325" s="67"/>
      <c r="C325" s="121"/>
      <c r="D325" s="78"/>
      <c r="E325" s="44" t="s">
        <v>850</v>
      </c>
      <c r="F325" s="47">
        <v>115006769</v>
      </c>
    </row>
    <row r="326" spans="1:6" ht="24.95" customHeight="1">
      <c r="A326" s="169"/>
      <c r="B326" s="67"/>
      <c r="C326" s="121"/>
      <c r="D326" s="78"/>
      <c r="E326" s="44" t="s">
        <v>851</v>
      </c>
      <c r="F326" s="47">
        <v>187979694</v>
      </c>
    </row>
    <row r="327" spans="1:6" ht="24.95" customHeight="1">
      <c r="A327" s="169"/>
      <c r="B327" s="67"/>
      <c r="C327" s="121"/>
      <c r="D327" s="78"/>
      <c r="E327" s="44" t="s">
        <v>852</v>
      </c>
      <c r="F327" s="47">
        <v>4425339</v>
      </c>
    </row>
    <row r="328" spans="1:6" ht="24.95" customHeight="1">
      <c r="A328" s="169"/>
      <c r="B328" s="67"/>
      <c r="C328" s="121"/>
      <c r="D328" s="78"/>
      <c r="E328" s="44" t="s">
        <v>853</v>
      </c>
      <c r="F328" s="47">
        <v>855565326</v>
      </c>
    </row>
    <row r="329" spans="1:6" ht="24.95" customHeight="1">
      <c r="A329" s="169"/>
      <c r="B329" s="67"/>
      <c r="C329" s="121"/>
      <c r="D329" s="78"/>
      <c r="E329" s="44" t="s">
        <v>854</v>
      </c>
      <c r="F329" s="39"/>
    </row>
    <row r="330" spans="1:6" ht="24.95" customHeight="1">
      <c r="A330" s="169"/>
      <c r="B330" s="67"/>
      <c r="C330" s="121"/>
      <c r="D330" s="78"/>
      <c r="E330" s="44" t="s">
        <v>855</v>
      </c>
      <c r="F330" s="39"/>
    </row>
    <row r="331" spans="1:6" ht="24.95" customHeight="1">
      <c r="A331" s="169"/>
      <c r="B331" s="67"/>
      <c r="C331" s="121"/>
      <c r="D331" s="78"/>
      <c r="E331" s="34" t="s">
        <v>856</v>
      </c>
      <c r="F331" s="39"/>
    </row>
    <row r="332" spans="1:6" ht="24.95" customHeight="1">
      <c r="A332" s="169"/>
      <c r="B332" s="67"/>
      <c r="C332" s="121"/>
      <c r="D332" s="78"/>
      <c r="E332" s="34" t="s">
        <v>857</v>
      </c>
      <c r="F332" s="39"/>
    </row>
    <row r="333" spans="1:6" ht="24.95" customHeight="1">
      <c r="A333" s="169"/>
      <c r="B333" s="67"/>
      <c r="C333" s="121"/>
      <c r="D333" s="78"/>
      <c r="E333" s="44" t="s">
        <v>858</v>
      </c>
      <c r="F333" s="39">
        <v>9809218</v>
      </c>
    </row>
    <row r="334" spans="1:6" ht="24.95" customHeight="1">
      <c r="A334" s="169"/>
      <c r="B334" s="67"/>
      <c r="C334" s="121"/>
      <c r="D334" s="78"/>
      <c r="E334" s="44" t="s">
        <v>859</v>
      </c>
      <c r="F334" s="39">
        <v>386901484</v>
      </c>
    </row>
    <row r="335" spans="1:6" ht="24.95" customHeight="1" thickBot="1">
      <c r="A335" s="369" t="s">
        <v>434</v>
      </c>
      <c r="B335" s="370"/>
      <c r="C335" s="371"/>
      <c r="D335" s="283">
        <f>SUM(D265:D265)</f>
        <v>52449221804</v>
      </c>
      <c r="E335" s="209"/>
      <c r="F335" s="210"/>
    </row>
    <row r="336" spans="1:6" ht="24.95" customHeight="1">
      <c r="D336" s="205"/>
    </row>
  </sheetData>
  <autoFilter ref="A3:F335">
    <filterColumn colId="4" showButton="0"/>
  </autoFilter>
  <mergeCells count="4">
    <mergeCell ref="E3:F3"/>
    <mergeCell ref="A264:C264"/>
    <mergeCell ref="A335:C335"/>
    <mergeCell ref="A4:C4"/>
  </mergeCells>
  <phoneticPr fontId="2" type="noConversion"/>
  <printOptions horizontalCentered="1"/>
  <pageMargins left="0.19685039370078741" right="0.19685039370078741" top="0.74803149606299213" bottom="0.47244094488188981" header="0.31496062992125984" footer="0.31496062992125984"/>
  <pageSetup paperSize="9" scale="72" fitToHeight="18" orientation="landscape" useFirstPageNumber="1" r:id="rId1"/>
  <headerFooter alignWithMargins="0"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G61"/>
  <sheetViews>
    <sheetView workbookViewId="0">
      <selection activeCell="E59" sqref="E59"/>
    </sheetView>
  </sheetViews>
  <sheetFormatPr defaultColWidth="16" defaultRowHeight="20.100000000000001" customHeight="1"/>
  <cols>
    <col min="2" max="2" width="17" customWidth="1"/>
    <col min="4" max="4" width="18.21875" customWidth="1"/>
    <col min="5" max="5" width="17.88671875" customWidth="1"/>
    <col min="6" max="6" width="17.109375" customWidth="1"/>
  </cols>
  <sheetData>
    <row r="1" spans="1:7" ht="24.95" customHeight="1">
      <c r="A1" s="384" t="s">
        <v>75</v>
      </c>
      <c r="B1" s="384"/>
      <c r="C1" s="384"/>
      <c r="D1" s="384"/>
      <c r="E1" s="384"/>
      <c r="F1" s="384"/>
      <c r="G1" s="384"/>
    </row>
    <row r="2" spans="1:7" ht="24.95" customHeight="1">
      <c r="A2" s="385" t="s">
        <v>443</v>
      </c>
      <c r="B2" s="385"/>
      <c r="C2" s="385"/>
      <c r="D2" s="385"/>
      <c r="E2" s="385"/>
      <c r="F2" s="385"/>
      <c r="G2" s="385"/>
    </row>
    <row r="3" spans="1:7" ht="24.95" customHeight="1" thickBot="1">
      <c r="A3" s="239" t="s">
        <v>45</v>
      </c>
      <c r="B3" s="240"/>
      <c r="C3" s="240"/>
      <c r="D3" s="248"/>
      <c r="E3" s="248"/>
      <c r="F3" s="248"/>
      <c r="G3" s="241" t="s">
        <v>20</v>
      </c>
    </row>
    <row r="4" spans="1:7" ht="20.100000000000001" customHeight="1">
      <c r="A4" s="386" t="s">
        <v>21</v>
      </c>
      <c r="B4" s="387"/>
      <c r="C4" s="387"/>
      <c r="D4" s="388" t="s">
        <v>444</v>
      </c>
      <c r="E4" s="388" t="s">
        <v>74</v>
      </c>
      <c r="F4" s="388" t="s">
        <v>22</v>
      </c>
      <c r="G4" s="390" t="s">
        <v>23</v>
      </c>
    </row>
    <row r="5" spans="1:7" ht="20.100000000000001" customHeight="1" thickBot="1">
      <c r="A5" s="284" t="s">
        <v>24</v>
      </c>
      <c r="B5" s="285" t="s">
        <v>25</v>
      </c>
      <c r="C5" s="285" t="s">
        <v>26</v>
      </c>
      <c r="D5" s="389"/>
      <c r="E5" s="389"/>
      <c r="F5" s="389"/>
      <c r="G5" s="391"/>
    </row>
    <row r="6" spans="1:7" ht="20.100000000000001" customHeight="1" thickTop="1">
      <c r="A6" s="378" t="s">
        <v>429</v>
      </c>
      <c r="B6" s="379"/>
      <c r="C6" s="380"/>
      <c r="D6" s="221">
        <f>D51+D59</f>
        <v>217779006</v>
      </c>
      <c r="E6" s="221">
        <f>E51+E59</f>
        <v>210870387</v>
      </c>
      <c r="F6" s="221">
        <f>F51+F59</f>
        <v>6908619</v>
      </c>
      <c r="G6" s="325" t="s">
        <v>76</v>
      </c>
    </row>
    <row r="7" spans="1:7" s="217" customFormat="1" ht="20.100000000000001" customHeight="1">
      <c r="A7" s="280" t="s">
        <v>46</v>
      </c>
      <c r="B7" s="281" t="s">
        <v>29</v>
      </c>
      <c r="C7" s="281" t="s">
        <v>29</v>
      </c>
      <c r="D7" s="269">
        <f>D8+D11+D17</f>
        <v>27808546</v>
      </c>
      <c r="E7" s="269">
        <f>E8+E11+E17</f>
        <v>25367126</v>
      </c>
      <c r="F7" s="269">
        <f>F8+F11+F17</f>
        <v>2441420</v>
      </c>
      <c r="G7" s="326" t="s">
        <v>77</v>
      </c>
    </row>
    <row r="8" spans="1:7" ht="20.100000000000001" customHeight="1">
      <c r="A8" s="226"/>
      <c r="B8" s="243" t="s">
        <v>47</v>
      </c>
      <c r="C8" s="243" t="s">
        <v>29</v>
      </c>
      <c r="D8" s="270">
        <f>SUM(D9:D10)</f>
        <v>25874360</v>
      </c>
      <c r="E8" s="270">
        <f>SUM(E9:E10)</f>
        <v>23813090</v>
      </c>
      <c r="F8" s="271">
        <f>SUM(F9:F10)</f>
        <v>2061270</v>
      </c>
      <c r="G8" s="227" t="s">
        <v>78</v>
      </c>
    </row>
    <row r="9" spans="1:7" ht="20.100000000000001" customHeight="1">
      <c r="A9" s="226"/>
      <c r="B9" s="244"/>
      <c r="C9" s="244" t="s">
        <v>3</v>
      </c>
      <c r="D9" s="273">
        <v>11526042</v>
      </c>
      <c r="E9" s="273">
        <v>10818926</v>
      </c>
      <c r="F9" s="274">
        <f>D9-E9</f>
        <v>707116</v>
      </c>
      <c r="G9" s="228"/>
    </row>
    <row r="10" spans="1:7" ht="20.100000000000001" customHeight="1">
      <c r="A10" s="226"/>
      <c r="B10" s="244"/>
      <c r="C10" s="244" t="s">
        <v>1</v>
      </c>
      <c r="D10" s="273">
        <v>14348318</v>
      </c>
      <c r="E10" s="273">
        <v>12994164</v>
      </c>
      <c r="F10" s="274">
        <f>D10-E10</f>
        <v>1354154</v>
      </c>
      <c r="G10" s="229"/>
    </row>
    <row r="11" spans="1:7" ht="20.100000000000001" customHeight="1">
      <c r="A11" s="226"/>
      <c r="B11" s="243" t="s">
        <v>48</v>
      </c>
      <c r="C11" s="243"/>
      <c r="D11" s="270">
        <f>SUM(D12:D16)</f>
        <v>944186</v>
      </c>
      <c r="E11" s="270">
        <f>SUM(E12:E16)</f>
        <v>635772</v>
      </c>
      <c r="F11" s="271">
        <f>SUM(F12:F16)</f>
        <v>308414</v>
      </c>
      <c r="G11" s="230"/>
    </row>
    <row r="12" spans="1:7" ht="20.100000000000001" customHeight="1">
      <c r="A12" s="226"/>
      <c r="B12" s="244"/>
      <c r="C12" s="244" t="s">
        <v>3</v>
      </c>
      <c r="D12" s="273">
        <v>230226</v>
      </c>
      <c r="E12" s="273">
        <v>140755</v>
      </c>
      <c r="F12" s="274">
        <f t="shared" ref="F12:F18" si="0">D12-E12</f>
        <v>89471</v>
      </c>
      <c r="G12" s="229"/>
    </row>
    <row r="13" spans="1:7" ht="20.100000000000001" customHeight="1">
      <c r="A13" s="226"/>
      <c r="B13" s="244"/>
      <c r="C13" s="244" t="s">
        <v>12</v>
      </c>
      <c r="D13" s="273">
        <v>14341</v>
      </c>
      <c r="E13" s="273">
        <v>8000</v>
      </c>
      <c r="F13" s="274">
        <f t="shared" si="0"/>
        <v>6341</v>
      </c>
      <c r="G13" s="229"/>
    </row>
    <row r="14" spans="1:7" ht="20.100000000000001" customHeight="1">
      <c r="A14" s="231"/>
      <c r="B14" s="249"/>
      <c r="C14" s="249" t="s">
        <v>13</v>
      </c>
      <c r="D14" s="278">
        <v>6709</v>
      </c>
      <c r="E14" s="278">
        <v>6709</v>
      </c>
      <c r="F14" s="274">
        <f t="shared" si="0"/>
        <v>0</v>
      </c>
      <c r="G14" s="232"/>
    </row>
    <row r="15" spans="1:7" ht="20.100000000000001" customHeight="1">
      <c r="A15" s="226"/>
      <c r="B15" s="244"/>
      <c r="C15" s="244" t="s">
        <v>14</v>
      </c>
      <c r="D15" s="273">
        <v>266698</v>
      </c>
      <c r="E15" s="273">
        <v>57072</v>
      </c>
      <c r="F15" s="274">
        <f t="shared" si="0"/>
        <v>209626</v>
      </c>
      <c r="G15" s="229"/>
    </row>
    <row r="16" spans="1:7" ht="20.100000000000001" customHeight="1">
      <c r="A16" s="226"/>
      <c r="B16" s="244"/>
      <c r="C16" s="244" t="s">
        <v>15</v>
      </c>
      <c r="D16" s="273">
        <v>426212</v>
      </c>
      <c r="E16" s="273">
        <v>423236</v>
      </c>
      <c r="F16" s="274">
        <f t="shared" si="0"/>
        <v>2976</v>
      </c>
      <c r="G16" s="229"/>
    </row>
    <row r="17" spans="1:7" ht="20.100000000000001" customHeight="1">
      <c r="A17" s="226"/>
      <c r="B17" s="243" t="s">
        <v>49</v>
      </c>
      <c r="C17" s="243"/>
      <c r="D17" s="270">
        <f>SUM(D18)</f>
        <v>990000</v>
      </c>
      <c r="E17" s="270">
        <f>SUM(E18)</f>
        <v>918264</v>
      </c>
      <c r="F17" s="271">
        <f>SUM(F18)</f>
        <v>71736</v>
      </c>
      <c r="G17" s="230"/>
    </row>
    <row r="18" spans="1:7" ht="20.100000000000001" customHeight="1">
      <c r="A18" s="226"/>
      <c r="B18" s="244"/>
      <c r="C18" s="244" t="s">
        <v>50</v>
      </c>
      <c r="D18" s="273">
        <v>990000</v>
      </c>
      <c r="E18" s="273">
        <v>918264</v>
      </c>
      <c r="F18" s="274">
        <f t="shared" si="0"/>
        <v>71736</v>
      </c>
      <c r="G18" s="229"/>
    </row>
    <row r="19" spans="1:7" s="217" customFormat="1" ht="20.100000000000001" customHeight="1">
      <c r="A19" s="262" t="s">
        <v>51</v>
      </c>
      <c r="B19" s="275"/>
      <c r="C19" s="275"/>
      <c r="D19" s="276">
        <f>D20+D23+D29</f>
        <v>94462083</v>
      </c>
      <c r="E19" s="276">
        <f>E20+E23+E29</f>
        <v>98076043</v>
      </c>
      <c r="F19" s="276">
        <f>F20+F23+F29</f>
        <v>-3613960</v>
      </c>
      <c r="G19" s="263"/>
    </row>
    <row r="20" spans="1:7" ht="20.100000000000001" customHeight="1">
      <c r="A20" s="226" t="s">
        <v>29</v>
      </c>
      <c r="B20" s="243" t="s">
        <v>2</v>
      </c>
      <c r="C20" s="243"/>
      <c r="D20" s="270">
        <f>SUM(D21:D22)</f>
        <v>79726519</v>
      </c>
      <c r="E20" s="270">
        <f>SUM(E21:E22)</f>
        <v>78299350</v>
      </c>
      <c r="F20" s="271">
        <f>SUM(F21:F22)</f>
        <v>1427169</v>
      </c>
      <c r="G20" s="230"/>
    </row>
    <row r="21" spans="1:7" ht="20.100000000000001" customHeight="1">
      <c r="A21" s="226"/>
      <c r="B21" s="244"/>
      <c r="C21" s="244" t="s">
        <v>3</v>
      </c>
      <c r="D21" s="273">
        <v>35356852</v>
      </c>
      <c r="E21" s="273">
        <v>33422922</v>
      </c>
      <c r="F21" s="274">
        <f>D21-E21</f>
        <v>1933930</v>
      </c>
      <c r="G21" s="229"/>
    </row>
    <row r="22" spans="1:7" ht="20.100000000000001" customHeight="1">
      <c r="A22" s="226"/>
      <c r="B22" s="244" t="s">
        <v>29</v>
      </c>
      <c r="C22" s="244" t="s">
        <v>1</v>
      </c>
      <c r="D22" s="273">
        <v>44369667</v>
      </c>
      <c r="E22" s="273">
        <v>44876428</v>
      </c>
      <c r="F22" s="274">
        <f>D22-E22</f>
        <v>-506761</v>
      </c>
      <c r="G22" s="229"/>
    </row>
    <row r="23" spans="1:7" ht="20.100000000000001" customHeight="1">
      <c r="A23" s="226"/>
      <c r="B23" s="243" t="s">
        <v>48</v>
      </c>
      <c r="C23" s="243"/>
      <c r="D23" s="270">
        <f>SUM(D24:D28)</f>
        <v>13666108</v>
      </c>
      <c r="E23" s="270">
        <f>SUM(E24:E28)</f>
        <v>18352876</v>
      </c>
      <c r="F23" s="271">
        <f>SUM(F24:F28)</f>
        <v>-4686768</v>
      </c>
      <c r="G23" s="230"/>
    </row>
    <row r="24" spans="1:7" ht="20.100000000000001" customHeight="1">
      <c r="A24" s="226"/>
      <c r="B24" s="244"/>
      <c r="C24" s="244" t="s">
        <v>3</v>
      </c>
      <c r="D24" s="273">
        <v>3617054</v>
      </c>
      <c r="E24" s="273">
        <v>3885218</v>
      </c>
      <c r="F24" s="274">
        <f t="shared" ref="F24:F30" si="1">D24-E24</f>
        <v>-268164</v>
      </c>
      <c r="G24" s="229"/>
    </row>
    <row r="25" spans="1:7" ht="20.100000000000001" customHeight="1">
      <c r="A25" s="226"/>
      <c r="B25" s="244"/>
      <c r="C25" s="244" t="s">
        <v>12</v>
      </c>
      <c r="D25" s="273">
        <v>227750</v>
      </c>
      <c r="E25" s="273">
        <v>703254</v>
      </c>
      <c r="F25" s="274">
        <f t="shared" si="1"/>
        <v>-475504</v>
      </c>
      <c r="G25" s="229"/>
    </row>
    <row r="26" spans="1:7" ht="20.100000000000001" customHeight="1">
      <c r="A26" s="226"/>
      <c r="B26" s="244"/>
      <c r="C26" s="244" t="s">
        <v>13</v>
      </c>
      <c r="D26" s="273">
        <v>6184325</v>
      </c>
      <c r="E26" s="273">
        <v>7710786</v>
      </c>
      <c r="F26" s="274">
        <f t="shared" si="1"/>
        <v>-1526461</v>
      </c>
      <c r="G26" s="229"/>
    </row>
    <row r="27" spans="1:7" ht="20.100000000000001" customHeight="1">
      <c r="A27" s="226"/>
      <c r="B27" s="244"/>
      <c r="C27" s="244" t="s">
        <v>14</v>
      </c>
      <c r="D27" s="273">
        <v>660106</v>
      </c>
      <c r="E27" s="273">
        <v>1710656</v>
      </c>
      <c r="F27" s="274">
        <f t="shared" si="1"/>
        <v>-1050550</v>
      </c>
      <c r="G27" s="229"/>
    </row>
    <row r="28" spans="1:7" ht="20.100000000000001" customHeight="1">
      <c r="A28" s="226"/>
      <c r="B28" s="244"/>
      <c r="C28" s="244" t="s">
        <v>15</v>
      </c>
      <c r="D28" s="273">
        <v>2976873</v>
      </c>
      <c r="E28" s="273">
        <v>4342962</v>
      </c>
      <c r="F28" s="274">
        <f t="shared" si="1"/>
        <v>-1366089</v>
      </c>
      <c r="G28" s="229"/>
    </row>
    <row r="29" spans="1:7" ht="20.100000000000001" customHeight="1">
      <c r="A29" s="226"/>
      <c r="B29" s="243" t="s">
        <v>52</v>
      </c>
      <c r="C29" s="243"/>
      <c r="D29" s="270">
        <f>SUM(D30)</f>
        <v>1069456</v>
      </c>
      <c r="E29" s="270">
        <f>SUM(E30)</f>
        <v>1423817</v>
      </c>
      <c r="F29" s="271">
        <f>SUM(F30)</f>
        <v>-354361</v>
      </c>
      <c r="G29" s="230"/>
    </row>
    <row r="30" spans="1:7" ht="20.100000000000001" customHeight="1">
      <c r="A30" s="226"/>
      <c r="B30" s="244"/>
      <c r="C30" s="244" t="s">
        <v>52</v>
      </c>
      <c r="D30" s="273">
        <v>1069456</v>
      </c>
      <c r="E30" s="273">
        <v>1423817</v>
      </c>
      <c r="F30" s="274">
        <f t="shared" si="1"/>
        <v>-354361</v>
      </c>
      <c r="G30" s="229"/>
    </row>
    <row r="31" spans="1:7" s="217" customFormat="1" ht="20.100000000000001" customHeight="1">
      <c r="A31" s="262" t="s">
        <v>53</v>
      </c>
      <c r="B31" s="275"/>
      <c r="C31" s="275"/>
      <c r="D31" s="276">
        <f>D32</f>
        <v>18254326</v>
      </c>
      <c r="E31" s="276">
        <f>E32</f>
        <v>19193387</v>
      </c>
      <c r="F31" s="276">
        <f>F32</f>
        <v>-939061</v>
      </c>
      <c r="G31" s="263"/>
    </row>
    <row r="32" spans="1:7" ht="20.100000000000001" customHeight="1">
      <c r="A32" s="226"/>
      <c r="B32" s="243" t="s">
        <v>53</v>
      </c>
      <c r="C32" s="243"/>
      <c r="D32" s="270">
        <f>SUM(D33:D47)</f>
        <v>18254326</v>
      </c>
      <c r="E32" s="270">
        <f>SUM(E33:E47)</f>
        <v>19193387</v>
      </c>
      <c r="F32" s="271">
        <f>SUM(F33:F47)</f>
        <v>-939061</v>
      </c>
      <c r="G32" s="230"/>
    </row>
    <row r="33" spans="1:7" ht="20.100000000000001" customHeight="1">
      <c r="A33" s="226"/>
      <c r="B33" s="244"/>
      <c r="C33" s="244" t="s">
        <v>54</v>
      </c>
      <c r="D33" s="273">
        <v>3011318</v>
      </c>
      <c r="E33" s="273">
        <v>2030520</v>
      </c>
      <c r="F33" s="274">
        <f t="shared" ref="F33:F47" si="2">D33-E33</f>
        <v>980798</v>
      </c>
      <c r="G33" s="229"/>
    </row>
    <row r="34" spans="1:7" ht="20.100000000000001" customHeight="1">
      <c r="A34" s="226"/>
      <c r="B34" s="244"/>
      <c r="C34" s="244" t="s">
        <v>55</v>
      </c>
      <c r="D34" s="273">
        <v>269300</v>
      </c>
      <c r="E34" s="273">
        <v>196653</v>
      </c>
      <c r="F34" s="274">
        <f t="shared" si="2"/>
        <v>72647</v>
      </c>
      <c r="G34" s="229"/>
    </row>
    <row r="35" spans="1:7" ht="20.100000000000001" customHeight="1">
      <c r="A35" s="226"/>
      <c r="B35" s="244"/>
      <c r="C35" s="244" t="s">
        <v>56</v>
      </c>
      <c r="D35" s="273">
        <v>140230</v>
      </c>
      <c r="E35" s="273">
        <v>136395</v>
      </c>
      <c r="F35" s="274">
        <f t="shared" si="2"/>
        <v>3835</v>
      </c>
      <c r="G35" s="229"/>
    </row>
    <row r="36" spans="1:7" ht="20.100000000000001" customHeight="1">
      <c r="A36" s="226"/>
      <c r="B36" s="244"/>
      <c r="C36" s="244" t="s">
        <v>57</v>
      </c>
      <c r="D36" s="273">
        <v>1838736</v>
      </c>
      <c r="E36" s="273">
        <v>1601400</v>
      </c>
      <c r="F36" s="274">
        <f t="shared" si="2"/>
        <v>237336</v>
      </c>
      <c r="G36" s="229"/>
    </row>
    <row r="37" spans="1:7" ht="20.100000000000001" customHeight="1">
      <c r="A37" s="226"/>
      <c r="B37" s="244"/>
      <c r="C37" s="244" t="s">
        <v>58</v>
      </c>
      <c r="D37" s="273">
        <v>96100</v>
      </c>
      <c r="E37" s="273">
        <v>94140</v>
      </c>
      <c r="F37" s="274">
        <f t="shared" si="2"/>
        <v>1960</v>
      </c>
      <c r="G37" s="229"/>
    </row>
    <row r="38" spans="1:7" ht="20.100000000000001" customHeight="1">
      <c r="A38" s="226"/>
      <c r="B38" s="244"/>
      <c r="C38" s="244" t="s">
        <v>59</v>
      </c>
      <c r="D38" s="273">
        <v>182000</v>
      </c>
      <c r="E38" s="273">
        <v>146100</v>
      </c>
      <c r="F38" s="274">
        <f t="shared" si="2"/>
        <v>35900</v>
      </c>
      <c r="G38" s="229"/>
    </row>
    <row r="39" spans="1:7" ht="20.100000000000001" customHeight="1">
      <c r="A39" s="226"/>
      <c r="B39" s="244"/>
      <c r="C39" s="244" t="s">
        <v>60</v>
      </c>
      <c r="D39" s="273">
        <v>76001</v>
      </c>
      <c r="E39" s="273">
        <v>90498</v>
      </c>
      <c r="F39" s="274">
        <f t="shared" si="2"/>
        <v>-14497</v>
      </c>
      <c r="G39" s="229"/>
    </row>
    <row r="40" spans="1:7" ht="20.100000000000001" customHeight="1">
      <c r="A40" s="226"/>
      <c r="B40" s="244"/>
      <c r="C40" s="244" t="s">
        <v>61</v>
      </c>
      <c r="D40" s="273">
        <v>125800</v>
      </c>
      <c r="E40" s="273">
        <v>115773</v>
      </c>
      <c r="F40" s="274">
        <f t="shared" si="2"/>
        <v>10027</v>
      </c>
      <c r="G40" s="229"/>
    </row>
    <row r="41" spans="1:7" ht="20.100000000000001" customHeight="1">
      <c r="A41" s="226"/>
      <c r="B41" s="244"/>
      <c r="C41" s="244" t="s">
        <v>62</v>
      </c>
      <c r="D41" s="273">
        <v>78480</v>
      </c>
      <c r="E41" s="273">
        <v>57500</v>
      </c>
      <c r="F41" s="274">
        <f t="shared" si="2"/>
        <v>20980</v>
      </c>
      <c r="G41" s="229"/>
    </row>
    <row r="42" spans="1:7" ht="20.100000000000001" customHeight="1">
      <c r="A42" s="226"/>
      <c r="B42" s="244"/>
      <c r="C42" s="244" t="s">
        <v>63</v>
      </c>
      <c r="D42" s="273">
        <v>158500</v>
      </c>
      <c r="E42" s="273">
        <v>125848</v>
      </c>
      <c r="F42" s="274">
        <f t="shared" si="2"/>
        <v>32652</v>
      </c>
      <c r="G42" s="229"/>
    </row>
    <row r="43" spans="1:7" ht="20.100000000000001" customHeight="1">
      <c r="A43" s="226"/>
      <c r="B43" s="244"/>
      <c r="C43" s="244" t="s">
        <v>80</v>
      </c>
      <c r="D43" s="273">
        <v>159600</v>
      </c>
      <c r="E43" s="273">
        <v>74088</v>
      </c>
      <c r="F43" s="274">
        <f t="shared" si="2"/>
        <v>85512</v>
      </c>
      <c r="G43" s="229"/>
    </row>
    <row r="44" spans="1:7" ht="20.100000000000001" customHeight="1">
      <c r="A44" s="226"/>
      <c r="B44" s="244"/>
      <c r="C44" s="244" t="s">
        <v>64</v>
      </c>
      <c r="D44" s="273">
        <v>48100</v>
      </c>
      <c r="E44" s="273">
        <v>40619</v>
      </c>
      <c r="F44" s="274">
        <f t="shared" si="2"/>
        <v>7481</v>
      </c>
      <c r="G44" s="229"/>
    </row>
    <row r="45" spans="1:7" ht="20.100000000000001" customHeight="1">
      <c r="A45" s="226"/>
      <c r="B45" s="244"/>
      <c r="C45" s="244" t="s">
        <v>65</v>
      </c>
      <c r="D45" s="273">
        <v>63100</v>
      </c>
      <c r="E45" s="273">
        <v>61692</v>
      </c>
      <c r="F45" s="274">
        <f t="shared" si="2"/>
        <v>1408</v>
      </c>
      <c r="G45" s="229"/>
    </row>
    <row r="46" spans="1:7" ht="20.100000000000001" customHeight="1">
      <c r="A46" s="226"/>
      <c r="B46" s="244"/>
      <c r="C46" s="244" t="s">
        <v>66</v>
      </c>
      <c r="D46" s="273">
        <v>3000000</v>
      </c>
      <c r="E46" s="273">
        <v>6600000</v>
      </c>
      <c r="F46" s="274">
        <f t="shared" si="2"/>
        <v>-3600000</v>
      </c>
      <c r="G46" s="229"/>
    </row>
    <row r="47" spans="1:7" ht="20.100000000000001" customHeight="1">
      <c r="A47" s="226"/>
      <c r="B47" s="244"/>
      <c r="C47" s="244" t="s">
        <v>67</v>
      </c>
      <c r="D47" s="273">
        <v>9007061</v>
      </c>
      <c r="E47" s="273">
        <v>7822161</v>
      </c>
      <c r="F47" s="274">
        <f t="shared" si="2"/>
        <v>1184900</v>
      </c>
      <c r="G47" s="229"/>
    </row>
    <row r="48" spans="1:7" s="217" customFormat="1" ht="20.100000000000001" customHeight="1">
      <c r="A48" s="262" t="s">
        <v>68</v>
      </c>
      <c r="B48" s="275"/>
      <c r="C48" s="275"/>
      <c r="D48" s="276">
        <f t="shared" ref="D48:F49" si="3">SUM(D49)</f>
        <v>310940</v>
      </c>
      <c r="E48" s="276">
        <f t="shared" si="3"/>
        <v>766885</v>
      </c>
      <c r="F48" s="276">
        <f t="shared" si="3"/>
        <v>-455945</v>
      </c>
      <c r="G48" s="263"/>
    </row>
    <row r="49" spans="1:7" ht="20.100000000000001" customHeight="1">
      <c r="A49" s="226"/>
      <c r="B49" s="243" t="s">
        <v>68</v>
      </c>
      <c r="C49" s="243"/>
      <c r="D49" s="270">
        <f t="shared" si="3"/>
        <v>310940</v>
      </c>
      <c r="E49" s="270">
        <f t="shared" si="3"/>
        <v>766885</v>
      </c>
      <c r="F49" s="271">
        <f t="shared" si="3"/>
        <v>-455945</v>
      </c>
      <c r="G49" s="230"/>
    </row>
    <row r="50" spans="1:7" ht="20.100000000000001" customHeight="1">
      <c r="A50" s="233"/>
      <c r="B50" s="245"/>
      <c r="C50" s="245" t="s">
        <v>68</v>
      </c>
      <c r="D50" s="279">
        <v>310940</v>
      </c>
      <c r="E50" s="279">
        <v>766885</v>
      </c>
      <c r="F50" s="274">
        <f t="shared" ref="F50" si="4">D50-E50</f>
        <v>-455945</v>
      </c>
      <c r="G50" s="234"/>
    </row>
    <row r="51" spans="1:7" ht="20.100000000000001" customHeight="1">
      <c r="A51" s="381" t="s">
        <v>430</v>
      </c>
      <c r="B51" s="382"/>
      <c r="C51" s="383"/>
      <c r="D51" s="277">
        <f>D7+D19+D31+D48</f>
        <v>140835895</v>
      </c>
      <c r="E51" s="277">
        <f>E7+E19+E31+E48</f>
        <v>143403441</v>
      </c>
      <c r="F51" s="277">
        <f>F7+F19+F31+F48</f>
        <v>-2567546</v>
      </c>
      <c r="G51" s="235"/>
    </row>
    <row r="52" spans="1:7" ht="20.100000000000001" customHeight="1">
      <c r="A52" s="262" t="s">
        <v>79</v>
      </c>
      <c r="B52" s="275"/>
      <c r="C52" s="275"/>
      <c r="D52" s="276">
        <f>D53+D56</f>
        <v>10509404</v>
      </c>
      <c r="E52" s="276">
        <f>E53+E56</f>
        <v>15017725</v>
      </c>
      <c r="F52" s="276">
        <f>F53+F56</f>
        <v>-4508321</v>
      </c>
      <c r="G52" s="263"/>
    </row>
    <row r="53" spans="1:7" ht="20.100000000000001" customHeight="1">
      <c r="A53" s="226"/>
      <c r="B53" s="243" t="s">
        <v>81</v>
      </c>
      <c r="C53" s="243"/>
      <c r="D53" s="270">
        <f>SUM(D54:D55)</f>
        <v>9821063</v>
      </c>
      <c r="E53" s="270">
        <f>SUM(E54:E55)</f>
        <v>14363950</v>
      </c>
      <c r="F53" s="271">
        <f>SUM(F54:F55)</f>
        <v>-4542887</v>
      </c>
      <c r="G53" s="230"/>
    </row>
    <row r="54" spans="1:7" ht="20.100000000000001" customHeight="1">
      <c r="A54" s="226"/>
      <c r="B54" s="244"/>
      <c r="C54" s="244" t="s">
        <v>69</v>
      </c>
      <c r="D54" s="273">
        <v>9516063</v>
      </c>
      <c r="E54" s="273">
        <v>14087254</v>
      </c>
      <c r="F54" s="274">
        <f t="shared" ref="F54:F58" si="5">D54-E54</f>
        <v>-4571191</v>
      </c>
      <c r="G54" s="229"/>
    </row>
    <row r="55" spans="1:7" ht="20.100000000000001" customHeight="1">
      <c r="A55" s="226"/>
      <c r="B55" s="244"/>
      <c r="C55" s="244" t="s">
        <v>70</v>
      </c>
      <c r="D55" s="273">
        <v>305000</v>
      </c>
      <c r="E55" s="273">
        <v>276696</v>
      </c>
      <c r="F55" s="274">
        <f t="shared" si="5"/>
        <v>28304</v>
      </c>
      <c r="G55" s="229"/>
    </row>
    <row r="56" spans="1:7" ht="20.100000000000001" customHeight="1">
      <c r="A56" s="226"/>
      <c r="B56" s="243" t="s">
        <v>82</v>
      </c>
      <c r="C56" s="243"/>
      <c r="D56" s="270">
        <f>SUM(D57)</f>
        <v>688341</v>
      </c>
      <c r="E56" s="270">
        <f>SUM(E57)</f>
        <v>653775</v>
      </c>
      <c r="F56" s="271">
        <f>SUM(F57)</f>
        <v>34566</v>
      </c>
      <c r="G56" s="230"/>
    </row>
    <row r="57" spans="1:7" ht="20.100000000000001" customHeight="1">
      <c r="A57" s="226"/>
      <c r="B57" s="244"/>
      <c r="C57" s="244" t="s">
        <v>71</v>
      </c>
      <c r="D57" s="273">
        <v>688341</v>
      </c>
      <c r="E57" s="273">
        <v>653775</v>
      </c>
      <c r="F57" s="274">
        <f t="shared" si="5"/>
        <v>34566</v>
      </c>
      <c r="G57" s="229"/>
    </row>
    <row r="58" spans="1:7" ht="20.100000000000001" customHeight="1">
      <c r="A58" s="236" t="s">
        <v>72</v>
      </c>
      <c r="B58" s="246"/>
      <c r="C58" s="246"/>
      <c r="D58" s="274">
        <v>66433707</v>
      </c>
      <c r="E58" s="274">
        <v>52449221</v>
      </c>
      <c r="F58" s="274">
        <f t="shared" si="5"/>
        <v>13984486</v>
      </c>
      <c r="G58" s="237"/>
    </row>
    <row r="59" spans="1:7" ht="20.100000000000001" customHeight="1" thickBot="1">
      <c r="A59" s="375" t="s">
        <v>431</v>
      </c>
      <c r="B59" s="376"/>
      <c r="C59" s="377"/>
      <c r="D59" s="219">
        <f>D52+D58</f>
        <v>76943111</v>
      </c>
      <c r="E59" s="219">
        <f t="shared" ref="E59:F59" si="6">E52+E58</f>
        <v>67466946</v>
      </c>
      <c r="F59" s="219">
        <f t="shared" si="6"/>
        <v>9476165</v>
      </c>
      <c r="G59" s="282"/>
    </row>
    <row r="60" spans="1:7" ht="20.100000000000001" customHeight="1">
      <c r="A60" s="238"/>
      <c r="B60" s="238"/>
      <c r="C60" s="238"/>
      <c r="D60" s="247" t="s">
        <v>29</v>
      </c>
      <c r="E60" s="238"/>
      <c r="F60" s="250"/>
      <c r="G60" s="238"/>
    </row>
    <row r="61" spans="1:7" ht="20.100000000000001" customHeight="1">
      <c r="A61" s="238"/>
      <c r="B61" s="238"/>
      <c r="C61" s="242" t="s">
        <v>73</v>
      </c>
      <c r="D61" s="247">
        <f>수입자금예산서!D6-지출자금예산서!D6</f>
        <v>0</v>
      </c>
      <c r="E61" s="238"/>
      <c r="F61" s="250"/>
      <c r="G61" s="238"/>
    </row>
  </sheetData>
  <autoFilter ref="A5:G61"/>
  <mergeCells count="10">
    <mergeCell ref="A59:C59"/>
    <mergeCell ref="A6:C6"/>
    <mergeCell ref="A51:C51"/>
    <mergeCell ref="A1:G1"/>
    <mergeCell ref="A2:G2"/>
    <mergeCell ref="A4:C4"/>
    <mergeCell ref="E4:E5"/>
    <mergeCell ref="F4:F5"/>
    <mergeCell ref="G4:G5"/>
    <mergeCell ref="D4:D5"/>
  </mergeCells>
  <phoneticPr fontId="2" type="noConversion"/>
  <printOptions horizontalCentered="1"/>
  <pageMargins left="0.19685039370078741" right="0.19685039370078741" top="0.74803149606299213" bottom="0.47244094488188981" header="0.31496062992125984" footer="0.31496062992125984"/>
  <pageSetup paperSize="9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52"/>
  </sheetPr>
  <dimension ref="A1:F1118"/>
  <sheetViews>
    <sheetView view="pageBreakPreview" zoomScale="75" zoomScaleNormal="78" zoomScaleSheetLayoutView="75" workbookViewId="0">
      <pane ySplit="3" topLeftCell="A4" activePane="bottomLeft" state="frozenSplit"/>
      <selection activeCell="E51" sqref="E51"/>
      <selection pane="bottomLeft" activeCell="B13" sqref="B13"/>
    </sheetView>
  </sheetViews>
  <sheetFormatPr defaultRowHeight="24.95" customHeight="1"/>
  <cols>
    <col min="1" max="2" width="24.21875" style="106" customWidth="1"/>
    <col min="3" max="3" width="21.33203125" style="106" customWidth="1"/>
    <col min="4" max="4" width="18.21875" style="97" customWidth="1"/>
    <col min="5" max="5" width="66.5546875" style="46" customWidth="1"/>
    <col min="6" max="6" width="17.44140625" style="97" customWidth="1"/>
    <col min="7" max="16384" width="8.88671875" style="106"/>
  </cols>
  <sheetData>
    <row r="1" spans="1:6" s="307" customFormat="1" ht="24.95" customHeight="1">
      <c r="A1" s="337" t="s">
        <v>446</v>
      </c>
      <c r="B1" s="6"/>
      <c r="D1" s="308"/>
      <c r="E1" s="309"/>
      <c r="F1" s="308"/>
    </row>
    <row r="2" spans="1:6" ht="24.95" customHeight="1" thickBot="1">
      <c r="A2" s="7"/>
      <c r="B2" s="7"/>
      <c r="E2" s="106"/>
      <c r="F2" s="18" t="s">
        <v>0</v>
      </c>
    </row>
    <row r="3" spans="1:6" s="33" customFormat="1" ht="24.95" customHeight="1" thickBot="1">
      <c r="A3" s="331" t="s">
        <v>104</v>
      </c>
      <c r="B3" s="330" t="s">
        <v>83</v>
      </c>
      <c r="C3" s="330" t="s">
        <v>105</v>
      </c>
      <c r="D3" s="329" t="s">
        <v>84</v>
      </c>
      <c r="E3" s="364" t="s">
        <v>106</v>
      </c>
      <c r="F3" s="365"/>
    </row>
    <row r="4" spans="1:6" s="15" customFormat="1" ht="24.95" customHeight="1" thickTop="1">
      <c r="A4" s="392" t="s">
        <v>174</v>
      </c>
      <c r="B4" s="393"/>
      <c r="C4" s="394"/>
      <c r="D4" s="288">
        <f>D976+D1098</f>
        <v>217779006469</v>
      </c>
      <c r="E4" s="289"/>
      <c r="F4" s="324"/>
    </row>
    <row r="5" spans="1:6" ht="24.95" customHeight="1">
      <c r="A5" s="290" t="s">
        <v>92</v>
      </c>
      <c r="B5" s="211"/>
      <c r="C5" s="212"/>
      <c r="D5" s="213">
        <f>D6+D53+D97</f>
        <v>27808545964</v>
      </c>
      <c r="E5" s="214"/>
      <c r="F5" s="215"/>
    </row>
    <row r="6" spans="1:6" ht="24.95" customHeight="1">
      <c r="A6" s="174"/>
      <c r="B6" s="291" t="s">
        <v>93</v>
      </c>
      <c r="C6" s="58"/>
      <c r="D6" s="100">
        <f>D7+D24</f>
        <v>25874359639</v>
      </c>
      <c r="E6" s="143"/>
      <c r="F6" s="175"/>
    </row>
    <row r="7" spans="1:6" ht="24.95" customHeight="1">
      <c r="A7" s="174"/>
      <c r="B7" s="107"/>
      <c r="C7" s="59" t="s">
        <v>85</v>
      </c>
      <c r="D7" s="92">
        <f>SUM(D8:D23)</f>
        <v>11526042086</v>
      </c>
      <c r="E7" s="144"/>
      <c r="F7" s="176"/>
    </row>
    <row r="8" spans="1:6" ht="24.95" customHeight="1">
      <c r="A8" s="174"/>
      <c r="B8" s="107"/>
      <c r="C8" s="71"/>
      <c r="D8" s="135">
        <v>20000000</v>
      </c>
      <c r="E8" s="68" t="s">
        <v>238</v>
      </c>
      <c r="F8" s="166"/>
    </row>
    <row r="9" spans="1:6" ht="24.95" customHeight="1">
      <c r="A9" s="174"/>
      <c r="B9" s="107"/>
      <c r="C9" s="71"/>
      <c r="D9" s="135">
        <v>240000000</v>
      </c>
      <c r="E9" s="72" t="s">
        <v>239</v>
      </c>
      <c r="F9" s="166"/>
    </row>
    <row r="10" spans="1:6" ht="24.95" customHeight="1">
      <c r="A10" s="174"/>
      <c r="B10" s="107"/>
      <c r="C10" s="71"/>
      <c r="D10" s="135"/>
      <c r="E10" s="109" t="s">
        <v>690</v>
      </c>
      <c r="F10" s="166">
        <v>240000000</v>
      </c>
    </row>
    <row r="11" spans="1:6" ht="24.95" customHeight="1">
      <c r="A11" s="174"/>
      <c r="B11" s="107"/>
      <c r="C11" s="71"/>
      <c r="D11" s="135">
        <v>1320000000</v>
      </c>
      <c r="E11" s="141" t="s">
        <v>240</v>
      </c>
      <c r="F11" s="167"/>
    </row>
    <row r="12" spans="1:6" ht="24.95" customHeight="1">
      <c r="A12" s="174"/>
      <c r="B12" s="107"/>
      <c r="C12" s="71"/>
      <c r="D12" s="74"/>
      <c r="E12" s="109" t="s">
        <v>241</v>
      </c>
      <c r="F12" s="167">
        <v>1200000000</v>
      </c>
    </row>
    <row r="13" spans="1:6" ht="24.95" customHeight="1">
      <c r="A13" s="174"/>
      <c r="B13" s="107"/>
      <c r="C13" s="71"/>
      <c r="D13" s="135"/>
      <c r="E13" s="71" t="s">
        <v>242</v>
      </c>
      <c r="F13" s="166">
        <v>120000000</v>
      </c>
    </row>
    <row r="14" spans="1:6" ht="24.95" customHeight="1">
      <c r="A14" s="174"/>
      <c r="B14" s="107"/>
      <c r="C14" s="71"/>
      <c r="D14" s="135">
        <v>87840000</v>
      </c>
      <c r="E14" s="68" t="s">
        <v>243</v>
      </c>
      <c r="F14" s="166"/>
    </row>
    <row r="15" spans="1:6" ht="24.95" customHeight="1">
      <c r="A15" s="174"/>
      <c r="B15" s="107"/>
      <c r="C15" s="71"/>
      <c r="D15" s="135"/>
      <c r="E15" s="71" t="s">
        <v>806</v>
      </c>
      <c r="F15" s="166">
        <v>57600000</v>
      </c>
    </row>
    <row r="16" spans="1:6" ht="24.95" customHeight="1">
      <c r="A16" s="174"/>
      <c r="B16" s="107"/>
      <c r="C16" s="71"/>
      <c r="D16" s="135"/>
      <c r="E16" s="71" t="s">
        <v>807</v>
      </c>
      <c r="F16" s="166">
        <v>30240000</v>
      </c>
    </row>
    <row r="17" spans="1:6" ht="24.95" customHeight="1">
      <c r="A17" s="174"/>
      <c r="B17" s="107"/>
      <c r="C17" s="71"/>
      <c r="D17" s="135">
        <v>146011879</v>
      </c>
      <c r="E17" s="68" t="s">
        <v>702</v>
      </c>
      <c r="F17" s="166"/>
    </row>
    <row r="18" spans="1:6" ht="24.95" customHeight="1">
      <c r="A18" s="174"/>
      <c r="B18" s="107"/>
      <c r="C18" s="71"/>
      <c r="D18" s="135">
        <v>108320000</v>
      </c>
      <c r="E18" s="68" t="s">
        <v>811</v>
      </c>
      <c r="F18" s="166"/>
    </row>
    <row r="19" spans="1:6" ht="24.95" customHeight="1">
      <c r="A19" s="174"/>
      <c r="B19" s="107"/>
      <c r="C19" s="71"/>
      <c r="D19" s="135"/>
      <c r="E19" s="71" t="s">
        <v>812</v>
      </c>
      <c r="F19" s="166">
        <v>96800000</v>
      </c>
    </row>
    <row r="20" spans="1:6" ht="24.95" customHeight="1">
      <c r="A20" s="174"/>
      <c r="B20" s="107"/>
      <c r="C20" s="71"/>
      <c r="D20" s="135"/>
      <c r="E20" s="71" t="s">
        <v>807</v>
      </c>
      <c r="F20" s="166">
        <v>11520000</v>
      </c>
    </row>
    <row r="21" spans="1:6" ht="24.95" customHeight="1">
      <c r="A21" s="174"/>
      <c r="B21" s="107"/>
      <c r="C21" s="71"/>
      <c r="D21" s="135">
        <f>95522000+16000000+229200000+4000000+8500000000</f>
        <v>8844722000</v>
      </c>
      <c r="E21" s="68" t="s">
        <v>813</v>
      </c>
      <c r="F21" s="166"/>
    </row>
    <row r="22" spans="1:6" ht="24.95" customHeight="1">
      <c r="A22" s="174"/>
      <c r="B22" s="107"/>
      <c r="C22" s="71"/>
      <c r="D22" s="135">
        <v>759148207</v>
      </c>
      <c r="E22" s="68" t="s">
        <v>814</v>
      </c>
      <c r="F22" s="166"/>
    </row>
    <row r="23" spans="1:6" ht="24.95" customHeight="1">
      <c r="A23" s="174"/>
      <c r="B23" s="107"/>
      <c r="C23" s="71"/>
      <c r="D23" s="135"/>
      <c r="E23" s="41" t="s">
        <v>860</v>
      </c>
      <c r="F23" s="47">
        <v>759148207</v>
      </c>
    </row>
    <row r="24" spans="1:6" ht="24.95" customHeight="1">
      <c r="A24" s="174"/>
      <c r="B24" s="107"/>
      <c r="C24" s="59" t="s">
        <v>86</v>
      </c>
      <c r="D24" s="92">
        <f>SUM(D25:D52)</f>
        <v>14348317553</v>
      </c>
      <c r="E24" s="145"/>
      <c r="F24" s="176"/>
    </row>
    <row r="25" spans="1:6" ht="24.95" customHeight="1">
      <c r="A25" s="174"/>
      <c r="B25" s="107"/>
      <c r="C25" s="71"/>
      <c r="D25" s="135">
        <v>10000000</v>
      </c>
      <c r="E25" s="68" t="s">
        <v>238</v>
      </c>
      <c r="F25" s="166"/>
    </row>
    <row r="26" spans="1:6" ht="24.95" customHeight="1">
      <c r="A26" s="174"/>
      <c r="B26" s="107"/>
      <c r="C26" s="71"/>
      <c r="D26" s="135">
        <v>100000000</v>
      </c>
      <c r="E26" s="72" t="s">
        <v>239</v>
      </c>
      <c r="F26" s="167"/>
    </row>
    <row r="27" spans="1:6" ht="24.95" customHeight="1">
      <c r="A27" s="174"/>
      <c r="B27" s="107"/>
      <c r="C27" s="71"/>
      <c r="D27" s="135"/>
      <c r="E27" s="109" t="s">
        <v>691</v>
      </c>
      <c r="F27" s="167">
        <v>60000000</v>
      </c>
    </row>
    <row r="28" spans="1:6" ht="24.95" customHeight="1">
      <c r="A28" s="174"/>
      <c r="B28" s="107"/>
      <c r="C28" s="71"/>
      <c r="D28" s="135"/>
      <c r="E28" s="109" t="s">
        <v>692</v>
      </c>
      <c r="F28" s="166">
        <v>40000000</v>
      </c>
    </row>
    <row r="29" spans="1:6" ht="24.95" customHeight="1">
      <c r="A29" s="174"/>
      <c r="B29" s="107"/>
      <c r="C29" s="71"/>
      <c r="D29" s="135">
        <v>71000000</v>
      </c>
      <c r="E29" s="141" t="s">
        <v>246</v>
      </c>
      <c r="F29" s="166"/>
    </row>
    <row r="30" spans="1:6" ht="24.95" customHeight="1">
      <c r="A30" s="174"/>
      <c r="B30" s="107"/>
      <c r="C30" s="71"/>
      <c r="D30" s="135"/>
      <c r="E30" s="20" t="s">
        <v>808</v>
      </c>
      <c r="F30" s="166">
        <v>23000000</v>
      </c>
    </row>
    <row r="31" spans="1:6" ht="24.95" customHeight="1">
      <c r="A31" s="174"/>
      <c r="B31" s="107"/>
      <c r="C31" s="71"/>
      <c r="D31" s="135"/>
      <c r="E31" s="71" t="s">
        <v>809</v>
      </c>
      <c r="F31" s="166">
        <v>25000000</v>
      </c>
    </row>
    <row r="32" spans="1:6" ht="24.95" customHeight="1">
      <c r="A32" s="174"/>
      <c r="B32" s="107"/>
      <c r="C32" s="71"/>
      <c r="D32" s="135"/>
      <c r="E32" s="71" t="s">
        <v>810</v>
      </c>
      <c r="F32" s="166">
        <v>23000000</v>
      </c>
    </row>
    <row r="33" spans="1:6" ht="24.95" customHeight="1">
      <c r="A33" s="174"/>
      <c r="B33" s="107"/>
      <c r="C33" s="71"/>
      <c r="D33" s="135">
        <v>1321000000</v>
      </c>
      <c r="E33" s="141" t="s">
        <v>248</v>
      </c>
      <c r="F33" s="166"/>
    </row>
    <row r="34" spans="1:6" ht="24.95" customHeight="1">
      <c r="A34" s="174"/>
      <c r="B34" s="107"/>
      <c r="C34" s="71"/>
      <c r="D34" s="135"/>
      <c r="E34" s="20" t="s">
        <v>249</v>
      </c>
      <c r="F34" s="166">
        <v>270000000</v>
      </c>
    </row>
    <row r="35" spans="1:6" ht="24.95" customHeight="1">
      <c r="A35" s="174"/>
      <c r="B35" s="107"/>
      <c r="C35" s="71"/>
      <c r="D35" s="135"/>
      <c r="E35" s="71" t="s">
        <v>250</v>
      </c>
      <c r="F35" s="166">
        <v>92000000</v>
      </c>
    </row>
    <row r="36" spans="1:6" ht="24.95" customHeight="1">
      <c r="A36" s="174"/>
      <c r="B36" s="107"/>
      <c r="C36" s="71"/>
      <c r="D36" s="135"/>
      <c r="E36" s="71" t="s">
        <v>247</v>
      </c>
      <c r="F36" s="166">
        <v>959000000</v>
      </c>
    </row>
    <row r="37" spans="1:6" ht="24.95" customHeight="1">
      <c r="A37" s="174"/>
      <c r="B37" s="107"/>
      <c r="C37" s="71"/>
      <c r="D37" s="135">
        <v>26029951</v>
      </c>
      <c r="E37" s="68" t="s">
        <v>693</v>
      </c>
      <c r="F37" s="166"/>
    </row>
    <row r="38" spans="1:6" ht="24.95" customHeight="1">
      <c r="A38" s="174"/>
      <c r="B38" s="107"/>
      <c r="C38" s="71"/>
      <c r="D38" s="135">
        <v>3000000</v>
      </c>
      <c r="E38" s="68" t="s">
        <v>694</v>
      </c>
      <c r="F38" s="166"/>
    </row>
    <row r="39" spans="1:6" ht="24.95" customHeight="1">
      <c r="A39" s="174"/>
      <c r="B39" s="107"/>
      <c r="C39" s="71"/>
      <c r="D39" s="135">
        <v>289023755</v>
      </c>
      <c r="E39" s="68" t="s">
        <v>701</v>
      </c>
      <c r="F39" s="166"/>
    </row>
    <row r="40" spans="1:6" ht="24.95" customHeight="1">
      <c r="A40" s="174"/>
      <c r="B40" s="107"/>
      <c r="C40" s="71"/>
      <c r="D40" s="135"/>
      <c r="E40" s="71" t="s">
        <v>703</v>
      </c>
      <c r="F40" s="166">
        <v>30000000</v>
      </c>
    </row>
    <row r="41" spans="1:6" ht="24.95" customHeight="1">
      <c r="A41" s="174"/>
      <c r="B41" s="107"/>
      <c r="C41" s="71"/>
      <c r="D41" s="135"/>
      <c r="E41" s="71" t="s">
        <v>704</v>
      </c>
      <c r="F41" s="166">
        <v>50000000</v>
      </c>
    </row>
    <row r="42" spans="1:6" ht="24.95" customHeight="1">
      <c r="A42" s="174"/>
      <c r="B42" s="107"/>
      <c r="C42" s="71"/>
      <c r="D42" s="135"/>
      <c r="E42" s="71" t="s">
        <v>705</v>
      </c>
      <c r="F42" s="166">
        <v>22023755</v>
      </c>
    </row>
    <row r="43" spans="1:6" ht="24.95" customHeight="1">
      <c r="A43" s="174"/>
      <c r="B43" s="107"/>
      <c r="C43" s="71"/>
      <c r="D43" s="135"/>
      <c r="E43" s="71" t="s">
        <v>706</v>
      </c>
      <c r="F43" s="166">
        <v>20000000</v>
      </c>
    </row>
    <row r="44" spans="1:6" ht="24.95" customHeight="1">
      <c r="A44" s="174"/>
      <c r="B44" s="107"/>
      <c r="C44" s="71"/>
      <c r="D44" s="135"/>
      <c r="E44" s="71" t="s">
        <v>707</v>
      </c>
      <c r="F44" s="166">
        <v>167000000</v>
      </c>
    </row>
    <row r="45" spans="1:6" ht="24.95" customHeight="1">
      <c r="A45" s="174"/>
      <c r="B45" s="107"/>
      <c r="C45" s="71"/>
      <c r="D45" s="135">
        <v>57680000</v>
      </c>
      <c r="E45" s="68" t="s">
        <v>815</v>
      </c>
      <c r="F45" s="166"/>
    </row>
    <row r="46" spans="1:6" ht="24.95" customHeight="1">
      <c r="A46" s="174"/>
      <c r="B46" s="107"/>
      <c r="C46" s="71"/>
      <c r="D46" s="135"/>
      <c r="E46" s="71" t="s">
        <v>818</v>
      </c>
      <c r="F46" s="166">
        <v>25000000</v>
      </c>
    </row>
    <row r="47" spans="1:6" ht="24.95" customHeight="1">
      <c r="A47" s="174"/>
      <c r="B47" s="107"/>
      <c r="C47" s="71"/>
      <c r="D47" s="135"/>
      <c r="E47" s="71" t="s">
        <v>820</v>
      </c>
      <c r="F47" s="166">
        <v>16000000</v>
      </c>
    </row>
    <row r="48" spans="1:6" ht="24.95" customHeight="1">
      <c r="A48" s="174"/>
      <c r="B48" s="107"/>
      <c r="C48" s="71"/>
      <c r="D48" s="135"/>
      <c r="E48" s="71" t="s">
        <v>819</v>
      </c>
      <c r="F48" s="166">
        <v>16680000</v>
      </c>
    </row>
    <row r="49" spans="1:6" ht="24.95" customHeight="1">
      <c r="A49" s="174"/>
      <c r="B49" s="107"/>
      <c r="C49" s="71"/>
      <c r="D49" s="135">
        <f>3000000+50000000+238300000+166000+11500000000</f>
        <v>11791466000</v>
      </c>
      <c r="E49" s="68" t="s">
        <v>816</v>
      </c>
      <c r="F49" s="166"/>
    </row>
    <row r="50" spans="1:6" ht="24.95" customHeight="1">
      <c r="A50" s="174"/>
      <c r="B50" s="107"/>
      <c r="C50" s="71"/>
      <c r="D50" s="135">
        <v>679117847</v>
      </c>
      <c r="E50" s="68" t="s">
        <v>817</v>
      </c>
      <c r="F50" s="166"/>
    </row>
    <row r="51" spans="1:6" ht="24.95" customHeight="1">
      <c r="A51" s="174"/>
      <c r="B51" s="107"/>
      <c r="C51" s="71"/>
      <c r="D51" s="135"/>
      <c r="E51" s="41" t="s">
        <v>244</v>
      </c>
      <c r="F51" s="47">
        <v>4425339</v>
      </c>
    </row>
    <row r="52" spans="1:6" ht="24.95" customHeight="1">
      <c r="A52" s="174"/>
      <c r="B52" s="107"/>
      <c r="C52" s="73"/>
      <c r="D52" s="93"/>
      <c r="E52" s="41" t="s">
        <v>245</v>
      </c>
      <c r="F52" s="47">
        <v>674692508</v>
      </c>
    </row>
    <row r="53" spans="1:6" ht="24.95" customHeight="1">
      <c r="A53" s="174"/>
      <c r="B53" s="292" t="s">
        <v>107</v>
      </c>
      <c r="C53" s="83"/>
      <c r="D53" s="100">
        <f>D54+D65+D72+D76+D84</f>
        <v>944186325</v>
      </c>
      <c r="E53" s="69"/>
      <c r="F53" s="177"/>
    </row>
    <row r="54" spans="1:6" ht="24.95" customHeight="1">
      <c r="A54" s="174"/>
      <c r="B54" s="107"/>
      <c r="C54" s="146" t="s">
        <v>94</v>
      </c>
      <c r="D54" s="92">
        <f>SUM(D55:D64)</f>
        <v>230225700</v>
      </c>
      <c r="E54" s="146"/>
      <c r="F54" s="176"/>
    </row>
    <row r="55" spans="1:6" ht="24.95" customHeight="1">
      <c r="A55" s="174"/>
      <c r="B55" s="107"/>
      <c r="C55" s="109"/>
      <c r="D55" s="135">
        <v>130225700</v>
      </c>
      <c r="E55" s="68" t="s">
        <v>177</v>
      </c>
      <c r="F55" s="166"/>
    </row>
    <row r="56" spans="1:6" ht="24.95" customHeight="1">
      <c r="A56" s="174"/>
      <c r="B56" s="107"/>
      <c r="C56" s="109"/>
      <c r="D56" s="135"/>
      <c r="E56" s="134" t="s">
        <v>1023</v>
      </c>
      <c r="F56" s="166"/>
    </row>
    <row r="57" spans="1:6" ht="24.95" customHeight="1">
      <c r="A57" s="174"/>
      <c r="B57" s="107"/>
      <c r="C57" s="109"/>
      <c r="D57" s="135"/>
      <c r="E57" s="134" t="s">
        <v>1024</v>
      </c>
      <c r="F57" s="29">
        <v>8100000</v>
      </c>
    </row>
    <row r="58" spans="1:6" ht="24.95" customHeight="1">
      <c r="A58" s="174"/>
      <c r="B58" s="107"/>
      <c r="C58" s="109"/>
      <c r="D58" s="135"/>
      <c r="E58" s="134" t="s">
        <v>1025</v>
      </c>
      <c r="F58" s="29">
        <v>76860000</v>
      </c>
    </row>
    <row r="59" spans="1:6" ht="24.95" customHeight="1">
      <c r="A59" s="174"/>
      <c r="B59" s="107"/>
      <c r="C59" s="109"/>
      <c r="D59" s="135"/>
      <c r="E59" s="134" t="s">
        <v>1026</v>
      </c>
      <c r="F59" s="29">
        <v>31200000</v>
      </c>
    </row>
    <row r="60" spans="1:6" ht="24.95" customHeight="1">
      <c r="A60" s="174"/>
      <c r="B60" s="107"/>
      <c r="C60" s="109"/>
      <c r="D60" s="135"/>
      <c r="E60" s="134" t="s">
        <v>1027</v>
      </c>
      <c r="F60" s="29"/>
    </row>
    <row r="61" spans="1:6" ht="24.95" customHeight="1">
      <c r="A61" s="174"/>
      <c r="B61" s="107"/>
      <c r="C61" s="109"/>
      <c r="D61" s="135"/>
      <c r="E61" s="134" t="s">
        <v>1028</v>
      </c>
      <c r="F61" s="29">
        <v>5146700</v>
      </c>
    </row>
    <row r="62" spans="1:6" ht="24.95" customHeight="1">
      <c r="A62" s="174"/>
      <c r="B62" s="107"/>
      <c r="C62" s="109"/>
      <c r="D62" s="135"/>
      <c r="E62" s="134" t="s">
        <v>1025</v>
      </c>
      <c r="F62" s="29">
        <v>8919000</v>
      </c>
    </row>
    <row r="63" spans="1:6" ht="24.95" customHeight="1">
      <c r="A63" s="174"/>
      <c r="B63" s="107"/>
      <c r="C63" s="109"/>
      <c r="D63" s="135">
        <v>100000000</v>
      </c>
      <c r="E63" s="342" t="s">
        <v>709</v>
      </c>
      <c r="F63" s="29"/>
    </row>
    <row r="64" spans="1:6" ht="24.95" customHeight="1">
      <c r="A64" s="174"/>
      <c r="B64" s="107"/>
      <c r="C64" s="109"/>
      <c r="D64" s="135"/>
      <c r="E64" s="134" t="s">
        <v>708</v>
      </c>
      <c r="F64" s="29">
        <v>100000000</v>
      </c>
    </row>
    <row r="65" spans="1:6" ht="24.95" customHeight="1">
      <c r="A65" s="174"/>
      <c r="B65" s="107"/>
      <c r="C65" s="59" t="s">
        <v>87</v>
      </c>
      <c r="D65" s="92">
        <f>SUM(D66:D71)</f>
        <v>14341251</v>
      </c>
      <c r="E65" s="59"/>
      <c r="F65" s="176"/>
    </row>
    <row r="66" spans="1:6" ht="24.95" customHeight="1">
      <c r="A66" s="174"/>
      <c r="B66" s="107"/>
      <c r="C66" s="109"/>
      <c r="D66" s="135">
        <v>14000000</v>
      </c>
      <c r="E66" s="68" t="s">
        <v>177</v>
      </c>
      <c r="F66" s="166"/>
    </row>
    <row r="67" spans="1:6" ht="24.95" customHeight="1">
      <c r="A67" s="174"/>
      <c r="B67" s="107"/>
      <c r="C67" s="109"/>
      <c r="D67" s="135"/>
      <c r="E67" s="134" t="s">
        <v>1023</v>
      </c>
      <c r="F67" s="166"/>
    </row>
    <row r="68" spans="1:6" ht="24.95" customHeight="1">
      <c r="A68" s="174"/>
      <c r="B68" s="107"/>
      <c r="C68" s="109"/>
      <c r="D68" s="135"/>
      <c r="E68" s="134" t="s">
        <v>1029</v>
      </c>
      <c r="F68" s="29">
        <v>5000000</v>
      </c>
    </row>
    <row r="69" spans="1:6" ht="24.95" customHeight="1">
      <c r="A69" s="174"/>
      <c r="B69" s="107"/>
      <c r="C69" s="109"/>
      <c r="D69" s="135"/>
      <c r="E69" s="134" t="s">
        <v>1030</v>
      </c>
      <c r="F69" s="29">
        <v>9000000</v>
      </c>
    </row>
    <row r="70" spans="1:6" ht="24.95" customHeight="1">
      <c r="A70" s="174"/>
      <c r="B70" s="107"/>
      <c r="C70" s="109"/>
      <c r="D70" s="135">
        <v>341251</v>
      </c>
      <c r="E70" s="342" t="s">
        <v>709</v>
      </c>
      <c r="F70" s="29"/>
    </row>
    <row r="71" spans="1:6" ht="24.95" customHeight="1">
      <c r="A71" s="174"/>
      <c r="B71" s="107"/>
      <c r="C71" s="109"/>
      <c r="D71" s="135"/>
      <c r="E71" s="134" t="s">
        <v>710</v>
      </c>
      <c r="F71" s="29">
        <v>341251</v>
      </c>
    </row>
    <row r="72" spans="1:6" ht="24.95" customHeight="1">
      <c r="A72" s="174"/>
      <c r="B72" s="107"/>
      <c r="C72" s="59" t="s">
        <v>88</v>
      </c>
      <c r="D72" s="92">
        <f>SUM(D73)</f>
        <v>6709000</v>
      </c>
      <c r="E72" s="59"/>
      <c r="F72" s="176"/>
    </row>
    <row r="73" spans="1:6" ht="24.95" customHeight="1">
      <c r="A73" s="174"/>
      <c r="B73" s="107"/>
      <c r="C73" s="109"/>
      <c r="D73" s="135">
        <v>6709000</v>
      </c>
      <c r="E73" s="68" t="s">
        <v>177</v>
      </c>
      <c r="F73" s="166"/>
    </row>
    <row r="74" spans="1:6" ht="24.95" customHeight="1">
      <c r="A74" s="174"/>
      <c r="B74" s="107"/>
      <c r="C74" s="109"/>
      <c r="D74" s="135"/>
      <c r="E74" s="134" t="s">
        <v>1031</v>
      </c>
      <c r="F74" s="166"/>
    </row>
    <row r="75" spans="1:6" ht="24.95" customHeight="1">
      <c r="A75" s="174"/>
      <c r="B75" s="107"/>
      <c r="C75" s="109"/>
      <c r="D75" s="135"/>
      <c r="E75" s="134" t="s">
        <v>1032</v>
      </c>
      <c r="F75" s="166">
        <v>6709000</v>
      </c>
    </row>
    <row r="76" spans="1:6" ht="24.95" customHeight="1">
      <c r="A76" s="174"/>
      <c r="B76" s="107"/>
      <c r="C76" s="59" t="s">
        <v>89</v>
      </c>
      <c r="D76" s="92">
        <f>SUM(D77:D83)</f>
        <v>266697888</v>
      </c>
      <c r="E76" s="59"/>
      <c r="F76" s="176"/>
    </row>
    <row r="77" spans="1:6" ht="24.95" customHeight="1">
      <c r="A77" s="174"/>
      <c r="B77" s="107"/>
      <c r="C77" s="109"/>
      <c r="D77" s="135">
        <v>23344760</v>
      </c>
      <c r="E77" s="68" t="s">
        <v>177</v>
      </c>
      <c r="F77" s="166"/>
    </row>
    <row r="78" spans="1:6" ht="24.95" customHeight="1">
      <c r="A78" s="174"/>
      <c r="B78" s="107"/>
      <c r="C78" s="109"/>
      <c r="D78" s="135"/>
      <c r="E78" s="134" t="s">
        <v>1023</v>
      </c>
      <c r="F78" s="166"/>
    </row>
    <row r="79" spans="1:6" ht="24.95" customHeight="1">
      <c r="A79" s="174"/>
      <c r="B79" s="107"/>
      <c r="C79" s="109"/>
      <c r="D79" s="135"/>
      <c r="E79" s="134" t="s">
        <v>1033</v>
      </c>
      <c r="F79" s="166">
        <v>24684760</v>
      </c>
    </row>
    <row r="80" spans="1:6" ht="24.95" customHeight="1">
      <c r="A80" s="174"/>
      <c r="B80" s="107"/>
      <c r="C80" s="109"/>
      <c r="D80" s="135"/>
      <c r="E80" s="134" t="s">
        <v>1027</v>
      </c>
      <c r="F80" s="166"/>
    </row>
    <row r="81" spans="1:6" ht="24.95" customHeight="1">
      <c r="A81" s="174"/>
      <c r="B81" s="107"/>
      <c r="C81" s="109"/>
      <c r="D81" s="135"/>
      <c r="E81" s="134" t="s">
        <v>1033</v>
      </c>
      <c r="F81" s="166">
        <v>1660000</v>
      </c>
    </row>
    <row r="82" spans="1:6" ht="24.95" customHeight="1">
      <c r="A82" s="174"/>
      <c r="B82" s="107"/>
      <c r="C82" s="109"/>
      <c r="D82" s="135">
        <v>243353128</v>
      </c>
      <c r="E82" s="68" t="s">
        <v>712</v>
      </c>
      <c r="F82" s="166"/>
    </row>
    <row r="83" spans="1:6" ht="24.95" customHeight="1">
      <c r="A83" s="174"/>
      <c r="B83" s="107"/>
      <c r="C83" s="109"/>
      <c r="D83" s="135"/>
      <c r="E83" s="71" t="s">
        <v>711</v>
      </c>
      <c r="F83" s="166">
        <v>243353128</v>
      </c>
    </row>
    <row r="84" spans="1:6" ht="24.95" customHeight="1">
      <c r="A84" s="174"/>
      <c r="B84" s="107"/>
      <c r="C84" s="59" t="s">
        <v>90</v>
      </c>
      <c r="D84" s="92">
        <f>SUM(D85:D96)</f>
        <v>426212486</v>
      </c>
      <c r="E84" s="59"/>
      <c r="F84" s="176"/>
    </row>
    <row r="85" spans="1:6" ht="24.95" customHeight="1">
      <c r="A85" s="174"/>
      <c r="B85" s="107"/>
      <c r="C85" s="109"/>
      <c r="D85" s="135">
        <v>127743910</v>
      </c>
      <c r="E85" s="68" t="s">
        <v>177</v>
      </c>
      <c r="F85" s="166"/>
    </row>
    <row r="86" spans="1:6" ht="24.95" customHeight="1">
      <c r="A86" s="174"/>
      <c r="B86" s="107"/>
      <c r="C86" s="109"/>
      <c r="D86" s="135"/>
      <c r="E86" s="71" t="s">
        <v>1035</v>
      </c>
      <c r="F86" s="29"/>
    </row>
    <row r="87" spans="1:6" ht="24.95" customHeight="1">
      <c r="A87" s="174"/>
      <c r="B87" s="107"/>
      <c r="C87" s="109"/>
      <c r="D87" s="135"/>
      <c r="E87" s="134" t="s">
        <v>1034</v>
      </c>
      <c r="F87" s="29">
        <v>82396960</v>
      </c>
    </row>
    <row r="88" spans="1:6" ht="24.95" customHeight="1">
      <c r="A88" s="174"/>
      <c r="B88" s="107"/>
      <c r="C88" s="109"/>
      <c r="D88" s="135"/>
      <c r="E88" s="134" t="s">
        <v>1027</v>
      </c>
      <c r="F88" s="29"/>
    </row>
    <row r="89" spans="1:6" ht="24.95" customHeight="1">
      <c r="A89" s="174"/>
      <c r="B89" s="107"/>
      <c r="C89" s="109"/>
      <c r="D89" s="135"/>
      <c r="E89" s="134" t="s">
        <v>1036</v>
      </c>
      <c r="F89" s="29">
        <v>71797500</v>
      </c>
    </row>
    <row r="90" spans="1:6" ht="24.95" customHeight="1">
      <c r="A90" s="174"/>
      <c r="B90" s="107"/>
      <c r="C90" s="109"/>
      <c r="D90" s="135">
        <v>109642000</v>
      </c>
      <c r="E90" s="72" t="s">
        <v>1037</v>
      </c>
      <c r="F90" s="29"/>
    </row>
    <row r="91" spans="1:6" ht="24.95" customHeight="1">
      <c r="A91" s="174"/>
      <c r="B91" s="107"/>
      <c r="C91" s="109"/>
      <c r="D91" s="135"/>
      <c r="E91" s="71" t="s">
        <v>1038</v>
      </c>
      <c r="F91" s="29">
        <v>9642000</v>
      </c>
    </row>
    <row r="92" spans="1:6" ht="24.95" customHeight="1">
      <c r="A92" s="174"/>
      <c r="B92" s="107"/>
      <c r="C92" s="71"/>
      <c r="D92" s="135"/>
      <c r="E92" s="71" t="s">
        <v>1039</v>
      </c>
      <c r="F92" s="166">
        <v>100000000</v>
      </c>
    </row>
    <row r="93" spans="1:6" ht="24.95" customHeight="1">
      <c r="A93" s="174"/>
      <c r="B93" s="107"/>
      <c r="C93" s="71"/>
      <c r="D93" s="135">
        <v>97341251</v>
      </c>
      <c r="E93" s="72" t="s">
        <v>713</v>
      </c>
      <c r="F93" s="166"/>
    </row>
    <row r="94" spans="1:6" ht="24.95" customHeight="1">
      <c r="A94" s="174"/>
      <c r="B94" s="107"/>
      <c r="C94" s="71"/>
      <c r="D94" s="135"/>
      <c r="E94" s="71" t="s">
        <v>714</v>
      </c>
      <c r="F94" s="166">
        <v>97341251</v>
      </c>
    </row>
    <row r="95" spans="1:6" ht="24.95" customHeight="1">
      <c r="A95" s="174"/>
      <c r="B95" s="107"/>
      <c r="C95" s="71"/>
      <c r="D95" s="135">
        <v>66485325</v>
      </c>
      <c r="E95" s="150" t="s">
        <v>1040</v>
      </c>
      <c r="F95" s="166"/>
    </row>
    <row r="96" spans="1:6" ht="24.95" customHeight="1">
      <c r="A96" s="174"/>
      <c r="B96" s="107"/>
      <c r="C96" s="71"/>
      <c r="D96" s="135">
        <v>25000000</v>
      </c>
      <c r="E96" s="150" t="s">
        <v>1044</v>
      </c>
      <c r="F96" s="166"/>
    </row>
    <row r="97" spans="1:6" ht="24.95" customHeight="1">
      <c r="A97" s="174"/>
      <c r="B97" s="292" t="s">
        <v>108</v>
      </c>
      <c r="C97" s="112"/>
      <c r="D97" s="101">
        <f>D98</f>
        <v>990000000</v>
      </c>
      <c r="E97" s="69"/>
      <c r="F97" s="177"/>
    </row>
    <row r="98" spans="1:6" ht="24.95" customHeight="1">
      <c r="A98" s="174"/>
      <c r="B98" s="107"/>
      <c r="C98" s="59" t="s">
        <v>109</v>
      </c>
      <c r="D98" s="92">
        <f>SUM(D99:D102)</f>
        <v>990000000</v>
      </c>
      <c r="E98" s="59"/>
      <c r="F98" s="176"/>
    </row>
    <row r="99" spans="1:6" ht="24.95" customHeight="1">
      <c r="A99" s="174"/>
      <c r="B99" s="107"/>
      <c r="C99" s="109"/>
      <c r="D99" s="135">
        <f>270000000</f>
        <v>270000000</v>
      </c>
      <c r="E99" s="68" t="s">
        <v>251</v>
      </c>
      <c r="F99" s="166"/>
    </row>
    <row r="100" spans="1:6" ht="24.95" customHeight="1">
      <c r="A100" s="174"/>
      <c r="B100" s="107"/>
      <c r="C100" s="109"/>
      <c r="D100" s="135"/>
      <c r="E100" s="338" t="s">
        <v>1041</v>
      </c>
      <c r="F100" s="25">
        <v>270000000</v>
      </c>
    </row>
    <row r="101" spans="1:6" ht="24.95" customHeight="1">
      <c r="A101" s="174"/>
      <c r="B101" s="107"/>
      <c r="C101" s="109"/>
      <c r="D101" s="135">
        <v>720000000</v>
      </c>
      <c r="E101" s="68" t="s">
        <v>252</v>
      </c>
      <c r="F101" s="166"/>
    </row>
    <row r="102" spans="1:6" ht="24.95" customHeight="1">
      <c r="A102" s="174"/>
      <c r="B102" s="107"/>
      <c r="C102" s="109"/>
      <c r="D102" s="135"/>
      <c r="E102" s="71" t="s">
        <v>1042</v>
      </c>
      <c r="F102" s="166">
        <v>315000000</v>
      </c>
    </row>
    <row r="103" spans="1:6" ht="24.95" customHeight="1">
      <c r="A103" s="174"/>
      <c r="B103" s="107"/>
      <c r="C103" s="109"/>
      <c r="D103" s="135"/>
      <c r="E103" s="71" t="s">
        <v>1043</v>
      </c>
      <c r="F103" s="166">
        <v>405000000</v>
      </c>
    </row>
    <row r="104" spans="1:6" ht="24.95" customHeight="1">
      <c r="A104" s="191" t="s">
        <v>110</v>
      </c>
      <c r="B104" s="110"/>
      <c r="C104" s="113"/>
      <c r="D104" s="102">
        <f>D105+D377+D717</f>
        <v>94462083357</v>
      </c>
      <c r="E104" s="147"/>
      <c r="F104" s="178"/>
    </row>
    <row r="105" spans="1:6" ht="24.95" customHeight="1">
      <c r="A105" s="174"/>
      <c r="B105" s="292" t="s">
        <v>91</v>
      </c>
      <c r="C105" s="114"/>
      <c r="D105" s="101">
        <f>D106+D198</f>
        <v>79726519327</v>
      </c>
      <c r="E105" s="114"/>
      <c r="F105" s="177"/>
    </row>
    <row r="106" spans="1:6" ht="24.95" customHeight="1">
      <c r="A106" s="174"/>
      <c r="B106" s="107"/>
      <c r="C106" s="59" t="s">
        <v>85</v>
      </c>
      <c r="D106" s="92">
        <f>SUM(D107:D197)</f>
        <v>35356852075</v>
      </c>
      <c r="E106" s="59"/>
      <c r="F106" s="176"/>
    </row>
    <row r="107" spans="1:6" ht="24.95" customHeight="1">
      <c r="A107" s="174"/>
      <c r="B107" s="107"/>
      <c r="C107" s="109"/>
      <c r="D107" s="135">
        <v>48000000</v>
      </c>
      <c r="E107" s="72" t="s">
        <v>1045</v>
      </c>
      <c r="F107" s="30"/>
    </row>
    <row r="108" spans="1:6" ht="24.95" customHeight="1">
      <c r="A108" s="174"/>
      <c r="B108" s="107"/>
      <c r="C108" s="109"/>
      <c r="D108" s="74"/>
      <c r="E108" s="109" t="s">
        <v>1046</v>
      </c>
      <c r="F108" s="30">
        <v>48000000</v>
      </c>
    </row>
    <row r="109" spans="1:6" ht="24.95" customHeight="1">
      <c r="A109" s="174"/>
      <c r="B109" s="107"/>
      <c r="C109" s="109"/>
      <c r="D109" s="135">
        <v>30940000</v>
      </c>
      <c r="E109" s="64" t="s">
        <v>253</v>
      </c>
      <c r="F109" s="30"/>
    </row>
    <row r="110" spans="1:6" ht="24.95" customHeight="1">
      <c r="A110" s="174"/>
      <c r="B110" s="107"/>
      <c r="C110" s="109"/>
      <c r="D110" s="74"/>
      <c r="E110" s="84" t="s">
        <v>1047</v>
      </c>
      <c r="F110" s="30">
        <v>30940000</v>
      </c>
    </row>
    <row r="111" spans="1:6" ht="24.95" customHeight="1">
      <c r="A111" s="174"/>
      <c r="B111" s="107"/>
      <c r="C111" s="109"/>
      <c r="D111" s="135">
        <v>1242000000</v>
      </c>
      <c r="E111" s="72" t="s">
        <v>254</v>
      </c>
      <c r="F111" s="30"/>
    </row>
    <row r="112" spans="1:6" ht="24.95" customHeight="1">
      <c r="A112" s="174"/>
      <c r="B112" s="107"/>
      <c r="C112" s="109"/>
      <c r="D112" s="135"/>
      <c r="E112" s="109" t="s">
        <v>1049</v>
      </c>
      <c r="F112" s="30">
        <v>326000000</v>
      </c>
    </row>
    <row r="113" spans="1:6" ht="24.95" customHeight="1">
      <c r="A113" s="174"/>
      <c r="B113" s="107"/>
      <c r="C113" s="109"/>
      <c r="D113" s="135"/>
      <c r="E113" s="109" t="s">
        <v>1050</v>
      </c>
      <c r="F113" s="30"/>
    </row>
    <row r="114" spans="1:6" ht="24.95" customHeight="1">
      <c r="A114" s="174"/>
      <c r="B114" s="107"/>
      <c r="C114" s="109"/>
      <c r="D114" s="135"/>
      <c r="E114" s="109" t="s">
        <v>1051</v>
      </c>
      <c r="F114" s="30"/>
    </row>
    <row r="115" spans="1:6" ht="24.95" customHeight="1">
      <c r="A115" s="174"/>
      <c r="B115" s="107"/>
      <c r="C115" s="109"/>
      <c r="D115" s="135"/>
      <c r="E115" s="109" t="s">
        <v>1052</v>
      </c>
      <c r="F115" s="30"/>
    </row>
    <row r="116" spans="1:6" ht="24.95" customHeight="1">
      <c r="A116" s="174"/>
      <c r="B116" s="107"/>
      <c r="C116" s="109"/>
      <c r="D116" s="135"/>
      <c r="E116" s="109" t="s">
        <v>1053</v>
      </c>
      <c r="F116" s="30"/>
    </row>
    <row r="117" spans="1:6" ht="24.95" customHeight="1">
      <c r="A117" s="174"/>
      <c r="B117" s="107"/>
      <c r="C117" s="109"/>
      <c r="D117" s="135"/>
      <c r="E117" s="109" t="s">
        <v>1054</v>
      </c>
      <c r="F117" s="30">
        <v>400000000</v>
      </c>
    </row>
    <row r="118" spans="1:6" ht="24.95" customHeight="1">
      <c r="A118" s="174"/>
      <c r="B118" s="107"/>
      <c r="C118" s="109"/>
      <c r="D118" s="135"/>
      <c r="E118" s="109" t="s">
        <v>1055</v>
      </c>
      <c r="F118" s="30"/>
    </row>
    <row r="119" spans="1:6" ht="24.95" customHeight="1">
      <c r="A119" s="174"/>
      <c r="B119" s="107"/>
      <c r="C119" s="109"/>
      <c r="D119" s="135"/>
      <c r="E119" s="109" t="s">
        <v>1056</v>
      </c>
      <c r="F119" s="30"/>
    </row>
    <row r="120" spans="1:6" ht="24.95" customHeight="1">
      <c r="A120" s="174"/>
      <c r="B120" s="107"/>
      <c r="C120" s="109"/>
      <c r="D120" s="135"/>
      <c r="E120" s="109" t="s">
        <v>1057</v>
      </c>
      <c r="F120" s="30"/>
    </row>
    <row r="121" spans="1:6" ht="24.95" customHeight="1">
      <c r="A121" s="174"/>
      <c r="B121" s="107"/>
      <c r="C121" s="109"/>
      <c r="D121" s="135"/>
      <c r="E121" s="109" t="s">
        <v>1058</v>
      </c>
      <c r="F121" s="30"/>
    </row>
    <row r="122" spans="1:6" ht="24.95" customHeight="1">
      <c r="A122" s="174"/>
      <c r="B122" s="107"/>
      <c r="C122" s="109"/>
      <c r="D122" s="135"/>
      <c r="E122" s="109" t="s">
        <v>1059</v>
      </c>
      <c r="F122" s="30"/>
    </row>
    <row r="123" spans="1:6" ht="24.95" customHeight="1">
      <c r="A123" s="174"/>
      <c r="B123" s="107"/>
      <c r="C123" s="109"/>
      <c r="D123" s="135"/>
      <c r="E123" s="109" t="s">
        <v>973</v>
      </c>
      <c r="F123" s="30">
        <v>300000000</v>
      </c>
    </row>
    <row r="124" spans="1:6" ht="24.95" customHeight="1">
      <c r="A124" s="174"/>
      <c r="B124" s="107"/>
      <c r="C124" s="109"/>
      <c r="D124" s="135"/>
      <c r="E124" s="109" t="s">
        <v>1060</v>
      </c>
      <c r="F124" s="30"/>
    </row>
    <row r="125" spans="1:6" ht="24.95" customHeight="1">
      <c r="A125" s="174"/>
      <c r="B125" s="107"/>
      <c r="C125" s="109"/>
      <c r="D125" s="135"/>
      <c r="E125" s="109" t="s">
        <v>1061</v>
      </c>
      <c r="F125" s="30"/>
    </row>
    <row r="126" spans="1:6" ht="24.95" customHeight="1">
      <c r="A126" s="174"/>
      <c r="B126" s="107"/>
      <c r="C126" s="109"/>
      <c r="D126" s="135"/>
      <c r="E126" s="109" t="s">
        <v>1062</v>
      </c>
      <c r="F126" s="30"/>
    </row>
    <row r="127" spans="1:6" ht="24.95" customHeight="1">
      <c r="A127" s="174"/>
      <c r="B127" s="107"/>
      <c r="C127" s="109"/>
      <c r="D127" s="135"/>
      <c r="E127" s="109" t="s">
        <v>1063</v>
      </c>
      <c r="F127" s="30"/>
    </row>
    <row r="128" spans="1:6" ht="24.95" customHeight="1">
      <c r="A128" s="174"/>
      <c r="B128" s="107"/>
      <c r="C128" s="109"/>
      <c r="D128" s="135"/>
      <c r="E128" s="109" t="s">
        <v>974</v>
      </c>
      <c r="F128" s="30">
        <v>120000000</v>
      </c>
    </row>
    <row r="129" spans="1:6" ht="24.95" customHeight="1">
      <c r="A129" s="174"/>
      <c r="B129" s="107"/>
      <c r="C129" s="109"/>
      <c r="D129" s="135"/>
      <c r="E129" s="109" t="s">
        <v>1064</v>
      </c>
      <c r="F129" s="30"/>
    </row>
    <row r="130" spans="1:6" ht="24.95" customHeight="1">
      <c r="A130" s="174"/>
      <c r="B130" s="107"/>
      <c r="C130" s="109"/>
      <c r="D130" s="135"/>
      <c r="E130" s="109" t="s">
        <v>1065</v>
      </c>
      <c r="F130" s="30"/>
    </row>
    <row r="131" spans="1:6" ht="24.95" customHeight="1">
      <c r="A131" s="174"/>
      <c r="B131" s="107"/>
      <c r="C131" s="109"/>
      <c r="D131" s="135"/>
      <c r="E131" s="109" t="s">
        <v>1066</v>
      </c>
      <c r="F131" s="30"/>
    </row>
    <row r="132" spans="1:6" ht="24.95" customHeight="1">
      <c r="A132" s="174"/>
      <c r="B132" s="107"/>
      <c r="C132" s="109"/>
      <c r="D132" s="135"/>
      <c r="E132" s="109" t="s">
        <v>975</v>
      </c>
      <c r="F132" s="30">
        <v>96000000</v>
      </c>
    </row>
    <row r="133" spans="1:6" ht="24.95" customHeight="1">
      <c r="A133" s="174"/>
      <c r="B133" s="107"/>
      <c r="C133" s="109"/>
      <c r="D133" s="135"/>
      <c r="E133" s="109" t="s">
        <v>1067</v>
      </c>
      <c r="F133" s="30"/>
    </row>
    <row r="134" spans="1:6" ht="24.95" customHeight="1">
      <c r="A134" s="174"/>
      <c r="B134" s="107"/>
      <c r="C134" s="109"/>
      <c r="D134" s="135"/>
      <c r="E134" s="109" t="s">
        <v>1068</v>
      </c>
      <c r="F134" s="30"/>
    </row>
    <row r="135" spans="1:6" ht="24.95" customHeight="1">
      <c r="A135" s="174"/>
      <c r="B135" s="107"/>
      <c r="C135" s="109"/>
      <c r="D135" s="135"/>
      <c r="E135" s="109" t="s">
        <v>1069</v>
      </c>
      <c r="F135" s="30"/>
    </row>
    <row r="136" spans="1:6" ht="24.95" customHeight="1">
      <c r="A136" s="174"/>
      <c r="B136" s="107"/>
      <c r="C136" s="109"/>
      <c r="D136" s="135">
        <v>35250000</v>
      </c>
      <c r="E136" s="72" t="s">
        <v>255</v>
      </c>
      <c r="F136" s="30"/>
    </row>
    <row r="137" spans="1:6" ht="24.95" customHeight="1">
      <c r="A137" s="174"/>
      <c r="B137" s="107"/>
      <c r="C137" s="109"/>
      <c r="D137" s="74"/>
      <c r="E137" s="109" t="s">
        <v>1048</v>
      </c>
      <c r="F137" s="30">
        <v>35250000</v>
      </c>
    </row>
    <row r="138" spans="1:6" ht="24.95" customHeight="1">
      <c r="A138" s="174"/>
      <c r="B138" s="107"/>
      <c r="C138" s="109"/>
      <c r="D138" s="135">
        <v>979300000</v>
      </c>
      <c r="E138" s="85" t="s">
        <v>256</v>
      </c>
      <c r="F138" s="30"/>
    </row>
    <row r="139" spans="1:6" ht="24.95" customHeight="1">
      <c r="A139" s="174"/>
      <c r="B139" s="107"/>
      <c r="C139" s="109"/>
      <c r="D139" s="74"/>
      <c r="E139" s="189" t="s">
        <v>1070</v>
      </c>
      <c r="F139" s="48">
        <v>764300000</v>
      </c>
    </row>
    <row r="140" spans="1:6" ht="24.95" customHeight="1">
      <c r="A140" s="174"/>
      <c r="B140" s="107"/>
      <c r="C140" s="109"/>
      <c r="D140" s="74"/>
      <c r="E140" s="189" t="s">
        <v>1071</v>
      </c>
      <c r="F140" s="48"/>
    </row>
    <row r="141" spans="1:6" ht="24.95" customHeight="1">
      <c r="A141" s="174"/>
      <c r="B141" s="107"/>
      <c r="C141" s="109"/>
      <c r="D141" s="74"/>
      <c r="E141" s="189" t="s">
        <v>1072</v>
      </c>
      <c r="F141" s="48"/>
    </row>
    <row r="142" spans="1:6" ht="24.95" customHeight="1">
      <c r="A142" s="174"/>
      <c r="B142" s="107"/>
      <c r="C142" s="109"/>
      <c r="D142" s="74"/>
      <c r="E142" s="189" t="s">
        <v>1073</v>
      </c>
      <c r="F142" s="48"/>
    </row>
    <row r="143" spans="1:6" ht="24.95" customHeight="1">
      <c r="A143" s="174"/>
      <c r="B143" s="107"/>
      <c r="C143" s="109"/>
      <c r="D143" s="74"/>
      <c r="E143" s="189" t="s">
        <v>1074</v>
      </c>
      <c r="F143" s="48">
        <v>215000000</v>
      </c>
    </row>
    <row r="144" spans="1:6" ht="24.95" customHeight="1">
      <c r="A144" s="174"/>
      <c r="B144" s="107"/>
      <c r="C144" s="109"/>
      <c r="D144" s="74"/>
      <c r="E144" s="189" t="s">
        <v>1075</v>
      </c>
      <c r="F144" s="48"/>
    </row>
    <row r="145" spans="1:6" ht="24.95" customHeight="1">
      <c r="A145" s="174"/>
      <c r="B145" s="107"/>
      <c r="C145" s="109"/>
      <c r="D145" s="74"/>
      <c r="E145" s="189" t="s">
        <v>1076</v>
      </c>
      <c r="F145" s="48"/>
    </row>
    <row r="146" spans="1:6" ht="24.95" customHeight="1">
      <c r="A146" s="174"/>
      <c r="B146" s="107"/>
      <c r="C146" s="109"/>
      <c r="D146" s="74"/>
      <c r="E146" s="189" t="s">
        <v>1077</v>
      </c>
      <c r="F146" s="48"/>
    </row>
    <row r="147" spans="1:6" ht="24.95" customHeight="1">
      <c r="A147" s="174"/>
      <c r="B147" s="107"/>
      <c r="C147" s="109"/>
      <c r="D147" s="135">
        <v>31653000</v>
      </c>
      <c r="E147" s="16" t="s">
        <v>715</v>
      </c>
      <c r="F147" s="166"/>
    </row>
    <row r="148" spans="1:6" ht="24.95" customHeight="1">
      <c r="A148" s="174"/>
      <c r="B148" s="107"/>
      <c r="C148" s="109"/>
      <c r="D148" s="135"/>
      <c r="E148" s="17" t="s">
        <v>821</v>
      </c>
      <c r="F148" s="166">
        <v>18100000</v>
      </c>
    </row>
    <row r="149" spans="1:6" ht="24.95" customHeight="1">
      <c r="A149" s="174"/>
      <c r="B149" s="107"/>
      <c r="C149" s="109"/>
      <c r="D149" s="135"/>
      <c r="E149" s="17" t="s">
        <v>822</v>
      </c>
      <c r="F149" s="166">
        <v>13553000</v>
      </c>
    </row>
    <row r="150" spans="1:6" ht="24.95" customHeight="1">
      <c r="A150" s="174"/>
      <c r="B150" s="107"/>
      <c r="C150" s="109"/>
      <c r="D150" s="135">
        <v>528144000</v>
      </c>
      <c r="E150" s="72" t="s">
        <v>716</v>
      </c>
      <c r="F150" s="167"/>
    </row>
    <row r="151" spans="1:6" ht="24.95" customHeight="1">
      <c r="A151" s="174"/>
      <c r="B151" s="107"/>
      <c r="C151" s="109"/>
      <c r="D151" s="74"/>
      <c r="E151" s="109" t="s">
        <v>751</v>
      </c>
      <c r="F151" s="167">
        <v>190400000</v>
      </c>
    </row>
    <row r="152" spans="1:6" ht="24.95" customHeight="1">
      <c r="A152" s="174"/>
      <c r="B152" s="107"/>
      <c r="C152" s="109"/>
      <c r="D152" s="74"/>
      <c r="E152" s="149" t="s">
        <v>752</v>
      </c>
      <c r="F152" s="167">
        <v>140280000</v>
      </c>
    </row>
    <row r="153" spans="1:6" ht="24.95" customHeight="1">
      <c r="A153" s="174"/>
      <c r="B153" s="107"/>
      <c r="C153" s="109"/>
      <c r="D153" s="74"/>
      <c r="E153" s="109" t="s">
        <v>753</v>
      </c>
      <c r="F153" s="167">
        <v>197464000</v>
      </c>
    </row>
    <row r="154" spans="1:6" ht="24.95" customHeight="1">
      <c r="A154" s="174"/>
      <c r="B154" s="107"/>
      <c r="C154" s="109"/>
      <c r="D154" s="57">
        <v>950889546</v>
      </c>
      <c r="E154" s="72" t="s">
        <v>717</v>
      </c>
      <c r="F154" s="167"/>
    </row>
    <row r="155" spans="1:6" ht="24.95" customHeight="1">
      <c r="A155" s="174"/>
      <c r="B155" s="107"/>
      <c r="C155" s="109"/>
      <c r="D155" s="74"/>
      <c r="E155" s="109" t="s">
        <v>257</v>
      </c>
      <c r="F155" s="167">
        <v>117054264</v>
      </c>
    </row>
    <row r="156" spans="1:6" ht="24.95" customHeight="1">
      <c r="A156" s="174"/>
      <c r="B156" s="107"/>
      <c r="C156" s="109"/>
      <c r="D156" s="74"/>
      <c r="E156" s="109" t="s">
        <v>258</v>
      </c>
      <c r="F156" s="167">
        <v>151932648</v>
      </c>
    </row>
    <row r="157" spans="1:6" ht="24.95" customHeight="1">
      <c r="A157" s="174"/>
      <c r="B157" s="107"/>
      <c r="C157" s="109"/>
      <c r="D157" s="74"/>
      <c r="E157" s="109" t="s">
        <v>259</v>
      </c>
      <c r="F157" s="167">
        <v>644566649</v>
      </c>
    </row>
    <row r="158" spans="1:6" ht="24.95" customHeight="1">
      <c r="A158" s="174"/>
      <c r="B158" s="107"/>
      <c r="C158" s="109"/>
      <c r="D158" s="74"/>
      <c r="E158" s="109" t="s">
        <v>260</v>
      </c>
      <c r="F158" s="167">
        <v>10055985</v>
      </c>
    </row>
    <row r="159" spans="1:6" ht="24.95" customHeight="1">
      <c r="A159" s="179"/>
      <c r="B159" s="107"/>
      <c r="C159" s="109"/>
      <c r="D159" s="135"/>
      <c r="E159" s="109" t="s">
        <v>261</v>
      </c>
      <c r="F159" s="167">
        <v>27280000</v>
      </c>
    </row>
    <row r="160" spans="1:6" ht="24.95" customHeight="1">
      <c r="A160" s="179"/>
      <c r="B160" s="107"/>
      <c r="C160" s="109"/>
      <c r="D160" s="135"/>
      <c r="E160" s="109" t="s">
        <v>451</v>
      </c>
      <c r="F160" s="167"/>
    </row>
    <row r="161" spans="1:6" ht="24.95" customHeight="1">
      <c r="A161" s="179"/>
      <c r="B161" s="107"/>
      <c r="C161" s="109"/>
      <c r="D161" s="135"/>
      <c r="E161" s="109" t="s">
        <v>262</v>
      </c>
      <c r="F161" s="167"/>
    </row>
    <row r="162" spans="1:6" ht="24.95" customHeight="1">
      <c r="A162" s="179"/>
      <c r="B162" s="107"/>
      <c r="C162" s="109"/>
      <c r="D162" s="135"/>
      <c r="E162" s="109" t="s">
        <v>452</v>
      </c>
      <c r="F162" s="167"/>
    </row>
    <row r="163" spans="1:6" ht="24.95" customHeight="1">
      <c r="A163" s="179"/>
      <c r="B163" s="107"/>
      <c r="C163" s="109"/>
      <c r="D163" s="135"/>
      <c r="E163" s="109" t="s">
        <v>263</v>
      </c>
      <c r="F163" s="167"/>
    </row>
    <row r="164" spans="1:6" ht="24.95" customHeight="1">
      <c r="A164" s="179"/>
      <c r="B164" s="107"/>
      <c r="C164" s="109"/>
      <c r="D164" s="135"/>
      <c r="E164" s="109" t="s">
        <v>264</v>
      </c>
      <c r="F164" s="167"/>
    </row>
    <row r="165" spans="1:6" ht="24.95" customHeight="1">
      <c r="A165" s="179"/>
      <c r="B165" s="107"/>
      <c r="C165" s="109"/>
      <c r="D165" s="135">
        <v>803494299</v>
      </c>
      <c r="E165" s="72" t="s">
        <v>718</v>
      </c>
      <c r="F165" s="167"/>
    </row>
    <row r="166" spans="1:6" ht="24.95" customHeight="1">
      <c r="A166" s="179"/>
      <c r="B166" s="107"/>
      <c r="C166" s="109"/>
      <c r="D166" s="74"/>
      <c r="E166" s="109" t="s">
        <v>265</v>
      </c>
      <c r="F166" s="167">
        <v>91309662</v>
      </c>
    </row>
    <row r="167" spans="1:6" ht="24.95" customHeight="1">
      <c r="A167" s="179"/>
      <c r="B167" s="107"/>
      <c r="C167" s="109"/>
      <c r="D167" s="135"/>
      <c r="E167" s="109" t="s">
        <v>422</v>
      </c>
      <c r="F167" s="167">
        <v>120433750</v>
      </c>
    </row>
    <row r="168" spans="1:6" ht="24.95" customHeight="1">
      <c r="A168" s="179"/>
      <c r="B168" s="107"/>
      <c r="C168" s="109"/>
      <c r="D168" s="135"/>
      <c r="E168" s="109" t="s">
        <v>469</v>
      </c>
      <c r="F168" s="167"/>
    </row>
    <row r="169" spans="1:6" ht="24.95" customHeight="1">
      <c r="A169" s="179"/>
      <c r="B169" s="107"/>
      <c r="C169" s="109"/>
      <c r="D169" s="135"/>
      <c r="E169" s="109" t="s">
        <v>470</v>
      </c>
      <c r="F169" s="166"/>
    </row>
    <row r="170" spans="1:6" ht="24.95" customHeight="1">
      <c r="A170" s="179"/>
      <c r="B170" s="107"/>
      <c r="C170" s="109"/>
      <c r="D170" s="135"/>
      <c r="E170" s="109" t="s">
        <v>266</v>
      </c>
      <c r="F170" s="167">
        <v>229997737</v>
      </c>
    </row>
    <row r="171" spans="1:6" ht="24.95" customHeight="1">
      <c r="A171" s="179"/>
      <c r="B171" s="107"/>
      <c r="C171" s="109"/>
      <c r="D171" s="135"/>
      <c r="E171" s="109" t="s">
        <v>471</v>
      </c>
      <c r="F171" s="167"/>
    </row>
    <row r="172" spans="1:6" ht="24.95" customHeight="1">
      <c r="A172" s="179"/>
      <c r="B172" s="107"/>
      <c r="C172" s="109"/>
      <c r="D172" s="135"/>
      <c r="E172" s="109" t="s">
        <v>472</v>
      </c>
      <c r="F172" s="166"/>
    </row>
    <row r="173" spans="1:6" ht="24.95" customHeight="1">
      <c r="A173" s="179"/>
      <c r="B173" s="107"/>
      <c r="C173" s="109"/>
      <c r="D173" s="135"/>
      <c r="E173" s="109" t="s">
        <v>267</v>
      </c>
      <c r="F173" s="167">
        <v>208496900</v>
      </c>
    </row>
    <row r="174" spans="1:6" ht="24.95" customHeight="1">
      <c r="A174" s="179"/>
      <c r="B174" s="107"/>
      <c r="C174" s="109"/>
      <c r="D174" s="135"/>
      <c r="E174" s="109" t="s">
        <v>473</v>
      </c>
      <c r="F174" s="167"/>
    </row>
    <row r="175" spans="1:6" ht="24.95" customHeight="1">
      <c r="A175" s="179"/>
      <c r="B175" s="107"/>
      <c r="C175" s="109"/>
      <c r="D175" s="135"/>
      <c r="E175" s="109" t="s">
        <v>474</v>
      </c>
      <c r="F175" s="166"/>
    </row>
    <row r="176" spans="1:6" ht="24.95" customHeight="1">
      <c r="A176" s="179"/>
      <c r="B176" s="107"/>
      <c r="C176" s="109"/>
      <c r="D176" s="135"/>
      <c r="E176" s="109" t="s">
        <v>268</v>
      </c>
      <c r="F176" s="167">
        <v>153256250</v>
      </c>
    </row>
    <row r="177" spans="1:6" ht="24.95" customHeight="1">
      <c r="A177" s="179"/>
      <c r="B177" s="107"/>
      <c r="C177" s="109"/>
      <c r="D177" s="135"/>
      <c r="E177" s="109" t="s">
        <v>475</v>
      </c>
      <c r="F177" s="167"/>
    </row>
    <row r="178" spans="1:6" ht="24.95" customHeight="1">
      <c r="A178" s="179"/>
      <c r="B178" s="107"/>
      <c r="C178" s="109"/>
      <c r="D178" s="135"/>
      <c r="E178" s="109" t="s">
        <v>476</v>
      </c>
      <c r="F178" s="166"/>
    </row>
    <row r="179" spans="1:6" ht="24.95" customHeight="1">
      <c r="A179" s="179"/>
      <c r="B179" s="108"/>
      <c r="C179" s="109"/>
      <c r="D179" s="135">
        <v>67000000</v>
      </c>
      <c r="E179" s="72" t="s">
        <v>771</v>
      </c>
      <c r="F179" s="166"/>
    </row>
    <row r="180" spans="1:6" ht="24.95" customHeight="1">
      <c r="A180" s="179"/>
      <c r="B180" s="108"/>
      <c r="C180" s="109"/>
      <c r="D180" s="135">
        <v>46830000</v>
      </c>
      <c r="E180" s="72" t="s">
        <v>772</v>
      </c>
      <c r="F180" s="166"/>
    </row>
    <row r="181" spans="1:6" ht="24.95" customHeight="1">
      <c r="A181" s="179"/>
      <c r="B181" s="108"/>
      <c r="C181" s="109"/>
      <c r="D181" s="135">
        <v>20000000</v>
      </c>
      <c r="E181" s="72" t="s">
        <v>773</v>
      </c>
      <c r="F181" s="166"/>
    </row>
    <row r="182" spans="1:6" ht="24.95" customHeight="1">
      <c r="A182" s="179"/>
      <c r="B182" s="108"/>
      <c r="C182" s="109"/>
      <c r="D182" s="135">
        <v>12000000</v>
      </c>
      <c r="E182" s="72" t="s">
        <v>774</v>
      </c>
      <c r="F182" s="166"/>
    </row>
    <row r="183" spans="1:6" ht="24.95" customHeight="1">
      <c r="A183" s="179"/>
      <c r="B183" s="108"/>
      <c r="C183" s="109"/>
      <c r="D183" s="135">
        <v>12000000</v>
      </c>
      <c r="E183" s="72" t="s">
        <v>775</v>
      </c>
      <c r="F183" s="166"/>
    </row>
    <row r="184" spans="1:6" ht="24.95" customHeight="1">
      <c r="A184" s="179"/>
      <c r="B184" s="108"/>
      <c r="C184" s="109"/>
      <c r="D184" s="135">
        <v>20000000</v>
      </c>
      <c r="E184" s="72" t="s">
        <v>776</v>
      </c>
      <c r="F184" s="166"/>
    </row>
    <row r="185" spans="1:6" ht="24.95" customHeight="1">
      <c r="A185" s="179"/>
      <c r="B185" s="108"/>
      <c r="C185" s="109"/>
      <c r="D185" s="74">
        <v>15377946560</v>
      </c>
      <c r="E185" s="139" t="s">
        <v>777</v>
      </c>
      <c r="F185" s="167"/>
    </row>
    <row r="186" spans="1:6" ht="24.95" customHeight="1">
      <c r="A186" s="179"/>
      <c r="B186" s="108"/>
      <c r="C186" s="109"/>
      <c r="D186" s="74">
        <v>13007731980</v>
      </c>
      <c r="E186" s="139" t="s">
        <v>778</v>
      </c>
      <c r="F186" s="167"/>
    </row>
    <row r="187" spans="1:6" ht="24.95" customHeight="1">
      <c r="A187" s="179"/>
      <c r="B187" s="108"/>
      <c r="C187" s="109"/>
      <c r="D187" s="74">
        <v>1003265640</v>
      </c>
      <c r="E187" s="139" t="s">
        <v>779</v>
      </c>
      <c r="F187" s="167"/>
    </row>
    <row r="188" spans="1:6" s="2" customFormat="1" ht="24.95" customHeight="1">
      <c r="A188" s="180"/>
      <c r="B188" s="60"/>
      <c r="C188" s="71"/>
      <c r="D188" s="135">
        <v>1140407050</v>
      </c>
      <c r="E188" s="68" t="s">
        <v>780</v>
      </c>
      <c r="F188" s="166"/>
    </row>
    <row r="189" spans="1:6" s="2" customFormat="1" ht="24.95" customHeight="1">
      <c r="A189" s="180"/>
      <c r="B189" s="293"/>
      <c r="C189" s="71"/>
      <c r="D189" s="135"/>
      <c r="E189" s="41" t="s">
        <v>269</v>
      </c>
      <c r="F189" s="47">
        <v>6500000</v>
      </c>
    </row>
    <row r="190" spans="1:6" s="2" customFormat="1" ht="24.95" customHeight="1">
      <c r="A190" s="180"/>
      <c r="B190" s="293"/>
      <c r="C190" s="71"/>
      <c r="D190" s="135"/>
      <c r="E190" s="41" t="s">
        <v>270</v>
      </c>
      <c r="F190" s="47">
        <v>106600000</v>
      </c>
    </row>
    <row r="191" spans="1:6" s="2" customFormat="1" ht="24.95" customHeight="1">
      <c r="A191" s="180"/>
      <c r="B191" s="293"/>
      <c r="C191" s="71"/>
      <c r="D191" s="135"/>
      <c r="E191" s="41" t="s">
        <v>861</v>
      </c>
      <c r="F191" s="47"/>
    </row>
    <row r="192" spans="1:6" s="2" customFormat="1" ht="24.95" customHeight="1">
      <c r="A192" s="180"/>
      <c r="B192" s="293"/>
      <c r="C192" s="71"/>
      <c r="D192" s="135"/>
      <c r="E192" s="41" t="s">
        <v>438</v>
      </c>
      <c r="F192" s="47"/>
    </row>
    <row r="193" spans="1:6" s="2" customFormat="1" ht="24.95" customHeight="1">
      <c r="A193" s="180"/>
      <c r="B193" s="293"/>
      <c r="C193" s="71"/>
      <c r="D193" s="135"/>
      <c r="E193" s="42" t="s">
        <v>862</v>
      </c>
      <c r="F193" s="47"/>
    </row>
    <row r="194" spans="1:6" ht="24.95" customHeight="1">
      <c r="A194" s="174"/>
      <c r="B194" s="107"/>
      <c r="C194" s="109"/>
      <c r="D194" s="103"/>
      <c r="E194" s="41" t="s">
        <v>271</v>
      </c>
      <c r="F194" s="47">
        <v>1027307050</v>
      </c>
    </row>
    <row r="195" spans="1:6" ht="24.95" customHeight="1">
      <c r="A195" s="174"/>
      <c r="B195" s="107"/>
      <c r="C195" s="109"/>
      <c r="D195" s="103"/>
      <c r="E195" s="42" t="s">
        <v>863</v>
      </c>
      <c r="F195" s="47"/>
    </row>
    <row r="196" spans="1:6" ht="24.95" customHeight="1">
      <c r="A196" s="174"/>
      <c r="B196" s="107"/>
      <c r="C196" s="109"/>
      <c r="D196" s="103"/>
      <c r="E196" s="42" t="s">
        <v>864</v>
      </c>
      <c r="F196" s="47"/>
    </row>
    <row r="197" spans="1:6" ht="24.95" customHeight="1">
      <c r="A197" s="174"/>
      <c r="B197" s="107"/>
      <c r="C197" s="109"/>
      <c r="D197" s="103"/>
      <c r="E197" s="42" t="s">
        <v>865</v>
      </c>
      <c r="F197" s="47"/>
    </row>
    <row r="198" spans="1:6" ht="24.95" customHeight="1">
      <c r="A198" s="174"/>
      <c r="B198" s="107"/>
      <c r="C198" s="59" t="s">
        <v>86</v>
      </c>
      <c r="D198" s="92">
        <f>SUM(D199:D376)</f>
        <v>44369667252</v>
      </c>
      <c r="E198" s="146"/>
      <c r="F198" s="176"/>
    </row>
    <row r="199" spans="1:6" ht="24.75" customHeight="1">
      <c r="A199" s="174"/>
      <c r="B199" s="107"/>
      <c r="C199" s="109"/>
      <c r="D199" s="135">
        <v>45000000</v>
      </c>
      <c r="E199" s="72" t="s">
        <v>1078</v>
      </c>
      <c r="F199" s="30"/>
    </row>
    <row r="200" spans="1:6" ht="24.75" customHeight="1">
      <c r="A200" s="174"/>
      <c r="B200" s="107"/>
      <c r="C200" s="109"/>
      <c r="D200" s="135"/>
      <c r="E200" s="109" t="s">
        <v>1082</v>
      </c>
      <c r="F200" s="30">
        <v>15000000</v>
      </c>
    </row>
    <row r="201" spans="1:6" ht="24.75" customHeight="1">
      <c r="A201" s="174"/>
      <c r="B201" s="107"/>
      <c r="C201" s="109"/>
      <c r="D201" s="135"/>
      <c r="E201" s="109" t="s">
        <v>1083</v>
      </c>
      <c r="F201" s="30">
        <v>8000000</v>
      </c>
    </row>
    <row r="202" spans="1:6" ht="24.75" customHeight="1">
      <c r="A202" s="174"/>
      <c r="B202" s="107"/>
      <c r="C202" s="109"/>
      <c r="D202" s="135"/>
      <c r="E202" s="109" t="s">
        <v>1084</v>
      </c>
      <c r="F202" s="30">
        <v>4000000</v>
      </c>
    </row>
    <row r="203" spans="1:6" ht="24.75" customHeight="1">
      <c r="A203" s="174"/>
      <c r="B203" s="107"/>
      <c r="C203" s="109"/>
      <c r="D203" s="135"/>
      <c r="E203" s="109" t="s">
        <v>1085</v>
      </c>
      <c r="F203" s="30">
        <v>8000000</v>
      </c>
    </row>
    <row r="204" spans="1:6" ht="24.75" customHeight="1">
      <c r="A204" s="174"/>
      <c r="B204" s="107"/>
      <c r="C204" s="109"/>
      <c r="D204" s="135"/>
      <c r="E204" s="109" t="s">
        <v>1086</v>
      </c>
      <c r="F204" s="30">
        <v>2000000</v>
      </c>
    </row>
    <row r="205" spans="1:6" ht="24.75" customHeight="1">
      <c r="A205" s="174"/>
      <c r="B205" s="107"/>
      <c r="C205" s="109"/>
      <c r="D205" s="135"/>
      <c r="E205" s="109" t="s">
        <v>1087</v>
      </c>
      <c r="F205" s="30">
        <v>0</v>
      </c>
    </row>
    <row r="206" spans="1:6" ht="24.75" customHeight="1">
      <c r="A206" s="174"/>
      <c r="B206" s="107"/>
      <c r="C206" s="109"/>
      <c r="D206" s="135"/>
      <c r="E206" s="109" t="s">
        <v>1088</v>
      </c>
      <c r="F206" s="30">
        <v>5000000</v>
      </c>
    </row>
    <row r="207" spans="1:6" ht="24.95" customHeight="1">
      <c r="A207" s="174"/>
      <c r="B207" s="107"/>
      <c r="C207" s="109"/>
      <c r="D207" s="74"/>
      <c r="E207" s="109" t="s">
        <v>1079</v>
      </c>
      <c r="F207" s="30">
        <v>500000</v>
      </c>
    </row>
    <row r="208" spans="1:6" ht="24.95" customHeight="1">
      <c r="A208" s="174"/>
      <c r="B208" s="107"/>
      <c r="C208" s="109"/>
      <c r="D208" s="74"/>
      <c r="E208" s="134" t="s">
        <v>1080</v>
      </c>
      <c r="F208" s="29">
        <v>2000000</v>
      </c>
    </row>
    <row r="209" spans="1:6" ht="24.95" customHeight="1">
      <c r="A209" s="174"/>
      <c r="B209" s="107"/>
      <c r="C209" s="109"/>
      <c r="D209" s="74"/>
      <c r="E209" s="134" t="s">
        <v>1081</v>
      </c>
      <c r="F209" s="29">
        <v>500000</v>
      </c>
    </row>
    <row r="210" spans="1:6" ht="24.95" customHeight="1">
      <c r="A210" s="174"/>
      <c r="B210" s="107"/>
      <c r="C210" s="109"/>
      <c r="D210" s="135">
        <v>22166000</v>
      </c>
      <c r="E210" s="64" t="s">
        <v>253</v>
      </c>
      <c r="F210" s="30"/>
    </row>
    <row r="211" spans="1:6" ht="24.95" customHeight="1">
      <c r="A211" s="174"/>
      <c r="B211" s="107"/>
      <c r="C211" s="109"/>
      <c r="D211" s="74"/>
      <c r="E211" s="84" t="s">
        <v>1089</v>
      </c>
      <c r="F211" s="30">
        <v>22166000</v>
      </c>
    </row>
    <row r="212" spans="1:6" ht="24.95" customHeight="1">
      <c r="A212" s="174"/>
      <c r="B212" s="107"/>
      <c r="C212" s="109"/>
      <c r="D212" s="74">
        <v>70000000</v>
      </c>
      <c r="E212" s="64" t="s">
        <v>1090</v>
      </c>
      <c r="F212" s="30"/>
    </row>
    <row r="213" spans="1:6" ht="24.95" customHeight="1">
      <c r="A213" s="174"/>
      <c r="B213" s="107"/>
      <c r="C213" s="109"/>
      <c r="D213" s="135">
        <v>821000000</v>
      </c>
      <c r="E213" s="72" t="s">
        <v>1091</v>
      </c>
      <c r="F213" s="30"/>
    </row>
    <row r="214" spans="1:6" ht="24.95" customHeight="1">
      <c r="A214" s="174"/>
      <c r="B214" s="107"/>
      <c r="C214" s="109"/>
      <c r="D214" s="135"/>
      <c r="E214" s="109" t="s">
        <v>1049</v>
      </c>
      <c r="F214" s="30">
        <v>435000000</v>
      </c>
    </row>
    <row r="215" spans="1:6" ht="24.95" customHeight="1">
      <c r="A215" s="174"/>
      <c r="B215" s="107"/>
      <c r="C215" s="109"/>
      <c r="D215" s="135"/>
      <c r="E215" s="109" t="s">
        <v>1111</v>
      </c>
      <c r="F215" s="30"/>
    </row>
    <row r="216" spans="1:6" ht="24.95" customHeight="1">
      <c r="A216" s="174"/>
      <c r="B216" s="107"/>
      <c r="C216" s="109"/>
      <c r="D216" s="135"/>
      <c r="E216" s="109" t="s">
        <v>1112</v>
      </c>
      <c r="F216" s="30"/>
    </row>
    <row r="217" spans="1:6" ht="24.95" customHeight="1">
      <c r="A217" s="174"/>
      <c r="B217" s="107"/>
      <c r="C217" s="109"/>
      <c r="D217" s="135"/>
      <c r="E217" s="109" t="s">
        <v>1113</v>
      </c>
      <c r="F217" s="30"/>
    </row>
    <row r="218" spans="1:6" ht="24.95" customHeight="1">
      <c r="A218" s="174"/>
      <c r="B218" s="107"/>
      <c r="C218" s="109"/>
      <c r="D218" s="135"/>
      <c r="E218" s="109" t="s">
        <v>1054</v>
      </c>
      <c r="F218" s="30">
        <v>202000000</v>
      </c>
    </row>
    <row r="219" spans="1:6" ht="24.95" customHeight="1">
      <c r="A219" s="174"/>
      <c r="B219" s="107"/>
      <c r="C219" s="109"/>
      <c r="D219" s="135"/>
      <c r="E219" s="109" t="s">
        <v>1114</v>
      </c>
      <c r="F219" s="30"/>
    </row>
    <row r="220" spans="1:6" ht="24.95" customHeight="1">
      <c r="A220" s="174"/>
      <c r="B220" s="107"/>
      <c r="C220" s="109"/>
      <c r="D220" s="135"/>
      <c r="E220" s="109" t="s">
        <v>1115</v>
      </c>
      <c r="F220" s="30"/>
    </row>
    <row r="221" spans="1:6" ht="24.95" customHeight="1">
      <c r="A221" s="174"/>
      <c r="B221" s="107"/>
      <c r="C221" s="109"/>
      <c r="D221" s="135"/>
      <c r="E221" s="109" t="s">
        <v>1116</v>
      </c>
      <c r="F221" s="30"/>
    </row>
    <row r="222" spans="1:6" ht="24.95" customHeight="1">
      <c r="A222" s="174"/>
      <c r="B222" s="107"/>
      <c r="C222" s="109"/>
      <c r="D222" s="135"/>
      <c r="E222" s="109" t="s">
        <v>973</v>
      </c>
      <c r="F222" s="30">
        <v>95000000</v>
      </c>
    </row>
    <row r="223" spans="1:6" ht="24.95" customHeight="1">
      <c r="A223" s="174"/>
      <c r="B223" s="107"/>
      <c r="C223" s="109"/>
      <c r="D223" s="135"/>
      <c r="E223" s="109" t="s">
        <v>1117</v>
      </c>
      <c r="F223" s="30"/>
    </row>
    <row r="224" spans="1:6" ht="24.95" customHeight="1">
      <c r="A224" s="174"/>
      <c r="B224" s="107"/>
      <c r="C224" s="109"/>
      <c r="D224" s="135"/>
      <c r="E224" s="109" t="s">
        <v>1112</v>
      </c>
      <c r="F224" s="30"/>
    </row>
    <row r="225" spans="1:6" ht="24.95" customHeight="1">
      <c r="A225" s="174"/>
      <c r="B225" s="107"/>
      <c r="C225" s="109"/>
      <c r="D225" s="135"/>
      <c r="E225" s="109" t="s">
        <v>1118</v>
      </c>
      <c r="F225" s="30"/>
    </row>
    <row r="226" spans="1:6" ht="24.95" customHeight="1">
      <c r="A226" s="174"/>
      <c r="B226" s="107"/>
      <c r="C226" s="109"/>
      <c r="D226" s="135"/>
      <c r="E226" s="109" t="s">
        <v>974</v>
      </c>
      <c r="F226" s="30">
        <v>50000000</v>
      </c>
    </row>
    <row r="227" spans="1:6" ht="24.95" customHeight="1">
      <c r="A227" s="174"/>
      <c r="B227" s="107"/>
      <c r="C227" s="109"/>
      <c r="D227" s="135"/>
      <c r="E227" s="109" t="s">
        <v>1108</v>
      </c>
      <c r="F227" s="30"/>
    </row>
    <row r="228" spans="1:6" ht="24.95" customHeight="1">
      <c r="A228" s="174"/>
      <c r="B228" s="107"/>
      <c r="C228" s="109"/>
      <c r="D228" s="74"/>
      <c r="E228" s="84" t="s">
        <v>1106</v>
      </c>
      <c r="F228" s="30"/>
    </row>
    <row r="229" spans="1:6" ht="24.95" customHeight="1">
      <c r="A229" s="174"/>
      <c r="B229" s="107"/>
      <c r="C229" s="109"/>
      <c r="D229" s="74"/>
      <c r="E229" s="84" t="s">
        <v>1107</v>
      </c>
      <c r="F229" s="30"/>
    </row>
    <row r="230" spans="1:6" ht="24.95" customHeight="1">
      <c r="A230" s="174"/>
      <c r="B230" s="107"/>
      <c r="C230" s="109"/>
      <c r="D230" s="74"/>
      <c r="E230" s="84" t="s">
        <v>975</v>
      </c>
      <c r="F230" s="30">
        <v>39000000</v>
      </c>
    </row>
    <row r="231" spans="1:6" ht="24.95" customHeight="1">
      <c r="A231" s="174"/>
      <c r="B231" s="107"/>
      <c r="C231" s="109"/>
      <c r="D231" s="74"/>
      <c r="E231" s="84" t="s">
        <v>1108</v>
      </c>
      <c r="F231" s="30"/>
    </row>
    <row r="232" spans="1:6" ht="24.95" customHeight="1">
      <c r="A232" s="174"/>
      <c r="B232" s="107"/>
      <c r="C232" s="109"/>
      <c r="D232" s="74"/>
      <c r="E232" s="84" t="s">
        <v>1109</v>
      </c>
      <c r="F232" s="30"/>
    </row>
    <row r="233" spans="1:6" ht="24.95" customHeight="1">
      <c r="A233" s="174"/>
      <c r="B233" s="107"/>
      <c r="C233" s="109"/>
      <c r="D233" s="74"/>
      <c r="E233" s="84" t="s">
        <v>1110</v>
      </c>
      <c r="F233" s="30"/>
    </row>
    <row r="234" spans="1:6" ht="24.95" customHeight="1">
      <c r="A234" s="174"/>
      <c r="B234" s="107"/>
      <c r="C234" s="109"/>
      <c r="D234" s="135">
        <v>249900000</v>
      </c>
      <c r="E234" s="193" t="s">
        <v>1092</v>
      </c>
      <c r="F234" s="29"/>
    </row>
    <row r="235" spans="1:6" ht="24.95" customHeight="1">
      <c r="A235" s="174"/>
      <c r="B235" s="107"/>
      <c r="C235" s="109"/>
      <c r="D235" s="135"/>
      <c r="E235" s="23" t="s">
        <v>1070</v>
      </c>
      <c r="F235" s="48">
        <v>64000000</v>
      </c>
    </row>
    <row r="236" spans="1:6" ht="24.95" customHeight="1">
      <c r="A236" s="174"/>
      <c r="B236" s="107"/>
      <c r="C236" s="109"/>
      <c r="D236" s="135"/>
      <c r="E236" s="23" t="s">
        <v>1119</v>
      </c>
      <c r="F236" s="48"/>
    </row>
    <row r="237" spans="1:6" ht="24.95" customHeight="1">
      <c r="A237" s="174"/>
      <c r="B237" s="107"/>
      <c r="C237" s="109"/>
      <c r="D237" s="135"/>
      <c r="E237" s="23" t="s">
        <v>1120</v>
      </c>
      <c r="F237" s="48"/>
    </row>
    <row r="238" spans="1:6" ht="24.95" customHeight="1">
      <c r="A238" s="174"/>
      <c r="B238" s="107"/>
      <c r="C238" s="109"/>
      <c r="D238" s="135"/>
      <c r="E238" s="23" t="s">
        <v>1074</v>
      </c>
      <c r="F238" s="48">
        <v>185900000</v>
      </c>
    </row>
    <row r="239" spans="1:6" ht="24.95" customHeight="1">
      <c r="A239" s="174"/>
      <c r="B239" s="107"/>
      <c r="C239" s="109"/>
      <c r="D239" s="135"/>
      <c r="E239" s="23" t="s">
        <v>1121</v>
      </c>
      <c r="F239" s="48"/>
    </row>
    <row r="240" spans="1:6" ht="24.95" customHeight="1">
      <c r="A240" s="174"/>
      <c r="B240" s="107"/>
      <c r="C240" s="109"/>
      <c r="D240" s="135"/>
      <c r="E240" s="23" t="s">
        <v>1122</v>
      </c>
      <c r="F240" s="48"/>
    </row>
    <row r="241" spans="1:6" ht="24.95" customHeight="1">
      <c r="A241" s="174"/>
      <c r="B241" s="107"/>
      <c r="C241" s="109"/>
      <c r="D241" s="135"/>
      <c r="E241" s="23" t="s">
        <v>1123</v>
      </c>
      <c r="F241" s="48"/>
    </row>
    <row r="242" spans="1:6" ht="24.95" customHeight="1">
      <c r="A242" s="174"/>
      <c r="B242" s="107"/>
      <c r="C242" s="109"/>
      <c r="D242" s="135"/>
      <c r="E242" s="23" t="s">
        <v>1124</v>
      </c>
      <c r="F242" s="48"/>
    </row>
    <row r="243" spans="1:6" ht="24.95" customHeight="1">
      <c r="A243" s="174"/>
      <c r="B243" s="107"/>
      <c r="C243" s="109"/>
      <c r="D243" s="135"/>
      <c r="E243" s="23" t="s">
        <v>439</v>
      </c>
      <c r="F243" s="48"/>
    </row>
    <row r="244" spans="1:6" ht="24.95" customHeight="1">
      <c r="A244" s="174"/>
      <c r="B244" s="107"/>
      <c r="C244" s="109"/>
      <c r="D244" s="135"/>
      <c r="E244" s="23" t="s">
        <v>440</v>
      </c>
      <c r="F244" s="48"/>
    </row>
    <row r="245" spans="1:6" ht="24.95" customHeight="1">
      <c r="A245" s="174"/>
      <c r="B245" s="107"/>
      <c r="C245" s="109"/>
      <c r="D245" s="135">
        <v>347324033</v>
      </c>
      <c r="E245" s="16" t="s">
        <v>1093</v>
      </c>
      <c r="F245" s="166"/>
    </row>
    <row r="246" spans="1:6" ht="24.95" customHeight="1">
      <c r="A246" s="174"/>
      <c r="B246" s="107"/>
      <c r="C246" s="109"/>
      <c r="D246" s="135"/>
      <c r="E246" s="17" t="s">
        <v>272</v>
      </c>
      <c r="F246" s="166">
        <v>200000000</v>
      </c>
    </row>
    <row r="247" spans="1:6" ht="24.95" customHeight="1">
      <c r="A247" s="174"/>
      <c r="B247" s="107"/>
      <c r="C247" s="109"/>
      <c r="D247" s="135"/>
      <c r="E247" s="60" t="s">
        <v>824</v>
      </c>
      <c r="F247" s="166">
        <v>4000000</v>
      </c>
    </row>
    <row r="248" spans="1:6" ht="24.95" customHeight="1">
      <c r="A248" s="174"/>
      <c r="B248" s="107"/>
      <c r="C248" s="109"/>
      <c r="D248" s="135"/>
      <c r="E248" s="60" t="s">
        <v>825</v>
      </c>
      <c r="F248" s="166">
        <v>20000000</v>
      </c>
    </row>
    <row r="249" spans="1:6" ht="24.95" customHeight="1">
      <c r="A249" s="174"/>
      <c r="B249" s="107"/>
      <c r="C249" s="109"/>
      <c r="D249" s="135"/>
      <c r="E249" s="60" t="s">
        <v>823</v>
      </c>
      <c r="F249" s="166">
        <v>123324033</v>
      </c>
    </row>
    <row r="250" spans="1:6" ht="24.95" customHeight="1">
      <c r="A250" s="174"/>
      <c r="B250" s="107"/>
      <c r="C250" s="109"/>
      <c r="D250" s="135">
        <v>536871000</v>
      </c>
      <c r="E250" s="72" t="s">
        <v>1094</v>
      </c>
      <c r="F250" s="167"/>
    </row>
    <row r="251" spans="1:6" ht="24.95" customHeight="1">
      <c r="A251" s="174"/>
      <c r="B251" s="107"/>
      <c r="C251" s="109"/>
      <c r="D251" s="74"/>
      <c r="E251" s="109" t="s">
        <v>273</v>
      </c>
      <c r="F251" s="167">
        <v>104600000</v>
      </c>
    </row>
    <row r="252" spans="1:6" ht="24.95" customHeight="1">
      <c r="A252" s="174"/>
      <c r="B252" s="107"/>
      <c r="C252" s="109"/>
      <c r="D252" s="74"/>
      <c r="E252" s="109" t="s">
        <v>754</v>
      </c>
      <c r="F252" s="166"/>
    </row>
    <row r="253" spans="1:6" ht="24.95" customHeight="1">
      <c r="A253" s="174"/>
      <c r="B253" s="107"/>
      <c r="C253" s="109"/>
      <c r="D253" s="74"/>
      <c r="E253" s="109" t="s">
        <v>755</v>
      </c>
      <c r="F253" s="166"/>
    </row>
    <row r="254" spans="1:6" ht="24.95" customHeight="1">
      <c r="A254" s="174"/>
      <c r="B254" s="107"/>
      <c r="C254" s="109"/>
      <c r="D254" s="74"/>
      <c r="E254" s="109" t="s">
        <v>756</v>
      </c>
      <c r="F254" s="166"/>
    </row>
    <row r="255" spans="1:6" ht="24.95" customHeight="1">
      <c r="A255" s="174"/>
      <c r="B255" s="107"/>
      <c r="C255" s="109"/>
      <c r="D255" s="74"/>
      <c r="E255" s="109" t="s">
        <v>757</v>
      </c>
      <c r="F255" s="166">
        <v>272890000</v>
      </c>
    </row>
    <row r="256" spans="1:6" ht="24.95" customHeight="1">
      <c r="A256" s="174"/>
      <c r="B256" s="107"/>
      <c r="C256" s="109"/>
      <c r="D256" s="74"/>
      <c r="E256" s="134" t="s">
        <v>758</v>
      </c>
      <c r="F256" s="166"/>
    </row>
    <row r="257" spans="1:6" ht="24.95" customHeight="1">
      <c r="A257" s="174"/>
      <c r="B257" s="107"/>
      <c r="C257" s="109"/>
      <c r="D257" s="74"/>
      <c r="E257" s="109" t="s">
        <v>759</v>
      </c>
      <c r="F257" s="166"/>
    </row>
    <row r="258" spans="1:6" ht="24.95" customHeight="1">
      <c r="A258" s="174"/>
      <c r="B258" s="107"/>
      <c r="C258" s="109"/>
      <c r="D258" s="135"/>
      <c r="E258" s="109" t="s">
        <v>760</v>
      </c>
      <c r="F258" s="166">
        <v>159381000</v>
      </c>
    </row>
    <row r="259" spans="1:6" ht="24.95" customHeight="1">
      <c r="A259" s="174"/>
      <c r="B259" s="107"/>
      <c r="C259" s="109"/>
      <c r="D259" s="135"/>
      <c r="E259" s="134" t="s">
        <v>761</v>
      </c>
      <c r="F259" s="166"/>
    </row>
    <row r="260" spans="1:6" ht="24.95" customHeight="1">
      <c r="A260" s="174"/>
      <c r="B260" s="107"/>
      <c r="C260" s="109"/>
      <c r="D260" s="135"/>
      <c r="E260" s="109" t="s">
        <v>762</v>
      </c>
      <c r="F260" s="166"/>
    </row>
    <row r="261" spans="1:6" ht="24.95" customHeight="1">
      <c r="A261" s="174"/>
      <c r="B261" s="107"/>
      <c r="C261" s="109"/>
      <c r="D261" s="57">
        <v>375173273</v>
      </c>
      <c r="E261" s="72" t="s">
        <v>717</v>
      </c>
      <c r="F261" s="165"/>
    </row>
    <row r="262" spans="1:6" ht="24.95" customHeight="1">
      <c r="A262" s="174"/>
      <c r="B262" s="107"/>
      <c r="C262" s="109"/>
      <c r="D262" s="74"/>
      <c r="E262" s="109" t="s">
        <v>4</v>
      </c>
      <c r="F262" s="167">
        <v>75638786</v>
      </c>
    </row>
    <row r="263" spans="1:6" ht="24.95" customHeight="1">
      <c r="A263" s="174"/>
      <c r="B263" s="107"/>
      <c r="C263" s="109"/>
      <c r="D263" s="74"/>
      <c r="E263" s="109" t="s">
        <v>5</v>
      </c>
      <c r="F263" s="167">
        <v>1790520</v>
      </c>
    </row>
    <row r="264" spans="1:6" ht="24.95" customHeight="1">
      <c r="A264" s="174"/>
      <c r="B264" s="107"/>
      <c r="C264" s="109"/>
      <c r="D264" s="74"/>
      <c r="E264" s="109" t="s">
        <v>6</v>
      </c>
      <c r="F264" s="167">
        <v>10617362</v>
      </c>
    </row>
    <row r="265" spans="1:6" ht="24.95" customHeight="1">
      <c r="A265" s="174"/>
      <c r="B265" s="107"/>
      <c r="C265" s="109"/>
      <c r="D265" s="74"/>
      <c r="E265" s="109" t="s">
        <v>7</v>
      </c>
      <c r="F265" s="167">
        <v>25490476</v>
      </c>
    </row>
    <row r="266" spans="1:6" ht="24.95" customHeight="1">
      <c r="A266" s="174"/>
      <c r="B266" s="107"/>
      <c r="C266" s="109"/>
      <c r="D266" s="74"/>
      <c r="E266" s="109" t="s">
        <v>8</v>
      </c>
      <c r="F266" s="167">
        <v>88216290</v>
      </c>
    </row>
    <row r="267" spans="1:6" ht="24.95" customHeight="1">
      <c r="A267" s="174"/>
      <c r="B267" s="107"/>
      <c r="C267" s="109"/>
      <c r="D267" s="74"/>
      <c r="E267" s="109" t="s">
        <v>9</v>
      </c>
      <c r="F267" s="167">
        <v>64073931</v>
      </c>
    </row>
    <row r="268" spans="1:6" ht="24.95" customHeight="1">
      <c r="A268" s="174"/>
      <c r="B268" s="107"/>
      <c r="C268" s="109"/>
      <c r="D268" s="74"/>
      <c r="E268" s="109" t="s">
        <v>10</v>
      </c>
      <c r="F268" s="167">
        <v>26535980</v>
      </c>
    </row>
    <row r="269" spans="1:6" ht="24.95" customHeight="1">
      <c r="A269" s="174"/>
      <c r="B269" s="107"/>
      <c r="C269" s="109"/>
      <c r="D269" s="74"/>
      <c r="E269" s="109" t="s">
        <v>453</v>
      </c>
      <c r="F269" s="167">
        <v>2387428</v>
      </c>
    </row>
    <row r="270" spans="1:6" ht="24.95" customHeight="1">
      <c r="A270" s="179"/>
      <c r="B270" s="107"/>
      <c r="C270" s="109"/>
      <c r="D270" s="74"/>
      <c r="E270" s="109" t="s">
        <v>454</v>
      </c>
      <c r="F270" s="167">
        <v>65689500</v>
      </c>
    </row>
    <row r="271" spans="1:6" ht="24.95" customHeight="1">
      <c r="A271" s="179"/>
      <c r="B271" s="107"/>
      <c r="C271" s="109"/>
      <c r="D271" s="135"/>
      <c r="E271" s="109" t="s">
        <v>455</v>
      </c>
      <c r="F271" s="167">
        <v>14733000</v>
      </c>
    </row>
    <row r="272" spans="1:6" ht="24.95" customHeight="1">
      <c r="A272" s="179"/>
      <c r="B272" s="107"/>
      <c r="C272" s="109"/>
      <c r="D272" s="135"/>
      <c r="E272" s="109" t="s">
        <v>456</v>
      </c>
      <c r="F272" s="167"/>
    </row>
    <row r="273" spans="1:6" ht="24.95" customHeight="1">
      <c r="A273" s="179"/>
      <c r="B273" s="107"/>
      <c r="C273" s="109"/>
      <c r="D273" s="135"/>
      <c r="E273" s="109" t="s">
        <v>457</v>
      </c>
      <c r="F273" s="167"/>
    </row>
    <row r="274" spans="1:6" ht="24.95" customHeight="1">
      <c r="A274" s="179"/>
      <c r="B274" s="107"/>
      <c r="C274" s="109"/>
      <c r="D274" s="135"/>
      <c r="E274" s="109" t="s">
        <v>458</v>
      </c>
      <c r="F274" s="167"/>
    </row>
    <row r="275" spans="1:6" ht="24.95" customHeight="1">
      <c r="A275" s="179"/>
      <c r="B275" s="107"/>
      <c r="C275" s="109"/>
      <c r="D275" s="135"/>
      <c r="E275" s="109" t="s">
        <v>459</v>
      </c>
      <c r="F275" s="167"/>
    </row>
    <row r="276" spans="1:6" ht="24.95" customHeight="1">
      <c r="A276" s="179"/>
      <c r="B276" s="107"/>
      <c r="C276" s="109"/>
      <c r="D276" s="135"/>
      <c r="E276" s="109" t="s">
        <v>460</v>
      </c>
      <c r="F276" s="167"/>
    </row>
    <row r="277" spans="1:6" ht="24.95" customHeight="1">
      <c r="A277" s="179"/>
      <c r="B277" s="107"/>
      <c r="C277" s="109"/>
      <c r="D277" s="135"/>
      <c r="E277" s="109" t="s">
        <v>461</v>
      </c>
      <c r="F277" s="167"/>
    </row>
    <row r="278" spans="1:6" ht="24.95" customHeight="1">
      <c r="A278" s="179"/>
      <c r="B278" s="107"/>
      <c r="C278" s="109"/>
      <c r="D278" s="135"/>
      <c r="E278" s="109" t="s">
        <v>462</v>
      </c>
      <c r="F278" s="167"/>
    </row>
    <row r="279" spans="1:6" ht="24.95" customHeight="1">
      <c r="A279" s="179"/>
      <c r="B279" s="107"/>
      <c r="C279" s="109"/>
      <c r="D279" s="135"/>
      <c r="E279" s="109" t="s">
        <v>463</v>
      </c>
      <c r="F279" s="167"/>
    </row>
    <row r="280" spans="1:6" ht="24.95" customHeight="1">
      <c r="A280" s="179"/>
      <c r="B280" s="107"/>
      <c r="C280" s="109"/>
      <c r="D280" s="135"/>
      <c r="E280" s="109" t="s">
        <v>464</v>
      </c>
      <c r="F280" s="167"/>
    </row>
    <row r="281" spans="1:6" ht="24.95" customHeight="1">
      <c r="A281" s="179"/>
      <c r="B281" s="107"/>
      <c r="C281" s="109"/>
      <c r="D281" s="135"/>
      <c r="E281" s="109" t="s">
        <v>465</v>
      </c>
      <c r="F281" s="167"/>
    </row>
    <row r="282" spans="1:6" ht="24.95" customHeight="1">
      <c r="A282" s="179"/>
      <c r="B282" s="107"/>
      <c r="C282" s="109"/>
      <c r="D282" s="135"/>
      <c r="E282" s="109" t="s">
        <v>466</v>
      </c>
      <c r="F282" s="167"/>
    </row>
    <row r="283" spans="1:6" ht="24.95" customHeight="1">
      <c r="A283" s="179"/>
      <c r="B283" s="107"/>
      <c r="C283" s="109"/>
      <c r="D283" s="135"/>
      <c r="E283" s="109" t="s">
        <v>11</v>
      </c>
      <c r="F283" s="167"/>
    </row>
    <row r="284" spans="1:6" ht="24.95" customHeight="1">
      <c r="A284" s="179"/>
      <c r="B284" s="107"/>
      <c r="C284" s="109"/>
      <c r="D284" s="135"/>
      <c r="E284" s="109" t="s">
        <v>442</v>
      </c>
      <c r="F284" s="167"/>
    </row>
    <row r="285" spans="1:6" ht="24.95" customHeight="1">
      <c r="A285" s="179"/>
      <c r="B285" s="107"/>
      <c r="C285" s="109"/>
      <c r="D285" s="135"/>
      <c r="E285" s="109" t="s">
        <v>467</v>
      </c>
      <c r="F285" s="167"/>
    </row>
    <row r="286" spans="1:6" ht="24.95" customHeight="1">
      <c r="A286" s="179"/>
      <c r="B286" s="107"/>
      <c r="C286" s="109"/>
      <c r="D286" s="135"/>
      <c r="E286" s="109" t="s">
        <v>274</v>
      </c>
      <c r="F286" s="167"/>
    </row>
    <row r="287" spans="1:6" ht="24.95" customHeight="1">
      <c r="A287" s="174"/>
      <c r="B287" s="107"/>
      <c r="C287" s="109"/>
      <c r="D287" s="135"/>
      <c r="E287" s="109" t="s">
        <v>441</v>
      </c>
      <c r="F287" s="167"/>
    </row>
    <row r="288" spans="1:6" ht="24.95" customHeight="1">
      <c r="A288" s="174"/>
      <c r="B288" s="107"/>
      <c r="C288" s="109"/>
      <c r="D288" s="135">
        <v>1079938842</v>
      </c>
      <c r="E288" s="72" t="s">
        <v>718</v>
      </c>
      <c r="F288" s="167"/>
    </row>
    <row r="289" spans="1:6" ht="24.95" customHeight="1">
      <c r="A289" s="174"/>
      <c r="B289" s="107"/>
      <c r="C289" s="109"/>
      <c r="D289" s="74"/>
      <c r="E289" s="109" t="s">
        <v>273</v>
      </c>
      <c r="F289" s="167">
        <v>58196281</v>
      </c>
    </row>
    <row r="290" spans="1:6" ht="24.95" customHeight="1">
      <c r="A290" s="174"/>
      <c r="B290" s="107"/>
      <c r="C290" s="109"/>
      <c r="D290" s="74"/>
      <c r="E290" s="109" t="s">
        <v>477</v>
      </c>
      <c r="F290" s="166"/>
    </row>
    <row r="291" spans="1:6" ht="24.95" customHeight="1">
      <c r="A291" s="174"/>
      <c r="B291" s="107"/>
      <c r="C291" s="109"/>
      <c r="D291" s="74"/>
      <c r="E291" s="109" t="s">
        <v>478</v>
      </c>
      <c r="F291" s="166"/>
    </row>
    <row r="292" spans="1:6" ht="24.95" customHeight="1">
      <c r="A292" s="174"/>
      <c r="B292" s="107"/>
      <c r="C292" s="109"/>
      <c r="D292" s="74"/>
      <c r="E292" s="109" t="s">
        <v>479</v>
      </c>
      <c r="F292" s="167"/>
    </row>
    <row r="293" spans="1:6" ht="24.95" customHeight="1">
      <c r="A293" s="174"/>
      <c r="B293" s="107"/>
      <c r="C293" s="109"/>
      <c r="D293" s="74"/>
      <c r="E293" s="109" t="s">
        <v>480</v>
      </c>
      <c r="F293" s="167"/>
    </row>
    <row r="294" spans="1:6" ht="24.95" customHeight="1">
      <c r="A294" s="174"/>
      <c r="B294" s="107"/>
      <c r="C294" s="109"/>
      <c r="D294" s="74"/>
      <c r="E294" s="109" t="s">
        <v>275</v>
      </c>
      <c r="F294" s="167">
        <v>189863724</v>
      </c>
    </row>
    <row r="295" spans="1:6" ht="24.95" customHeight="1">
      <c r="A295" s="174"/>
      <c r="B295" s="107"/>
      <c r="C295" s="109"/>
      <c r="D295" s="74"/>
      <c r="E295" s="109" t="s">
        <v>481</v>
      </c>
      <c r="F295" s="166"/>
    </row>
    <row r="296" spans="1:6" ht="24.95" customHeight="1">
      <c r="A296" s="174"/>
      <c r="B296" s="107"/>
      <c r="C296" s="109"/>
      <c r="D296" s="74"/>
      <c r="E296" s="109" t="s">
        <v>482</v>
      </c>
      <c r="F296" s="166"/>
    </row>
    <row r="297" spans="1:6" ht="24.95" customHeight="1">
      <c r="A297" s="174"/>
      <c r="B297" s="107"/>
      <c r="C297" s="109"/>
      <c r="D297" s="74"/>
      <c r="E297" s="109" t="s">
        <v>276</v>
      </c>
      <c r="F297" s="167">
        <v>447726553</v>
      </c>
    </row>
    <row r="298" spans="1:6" ht="24.95" customHeight="1">
      <c r="A298" s="174"/>
      <c r="B298" s="107"/>
      <c r="C298" s="109"/>
      <c r="D298" s="74"/>
      <c r="E298" s="109" t="s">
        <v>483</v>
      </c>
      <c r="F298" s="166"/>
    </row>
    <row r="299" spans="1:6" ht="24.95" customHeight="1">
      <c r="A299" s="174"/>
      <c r="B299" s="107"/>
      <c r="C299" s="109"/>
      <c r="D299" s="74"/>
      <c r="E299" s="109" t="s">
        <v>484</v>
      </c>
      <c r="F299" s="166"/>
    </row>
    <row r="300" spans="1:6" ht="24.95" customHeight="1">
      <c r="A300" s="174"/>
      <c r="B300" s="107"/>
      <c r="C300" s="109"/>
      <c r="D300" s="74"/>
      <c r="E300" s="109" t="s">
        <v>277</v>
      </c>
      <c r="F300" s="167">
        <v>185230481</v>
      </c>
    </row>
    <row r="301" spans="1:6" ht="24.95" customHeight="1">
      <c r="A301" s="174"/>
      <c r="B301" s="107"/>
      <c r="C301" s="109"/>
      <c r="D301" s="74"/>
      <c r="E301" s="109" t="s">
        <v>485</v>
      </c>
      <c r="F301" s="166"/>
    </row>
    <row r="302" spans="1:6" ht="24.95" customHeight="1">
      <c r="A302" s="174"/>
      <c r="B302" s="107"/>
      <c r="C302" s="109"/>
      <c r="D302" s="74"/>
      <c r="E302" s="109" t="s">
        <v>486</v>
      </c>
      <c r="F302" s="166"/>
    </row>
    <row r="303" spans="1:6" ht="24.95" customHeight="1">
      <c r="A303" s="174"/>
      <c r="B303" s="107"/>
      <c r="C303" s="109"/>
      <c r="D303" s="74"/>
      <c r="E303" s="109" t="s">
        <v>278</v>
      </c>
      <c r="F303" s="167">
        <v>198921803</v>
      </c>
    </row>
    <row r="304" spans="1:6" ht="24.95" customHeight="1">
      <c r="A304" s="174"/>
      <c r="B304" s="107"/>
      <c r="C304" s="109"/>
      <c r="D304" s="74"/>
      <c r="E304" s="109" t="s">
        <v>487</v>
      </c>
      <c r="F304" s="166"/>
    </row>
    <row r="305" spans="1:6" ht="24.95" customHeight="1">
      <c r="A305" s="174"/>
      <c r="B305" s="107"/>
      <c r="C305" s="109"/>
      <c r="D305" s="74"/>
      <c r="E305" s="109" t="s">
        <v>488</v>
      </c>
      <c r="F305" s="166"/>
    </row>
    <row r="306" spans="1:6" ht="24.95" customHeight="1">
      <c r="A306" s="174"/>
      <c r="B306" s="107"/>
      <c r="C306" s="109"/>
      <c r="D306" s="74">
        <v>198700000</v>
      </c>
      <c r="E306" s="140" t="s">
        <v>1095</v>
      </c>
      <c r="F306" s="166"/>
    </row>
    <row r="307" spans="1:6" ht="24.95" customHeight="1">
      <c r="A307" s="174"/>
      <c r="B307" s="107"/>
      <c r="C307" s="109"/>
      <c r="D307" s="74"/>
      <c r="E307" s="343" t="s">
        <v>739</v>
      </c>
      <c r="F307" s="166">
        <v>90400000</v>
      </c>
    </row>
    <row r="308" spans="1:6" ht="24.95" customHeight="1">
      <c r="A308" s="174"/>
      <c r="B308" s="107"/>
      <c r="C308" s="109"/>
      <c r="D308" s="74"/>
      <c r="E308" s="343" t="s">
        <v>731</v>
      </c>
      <c r="F308" s="166"/>
    </row>
    <row r="309" spans="1:6" ht="24.95" customHeight="1">
      <c r="A309" s="174"/>
      <c r="B309" s="107"/>
      <c r="C309" s="109"/>
      <c r="D309" s="74"/>
      <c r="E309" s="343" t="s">
        <v>732</v>
      </c>
      <c r="F309" s="166"/>
    </row>
    <row r="310" spans="1:6" ht="24.95" customHeight="1">
      <c r="A310" s="174"/>
      <c r="B310" s="107"/>
      <c r="C310" s="109"/>
      <c r="D310" s="74"/>
      <c r="E310" s="343" t="s">
        <v>740</v>
      </c>
      <c r="F310" s="166">
        <v>10000000</v>
      </c>
    </row>
    <row r="311" spans="1:6" ht="24.95" customHeight="1">
      <c r="A311" s="174"/>
      <c r="B311" s="107"/>
      <c r="C311" s="109"/>
      <c r="D311" s="74"/>
      <c r="E311" s="343" t="s">
        <v>733</v>
      </c>
      <c r="F311" s="166"/>
    </row>
    <row r="312" spans="1:6" ht="24.95" customHeight="1">
      <c r="A312" s="174"/>
      <c r="B312" s="107"/>
      <c r="C312" s="109"/>
      <c r="D312" s="74"/>
      <c r="E312" s="343" t="s">
        <v>741</v>
      </c>
      <c r="F312" s="166">
        <v>5400000</v>
      </c>
    </row>
    <row r="313" spans="1:6" ht="24.95" customHeight="1">
      <c r="A313" s="174"/>
      <c r="B313" s="107"/>
      <c r="C313" s="109"/>
      <c r="D313" s="74"/>
      <c r="E313" s="343" t="s">
        <v>734</v>
      </c>
      <c r="F313" s="166"/>
    </row>
    <row r="314" spans="1:6" ht="24.95" customHeight="1">
      <c r="A314" s="174"/>
      <c r="B314" s="107"/>
      <c r="C314" s="109"/>
      <c r="D314" s="74"/>
      <c r="E314" s="343" t="s">
        <v>735</v>
      </c>
      <c r="F314" s="166"/>
    </row>
    <row r="315" spans="1:6" ht="24.95" customHeight="1">
      <c r="A315" s="174"/>
      <c r="B315" s="107"/>
      <c r="C315" s="109"/>
      <c r="D315" s="74"/>
      <c r="E315" s="343" t="s">
        <v>742</v>
      </c>
      <c r="F315" s="166">
        <v>2900000</v>
      </c>
    </row>
    <row r="316" spans="1:6" ht="24.95" customHeight="1">
      <c r="A316" s="174"/>
      <c r="B316" s="107"/>
      <c r="C316" s="109"/>
      <c r="D316" s="74"/>
      <c r="E316" s="343" t="s">
        <v>736</v>
      </c>
      <c r="F316" s="166"/>
    </row>
    <row r="317" spans="1:6" ht="24.95" customHeight="1">
      <c r="A317" s="174"/>
      <c r="B317" s="107"/>
      <c r="C317" s="109"/>
      <c r="D317" s="74"/>
      <c r="E317" s="343" t="s">
        <v>743</v>
      </c>
      <c r="F317" s="166">
        <v>90000000</v>
      </c>
    </row>
    <row r="318" spans="1:6" ht="24.95" customHeight="1">
      <c r="A318" s="174"/>
      <c r="B318" s="107"/>
      <c r="C318" s="109"/>
      <c r="D318" s="74"/>
      <c r="E318" s="343" t="s">
        <v>737</v>
      </c>
      <c r="F318" s="166"/>
    </row>
    <row r="319" spans="1:6" ht="24.95" customHeight="1">
      <c r="A319" s="174"/>
      <c r="B319" s="107"/>
      <c r="C319" s="109"/>
      <c r="D319" s="74"/>
      <c r="E319" s="343" t="s">
        <v>738</v>
      </c>
      <c r="F319" s="166"/>
    </row>
    <row r="320" spans="1:6" ht="24.95" customHeight="1">
      <c r="A320" s="174"/>
      <c r="B320" s="107"/>
      <c r="C320" s="109"/>
      <c r="D320" s="74">
        <v>93000000</v>
      </c>
      <c r="E320" s="140" t="s">
        <v>1096</v>
      </c>
      <c r="F320" s="166"/>
    </row>
    <row r="321" spans="1:6" ht="24.95" customHeight="1">
      <c r="A321" s="174"/>
      <c r="B321" s="107"/>
      <c r="C321" s="109"/>
      <c r="D321" s="74"/>
      <c r="E321" s="343" t="s">
        <v>793</v>
      </c>
      <c r="F321" s="166">
        <v>10800000</v>
      </c>
    </row>
    <row r="322" spans="1:6" ht="24.95" customHeight="1">
      <c r="A322" s="174"/>
      <c r="B322" s="107"/>
      <c r="C322" s="109"/>
      <c r="D322" s="74"/>
      <c r="E322" s="343" t="s">
        <v>794</v>
      </c>
      <c r="F322" s="166">
        <v>11000000</v>
      </c>
    </row>
    <row r="323" spans="1:6" ht="24.95" customHeight="1">
      <c r="A323" s="174"/>
      <c r="B323" s="107"/>
      <c r="C323" s="109"/>
      <c r="D323" s="74"/>
      <c r="E323" s="343" t="s">
        <v>795</v>
      </c>
      <c r="F323" s="166">
        <v>33000000</v>
      </c>
    </row>
    <row r="324" spans="1:6" ht="24.95" customHeight="1">
      <c r="A324" s="174"/>
      <c r="B324" s="107"/>
      <c r="C324" s="109"/>
      <c r="D324" s="74"/>
      <c r="E324" s="343" t="s">
        <v>796</v>
      </c>
      <c r="F324" s="166">
        <v>38200000</v>
      </c>
    </row>
    <row r="325" spans="1:6" ht="24.95" customHeight="1">
      <c r="A325" s="174"/>
      <c r="B325" s="107"/>
      <c r="C325" s="109"/>
      <c r="D325" s="74"/>
      <c r="E325" s="343" t="s">
        <v>797</v>
      </c>
      <c r="F325" s="166">
        <v>15000000</v>
      </c>
    </row>
    <row r="326" spans="1:6" ht="24.95" customHeight="1">
      <c r="A326" s="174"/>
      <c r="B326" s="107"/>
      <c r="C326" s="109"/>
      <c r="D326" s="74"/>
      <c r="E326" s="343" t="s">
        <v>798</v>
      </c>
      <c r="F326" s="166">
        <v>2000000</v>
      </c>
    </row>
    <row r="327" spans="1:6" ht="24.95" customHeight="1">
      <c r="A327" s="174"/>
      <c r="B327" s="107"/>
      <c r="C327" s="109"/>
      <c r="D327" s="74"/>
      <c r="E327" s="343" t="s">
        <v>799</v>
      </c>
      <c r="F327" s="166">
        <v>2000000</v>
      </c>
    </row>
    <row r="328" spans="1:6" ht="24.95" customHeight="1">
      <c r="A328" s="174"/>
      <c r="B328" s="107"/>
      <c r="C328" s="109"/>
      <c r="D328" s="74"/>
      <c r="E328" s="343" t="s">
        <v>800</v>
      </c>
      <c r="F328" s="166">
        <v>3200000</v>
      </c>
    </row>
    <row r="329" spans="1:6" ht="24.95" customHeight="1">
      <c r="A329" s="174"/>
      <c r="B329" s="107"/>
      <c r="C329" s="109"/>
      <c r="D329" s="74"/>
      <c r="E329" s="343" t="s">
        <v>801</v>
      </c>
      <c r="F329" s="166">
        <v>1000000</v>
      </c>
    </row>
    <row r="330" spans="1:6" ht="24.95" customHeight="1">
      <c r="A330" s="174"/>
      <c r="B330" s="107"/>
      <c r="C330" s="109"/>
      <c r="D330" s="74"/>
      <c r="E330" s="343" t="s">
        <v>802</v>
      </c>
      <c r="F330" s="166">
        <v>2000000</v>
      </c>
    </row>
    <row r="331" spans="1:6" ht="24.95" customHeight="1">
      <c r="A331" s="174"/>
      <c r="B331" s="107"/>
      <c r="C331" s="109"/>
      <c r="D331" s="74"/>
      <c r="E331" s="343" t="s">
        <v>803</v>
      </c>
      <c r="F331" s="166">
        <v>3000000</v>
      </c>
    </row>
    <row r="332" spans="1:6" ht="24.95" customHeight="1">
      <c r="A332" s="174"/>
      <c r="B332" s="107"/>
      <c r="C332" s="109"/>
      <c r="D332" s="74"/>
      <c r="E332" s="343" t="s">
        <v>804</v>
      </c>
      <c r="F332" s="166">
        <v>7000000</v>
      </c>
    </row>
    <row r="333" spans="1:6" ht="24.95" customHeight="1">
      <c r="A333" s="174"/>
      <c r="B333" s="107"/>
      <c r="C333" s="109"/>
      <c r="D333" s="74"/>
      <c r="E333" s="343" t="s">
        <v>805</v>
      </c>
      <c r="F333" s="166">
        <v>3000000</v>
      </c>
    </row>
    <row r="334" spans="1:6" ht="24.95" customHeight="1">
      <c r="A334" s="174"/>
      <c r="B334" s="107"/>
      <c r="C334" s="109"/>
      <c r="D334" s="74">
        <v>33170000</v>
      </c>
      <c r="E334" s="140" t="s">
        <v>1097</v>
      </c>
      <c r="F334" s="166"/>
    </row>
    <row r="335" spans="1:6" ht="24.95" customHeight="1">
      <c r="A335" s="174"/>
      <c r="B335" s="107"/>
      <c r="C335" s="109"/>
      <c r="D335" s="74"/>
      <c r="E335" s="343" t="s">
        <v>789</v>
      </c>
      <c r="F335" s="166">
        <v>1000000</v>
      </c>
    </row>
    <row r="336" spans="1:6" ht="24.95" customHeight="1">
      <c r="A336" s="174"/>
      <c r="B336" s="107"/>
      <c r="C336" s="109"/>
      <c r="D336" s="74"/>
      <c r="E336" s="343" t="s">
        <v>790</v>
      </c>
      <c r="F336" s="166">
        <v>25000000</v>
      </c>
    </row>
    <row r="337" spans="1:6" ht="24.95" customHeight="1">
      <c r="A337" s="174"/>
      <c r="B337" s="107"/>
      <c r="C337" s="109"/>
      <c r="D337" s="74"/>
      <c r="E337" s="343" t="s">
        <v>791</v>
      </c>
      <c r="F337" s="166">
        <v>1500000</v>
      </c>
    </row>
    <row r="338" spans="1:6" ht="24.95" customHeight="1">
      <c r="A338" s="174"/>
      <c r="B338" s="107"/>
      <c r="C338" s="109"/>
      <c r="D338" s="74"/>
      <c r="E338" s="343" t="s">
        <v>792</v>
      </c>
      <c r="F338" s="166">
        <v>5670000</v>
      </c>
    </row>
    <row r="339" spans="1:6" ht="24.95" customHeight="1">
      <c r="A339" s="174"/>
      <c r="B339" s="107"/>
      <c r="C339" s="109"/>
      <c r="D339" s="74">
        <v>50000000</v>
      </c>
      <c r="E339" s="140" t="s">
        <v>1098</v>
      </c>
      <c r="F339" s="166"/>
    </row>
    <row r="340" spans="1:6" ht="24.95" customHeight="1">
      <c r="A340" s="174"/>
      <c r="B340" s="107"/>
      <c r="C340" s="109"/>
      <c r="D340" s="74"/>
      <c r="E340" s="343" t="s">
        <v>788</v>
      </c>
      <c r="F340" s="166">
        <v>47000000</v>
      </c>
    </row>
    <row r="341" spans="1:6" ht="24.95" customHeight="1">
      <c r="A341" s="174"/>
      <c r="B341" s="107"/>
      <c r="C341" s="109"/>
      <c r="D341" s="74"/>
      <c r="E341" s="343" t="s">
        <v>784</v>
      </c>
      <c r="F341" s="166">
        <v>3000000</v>
      </c>
    </row>
    <row r="342" spans="1:6" ht="24.95" customHeight="1">
      <c r="A342" s="174"/>
      <c r="B342" s="107"/>
      <c r="C342" s="109"/>
      <c r="D342" s="74"/>
      <c r="E342" s="343" t="s">
        <v>785</v>
      </c>
      <c r="F342" s="166">
        <v>1000000</v>
      </c>
    </row>
    <row r="343" spans="1:6" ht="24.95" customHeight="1">
      <c r="A343" s="174"/>
      <c r="B343" s="107"/>
      <c r="C343" s="109"/>
      <c r="D343" s="74"/>
      <c r="E343" s="343" t="s">
        <v>786</v>
      </c>
      <c r="F343" s="166">
        <v>1000000</v>
      </c>
    </row>
    <row r="344" spans="1:6" ht="24.95" customHeight="1">
      <c r="A344" s="174"/>
      <c r="B344" s="107"/>
      <c r="C344" s="109"/>
      <c r="D344" s="74"/>
      <c r="E344" s="343" t="s">
        <v>787</v>
      </c>
      <c r="F344" s="166">
        <v>1000000</v>
      </c>
    </row>
    <row r="345" spans="1:6" ht="24.95" customHeight="1">
      <c r="A345" s="174"/>
      <c r="B345" s="107"/>
      <c r="C345" s="109"/>
      <c r="D345" s="74">
        <v>13000000</v>
      </c>
      <c r="E345" s="140" t="s">
        <v>1099</v>
      </c>
      <c r="F345" s="166"/>
    </row>
    <row r="346" spans="1:6" ht="24.95" customHeight="1">
      <c r="A346" s="174"/>
      <c r="B346" s="107"/>
      <c r="C346" s="109"/>
      <c r="D346" s="74"/>
      <c r="E346" s="343" t="s">
        <v>781</v>
      </c>
      <c r="F346" s="166">
        <v>9000000</v>
      </c>
    </row>
    <row r="347" spans="1:6" ht="24.95" customHeight="1">
      <c r="A347" s="174"/>
      <c r="B347" s="107"/>
      <c r="C347" s="109"/>
      <c r="D347" s="74"/>
      <c r="E347" s="343" t="s">
        <v>782</v>
      </c>
      <c r="F347" s="166">
        <v>1000000</v>
      </c>
    </row>
    <row r="348" spans="1:6" ht="24.95" customHeight="1">
      <c r="A348" s="174"/>
      <c r="B348" s="107"/>
      <c r="C348" s="109"/>
      <c r="D348" s="74"/>
      <c r="E348" s="343" t="s">
        <v>783</v>
      </c>
      <c r="F348" s="166">
        <v>3000000</v>
      </c>
    </row>
    <row r="349" spans="1:6" ht="24.95" customHeight="1">
      <c r="A349" s="174"/>
      <c r="B349" s="107"/>
      <c r="C349" s="109"/>
      <c r="D349" s="74">
        <v>13000000</v>
      </c>
      <c r="E349" s="140" t="s">
        <v>1100</v>
      </c>
      <c r="F349" s="166"/>
    </row>
    <row r="350" spans="1:6" ht="24.95" customHeight="1">
      <c r="A350" s="174"/>
      <c r="B350" s="107"/>
      <c r="C350" s="109"/>
      <c r="D350" s="74"/>
      <c r="E350" s="343" t="s">
        <v>781</v>
      </c>
      <c r="F350" s="166">
        <v>9000000</v>
      </c>
    </row>
    <row r="351" spans="1:6" ht="24.95" customHeight="1">
      <c r="A351" s="174"/>
      <c r="B351" s="107"/>
      <c r="C351" s="109"/>
      <c r="D351" s="74"/>
      <c r="E351" s="343" t="s">
        <v>782</v>
      </c>
      <c r="F351" s="166">
        <v>1000000</v>
      </c>
    </row>
    <row r="352" spans="1:6" ht="24.95" customHeight="1">
      <c r="A352" s="174"/>
      <c r="B352" s="107"/>
      <c r="C352" s="109"/>
      <c r="D352" s="74"/>
      <c r="E352" s="343" t="s">
        <v>783</v>
      </c>
      <c r="F352" s="166">
        <v>3000000</v>
      </c>
    </row>
    <row r="353" spans="1:6" ht="24.95" customHeight="1">
      <c r="A353" s="174"/>
      <c r="B353" s="107"/>
      <c r="C353" s="109"/>
      <c r="D353" s="74">
        <v>135810574</v>
      </c>
      <c r="E353" s="140" t="s">
        <v>1101</v>
      </c>
      <c r="F353" s="166"/>
    </row>
    <row r="354" spans="1:6" s="2" customFormat="1" ht="24.95" customHeight="1">
      <c r="A354" s="180"/>
      <c r="B354" s="81"/>
      <c r="C354" s="71"/>
      <c r="D354" s="74">
        <v>23378736600</v>
      </c>
      <c r="E354" s="140" t="s">
        <v>1102</v>
      </c>
      <c r="F354" s="167"/>
    </row>
    <row r="355" spans="1:6" s="2" customFormat="1" ht="24.95" customHeight="1">
      <c r="A355" s="180"/>
      <c r="B355" s="81"/>
      <c r="C355" s="71"/>
      <c r="D355" s="74">
        <v>14756955780</v>
      </c>
      <c r="E355" s="140" t="s">
        <v>1103</v>
      </c>
      <c r="F355" s="167"/>
    </row>
    <row r="356" spans="1:6" s="2" customFormat="1" ht="24.95" customHeight="1">
      <c r="A356" s="180"/>
      <c r="B356" s="81"/>
      <c r="C356" s="71"/>
      <c r="D356" s="74">
        <v>932453310</v>
      </c>
      <c r="E356" s="140" t="s">
        <v>1104</v>
      </c>
      <c r="F356" s="167"/>
    </row>
    <row r="357" spans="1:6" s="2" customFormat="1" ht="24.95" customHeight="1">
      <c r="A357" s="180"/>
      <c r="B357" s="81"/>
      <c r="C357" s="71"/>
      <c r="D357" s="135">
        <v>1217467840</v>
      </c>
      <c r="E357" s="72" t="s">
        <v>1105</v>
      </c>
      <c r="F357" s="167"/>
    </row>
    <row r="358" spans="1:6" s="2" customFormat="1" ht="24.95" customHeight="1">
      <c r="A358" s="180"/>
      <c r="B358" s="293"/>
      <c r="C358" s="71"/>
      <c r="D358" s="74"/>
      <c r="E358" s="41" t="s">
        <v>269</v>
      </c>
      <c r="F358" s="47">
        <v>27000000</v>
      </c>
    </row>
    <row r="359" spans="1:6" s="2" customFormat="1" ht="24.95" customHeight="1">
      <c r="A359" s="180"/>
      <c r="B359" s="293"/>
      <c r="C359" s="71"/>
      <c r="D359" s="74"/>
      <c r="E359" s="41" t="s">
        <v>866</v>
      </c>
      <c r="F359" s="47"/>
    </row>
    <row r="360" spans="1:6" s="2" customFormat="1" ht="24.95" customHeight="1">
      <c r="A360" s="180"/>
      <c r="B360" s="293"/>
      <c r="C360" s="71"/>
      <c r="D360" s="74"/>
      <c r="E360" s="41" t="s">
        <v>867</v>
      </c>
      <c r="F360" s="47"/>
    </row>
    <row r="361" spans="1:6" s="2" customFormat="1" ht="24.95" customHeight="1">
      <c r="A361" s="180"/>
      <c r="B361" s="293"/>
      <c r="C361" s="71"/>
      <c r="D361" s="74"/>
      <c r="E361" s="41" t="s">
        <v>868</v>
      </c>
      <c r="F361" s="47"/>
    </row>
    <row r="362" spans="1:6" s="2" customFormat="1" ht="24.95" customHeight="1">
      <c r="A362" s="180"/>
      <c r="B362" s="293"/>
      <c r="C362" s="71"/>
      <c r="D362" s="74"/>
      <c r="E362" s="41" t="s">
        <v>869</v>
      </c>
      <c r="F362" s="47"/>
    </row>
    <row r="363" spans="1:6" s="2" customFormat="1" ht="24.95" customHeight="1">
      <c r="A363" s="180"/>
      <c r="B363" s="293"/>
      <c r="C363" s="71"/>
      <c r="D363" s="74"/>
      <c r="E363" s="41" t="s">
        <v>870</v>
      </c>
      <c r="F363" s="47"/>
    </row>
    <row r="364" spans="1:6" s="2" customFormat="1" ht="24.95" customHeight="1">
      <c r="A364" s="180"/>
      <c r="B364" s="293"/>
      <c r="C364" s="71"/>
      <c r="D364" s="74"/>
      <c r="E364" s="41" t="s">
        <v>279</v>
      </c>
      <c r="F364" s="47">
        <v>356000000</v>
      </c>
    </row>
    <row r="365" spans="1:6" s="2" customFormat="1" ht="24.95" customHeight="1">
      <c r="A365" s="180"/>
      <c r="B365" s="293"/>
      <c r="C365" s="71"/>
      <c r="D365" s="74"/>
      <c r="E365" s="41" t="s">
        <v>280</v>
      </c>
      <c r="F365" s="47"/>
    </row>
    <row r="366" spans="1:6" s="2" customFormat="1" ht="24.95" customHeight="1">
      <c r="A366" s="180"/>
      <c r="B366" s="293"/>
      <c r="C366" s="71"/>
      <c r="D366" s="74"/>
      <c r="E366" s="41" t="s">
        <v>871</v>
      </c>
      <c r="F366" s="47"/>
    </row>
    <row r="367" spans="1:6" s="2" customFormat="1" ht="24.95" customHeight="1">
      <c r="A367" s="180"/>
      <c r="B367" s="293"/>
      <c r="C367" s="71"/>
      <c r="D367" s="74"/>
      <c r="E367" s="41" t="s">
        <v>872</v>
      </c>
      <c r="F367" s="47"/>
    </row>
    <row r="368" spans="1:6" ht="24.95" customHeight="1">
      <c r="A368" s="174"/>
      <c r="B368" s="107"/>
      <c r="C368" s="109"/>
      <c r="D368" s="74"/>
      <c r="E368" s="41" t="s">
        <v>873</v>
      </c>
      <c r="F368" s="47"/>
    </row>
    <row r="369" spans="1:6" ht="24.95" customHeight="1">
      <c r="A369" s="174"/>
      <c r="B369" s="107"/>
      <c r="C369" s="109"/>
      <c r="D369" s="74"/>
      <c r="E369" s="41" t="s">
        <v>281</v>
      </c>
      <c r="F369" s="47"/>
    </row>
    <row r="370" spans="1:6" ht="24.95" customHeight="1">
      <c r="A370" s="174"/>
      <c r="B370" s="107"/>
      <c r="C370" s="109"/>
      <c r="D370" s="74"/>
      <c r="E370" s="41" t="s">
        <v>874</v>
      </c>
      <c r="F370" s="47"/>
    </row>
    <row r="371" spans="1:6" ht="24.95" customHeight="1">
      <c r="A371" s="174"/>
      <c r="B371" s="107"/>
      <c r="C371" s="109"/>
      <c r="D371" s="74"/>
      <c r="E371" s="41" t="s">
        <v>875</v>
      </c>
      <c r="F371" s="47"/>
    </row>
    <row r="372" spans="1:6" ht="24.95" customHeight="1">
      <c r="A372" s="174"/>
      <c r="B372" s="107"/>
      <c r="C372" s="109"/>
      <c r="D372" s="74"/>
      <c r="E372" s="41" t="s">
        <v>876</v>
      </c>
      <c r="F372" s="47"/>
    </row>
    <row r="373" spans="1:6" ht="24.95" customHeight="1">
      <c r="A373" s="174"/>
      <c r="B373" s="107"/>
      <c r="C373" s="109"/>
      <c r="D373" s="74"/>
      <c r="E373" s="41" t="s">
        <v>271</v>
      </c>
      <c r="F373" s="47">
        <v>834467840</v>
      </c>
    </row>
    <row r="374" spans="1:6" ht="24.95" customHeight="1">
      <c r="A374" s="174"/>
      <c r="B374" s="107"/>
      <c r="C374" s="109"/>
      <c r="D374" s="74"/>
      <c r="E374" s="41" t="s">
        <v>877</v>
      </c>
      <c r="F374" s="47"/>
    </row>
    <row r="375" spans="1:6" ht="24.95" customHeight="1">
      <c r="A375" s="174"/>
      <c r="B375" s="107"/>
      <c r="C375" s="109"/>
      <c r="D375" s="74"/>
      <c r="E375" s="41" t="s">
        <v>878</v>
      </c>
      <c r="F375" s="47"/>
    </row>
    <row r="376" spans="1:6" ht="24.95" customHeight="1">
      <c r="A376" s="174"/>
      <c r="B376" s="107"/>
      <c r="C376" s="109"/>
      <c r="D376" s="74"/>
      <c r="E376" s="41" t="s">
        <v>879</v>
      </c>
      <c r="F376" s="47"/>
    </row>
    <row r="377" spans="1:6" ht="24.95" customHeight="1">
      <c r="A377" s="182"/>
      <c r="B377" s="292" t="s">
        <v>107</v>
      </c>
      <c r="C377" s="114"/>
      <c r="D377" s="101">
        <f>D378+D491+D498+D524+D552</f>
        <v>13666108075</v>
      </c>
      <c r="E377" s="148"/>
      <c r="F377" s="177"/>
    </row>
    <row r="378" spans="1:6" ht="24.95" customHeight="1">
      <c r="A378" s="174"/>
      <c r="B378" s="107"/>
      <c r="C378" s="59" t="s">
        <v>94</v>
      </c>
      <c r="D378" s="92">
        <f>SUM(D379:D490)</f>
        <v>3617054000</v>
      </c>
      <c r="E378" s="59"/>
      <c r="F378" s="176"/>
    </row>
    <row r="379" spans="1:6" ht="24.95" customHeight="1">
      <c r="A379" s="174"/>
      <c r="B379" s="107"/>
      <c r="C379" s="109"/>
      <c r="D379" s="135">
        <v>144920000</v>
      </c>
      <c r="E379" s="64" t="s">
        <v>282</v>
      </c>
      <c r="F379" s="30"/>
    </row>
    <row r="380" spans="1:6" ht="24.95" customHeight="1">
      <c r="A380" s="174"/>
      <c r="B380" s="107"/>
      <c r="C380" s="109"/>
      <c r="D380" s="74"/>
      <c r="E380" s="84" t="s">
        <v>187</v>
      </c>
      <c r="F380" s="30">
        <v>144920000</v>
      </c>
    </row>
    <row r="381" spans="1:6" ht="24.95" customHeight="1">
      <c r="A381" s="174"/>
      <c r="B381" s="107"/>
      <c r="C381" s="109"/>
      <c r="D381" s="135">
        <v>2404000000</v>
      </c>
      <c r="E381" s="72" t="s">
        <v>283</v>
      </c>
      <c r="F381" s="30"/>
    </row>
    <row r="382" spans="1:6" ht="24.95" customHeight="1">
      <c r="A382" s="174"/>
      <c r="B382" s="107"/>
      <c r="C382" s="109"/>
      <c r="D382" s="74"/>
      <c r="E382" s="338" t="s">
        <v>950</v>
      </c>
      <c r="F382" s="25">
        <v>110000000</v>
      </c>
    </row>
    <row r="383" spans="1:6" ht="24.95" customHeight="1">
      <c r="A383" s="174"/>
      <c r="B383" s="107"/>
      <c r="C383" s="109"/>
      <c r="D383" s="74"/>
      <c r="E383" s="338" t="s">
        <v>951</v>
      </c>
      <c r="F383" s="25">
        <v>122000000</v>
      </c>
    </row>
    <row r="384" spans="1:6" ht="24.95" customHeight="1">
      <c r="A384" s="174"/>
      <c r="B384" s="107"/>
      <c r="C384" s="109"/>
      <c r="D384" s="74"/>
      <c r="E384" s="338" t="s">
        <v>952</v>
      </c>
      <c r="F384" s="25">
        <v>140000000</v>
      </c>
    </row>
    <row r="385" spans="1:6" ht="24.95" customHeight="1">
      <c r="A385" s="174"/>
      <c r="B385" s="107"/>
      <c r="C385" s="109"/>
      <c r="D385" s="74"/>
      <c r="E385" s="338" t="s">
        <v>953</v>
      </c>
      <c r="F385" s="25">
        <v>1100000000</v>
      </c>
    </row>
    <row r="386" spans="1:6" ht="24.95" customHeight="1">
      <c r="A386" s="174"/>
      <c r="B386" s="107"/>
      <c r="C386" s="109"/>
      <c r="D386" s="74"/>
      <c r="E386" s="338" t="s">
        <v>954</v>
      </c>
      <c r="F386" s="25">
        <v>180000000</v>
      </c>
    </row>
    <row r="387" spans="1:6" ht="24.95" customHeight="1">
      <c r="A387" s="174"/>
      <c r="B387" s="107"/>
      <c r="C387" s="109"/>
      <c r="D387" s="74"/>
      <c r="E387" s="338" t="s">
        <v>955</v>
      </c>
      <c r="F387" s="25">
        <v>250000000</v>
      </c>
    </row>
    <row r="388" spans="1:6" ht="24.95" customHeight="1">
      <c r="A388" s="174"/>
      <c r="B388" s="107"/>
      <c r="C388" s="109"/>
      <c r="D388" s="74"/>
      <c r="E388" s="338" t="s">
        <v>956</v>
      </c>
      <c r="F388" s="25">
        <v>160000000</v>
      </c>
    </row>
    <row r="389" spans="1:6" ht="24.95" customHeight="1">
      <c r="A389" s="174"/>
      <c r="B389" s="107"/>
      <c r="C389" s="109"/>
      <c r="D389" s="74"/>
      <c r="E389" s="338" t="s">
        <v>957</v>
      </c>
      <c r="F389" s="25">
        <v>60000000</v>
      </c>
    </row>
    <row r="390" spans="1:6" ht="24.95" customHeight="1">
      <c r="A390" s="174"/>
      <c r="B390" s="107"/>
      <c r="C390" s="109"/>
      <c r="D390" s="74"/>
      <c r="E390" s="338" t="s">
        <v>958</v>
      </c>
      <c r="F390" s="25">
        <v>60000000</v>
      </c>
    </row>
    <row r="391" spans="1:6" ht="24.95" customHeight="1">
      <c r="A391" s="174"/>
      <c r="B391" s="107"/>
      <c r="C391" s="109"/>
      <c r="D391" s="74"/>
      <c r="E391" s="338" t="s">
        <v>959</v>
      </c>
      <c r="F391" s="25">
        <v>30000000</v>
      </c>
    </row>
    <row r="392" spans="1:6" ht="24.95" customHeight="1">
      <c r="A392" s="174"/>
      <c r="B392" s="107"/>
      <c r="C392" s="109"/>
      <c r="D392" s="74"/>
      <c r="E392" s="338" t="s">
        <v>960</v>
      </c>
      <c r="F392" s="25">
        <v>60000000</v>
      </c>
    </row>
    <row r="393" spans="1:6" ht="24.95" customHeight="1">
      <c r="A393" s="174"/>
      <c r="B393" s="107"/>
      <c r="C393" s="109"/>
      <c r="D393" s="74"/>
      <c r="E393" s="338" t="s">
        <v>961</v>
      </c>
      <c r="F393" s="25">
        <v>80000000</v>
      </c>
    </row>
    <row r="394" spans="1:6" ht="24.95" customHeight="1">
      <c r="A394" s="174"/>
      <c r="B394" s="107"/>
      <c r="C394" s="109"/>
      <c r="D394" s="74"/>
      <c r="E394" s="338" t="s">
        <v>962</v>
      </c>
      <c r="F394" s="25">
        <v>52000000</v>
      </c>
    </row>
    <row r="395" spans="1:6" ht="24.95" customHeight="1">
      <c r="A395" s="174"/>
      <c r="B395" s="107"/>
      <c r="C395" s="109"/>
      <c r="D395" s="135">
        <v>25600000</v>
      </c>
      <c r="E395" s="72" t="s">
        <v>284</v>
      </c>
      <c r="F395" s="25"/>
    </row>
    <row r="396" spans="1:6" ht="24.95" customHeight="1">
      <c r="A396" s="174"/>
      <c r="B396" s="107"/>
      <c r="C396" s="109"/>
      <c r="D396" s="135"/>
      <c r="E396" s="109" t="s">
        <v>1125</v>
      </c>
      <c r="F396" s="25">
        <v>21600000</v>
      </c>
    </row>
    <row r="397" spans="1:6" ht="24.95" customHeight="1">
      <c r="A397" s="174"/>
      <c r="B397" s="107"/>
      <c r="C397" s="109"/>
      <c r="D397" s="135"/>
      <c r="E397" s="109" t="s">
        <v>1126</v>
      </c>
      <c r="F397" s="29">
        <v>4000000</v>
      </c>
    </row>
    <row r="398" spans="1:6" ht="24.95" customHeight="1">
      <c r="A398" s="174"/>
      <c r="B398" s="107"/>
      <c r="C398" s="109"/>
      <c r="D398" s="135">
        <v>22800000</v>
      </c>
      <c r="E398" s="294" t="s">
        <v>719</v>
      </c>
      <c r="F398" s="172"/>
    </row>
    <row r="399" spans="1:6" ht="24.95" customHeight="1">
      <c r="A399" s="174"/>
      <c r="B399" s="107"/>
      <c r="C399" s="109"/>
      <c r="D399" s="74"/>
      <c r="E399" s="134" t="s">
        <v>285</v>
      </c>
      <c r="F399" s="167">
        <v>22800000</v>
      </c>
    </row>
    <row r="400" spans="1:6" ht="24.95" customHeight="1">
      <c r="A400" s="174"/>
      <c r="B400" s="107"/>
      <c r="C400" s="109"/>
      <c r="D400" s="135">
        <v>786049000</v>
      </c>
      <c r="E400" s="150" t="s">
        <v>720</v>
      </c>
      <c r="F400" s="167"/>
    </row>
    <row r="401" spans="1:6" ht="24.95" customHeight="1">
      <c r="A401" s="174"/>
      <c r="B401" s="107"/>
      <c r="C401" s="109"/>
      <c r="D401" s="74"/>
      <c r="E401" s="149" t="s">
        <v>286</v>
      </c>
      <c r="F401" s="167">
        <v>26930000</v>
      </c>
    </row>
    <row r="402" spans="1:6" ht="24.95" customHeight="1">
      <c r="A402" s="174"/>
      <c r="B402" s="107"/>
      <c r="C402" s="109"/>
      <c r="D402" s="74"/>
      <c r="E402" s="149" t="s">
        <v>549</v>
      </c>
      <c r="F402" s="167"/>
    </row>
    <row r="403" spans="1:6" ht="24.95" customHeight="1">
      <c r="A403" s="174"/>
      <c r="B403" s="107"/>
      <c r="C403" s="109"/>
      <c r="D403" s="74"/>
      <c r="E403" s="149" t="s">
        <v>550</v>
      </c>
      <c r="F403" s="167"/>
    </row>
    <row r="404" spans="1:6" ht="24.95" customHeight="1">
      <c r="A404" s="174"/>
      <c r="B404" s="107"/>
      <c r="C404" s="109"/>
      <c r="D404" s="74"/>
      <c r="E404" s="149" t="s">
        <v>287</v>
      </c>
      <c r="F404" s="167">
        <v>344369000</v>
      </c>
    </row>
    <row r="405" spans="1:6" ht="24.95" customHeight="1">
      <c r="A405" s="174"/>
      <c r="B405" s="107"/>
      <c r="C405" s="109"/>
      <c r="D405" s="74"/>
      <c r="E405" s="149" t="s">
        <v>288</v>
      </c>
      <c r="F405" s="167"/>
    </row>
    <row r="406" spans="1:6" ht="24.95" customHeight="1">
      <c r="A406" s="174"/>
      <c r="B406" s="107"/>
      <c r="C406" s="109"/>
      <c r="D406" s="74"/>
      <c r="E406" s="149" t="s">
        <v>551</v>
      </c>
      <c r="F406" s="167"/>
    </row>
    <row r="407" spans="1:6" ht="24.95" customHeight="1">
      <c r="A407" s="174"/>
      <c r="B407" s="107"/>
      <c r="C407" s="109"/>
      <c r="D407" s="74"/>
      <c r="E407" s="149" t="s">
        <v>552</v>
      </c>
      <c r="F407" s="167"/>
    </row>
    <row r="408" spans="1:6" ht="24.95" customHeight="1">
      <c r="A408" s="174"/>
      <c r="B408" s="107"/>
      <c r="C408" s="109"/>
      <c r="D408" s="74"/>
      <c r="E408" s="149" t="s">
        <v>553</v>
      </c>
      <c r="F408" s="167"/>
    </row>
    <row r="409" spans="1:6" ht="24.95" customHeight="1">
      <c r="A409" s="174"/>
      <c r="B409" s="107"/>
      <c r="C409" s="109"/>
      <c r="D409" s="74"/>
      <c r="E409" s="149" t="s">
        <v>554</v>
      </c>
      <c r="F409" s="167"/>
    </row>
    <row r="410" spans="1:6" ht="24.95" customHeight="1">
      <c r="A410" s="174"/>
      <c r="B410" s="107"/>
      <c r="C410" s="109"/>
      <c r="D410" s="74"/>
      <c r="E410" s="149" t="s">
        <v>289</v>
      </c>
      <c r="F410" s="167"/>
    </row>
    <row r="411" spans="1:6" ht="24.95" customHeight="1">
      <c r="A411" s="174"/>
      <c r="B411" s="107"/>
      <c r="C411" s="109"/>
      <c r="D411" s="74"/>
      <c r="E411" s="149" t="s">
        <v>555</v>
      </c>
      <c r="F411" s="167"/>
    </row>
    <row r="412" spans="1:6" ht="24.95" customHeight="1">
      <c r="A412" s="174"/>
      <c r="B412" s="107"/>
      <c r="C412" s="109"/>
      <c r="D412" s="74"/>
      <c r="E412" s="149" t="s">
        <v>556</v>
      </c>
      <c r="F412" s="167"/>
    </row>
    <row r="413" spans="1:6" ht="24.95" customHeight="1">
      <c r="A413" s="174"/>
      <c r="B413" s="107"/>
      <c r="C413" s="109"/>
      <c r="D413" s="74"/>
      <c r="E413" s="149" t="s">
        <v>557</v>
      </c>
      <c r="F413" s="167"/>
    </row>
    <row r="414" spans="1:6" ht="24.95" customHeight="1">
      <c r="A414" s="174"/>
      <c r="B414" s="107"/>
      <c r="C414" s="109"/>
      <c r="D414" s="74"/>
      <c r="E414" s="149" t="s">
        <v>290</v>
      </c>
      <c r="F414" s="167"/>
    </row>
    <row r="415" spans="1:6" ht="24.95" customHeight="1">
      <c r="A415" s="174"/>
      <c r="B415" s="107"/>
      <c r="C415" s="109"/>
      <c r="D415" s="74"/>
      <c r="E415" s="149" t="s">
        <v>558</v>
      </c>
      <c r="F415" s="167"/>
    </row>
    <row r="416" spans="1:6" ht="24.95" customHeight="1">
      <c r="A416" s="174"/>
      <c r="B416" s="107"/>
      <c r="C416" s="109"/>
      <c r="D416" s="74"/>
      <c r="E416" s="149" t="s">
        <v>559</v>
      </c>
      <c r="F416" s="167"/>
    </row>
    <row r="417" spans="1:6" ht="24.95" customHeight="1">
      <c r="A417" s="174"/>
      <c r="B417" s="107"/>
      <c r="C417" s="109"/>
      <c r="D417" s="74"/>
      <c r="E417" s="149" t="s">
        <v>560</v>
      </c>
      <c r="F417" s="167"/>
    </row>
    <row r="418" spans="1:6" ht="24.95" customHeight="1">
      <c r="A418" s="174"/>
      <c r="B418" s="107"/>
      <c r="C418" s="109"/>
      <c r="D418" s="74"/>
      <c r="E418" s="149" t="s">
        <v>291</v>
      </c>
      <c r="F418" s="167"/>
    </row>
    <row r="419" spans="1:6" ht="24.95" customHeight="1">
      <c r="A419" s="174"/>
      <c r="B419" s="107"/>
      <c r="C419" s="109"/>
      <c r="D419" s="74"/>
      <c r="E419" s="149" t="s">
        <v>561</v>
      </c>
      <c r="F419" s="167"/>
    </row>
    <row r="420" spans="1:6" ht="24.95" customHeight="1">
      <c r="A420" s="174"/>
      <c r="B420" s="107"/>
      <c r="C420" s="109"/>
      <c r="D420" s="74"/>
      <c r="E420" s="149" t="s">
        <v>562</v>
      </c>
      <c r="F420" s="167"/>
    </row>
    <row r="421" spans="1:6" ht="24.95" customHeight="1">
      <c r="A421" s="174"/>
      <c r="B421" s="107"/>
      <c r="C421" s="109"/>
      <c r="D421" s="74"/>
      <c r="E421" s="149" t="s">
        <v>563</v>
      </c>
      <c r="F421" s="167"/>
    </row>
    <row r="422" spans="1:6" ht="24.95" customHeight="1">
      <c r="A422" s="174"/>
      <c r="B422" s="107"/>
      <c r="C422" s="109"/>
      <c r="D422" s="74"/>
      <c r="E422" s="149" t="s">
        <v>564</v>
      </c>
      <c r="F422" s="167"/>
    </row>
    <row r="423" spans="1:6" ht="24.95" customHeight="1">
      <c r="A423" s="174"/>
      <c r="B423" s="107"/>
      <c r="C423" s="109"/>
      <c r="D423" s="74"/>
      <c r="E423" s="149" t="s">
        <v>565</v>
      </c>
      <c r="F423" s="167"/>
    </row>
    <row r="424" spans="1:6" ht="24.95" customHeight="1">
      <c r="A424" s="174"/>
      <c r="B424" s="107"/>
      <c r="C424" s="109"/>
      <c r="D424" s="74"/>
      <c r="E424" s="149" t="s">
        <v>566</v>
      </c>
      <c r="F424" s="167"/>
    </row>
    <row r="425" spans="1:6" ht="24.95" customHeight="1">
      <c r="A425" s="174"/>
      <c r="B425" s="107"/>
      <c r="C425" s="109"/>
      <c r="D425" s="74"/>
      <c r="E425" s="149" t="s">
        <v>567</v>
      </c>
      <c r="F425" s="167"/>
    </row>
    <row r="426" spans="1:6" ht="24.95" customHeight="1">
      <c r="A426" s="174"/>
      <c r="B426" s="107"/>
      <c r="C426" s="109"/>
      <c r="D426" s="74"/>
      <c r="E426" s="149" t="s">
        <v>568</v>
      </c>
      <c r="F426" s="167"/>
    </row>
    <row r="427" spans="1:6" ht="24.95" customHeight="1">
      <c r="A427" s="174"/>
      <c r="B427" s="107"/>
      <c r="C427" s="109"/>
      <c r="D427" s="74"/>
      <c r="E427" s="149" t="s">
        <v>569</v>
      </c>
      <c r="F427" s="167"/>
    </row>
    <row r="428" spans="1:6" ht="24.95" customHeight="1">
      <c r="A428" s="174"/>
      <c r="B428" s="107"/>
      <c r="C428" s="109"/>
      <c r="D428" s="74"/>
      <c r="E428" s="149" t="s">
        <v>570</v>
      </c>
      <c r="F428" s="167"/>
    </row>
    <row r="429" spans="1:6" ht="24.95" customHeight="1">
      <c r="A429" s="174"/>
      <c r="B429" s="107"/>
      <c r="C429" s="109"/>
      <c r="D429" s="74"/>
      <c r="E429" s="149" t="s">
        <v>571</v>
      </c>
      <c r="F429" s="167"/>
    </row>
    <row r="430" spans="1:6" ht="24.95" customHeight="1">
      <c r="A430" s="174"/>
      <c r="B430" s="107"/>
      <c r="C430" s="109"/>
      <c r="D430" s="74"/>
      <c r="E430" s="149" t="s">
        <v>572</v>
      </c>
      <c r="F430" s="167"/>
    </row>
    <row r="431" spans="1:6" ht="24.95" customHeight="1">
      <c r="A431" s="174"/>
      <c r="B431" s="107"/>
      <c r="C431" s="109"/>
      <c r="D431" s="74"/>
      <c r="E431" s="149" t="s">
        <v>573</v>
      </c>
      <c r="F431" s="167"/>
    </row>
    <row r="432" spans="1:6" ht="24.95" customHeight="1">
      <c r="A432" s="174"/>
      <c r="B432" s="107"/>
      <c r="C432" s="109"/>
      <c r="D432" s="74"/>
      <c r="E432" s="149" t="s">
        <v>574</v>
      </c>
      <c r="F432" s="167"/>
    </row>
    <row r="433" spans="1:6" ht="24.95" customHeight="1">
      <c r="A433" s="174"/>
      <c r="B433" s="107"/>
      <c r="C433" s="109"/>
      <c r="D433" s="74"/>
      <c r="E433" s="149" t="s">
        <v>575</v>
      </c>
      <c r="F433" s="167"/>
    </row>
    <row r="434" spans="1:6" ht="24.95" customHeight="1">
      <c r="A434" s="174"/>
      <c r="B434" s="107"/>
      <c r="C434" s="109"/>
      <c r="D434" s="74"/>
      <c r="E434" s="149" t="s">
        <v>576</v>
      </c>
      <c r="F434" s="167"/>
    </row>
    <row r="435" spans="1:6" ht="24.95" customHeight="1">
      <c r="A435" s="174"/>
      <c r="B435" s="107"/>
      <c r="C435" s="109"/>
      <c r="D435" s="74"/>
      <c r="E435" s="149" t="s">
        <v>577</v>
      </c>
      <c r="F435" s="167"/>
    </row>
    <row r="436" spans="1:6" ht="24.95" customHeight="1">
      <c r="A436" s="174"/>
      <c r="B436" s="107"/>
      <c r="C436" s="109"/>
      <c r="D436" s="74"/>
      <c r="E436" s="149" t="s">
        <v>578</v>
      </c>
      <c r="F436" s="167"/>
    </row>
    <row r="437" spans="1:6" ht="24.95" customHeight="1">
      <c r="A437" s="174"/>
      <c r="B437" s="107"/>
      <c r="C437" s="109"/>
      <c r="D437" s="74"/>
      <c r="E437" s="149" t="s">
        <v>579</v>
      </c>
      <c r="F437" s="167"/>
    </row>
    <row r="438" spans="1:6" ht="24.95" customHeight="1">
      <c r="A438" s="174"/>
      <c r="B438" s="107"/>
      <c r="C438" s="109"/>
      <c r="D438" s="74"/>
      <c r="E438" s="149" t="s">
        <v>580</v>
      </c>
      <c r="F438" s="167"/>
    </row>
    <row r="439" spans="1:6" ht="24.95" customHeight="1">
      <c r="A439" s="174"/>
      <c r="B439" s="107"/>
      <c r="C439" s="109"/>
      <c r="D439" s="74"/>
      <c r="E439" s="149" t="s">
        <v>583</v>
      </c>
      <c r="F439" s="167"/>
    </row>
    <row r="440" spans="1:6" ht="24.95" customHeight="1">
      <c r="A440" s="174"/>
      <c r="B440" s="107"/>
      <c r="C440" s="109"/>
      <c r="D440" s="74"/>
      <c r="E440" s="149" t="s">
        <v>581</v>
      </c>
      <c r="F440" s="167"/>
    </row>
    <row r="441" spans="1:6" ht="24.95" customHeight="1">
      <c r="A441" s="174"/>
      <c r="B441" s="107"/>
      <c r="C441" s="109"/>
      <c r="D441" s="74"/>
      <c r="E441" s="149" t="s">
        <v>584</v>
      </c>
      <c r="F441" s="167"/>
    </row>
    <row r="442" spans="1:6" ht="24.95" customHeight="1">
      <c r="A442" s="174"/>
      <c r="B442" s="107"/>
      <c r="C442" s="109"/>
      <c r="D442" s="74"/>
      <c r="E442" s="149" t="s">
        <v>582</v>
      </c>
      <c r="F442" s="167"/>
    </row>
    <row r="443" spans="1:6" ht="24.95" customHeight="1">
      <c r="A443" s="174"/>
      <c r="B443" s="107"/>
      <c r="C443" s="109"/>
      <c r="D443" s="74"/>
      <c r="E443" s="149" t="s">
        <v>585</v>
      </c>
      <c r="F443" s="167"/>
    </row>
    <row r="444" spans="1:6" ht="24.95" customHeight="1">
      <c r="A444" s="174"/>
      <c r="B444" s="107"/>
      <c r="C444" s="109"/>
      <c r="D444" s="74"/>
      <c r="E444" s="149" t="s">
        <v>292</v>
      </c>
      <c r="F444" s="167">
        <v>379600000</v>
      </c>
    </row>
    <row r="445" spans="1:6" ht="24.95" customHeight="1">
      <c r="A445" s="174"/>
      <c r="B445" s="107"/>
      <c r="C445" s="109"/>
      <c r="D445" s="74"/>
      <c r="E445" s="149" t="s">
        <v>293</v>
      </c>
      <c r="F445" s="167"/>
    </row>
    <row r="446" spans="1:6" ht="24.95" customHeight="1">
      <c r="A446" s="174"/>
      <c r="B446" s="107"/>
      <c r="C446" s="109"/>
      <c r="D446" s="74"/>
      <c r="E446" s="149" t="s">
        <v>586</v>
      </c>
      <c r="F446" s="167"/>
    </row>
    <row r="447" spans="1:6" ht="24.95" customHeight="1">
      <c r="A447" s="174"/>
      <c r="B447" s="107"/>
      <c r="C447" s="109"/>
      <c r="D447" s="74"/>
      <c r="E447" s="149" t="s">
        <v>294</v>
      </c>
      <c r="F447" s="167"/>
    </row>
    <row r="448" spans="1:6" ht="24.95" customHeight="1">
      <c r="A448" s="174"/>
      <c r="B448" s="107"/>
      <c r="C448" s="109"/>
      <c r="D448" s="74"/>
      <c r="E448" s="149" t="s">
        <v>587</v>
      </c>
      <c r="F448" s="167"/>
    </row>
    <row r="449" spans="1:6" ht="24.95" customHeight="1">
      <c r="A449" s="174"/>
      <c r="B449" s="107"/>
      <c r="C449" s="109"/>
      <c r="D449" s="74"/>
      <c r="E449" s="149" t="s">
        <v>295</v>
      </c>
      <c r="F449" s="167"/>
    </row>
    <row r="450" spans="1:6" ht="24.95" customHeight="1">
      <c r="A450" s="174"/>
      <c r="B450" s="107"/>
      <c r="C450" s="109"/>
      <c r="D450" s="74"/>
      <c r="E450" s="149" t="s">
        <v>588</v>
      </c>
      <c r="F450" s="167"/>
    </row>
    <row r="451" spans="1:6" ht="24.95" customHeight="1">
      <c r="A451" s="174"/>
      <c r="B451" s="107"/>
      <c r="C451" s="109"/>
      <c r="D451" s="74"/>
      <c r="E451" s="149" t="s">
        <v>296</v>
      </c>
      <c r="F451" s="167"/>
    </row>
    <row r="452" spans="1:6" ht="24.95" customHeight="1">
      <c r="A452" s="174"/>
      <c r="B452" s="107"/>
      <c r="C452" s="109"/>
      <c r="D452" s="74"/>
      <c r="E452" s="149" t="s">
        <v>587</v>
      </c>
      <c r="F452" s="167"/>
    </row>
    <row r="453" spans="1:6" ht="24.95" customHeight="1">
      <c r="A453" s="174"/>
      <c r="B453" s="107"/>
      <c r="C453" s="109"/>
      <c r="D453" s="74"/>
      <c r="E453" s="149" t="s">
        <v>297</v>
      </c>
      <c r="F453" s="167"/>
    </row>
    <row r="454" spans="1:6" ht="24.95" customHeight="1">
      <c r="A454" s="174"/>
      <c r="B454" s="107"/>
      <c r="C454" s="109"/>
      <c r="D454" s="74"/>
      <c r="E454" s="149" t="s">
        <v>587</v>
      </c>
      <c r="F454" s="167"/>
    </row>
    <row r="455" spans="1:6" ht="24.95" customHeight="1">
      <c r="A455" s="174"/>
      <c r="B455" s="107"/>
      <c r="C455" s="109"/>
      <c r="D455" s="74"/>
      <c r="E455" s="149" t="s">
        <v>298</v>
      </c>
      <c r="F455" s="167"/>
    </row>
    <row r="456" spans="1:6" ht="24.95" customHeight="1">
      <c r="A456" s="174"/>
      <c r="B456" s="107"/>
      <c r="C456" s="109"/>
      <c r="D456" s="74"/>
      <c r="E456" s="149" t="s">
        <v>589</v>
      </c>
      <c r="F456" s="167"/>
    </row>
    <row r="457" spans="1:6" ht="24.95" customHeight="1">
      <c r="A457" s="174"/>
      <c r="B457" s="107"/>
      <c r="C457" s="109"/>
      <c r="D457" s="74"/>
      <c r="E457" s="149" t="s">
        <v>590</v>
      </c>
      <c r="F457" s="167"/>
    </row>
    <row r="458" spans="1:6" ht="24.95" customHeight="1">
      <c r="A458" s="174"/>
      <c r="B458" s="107"/>
      <c r="C458" s="109"/>
      <c r="D458" s="74"/>
      <c r="E458" s="149" t="s">
        <v>591</v>
      </c>
      <c r="F458" s="167"/>
    </row>
    <row r="459" spans="1:6" ht="24.95" customHeight="1">
      <c r="A459" s="174"/>
      <c r="B459" s="107"/>
      <c r="C459" s="109"/>
      <c r="D459" s="74"/>
      <c r="E459" s="149" t="s">
        <v>592</v>
      </c>
      <c r="F459" s="167"/>
    </row>
    <row r="460" spans="1:6" ht="24.95" customHeight="1">
      <c r="A460" s="174"/>
      <c r="B460" s="107"/>
      <c r="C460" s="109"/>
      <c r="D460" s="74"/>
      <c r="E460" s="149" t="s">
        <v>299</v>
      </c>
      <c r="F460" s="167">
        <v>35150000</v>
      </c>
    </row>
    <row r="461" spans="1:6" ht="24.95" customHeight="1">
      <c r="A461" s="174"/>
      <c r="B461" s="107"/>
      <c r="C461" s="109"/>
      <c r="D461" s="74"/>
      <c r="E461" s="149" t="s">
        <v>593</v>
      </c>
      <c r="F461" s="167"/>
    </row>
    <row r="462" spans="1:6" ht="24.95" customHeight="1">
      <c r="A462" s="174"/>
      <c r="B462" s="107"/>
      <c r="C462" s="109"/>
      <c r="D462" s="74"/>
      <c r="E462" s="149" t="s">
        <v>594</v>
      </c>
      <c r="F462" s="167"/>
    </row>
    <row r="463" spans="1:6" ht="24.95" customHeight="1">
      <c r="A463" s="174"/>
      <c r="B463" s="107"/>
      <c r="C463" s="109"/>
      <c r="D463" s="74"/>
      <c r="E463" s="149" t="s">
        <v>595</v>
      </c>
      <c r="F463" s="167"/>
    </row>
    <row r="464" spans="1:6" ht="24.95" customHeight="1">
      <c r="A464" s="199"/>
      <c r="B464" s="107"/>
      <c r="C464" s="109"/>
      <c r="D464" s="74">
        <v>7000000</v>
      </c>
      <c r="E464" s="72" t="s">
        <v>744</v>
      </c>
      <c r="F464" s="167"/>
    </row>
    <row r="465" spans="1:6" ht="24.95" customHeight="1">
      <c r="A465" s="199"/>
      <c r="B465" s="107"/>
      <c r="C465" s="109"/>
      <c r="D465" s="74"/>
      <c r="E465" s="41" t="s">
        <v>708</v>
      </c>
      <c r="F465" s="167">
        <v>7000000</v>
      </c>
    </row>
    <row r="466" spans="1:6" s="7" customFormat="1" ht="24.95" customHeight="1">
      <c r="A466" s="302"/>
      <c r="B466" s="75"/>
      <c r="C466" s="72"/>
      <c r="D466" s="135">
        <v>226685000</v>
      </c>
      <c r="E466" s="72" t="s">
        <v>700</v>
      </c>
      <c r="F466" s="172"/>
    </row>
    <row r="467" spans="1:6" ht="24.95" customHeight="1">
      <c r="A467" s="174"/>
      <c r="B467" s="107"/>
      <c r="C467" s="109"/>
      <c r="D467" s="135"/>
      <c r="E467" s="41" t="s">
        <v>269</v>
      </c>
      <c r="F467" s="47">
        <v>9000000</v>
      </c>
    </row>
    <row r="468" spans="1:6" ht="24.95" customHeight="1">
      <c r="A468" s="174"/>
      <c r="B468" s="107"/>
      <c r="C468" s="109"/>
      <c r="D468" s="135"/>
      <c r="E468" s="41" t="s">
        <v>880</v>
      </c>
      <c r="F468" s="47"/>
    </row>
    <row r="469" spans="1:6" ht="24.95" customHeight="1">
      <c r="A469" s="174"/>
      <c r="B469" s="107"/>
      <c r="C469" s="109"/>
      <c r="D469" s="135"/>
      <c r="E469" s="41" t="s">
        <v>881</v>
      </c>
      <c r="F469" s="47"/>
    </row>
    <row r="470" spans="1:6" ht="24.95" customHeight="1">
      <c r="A470" s="174"/>
      <c r="B470" s="107"/>
      <c r="C470" s="109"/>
      <c r="D470" s="135"/>
      <c r="E470" s="41" t="s">
        <v>882</v>
      </c>
      <c r="F470" s="47"/>
    </row>
    <row r="471" spans="1:6" ht="24.95" customHeight="1">
      <c r="A471" s="174"/>
      <c r="B471" s="107"/>
      <c r="C471" s="109"/>
      <c r="D471" s="135"/>
      <c r="E471" s="40" t="s">
        <v>300</v>
      </c>
      <c r="F471" s="47">
        <v>133685000</v>
      </c>
    </row>
    <row r="472" spans="1:6" ht="24.95" customHeight="1">
      <c r="A472" s="174"/>
      <c r="B472" s="107"/>
      <c r="C472" s="109"/>
      <c r="D472" s="135"/>
      <c r="E472" s="40" t="s">
        <v>301</v>
      </c>
      <c r="F472" s="47"/>
    </row>
    <row r="473" spans="1:6" ht="24.95" customHeight="1">
      <c r="A473" s="174"/>
      <c r="B473" s="107"/>
      <c r="C473" s="109"/>
      <c r="D473" s="135"/>
      <c r="E473" s="40" t="s">
        <v>883</v>
      </c>
      <c r="F473" s="47"/>
    </row>
    <row r="474" spans="1:6" ht="24.95" customHeight="1">
      <c r="A474" s="174"/>
      <c r="B474" s="107"/>
      <c r="C474" s="109"/>
      <c r="D474" s="135"/>
      <c r="E474" s="40" t="s">
        <v>884</v>
      </c>
      <c r="F474" s="47"/>
    </row>
    <row r="475" spans="1:6" ht="24.95" customHeight="1">
      <c r="A475" s="174"/>
      <c r="B475" s="107"/>
      <c r="C475" s="109"/>
      <c r="D475" s="135"/>
      <c r="E475" s="40" t="s">
        <v>302</v>
      </c>
      <c r="F475" s="47"/>
    </row>
    <row r="476" spans="1:6" ht="24.95" customHeight="1">
      <c r="A476" s="174"/>
      <c r="B476" s="107"/>
      <c r="C476" s="109"/>
      <c r="D476" s="135"/>
      <c r="E476" s="40" t="s">
        <v>303</v>
      </c>
      <c r="F476" s="47"/>
    </row>
    <row r="477" spans="1:6" ht="24.95" customHeight="1">
      <c r="A477" s="174"/>
      <c r="B477" s="107"/>
      <c r="C477" s="109"/>
      <c r="D477" s="135"/>
      <c r="E477" s="40" t="s">
        <v>885</v>
      </c>
      <c r="F477" s="47"/>
    </row>
    <row r="478" spans="1:6" ht="24.95" customHeight="1">
      <c r="A478" s="174"/>
      <c r="B478" s="107"/>
      <c r="C478" s="109"/>
      <c r="D478" s="135"/>
      <c r="E478" s="40" t="s">
        <v>886</v>
      </c>
      <c r="F478" s="47"/>
    </row>
    <row r="479" spans="1:6" ht="24.95" customHeight="1">
      <c r="A479" s="174"/>
      <c r="B479" s="107"/>
      <c r="C479" s="109"/>
      <c r="D479" s="135"/>
      <c r="E479" s="40" t="s">
        <v>304</v>
      </c>
      <c r="F479" s="47"/>
    </row>
    <row r="480" spans="1:6" ht="24.95" customHeight="1">
      <c r="A480" s="174"/>
      <c r="B480" s="107"/>
      <c r="C480" s="109"/>
      <c r="D480" s="135"/>
      <c r="E480" s="40" t="s">
        <v>885</v>
      </c>
      <c r="F480" s="47"/>
    </row>
    <row r="481" spans="1:6" ht="24.95" customHeight="1">
      <c r="A481" s="174"/>
      <c r="B481" s="107"/>
      <c r="C481" s="109"/>
      <c r="D481" s="135"/>
      <c r="E481" s="40" t="s">
        <v>887</v>
      </c>
      <c r="F481" s="47"/>
    </row>
    <row r="482" spans="1:6" ht="24.95" customHeight="1">
      <c r="A482" s="174"/>
      <c r="B482" s="107"/>
      <c r="C482" s="109"/>
      <c r="D482" s="135"/>
      <c r="E482" s="40" t="s">
        <v>888</v>
      </c>
      <c r="F482" s="47"/>
    </row>
    <row r="483" spans="1:6" ht="24.95" customHeight="1">
      <c r="A483" s="174"/>
      <c r="B483" s="107"/>
      <c r="C483" s="109"/>
      <c r="D483" s="135"/>
      <c r="E483" s="40" t="s">
        <v>889</v>
      </c>
      <c r="F483" s="47"/>
    </row>
    <row r="484" spans="1:6" ht="24.95" customHeight="1">
      <c r="A484" s="174"/>
      <c r="B484" s="107"/>
      <c r="C484" s="109"/>
      <c r="D484" s="135"/>
      <c r="E484" s="40" t="s">
        <v>890</v>
      </c>
      <c r="F484" s="47"/>
    </row>
    <row r="485" spans="1:6" ht="24.95" customHeight="1">
      <c r="A485" s="174"/>
      <c r="B485" s="107"/>
      <c r="C485" s="109"/>
      <c r="D485" s="135"/>
      <c r="E485" s="40" t="s">
        <v>892</v>
      </c>
      <c r="F485" s="47"/>
    </row>
    <row r="486" spans="1:6" ht="24.95" customHeight="1">
      <c r="A486" s="174"/>
      <c r="B486" s="107"/>
      <c r="C486" s="109"/>
      <c r="D486" s="135"/>
      <c r="E486" s="40" t="s">
        <v>893</v>
      </c>
      <c r="F486" s="47"/>
    </row>
    <row r="487" spans="1:6" ht="24.95" customHeight="1">
      <c r="A487" s="174"/>
      <c r="B487" s="107"/>
      <c r="C487" s="109"/>
      <c r="D487" s="135"/>
      <c r="E487" s="40" t="s">
        <v>894</v>
      </c>
      <c r="F487" s="47"/>
    </row>
    <row r="488" spans="1:6" ht="24.95" customHeight="1">
      <c r="A488" s="174"/>
      <c r="B488" s="107"/>
      <c r="C488" s="109"/>
      <c r="D488" s="135"/>
      <c r="E488" s="40" t="s">
        <v>891</v>
      </c>
      <c r="F488" s="47">
        <v>84000000</v>
      </c>
    </row>
    <row r="489" spans="1:6" ht="24.95" customHeight="1">
      <c r="A489" s="174"/>
      <c r="B489" s="107"/>
      <c r="C489" s="109"/>
      <c r="D489" s="135"/>
      <c r="E489" s="40" t="s">
        <v>895</v>
      </c>
      <c r="F489" s="47"/>
    </row>
    <row r="490" spans="1:6" ht="24.95" customHeight="1">
      <c r="A490" s="174"/>
      <c r="B490" s="107"/>
      <c r="C490" s="109"/>
      <c r="D490" s="135"/>
      <c r="E490" s="40" t="s">
        <v>896</v>
      </c>
      <c r="F490" s="47"/>
    </row>
    <row r="491" spans="1:6" ht="24.95" customHeight="1">
      <c r="A491" s="174"/>
      <c r="B491" s="107"/>
      <c r="C491" s="59" t="s">
        <v>111</v>
      </c>
      <c r="D491" s="92">
        <f>SUM(D492:D497)</f>
        <v>227750000</v>
      </c>
      <c r="E491" s="59"/>
      <c r="F491" s="176"/>
    </row>
    <row r="492" spans="1:6" ht="24.95" customHeight="1">
      <c r="A492" s="174"/>
      <c r="B492" s="107"/>
      <c r="C492" s="109"/>
      <c r="D492" s="135">
        <v>210750000</v>
      </c>
      <c r="E492" s="64" t="s">
        <v>282</v>
      </c>
      <c r="F492" s="30"/>
    </row>
    <row r="493" spans="1:6" ht="24.95" customHeight="1">
      <c r="A493" s="174"/>
      <c r="B493" s="107"/>
      <c r="C493" s="109"/>
      <c r="D493" s="135"/>
      <c r="E493" s="84" t="s">
        <v>187</v>
      </c>
      <c r="F493" s="30">
        <v>210750000</v>
      </c>
    </row>
    <row r="494" spans="1:6" ht="24.95" customHeight="1">
      <c r="A494" s="174"/>
      <c r="B494" s="107"/>
      <c r="C494" s="109"/>
      <c r="D494" s="135">
        <v>2000000</v>
      </c>
      <c r="E494" s="72" t="s">
        <v>1127</v>
      </c>
      <c r="F494" s="30"/>
    </row>
    <row r="495" spans="1:6" ht="24.95" customHeight="1">
      <c r="A495" s="174"/>
      <c r="B495" s="107"/>
      <c r="C495" s="109"/>
      <c r="D495" s="74"/>
      <c r="E495" s="338" t="s">
        <v>1128</v>
      </c>
      <c r="F495" s="25">
        <v>2000000</v>
      </c>
    </row>
    <row r="496" spans="1:6" ht="24.95" customHeight="1">
      <c r="A496" s="174"/>
      <c r="B496" s="107"/>
      <c r="C496" s="109"/>
      <c r="D496" s="135">
        <v>15000000</v>
      </c>
      <c r="E496" s="294" t="s">
        <v>721</v>
      </c>
      <c r="F496" s="167"/>
    </row>
    <row r="497" spans="1:6" ht="24.95" customHeight="1">
      <c r="A497" s="174"/>
      <c r="B497" s="107"/>
      <c r="C497" s="109"/>
      <c r="D497" s="74"/>
      <c r="E497" s="149" t="s">
        <v>305</v>
      </c>
      <c r="F497" s="167">
        <v>15000000</v>
      </c>
    </row>
    <row r="498" spans="1:6" ht="24.95" customHeight="1">
      <c r="A498" s="174"/>
      <c r="B498" s="107"/>
      <c r="C498" s="59" t="s">
        <v>112</v>
      </c>
      <c r="D498" s="92">
        <f>SUM(D499:D523)</f>
        <v>6184325000</v>
      </c>
      <c r="E498" s="59"/>
      <c r="F498" s="176"/>
    </row>
    <row r="499" spans="1:6" ht="24.95" customHeight="1">
      <c r="A499" s="174"/>
      <c r="B499" s="107"/>
      <c r="C499" s="109"/>
      <c r="D499" s="135">
        <v>404000000</v>
      </c>
      <c r="E499" s="64" t="s">
        <v>282</v>
      </c>
      <c r="F499" s="30"/>
    </row>
    <row r="500" spans="1:6" ht="24.95" customHeight="1">
      <c r="A500" s="174"/>
      <c r="B500" s="107"/>
      <c r="C500" s="109"/>
      <c r="D500" s="74"/>
      <c r="E500" s="84" t="s">
        <v>187</v>
      </c>
      <c r="F500" s="30">
        <v>404000000</v>
      </c>
    </row>
    <row r="501" spans="1:6" ht="24.95" customHeight="1">
      <c r="A501" s="174"/>
      <c r="B501" s="107"/>
      <c r="C501" s="109"/>
      <c r="D501" s="135">
        <v>5402000000</v>
      </c>
      <c r="E501" s="72" t="s">
        <v>283</v>
      </c>
      <c r="F501" s="30"/>
    </row>
    <row r="502" spans="1:6" ht="24.95" customHeight="1">
      <c r="A502" s="174"/>
      <c r="B502" s="107"/>
      <c r="C502" s="109"/>
      <c r="D502" s="74"/>
      <c r="E502" s="338" t="s">
        <v>950</v>
      </c>
      <c r="F502" s="25">
        <v>190000000</v>
      </c>
    </row>
    <row r="503" spans="1:6" ht="24.95" customHeight="1">
      <c r="A503" s="174"/>
      <c r="B503" s="107"/>
      <c r="C503" s="109"/>
      <c r="D503" s="74"/>
      <c r="E503" s="338" t="s">
        <v>951</v>
      </c>
      <c r="F503" s="25">
        <v>310000000</v>
      </c>
    </row>
    <row r="504" spans="1:6" ht="24.95" customHeight="1">
      <c r="A504" s="174"/>
      <c r="B504" s="107"/>
      <c r="C504" s="109"/>
      <c r="D504" s="74"/>
      <c r="E504" s="338" t="s">
        <v>952</v>
      </c>
      <c r="F504" s="25">
        <v>320000000</v>
      </c>
    </row>
    <row r="505" spans="1:6" ht="24.95" customHeight="1">
      <c r="A505" s="174"/>
      <c r="B505" s="107"/>
      <c r="C505" s="109"/>
      <c r="D505" s="74"/>
      <c r="E505" s="338" t="s">
        <v>953</v>
      </c>
      <c r="F505" s="25">
        <v>3000000000</v>
      </c>
    </row>
    <row r="506" spans="1:6" ht="24.95" customHeight="1">
      <c r="A506" s="174"/>
      <c r="B506" s="107"/>
      <c r="C506" s="109"/>
      <c r="D506" s="74"/>
      <c r="E506" s="338" t="s">
        <v>954</v>
      </c>
      <c r="F506" s="25">
        <v>510000000</v>
      </c>
    </row>
    <row r="507" spans="1:6" ht="24.95" customHeight="1">
      <c r="A507" s="174"/>
      <c r="B507" s="107"/>
      <c r="C507" s="109"/>
      <c r="D507" s="74"/>
      <c r="E507" s="338" t="s">
        <v>955</v>
      </c>
      <c r="F507" s="25">
        <v>460000000</v>
      </c>
    </row>
    <row r="508" spans="1:6" ht="24.95" customHeight="1">
      <c r="A508" s="174"/>
      <c r="B508" s="107"/>
      <c r="C508" s="109"/>
      <c r="D508" s="74"/>
      <c r="E508" s="338" t="s">
        <v>956</v>
      </c>
      <c r="F508" s="25">
        <v>80000000</v>
      </c>
    </row>
    <row r="509" spans="1:6" ht="24.95" customHeight="1">
      <c r="A509" s="174"/>
      <c r="B509" s="107"/>
      <c r="C509" s="109"/>
      <c r="D509" s="74"/>
      <c r="E509" s="338" t="s">
        <v>957</v>
      </c>
      <c r="F509" s="25">
        <v>100000000</v>
      </c>
    </row>
    <row r="510" spans="1:6" ht="24.95" customHeight="1">
      <c r="A510" s="174"/>
      <c r="B510" s="107"/>
      <c r="C510" s="109"/>
      <c r="D510" s="74"/>
      <c r="E510" s="338" t="s">
        <v>958</v>
      </c>
      <c r="F510" s="25">
        <v>10000000</v>
      </c>
    </row>
    <row r="511" spans="1:6" ht="24.95" customHeight="1">
      <c r="A511" s="174"/>
      <c r="B511" s="107"/>
      <c r="C511" s="109"/>
      <c r="D511" s="74"/>
      <c r="E511" s="338" t="s">
        <v>959</v>
      </c>
      <c r="F511" s="25">
        <v>12000000</v>
      </c>
    </row>
    <row r="512" spans="1:6" ht="24.95" customHeight="1">
      <c r="A512" s="174"/>
      <c r="B512" s="107"/>
      <c r="C512" s="109"/>
      <c r="D512" s="74"/>
      <c r="E512" s="338" t="s">
        <v>960</v>
      </c>
      <c r="F512" s="25">
        <v>120000000</v>
      </c>
    </row>
    <row r="513" spans="1:6" ht="24.95" customHeight="1">
      <c r="A513" s="174"/>
      <c r="B513" s="107"/>
      <c r="C513" s="109"/>
      <c r="D513" s="74"/>
      <c r="E513" s="338" t="s">
        <v>961</v>
      </c>
      <c r="F513" s="25">
        <v>150000000</v>
      </c>
    </row>
    <row r="514" spans="1:6" ht="24.95" customHeight="1">
      <c r="A514" s="174"/>
      <c r="B514" s="107"/>
      <c r="C514" s="109"/>
      <c r="D514" s="74"/>
      <c r="E514" s="338" t="s">
        <v>962</v>
      </c>
      <c r="F514" s="25">
        <v>140000000</v>
      </c>
    </row>
    <row r="515" spans="1:6" ht="24.95" customHeight="1">
      <c r="A515" s="174"/>
      <c r="B515" s="107"/>
      <c r="C515" s="109"/>
      <c r="D515" s="74">
        <v>60000000</v>
      </c>
      <c r="E515" s="49" t="s">
        <v>1129</v>
      </c>
      <c r="F515" s="25"/>
    </row>
    <row r="516" spans="1:6" ht="24.95" customHeight="1">
      <c r="A516" s="174"/>
      <c r="B516" s="107"/>
      <c r="C516" s="109"/>
      <c r="D516" s="135">
        <v>83200000</v>
      </c>
      <c r="E516" s="72" t="s">
        <v>1130</v>
      </c>
      <c r="F516" s="30"/>
    </row>
    <row r="517" spans="1:6" ht="24.95" customHeight="1">
      <c r="A517" s="174"/>
      <c r="B517" s="107"/>
      <c r="C517" s="109"/>
      <c r="D517" s="135"/>
      <c r="E517" s="109" t="s">
        <v>1134</v>
      </c>
      <c r="F517" s="29">
        <v>83200000</v>
      </c>
    </row>
    <row r="518" spans="1:6" ht="24.95" customHeight="1">
      <c r="A518" s="174"/>
      <c r="B518" s="107"/>
      <c r="C518" s="109"/>
      <c r="D518" s="195">
        <v>80000000</v>
      </c>
      <c r="E518" s="85" t="s">
        <v>1131</v>
      </c>
      <c r="F518" s="25"/>
    </row>
    <row r="519" spans="1:6" ht="24.95" customHeight="1">
      <c r="A519" s="174"/>
      <c r="B519" s="107"/>
      <c r="C519" s="109"/>
      <c r="D519" s="95"/>
      <c r="E519" s="23" t="s">
        <v>307</v>
      </c>
      <c r="F519" s="48">
        <v>70000000</v>
      </c>
    </row>
    <row r="520" spans="1:6" ht="24.95" customHeight="1">
      <c r="A520" s="174"/>
      <c r="B520" s="107"/>
      <c r="C520" s="109"/>
      <c r="D520" s="95"/>
      <c r="E520" s="23" t="s">
        <v>223</v>
      </c>
      <c r="F520" s="48">
        <v>10000000</v>
      </c>
    </row>
    <row r="521" spans="1:6" ht="24.95" customHeight="1">
      <c r="A521" s="174"/>
      <c r="B521" s="107"/>
      <c r="C521" s="109"/>
      <c r="D521" s="135">
        <v>155125000</v>
      </c>
      <c r="E521" s="72" t="s">
        <v>1132</v>
      </c>
      <c r="F521" s="167"/>
    </row>
    <row r="522" spans="1:6" ht="24.95" customHeight="1">
      <c r="A522" s="174"/>
      <c r="B522" s="107"/>
      <c r="C522" s="109"/>
      <c r="D522" s="74"/>
      <c r="E522" s="109" t="s">
        <v>489</v>
      </c>
      <c r="F522" s="167">
        <v>155125000</v>
      </c>
    </row>
    <row r="523" spans="1:6" ht="24.95" customHeight="1">
      <c r="A523" s="199"/>
      <c r="B523" s="107"/>
      <c r="C523" s="109"/>
      <c r="D523" s="74"/>
      <c r="E523" s="72" t="s">
        <v>1133</v>
      </c>
      <c r="F523" s="167"/>
    </row>
    <row r="524" spans="1:6" ht="24.95" customHeight="1">
      <c r="A524" s="174"/>
      <c r="B524" s="107"/>
      <c r="C524" s="59" t="s">
        <v>113</v>
      </c>
      <c r="D524" s="92">
        <f>SUM(D525:D551)</f>
        <v>660106000</v>
      </c>
      <c r="E524" s="59"/>
      <c r="F524" s="176"/>
    </row>
    <row r="525" spans="1:6" ht="24.95" customHeight="1">
      <c r="A525" s="174"/>
      <c r="B525" s="107"/>
      <c r="C525" s="109"/>
      <c r="D525" s="135">
        <v>134156000</v>
      </c>
      <c r="E525" s="64" t="s">
        <v>282</v>
      </c>
      <c r="F525" s="30"/>
    </row>
    <row r="526" spans="1:6" ht="24.95" customHeight="1">
      <c r="A526" s="174"/>
      <c r="B526" s="107"/>
      <c r="C526" s="109"/>
      <c r="D526" s="74"/>
      <c r="E526" s="84" t="s">
        <v>187</v>
      </c>
      <c r="F526" s="30">
        <v>134156000</v>
      </c>
    </row>
    <row r="527" spans="1:6" ht="24.95" customHeight="1">
      <c r="A527" s="174"/>
      <c r="B527" s="107"/>
      <c r="C527" s="109"/>
      <c r="D527" s="135">
        <v>347000000</v>
      </c>
      <c r="E527" s="72" t="s">
        <v>283</v>
      </c>
      <c r="F527" s="30"/>
    </row>
    <row r="528" spans="1:6" ht="24.95" customHeight="1">
      <c r="A528" s="174"/>
      <c r="B528" s="107"/>
      <c r="C528" s="109"/>
      <c r="D528" s="74"/>
      <c r="E528" s="338" t="s">
        <v>950</v>
      </c>
      <c r="F528" s="25">
        <v>5000000</v>
      </c>
    </row>
    <row r="529" spans="1:6" ht="24.95" customHeight="1">
      <c r="A529" s="174"/>
      <c r="B529" s="107"/>
      <c r="C529" s="109"/>
      <c r="D529" s="135"/>
      <c r="E529" s="338" t="s">
        <v>951</v>
      </c>
      <c r="F529" s="25">
        <v>1000000</v>
      </c>
    </row>
    <row r="530" spans="1:6" ht="24.95" customHeight="1">
      <c r="A530" s="174"/>
      <c r="B530" s="107"/>
      <c r="C530" s="109"/>
      <c r="D530" s="74"/>
      <c r="E530" s="338" t="s">
        <v>952</v>
      </c>
      <c r="F530" s="25">
        <v>40000000</v>
      </c>
    </row>
    <row r="531" spans="1:6" ht="24.95" customHeight="1">
      <c r="A531" s="174"/>
      <c r="B531" s="107"/>
      <c r="C531" s="109"/>
      <c r="D531" s="74"/>
      <c r="E531" s="338" t="s">
        <v>953</v>
      </c>
      <c r="F531" s="25">
        <v>220000000</v>
      </c>
    </row>
    <row r="532" spans="1:6" ht="24.95" customHeight="1">
      <c r="A532" s="174"/>
      <c r="B532" s="107"/>
      <c r="C532" s="109"/>
      <c r="D532" s="74"/>
      <c r="E532" s="338" t="s">
        <v>954</v>
      </c>
      <c r="F532" s="25">
        <v>10000000</v>
      </c>
    </row>
    <row r="533" spans="1:6" ht="24.95" customHeight="1">
      <c r="A533" s="174"/>
      <c r="B533" s="107"/>
      <c r="C533" s="109"/>
      <c r="D533" s="74"/>
      <c r="E533" s="338" t="s">
        <v>955</v>
      </c>
      <c r="F533" s="25">
        <v>10000000</v>
      </c>
    </row>
    <row r="534" spans="1:6" ht="24.95" customHeight="1">
      <c r="A534" s="174"/>
      <c r="B534" s="107"/>
      <c r="C534" s="109"/>
      <c r="D534" s="74"/>
      <c r="E534" s="338" t="s">
        <v>956</v>
      </c>
      <c r="F534" s="25">
        <v>4000000</v>
      </c>
    </row>
    <row r="535" spans="1:6" ht="24.95" customHeight="1">
      <c r="A535" s="174"/>
      <c r="B535" s="107"/>
      <c r="C535" s="109"/>
      <c r="D535" s="74"/>
      <c r="E535" s="338" t="s">
        <v>957</v>
      </c>
      <c r="F535" s="25">
        <v>1000000</v>
      </c>
    </row>
    <row r="536" spans="1:6" ht="24.95" customHeight="1">
      <c r="A536" s="174"/>
      <c r="B536" s="107"/>
      <c r="C536" s="109"/>
      <c r="D536" s="74"/>
      <c r="E536" s="338" t="s">
        <v>958</v>
      </c>
      <c r="F536" s="25">
        <v>1000000</v>
      </c>
    </row>
    <row r="537" spans="1:6" ht="24.95" customHeight="1">
      <c r="A537" s="174"/>
      <c r="B537" s="107"/>
      <c r="C537" s="109"/>
      <c r="D537" s="74"/>
      <c r="E537" s="338" t="s">
        <v>959</v>
      </c>
      <c r="F537" s="25">
        <v>30000000</v>
      </c>
    </row>
    <row r="538" spans="1:6" ht="24.95" customHeight="1">
      <c r="A538" s="174"/>
      <c r="B538" s="107"/>
      <c r="C538" s="109"/>
      <c r="D538" s="74"/>
      <c r="E538" s="338" t="s">
        <v>960</v>
      </c>
      <c r="F538" s="25">
        <v>1000000</v>
      </c>
    </row>
    <row r="539" spans="1:6" ht="24.95" customHeight="1">
      <c r="A539" s="174"/>
      <c r="B539" s="107"/>
      <c r="C539" s="109"/>
      <c r="D539" s="74"/>
      <c r="E539" s="338" t="s">
        <v>961</v>
      </c>
      <c r="F539" s="25">
        <v>8000000</v>
      </c>
    </row>
    <row r="540" spans="1:6" ht="24.95" customHeight="1">
      <c r="A540" s="174"/>
      <c r="B540" s="107"/>
      <c r="C540" s="109"/>
      <c r="D540" s="74"/>
      <c r="E540" s="338" t="s">
        <v>962</v>
      </c>
      <c r="F540" s="25">
        <v>16000000</v>
      </c>
    </row>
    <row r="541" spans="1:6" ht="24.95" customHeight="1">
      <c r="A541" s="174"/>
      <c r="B541" s="107"/>
      <c r="C541" s="71"/>
      <c r="D541" s="135">
        <v>15000000</v>
      </c>
      <c r="E541" s="68" t="s">
        <v>722</v>
      </c>
      <c r="F541" s="166"/>
    </row>
    <row r="542" spans="1:6" ht="24.95" customHeight="1">
      <c r="A542" s="174"/>
      <c r="B542" s="107"/>
      <c r="C542" s="71"/>
      <c r="D542" s="135"/>
      <c r="E542" s="71" t="s">
        <v>308</v>
      </c>
      <c r="F542" s="166">
        <v>15000000</v>
      </c>
    </row>
    <row r="543" spans="1:6" ht="24.95" customHeight="1">
      <c r="A543" s="174"/>
      <c r="B543" s="107"/>
      <c r="C543" s="71"/>
      <c r="D543" s="135">
        <v>103950000</v>
      </c>
      <c r="E543" s="68" t="s">
        <v>723</v>
      </c>
      <c r="F543" s="166"/>
    </row>
    <row r="544" spans="1:6" ht="24.95" customHeight="1">
      <c r="A544" s="174"/>
      <c r="B544" s="107"/>
      <c r="C544" s="71"/>
      <c r="D544" s="135"/>
      <c r="E544" s="71" t="s">
        <v>491</v>
      </c>
      <c r="F544" s="166">
        <v>22750000</v>
      </c>
    </row>
    <row r="545" spans="1:6" ht="24.95" customHeight="1">
      <c r="A545" s="174"/>
      <c r="B545" s="107"/>
      <c r="C545" s="71"/>
      <c r="D545" s="135"/>
      <c r="E545" s="71" t="s">
        <v>493</v>
      </c>
      <c r="F545" s="166">
        <v>21200000</v>
      </c>
    </row>
    <row r="546" spans="1:6" ht="24.95" customHeight="1">
      <c r="A546" s="174"/>
      <c r="B546" s="107"/>
      <c r="C546" s="71"/>
      <c r="D546" s="135"/>
      <c r="E546" s="71" t="s">
        <v>492</v>
      </c>
      <c r="F546" s="166">
        <v>1000000</v>
      </c>
    </row>
    <row r="547" spans="1:6" ht="24.95" customHeight="1">
      <c r="A547" s="174"/>
      <c r="B547" s="107"/>
      <c r="C547" s="71"/>
      <c r="D547" s="135"/>
      <c r="E547" s="71" t="s">
        <v>494</v>
      </c>
      <c r="F547" s="166">
        <v>4000000</v>
      </c>
    </row>
    <row r="548" spans="1:6" ht="24.95" customHeight="1">
      <c r="A548" s="174"/>
      <c r="B548" s="107"/>
      <c r="C548" s="71"/>
      <c r="D548" s="135"/>
      <c r="E548" s="71" t="s">
        <v>745</v>
      </c>
      <c r="F548" s="166">
        <v>50000000</v>
      </c>
    </row>
    <row r="549" spans="1:6" ht="24.95" customHeight="1">
      <c r="A549" s="174"/>
      <c r="B549" s="107"/>
      <c r="C549" s="71"/>
      <c r="D549" s="135"/>
      <c r="E549" s="71" t="s">
        <v>495</v>
      </c>
      <c r="F549" s="166">
        <v>5000000</v>
      </c>
    </row>
    <row r="550" spans="1:6" ht="24.95" customHeight="1">
      <c r="A550" s="174"/>
      <c r="B550" s="107"/>
      <c r="C550" s="71"/>
      <c r="D550" s="135">
        <v>60000000</v>
      </c>
      <c r="E550" s="68" t="s">
        <v>897</v>
      </c>
      <c r="F550" s="166"/>
    </row>
    <row r="551" spans="1:6" ht="24.95" customHeight="1">
      <c r="A551" s="174"/>
      <c r="B551" s="107"/>
      <c r="C551" s="71"/>
      <c r="D551" s="135"/>
      <c r="E551" s="71" t="s">
        <v>898</v>
      </c>
      <c r="F551" s="166">
        <v>60000000</v>
      </c>
    </row>
    <row r="552" spans="1:6" ht="24.95" customHeight="1">
      <c r="A552" s="174"/>
      <c r="B552" s="107"/>
      <c r="C552" s="59" t="s">
        <v>114</v>
      </c>
      <c r="D552" s="92">
        <f>SUM(D553:D716)</f>
        <v>2976873075</v>
      </c>
      <c r="E552" s="59"/>
      <c r="F552" s="176"/>
    </row>
    <row r="553" spans="1:6" ht="24.95" customHeight="1">
      <c r="A553" s="174"/>
      <c r="B553" s="107"/>
      <c r="C553" s="109"/>
      <c r="D553" s="135">
        <v>325330000</v>
      </c>
      <c r="E553" s="64" t="s">
        <v>282</v>
      </c>
      <c r="F553" s="29"/>
    </row>
    <row r="554" spans="1:6" ht="24.95" customHeight="1">
      <c r="A554" s="174"/>
      <c r="B554" s="107"/>
      <c r="C554" s="109"/>
      <c r="D554" s="74"/>
      <c r="E554" s="84" t="s">
        <v>187</v>
      </c>
      <c r="F554" s="29">
        <v>325330000</v>
      </c>
    </row>
    <row r="555" spans="1:6" ht="24.95" customHeight="1">
      <c r="A555" s="174"/>
      <c r="B555" s="107"/>
      <c r="C555" s="109"/>
      <c r="D555" s="135">
        <v>879000000</v>
      </c>
      <c r="E555" s="72" t="s">
        <v>283</v>
      </c>
      <c r="F555" s="30"/>
    </row>
    <row r="556" spans="1:6" ht="24.95" customHeight="1">
      <c r="A556" s="174"/>
      <c r="B556" s="107"/>
      <c r="C556" s="109"/>
      <c r="D556" s="74"/>
      <c r="E556" s="338" t="s">
        <v>950</v>
      </c>
      <c r="F556" s="25">
        <v>35000000</v>
      </c>
    </row>
    <row r="557" spans="1:6" ht="24.95" customHeight="1">
      <c r="A557" s="174"/>
      <c r="B557" s="107"/>
      <c r="C557" s="109"/>
      <c r="D557" s="74"/>
      <c r="E557" s="338" t="s">
        <v>951</v>
      </c>
      <c r="F557" s="25">
        <v>31000000</v>
      </c>
    </row>
    <row r="558" spans="1:6" ht="24.95" customHeight="1">
      <c r="A558" s="174"/>
      <c r="B558" s="107"/>
      <c r="C558" s="109"/>
      <c r="D558" s="74"/>
      <c r="E558" s="338" t="s">
        <v>952</v>
      </c>
      <c r="F558" s="25">
        <v>40000000</v>
      </c>
    </row>
    <row r="559" spans="1:6" ht="24.95" customHeight="1">
      <c r="A559" s="174"/>
      <c r="B559" s="107"/>
      <c r="C559" s="109"/>
      <c r="D559" s="74"/>
      <c r="E559" s="338" t="s">
        <v>953</v>
      </c>
      <c r="F559" s="25">
        <v>500000000</v>
      </c>
    </row>
    <row r="560" spans="1:6" ht="24.95" customHeight="1">
      <c r="A560" s="174"/>
      <c r="B560" s="107"/>
      <c r="C560" s="109"/>
      <c r="D560" s="74"/>
      <c r="E560" s="338" t="s">
        <v>954</v>
      </c>
      <c r="F560" s="25">
        <v>40000000</v>
      </c>
    </row>
    <row r="561" spans="1:6" ht="24.95" customHeight="1">
      <c r="A561" s="174"/>
      <c r="B561" s="107"/>
      <c r="C561" s="109"/>
      <c r="D561" s="74"/>
      <c r="E561" s="338" t="s">
        <v>955</v>
      </c>
      <c r="F561" s="25">
        <v>90000000</v>
      </c>
    </row>
    <row r="562" spans="1:6" ht="24.95" customHeight="1">
      <c r="A562" s="174"/>
      <c r="B562" s="107"/>
      <c r="C562" s="109"/>
      <c r="D562" s="74"/>
      <c r="E562" s="338" t="s">
        <v>956</v>
      </c>
      <c r="F562" s="25">
        <v>25000000</v>
      </c>
    </row>
    <row r="563" spans="1:6" ht="24.95" customHeight="1">
      <c r="A563" s="174"/>
      <c r="B563" s="107"/>
      <c r="C563" s="109"/>
      <c r="D563" s="74"/>
      <c r="E563" s="338" t="s">
        <v>957</v>
      </c>
      <c r="F563" s="25">
        <v>11000000</v>
      </c>
    </row>
    <row r="564" spans="1:6" ht="24.95" customHeight="1">
      <c r="A564" s="174"/>
      <c r="B564" s="107"/>
      <c r="C564" s="109"/>
      <c r="D564" s="74"/>
      <c r="E564" s="338" t="s">
        <v>958</v>
      </c>
      <c r="F564" s="25">
        <v>30000000</v>
      </c>
    </row>
    <row r="565" spans="1:6" ht="24.95" customHeight="1">
      <c r="A565" s="174"/>
      <c r="B565" s="107"/>
      <c r="C565" s="109"/>
      <c r="D565" s="74"/>
      <c r="E565" s="338" t="s">
        <v>959</v>
      </c>
      <c r="F565" s="25">
        <v>23000000</v>
      </c>
    </row>
    <row r="566" spans="1:6" ht="24.95" customHeight="1">
      <c r="A566" s="174"/>
      <c r="B566" s="107"/>
      <c r="C566" s="109"/>
      <c r="D566" s="74"/>
      <c r="E566" s="338" t="s">
        <v>960</v>
      </c>
      <c r="F566" s="25">
        <v>35000000</v>
      </c>
    </row>
    <row r="567" spans="1:6" ht="24.95" customHeight="1">
      <c r="A567" s="174"/>
      <c r="B567" s="107"/>
      <c r="C567" s="109"/>
      <c r="D567" s="74"/>
      <c r="E567" s="338" t="s">
        <v>961</v>
      </c>
      <c r="F567" s="25">
        <v>12000000</v>
      </c>
    </row>
    <row r="568" spans="1:6" ht="24.95" customHeight="1">
      <c r="A568" s="174"/>
      <c r="B568" s="107"/>
      <c r="C568" s="109"/>
      <c r="D568" s="74"/>
      <c r="E568" s="338" t="s">
        <v>962</v>
      </c>
      <c r="F568" s="25">
        <v>7000000</v>
      </c>
    </row>
    <row r="569" spans="1:6" ht="24.95" customHeight="1">
      <c r="A569" s="174"/>
      <c r="B569" s="107"/>
      <c r="C569" s="109"/>
      <c r="D569" s="135">
        <v>34950000</v>
      </c>
      <c r="E569" s="72" t="s">
        <v>284</v>
      </c>
      <c r="F569" s="30"/>
    </row>
    <row r="570" spans="1:6" ht="24.95" customHeight="1">
      <c r="A570" s="174"/>
      <c r="B570" s="107"/>
      <c r="C570" s="109"/>
      <c r="D570" s="135"/>
      <c r="E570" s="109" t="s">
        <v>1135</v>
      </c>
      <c r="F570" s="29">
        <v>12250000</v>
      </c>
    </row>
    <row r="571" spans="1:6" ht="24.95" customHeight="1">
      <c r="A571" s="174"/>
      <c r="B571" s="107"/>
      <c r="C571" s="109"/>
      <c r="D571" s="135"/>
      <c r="E571" s="109" t="s">
        <v>1136</v>
      </c>
      <c r="F571" s="29">
        <v>8000000</v>
      </c>
    </row>
    <row r="572" spans="1:6" ht="24.95" customHeight="1">
      <c r="A572" s="174"/>
      <c r="B572" s="107"/>
      <c r="C572" s="109"/>
      <c r="D572" s="135"/>
      <c r="E572" s="109" t="s">
        <v>1137</v>
      </c>
      <c r="F572" s="29">
        <v>3000000</v>
      </c>
    </row>
    <row r="573" spans="1:6" ht="24.95" customHeight="1">
      <c r="A573" s="174"/>
      <c r="B573" s="107"/>
      <c r="C573" s="109"/>
      <c r="D573" s="135"/>
      <c r="E573" s="109" t="s">
        <v>1138</v>
      </c>
      <c r="F573" s="29">
        <v>3500000</v>
      </c>
    </row>
    <row r="574" spans="1:6" ht="24.95" customHeight="1">
      <c r="A574" s="174"/>
      <c r="B574" s="107"/>
      <c r="C574" s="109"/>
      <c r="D574" s="135"/>
      <c r="E574" s="109" t="s">
        <v>1139</v>
      </c>
      <c r="F574" s="29">
        <v>1500000</v>
      </c>
    </row>
    <row r="575" spans="1:6" ht="24.95" customHeight="1">
      <c r="A575" s="174"/>
      <c r="B575" s="107"/>
      <c r="C575" s="109"/>
      <c r="D575" s="135"/>
      <c r="E575" s="109" t="s">
        <v>1140</v>
      </c>
      <c r="F575" s="29">
        <v>5200000</v>
      </c>
    </row>
    <row r="576" spans="1:6" ht="24.95" customHeight="1">
      <c r="A576" s="174"/>
      <c r="B576" s="107"/>
      <c r="C576" s="109"/>
      <c r="D576" s="135"/>
      <c r="E576" s="109" t="s">
        <v>1141</v>
      </c>
      <c r="F576" s="29">
        <v>1500000</v>
      </c>
    </row>
    <row r="577" spans="1:6" ht="24.95" customHeight="1">
      <c r="A577" s="174"/>
      <c r="B577" s="107"/>
      <c r="C577" s="109"/>
      <c r="D577" s="195">
        <v>460000000</v>
      </c>
      <c r="E577" s="193" t="s">
        <v>306</v>
      </c>
      <c r="F577" s="25"/>
    </row>
    <row r="578" spans="1:6" ht="24.95" customHeight="1">
      <c r="A578" s="174"/>
      <c r="B578" s="107"/>
      <c r="C578" s="109"/>
      <c r="D578" s="195"/>
      <c r="E578" s="23" t="s">
        <v>1142</v>
      </c>
      <c r="F578" s="48">
        <v>260000000</v>
      </c>
    </row>
    <row r="579" spans="1:6" ht="24.95" customHeight="1">
      <c r="A579" s="174"/>
      <c r="B579" s="107"/>
      <c r="C579" s="109"/>
      <c r="D579" s="195"/>
      <c r="E579" s="23" t="s">
        <v>1143</v>
      </c>
      <c r="F579" s="48">
        <v>150000000</v>
      </c>
    </row>
    <row r="580" spans="1:6" ht="24.95" customHeight="1">
      <c r="A580" s="174"/>
      <c r="B580" s="107"/>
      <c r="C580" s="109"/>
      <c r="D580" s="195"/>
      <c r="E580" s="23" t="s">
        <v>1144</v>
      </c>
      <c r="F580" s="48">
        <v>50000000</v>
      </c>
    </row>
    <row r="581" spans="1:6" ht="24.95" customHeight="1">
      <c r="A581" s="174"/>
      <c r="B581" s="107"/>
      <c r="C581" s="71"/>
      <c r="D581" s="135">
        <v>143000000</v>
      </c>
      <c r="E581" s="68" t="s">
        <v>724</v>
      </c>
      <c r="F581" s="166"/>
    </row>
    <row r="582" spans="1:6" ht="24.95" customHeight="1">
      <c r="A582" s="174"/>
      <c r="B582" s="107"/>
      <c r="C582" s="71"/>
      <c r="D582" s="135"/>
      <c r="E582" s="71" t="s">
        <v>309</v>
      </c>
      <c r="F582" s="166">
        <v>52000000</v>
      </c>
    </row>
    <row r="583" spans="1:6" ht="24.95" customHeight="1">
      <c r="A583" s="174"/>
      <c r="B583" s="107"/>
      <c r="C583" s="71"/>
      <c r="D583" s="135"/>
      <c r="E583" s="71" t="s">
        <v>448</v>
      </c>
      <c r="F583" s="166">
        <v>27000000</v>
      </c>
    </row>
    <row r="584" spans="1:6" ht="24.95" customHeight="1">
      <c r="A584" s="174"/>
      <c r="B584" s="107"/>
      <c r="C584" s="109"/>
      <c r="D584" s="135"/>
      <c r="E584" s="71" t="s">
        <v>310</v>
      </c>
      <c r="F584" s="166">
        <v>15000000</v>
      </c>
    </row>
    <row r="585" spans="1:6" ht="24.95" customHeight="1">
      <c r="A585" s="174"/>
      <c r="B585" s="107"/>
      <c r="C585" s="109"/>
      <c r="D585" s="135"/>
      <c r="E585" s="71" t="s">
        <v>311</v>
      </c>
      <c r="F585" s="166">
        <v>25000000</v>
      </c>
    </row>
    <row r="586" spans="1:6" ht="24.95" customHeight="1">
      <c r="A586" s="174"/>
      <c r="B586" s="107"/>
      <c r="C586" s="109"/>
      <c r="D586" s="135"/>
      <c r="E586" s="71" t="s">
        <v>312</v>
      </c>
      <c r="F586" s="166">
        <v>10000000</v>
      </c>
    </row>
    <row r="587" spans="1:6" ht="24.95" customHeight="1">
      <c r="A587" s="174"/>
      <c r="B587" s="107"/>
      <c r="C587" s="109"/>
      <c r="D587" s="135"/>
      <c r="E587" s="71" t="s">
        <v>449</v>
      </c>
      <c r="F587" s="166"/>
    </row>
    <row r="588" spans="1:6" ht="24.95" customHeight="1">
      <c r="A588" s="174"/>
      <c r="B588" s="107"/>
      <c r="C588" s="109"/>
      <c r="D588" s="135"/>
      <c r="E588" s="71" t="s">
        <v>313</v>
      </c>
      <c r="F588" s="166">
        <v>14000000</v>
      </c>
    </row>
    <row r="589" spans="1:6" ht="24.95" customHeight="1">
      <c r="A589" s="174"/>
      <c r="B589" s="107"/>
      <c r="C589" s="109"/>
      <c r="D589" s="135"/>
      <c r="E589" s="71" t="s">
        <v>314</v>
      </c>
      <c r="F589" s="167"/>
    </row>
    <row r="590" spans="1:6" ht="24.95" customHeight="1">
      <c r="A590" s="174"/>
      <c r="B590" s="107"/>
      <c r="C590" s="109"/>
      <c r="D590" s="135"/>
      <c r="E590" s="71" t="s">
        <v>450</v>
      </c>
      <c r="F590" s="166"/>
    </row>
    <row r="591" spans="1:6" ht="24.95" customHeight="1">
      <c r="A591" s="174"/>
      <c r="B591" s="107"/>
      <c r="C591" s="109"/>
      <c r="D591" s="135">
        <v>70484075</v>
      </c>
      <c r="E591" s="72" t="s">
        <v>725</v>
      </c>
      <c r="F591" s="166"/>
    </row>
    <row r="592" spans="1:6" ht="24.95" customHeight="1">
      <c r="A592" s="174"/>
      <c r="B592" s="107"/>
      <c r="C592" s="109"/>
      <c r="D592" s="135"/>
      <c r="E592" s="109" t="s">
        <v>490</v>
      </c>
      <c r="F592" s="166">
        <v>70484075</v>
      </c>
    </row>
    <row r="593" spans="1:6" ht="24.95" customHeight="1">
      <c r="A593" s="174"/>
      <c r="B593" s="107"/>
      <c r="C593" s="109"/>
      <c r="D593" s="135">
        <v>854244000</v>
      </c>
      <c r="E593" s="72" t="s">
        <v>726</v>
      </c>
      <c r="F593" s="166"/>
    </row>
    <row r="594" spans="1:6" ht="24.95" customHeight="1">
      <c r="A594" s="174"/>
      <c r="B594" s="107"/>
      <c r="C594" s="109"/>
      <c r="D594" s="74"/>
      <c r="E594" s="87" t="s">
        <v>286</v>
      </c>
      <c r="F594" s="166">
        <v>85973000</v>
      </c>
    </row>
    <row r="595" spans="1:6" ht="24.95" customHeight="1">
      <c r="A595" s="174"/>
      <c r="B595" s="107"/>
      <c r="C595" s="109"/>
      <c r="D595" s="74"/>
      <c r="E595" s="87" t="s">
        <v>596</v>
      </c>
      <c r="F595" s="167"/>
    </row>
    <row r="596" spans="1:6" ht="24.95" customHeight="1">
      <c r="A596" s="174"/>
      <c r="B596" s="107"/>
      <c r="C596" s="109"/>
      <c r="D596" s="74"/>
      <c r="E596" s="87" t="s">
        <v>597</v>
      </c>
      <c r="F596" s="167"/>
    </row>
    <row r="597" spans="1:6" ht="24.95" customHeight="1">
      <c r="A597" s="174"/>
      <c r="B597" s="107"/>
      <c r="C597" s="109"/>
      <c r="D597" s="74"/>
      <c r="E597" s="87" t="s">
        <v>598</v>
      </c>
      <c r="F597" s="167"/>
    </row>
    <row r="598" spans="1:6" ht="24.95" customHeight="1">
      <c r="A598" s="174"/>
      <c r="B598" s="107"/>
      <c r="C598" s="109"/>
      <c r="D598" s="74"/>
      <c r="E598" s="87" t="s">
        <v>599</v>
      </c>
      <c r="F598" s="167"/>
    </row>
    <row r="599" spans="1:6" ht="24.95" customHeight="1">
      <c r="A599" s="174"/>
      <c r="B599" s="107"/>
      <c r="C599" s="109"/>
      <c r="D599" s="74"/>
      <c r="E599" s="87" t="s">
        <v>600</v>
      </c>
      <c r="F599" s="167"/>
    </row>
    <row r="600" spans="1:6" ht="24.95" customHeight="1">
      <c r="A600" s="174"/>
      <c r="B600" s="107"/>
      <c r="C600" s="109"/>
      <c r="D600" s="74"/>
      <c r="E600" s="87" t="s">
        <v>601</v>
      </c>
      <c r="F600" s="167"/>
    </row>
    <row r="601" spans="1:6" ht="24.95" customHeight="1">
      <c r="A601" s="174"/>
      <c r="B601" s="107"/>
      <c r="C601" s="109"/>
      <c r="D601" s="74"/>
      <c r="E601" s="87" t="s">
        <v>287</v>
      </c>
      <c r="F601" s="167">
        <v>536931000</v>
      </c>
    </row>
    <row r="602" spans="1:6" ht="24.95" customHeight="1">
      <c r="A602" s="174"/>
      <c r="B602" s="107"/>
      <c r="C602" s="109"/>
      <c r="D602" s="74"/>
      <c r="E602" s="87" t="s">
        <v>315</v>
      </c>
      <c r="F602" s="167"/>
    </row>
    <row r="603" spans="1:6" ht="24.95" customHeight="1">
      <c r="A603" s="174"/>
      <c r="B603" s="107"/>
      <c r="C603" s="109"/>
      <c r="D603" s="74"/>
      <c r="E603" s="87" t="s">
        <v>602</v>
      </c>
      <c r="F603" s="167"/>
    </row>
    <row r="604" spans="1:6" ht="24.95" customHeight="1">
      <c r="A604" s="174"/>
      <c r="B604" s="107"/>
      <c r="C604" s="109"/>
      <c r="D604" s="74"/>
      <c r="E604" s="87" t="s">
        <v>603</v>
      </c>
      <c r="F604" s="167"/>
    </row>
    <row r="605" spans="1:6" ht="24.95" customHeight="1">
      <c r="A605" s="174"/>
      <c r="B605" s="107"/>
      <c r="C605" s="109"/>
      <c r="D605" s="74"/>
      <c r="E605" s="87" t="s">
        <v>604</v>
      </c>
      <c r="F605" s="167"/>
    </row>
    <row r="606" spans="1:6" ht="24.95" customHeight="1">
      <c r="A606" s="174"/>
      <c r="B606" s="107"/>
      <c r="C606" s="109"/>
      <c r="D606" s="74"/>
      <c r="E606" s="87" t="s">
        <v>605</v>
      </c>
      <c r="F606" s="167"/>
    </row>
    <row r="607" spans="1:6" ht="24.95" customHeight="1">
      <c r="A607" s="174"/>
      <c r="B607" s="107"/>
      <c r="C607" s="109"/>
      <c r="D607" s="74"/>
      <c r="E607" s="87" t="s">
        <v>606</v>
      </c>
      <c r="F607" s="167"/>
    </row>
    <row r="608" spans="1:6" ht="24.95" customHeight="1">
      <c r="A608" s="174"/>
      <c r="B608" s="107"/>
      <c r="C608" s="109"/>
      <c r="D608" s="74"/>
      <c r="E608" s="87" t="s">
        <v>607</v>
      </c>
      <c r="F608" s="167"/>
    </row>
    <row r="609" spans="1:6" ht="24.95" customHeight="1">
      <c r="A609" s="174"/>
      <c r="B609" s="107"/>
      <c r="C609" s="109"/>
      <c r="D609" s="74"/>
      <c r="E609" s="87" t="s">
        <v>608</v>
      </c>
      <c r="F609" s="167"/>
    </row>
    <row r="610" spans="1:6" ht="24.95" customHeight="1">
      <c r="A610" s="174"/>
      <c r="B610" s="107"/>
      <c r="C610" s="109"/>
      <c r="D610" s="74"/>
      <c r="E610" s="87" t="s">
        <v>609</v>
      </c>
      <c r="F610" s="167"/>
    </row>
    <row r="611" spans="1:6" ht="24.95" customHeight="1">
      <c r="A611" s="174"/>
      <c r="B611" s="107"/>
      <c r="C611" s="109"/>
      <c r="D611" s="74"/>
      <c r="E611" s="87" t="s">
        <v>610</v>
      </c>
      <c r="F611" s="167"/>
    </row>
    <row r="612" spans="1:6" ht="24.95" customHeight="1">
      <c r="A612" s="174"/>
      <c r="B612" s="107"/>
      <c r="C612" s="109"/>
      <c r="D612" s="74"/>
      <c r="E612" s="87" t="s">
        <v>611</v>
      </c>
      <c r="F612" s="167"/>
    </row>
    <row r="613" spans="1:6" ht="24.95" customHeight="1">
      <c r="A613" s="174"/>
      <c r="B613" s="107"/>
      <c r="C613" s="109"/>
      <c r="D613" s="74"/>
      <c r="E613" s="87" t="s">
        <v>612</v>
      </c>
      <c r="F613" s="167"/>
    </row>
    <row r="614" spans="1:6" ht="24.95" customHeight="1">
      <c r="A614" s="174"/>
      <c r="B614" s="107"/>
      <c r="C614" s="109"/>
      <c r="D614" s="74"/>
      <c r="E614" s="87" t="s">
        <v>613</v>
      </c>
      <c r="F614" s="167"/>
    </row>
    <row r="615" spans="1:6" ht="24.95" customHeight="1">
      <c r="A615" s="174"/>
      <c r="B615" s="107"/>
      <c r="C615" s="109"/>
      <c r="D615" s="74"/>
      <c r="E615" s="87" t="s">
        <v>316</v>
      </c>
      <c r="F615" s="167"/>
    </row>
    <row r="616" spans="1:6" ht="24.95" customHeight="1">
      <c r="A616" s="174"/>
      <c r="B616" s="107"/>
      <c r="C616" s="109"/>
      <c r="D616" s="74"/>
      <c r="E616" s="87" t="s">
        <v>614</v>
      </c>
      <c r="F616" s="167"/>
    </row>
    <row r="617" spans="1:6" ht="24.95" customHeight="1">
      <c r="A617" s="174"/>
      <c r="B617" s="107"/>
      <c r="C617" s="109"/>
      <c r="D617" s="74"/>
      <c r="E617" s="87" t="s">
        <v>615</v>
      </c>
      <c r="F617" s="167"/>
    </row>
    <row r="618" spans="1:6" ht="24.95" customHeight="1">
      <c r="A618" s="174"/>
      <c r="B618" s="107"/>
      <c r="C618" s="109"/>
      <c r="D618" s="74"/>
      <c r="E618" s="87" t="s">
        <v>616</v>
      </c>
      <c r="F618" s="167"/>
    </row>
    <row r="619" spans="1:6" ht="24.95" customHeight="1">
      <c r="A619" s="174"/>
      <c r="B619" s="107"/>
      <c r="C619" s="109"/>
      <c r="D619" s="74"/>
      <c r="E619" s="87" t="s">
        <v>617</v>
      </c>
      <c r="F619" s="167"/>
    </row>
    <row r="620" spans="1:6" ht="24.95" customHeight="1">
      <c r="A620" s="174"/>
      <c r="B620" s="107"/>
      <c r="C620" s="109"/>
      <c r="D620" s="74"/>
      <c r="E620" s="87" t="s">
        <v>618</v>
      </c>
      <c r="F620" s="167"/>
    </row>
    <row r="621" spans="1:6" ht="24.95" customHeight="1">
      <c r="A621" s="174"/>
      <c r="B621" s="107"/>
      <c r="C621" s="109"/>
      <c r="D621" s="74"/>
      <c r="E621" s="87" t="s">
        <v>423</v>
      </c>
      <c r="F621" s="167"/>
    </row>
    <row r="622" spans="1:6" ht="24.95" customHeight="1">
      <c r="A622" s="174"/>
      <c r="B622" s="107"/>
      <c r="C622" s="109"/>
      <c r="D622" s="74"/>
      <c r="E622" s="87" t="s">
        <v>619</v>
      </c>
      <c r="F622" s="167"/>
    </row>
    <row r="623" spans="1:6" ht="24.95" customHeight="1">
      <c r="A623" s="174"/>
      <c r="B623" s="107"/>
      <c r="C623" s="109"/>
      <c r="D623" s="74"/>
      <c r="E623" s="87" t="s">
        <v>620</v>
      </c>
      <c r="F623" s="167"/>
    </row>
    <row r="624" spans="1:6" ht="24.95" customHeight="1">
      <c r="A624" s="174"/>
      <c r="B624" s="107"/>
      <c r="C624" s="109"/>
      <c r="D624" s="74"/>
      <c r="E624" s="87" t="s">
        <v>621</v>
      </c>
      <c r="F624" s="167"/>
    </row>
    <row r="625" spans="1:6" ht="24.95" customHeight="1">
      <c r="A625" s="174"/>
      <c r="B625" s="107"/>
      <c r="C625" s="109"/>
      <c r="D625" s="74"/>
      <c r="E625" s="87" t="s">
        <v>622</v>
      </c>
      <c r="F625" s="167"/>
    </row>
    <row r="626" spans="1:6" ht="24.95" customHeight="1">
      <c r="A626" s="174"/>
      <c r="B626" s="107"/>
      <c r="C626" s="109"/>
      <c r="D626" s="74"/>
      <c r="E626" s="87" t="s">
        <v>317</v>
      </c>
      <c r="F626" s="167"/>
    </row>
    <row r="627" spans="1:6" ht="24.95" customHeight="1">
      <c r="A627" s="174"/>
      <c r="B627" s="107"/>
      <c r="C627" s="109"/>
      <c r="D627" s="74"/>
      <c r="E627" s="87" t="s">
        <v>623</v>
      </c>
      <c r="F627" s="167"/>
    </row>
    <row r="628" spans="1:6" ht="24.95" customHeight="1">
      <c r="A628" s="174"/>
      <c r="B628" s="107"/>
      <c r="C628" s="109"/>
      <c r="D628" s="74"/>
      <c r="E628" s="87" t="s">
        <v>624</v>
      </c>
      <c r="F628" s="167"/>
    </row>
    <row r="629" spans="1:6" ht="24.95" customHeight="1">
      <c r="A629" s="174"/>
      <c r="B629" s="107"/>
      <c r="C629" s="109"/>
      <c r="D629" s="74"/>
      <c r="E629" s="87" t="s">
        <v>625</v>
      </c>
      <c r="F629" s="167"/>
    </row>
    <row r="630" spans="1:6" ht="24.95" customHeight="1">
      <c r="A630" s="174"/>
      <c r="B630" s="107"/>
      <c r="C630" s="109"/>
      <c r="D630" s="74"/>
      <c r="E630" s="87" t="s">
        <v>626</v>
      </c>
      <c r="F630" s="167"/>
    </row>
    <row r="631" spans="1:6" ht="24.95" customHeight="1">
      <c r="A631" s="174"/>
      <c r="B631" s="107"/>
      <c r="C631" s="109"/>
      <c r="D631" s="74"/>
      <c r="E631" s="87" t="s">
        <v>318</v>
      </c>
      <c r="F631" s="167"/>
    </row>
    <row r="632" spans="1:6" ht="24.95" customHeight="1">
      <c r="A632" s="174"/>
      <c r="B632" s="107"/>
      <c r="C632" s="109"/>
      <c r="D632" s="74"/>
      <c r="E632" s="87" t="s">
        <v>627</v>
      </c>
      <c r="F632" s="167"/>
    </row>
    <row r="633" spans="1:6" ht="24.95" customHeight="1">
      <c r="A633" s="174"/>
      <c r="B633" s="107"/>
      <c r="C633" s="109"/>
      <c r="D633" s="74"/>
      <c r="E633" s="87" t="s">
        <v>628</v>
      </c>
      <c r="F633" s="167"/>
    </row>
    <row r="634" spans="1:6" ht="24.95" customHeight="1">
      <c r="A634" s="174"/>
      <c r="B634" s="107"/>
      <c r="C634" s="109"/>
      <c r="D634" s="74"/>
      <c r="E634" s="87" t="s">
        <v>629</v>
      </c>
      <c r="F634" s="167"/>
    </row>
    <row r="635" spans="1:6" ht="24.95" customHeight="1">
      <c r="A635" s="174"/>
      <c r="B635" s="107"/>
      <c r="C635" s="109"/>
      <c r="D635" s="74"/>
      <c r="E635" s="87" t="s">
        <v>630</v>
      </c>
      <c r="F635" s="167"/>
    </row>
    <row r="636" spans="1:6" ht="24.95" customHeight="1">
      <c r="A636" s="174"/>
      <c r="B636" s="107"/>
      <c r="C636" s="109"/>
      <c r="D636" s="74"/>
      <c r="E636" s="87" t="s">
        <v>631</v>
      </c>
      <c r="F636" s="167"/>
    </row>
    <row r="637" spans="1:6" ht="24.95" customHeight="1">
      <c r="A637" s="174"/>
      <c r="B637" s="107"/>
      <c r="C637" s="109"/>
      <c r="D637" s="74"/>
      <c r="E637" s="87" t="s">
        <v>632</v>
      </c>
      <c r="F637" s="167"/>
    </row>
    <row r="638" spans="1:6" ht="24.95" customHeight="1">
      <c r="A638" s="174"/>
      <c r="B638" s="107"/>
      <c r="C638" s="109"/>
      <c r="D638" s="74"/>
      <c r="E638" s="87" t="s">
        <v>633</v>
      </c>
      <c r="F638" s="167"/>
    </row>
    <row r="639" spans="1:6" ht="24.95" customHeight="1">
      <c r="A639" s="174"/>
      <c r="B639" s="107"/>
      <c r="C639" s="109"/>
      <c r="D639" s="74"/>
      <c r="E639" s="87" t="s">
        <v>634</v>
      </c>
      <c r="F639" s="167"/>
    </row>
    <row r="640" spans="1:6" ht="24.95" customHeight="1">
      <c r="A640" s="174"/>
      <c r="B640" s="107"/>
      <c r="C640" s="109"/>
      <c r="D640" s="74"/>
      <c r="E640" s="87" t="s">
        <v>635</v>
      </c>
      <c r="F640" s="167"/>
    </row>
    <row r="641" spans="1:6" ht="24.95" customHeight="1">
      <c r="A641" s="174"/>
      <c r="B641" s="107"/>
      <c r="C641" s="109"/>
      <c r="D641" s="74"/>
      <c r="E641" s="87" t="s">
        <v>636</v>
      </c>
      <c r="F641" s="167"/>
    </row>
    <row r="642" spans="1:6" ht="24.95" customHeight="1">
      <c r="A642" s="174"/>
      <c r="B642" s="107"/>
      <c r="C642" s="109"/>
      <c r="D642" s="74"/>
      <c r="E642" s="87" t="s">
        <v>637</v>
      </c>
      <c r="F642" s="167"/>
    </row>
    <row r="643" spans="1:6" ht="24.95" customHeight="1">
      <c r="A643" s="174"/>
      <c r="B643" s="107"/>
      <c r="C643" s="109"/>
      <c r="D643" s="74"/>
      <c r="E643" s="87" t="s">
        <v>638</v>
      </c>
      <c r="F643" s="167"/>
    </row>
    <row r="644" spans="1:6" ht="24.95" customHeight="1">
      <c r="A644" s="174"/>
      <c r="B644" s="107"/>
      <c r="C644" s="109"/>
      <c r="D644" s="74"/>
      <c r="E644" s="87" t="s">
        <v>639</v>
      </c>
      <c r="F644" s="167"/>
    </row>
    <row r="645" spans="1:6" ht="24.95" customHeight="1">
      <c r="A645" s="174"/>
      <c r="B645" s="107"/>
      <c r="C645" s="109"/>
      <c r="D645" s="74"/>
      <c r="E645" s="87" t="s">
        <v>640</v>
      </c>
      <c r="F645" s="167"/>
    </row>
    <row r="646" spans="1:6" ht="24.95" customHeight="1">
      <c r="A646" s="174"/>
      <c r="B646" s="107"/>
      <c r="C646" s="109"/>
      <c r="D646" s="74"/>
      <c r="E646" s="87" t="s">
        <v>641</v>
      </c>
      <c r="F646" s="167"/>
    </row>
    <row r="647" spans="1:6" ht="24.95" customHeight="1">
      <c r="A647" s="174"/>
      <c r="B647" s="107"/>
      <c r="C647" s="109"/>
      <c r="D647" s="74"/>
      <c r="E647" s="87" t="s">
        <v>642</v>
      </c>
      <c r="F647" s="167"/>
    </row>
    <row r="648" spans="1:6" ht="24.95" customHeight="1">
      <c r="A648" s="174"/>
      <c r="B648" s="107"/>
      <c r="C648" s="109"/>
      <c r="D648" s="74"/>
      <c r="E648" s="87" t="s">
        <v>643</v>
      </c>
      <c r="F648" s="167"/>
    </row>
    <row r="649" spans="1:6" ht="24.95" customHeight="1">
      <c r="A649" s="174"/>
      <c r="B649" s="107"/>
      <c r="C649" s="109"/>
      <c r="D649" s="74"/>
      <c r="E649" s="87" t="s">
        <v>644</v>
      </c>
      <c r="F649" s="167"/>
    </row>
    <row r="650" spans="1:6" ht="24.95" customHeight="1">
      <c r="A650" s="174"/>
      <c r="B650" s="107"/>
      <c r="C650" s="109"/>
      <c r="D650" s="74"/>
      <c r="E650" s="87" t="s">
        <v>645</v>
      </c>
      <c r="F650" s="167"/>
    </row>
    <row r="651" spans="1:6" ht="24.95" customHeight="1">
      <c r="A651" s="174"/>
      <c r="B651" s="107"/>
      <c r="C651" s="109"/>
      <c r="D651" s="74"/>
      <c r="E651" s="87" t="s">
        <v>646</v>
      </c>
      <c r="F651" s="167"/>
    </row>
    <row r="652" spans="1:6" ht="24.95" customHeight="1">
      <c r="A652" s="174"/>
      <c r="B652" s="107"/>
      <c r="C652" s="109"/>
      <c r="D652" s="74"/>
      <c r="E652" s="87" t="s">
        <v>647</v>
      </c>
      <c r="F652" s="167"/>
    </row>
    <row r="653" spans="1:6" ht="24.95" customHeight="1">
      <c r="A653" s="174"/>
      <c r="B653" s="107"/>
      <c r="C653" s="109"/>
      <c r="D653" s="74"/>
      <c r="E653" s="87" t="s">
        <v>648</v>
      </c>
      <c r="F653" s="167"/>
    </row>
    <row r="654" spans="1:6" ht="24.95" customHeight="1">
      <c r="A654" s="174"/>
      <c r="B654" s="107"/>
      <c r="C654" s="109"/>
      <c r="D654" s="74"/>
      <c r="E654" s="87" t="s">
        <v>649</v>
      </c>
      <c r="F654" s="167"/>
    </row>
    <row r="655" spans="1:6" ht="24.95" customHeight="1">
      <c r="A655" s="174"/>
      <c r="B655" s="107"/>
      <c r="C655" s="109"/>
      <c r="D655" s="74"/>
      <c r="E655" s="87" t="s">
        <v>650</v>
      </c>
      <c r="F655" s="167"/>
    </row>
    <row r="656" spans="1:6" ht="24.95" customHeight="1">
      <c r="A656" s="174"/>
      <c r="B656" s="107"/>
      <c r="C656" s="109"/>
      <c r="D656" s="74"/>
      <c r="E656" s="87" t="s">
        <v>651</v>
      </c>
      <c r="F656" s="167"/>
    </row>
    <row r="657" spans="1:6" ht="24.95" customHeight="1">
      <c r="A657" s="174"/>
      <c r="B657" s="107"/>
      <c r="C657" s="109"/>
      <c r="D657" s="74"/>
      <c r="E657" s="87" t="s">
        <v>580</v>
      </c>
      <c r="F657" s="167"/>
    </row>
    <row r="658" spans="1:6" ht="24.95" customHeight="1">
      <c r="A658" s="174"/>
      <c r="B658" s="107"/>
      <c r="C658" s="109"/>
      <c r="D658" s="74"/>
      <c r="E658" s="87" t="s">
        <v>652</v>
      </c>
      <c r="F658" s="167"/>
    </row>
    <row r="659" spans="1:6" ht="24.95" customHeight="1">
      <c r="A659" s="174"/>
      <c r="B659" s="107"/>
      <c r="C659" s="109"/>
      <c r="D659" s="74"/>
      <c r="E659" s="87" t="s">
        <v>653</v>
      </c>
      <c r="F659" s="167"/>
    </row>
    <row r="660" spans="1:6" ht="24.95" customHeight="1">
      <c r="A660" s="174"/>
      <c r="B660" s="107"/>
      <c r="C660" s="109"/>
      <c r="D660" s="74"/>
      <c r="E660" s="87" t="s">
        <v>654</v>
      </c>
      <c r="F660" s="167"/>
    </row>
    <row r="661" spans="1:6" ht="24.95" customHeight="1">
      <c r="A661" s="174"/>
      <c r="B661" s="107"/>
      <c r="C661" s="109"/>
      <c r="D661" s="74"/>
      <c r="E661" s="87" t="s">
        <v>655</v>
      </c>
      <c r="F661" s="167"/>
    </row>
    <row r="662" spans="1:6" ht="24.95" customHeight="1">
      <c r="A662" s="174"/>
      <c r="B662" s="107"/>
      <c r="C662" s="109"/>
      <c r="D662" s="74"/>
      <c r="E662" s="87" t="s">
        <v>656</v>
      </c>
      <c r="F662" s="167"/>
    </row>
    <row r="663" spans="1:6" ht="24.95" customHeight="1">
      <c r="A663" s="174"/>
      <c r="B663" s="107"/>
      <c r="C663" s="109"/>
      <c r="D663" s="74"/>
      <c r="E663" s="87" t="s">
        <v>581</v>
      </c>
      <c r="F663" s="167"/>
    </row>
    <row r="664" spans="1:6" ht="24.95" customHeight="1">
      <c r="A664" s="174"/>
      <c r="B664" s="107"/>
      <c r="C664" s="109"/>
      <c r="D664" s="74"/>
      <c r="E664" s="87" t="s">
        <v>657</v>
      </c>
      <c r="F664" s="167"/>
    </row>
    <row r="665" spans="1:6" ht="24.95" customHeight="1">
      <c r="A665" s="174"/>
      <c r="B665" s="107"/>
      <c r="C665" s="109"/>
      <c r="D665" s="74"/>
      <c r="E665" s="87" t="s">
        <v>658</v>
      </c>
      <c r="F665" s="167"/>
    </row>
    <row r="666" spans="1:6" ht="24.95" customHeight="1">
      <c r="A666" s="174"/>
      <c r="B666" s="107"/>
      <c r="C666" s="109"/>
      <c r="D666" s="74"/>
      <c r="E666" s="87" t="s">
        <v>659</v>
      </c>
      <c r="F666" s="167"/>
    </row>
    <row r="667" spans="1:6" ht="24.95" customHeight="1">
      <c r="A667" s="174"/>
      <c r="B667" s="107"/>
      <c r="C667" s="109"/>
      <c r="D667" s="74"/>
      <c r="E667" s="87" t="s">
        <v>660</v>
      </c>
      <c r="F667" s="167"/>
    </row>
    <row r="668" spans="1:6" ht="24.95" customHeight="1">
      <c r="A668" s="174"/>
      <c r="B668" s="107"/>
      <c r="C668" s="109"/>
      <c r="D668" s="74"/>
      <c r="E668" s="87" t="s">
        <v>651</v>
      </c>
      <c r="F668" s="167"/>
    </row>
    <row r="669" spans="1:6" ht="24.95" customHeight="1">
      <c r="A669" s="174"/>
      <c r="B669" s="107"/>
      <c r="C669" s="109"/>
      <c r="D669" s="74"/>
      <c r="E669" s="87" t="s">
        <v>582</v>
      </c>
      <c r="F669" s="167"/>
    </row>
    <row r="670" spans="1:6" ht="24.95" customHeight="1">
      <c r="A670" s="174"/>
      <c r="B670" s="107"/>
      <c r="C670" s="109"/>
      <c r="D670" s="74"/>
      <c r="E670" s="87" t="s">
        <v>661</v>
      </c>
      <c r="F670" s="167"/>
    </row>
    <row r="671" spans="1:6" ht="24.95" customHeight="1">
      <c r="A671" s="174"/>
      <c r="B671" s="107"/>
      <c r="C671" s="109"/>
      <c r="D671" s="74"/>
      <c r="E671" s="87" t="s">
        <v>662</v>
      </c>
      <c r="F671" s="167"/>
    </row>
    <row r="672" spans="1:6" ht="24.95" customHeight="1">
      <c r="A672" s="174"/>
      <c r="B672" s="107"/>
      <c r="C672" s="109"/>
      <c r="D672" s="74"/>
      <c r="E672" s="87" t="s">
        <v>663</v>
      </c>
      <c r="F672" s="167"/>
    </row>
    <row r="673" spans="1:6" ht="24.95" customHeight="1">
      <c r="A673" s="174"/>
      <c r="B673" s="107"/>
      <c r="C673" s="109"/>
      <c r="D673" s="74"/>
      <c r="E673" s="87" t="s">
        <v>292</v>
      </c>
      <c r="F673" s="167">
        <v>185490000</v>
      </c>
    </row>
    <row r="674" spans="1:6" ht="24.95" customHeight="1">
      <c r="A674" s="174"/>
      <c r="B674" s="107"/>
      <c r="C674" s="109"/>
      <c r="D674" s="74"/>
      <c r="E674" s="87" t="s">
        <v>319</v>
      </c>
      <c r="F674" s="167"/>
    </row>
    <row r="675" spans="1:6" ht="24.95" customHeight="1">
      <c r="A675" s="174"/>
      <c r="B675" s="107"/>
      <c r="C675" s="109"/>
      <c r="D675" s="74"/>
      <c r="E675" s="87" t="s">
        <v>664</v>
      </c>
      <c r="F675" s="167"/>
    </row>
    <row r="676" spans="1:6" ht="24.95" customHeight="1">
      <c r="A676" s="174"/>
      <c r="B676" s="107"/>
      <c r="C676" s="109"/>
      <c r="D676" s="74"/>
      <c r="E676" s="87" t="s">
        <v>665</v>
      </c>
      <c r="F676" s="167"/>
    </row>
    <row r="677" spans="1:6" ht="24.95" customHeight="1">
      <c r="A677" s="174"/>
      <c r="B677" s="107"/>
      <c r="C677" s="109"/>
      <c r="D677" s="74"/>
      <c r="E677" s="87" t="s">
        <v>666</v>
      </c>
      <c r="F677" s="167"/>
    </row>
    <row r="678" spans="1:6" ht="24.95" customHeight="1">
      <c r="A678" s="174"/>
      <c r="B678" s="107"/>
      <c r="C678" s="109"/>
      <c r="D678" s="74"/>
      <c r="E678" s="87" t="s">
        <v>294</v>
      </c>
      <c r="F678" s="167"/>
    </row>
    <row r="679" spans="1:6" ht="24.95" customHeight="1">
      <c r="A679" s="174"/>
      <c r="B679" s="107"/>
      <c r="C679" s="109"/>
      <c r="D679" s="74"/>
      <c r="E679" s="87" t="s">
        <v>667</v>
      </c>
      <c r="F679" s="167"/>
    </row>
    <row r="680" spans="1:6" ht="24.95" customHeight="1">
      <c r="A680" s="174"/>
      <c r="B680" s="107"/>
      <c r="C680" s="109"/>
      <c r="D680" s="74"/>
      <c r="E680" s="87" t="s">
        <v>668</v>
      </c>
      <c r="F680" s="167"/>
    </row>
    <row r="681" spans="1:6" ht="24.95" customHeight="1">
      <c r="A681" s="174"/>
      <c r="B681" s="107"/>
      <c r="C681" s="109"/>
      <c r="D681" s="74"/>
      <c r="E681" s="87" t="s">
        <v>669</v>
      </c>
      <c r="F681" s="167"/>
    </row>
    <row r="682" spans="1:6" ht="24.95" customHeight="1">
      <c r="A682" s="174"/>
      <c r="B682" s="107"/>
      <c r="C682" s="109"/>
      <c r="D682" s="74"/>
      <c r="E682" s="86" t="s">
        <v>320</v>
      </c>
      <c r="F682" s="167"/>
    </row>
    <row r="683" spans="1:6" ht="24.95" customHeight="1">
      <c r="A683" s="174"/>
      <c r="B683" s="107"/>
      <c r="C683" s="109"/>
      <c r="D683" s="74"/>
      <c r="E683" s="86" t="s">
        <v>670</v>
      </c>
      <c r="F683" s="167"/>
    </row>
    <row r="684" spans="1:6" ht="24.95" customHeight="1">
      <c r="A684" s="174"/>
      <c r="B684" s="107"/>
      <c r="C684" s="109"/>
      <c r="D684" s="74"/>
      <c r="E684" s="86" t="s">
        <v>671</v>
      </c>
      <c r="F684" s="167"/>
    </row>
    <row r="685" spans="1:6" ht="24.95" customHeight="1">
      <c r="A685" s="174"/>
      <c r="B685" s="107"/>
      <c r="C685" s="109"/>
      <c r="D685" s="74"/>
      <c r="E685" s="86" t="s">
        <v>672</v>
      </c>
      <c r="F685" s="167"/>
    </row>
    <row r="686" spans="1:6" ht="24.95" customHeight="1">
      <c r="A686" s="174"/>
      <c r="B686" s="107"/>
      <c r="C686" s="109"/>
      <c r="D686" s="74"/>
      <c r="E686" s="87" t="s">
        <v>296</v>
      </c>
      <c r="F686" s="166"/>
    </row>
    <row r="687" spans="1:6" ht="24.95" customHeight="1">
      <c r="A687" s="174"/>
      <c r="B687" s="107"/>
      <c r="C687" s="109"/>
      <c r="D687" s="74"/>
      <c r="E687" s="87" t="s">
        <v>673</v>
      </c>
      <c r="F687" s="166"/>
    </row>
    <row r="688" spans="1:6" ht="24.95" customHeight="1">
      <c r="A688" s="174"/>
      <c r="B688" s="107"/>
      <c r="C688" s="109"/>
      <c r="D688" s="74"/>
      <c r="E688" s="87" t="s">
        <v>668</v>
      </c>
      <c r="F688" s="166"/>
    </row>
    <row r="689" spans="1:6" ht="24.95" customHeight="1">
      <c r="A689" s="174"/>
      <c r="B689" s="107"/>
      <c r="C689" s="109"/>
      <c r="D689" s="74"/>
      <c r="E689" s="87" t="s">
        <v>669</v>
      </c>
      <c r="F689" s="166"/>
    </row>
    <row r="690" spans="1:6" ht="24.95" customHeight="1">
      <c r="A690" s="174"/>
      <c r="B690" s="107"/>
      <c r="C690" s="109"/>
      <c r="D690" s="74"/>
      <c r="E690" s="87" t="s">
        <v>297</v>
      </c>
      <c r="F690" s="167"/>
    </row>
    <row r="691" spans="1:6" ht="24.95" customHeight="1">
      <c r="A691" s="174"/>
      <c r="B691" s="107"/>
      <c r="C691" s="109"/>
      <c r="D691" s="74"/>
      <c r="E691" s="109" t="s">
        <v>664</v>
      </c>
      <c r="F691" s="166"/>
    </row>
    <row r="692" spans="1:6" ht="24.95" customHeight="1">
      <c r="A692" s="174"/>
      <c r="B692" s="107"/>
      <c r="C692" s="109"/>
      <c r="D692" s="74"/>
      <c r="E692" s="86" t="s">
        <v>674</v>
      </c>
      <c r="F692" s="166"/>
    </row>
    <row r="693" spans="1:6" ht="24.95" customHeight="1">
      <c r="A693" s="174"/>
      <c r="B693" s="107"/>
      <c r="C693" s="109"/>
      <c r="D693" s="74"/>
      <c r="E693" s="86" t="s">
        <v>675</v>
      </c>
      <c r="F693" s="166"/>
    </row>
    <row r="694" spans="1:6" ht="24.95" customHeight="1">
      <c r="A694" s="174"/>
      <c r="B694" s="107"/>
      <c r="C694" s="109"/>
      <c r="D694" s="74"/>
      <c r="E694" s="86" t="s">
        <v>298</v>
      </c>
      <c r="F694" s="166"/>
    </row>
    <row r="695" spans="1:6" ht="24.95" customHeight="1">
      <c r="A695" s="174"/>
      <c r="B695" s="107"/>
      <c r="C695" s="109"/>
      <c r="D695" s="74"/>
      <c r="E695" s="86" t="s">
        <v>676</v>
      </c>
      <c r="F695" s="166"/>
    </row>
    <row r="696" spans="1:6" ht="24.95" customHeight="1">
      <c r="A696" s="174"/>
      <c r="B696" s="107"/>
      <c r="C696" s="109"/>
      <c r="D696" s="74"/>
      <c r="E696" s="86" t="s">
        <v>677</v>
      </c>
      <c r="F696" s="166"/>
    </row>
    <row r="697" spans="1:6" ht="24.95" customHeight="1">
      <c r="A697" s="174"/>
      <c r="B697" s="107"/>
      <c r="C697" s="109"/>
      <c r="D697" s="74"/>
      <c r="E697" s="86" t="s">
        <v>678</v>
      </c>
      <c r="F697" s="166"/>
    </row>
    <row r="698" spans="1:6" ht="24.95" customHeight="1">
      <c r="A698" s="174"/>
      <c r="B698" s="107"/>
      <c r="C698" s="109"/>
      <c r="D698" s="74"/>
      <c r="E698" s="86" t="s">
        <v>299</v>
      </c>
      <c r="F698" s="166">
        <v>45850000</v>
      </c>
    </row>
    <row r="699" spans="1:6" ht="24.95" customHeight="1">
      <c r="A699" s="174"/>
      <c r="B699" s="107"/>
      <c r="C699" s="109"/>
      <c r="D699" s="74"/>
      <c r="E699" s="86" t="s">
        <v>679</v>
      </c>
      <c r="F699" s="166"/>
    </row>
    <row r="700" spans="1:6" ht="24.95" customHeight="1">
      <c r="A700" s="174"/>
      <c r="B700" s="107"/>
      <c r="C700" s="109"/>
      <c r="D700" s="74"/>
      <c r="E700" s="86" t="s">
        <v>680</v>
      </c>
      <c r="F700" s="166"/>
    </row>
    <row r="701" spans="1:6" ht="24.95" customHeight="1">
      <c r="A701" s="174"/>
      <c r="B701" s="107"/>
      <c r="C701" s="109"/>
      <c r="D701" s="74"/>
      <c r="E701" s="86" t="s">
        <v>681</v>
      </c>
      <c r="F701" s="166"/>
    </row>
    <row r="702" spans="1:6" ht="24.95" customHeight="1">
      <c r="A702" s="174"/>
      <c r="B702" s="107"/>
      <c r="C702" s="109"/>
      <c r="D702" s="74"/>
      <c r="E702" s="86" t="s">
        <v>682</v>
      </c>
      <c r="F702" s="166"/>
    </row>
    <row r="703" spans="1:6" ht="24.95" customHeight="1">
      <c r="A703" s="174"/>
      <c r="B703" s="107"/>
      <c r="C703" s="109"/>
      <c r="D703" s="135">
        <v>20850000</v>
      </c>
      <c r="E703" s="72" t="s">
        <v>727</v>
      </c>
      <c r="F703" s="167"/>
    </row>
    <row r="704" spans="1:6" ht="24.95" customHeight="1">
      <c r="A704" s="174"/>
      <c r="B704" s="107"/>
      <c r="C704" s="109"/>
      <c r="D704" s="135"/>
      <c r="E704" s="109" t="s">
        <v>497</v>
      </c>
      <c r="F704" s="167">
        <v>9000000</v>
      </c>
    </row>
    <row r="705" spans="1:6" ht="24.95" customHeight="1">
      <c r="A705" s="174"/>
      <c r="B705" s="107"/>
      <c r="C705" s="109"/>
      <c r="D705" s="135"/>
      <c r="E705" s="109" t="s">
        <v>496</v>
      </c>
      <c r="F705" s="167">
        <v>1850000</v>
      </c>
    </row>
    <row r="706" spans="1:6" ht="24.95" customHeight="1">
      <c r="A706" s="174"/>
      <c r="B706" s="107"/>
      <c r="C706" s="109"/>
      <c r="D706" s="135"/>
      <c r="E706" s="109" t="s">
        <v>498</v>
      </c>
      <c r="F706" s="167">
        <v>8000000</v>
      </c>
    </row>
    <row r="707" spans="1:6" ht="24.95" customHeight="1">
      <c r="A707" s="302"/>
      <c r="B707" s="107"/>
      <c r="C707" s="109"/>
      <c r="D707" s="135"/>
      <c r="E707" s="109" t="s">
        <v>499</v>
      </c>
      <c r="F707" s="167">
        <v>2000000</v>
      </c>
    </row>
    <row r="708" spans="1:6" s="35" customFormat="1" ht="24.95" customHeight="1">
      <c r="A708" s="302"/>
      <c r="B708" s="76"/>
      <c r="C708" s="72"/>
      <c r="D708" s="135">
        <v>189015000</v>
      </c>
      <c r="E708" s="89" t="s">
        <v>699</v>
      </c>
      <c r="F708" s="172"/>
    </row>
    <row r="709" spans="1:6" s="35" customFormat="1" ht="24.95" customHeight="1">
      <c r="A709" s="302"/>
      <c r="B709" s="76"/>
      <c r="C709" s="72"/>
      <c r="D709" s="74"/>
      <c r="E709" s="41" t="s">
        <v>321</v>
      </c>
      <c r="F709" s="47">
        <v>4000000</v>
      </c>
    </row>
    <row r="710" spans="1:6" s="35" customFormat="1" ht="24.95" customHeight="1">
      <c r="A710" s="302"/>
      <c r="B710" s="76"/>
      <c r="C710" s="72"/>
      <c r="D710" s="74"/>
      <c r="E710" s="41" t="s">
        <v>322</v>
      </c>
      <c r="F710" s="47">
        <v>59015000</v>
      </c>
    </row>
    <row r="711" spans="1:6" s="35" customFormat="1" ht="24.95" customHeight="1">
      <c r="A711" s="302"/>
      <c r="B711" s="76"/>
      <c r="C711" s="72"/>
      <c r="D711" s="74"/>
      <c r="E711" s="40" t="s">
        <v>899</v>
      </c>
      <c r="F711" s="47"/>
    </row>
    <row r="712" spans="1:6" s="35" customFormat="1" ht="24.95" customHeight="1">
      <c r="A712" s="302"/>
      <c r="B712" s="76"/>
      <c r="C712" s="72"/>
      <c r="D712" s="74"/>
      <c r="E712" s="40" t="s">
        <v>900</v>
      </c>
      <c r="F712" s="47"/>
    </row>
    <row r="713" spans="1:6" s="116" customFormat="1" ht="24.95" customHeight="1">
      <c r="A713" s="302"/>
      <c r="B713" s="115"/>
      <c r="C713" s="109"/>
      <c r="D713" s="74"/>
      <c r="E713" s="40" t="s">
        <v>901</v>
      </c>
      <c r="F713" s="47"/>
    </row>
    <row r="714" spans="1:6" s="116" customFormat="1" ht="24.95" customHeight="1">
      <c r="A714" s="182"/>
      <c r="B714" s="296"/>
      <c r="C714" s="117"/>
      <c r="D714" s="103"/>
      <c r="E714" s="40" t="s">
        <v>902</v>
      </c>
      <c r="F714" s="47"/>
    </row>
    <row r="715" spans="1:6" ht="24.95" customHeight="1">
      <c r="A715" s="174"/>
      <c r="B715" s="107"/>
      <c r="C715" s="109"/>
      <c r="D715" s="103"/>
      <c r="E715" s="40" t="s">
        <v>903</v>
      </c>
      <c r="F715" s="47"/>
    </row>
    <row r="716" spans="1:6" ht="24.95" customHeight="1">
      <c r="A716" s="174"/>
      <c r="B716" s="107"/>
      <c r="C716" s="109"/>
      <c r="D716" s="103"/>
      <c r="E716" s="40" t="s">
        <v>891</v>
      </c>
      <c r="F716" s="47">
        <v>126000000</v>
      </c>
    </row>
    <row r="717" spans="1:6" s="1" customFormat="1" ht="24.95" customHeight="1">
      <c r="A717" s="182"/>
      <c r="B717" s="292" t="s">
        <v>115</v>
      </c>
      <c r="C717" s="114"/>
      <c r="D717" s="101">
        <f>SUM(D718)</f>
        <v>1069455955</v>
      </c>
      <c r="E717" s="114"/>
      <c r="F717" s="177"/>
    </row>
    <row r="718" spans="1:6" ht="24.95" customHeight="1">
      <c r="A718" s="174"/>
      <c r="B718" s="108"/>
      <c r="C718" s="59" t="s">
        <v>115</v>
      </c>
      <c r="D718" s="92">
        <f>SUM(D719:D740)</f>
        <v>1069455955</v>
      </c>
      <c r="E718" s="59"/>
      <c r="F718" s="176"/>
    </row>
    <row r="719" spans="1:6" ht="24.95" customHeight="1">
      <c r="A719" s="174"/>
      <c r="B719" s="107"/>
      <c r="C719" s="109"/>
      <c r="D719" s="135">
        <v>314493432</v>
      </c>
      <c r="E719" s="64" t="s">
        <v>282</v>
      </c>
      <c r="F719" s="29"/>
    </row>
    <row r="720" spans="1:6" ht="24.95" customHeight="1">
      <c r="A720" s="174"/>
      <c r="B720" s="107"/>
      <c r="C720" s="109"/>
      <c r="D720" s="74"/>
      <c r="E720" s="84" t="s">
        <v>187</v>
      </c>
      <c r="F720" s="29">
        <v>314493432</v>
      </c>
    </row>
    <row r="721" spans="1:6" ht="24.95" customHeight="1">
      <c r="A721" s="174"/>
      <c r="B721" s="107"/>
      <c r="C721" s="109"/>
      <c r="D721" s="135">
        <v>633000000</v>
      </c>
      <c r="E721" s="72" t="s">
        <v>283</v>
      </c>
      <c r="F721" s="30"/>
    </row>
    <row r="722" spans="1:6" ht="24.95" customHeight="1">
      <c r="A722" s="174"/>
      <c r="B722" s="107"/>
      <c r="C722" s="109"/>
      <c r="D722" s="74"/>
      <c r="E722" s="338" t="s">
        <v>950</v>
      </c>
      <c r="F722" s="25">
        <v>40000000</v>
      </c>
    </row>
    <row r="723" spans="1:6" ht="24.95" customHeight="1">
      <c r="A723" s="174"/>
      <c r="B723" s="107"/>
      <c r="C723" s="109"/>
      <c r="D723" s="74"/>
      <c r="E723" s="338" t="s">
        <v>951</v>
      </c>
      <c r="F723" s="25">
        <v>30000000</v>
      </c>
    </row>
    <row r="724" spans="1:6" ht="24.95" customHeight="1">
      <c r="A724" s="174"/>
      <c r="B724" s="107"/>
      <c r="C724" s="109"/>
      <c r="D724" s="74"/>
      <c r="E724" s="338" t="s">
        <v>952</v>
      </c>
      <c r="F724" s="25">
        <v>25000000</v>
      </c>
    </row>
    <row r="725" spans="1:6" ht="24.95" customHeight="1">
      <c r="A725" s="174"/>
      <c r="B725" s="107"/>
      <c r="C725" s="109"/>
      <c r="D725" s="74"/>
      <c r="E725" s="338" t="s">
        <v>953</v>
      </c>
      <c r="F725" s="25">
        <v>300000000</v>
      </c>
    </row>
    <row r="726" spans="1:6" ht="24.95" customHeight="1">
      <c r="A726" s="174"/>
      <c r="B726" s="107"/>
      <c r="C726" s="109"/>
      <c r="D726" s="74"/>
      <c r="E726" s="338" t="s">
        <v>954</v>
      </c>
      <c r="F726" s="25">
        <v>60000000</v>
      </c>
    </row>
    <row r="727" spans="1:6" ht="24.95" customHeight="1">
      <c r="A727" s="174"/>
      <c r="B727" s="107"/>
      <c r="C727" s="109"/>
      <c r="D727" s="74"/>
      <c r="E727" s="338" t="s">
        <v>955</v>
      </c>
      <c r="F727" s="25">
        <v>20000000</v>
      </c>
    </row>
    <row r="728" spans="1:6" ht="24.95" customHeight="1">
      <c r="A728" s="174"/>
      <c r="B728" s="107"/>
      <c r="C728" s="109"/>
      <c r="D728" s="74"/>
      <c r="E728" s="338" t="s">
        <v>956</v>
      </c>
      <c r="F728" s="25">
        <v>45000000</v>
      </c>
    </row>
    <row r="729" spans="1:6" ht="24.95" customHeight="1">
      <c r="A729" s="174"/>
      <c r="B729" s="107"/>
      <c r="C729" s="109"/>
      <c r="D729" s="74"/>
      <c r="E729" s="338" t="s">
        <v>957</v>
      </c>
      <c r="F729" s="25">
        <v>15000000</v>
      </c>
    </row>
    <row r="730" spans="1:6" ht="24.95" customHeight="1">
      <c r="A730" s="174"/>
      <c r="B730" s="107"/>
      <c r="C730" s="109"/>
      <c r="D730" s="74"/>
      <c r="E730" s="338" t="s">
        <v>958</v>
      </c>
      <c r="F730" s="25">
        <v>16000000</v>
      </c>
    </row>
    <row r="731" spans="1:6" ht="24.95" customHeight="1">
      <c r="A731" s="174"/>
      <c r="B731" s="107"/>
      <c r="C731" s="109"/>
      <c r="D731" s="74"/>
      <c r="E731" s="338" t="s">
        <v>959</v>
      </c>
      <c r="F731" s="25">
        <v>10000000</v>
      </c>
    </row>
    <row r="732" spans="1:6" ht="24.95" customHeight="1">
      <c r="A732" s="174"/>
      <c r="B732" s="107"/>
      <c r="C732" s="109"/>
      <c r="D732" s="74"/>
      <c r="E732" s="338" t="s">
        <v>960</v>
      </c>
      <c r="F732" s="25">
        <v>20000000</v>
      </c>
    </row>
    <row r="733" spans="1:6" ht="24.95" customHeight="1">
      <c r="A733" s="174"/>
      <c r="B733" s="107"/>
      <c r="C733" s="109"/>
      <c r="D733" s="74"/>
      <c r="E733" s="338" t="s">
        <v>961</v>
      </c>
      <c r="F733" s="25">
        <v>17000000</v>
      </c>
    </row>
    <row r="734" spans="1:6" ht="24.95" customHeight="1">
      <c r="A734" s="174"/>
      <c r="B734" s="107"/>
      <c r="C734" s="109"/>
      <c r="D734" s="74"/>
      <c r="E734" s="338" t="s">
        <v>962</v>
      </c>
      <c r="F734" s="25">
        <v>35000000</v>
      </c>
    </row>
    <row r="735" spans="1:6" ht="24.95" customHeight="1">
      <c r="A735" s="174"/>
      <c r="B735" s="107"/>
      <c r="C735" s="109"/>
      <c r="D735" s="74">
        <v>2153305</v>
      </c>
      <c r="E735" s="49" t="s">
        <v>1145</v>
      </c>
      <c r="F735" s="25"/>
    </row>
    <row r="736" spans="1:6" ht="24.95" customHeight="1">
      <c r="A736" s="174"/>
      <c r="B736" s="107"/>
      <c r="C736" s="109"/>
      <c r="D736" s="74">
        <v>10000000</v>
      </c>
      <c r="E736" s="49" t="s">
        <v>1146</v>
      </c>
      <c r="F736" s="25"/>
    </row>
    <row r="737" spans="1:6" ht="24.95" customHeight="1">
      <c r="A737" s="174"/>
      <c r="B737" s="107"/>
      <c r="C737" s="109"/>
      <c r="D737" s="135">
        <v>109809218</v>
      </c>
      <c r="E737" s="68" t="s">
        <v>1147</v>
      </c>
      <c r="F737" s="167"/>
    </row>
    <row r="738" spans="1:6" ht="24.95" customHeight="1">
      <c r="A738" s="174"/>
      <c r="B738" s="107"/>
      <c r="C738" s="109"/>
      <c r="D738" s="135"/>
      <c r="E738" s="71" t="s">
        <v>906</v>
      </c>
      <c r="F738" s="167">
        <v>20000000</v>
      </c>
    </row>
    <row r="739" spans="1:6" ht="24.95" customHeight="1">
      <c r="A739" s="174"/>
      <c r="B739" s="107"/>
      <c r="C739" s="109"/>
      <c r="D739" s="135"/>
      <c r="E739" s="41" t="s">
        <v>904</v>
      </c>
      <c r="F739" s="47">
        <v>69809218</v>
      </c>
    </row>
    <row r="740" spans="1:6" ht="24.95" customHeight="1">
      <c r="A740" s="174"/>
      <c r="B740" s="295"/>
      <c r="C740" s="109"/>
      <c r="D740" s="103"/>
      <c r="E740" s="41" t="s">
        <v>905</v>
      </c>
      <c r="F740" s="47">
        <v>20000000</v>
      </c>
    </row>
    <row r="741" spans="1:6" s="116" customFormat="1" ht="24.95" customHeight="1">
      <c r="A741" s="191" t="s">
        <v>116</v>
      </c>
      <c r="B741" s="110"/>
      <c r="C741" s="111"/>
      <c r="D741" s="99">
        <f>D742</f>
        <v>18254326218</v>
      </c>
      <c r="E741" s="147"/>
      <c r="F741" s="178"/>
    </row>
    <row r="742" spans="1:6" s="116" customFormat="1" ht="24.95" customHeight="1">
      <c r="A742" s="302"/>
      <c r="B742" s="292" t="s">
        <v>117</v>
      </c>
      <c r="C742" s="114"/>
      <c r="D742" s="101">
        <f>SUM(D743+D776+D786+D797+D820+D842+D859+D878+D893+D911+D921+D931+D943+D794+D940)</f>
        <v>18254326218</v>
      </c>
      <c r="E742" s="114"/>
      <c r="F742" s="177"/>
    </row>
    <row r="743" spans="1:6" s="116" customFormat="1" ht="24.95" customHeight="1">
      <c r="A743" s="302"/>
      <c r="B743" s="115"/>
      <c r="C743" s="146" t="s">
        <v>118</v>
      </c>
      <c r="D743" s="92">
        <f>SUM(D744:D774)</f>
        <v>3011318240</v>
      </c>
      <c r="E743" s="146"/>
      <c r="F743" s="176"/>
    </row>
    <row r="744" spans="1:6" s="116" customFormat="1" ht="24.95" customHeight="1">
      <c r="A744" s="302"/>
      <c r="B744" s="115"/>
      <c r="C744" s="109"/>
      <c r="D744" s="135">
        <v>23559000</v>
      </c>
      <c r="E744" s="151" t="s">
        <v>1154</v>
      </c>
      <c r="F744" s="30"/>
    </row>
    <row r="745" spans="1:6" s="116" customFormat="1" ht="24.95" customHeight="1">
      <c r="A745" s="302"/>
      <c r="B745" s="115"/>
      <c r="C745" s="109"/>
      <c r="D745" s="135"/>
      <c r="E745" s="28" t="s">
        <v>1148</v>
      </c>
      <c r="F745" s="30">
        <v>9837000</v>
      </c>
    </row>
    <row r="746" spans="1:6" s="116" customFormat="1" ht="24.95" customHeight="1">
      <c r="A746" s="302"/>
      <c r="B746" s="115"/>
      <c r="C746" s="109"/>
      <c r="D746" s="135"/>
      <c r="E746" s="28" t="s">
        <v>1149</v>
      </c>
      <c r="F746" s="30">
        <v>2952000</v>
      </c>
    </row>
    <row r="747" spans="1:6" s="116" customFormat="1" ht="24.95" customHeight="1">
      <c r="A747" s="302"/>
      <c r="B747" s="115"/>
      <c r="C747" s="109"/>
      <c r="D747" s="135"/>
      <c r="E747" s="28" t="s">
        <v>1150</v>
      </c>
      <c r="F747" s="30">
        <v>240000</v>
      </c>
    </row>
    <row r="748" spans="1:6" s="118" customFormat="1" ht="24.95" customHeight="1">
      <c r="A748" s="302"/>
      <c r="B748" s="115"/>
      <c r="C748" s="3"/>
      <c r="D748" s="74"/>
      <c r="E748" s="28" t="s">
        <v>1151</v>
      </c>
      <c r="F748" s="30">
        <v>2430000</v>
      </c>
    </row>
    <row r="749" spans="1:6" s="118" customFormat="1" ht="24.95" customHeight="1">
      <c r="A749" s="302"/>
      <c r="B749" s="115"/>
      <c r="C749" s="109"/>
      <c r="D749" s="74"/>
      <c r="E749" s="28" t="s">
        <v>1152</v>
      </c>
      <c r="F749" s="30">
        <v>6900000</v>
      </c>
    </row>
    <row r="750" spans="1:6" s="118" customFormat="1" ht="24.95" customHeight="1">
      <c r="A750" s="302"/>
      <c r="B750" s="115"/>
      <c r="C750" s="109"/>
      <c r="D750" s="74"/>
      <c r="E750" s="28" t="s">
        <v>1153</v>
      </c>
      <c r="F750" s="30">
        <v>1200000</v>
      </c>
    </row>
    <row r="751" spans="1:6" s="118" customFormat="1" ht="24.95" customHeight="1">
      <c r="A751" s="302"/>
      <c r="B751" s="115"/>
      <c r="C751" s="109"/>
      <c r="D751" s="135">
        <v>68400000</v>
      </c>
      <c r="E751" s="151" t="s">
        <v>323</v>
      </c>
      <c r="F751" s="30"/>
    </row>
    <row r="752" spans="1:6" s="118" customFormat="1" ht="24.95" customHeight="1">
      <c r="A752" s="302"/>
      <c r="B752" s="115"/>
      <c r="C752" s="109"/>
      <c r="D752" s="135"/>
      <c r="E752" s="338" t="s">
        <v>1155</v>
      </c>
      <c r="F752" s="25">
        <v>54000000</v>
      </c>
    </row>
    <row r="753" spans="1:6" s="118" customFormat="1" ht="24.95" customHeight="1">
      <c r="A753" s="302"/>
      <c r="B753" s="115"/>
      <c r="C753" s="109"/>
      <c r="D753" s="135"/>
      <c r="E753" s="338" t="s">
        <v>1157</v>
      </c>
      <c r="F753" s="25">
        <v>7200000</v>
      </c>
    </row>
    <row r="754" spans="1:6" s="118" customFormat="1" ht="24.95" customHeight="1">
      <c r="A754" s="302"/>
      <c r="B754" s="115"/>
      <c r="C754" s="109"/>
      <c r="D754" s="74"/>
      <c r="E754" s="338" t="s">
        <v>1156</v>
      </c>
      <c r="F754" s="25">
        <v>7200000</v>
      </c>
    </row>
    <row r="755" spans="1:6" s="118" customFormat="1" ht="24.95" customHeight="1">
      <c r="A755" s="302"/>
      <c r="B755" s="115"/>
      <c r="C755" s="109"/>
      <c r="D755" s="135">
        <v>124052000</v>
      </c>
      <c r="E755" s="151" t="s">
        <v>324</v>
      </c>
      <c r="F755" s="30"/>
    </row>
    <row r="756" spans="1:6" s="118" customFormat="1" ht="24.95" customHeight="1">
      <c r="A756" s="302"/>
      <c r="B756" s="115"/>
      <c r="C756" s="109"/>
      <c r="D756" s="135"/>
      <c r="E756" s="28" t="s">
        <v>1158</v>
      </c>
      <c r="F756" s="30">
        <v>57600000</v>
      </c>
    </row>
    <row r="757" spans="1:6" s="118" customFormat="1" ht="24.95" customHeight="1">
      <c r="A757" s="302"/>
      <c r="B757" s="115"/>
      <c r="C757" s="109"/>
      <c r="D757" s="135"/>
      <c r="E757" s="28" t="s">
        <v>1159</v>
      </c>
      <c r="F757" s="30">
        <v>10152000</v>
      </c>
    </row>
    <row r="758" spans="1:6" s="118" customFormat="1" ht="24.95" customHeight="1">
      <c r="A758" s="302"/>
      <c r="B758" s="115"/>
      <c r="C758" s="109"/>
      <c r="D758" s="135"/>
      <c r="E758" s="28" t="s">
        <v>1160</v>
      </c>
      <c r="F758" s="30">
        <v>10800000</v>
      </c>
    </row>
    <row r="759" spans="1:6" s="118" customFormat="1" ht="24.95" customHeight="1">
      <c r="A759" s="302"/>
      <c r="B759" s="115"/>
      <c r="C759" s="109"/>
      <c r="D759" s="135"/>
      <c r="E759" s="28" t="s">
        <v>1161</v>
      </c>
      <c r="F759" s="30">
        <v>45500000</v>
      </c>
    </row>
    <row r="760" spans="1:6" s="116" customFormat="1" ht="24.95" customHeight="1">
      <c r="A760" s="302"/>
      <c r="B760" s="115"/>
      <c r="C760" s="109"/>
      <c r="D760" s="74">
        <v>2686044000</v>
      </c>
      <c r="E760" s="151" t="s">
        <v>325</v>
      </c>
      <c r="F760" s="172"/>
    </row>
    <row r="761" spans="1:6" s="116" customFormat="1" ht="24.95" customHeight="1">
      <c r="A761" s="302"/>
      <c r="B761" s="115"/>
      <c r="C761" s="109"/>
      <c r="D761" s="74"/>
      <c r="E761" s="14" t="s">
        <v>1288</v>
      </c>
      <c r="F761" s="172">
        <v>836400000</v>
      </c>
    </row>
    <row r="762" spans="1:6" s="116" customFormat="1" ht="24.95" customHeight="1">
      <c r="A762" s="302"/>
      <c r="B762" s="115"/>
      <c r="C762" s="109"/>
      <c r="D762" s="74"/>
      <c r="E762" s="14" t="s">
        <v>1289</v>
      </c>
      <c r="F762" s="172">
        <v>150000000</v>
      </c>
    </row>
    <row r="763" spans="1:6" s="116" customFormat="1" ht="24.95" customHeight="1">
      <c r="A763" s="302"/>
      <c r="B763" s="115"/>
      <c r="C763" s="109"/>
      <c r="D763" s="74"/>
      <c r="E763" s="14" t="s">
        <v>1298</v>
      </c>
      <c r="F763" s="172">
        <v>702000000</v>
      </c>
    </row>
    <row r="764" spans="1:6" s="116" customFormat="1" ht="24.95" customHeight="1">
      <c r="A764" s="302"/>
      <c r="B764" s="115"/>
      <c r="C764" s="109"/>
      <c r="D764" s="74"/>
      <c r="E764" s="14" t="s">
        <v>1290</v>
      </c>
      <c r="F764" s="172">
        <v>138744000</v>
      </c>
    </row>
    <row r="765" spans="1:6" s="116" customFormat="1" ht="24.95" customHeight="1">
      <c r="A765" s="302"/>
      <c r="B765" s="115"/>
      <c r="C765" s="109"/>
      <c r="D765" s="74"/>
      <c r="E765" s="14" t="s">
        <v>326</v>
      </c>
      <c r="F765" s="172">
        <v>13650000</v>
      </c>
    </row>
    <row r="766" spans="1:6" s="116" customFormat="1" ht="24.95" customHeight="1">
      <c r="A766" s="302"/>
      <c r="B766" s="115"/>
      <c r="C766" s="109"/>
      <c r="D766" s="74"/>
      <c r="E766" s="14" t="s">
        <v>327</v>
      </c>
      <c r="F766" s="172">
        <f>93480000+14250000+225720000</f>
        <v>333450000</v>
      </c>
    </row>
    <row r="767" spans="1:6" s="116" customFormat="1" ht="24.95" customHeight="1">
      <c r="A767" s="302"/>
      <c r="B767" s="115"/>
      <c r="C767" s="109"/>
      <c r="D767" s="74"/>
      <c r="E767" s="14" t="s">
        <v>328</v>
      </c>
      <c r="F767" s="172">
        <v>69000000</v>
      </c>
    </row>
    <row r="768" spans="1:6" s="116" customFormat="1" ht="24.95" customHeight="1">
      <c r="A768" s="302"/>
      <c r="B768" s="115"/>
      <c r="C768" s="109"/>
      <c r="D768" s="74"/>
      <c r="E768" s="14" t="s">
        <v>424</v>
      </c>
      <c r="F768" s="172">
        <v>10800000</v>
      </c>
    </row>
    <row r="769" spans="1:6" s="116" customFormat="1" ht="24.95" customHeight="1">
      <c r="A769" s="302"/>
      <c r="B769" s="115"/>
      <c r="C769" s="109"/>
      <c r="D769" s="74"/>
      <c r="E769" s="14" t="s">
        <v>1291</v>
      </c>
      <c r="F769" s="172">
        <v>432000000</v>
      </c>
    </row>
    <row r="770" spans="1:6" s="116" customFormat="1" ht="24.95" customHeight="1">
      <c r="A770" s="302"/>
      <c r="B770" s="115"/>
      <c r="C770" s="109"/>
      <c r="D770" s="135">
        <v>109263240</v>
      </c>
      <c r="E770" s="151" t="s">
        <v>329</v>
      </c>
      <c r="F770" s="172"/>
    </row>
    <row r="771" spans="1:6" s="116" customFormat="1" ht="24.95" customHeight="1">
      <c r="A771" s="302"/>
      <c r="B771" s="115"/>
      <c r="C771" s="109"/>
      <c r="D771" s="74"/>
      <c r="E771" s="36" t="s">
        <v>907</v>
      </c>
      <c r="F771" s="37">
        <v>72000000</v>
      </c>
    </row>
    <row r="772" spans="1:6" s="116" customFormat="1" ht="24.95" customHeight="1">
      <c r="A772" s="302"/>
      <c r="B772" s="115"/>
      <c r="C772" s="109"/>
      <c r="D772" s="74"/>
      <c r="E772" s="36" t="s">
        <v>908</v>
      </c>
      <c r="F772" s="37">
        <v>15120000</v>
      </c>
    </row>
    <row r="773" spans="1:6" s="116" customFormat="1" ht="24.95" customHeight="1">
      <c r="A773" s="302"/>
      <c r="B773" s="115"/>
      <c r="C773" s="109"/>
      <c r="D773" s="74"/>
      <c r="E773" s="36" t="s">
        <v>909</v>
      </c>
      <c r="F773" s="37">
        <v>4725000</v>
      </c>
    </row>
    <row r="774" spans="1:6" s="116" customFormat="1" ht="24.95" customHeight="1">
      <c r="A774" s="302"/>
      <c r="B774" s="115"/>
      <c r="C774" s="109"/>
      <c r="D774" s="74"/>
      <c r="E774" s="36" t="s">
        <v>910</v>
      </c>
      <c r="F774" s="37">
        <v>10218240</v>
      </c>
    </row>
    <row r="775" spans="1:6" s="60" customFormat="1" ht="24.95" customHeight="1">
      <c r="A775" s="302"/>
      <c r="B775" s="81"/>
      <c r="C775" s="61"/>
      <c r="D775" s="135"/>
      <c r="E775" s="36" t="s">
        <v>911</v>
      </c>
      <c r="F775" s="37">
        <v>7200000</v>
      </c>
    </row>
    <row r="776" spans="1:6" s="116" customFormat="1" ht="24.95" customHeight="1">
      <c r="A776" s="302"/>
      <c r="B776" s="115"/>
      <c r="C776" s="146" t="s">
        <v>95</v>
      </c>
      <c r="D776" s="92">
        <f>SUM(D777:D785)</f>
        <v>269300000</v>
      </c>
      <c r="E776" s="408"/>
      <c r="F776" s="409"/>
    </row>
    <row r="777" spans="1:6" s="116" customFormat="1" ht="24.95" customHeight="1">
      <c r="A777" s="302"/>
      <c r="B777" s="115"/>
      <c r="C777" s="61"/>
      <c r="D777" s="135">
        <v>4500000</v>
      </c>
      <c r="E777" s="89" t="s">
        <v>1162</v>
      </c>
      <c r="F777" s="30"/>
    </row>
    <row r="778" spans="1:6" s="116" customFormat="1" ht="24.95" customHeight="1">
      <c r="A778" s="302"/>
      <c r="B778" s="115"/>
      <c r="C778" s="61"/>
      <c r="D778" s="135"/>
      <c r="E778" s="321" t="s">
        <v>330</v>
      </c>
      <c r="F778" s="25">
        <v>4500000</v>
      </c>
    </row>
    <row r="779" spans="1:6" s="116" customFormat="1" ht="24.95" customHeight="1">
      <c r="A779" s="302"/>
      <c r="B779" s="115"/>
      <c r="C779" s="61"/>
      <c r="D779" s="135">
        <v>4800000</v>
      </c>
      <c r="E779" s="89" t="s">
        <v>1163</v>
      </c>
      <c r="F779" s="30"/>
    </row>
    <row r="780" spans="1:6" s="116" customFormat="1" ht="24.95" customHeight="1">
      <c r="A780" s="302"/>
      <c r="B780" s="115"/>
      <c r="C780" s="109"/>
      <c r="D780" s="135"/>
      <c r="E780" s="88" t="s">
        <v>1166</v>
      </c>
      <c r="F780" s="30">
        <v>4800000</v>
      </c>
    </row>
    <row r="781" spans="1:6" s="116" customFormat="1" ht="24.95" customHeight="1">
      <c r="A781" s="302"/>
      <c r="B781" s="115"/>
      <c r="C781" s="109"/>
      <c r="D781" s="135">
        <v>243000000</v>
      </c>
      <c r="E781" s="89" t="s">
        <v>1164</v>
      </c>
      <c r="F781" s="172"/>
    </row>
    <row r="782" spans="1:6" s="116" customFormat="1" ht="24.95" customHeight="1">
      <c r="A782" s="302"/>
      <c r="B782" s="115"/>
      <c r="C782" s="109"/>
      <c r="D782" s="135"/>
      <c r="E782" s="88" t="s">
        <v>1292</v>
      </c>
      <c r="F782" s="172">
        <v>135000000</v>
      </c>
    </row>
    <row r="783" spans="1:6" s="116" customFormat="1" ht="24.95" customHeight="1">
      <c r="A783" s="302"/>
      <c r="B783" s="115"/>
      <c r="C783" s="109"/>
      <c r="D783" s="135"/>
      <c r="E783" s="88" t="s">
        <v>1293</v>
      </c>
      <c r="F783" s="172">
        <v>108000000</v>
      </c>
    </row>
    <row r="784" spans="1:6" s="116" customFormat="1" ht="24.95" customHeight="1">
      <c r="A784" s="302"/>
      <c r="B784" s="115"/>
      <c r="C784" s="109"/>
      <c r="D784" s="135">
        <v>17000000</v>
      </c>
      <c r="E784" s="151" t="s">
        <v>1165</v>
      </c>
      <c r="F784" s="172"/>
    </row>
    <row r="785" spans="1:6" s="116" customFormat="1" ht="24.95" customHeight="1">
      <c r="A785" s="302"/>
      <c r="B785" s="115"/>
      <c r="C785" s="109"/>
      <c r="D785" s="135"/>
      <c r="E785" s="38" t="s">
        <v>912</v>
      </c>
      <c r="F785" s="37">
        <v>17000000</v>
      </c>
    </row>
    <row r="786" spans="1:6" s="116" customFormat="1" ht="24.95" customHeight="1">
      <c r="A786" s="302"/>
      <c r="B786" s="115"/>
      <c r="C786" s="146" t="s">
        <v>119</v>
      </c>
      <c r="D786" s="92">
        <f>SUM(D787:D793)</f>
        <v>140230000</v>
      </c>
      <c r="E786" s="152"/>
      <c r="F786" s="176"/>
    </row>
    <row r="787" spans="1:6" s="116" customFormat="1" ht="24.95" customHeight="1">
      <c r="A787" s="302"/>
      <c r="B787" s="115"/>
      <c r="C787" s="109"/>
      <c r="D787" s="135">
        <v>3750000</v>
      </c>
      <c r="E787" s="49" t="s">
        <v>1167</v>
      </c>
      <c r="F787" s="25"/>
    </row>
    <row r="788" spans="1:6" s="116" customFormat="1" ht="24.95" customHeight="1">
      <c r="A788" s="302"/>
      <c r="B788" s="115"/>
      <c r="C788" s="109"/>
      <c r="D788" s="135"/>
      <c r="E788" s="88" t="s">
        <v>1170</v>
      </c>
      <c r="F788" s="25">
        <v>3750000</v>
      </c>
    </row>
    <row r="789" spans="1:6" s="116" customFormat="1" ht="24.95" customHeight="1">
      <c r="A789" s="302"/>
      <c r="B789" s="115"/>
      <c r="C789" s="109"/>
      <c r="D789" s="135">
        <v>8000000</v>
      </c>
      <c r="E789" s="151" t="s">
        <v>1168</v>
      </c>
      <c r="F789" s="30"/>
    </row>
    <row r="790" spans="1:6" s="116" customFormat="1" ht="24.95" customHeight="1">
      <c r="A790" s="302"/>
      <c r="B790" s="115"/>
      <c r="C790" s="109"/>
      <c r="D790" s="135"/>
      <c r="E790" s="88" t="s">
        <v>1171</v>
      </c>
      <c r="F790" s="30">
        <v>8000000</v>
      </c>
    </row>
    <row r="791" spans="1:6" s="116" customFormat="1" ht="24.95" customHeight="1">
      <c r="A791" s="302"/>
      <c r="B791" s="115"/>
      <c r="C791" s="109"/>
      <c r="D791" s="54">
        <v>116040000</v>
      </c>
      <c r="E791" s="89" t="s">
        <v>1169</v>
      </c>
      <c r="F791" s="167"/>
    </row>
    <row r="792" spans="1:6" s="116" customFormat="1" ht="24.95" customHeight="1">
      <c r="A792" s="302"/>
      <c r="B792" s="115"/>
      <c r="C792" s="109"/>
      <c r="D792" s="135">
        <v>12440000</v>
      </c>
      <c r="E792" s="89" t="s">
        <v>1165</v>
      </c>
      <c r="F792" s="167"/>
    </row>
    <row r="793" spans="1:6" s="116" customFormat="1" ht="24.95" customHeight="1">
      <c r="A793" s="302"/>
      <c r="B793" s="115"/>
      <c r="C793" s="109"/>
      <c r="D793" s="135"/>
      <c r="E793" s="38" t="s">
        <v>331</v>
      </c>
      <c r="F793" s="47">
        <v>12440000</v>
      </c>
    </row>
    <row r="794" spans="1:6" s="116" customFormat="1" ht="24.95" customHeight="1">
      <c r="A794" s="302"/>
      <c r="B794" s="115"/>
      <c r="C794" s="146" t="s">
        <v>120</v>
      </c>
      <c r="D794" s="92">
        <f>SUM(D795:D796)</f>
        <v>1838736000</v>
      </c>
      <c r="E794" s="152"/>
      <c r="F794" s="176"/>
    </row>
    <row r="795" spans="1:6" s="116" customFormat="1" ht="24.95" customHeight="1">
      <c r="A795" s="302"/>
      <c r="B795" s="115"/>
      <c r="C795" s="297"/>
      <c r="D795" s="54">
        <v>1800000000</v>
      </c>
      <c r="E795" s="89" t="s">
        <v>332</v>
      </c>
      <c r="F795" s="172"/>
    </row>
    <row r="796" spans="1:6" s="116" customFormat="1" ht="24.95" customHeight="1">
      <c r="A796" s="302"/>
      <c r="B796" s="115"/>
      <c r="C796" s="298"/>
      <c r="D796" s="135">
        <v>38736000</v>
      </c>
      <c r="E796" s="89" t="s">
        <v>333</v>
      </c>
      <c r="F796" s="50"/>
    </row>
    <row r="797" spans="1:6" s="116" customFormat="1" ht="24.95" customHeight="1">
      <c r="A797" s="302"/>
      <c r="B797" s="115"/>
      <c r="C797" s="146" t="s">
        <v>121</v>
      </c>
      <c r="D797" s="92">
        <f>SUM(D798:D819)</f>
        <v>96100000</v>
      </c>
      <c r="E797" s="152"/>
      <c r="F797" s="176"/>
    </row>
    <row r="798" spans="1:6" s="116" customFormat="1" ht="24.95" customHeight="1">
      <c r="A798" s="302"/>
      <c r="B798" s="115"/>
      <c r="C798" s="109"/>
      <c r="D798" s="135">
        <v>2000000</v>
      </c>
      <c r="E798" s="89" t="s">
        <v>334</v>
      </c>
      <c r="F798" s="30"/>
    </row>
    <row r="799" spans="1:6" s="116" customFormat="1" ht="24.95" customHeight="1">
      <c r="A799" s="302"/>
      <c r="B799" s="115"/>
      <c r="C799" s="109"/>
      <c r="D799" s="74"/>
      <c r="E799" s="88" t="s">
        <v>335</v>
      </c>
      <c r="F799" s="30">
        <v>2000000</v>
      </c>
    </row>
    <row r="800" spans="1:6" s="116" customFormat="1" ht="24.95" customHeight="1">
      <c r="A800" s="302"/>
      <c r="B800" s="115"/>
      <c r="C800" s="109"/>
      <c r="D800" s="135">
        <v>800000</v>
      </c>
      <c r="E800" s="89" t="s">
        <v>336</v>
      </c>
      <c r="F800" s="30"/>
    </row>
    <row r="801" spans="1:6" s="116" customFormat="1" ht="24.95" customHeight="1">
      <c r="A801" s="302"/>
      <c r="B801" s="115"/>
      <c r="C801" s="109"/>
      <c r="D801" s="74"/>
      <c r="E801" s="88" t="s">
        <v>1172</v>
      </c>
      <c r="F801" s="30">
        <v>600000</v>
      </c>
    </row>
    <row r="802" spans="1:6" s="116" customFormat="1" ht="24.95" customHeight="1">
      <c r="A802" s="302"/>
      <c r="B802" s="115"/>
      <c r="C802" s="109"/>
      <c r="D802" s="74"/>
      <c r="E802" s="88" t="s">
        <v>1173</v>
      </c>
      <c r="F802" s="30">
        <v>200000</v>
      </c>
    </row>
    <row r="803" spans="1:6" s="116" customFormat="1" ht="24.95" customHeight="1">
      <c r="A803" s="302"/>
      <c r="B803" s="115"/>
      <c r="C803" s="109"/>
      <c r="D803" s="135">
        <v>6000000</v>
      </c>
      <c r="E803" s="89" t="s">
        <v>337</v>
      </c>
      <c r="F803" s="30"/>
    </row>
    <row r="804" spans="1:6" s="116" customFormat="1" ht="24.95" customHeight="1">
      <c r="A804" s="302"/>
      <c r="B804" s="115"/>
      <c r="C804" s="109"/>
      <c r="D804" s="74"/>
      <c r="E804" s="338" t="s">
        <v>1174</v>
      </c>
      <c r="F804" s="25">
        <v>3000000</v>
      </c>
    </row>
    <row r="805" spans="1:6" s="116" customFormat="1" ht="24.95" customHeight="1">
      <c r="A805" s="302"/>
      <c r="B805" s="115"/>
      <c r="C805" s="109"/>
      <c r="D805" s="74"/>
      <c r="E805" s="338" t="s">
        <v>1175</v>
      </c>
      <c r="F805" s="25">
        <v>3000000</v>
      </c>
    </row>
    <row r="806" spans="1:6" s="116" customFormat="1" ht="24.95" customHeight="1">
      <c r="A806" s="302"/>
      <c r="B806" s="115"/>
      <c r="C806" s="109"/>
      <c r="D806" s="135">
        <v>33000000</v>
      </c>
      <c r="E806" s="89" t="s">
        <v>338</v>
      </c>
      <c r="F806" s="30"/>
    </row>
    <row r="807" spans="1:6" s="116" customFormat="1" ht="24.95" customHeight="1">
      <c r="A807" s="302"/>
      <c r="B807" s="115"/>
      <c r="C807" s="109"/>
      <c r="D807" s="135"/>
      <c r="E807" s="88" t="s">
        <v>1176</v>
      </c>
      <c r="F807" s="30">
        <v>2000000</v>
      </c>
    </row>
    <row r="808" spans="1:6" s="116" customFormat="1" ht="24.95" customHeight="1">
      <c r="A808" s="302"/>
      <c r="B808" s="115"/>
      <c r="C808" s="109"/>
      <c r="D808" s="135"/>
      <c r="E808" s="88" t="s">
        <v>1177</v>
      </c>
      <c r="F808" s="30">
        <v>3000000</v>
      </c>
    </row>
    <row r="809" spans="1:6" s="116" customFormat="1" ht="24.95" customHeight="1">
      <c r="A809" s="302"/>
      <c r="B809" s="115"/>
      <c r="C809" s="109"/>
      <c r="D809" s="135"/>
      <c r="E809" s="88" t="s">
        <v>1178</v>
      </c>
      <c r="F809" s="30">
        <v>24000000</v>
      </c>
    </row>
    <row r="810" spans="1:6" s="116" customFormat="1" ht="24.95" customHeight="1">
      <c r="A810" s="302"/>
      <c r="B810" s="115"/>
      <c r="C810" s="109"/>
      <c r="D810" s="135"/>
      <c r="E810" s="88" t="s">
        <v>1179</v>
      </c>
      <c r="F810" s="30">
        <v>4000000</v>
      </c>
    </row>
    <row r="811" spans="1:6" s="116" customFormat="1" ht="24.95" customHeight="1">
      <c r="A811" s="302"/>
      <c r="B811" s="115"/>
      <c r="C811" s="109"/>
      <c r="D811" s="135">
        <v>4000000</v>
      </c>
      <c r="E811" s="89" t="s">
        <v>1182</v>
      </c>
      <c r="F811" s="30"/>
    </row>
    <row r="812" spans="1:6" s="116" customFormat="1" ht="24.95" customHeight="1">
      <c r="A812" s="302"/>
      <c r="B812" s="115"/>
      <c r="C812" s="109"/>
      <c r="D812" s="135"/>
      <c r="E812" s="88" t="s">
        <v>1183</v>
      </c>
      <c r="F812" s="30">
        <v>2000000</v>
      </c>
    </row>
    <row r="813" spans="1:6" s="116" customFormat="1" ht="24.95" customHeight="1">
      <c r="A813" s="302"/>
      <c r="B813" s="115"/>
      <c r="C813" s="109"/>
      <c r="D813" s="135"/>
      <c r="E813" s="88" t="s">
        <v>1184</v>
      </c>
      <c r="F813" s="30">
        <v>2000000</v>
      </c>
    </row>
    <row r="814" spans="1:6" s="116" customFormat="1" ht="24.95" customHeight="1">
      <c r="A814" s="302"/>
      <c r="B814" s="115"/>
      <c r="C814" s="109"/>
      <c r="D814" s="74">
        <v>32500000</v>
      </c>
      <c r="E814" s="89" t="s">
        <v>1180</v>
      </c>
      <c r="F814" s="172"/>
    </row>
    <row r="815" spans="1:6" s="116" customFormat="1" ht="24.95" customHeight="1">
      <c r="A815" s="302"/>
      <c r="B815" s="115"/>
      <c r="C815" s="109"/>
      <c r="D815" s="74"/>
      <c r="E815" s="88" t="s">
        <v>339</v>
      </c>
      <c r="F815" s="37">
        <v>32500000</v>
      </c>
    </row>
    <row r="816" spans="1:6" s="116" customFormat="1" ht="24.95" customHeight="1">
      <c r="A816" s="302"/>
      <c r="B816" s="115"/>
      <c r="C816" s="109"/>
      <c r="D816" s="135">
        <v>17800000</v>
      </c>
      <c r="E816" s="89" t="s">
        <v>1181</v>
      </c>
      <c r="F816" s="167"/>
    </row>
    <row r="817" spans="1:6" s="116" customFormat="1" ht="24.95" customHeight="1">
      <c r="A817" s="302"/>
      <c r="B817" s="115"/>
      <c r="C817" s="109"/>
      <c r="D817" s="135"/>
      <c r="E817" s="88" t="s">
        <v>915</v>
      </c>
      <c r="F817" s="167">
        <v>4000000</v>
      </c>
    </row>
    <row r="818" spans="1:6" s="116" customFormat="1" ht="24.95" customHeight="1">
      <c r="A818" s="302"/>
      <c r="B818" s="115"/>
      <c r="C818" s="109"/>
      <c r="D818" s="74"/>
      <c r="E818" s="38" t="s">
        <v>913</v>
      </c>
      <c r="F818" s="47">
        <v>7800000</v>
      </c>
    </row>
    <row r="819" spans="1:6" s="116" customFormat="1" ht="24.95" customHeight="1">
      <c r="A819" s="302"/>
      <c r="B819" s="115"/>
      <c r="C819" s="109"/>
      <c r="D819" s="74"/>
      <c r="E819" s="38" t="s">
        <v>914</v>
      </c>
      <c r="F819" s="47">
        <v>6000000</v>
      </c>
    </row>
    <row r="820" spans="1:6" s="116" customFormat="1" ht="24.95" customHeight="1">
      <c r="A820" s="302"/>
      <c r="B820" s="115"/>
      <c r="C820" s="146" t="s">
        <v>122</v>
      </c>
      <c r="D820" s="92">
        <f>SUM(D821:D840)</f>
        <v>182000000</v>
      </c>
      <c r="E820" s="152"/>
      <c r="F820" s="176"/>
    </row>
    <row r="821" spans="1:6" s="116" customFormat="1" ht="24.95" customHeight="1">
      <c r="A821" s="302"/>
      <c r="B821" s="115"/>
      <c r="C821" s="109"/>
      <c r="D821" s="135">
        <v>1000000</v>
      </c>
      <c r="E821" s="89" t="s">
        <v>1185</v>
      </c>
      <c r="F821" s="30"/>
    </row>
    <row r="822" spans="1:6" s="116" customFormat="1" ht="24.95" customHeight="1">
      <c r="A822" s="302"/>
      <c r="B822" s="115"/>
      <c r="C822" s="109"/>
      <c r="D822" s="74"/>
      <c r="E822" s="88" t="s">
        <v>1186</v>
      </c>
      <c r="F822" s="30">
        <v>1000000</v>
      </c>
    </row>
    <row r="823" spans="1:6" s="116" customFormat="1" ht="24.95" customHeight="1">
      <c r="A823" s="302"/>
      <c r="B823" s="115"/>
      <c r="C823" s="109"/>
      <c r="D823" s="135">
        <v>20000000</v>
      </c>
      <c r="E823" s="89" t="s">
        <v>1187</v>
      </c>
      <c r="F823" s="30"/>
    </row>
    <row r="824" spans="1:6" s="116" customFormat="1" ht="24.95" customHeight="1">
      <c r="A824" s="302"/>
      <c r="B824" s="115"/>
      <c r="C824" s="109"/>
      <c r="D824" s="135"/>
      <c r="E824" s="338" t="s">
        <v>1188</v>
      </c>
      <c r="F824" s="25">
        <v>16000000</v>
      </c>
    </row>
    <row r="825" spans="1:6" s="116" customFormat="1" ht="24.95" customHeight="1">
      <c r="A825" s="302"/>
      <c r="B825" s="115"/>
      <c r="C825" s="109"/>
      <c r="D825" s="74"/>
      <c r="E825" s="338" t="s">
        <v>1189</v>
      </c>
      <c r="F825" s="25">
        <v>4000000</v>
      </c>
    </row>
    <row r="826" spans="1:6" s="116" customFormat="1" ht="24.95" customHeight="1">
      <c r="A826" s="302"/>
      <c r="B826" s="115"/>
      <c r="C826" s="109"/>
      <c r="D826" s="135">
        <v>60000000</v>
      </c>
      <c r="E826" s="89" t="s">
        <v>340</v>
      </c>
      <c r="F826" s="30"/>
    </row>
    <row r="827" spans="1:6" s="116" customFormat="1" ht="24.95" customHeight="1">
      <c r="A827" s="302"/>
      <c r="B827" s="115"/>
      <c r="C827" s="109"/>
      <c r="D827" s="135"/>
      <c r="E827" s="88" t="s">
        <v>1190</v>
      </c>
      <c r="F827" s="30"/>
    </row>
    <row r="828" spans="1:6" s="116" customFormat="1" ht="24.95" customHeight="1">
      <c r="A828" s="302"/>
      <c r="B828" s="115"/>
      <c r="C828" s="109"/>
      <c r="D828" s="135"/>
      <c r="E828" s="88" t="s">
        <v>1191</v>
      </c>
      <c r="F828" s="30">
        <v>20000000</v>
      </c>
    </row>
    <row r="829" spans="1:6" s="116" customFormat="1" ht="24.95" customHeight="1">
      <c r="A829" s="302"/>
      <c r="B829" s="115"/>
      <c r="C829" s="109"/>
      <c r="D829" s="135"/>
      <c r="E829" s="88" t="s">
        <v>1192</v>
      </c>
      <c r="F829" s="30">
        <v>3000000</v>
      </c>
    </row>
    <row r="830" spans="1:6" s="116" customFormat="1" ht="24.95" customHeight="1">
      <c r="A830" s="302"/>
      <c r="B830" s="115"/>
      <c r="C830" s="109"/>
      <c r="D830" s="135"/>
      <c r="E830" s="88" t="s">
        <v>1193</v>
      </c>
      <c r="F830" s="30">
        <v>35000000</v>
      </c>
    </row>
    <row r="831" spans="1:6" s="116" customFormat="1" ht="24.95" customHeight="1">
      <c r="A831" s="302"/>
      <c r="B831" s="115"/>
      <c r="C831" s="109"/>
      <c r="D831" s="135"/>
      <c r="E831" s="88" t="s">
        <v>1194</v>
      </c>
      <c r="F831" s="30">
        <v>2000000</v>
      </c>
    </row>
    <row r="832" spans="1:6" s="116" customFormat="1" ht="24.95" customHeight="1">
      <c r="A832" s="302"/>
      <c r="B832" s="115"/>
      <c r="C832" s="109"/>
      <c r="D832" s="135">
        <v>8000000</v>
      </c>
      <c r="E832" s="89" t="s">
        <v>1197</v>
      </c>
      <c r="F832" s="30"/>
    </row>
    <row r="833" spans="1:6" s="116" customFormat="1" ht="24.95" customHeight="1">
      <c r="A833" s="302"/>
      <c r="B833" s="115"/>
      <c r="C833" s="109"/>
      <c r="D833" s="135"/>
      <c r="E833" s="88" t="s">
        <v>1195</v>
      </c>
      <c r="F833" s="30">
        <v>4000000</v>
      </c>
    </row>
    <row r="834" spans="1:6" s="116" customFormat="1" ht="24.95" customHeight="1">
      <c r="A834" s="302"/>
      <c r="B834" s="115"/>
      <c r="C834" s="109"/>
      <c r="D834" s="135"/>
      <c r="E834" s="88" t="s">
        <v>1196</v>
      </c>
      <c r="F834" s="30">
        <v>4000000</v>
      </c>
    </row>
    <row r="835" spans="1:6" s="116" customFormat="1" ht="24.95" customHeight="1">
      <c r="A835" s="302"/>
      <c r="B835" s="115"/>
      <c r="C835" s="109"/>
      <c r="D835" s="74">
        <v>89400000</v>
      </c>
      <c r="E835" s="89" t="s">
        <v>1198</v>
      </c>
      <c r="F835" s="172"/>
    </row>
    <row r="836" spans="1:6" s="116" customFormat="1" ht="24.95" customHeight="1">
      <c r="A836" s="302"/>
      <c r="B836" s="115"/>
      <c r="C836" s="109"/>
      <c r="D836" s="74"/>
      <c r="E836" s="155" t="s">
        <v>341</v>
      </c>
      <c r="F836" s="172">
        <v>60000000</v>
      </c>
    </row>
    <row r="837" spans="1:6" s="116" customFormat="1" ht="24.95" customHeight="1">
      <c r="A837" s="302"/>
      <c r="B837" s="115"/>
      <c r="C837" s="109"/>
      <c r="D837" s="74"/>
      <c r="E837" s="155" t="s">
        <v>342</v>
      </c>
      <c r="F837" s="172">
        <v>18000000</v>
      </c>
    </row>
    <row r="838" spans="1:6" s="116" customFormat="1" ht="24.95" customHeight="1">
      <c r="A838" s="302"/>
      <c r="B838" s="115"/>
      <c r="C838" s="109"/>
      <c r="D838" s="74"/>
      <c r="E838" s="155" t="s">
        <v>343</v>
      </c>
      <c r="F838" s="172">
        <v>11400000</v>
      </c>
    </row>
    <row r="839" spans="1:6" s="116" customFormat="1" ht="24.95" customHeight="1">
      <c r="A839" s="302"/>
      <c r="B839" s="115"/>
      <c r="C839" s="109"/>
      <c r="D839" s="135">
        <v>3600000</v>
      </c>
      <c r="E839" s="89" t="s">
        <v>1181</v>
      </c>
      <c r="F839" s="167"/>
    </row>
    <row r="840" spans="1:6" s="116" customFormat="1" ht="24.95" customHeight="1">
      <c r="A840" s="302"/>
      <c r="B840" s="115"/>
      <c r="C840" s="109"/>
      <c r="D840" s="74"/>
      <c r="E840" s="38" t="s">
        <v>916</v>
      </c>
      <c r="F840" s="47">
        <v>1600000</v>
      </c>
    </row>
    <row r="841" spans="1:6" s="116" customFormat="1" ht="24.95" customHeight="1">
      <c r="A841" s="302"/>
      <c r="B841" s="115"/>
      <c r="C841" s="109"/>
      <c r="D841" s="74"/>
      <c r="E841" s="38" t="s">
        <v>917</v>
      </c>
      <c r="F841" s="47">
        <v>2000000</v>
      </c>
    </row>
    <row r="842" spans="1:6" s="116" customFormat="1" ht="24.95" customHeight="1">
      <c r="A842" s="302"/>
      <c r="B842" s="115"/>
      <c r="C842" s="146" t="s">
        <v>123</v>
      </c>
      <c r="D842" s="92">
        <f>SUM(D843:D858)</f>
        <v>76000812</v>
      </c>
      <c r="E842" s="152"/>
      <c r="F842" s="176"/>
    </row>
    <row r="843" spans="1:6" s="116" customFormat="1" ht="24.95" customHeight="1">
      <c r="A843" s="302"/>
      <c r="B843" s="115"/>
      <c r="C843" s="109"/>
      <c r="D843" s="135">
        <v>500812</v>
      </c>
      <c r="E843" s="89" t="s">
        <v>1199</v>
      </c>
      <c r="F843" s="30"/>
    </row>
    <row r="844" spans="1:6" s="116" customFormat="1" ht="24.95" customHeight="1">
      <c r="A844" s="302"/>
      <c r="B844" s="115"/>
      <c r="C844" s="109"/>
      <c r="D844" s="74"/>
      <c r="E844" s="88" t="s">
        <v>1200</v>
      </c>
      <c r="F844" s="30">
        <v>500812</v>
      </c>
    </row>
    <row r="845" spans="1:6" s="116" customFormat="1" ht="24.95" customHeight="1">
      <c r="A845" s="302"/>
      <c r="B845" s="115"/>
      <c r="C845" s="109"/>
      <c r="D845" s="135">
        <v>5000000</v>
      </c>
      <c r="E845" s="89" t="s">
        <v>344</v>
      </c>
      <c r="F845" s="30"/>
    </row>
    <row r="846" spans="1:6" s="116" customFormat="1" ht="24.95" customHeight="1">
      <c r="A846" s="302"/>
      <c r="B846" s="115"/>
      <c r="C846" s="109"/>
      <c r="D846" s="74"/>
      <c r="E846" s="338" t="s">
        <v>1201</v>
      </c>
      <c r="F846" s="25">
        <v>5000000</v>
      </c>
    </row>
    <row r="847" spans="1:6" s="116" customFormat="1" ht="24.95" customHeight="1">
      <c r="A847" s="302"/>
      <c r="B847" s="115"/>
      <c r="C847" s="109"/>
      <c r="D847" s="135">
        <v>20000000</v>
      </c>
      <c r="E847" s="89" t="s">
        <v>345</v>
      </c>
      <c r="F847" s="30"/>
    </row>
    <row r="848" spans="1:6" s="116" customFormat="1" ht="24.95" customHeight="1">
      <c r="A848" s="302"/>
      <c r="B848" s="115"/>
      <c r="C848" s="109"/>
      <c r="D848" s="135"/>
      <c r="E848" s="88" t="s">
        <v>425</v>
      </c>
      <c r="F848" s="30">
        <v>10000000</v>
      </c>
    </row>
    <row r="849" spans="1:6" s="116" customFormat="1" ht="24.95" customHeight="1">
      <c r="A849" s="302"/>
      <c r="B849" s="115"/>
      <c r="C849" s="109"/>
      <c r="D849" s="135"/>
      <c r="E849" s="88" t="s">
        <v>1202</v>
      </c>
      <c r="F849" s="30">
        <v>10000000</v>
      </c>
    </row>
    <row r="850" spans="1:6" s="116" customFormat="1" ht="24.95" customHeight="1">
      <c r="A850" s="302"/>
      <c r="B850" s="115"/>
      <c r="C850" s="109"/>
      <c r="D850" s="74">
        <v>38500000</v>
      </c>
      <c r="E850" s="89" t="s">
        <v>346</v>
      </c>
      <c r="F850" s="172"/>
    </row>
    <row r="851" spans="1:6" s="116" customFormat="1" ht="24.95" customHeight="1">
      <c r="A851" s="302"/>
      <c r="B851" s="115"/>
      <c r="C851" s="109"/>
      <c r="D851" s="74"/>
      <c r="E851" s="88" t="s">
        <v>347</v>
      </c>
      <c r="F851" s="172">
        <v>18000000</v>
      </c>
    </row>
    <row r="852" spans="1:6" s="116" customFormat="1" ht="24.95" customHeight="1">
      <c r="A852" s="302"/>
      <c r="B852" s="115"/>
      <c r="C852" s="109"/>
      <c r="D852" s="74"/>
      <c r="E852" s="88" t="s">
        <v>348</v>
      </c>
      <c r="F852" s="172">
        <v>12000000</v>
      </c>
    </row>
    <row r="853" spans="1:6" s="116" customFormat="1" ht="24.95" customHeight="1">
      <c r="A853" s="302"/>
      <c r="B853" s="115"/>
      <c r="C853" s="109"/>
      <c r="D853" s="74"/>
      <c r="E853" s="88" t="s">
        <v>349</v>
      </c>
      <c r="F853" s="172">
        <v>6000000</v>
      </c>
    </row>
    <row r="854" spans="1:6" s="116" customFormat="1" ht="24.95" customHeight="1">
      <c r="A854" s="302"/>
      <c r="B854" s="115"/>
      <c r="C854" s="109"/>
      <c r="D854" s="74"/>
      <c r="E854" s="88" t="s">
        <v>350</v>
      </c>
      <c r="F854" s="172">
        <v>2500000</v>
      </c>
    </row>
    <row r="855" spans="1:6" s="116" customFormat="1" ht="24.95" customHeight="1">
      <c r="A855" s="302"/>
      <c r="B855" s="115"/>
      <c r="C855" s="109"/>
      <c r="D855" s="135">
        <v>12000000</v>
      </c>
      <c r="E855" s="89" t="s">
        <v>17</v>
      </c>
      <c r="F855" s="167"/>
    </row>
    <row r="856" spans="1:6" s="116" customFormat="1" ht="24.95" customHeight="1">
      <c r="A856" s="302"/>
      <c r="B856" s="115"/>
      <c r="C856" s="109"/>
      <c r="D856" s="74"/>
      <c r="E856" s="38" t="s">
        <v>918</v>
      </c>
      <c r="F856" s="37">
        <v>6000000</v>
      </c>
    </row>
    <row r="857" spans="1:6" s="116" customFormat="1" ht="24.95" customHeight="1">
      <c r="A857" s="302"/>
      <c r="B857" s="115"/>
      <c r="C857" s="109"/>
      <c r="D857" s="74"/>
      <c r="E857" s="38" t="s">
        <v>919</v>
      </c>
      <c r="F857" s="37">
        <v>5000000</v>
      </c>
    </row>
    <row r="858" spans="1:6" s="116" customFormat="1" ht="24.95" customHeight="1">
      <c r="A858" s="302"/>
      <c r="B858" s="115"/>
      <c r="C858" s="109"/>
      <c r="D858" s="74"/>
      <c r="E858" s="38" t="s">
        <v>920</v>
      </c>
      <c r="F858" s="37">
        <v>1000000</v>
      </c>
    </row>
    <row r="859" spans="1:6" s="116" customFormat="1" ht="24.95" customHeight="1">
      <c r="A859" s="302"/>
      <c r="B859" s="115"/>
      <c r="C859" s="146" t="s">
        <v>96</v>
      </c>
      <c r="D859" s="92">
        <f>SUM(D860:D876)</f>
        <v>125800000</v>
      </c>
      <c r="E859" s="152"/>
      <c r="F859" s="176"/>
    </row>
    <row r="860" spans="1:6" s="116" customFormat="1" ht="24.95" customHeight="1">
      <c r="A860" s="302"/>
      <c r="B860" s="115"/>
      <c r="C860" s="109"/>
      <c r="D860" s="135">
        <v>4000000</v>
      </c>
      <c r="E860" s="89" t="s">
        <v>351</v>
      </c>
      <c r="F860" s="30"/>
    </row>
    <row r="861" spans="1:6" s="116" customFormat="1" ht="24.95" customHeight="1">
      <c r="A861" s="302"/>
      <c r="B861" s="115"/>
      <c r="C861" s="109"/>
      <c r="D861" s="74"/>
      <c r="E861" s="88" t="s">
        <v>1203</v>
      </c>
      <c r="F861" s="30">
        <v>4000000</v>
      </c>
    </row>
    <row r="862" spans="1:6" s="116" customFormat="1" ht="24.95" customHeight="1">
      <c r="A862" s="302"/>
      <c r="B862" s="115"/>
      <c r="C862" s="109"/>
      <c r="D862" s="135">
        <v>400000</v>
      </c>
      <c r="E862" s="89" t="s">
        <v>352</v>
      </c>
      <c r="F862" s="30"/>
    </row>
    <row r="863" spans="1:6" s="116" customFormat="1" ht="24.95" customHeight="1">
      <c r="A863" s="302"/>
      <c r="B863" s="115"/>
      <c r="C863" s="109"/>
      <c r="D863" s="74"/>
      <c r="E863" s="88" t="s">
        <v>1204</v>
      </c>
      <c r="F863" s="30">
        <v>2000000</v>
      </c>
    </row>
    <row r="864" spans="1:6" s="116" customFormat="1" ht="24.95" customHeight="1">
      <c r="A864" s="302"/>
      <c r="B864" s="115"/>
      <c r="C864" s="109"/>
      <c r="D864" s="135">
        <v>5000000</v>
      </c>
      <c r="E864" s="89" t="s">
        <v>353</v>
      </c>
      <c r="F864" s="30"/>
    </row>
    <row r="865" spans="1:6" s="116" customFormat="1" ht="24.95" customHeight="1">
      <c r="A865" s="302"/>
      <c r="B865" s="115"/>
      <c r="C865" s="109"/>
      <c r="D865" s="135"/>
      <c r="E865" s="338" t="s">
        <v>1205</v>
      </c>
      <c r="F865" s="25">
        <v>5000000</v>
      </c>
    </row>
    <row r="866" spans="1:6" s="116" customFormat="1" ht="24.95" customHeight="1">
      <c r="A866" s="302"/>
      <c r="B866" s="115"/>
      <c r="C866" s="109"/>
      <c r="D866" s="135">
        <v>28000000</v>
      </c>
      <c r="E866" s="89" t="s">
        <v>354</v>
      </c>
      <c r="F866" s="30"/>
    </row>
    <row r="867" spans="1:6" s="116" customFormat="1" ht="24.95" customHeight="1">
      <c r="A867" s="302"/>
      <c r="B867" s="115"/>
      <c r="C867" s="109"/>
      <c r="D867" s="135"/>
      <c r="E867" s="88" t="s">
        <v>1206</v>
      </c>
      <c r="F867" s="30">
        <v>10000000</v>
      </c>
    </row>
    <row r="868" spans="1:6" s="116" customFormat="1" ht="24.95" customHeight="1">
      <c r="A868" s="302"/>
      <c r="B868" s="115"/>
      <c r="C868" s="109"/>
      <c r="D868" s="135"/>
      <c r="E868" s="88" t="s">
        <v>1207</v>
      </c>
      <c r="F868" s="30">
        <v>10000000</v>
      </c>
    </row>
    <row r="869" spans="1:6" s="116" customFormat="1" ht="24.95" customHeight="1">
      <c r="A869" s="302"/>
      <c r="B869" s="115"/>
      <c r="C869" s="109"/>
      <c r="D869" s="135"/>
      <c r="E869" s="88" t="s">
        <v>1208</v>
      </c>
      <c r="F869" s="30">
        <v>6000000</v>
      </c>
    </row>
    <row r="870" spans="1:6" s="116" customFormat="1" ht="24.95" customHeight="1">
      <c r="A870" s="302"/>
      <c r="B870" s="115"/>
      <c r="C870" s="109"/>
      <c r="D870" s="135"/>
      <c r="E870" s="88" t="s">
        <v>1209</v>
      </c>
      <c r="F870" s="30">
        <v>2000000</v>
      </c>
    </row>
    <row r="871" spans="1:6" s="116" customFormat="1" ht="24.95" customHeight="1">
      <c r="A871" s="302"/>
      <c r="B871" s="115"/>
      <c r="C871" s="109"/>
      <c r="D871" s="135">
        <v>10000000</v>
      </c>
      <c r="E871" s="89" t="s">
        <v>1212</v>
      </c>
      <c r="F871" s="30"/>
    </row>
    <row r="872" spans="1:6" s="116" customFormat="1" ht="24.95" customHeight="1">
      <c r="A872" s="302"/>
      <c r="B872" s="115"/>
      <c r="C872" s="109"/>
      <c r="D872" s="135"/>
      <c r="E872" s="88" t="s">
        <v>1210</v>
      </c>
      <c r="F872" s="30">
        <v>5000000</v>
      </c>
    </row>
    <row r="873" spans="1:6" s="116" customFormat="1" ht="24.95" customHeight="1">
      <c r="A873" s="302"/>
      <c r="B873" s="115"/>
      <c r="C873" s="109"/>
      <c r="D873" s="135"/>
      <c r="E873" s="88" t="s">
        <v>1211</v>
      </c>
      <c r="F873" s="30">
        <v>5000000</v>
      </c>
    </row>
    <row r="874" spans="1:6" s="116" customFormat="1" ht="24.95" customHeight="1">
      <c r="A874" s="302"/>
      <c r="B874" s="115"/>
      <c r="C874" s="109"/>
      <c r="D874" s="74">
        <v>47900000</v>
      </c>
      <c r="E874" s="89" t="s">
        <v>1213</v>
      </c>
      <c r="F874" s="172"/>
    </row>
    <row r="875" spans="1:6" s="116" customFormat="1" ht="24.95" customHeight="1">
      <c r="A875" s="302"/>
      <c r="B875" s="115"/>
      <c r="C875" s="109"/>
      <c r="D875" s="74"/>
      <c r="E875" s="88" t="s">
        <v>355</v>
      </c>
      <c r="F875" s="172">
        <v>47900000</v>
      </c>
    </row>
    <row r="876" spans="1:6" s="116" customFormat="1" ht="24.95" customHeight="1">
      <c r="A876" s="302"/>
      <c r="B876" s="115"/>
      <c r="C876" s="109"/>
      <c r="D876" s="135">
        <v>30500000</v>
      </c>
      <c r="E876" s="89" t="s">
        <v>1181</v>
      </c>
      <c r="F876" s="167"/>
    </row>
    <row r="877" spans="1:6" s="116" customFormat="1" ht="24.95" customHeight="1">
      <c r="A877" s="302"/>
      <c r="B877" s="115"/>
      <c r="C877" s="109"/>
      <c r="D877" s="74"/>
      <c r="E877" s="38" t="s">
        <v>356</v>
      </c>
      <c r="F877" s="47">
        <v>30500000</v>
      </c>
    </row>
    <row r="878" spans="1:6" s="116" customFormat="1" ht="24.95" customHeight="1">
      <c r="A878" s="302"/>
      <c r="B878" s="115"/>
      <c r="C878" s="146" t="s">
        <v>124</v>
      </c>
      <c r="D878" s="92">
        <f>SUM(D879:D892)</f>
        <v>78480166</v>
      </c>
      <c r="E878" s="152"/>
      <c r="F878" s="176"/>
    </row>
    <row r="879" spans="1:6" s="116" customFormat="1" ht="24.95" customHeight="1">
      <c r="A879" s="302"/>
      <c r="B879" s="115"/>
      <c r="C879" s="109"/>
      <c r="D879" s="135">
        <v>1480166</v>
      </c>
      <c r="E879" s="89" t="s">
        <v>357</v>
      </c>
      <c r="F879" s="30"/>
    </row>
    <row r="880" spans="1:6" s="116" customFormat="1" ht="24.95" customHeight="1">
      <c r="A880" s="302"/>
      <c r="B880" s="115"/>
      <c r="C880" s="109"/>
      <c r="D880" s="74"/>
      <c r="E880" s="88" t="s">
        <v>358</v>
      </c>
      <c r="F880" s="30">
        <v>1480166</v>
      </c>
    </row>
    <row r="881" spans="1:6" s="116" customFormat="1" ht="24.95" customHeight="1">
      <c r="A881" s="302"/>
      <c r="B881" s="115"/>
      <c r="C881" s="109"/>
      <c r="D881" s="135">
        <v>12000000</v>
      </c>
      <c r="E881" s="89" t="s">
        <v>1214</v>
      </c>
      <c r="F881" s="30"/>
    </row>
    <row r="882" spans="1:6" s="116" customFormat="1" ht="24.95" customHeight="1">
      <c r="A882" s="302"/>
      <c r="B882" s="115"/>
      <c r="C882" s="109"/>
      <c r="D882" s="135"/>
      <c r="E882" s="88" t="s">
        <v>1216</v>
      </c>
      <c r="F882" s="30">
        <v>4000000</v>
      </c>
    </row>
    <row r="883" spans="1:6" s="116" customFormat="1" ht="24.95" customHeight="1">
      <c r="A883" s="302"/>
      <c r="B883" s="115"/>
      <c r="C883" s="109"/>
      <c r="D883" s="135"/>
      <c r="E883" s="88" t="s">
        <v>1217</v>
      </c>
      <c r="F883" s="30">
        <v>1000000</v>
      </c>
    </row>
    <row r="884" spans="1:6" s="116" customFormat="1" ht="24.95" customHeight="1">
      <c r="A884" s="302"/>
      <c r="B884" s="115"/>
      <c r="C884" s="109"/>
      <c r="D884" s="135"/>
      <c r="E884" s="88" t="s">
        <v>1218</v>
      </c>
      <c r="F884" s="30">
        <v>6000000</v>
      </c>
    </row>
    <row r="885" spans="1:6" s="116" customFormat="1" ht="24.95" customHeight="1">
      <c r="A885" s="302"/>
      <c r="B885" s="115"/>
      <c r="C885" s="109"/>
      <c r="D885" s="74"/>
      <c r="E885" s="88" t="s">
        <v>1215</v>
      </c>
      <c r="F885" s="30">
        <v>1000000</v>
      </c>
    </row>
    <row r="886" spans="1:6" s="116" customFormat="1" ht="24.95" customHeight="1">
      <c r="A886" s="302"/>
      <c r="B886" s="115"/>
      <c r="C886" s="109"/>
      <c r="D886" s="135">
        <v>5000000</v>
      </c>
      <c r="E886" s="89" t="s">
        <v>359</v>
      </c>
      <c r="F886" s="30"/>
    </row>
    <row r="887" spans="1:6" s="116" customFormat="1" ht="24.95" customHeight="1">
      <c r="A887" s="302"/>
      <c r="B887" s="115"/>
      <c r="C887" s="109"/>
      <c r="D887" s="135"/>
      <c r="E887" s="338" t="s">
        <v>1219</v>
      </c>
      <c r="F887" s="25">
        <v>5000000</v>
      </c>
    </row>
    <row r="888" spans="1:6" s="116" customFormat="1" ht="24.95" customHeight="1">
      <c r="A888" s="302"/>
      <c r="B888" s="115"/>
      <c r="C888" s="109"/>
      <c r="D888" s="74">
        <v>10000000</v>
      </c>
      <c r="E888" s="49" t="s">
        <v>1221</v>
      </c>
      <c r="F888" s="25">
        <v>1250000</v>
      </c>
    </row>
    <row r="889" spans="1:6" s="116" customFormat="1" ht="24.95" customHeight="1">
      <c r="A889" s="302"/>
      <c r="B889" s="115"/>
      <c r="C889" s="109"/>
      <c r="D889" s="74"/>
      <c r="E889" s="338" t="s">
        <v>1222</v>
      </c>
      <c r="F889" s="25">
        <v>5000000</v>
      </c>
    </row>
    <row r="890" spans="1:6" s="116" customFormat="1" ht="24.95" customHeight="1">
      <c r="A890" s="302"/>
      <c r="B890" s="115"/>
      <c r="C890" s="109"/>
      <c r="D890" s="74"/>
      <c r="E890" s="338" t="s">
        <v>1223</v>
      </c>
      <c r="F890" s="25">
        <v>5000000</v>
      </c>
    </row>
    <row r="891" spans="1:6" s="116" customFormat="1" ht="24.95" customHeight="1">
      <c r="A891" s="302"/>
      <c r="B891" s="115"/>
      <c r="C891" s="109"/>
      <c r="D891" s="74">
        <v>50000000</v>
      </c>
      <c r="E891" s="89" t="s">
        <v>1220</v>
      </c>
      <c r="F891" s="172"/>
    </row>
    <row r="892" spans="1:6" s="116" customFormat="1" ht="24.95" customHeight="1">
      <c r="A892" s="302"/>
      <c r="B892" s="115"/>
      <c r="C892" s="109"/>
      <c r="D892" s="74"/>
      <c r="E892" s="88" t="s">
        <v>360</v>
      </c>
      <c r="F892" s="172">
        <v>50000000</v>
      </c>
    </row>
    <row r="893" spans="1:6" s="116" customFormat="1" ht="24.95" customHeight="1">
      <c r="A893" s="302"/>
      <c r="B893" s="115"/>
      <c r="C893" s="146" t="s">
        <v>125</v>
      </c>
      <c r="D893" s="92">
        <f>SUM(D894:D910)</f>
        <v>158500000</v>
      </c>
      <c r="E893" s="152"/>
      <c r="F893" s="176"/>
    </row>
    <row r="894" spans="1:6" s="116" customFormat="1" ht="24.95" customHeight="1">
      <c r="A894" s="302"/>
      <c r="B894" s="115"/>
      <c r="C894" s="109"/>
      <c r="D894" s="135">
        <v>2000000</v>
      </c>
      <c r="E894" s="89" t="s">
        <v>1225</v>
      </c>
      <c r="F894" s="30"/>
    </row>
    <row r="895" spans="1:6" s="116" customFormat="1" ht="24.95" customHeight="1">
      <c r="A895" s="302"/>
      <c r="B895" s="115"/>
      <c r="C895" s="109"/>
      <c r="D895" s="135"/>
      <c r="E895" s="338" t="s">
        <v>1224</v>
      </c>
      <c r="F895" s="25">
        <v>2000000</v>
      </c>
    </row>
    <row r="896" spans="1:6" s="116" customFormat="1" ht="24.95" customHeight="1">
      <c r="A896" s="302"/>
      <c r="B896" s="115"/>
      <c r="C896" s="109"/>
      <c r="D896" s="135">
        <v>9400000</v>
      </c>
      <c r="E896" s="89" t="s">
        <v>1226</v>
      </c>
      <c r="F896" s="30"/>
    </row>
    <row r="897" spans="1:6" s="116" customFormat="1" ht="24.95" customHeight="1">
      <c r="A897" s="302"/>
      <c r="B897" s="115"/>
      <c r="C897" s="109"/>
      <c r="D897" s="135"/>
      <c r="E897" s="155" t="s">
        <v>1228</v>
      </c>
      <c r="F897" s="30">
        <v>2000000</v>
      </c>
    </row>
    <row r="898" spans="1:6" s="116" customFormat="1" ht="24.95" customHeight="1">
      <c r="A898" s="302"/>
      <c r="B898" s="115"/>
      <c r="C898" s="109"/>
      <c r="D898" s="135"/>
      <c r="E898" s="155" t="s">
        <v>1229</v>
      </c>
      <c r="F898" s="30">
        <v>1000000</v>
      </c>
    </row>
    <row r="899" spans="1:6" s="116" customFormat="1" ht="24.95" customHeight="1">
      <c r="A899" s="302"/>
      <c r="B899" s="115"/>
      <c r="C899" s="109"/>
      <c r="D899" s="135"/>
      <c r="E899" s="155" t="s">
        <v>1230</v>
      </c>
      <c r="F899" s="30">
        <v>6000000</v>
      </c>
    </row>
    <row r="900" spans="1:6" s="116" customFormat="1" ht="24.95" customHeight="1">
      <c r="A900" s="302"/>
      <c r="B900" s="115"/>
      <c r="C900" s="109"/>
      <c r="D900" s="135"/>
      <c r="E900" s="155" t="s">
        <v>1231</v>
      </c>
      <c r="F900" s="30">
        <v>400000</v>
      </c>
    </row>
    <row r="901" spans="1:6" s="116" customFormat="1" ht="24.95" customHeight="1">
      <c r="A901" s="302"/>
      <c r="B901" s="115"/>
      <c r="C901" s="109"/>
      <c r="D901" s="74">
        <v>143600000</v>
      </c>
      <c r="E901" s="89" t="s">
        <v>1227</v>
      </c>
      <c r="F901" s="172"/>
    </row>
    <row r="902" spans="1:6" s="116" customFormat="1" ht="24.95" customHeight="1">
      <c r="A902" s="302"/>
      <c r="B902" s="115"/>
      <c r="C902" s="109"/>
      <c r="D902" s="74"/>
      <c r="E902" s="155" t="s">
        <v>361</v>
      </c>
      <c r="F902" s="37">
        <v>20000000</v>
      </c>
    </row>
    <row r="903" spans="1:6" s="116" customFormat="1" ht="24.95" customHeight="1">
      <c r="A903" s="302"/>
      <c r="B903" s="115"/>
      <c r="C903" s="109"/>
      <c r="D903" s="74"/>
      <c r="E903" s="155" t="s">
        <v>362</v>
      </c>
      <c r="F903" s="37">
        <v>3600000</v>
      </c>
    </row>
    <row r="904" spans="1:6" s="116" customFormat="1" ht="24.95" customHeight="1">
      <c r="A904" s="302"/>
      <c r="B904" s="115"/>
      <c r="C904" s="109"/>
      <c r="D904" s="74"/>
      <c r="E904" s="155" t="s">
        <v>363</v>
      </c>
      <c r="F904" s="37">
        <v>33000000</v>
      </c>
    </row>
    <row r="905" spans="1:6" s="116" customFormat="1" ht="24.95" customHeight="1">
      <c r="A905" s="302"/>
      <c r="B905" s="115"/>
      <c r="C905" s="109"/>
      <c r="D905" s="74"/>
      <c r="E905" s="155" t="s">
        <v>364</v>
      </c>
      <c r="F905" s="37">
        <v>12000000</v>
      </c>
    </row>
    <row r="906" spans="1:6" s="116" customFormat="1" ht="24.95" customHeight="1">
      <c r="A906" s="302"/>
      <c r="B906" s="115"/>
      <c r="C906" s="109"/>
      <c r="D906" s="74"/>
      <c r="E906" s="155" t="s">
        <v>365</v>
      </c>
      <c r="F906" s="37">
        <v>25000000</v>
      </c>
    </row>
    <row r="907" spans="1:6" s="116" customFormat="1" ht="24.95" customHeight="1">
      <c r="A907" s="302"/>
      <c r="B907" s="115"/>
      <c r="C907" s="109"/>
      <c r="D907" s="74"/>
      <c r="E907" s="155" t="s">
        <v>366</v>
      </c>
      <c r="F907" s="37">
        <v>50000000</v>
      </c>
    </row>
    <row r="908" spans="1:6" s="116" customFormat="1" ht="24.95" customHeight="1">
      <c r="A908" s="302"/>
      <c r="B908" s="115"/>
      <c r="C908" s="109"/>
      <c r="D908" s="135">
        <v>3500000</v>
      </c>
      <c r="E908" s="89" t="s">
        <v>1165</v>
      </c>
      <c r="F908" s="167"/>
    </row>
    <row r="909" spans="1:6" s="116" customFormat="1" ht="24.95" customHeight="1">
      <c r="A909" s="302"/>
      <c r="B909" s="115"/>
      <c r="C909" s="109"/>
      <c r="D909" s="135"/>
      <c r="E909" s="89" t="s">
        <v>921</v>
      </c>
      <c r="F909" s="167">
        <v>1500000</v>
      </c>
    </row>
    <row r="910" spans="1:6" s="116" customFormat="1" ht="24.95" customHeight="1">
      <c r="A910" s="302"/>
      <c r="B910" s="115"/>
      <c r="C910" s="109"/>
      <c r="D910" s="74"/>
      <c r="E910" s="38" t="s">
        <v>922</v>
      </c>
      <c r="F910" s="47">
        <v>2000000</v>
      </c>
    </row>
    <row r="911" spans="1:6" s="116" customFormat="1" ht="24.95" customHeight="1">
      <c r="A911" s="302"/>
      <c r="B911" s="115"/>
      <c r="C911" s="146" t="s">
        <v>126</v>
      </c>
      <c r="D911" s="92">
        <f>SUM(D912:D920)</f>
        <v>159600000</v>
      </c>
      <c r="E911" s="152"/>
      <c r="F911" s="176"/>
    </row>
    <row r="912" spans="1:6" s="116" customFormat="1" ht="24.95" customHeight="1">
      <c r="A912" s="302"/>
      <c r="B912" s="115"/>
      <c r="C912" s="118"/>
      <c r="D912" s="135">
        <v>6000000</v>
      </c>
      <c r="E912" s="89" t="s">
        <v>1232</v>
      </c>
      <c r="F912" s="30"/>
    </row>
    <row r="913" spans="1:6" s="116" customFormat="1" ht="24.95" customHeight="1">
      <c r="A913" s="302"/>
      <c r="B913" s="115"/>
      <c r="C913" s="118"/>
      <c r="D913" s="135"/>
      <c r="E913" s="88" t="s">
        <v>1233</v>
      </c>
      <c r="F913" s="30">
        <v>3000000</v>
      </c>
    </row>
    <row r="914" spans="1:6" s="116" customFormat="1" ht="24.95" customHeight="1">
      <c r="A914" s="302"/>
      <c r="B914" s="115"/>
      <c r="C914" s="118"/>
      <c r="D914" s="135"/>
      <c r="E914" s="88" t="s">
        <v>1234</v>
      </c>
      <c r="F914" s="30">
        <v>3000000</v>
      </c>
    </row>
    <row r="915" spans="1:6" s="116" customFormat="1" ht="24.95" customHeight="1">
      <c r="A915" s="302"/>
      <c r="B915" s="115"/>
      <c r="C915" s="118"/>
      <c r="D915" s="135">
        <v>22400000</v>
      </c>
      <c r="E915" s="89" t="s">
        <v>1235</v>
      </c>
      <c r="F915" s="167"/>
    </row>
    <row r="916" spans="1:6" s="116" customFormat="1" ht="24.95" customHeight="1">
      <c r="A916" s="302"/>
      <c r="B916" s="115"/>
      <c r="C916" s="118"/>
      <c r="D916" s="135">
        <v>120000000</v>
      </c>
      <c r="E916" s="89" t="s">
        <v>1236</v>
      </c>
      <c r="F916" s="167"/>
    </row>
    <row r="917" spans="1:6" s="116" customFormat="1" ht="24.95" customHeight="1">
      <c r="A917" s="302"/>
      <c r="B917" s="115"/>
      <c r="C917" s="118"/>
      <c r="D917" s="135">
        <v>11200000</v>
      </c>
      <c r="E917" s="89" t="s">
        <v>1165</v>
      </c>
      <c r="F917" s="167"/>
    </row>
    <row r="918" spans="1:6" s="116" customFormat="1" ht="24.95" customHeight="1">
      <c r="A918" s="302"/>
      <c r="B918" s="115"/>
      <c r="C918" s="118"/>
      <c r="D918" s="135"/>
      <c r="E918" s="88" t="s">
        <v>1237</v>
      </c>
      <c r="F918" s="167">
        <v>10000000</v>
      </c>
    </row>
    <row r="919" spans="1:6" s="116" customFormat="1" ht="24.95" customHeight="1">
      <c r="A919" s="302"/>
      <c r="B919" s="115"/>
      <c r="C919" s="118"/>
      <c r="D919" s="135"/>
      <c r="E919" s="38" t="s">
        <v>923</v>
      </c>
      <c r="F919" s="47">
        <v>1000000</v>
      </c>
    </row>
    <row r="920" spans="1:6" s="116" customFormat="1" ht="24.95" customHeight="1">
      <c r="A920" s="302"/>
      <c r="B920" s="115"/>
      <c r="C920" s="118"/>
      <c r="D920" s="135"/>
      <c r="E920" s="38" t="s">
        <v>924</v>
      </c>
      <c r="F920" s="47">
        <v>200000</v>
      </c>
    </row>
    <row r="921" spans="1:6" s="116" customFormat="1" ht="24.95" customHeight="1">
      <c r="A921" s="302"/>
      <c r="B921" s="115"/>
      <c r="C921" s="146" t="s">
        <v>127</v>
      </c>
      <c r="D921" s="92">
        <f>SUM(D922:D930)</f>
        <v>48100000</v>
      </c>
      <c r="E921" s="152"/>
      <c r="F921" s="176"/>
    </row>
    <row r="922" spans="1:6" s="116" customFormat="1" ht="24.95" customHeight="1">
      <c r="A922" s="302"/>
      <c r="B922" s="115"/>
      <c r="C922" s="118"/>
      <c r="D922" s="135">
        <v>2000000</v>
      </c>
      <c r="E922" s="89" t="s">
        <v>1239</v>
      </c>
      <c r="F922" s="30"/>
    </row>
    <row r="923" spans="1:6" s="116" customFormat="1" ht="24.95" customHeight="1">
      <c r="A923" s="302"/>
      <c r="B923" s="115"/>
      <c r="C923" s="118"/>
      <c r="D923" s="74"/>
      <c r="E923" s="338" t="s">
        <v>1238</v>
      </c>
      <c r="F923" s="25">
        <v>2000000</v>
      </c>
    </row>
    <row r="924" spans="1:6" s="116" customFormat="1" ht="24.95" customHeight="1">
      <c r="A924" s="302"/>
      <c r="B924" s="115"/>
      <c r="C924" s="118"/>
      <c r="D924" s="135">
        <v>14000000</v>
      </c>
      <c r="E924" s="89" t="s">
        <v>1240</v>
      </c>
      <c r="F924" s="30"/>
    </row>
    <row r="925" spans="1:6" s="116" customFormat="1" ht="24.95" customHeight="1">
      <c r="A925" s="302"/>
      <c r="B925" s="115"/>
      <c r="C925" s="118"/>
      <c r="D925" s="74"/>
      <c r="E925" s="88" t="s">
        <v>1241</v>
      </c>
      <c r="F925" s="30">
        <v>3000000</v>
      </c>
    </row>
    <row r="926" spans="1:6" s="116" customFormat="1" ht="24.95" customHeight="1">
      <c r="A926" s="302"/>
      <c r="B926" s="115"/>
      <c r="C926" s="118"/>
      <c r="D926" s="74"/>
      <c r="E926" s="88" t="s">
        <v>1242</v>
      </c>
      <c r="F926" s="30">
        <v>9000000</v>
      </c>
    </row>
    <row r="927" spans="1:6" s="116" customFormat="1" ht="24.95" customHeight="1">
      <c r="A927" s="302"/>
      <c r="B927" s="115"/>
      <c r="C927" s="118"/>
      <c r="D927" s="74"/>
      <c r="E927" s="88" t="s">
        <v>1243</v>
      </c>
      <c r="F927" s="30">
        <v>2000000</v>
      </c>
    </row>
    <row r="928" spans="1:6" s="116" customFormat="1" ht="24.95" customHeight="1">
      <c r="A928" s="302"/>
      <c r="B928" s="115"/>
      <c r="C928" s="109"/>
      <c r="D928" s="74">
        <v>29100000</v>
      </c>
      <c r="E928" s="89" t="s">
        <v>1244</v>
      </c>
      <c r="F928" s="167"/>
    </row>
    <row r="929" spans="1:6" s="116" customFormat="1" ht="24.95" customHeight="1">
      <c r="A929" s="302"/>
      <c r="B929" s="115"/>
      <c r="C929" s="109"/>
      <c r="D929" s="135">
        <v>3000000</v>
      </c>
      <c r="E929" s="89" t="s">
        <v>1165</v>
      </c>
      <c r="F929" s="167"/>
    </row>
    <row r="930" spans="1:6" s="116" customFormat="1" ht="24.95" customHeight="1">
      <c r="A930" s="302"/>
      <c r="B930" s="115"/>
      <c r="C930" s="109"/>
      <c r="D930" s="74"/>
      <c r="E930" s="38" t="s">
        <v>367</v>
      </c>
      <c r="F930" s="47">
        <v>3000000</v>
      </c>
    </row>
    <row r="931" spans="1:6" s="116" customFormat="1" ht="24.95" customHeight="1">
      <c r="A931" s="302"/>
      <c r="B931" s="115"/>
      <c r="C931" s="146" t="s">
        <v>128</v>
      </c>
      <c r="D931" s="92">
        <f>SUM(D932:D939)</f>
        <v>63100000</v>
      </c>
      <c r="E931" s="152"/>
      <c r="F931" s="176"/>
    </row>
    <row r="932" spans="1:6" s="116" customFormat="1" ht="24.95" customHeight="1">
      <c r="A932" s="302"/>
      <c r="B932" s="115"/>
      <c r="C932" s="117"/>
      <c r="D932" s="135">
        <v>10000000</v>
      </c>
      <c r="E932" s="89" t="s">
        <v>1246</v>
      </c>
      <c r="F932" s="30"/>
    </row>
    <row r="933" spans="1:6" s="116" customFormat="1" ht="24.95" customHeight="1">
      <c r="A933" s="302"/>
      <c r="B933" s="115"/>
      <c r="C933" s="117"/>
      <c r="D933" s="74"/>
      <c r="E933" s="338" t="s">
        <v>1245</v>
      </c>
      <c r="F933" s="25">
        <v>10000000</v>
      </c>
    </row>
    <row r="934" spans="1:6" s="116" customFormat="1" ht="24.95" customHeight="1">
      <c r="A934" s="302"/>
      <c r="B934" s="115"/>
      <c r="C934" s="117"/>
      <c r="D934" s="135">
        <v>25000000</v>
      </c>
      <c r="E934" s="89" t="s">
        <v>1247</v>
      </c>
      <c r="F934" s="30"/>
    </row>
    <row r="935" spans="1:6" s="116" customFormat="1" ht="24.95" customHeight="1">
      <c r="A935" s="302"/>
      <c r="B935" s="115"/>
      <c r="C935" s="117"/>
      <c r="D935" s="135"/>
      <c r="E935" s="88" t="s">
        <v>1248</v>
      </c>
      <c r="F935" s="30">
        <v>10000000</v>
      </c>
    </row>
    <row r="936" spans="1:6" s="116" customFormat="1" ht="24.95" customHeight="1">
      <c r="A936" s="302"/>
      <c r="B936" s="115"/>
      <c r="C936" s="117"/>
      <c r="D936" s="135"/>
      <c r="E936" s="88" t="s">
        <v>1249</v>
      </c>
      <c r="F936" s="30">
        <v>15000000</v>
      </c>
    </row>
    <row r="937" spans="1:6" s="116" customFormat="1" ht="24.95" customHeight="1">
      <c r="A937" s="302"/>
      <c r="B937" s="115"/>
      <c r="C937" s="109"/>
      <c r="D937" s="74">
        <v>8100000</v>
      </c>
      <c r="E937" s="89" t="s">
        <v>1250</v>
      </c>
      <c r="F937" s="167"/>
    </row>
    <row r="938" spans="1:6" s="116" customFormat="1" ht="24.95" customHeight="1">
      <c r="A938" s="302"/>
      <c r="B938" s="115"/>
      <c r="C938" s="109"/>
      <c r="D938" s="135">
        <v>20000000</v>
      </c>
      <c r="E938" s="89" t="s">
        <v>1165</v>
      </c>
      <c r="F938" s="167"/>
    </row>
    <row r="939" spans="1:6" s="116" customFormat="1" ht="24.95" customHeight="1">
      <c r="A939" s="302"/>
      <c r="B939" s="115"/>
      <c r="C939" s="109"/>
      <c r="D939" s="74"/>
      <c r="E939" s="38" t="s">
        <v>925</v>
      </c>
      <c r="F939" s="47">
        <v>20000000</v>
      </c>
    </row>
    <row r="940" spans="1:6" s="116" customFormat="1" ht="24.95" customHeight="1">
      <c r="A940" s="302"/>
      <c r="B940" s="115"/>
      <c r="C940" s="146" t="s">
        <v>129</v>
      </c>
      <c r="D940" s="137">
        <f>D941</f>
        <v>3000000000</v>
      </c>
      <c r="E940" s="152"/>
      <c r="F940" s="176"/>
    </row>
    <row r="941" spans="1:6" s="116" customFormat="1" ht="24.95" customHeight="1">
      <c r="A941" s="302"/>
      <c r="B941" s="115"/>
      <c r="C941" s="109"/>
      <c r="D941" s="135">
        <v>3000000000</v>
      </c>
      <c r="E941" s="156" t="s">
        <v>368</v>
      </c>
      <c r="F941" s="172"/>
    </row>
    <row r="942" spans="1:6" s="116" customFormat="1" ht="24.95" customHeight="1">
      <c r="A942" s="302"/>
      <c r="B942" s="115"/>
      <c r="C942" s="109"/>
      <c r="D942" s="135"/>
      <c r="E942" s="155" t="s">
        <v>369</v>
      </c>
      <c r="F942" s="172">
        <v>3000000000</v>
      </c>
    </row>
    <row r="943" spans="1:6" s="116" customFormat="1" ht="24.95" customHeight="1">
      <c r="A943" s="302"/>
      <c r="B943" s="115"/>
      <c r="C943" s="146" t="s">
        <v>97</v>
      </c>
      <c r="D943" s="137">
        <f>SUM(D944:D970)</f>
        <v>9007061000</v>
      </c>
      <c r="E943" s="152"/>
      <c r="F943" s="176"/>
    </row>
    <row r="944" spans="1:6" s="116" customFormat="1" ht="24.95" customHeight="1">
      <c r="A944" s="302"/>
      <c r="B944" s="115"/>
      <c r="C944" s="118"/>
      <c r="D944" s="198">
        <v>10000000</v>
      </c>
      <c r="E944" s="153" t="s">
        <v>370</v>
      </c>
      <c r="F944" s="30"/>
    </row>
    <row r="945" spans="1:6" s="116" customFormat="1" ht="24.95" customHeight="1">
      <c r="A945" s="302"/>
      <c r="B945" s="115"/>
      <c r="C945" s="118"/>
      <c r="D945" s="135"/>
      <c r="E945" s="88" t="s">
        <v>371</v>
      </c>
      <c r="F945" s="30">
        <v>10000000</v>
      </c>
    </row>
    <row r="946" spans="1:6" s="116" customFormat="1" ht="24.95" customHeight="1">
      <c r="A946" s="302"/>
      <c r="B946" s="115"/>
      <c r="C946" s="118"/>
      <c r="D946" s="135">
        <v>10000000</v>
      </c>
      <c r="E946" s="89" t="s">
        <v>372</v>
      </c>
      <c r="F946" s="30"/>
    </row>
    <row r="947" spans="1:6" s="116" customFormat="1" ht="24.95" customHeight="1">
      <c r="A947" s="302"/>
      <c r="B947" s="115"/>
      <c r="C947" s="118"/>
      <c r="D947" s="135">
        <v>40000000</v>
      </c>
      <c r="E947" s="89" t="s">
        <v>373</v>
      </c>
      <c r="F947" s="30"/>
    </row>
    <row r="948" spans="1:6" s="116" customFormat="1" ht="24.95" customHeight="1">
      <c r="A948" s="302"/>
      <c r="B948" s="115"/>
      <c r="C948" s="118"/>
      <c r="D948" s="135"/>
      <c r="E948" s="338" t="s">
        <v>1251</v>
      </c>
      <c r="F948" s="25">
        <v>3000000</v>
      </c>
    </row>
    <row r="949" spans="1:6" s="116" customFormat="1" ht="24.95" customHeight="1">
      <c r="A949" s="302"/>
      <c r="B949" s="115"/>
      <c r="C949" s="118"/>
      <c r="D949" s="135"/>
      <c r="E949" s="338" t="s">
        <v>1252</v>
      </c>
      <c r="F949" s="25">
        <v>37000000</v>
      </c>
    </row>
    <row r="950" spans="1:6" s="116" customFormat="1" ht="24.95" customHeight="1">
      <c r="A950" s="302"/>
      <c r="B950" s="115"/>
      <c r="C950" s="118"/>
      <c r="D950" s="135">
        <v>81000000</v>
      </c>
      <c r="E950" s="89" t="s">
        <v>374</v>
      </c>
      <c r="F950" s="30"/>
    </row>
    <row r="951" spans="1:6" s="116" customFormat="1" ht="24.95" customHeight="1">
      <c r="A951" s="302"/>
      <c r="B951" s="115"/>
      <c r="C951" s="118"/>
      <c r="D951" s="135"/>
      <c r="E951" s="88" t="s">
        <v>1253</v>
      </c>
      <c r="F951" s="30">
        <v>20000000</v>
      </c>
    </row>
    <row r="952" spans="1:6" s="116" customFormat="1" ht="24.95" customHeight="1">
      <c r="A952" s="302"/>
      <c r="B952" s="115"/>
      <c r="C952" s="118"/>
      <c r="D952" s="135"/>
      <c r="E952" s="88" t="s">
        <v>1254</v>
      </c>
      <c r="F952" s="30">
        <v>10000000</v>
      </c>
    </row>
    <row r="953" spans="1:6" s="116" customFormat="1" ht="24.95" customHeight="1">
      <c r="A953" s="302"/>
      <c r="B953" s="115"/>
      <c r="C953" s="118"/>
      <c r="D953" s="135"/>
      <c r="E953" s="88" t="s">
        <v>1255</v>
      </c>
      <c r="F953" s="30">
        <v>24000000</v>
      </c>
    </row>
    <row r="954" spans="1:6" s="116" customFormat="1" ht="24.95" customHeight="1">
      <c r="A954" s="302"/>
      <c r="B954" s="115"/>
      <c r="C954" s="118"/>
      <c r="D954" s="135"/>
      <c r="E954" s="88" t="s">
        <v>1256</v>
      </c>
      <c r="F954" s="30">
        <v>21000000</v>
      </c>
    </row>
    <row r="955" spans="1:6" s="116" customFormat="1" ht="24.95" customHeight="1">
      <c r="A955" s="302"/>
      <c r="B955" s="115"/>
      <c r="C955" s="118"/>
      <c r="D955" s="135"/>
      <c r="E955" s="88" t="s">
        <v>1257</v>
      </c>
      <c r="F955" s="30">
        <v>6000000</v>
      </c>
    </row>
    <row r="956" spans="1:6" s="116" customFormat="1" ht="24.95" customHeight="1">
      <c r="A956" s="302"/>
      <c r="B956" s="115"/>
      <c r="C956" s="118"/>
      <c r="D956" s="135">
        <v>8401961000</v>
      </c>
      <c r="E956" s="89" t="s">
        <v>375</v>
      </c>
      <c r="F956" s="172"/>
    </row>
    <row r="957" spans="1:6" s="116" customFormat="1" ht="24.95" customHeight="1">
      <c r="A957" s="302"/>
      <c r="B957" s="115"/>
      <c r="C957" s="118"/>
      <c r="D957" s="135"/>
      <c r="E957" s="155" t="s">
        <v>376</v>
      </c>
      <c r="F957" s="37">
        <v>96000000</v>
      </c>
    </row>
    <row r="958" spans="1:6" s="116" customFormat="1" ht="24.95" customHeight="1">
      <c r="A958" s="302"/>
      <c r="B958" s="115"/>
      <c r="C958" s="118"/>
      <c r="D958" s="135"/>
      <c r="E958" s="155" t="s">
        <v>377</v>
      </c>
      <c r="F958" s="37">
        <v>18000000</v>
      </c>
    </row>
    <row r="959" spans="1:6" s="116" customFormat="1" ht="24.95" customHeight="1">
      <c r="A959" s="302"/>
      <c r="B959" s="115"/>
      <c r="C959" s="118"/>
      <c r="D959" s="135"/>
      <c r="E959" s="155" t="s">
        <v>378</v>
      </c>
      <c r="F959" s="37">
        <v>250000000</v>
      </c>
    </row>
    <row r="960" spans="1:6" s="116" customFormat="1" ht="24.95" customHeight="1">
      <c r="A960" s="302"/>
      <c r="B960" s="115"/>
      <c r="C960" s="118"/>
      <c r="D960" s="135"/>
      <c r="E960" s="155" t="s">
        <v>379</v>
      </c>
      <c r="F960" s="37">
        <v>4021799000</v>
      </c>
    </row>
    <row r="961" spans="1:6" s="116" customFormat="1" ht="24.95" customHeight="1">
      <c r="A961" s="302"/>
      <c r="B961" s="115"/>
      <c r="C961" s="118"/>
      <c r="D961" s="135"/>
      <c r="E961" s="155" t="s">
        <v>380</v>
      </c>
      <c r="F961" s="37">
        <v>1676962000</v>
      </c>
    </row>
    <row r="962" spans="1:6" s="116" customFormat="1" ht="24.95" customHeight="1">
      <c r="A962" s="302"/>
      <c r="B962" s="115"/>
      <c r="C962" s="118"/>
      <c r="D962" s="135"/>
      <c r="E962" s="155" t="s">
        <v>381</v>
      </c>
      <c r="F962" s="37">
        <v>2172000000</v>
      </c>
    </row>
    <row r="963" spans="1:6" s="116" customFormat="1" ht="24.95" customHeight="1">
      <c r="A963" s="302"/>
      <c r="B963" s="115"/>
      <c r="C963" s="118"/>
      <c r="D963" s="135"/>
      <c r="E963" s="155" t="s">
        <v>382</v>
      </c>
      <c r="F963" s="37">
        <v>26000000</v>
      </c>
    </row>
    <row r="964" spans="1:6" s="116" customFormat="1" ht="24.95" customHeight="1">
      <c r="A964" s="302"/>
      <c r="B964" s="115"/>
      <c r="C964" s="118"/>
      <c r="D964" s="135"/>
      <c r="E964" s="155" t="s">
        <v>383</v>
      </c>
      <c r="F964" s="37">
        <v>91200000</v>
      </c>
    </row>
    <row r="965" spans="1:6" s="116" customFormat="1" ht="24.95" customHeight="1">
      <c r="A965" s="302"/>
      <c r="B965" s="115"/>
      <c r="C965" s="118"/>
      <c r="D965" s="135"/>
      <c r="E965" s="155" t="s">
        <v>384</v>
      </c>
      <c r="F965" s="37">
        <v>50000000</v>
      </c>
    </row>
    <row r="966" spans="1:6" s="116" customFormat="1" ht="24.95" customHeight="1">
      <c r="A966" s="302"/>
      <c r="B966" s="115"/>
      <c r="C966" s="118"/>
      <c r="D966" s="135">
        <v>464100000</v>
      </c>
      <c r="E966" s="89" t="s">
        <v>17</v>
      </c>
      <c r="F966" s="167"/>
    </row>
    <row r="967" spans="1:6" s="116" customFormat="1" ht="24.95" customHeight="1">
      <c r="A967" s="302"/>
      <c r="B967" s="115"/>
      <c r="C967" s="118"/>
      <c r="D967" s="135"/>
      <c r="E967" s="38" t="s">
        <v>926</v>
      </c>
      <c r="F967" s="47">
        <v>120000000</v>
      </c>
    </row>
    <row r="968" spans="1:6" s="116" customFormat="1" ht="24.95" customHeight="1">
      <c r="A968" s="302"/>
      <c r="B968" s="115"/>
      <c r="C968" s="118"/>
      <c r="D968" s="135"/>
      <c r="E968" s="38" t="s">
        <v>927</v>
      </c>
      <c r="F968" s="47">
        <v>100000000</v>
      </c>
    </row>
    <row r="969" spans="1:6" s="116" customFormat="1" ht="24.95" customHeight="1">
      <c r="A969" s="302"/>
      <c r="B969" s="115"/>
      <c r="C969" s="118"/>
      <c r="D969" s="135"/>
      <c r="E969" s="38" t="s">
        <v>928</v>
      </c>
      <c r="F969" s="47">
        <v>235800000</v>
      </c>
    </row>
    <row r="970" spans="1:6" s="116" customFormat="1" ht="24.95" customHeight="1">
      <c r="A970" s="302"/>
      <c r="B970" s="115"/>
      <c r="C970" s="118"/>
      <c r="D970" s="135"/>
      <c r="E970" s="38" t="s">
        <v>929</v>
      </c>
      <c r="F970" s="47">
        <v>8300000</v>
      </c>
    </row>
    <row r="971" spans="1:6" ht="24.95" customHeight="1">
      <c r="A971" s="191" t="s">
        <v>130</v>
      </c>
      <c r="B971" s="110"/>
      <c r="C971" s="111"/>
      <c r="D971" s="104">
        <f>D972</f>
        <v>310940000</v>
      </c>
      <c r="E971" s="147"/>
      <c r="F971" s="178"/>
    </row>
    <row r="972" spans="1:6" ht="24.95" customHeight="1">
      <c r="A972" s="174"/>
      <c r="B972" s="292" t="s">
        <v>130</v>
      </c>
      <c r="C972" s="114"/>
      <c r="D972" s="101">
        <f>D973</f>
        <v>310940000</v>
      </c>
      <c r="E972" s="114"/>
      <c r="F972" s="177"/>
    </row>
    <row r="973" spans="1:6" ht="24.95" customHeight="1">
      <c r="A973" s="174"/>
      <c r="B973" s="107"/>
      <c r="C973" s="146" t="s">
        <v>131</v>
      </c>
      <c r="D973" s="92">
        <f>SUM(D974:D975)</f>
        <v>310940000</v>
      </c>
      <c r="E973" s="146"/>
      <c r="F973" s="176"/>
    </row>
    <row r="974" spans="1:6" ht="24.95" customHeight="1">
      <c r="A974" s="199"/>
      <c r="B974" s="107"/>
      <c r="C974" s="303"/>
      <c r="D974" s="304">
        <v>105140000</v>
      </c>
      <c r="E974" s="72" t="s">
        <v>1258</v>
      </c>
      <c r="F974" s="172"/>
    </row>
    <row r="975" spans="1:6" ht="24.95" customHeight="1">
      <c r="A975" s="199"/>
      <c r="B975" s="185"/>
      <c r="C975" s="305"/>
      <c r="D975" s="135">
        <v>205800000</v>
      </c>
      <c r="E975" s="72" t="s">
        <v>1259</v>
      </c>
      <c r="F975" s="172"/>
    </row>
    <row r="976" spans="1:6" s="116" customFormat="1" ht="24.95" customHeight="1">
      <c r="A976" s="398" t="s">
        <v>435</v>
      </c>
      <c r="B976" s="399"/>
      <c r="C976" s="400"/>
      <c r="D976" s="184">
        <f>D5+D104+D741+D971</f>
        <v>140835895539</v>
      </c>
      <c r="E976" s="404"/>
      <c r="F976" s="405"/>
    </row>
    <row r="977" spans="1:6" s="46" customFormat="1" ht="24.95" customHeight="1">
      <c r="A977" s="299" t="s">
        <v>132</v>
      </c>
      <c r="B977" s="119"/>
      <c r="C977" s="113"/>
      <c r="D977" s="99">
        <f>D978+D1027</f>
        <v>10509403809</v>
      </c>
      <c r="E977" s="142"/>
      <c r="F977" s="173"/>
    </row>
    <row r="978" spans="1:6" s="46" customFormat="1" ht="24.95" customHeight="1">
      <c r="A978" s="302"/>
      <c r="B978" s="300" t="s">
        <v>98</v>
      </c>
      <c r="C978" s="112"/>
      <c r="D978" s="101">
        <f>D979+D1011</f>
        <v>9821063259</v>
      </c>
      <c r="E978" s="148"/>
      <c r="F978" s="177"/>
    </row>
    <row r="979" spans="1:6" ht="24.95" customHeight="1">
      <c r="A979" s="179"/>
      <c r="B979" s="107"/>
      <c r="C979" s="59" t="s">
        <v>133</v>
      </c>
      <c r="D979" s="92">
        <f>SUM(D980:D1010)</f>
        <v>9516063259</v>
      </c>
      <c r="E979" s="59"/>
      <c r="F979" s="176"/>
    </row>
    <row r="980" spans="1:6" ht="24.95" customHeight="1">
      <c r="A980" s="179"/>
      <c r="B980" s="107"/>
      <c r="C980" s="109"/>
      <c r="D980" s="135">
        <v>300000000</v>
      </c>
      <c r="E980" s="64" t="s">
        <v>282</v>
      </c>
      <c r="F980" s="30"/>
    </row>
    <row r="981" spans="1:6" ht="24.95" customHeight="1">
      <c r="A981" s="179"/>
      <c r="B981" s="107"/>
      <c r="C981" s="109"/>
      <c r="D981" s="135"/>
      <c r="E981" s="84" t="s">
        <v>385</v>
      </c>
      <c r="F981" s="30">
        <v>300000000</v>
      </c>
    </row>
    <row r="982" spans="1:6" ht="24.95" customHeight="1">
      <c r="A982" s="179"/>
      <c r="B982" s="107"/>
      <c r="C982" s="109"/>
      <c r="D982" s="135">
        <v>277350000</v>
      </c>
      <c r="E982" s="72" t="s">
        <v>283</v>
      </c>
      <c r="F982" s="30"/>
    </row>
    <row r="983" spans="1:6" ht="24.95" customHeight="1">
      <c r="A983" s="179"/>
      <c r="B983" s="107"/>
      <c r="C983" s="109"/>
      <c r="D983" s="74"/>
      <c r="E983" s="338" t="s">
        <v>950</v>
      </c>
      <c r="F983" s="25">
        <v>15000000</v>
      </c>
    </row>
    <row r="984" spans="1:6" ht="24.95" customHeight="1">
      <c r="A984" s="179"/>
      <c r="B984" s="107"/>
      <c r="C984" s="109"/>
      <c r="D984" s="74"/>
      <c r="E984" s="338" t="s">
        <v>951</v>
      </c>
      <c r="F984" s="25">
        <v>4500000</v>
      </c>
    </row>
    <row r="985" spans="1:6" ht="24.95" customHeight="1">
      <c r="A985" s="179"/>
      <c r="B985" s="107"/>
      <c r="C985" s="109"/>
      <c r="D985" s="74"/>
      <c r="E985" s="338" t="s">
        <v>952</v>
      </c>
      <c r="F985" s="25">
        <v>7000000</v>
      </c>
    </row>
    <row r="986" spans="1:6" ht="24.95" customHeight="1">
      <c r="A986" s="179"/>
      <c r="B986" s="107"/>
      <c r="C986" s="109"/>
      <c r="D986" s="74"/>
      <c r="E986" s="338" t="s">
        <v>1260</v>
      </c>
      <c r="F986" s="25">
        <v>132000000</v>
      </c>
    </row>
    <row r="987" spans="1:6" ht="24.95" customHeight="1">
      <c r="A987" s="179"/>
      <c r="B987" s="107"/>
      <c r="C987" s="109"/>
      <c r="D987" s="74"/>
      <c r="E987" s="338" t="s">
        <v>1261</v>
      </c>
      <c r="F987" s="25">
        <v>107350000</v>
      </c>
    </row>
    <row r="988" spans="1:6" ht="24.95" customHeight="1">
      <c r="A988" s="179"/>
      <c r="B988" s="107"/>
      <c r="C988" s="109"/>
      <c r="D988" s="74"/>
      <c r="E988" s="338" t="s">
        <v>1262</v>
      </c>
      <c r="F988" s="25">
        <v>6000000</v>
      </c>
    </row>
    <row r="989" spans="1:6" ht="24.95" customHeight="1">
      <c r="A989" s="179"/>
      <c r="B989" s="107"/>
      <c r="C989" s="109"/>
      <c r="D989" s="74"/>
      <c r="E989" s="338" t="s">
        <v>1263</v>
      </c>
      <c r="F989" s="25">
        <v>4000000</v>
      </c>
    </row>
    <row r="990" spans="1:6" ht="24.95" customHeight="1">
      <c r="A990" s="179"/>
      <c r="B990" s="107"/>
      <c r="C990" s="109"/>
      <c r="D990" s="74"/>
      <c r="E990" s="338" t="s">
        <v>1264</v>
      </c>
      <c r="F990" s="25">
        <v>1000000</v>
      </c>
    </row>
    <row r="991" spans="1:6" ht="24.95" customHeight="1">
      <c r="A991" s="179"/>
      <c r="B991" s="107"/>
      <c r="C991" s="109"/>
      <c r="D991" s="74"/>
      <c r="E991" s="338" t="s">
        <v>959</v>
      </c>
      <c r="F991" s="25">
        <v>500000</v>
      </c>
    </row>
    <row r="992" spans="1:6" ht="24.95" customHeight="1">
      <c r="A992" s="179"/>
      <c r="B992" s="107"/>
      <c r="C992" s="109"/>
      <c r="D992" s="135">
        <v>510100000</v>
      </c>
      <c r="E992" s="72" t="s">
        <v>254</v>
      </c>
      <c r="F992" s="30"/>
    </row>
    <row r="993" spans="1:6" ht="24.95" customHeight="1">
      <c r="A993" s="179"/>
      <c r="B993" s="107"/>
      <c r="C993" s="109"/>
      <c r="D993" s="74"/>
      <c r="E993" s="338" t="s">
        <v>1265</v>
      </c>
      <c r="F993" s="30">
        <v>255100000</v>
      </c>
    </row>
    <row r="994" spans="1:6" ht="24.95" customHeight="1">
      <c r="A994" s="179"/>
      <c r="B994" s="107"/>
      <c r="C994" s="109"/>
      <c r="D994" s="74"/>
      <c r="E994" s="338" t="s">
        <v>1266</v>
      </c>
      <c r="F994" s="30">
        <v>70000000</v>
      </c>
    </row>
    <row r="995" spans="1:6" ht="24.95" customHeight="1">
      <c r="A995" s="179"/>
      <c r="B995" s="107"/>
      <c r="C995" s="109"/>
      <c r="D995" s="74"/>
      <c r="E995" s="338" t="s">
        <v>1267</v>
      </c>
      <c r="F995" s="30">
        <v>120000000</v>
      </c>
    </row>
    <row r="996" spans="1:6" ht="24.95" customHeight="1">
      <c r="A996" s="179"/>
      <c r="B996" s="107"/>
      <c r="C996" s="109"/>
      <c r="D996" s="74"/>
      <c r="E996" s="338" t="s">
        <v>1268</v>
      </c>
      <c r="F996" s="29">
        <v>40000000</v>
      </c>
    </row>
    <row r="997" spans="1:6" ht="24.95" customHeight="1">
      <c r="A997" s="179"/>
      <c r="B997" s="107"/>
      <c r="C997" s="109"/>
      <c r="D997" s="74"/>
      <c r="E997" s="338" t="s">
        <v>1269</v>
      </c>
      <c r="F997" s="29">
        <v>25000000</v>
      </c>
    </row>
    <row r="998" spans="1:6" ht="24.95" customHeight="1">
      <c r="A998" s="179"/>
      <c r="B998" s="107"/>
      <c r="C998" s="109"/>
      <c r="D998" s="135">
        <v>97341251</v>
      </c>
      <c r="E998" s="72" t="s">
        <v>386</v>
      </c>
      <c r="F998" s="167"/>
    </row>
    <row r="999" spans="1:6" ht="24.95" customHeight="1">
      <c r="A999" s="179"/>
      <c r="B999" s="107"/>
      <c r="C999" s="109"/>
      <c r="D999" s="135"/>
      <c r="E999" s="109" t="s">
        <v>387</v>
      </c>
      <c r="F999" s="166">
        <v>97341251</v>
      </c>
    </row>
    <row r="1000" spans="1:6" ht="24.95" customHeight="1">
      <c r="A1000" s="179"/>
      <c r="B1000" s="107"/>
      <c r="C1000" s="109"/>
      <c r="D1000" s="135">
        <v>400000000</v>
      </c>
      <c r="E1000" s="16" t="s">
        <v>388</v>
      </c>
      <c r="F1000" s="166"/>
    </row>
    <row r="1001" spans="1:6" ht="24.95" customHeight="1">
      <c r="A1001" s="179"/>
      <c r="B1001" s="107"/>
      <c r="C1001" s="109"/>
      <c r="D1001" s="135"/>
      <c r="E1001" s="17" t="s">
        <v>826</v>
      </c>
      <c r="F1001" s="166">
        <v>400000000</v>
      </c>
    </row>
    <row r="1002" spans="1:6" ht="24.95" customHeight="1">
      <c r="A1002" s="179"/>
      <c r="B1002" s="107"/>
      <c r="C1002" s="109"/>
      <c r="D1002" s="135">
        <v>106500000</v>
      </c>
      <c r="E1002" s="72" t="s">
        <v>389</v>
      </c>
      <c r="F1002" s="167"/>
    </row>
    <row r="1003" spans="1:6" ht="24.95" customHeight="1">
      <c r="A1003" s="179"/>
      <c r="B1003" s="107"/>
      <c r="C1003" s="109"/>
      <c r="D1003" s="74"/>
      <c r="E1003" s="109" t="s">
        <v>390</v>
      </c>
      <c r="F1003" s="166">
        <v>106500000</v>
      </c>
    </row>
    <row r="1004" spans="1:6" ht="24.95" customHeight="1">
      <c r="A1004" s="179"/>
      <c r="B1004" s="107"/>
      <c r="C1004" s="109"/>
      <c r="D1004" s="74"/>
      <c r="E1004" s="109" t="s">
        <v>763</v>
      </c>
      <c r="F1004" s="166"/>
    </row>
    <row r="1005" spans="1:6" ht="24.95" customHeight="1">
      <c r="A1005" s="179"/>
      <c r="B1005" s="107"/>
      <c r="C1005" s="109"/>
      <c r="D1005" s="74"/>
      <c r="E1005" s="109" t="s">
        <v>764</v>
      </c>
      <c r="F1005" s="166"/>
    </row>
    <row r="1006" spans="1:6" ht="24.95" customHeight="1">
      <c r="A1006" s="179"/>
      <c r="B1006" s="107"/>
      <c r="C1006" s="109"/>
      <c r="D1006" s="135">
        <v>721886950</v>
      </c>
      <c r="E1006" s="72" t="s">
        <v>169</v>
      </c>
      <c r="F1006" s="167"/>
    </row>
    <row r="1007" spans="1:6" ht="24.95" customHeight="1">
      <c r="A1007" s="179"/>
      <c r="B1007" s="107"/>
      <c r="C1007" s="109"/>
      <c r="D1007" s="135"/>
      <c r="E1007" s="109" t="s">
        <v>391</v>
      </c>
      <c r="F1007" s="167">
        <v>721886950</v>
      </c>
    </row>
    <row r="1008" spans="1:6" s="2" customFormat="1" ht="24.95" customHeight="1">
      <c r="A1008" s="302"/>
      <c r="B1008" s="81"/>
      <c r="C1008" s="71"/>
      <c r="D1008" s="135">
        <v>103000000</v>
      </c>
      <c r="E1008" s="141" t="s">
        <v>392</v>
      </c>
      <c r="F1008" s="166"/>
    </row>
    <row r="1009" spans="1:6" s="2" customFormat="1" ht="24.95" customHeight="1">
      <c r="A1009" s="302"/>
      <c r="B1009" s="81"/>
      <c r="C1009" s="71"/>
      <c r="D1009" s="135"/>
      <c r="E1009" s="71" t="s">
        <v>393</v>
      </c>
      <c r="F1009" s="166">
        <v>103000000</v>
      </c>
    </row>
    <row r="1010" spans="1:6" s="2" customFormat="1" ht="24.95" customHeight="1">
      <c r="A1010" s="302"/>
      <c r="B1010" s="81"/>
      <c r="C1010" s="71"/>
      <c r="D1010" s="135">
        <v>6999885058</v>
      </c>
      <c r="E1010" s="68" t="s">
        <v>394</v>
      </c>
      <c r="F1010" s="166"/>
    </row>
    <row r="1011" spans="1:6" ht="24.95" customHeight="1">
      <c r="A1011" s="179"/>
      <c r="B1011" s="107"/>
      <c r="C1011" s="59" t="s">
        <v>134</v>
      </c>
      <c r="D1011" s="92">
        <f>SUM(D1012:D1026)</f>
        <v>305000000</v>
      </c>
      <c r="E1011" s="59"/>
      <c r="F1011" s="176"/>
    </row>
    <row r="1012" spans="1:6" ht="24.95" customHeight="1">
      <c r="A1012" s="179"/>
      <c r="B1012" s="107"/>
      <c r="C1012" s="109"/>
      <c r="D1012" s="135">
        <v>10000000</v>
      </c>
      <c r="E1012" s="72" t="s">
        <v>1270</v>
      </c>
      <c r="F1012" s="30"/>
    </row>
    <row r="1013" spans="1:6" ht="24.95" customHeight="1">
      <c r="A1013" s="179"/>
      <c r="B1013" s="107"/>
      <c r="C1013" s="109"/>
      <c r="D1013" s="74"/>
      <c r="E1013" s="192" t="s">
        <v>395</v>
      </c>
      <c r="F1013" s="25">
        <v>10000000</v>
      </c>
    </row>
    <row r="1014" spans="1:6" ht="24.95" customHeight="1">
      <c r="A1014" s="179"/>
      <c r="B1014" s="107"/>
      <c r="C1014" s="109"/>
      <c r="D1014" s="135">
        <v>101500000</v>
      </c>
      <c r="E1014" s="89" t="s">
        <v>1271</v>
      </c>
      <c r="F1014" s="30"/>
    </row>
    <row r="1015" spans="1:6" ht="24.95" customHeight="1">
      <c r="A1015" s="179"/>
      <c r="B1015" s="107"/>
      <c r="C1015" s="109"/>
      <c r="D1015" s="74"/>
      <c r="E1015" s="192" t="s">
        <v>1273</v>
      </c>
      <c r="F1015" s="30">
        <v>35000000</v>
      </c>
    </row>
    <row r="1016" spans="1:6" ht="24.95" customHeight="1">
      <c r="A1016" s="179"/>
      <c r="B1016" s="107"/>
      <c r="C1016" s="109"/>
      <c r="D1016" s="74"/>
      <c r="E1016" s="192" t="s">
        <v>1274</v>
      </c>
      <c r="F1016" s="30">
        <v>20000000</v>
      </c>
    </row>
    <row r="1017" spans="1:6" ht="24.95" customHeight="1">
      <c r="A1017" s="179"/>
      <c r="B1017" s="107"/>
      <c r="C1017" s="109"/>
      <c r="D1017" s="74"/>
      <c r="E1017" s="88" t="s">
        <v>1275</v>
      </c>
      <c r="F1017" s="30">
        <v>46500000</v>
      </c>
    </row>
    <row r="1018" spans="1:6" ht="24.95" customHeight="1">
      <c r="A1018" s="179"/>
      <c r="B1018" s="107"/>
      <c r="C1018" s="109"/>
      <c r="D1018" s="74">
        <v>163500000</v>
      </c>
      <c r="E1018" s="89" t="s">
        <v>1272</v>
      </c>
      <c r="F1018" s="172"/>
    </row>
    <row r="1019" spans="1:6" ht="24.95" customHeight="1">
      <c r="A1019" s="179"/>
      <c r="B1019" s="107"/>
      <c r="C1019" s="109"/>
      <c r="D1019" s="74"/>
      <c r="E1019" s="155" t="s">
        <v>396</v>
      </c>
      <c r="F1019" s="172">
        <v>2000000</v>
      </c>
    </row>
    <row r="1020" spans="1:6" ht="24.95" customHeight="1">
      <c r="A1020" s="179"/>
      <c r="B1020" s="107"/>
      <c r="C1020" s="109"/>
      <c r="D1020" s="74"/>
      <c r="E1020" s="155" t="s">
        <v>1294</v>
      </c>
      <c r="F1020" s="172">
        <v>22500000</v>
      </c>
    </row>
    <row r="1021" spans="1:6" ht="24.95" customHeight="1">
      <c r="A1021" s="179"/>
      <c r="B1021" s="107"/>
      <c r="C1021" s="109"/>
      <c r="D1021" s="74"/>
      <c r="E1021" s="155" t="s">
        <v>397</v>
      </c>
      <c r="F1021" s="172">
        <v>15000000</v>
      </c>
    </row>
    <row r="1022" spans="1:6" ht="24.95" customHeight="1">
      <c r="A1022" s="179"/>
      <c r="B1022" s="107"/>
      <c r="C1022" s="109"/>
      <c r="D1022" s="74"/>
      <c r="E1022" s="155" t="s">
        <v>1295</v>
      </c>
      <c r="F1022" s="172">
        <v>20000000</v>
      </c>
    </row>
    <row r="1023" spans="1:6" ht="24.95" customHeight="1">
      <c r="A1023" s="179"/>
      <c r="B1023" s="107"/>
      <c r="C1023" s="109"/>
      <c r="D1023" s="74"/>
      <c r="E1023" s="155" t="s">
        <v>398</v>
      </c>
      <c r="F1023" s="172">
        <v>4000000</v>
      </c>
    </row>
    <row r="1024" spans="1:6" ht="24.95" customHeight="1">
      <c r="A1024" s="179"/>
      <c r="B1024" s="107"/>
      <c r="C1024" s="109"/>
      <c r="D1024" s="74"/>
      <c r="E1024" s="155" t="s">
        <v>1296</v>
      </c>
      <c r="F1024" s="172">
        <v>100000000</v>
      </c>
    </row>
    <row r="1025" spans="1:6" ht="24.95" customHeight="1">
      <c r="A1025" s="179"/>
      <c r="B1025" s="107"/>
      <c r="C1025" s="109"/>
      <c r="D1025" s="135">
        <v>30000000</v>
      </c>
      <c r="E1025" s="89" t="s">
        <v>1165</v>
      </c>
      <c r="F1025" s="167"/>
    </row>
    <row r="1026" spans="1:6" ht="24.95" customHeight="1">
      <c r="A1026" s="179"/>
      <c r="B1026" s="107"/>
      <c r="C1026" s="109"/>
      <c r="D1026" s="74"/>
      <c r="E1026" s="38" t="s">
        <v>930</v>
      </c>
      <c r="F1026" s="47">
        <v>30000000</v>
      </c>
    </row>
    <row r="1027" spans="1:6" s="46" customFormat="1" ht="24.95" customHeight="1">
      <c r="A1027" s="302"/>
      <c r="B1027" s="300" t="s">
        <v>99</v>
      </c>
      <c r="C1027" s="112"/>
      <c r="D1027" s="101">
        <f>D1028</f>
        <v>688340550</v>
      </c>
      <c r="E1027" s="148"/>
      <c r="F1027" s="177"/>
    </row>
    <row r="1028" spans="1:6" ht="24.95" customHeight="1">
      <c r="A1028" s="179"/>
      <c r="B1028" s="107"/>
      <c r="C1028" s="59" t="s">
        <v>135</v>
      </c>
      <c r="D1028" s="92">
        <f>SUM(D1029:D1036)</f>
        <v>688340550</v>
      </c>
      <c r="E1028" s="59"/>
      <c r="F1028" s="176"/>
    </row>
    <row r="1029" spans="1:6" ht="24.95" customHeight="1">
      <c r="A1029" s="179"/>
      <c r="B1029" s="295"/>
      <c r="C1029" s="71"/>
      <c r="D1029" s="135">
        <v>658340550</v>
      </c>
      <c r="E1029" s="64" t="s">
        <v>399</v>
      </c>
      <c r="F1029" s="166"/>
    </row>
    <row r="1030" spans="1:6" ht="24.95" customHeight="1">
      <c r="A1030" s="179"/>
      <c r="B1030" s="295"/>
      <c r="C1030" s="71"/>
      <c r="D1030" s="135">
        <v>3000000</v>
      </c>
      <c r="E1030" s="72" t="s">
        <v>400</v>
      </c>
      <c r="F1030" s="166"/>
    </row>
    <row r="1031" spans="1:6" ht="24.95" customHeight="1">
      <c r="A1031" s="179"/>
      <c r="B1031" s="295"/>
      <c r="C1031" s="71"/>
      <c r="D1031" s="135"/>
      <c r="E1031" s="109" t="s">
        <v>401</v>
      </c>
      <c r="F1031" s="166">
        <v>2000000</v>
      </c>
    </row>
    <row r="1032" spans="1:6" ht="24.95" customHeight="1">
      <c r="A1032" s="179"/>
      <c r="B1032" s="295"/>
      <c r="C1032" s="71"/>
      <c r="D1032" s="135"/>
      <c r="E1032" s="109" t="s">
        <v>766</v>
      </c>
      <c r="F1032" s="166"/>
    </row>
    <row r="1033" spans="1:6" ht="24.95" customHeight="1">
      <c r="A1033" s="179"/>
      <c r="B1033" s="295"/>
      <c r="C1033" s="71"/>
      <c r="D1033" s="135"/>
      <c r="E1033" s="109" t="s">
        <v>765</v>
      </c>
      <c r="F1033" s="166">
        <v>1000000</v>
      </c>
    </row>
    <row r="1034" spans="1:6" ht="24.95" customHeight="1">
      <c r="A1034" s="179"/>
      <c r="B1034" s="107"/>
      <c r="C1034" s="109"/>
      <c r="D1034" s="74"/>
      <c r="E1034" s="154" t="s">
        <v>767</v>
      </c>
      <c r="F1034" s="181"/>
    </row>
    <row r="1035" spans="1:6" ht="24.95" customHeight="1">
      <c r="A1035" s="179"/>
      <c r="B1035" s="107"/>
      <c r="C1035" s="109"/>
      <c r="D1035" s="74">
        <v>10000000</v>
      </c>
      <c r="E1035" s="344" t="s">
        <v>1276</v>
      </c>
      <c r="F1035" s="181"/>
    </row>
    <row r="1036" spans="1:6" ht="24.95" customHeight="1">
      <c r="A1036" s="179"/>
      <c r="B1036" s="295"/>
      <c r="C1036" s="71"/>
      <c r="D1036" s="135">
        <v>17000000</v>
      </c>
      <c r="E1036" s="301" t="s">
        <v>1165</v>
      </c>
      <c r="F1036" s="166"/>
    </row>
    <row r="1037" spans="1:6" ht="24.95" customHeight="1">
      <c r="A1037" s="179"/>
      <c r="B1037" s="107"/>
      <c r="C1037" s="109"/>
      <c r="D1037" s="74"/>
      <c r="E1037" s="38" t="s">
        <v>402</v>
      </c>
      <c r="F1037" s="47">
        <v>17000000</v>
      </c>
    </row>
    <row r="1038" spans="1:6" s="46" customFormat="1" ht="24.95" customHeight="1">
      <c r="A1038" s="200" t="s">
        <v>136</v>
      </c>
      <c r="B1038" s="142"/>
      <c r="C1038" s="142"/>
      <c r="D1038" s="99">
        <f>D1039</f>
        <v>66433707121</v>
      </c>
      <c r="E1038" s="142"/>
      <c r="F1038" s="173"/>
    </row>
    <row r="1039" spans="1:6" s="46" customFormat="1" ht="24.95" customHeight="1">
      <c r="A1039" s="302"/>
      <c r="B1039" s="300" t="s">
        <v>137</v>
      </c>
      <c r="C1039" s="112"/>
      <c r="D1039" s="101">
        <f>D1040</f>
        <v>66433707121</v>
      </c>
      <c r="E1039" s="148"/>
      <c r="F1039" s="177"/>
    </row>
    <row r="1040" spans="1:6" ht="24.95" customHeight="1">
      <c r="A1040" s="179"/>
      <c r="B1040" s="107"/>
      <c r="C1040" s="59" t="s">
        <v>137</v>
      </c>
      <c r="D1040" s="92">
        <f>SUM(D1041:D1097)</f>
        <v>66433707121</v>
      </c>
      <c r="E1040" s="59"/>
      <c r="F1040" s="176"/>
    </row>
    <row r="1041" spans="1:6" ht="24.95" customHeight="1">
      <c r="A1041" s="179"/>
      <c r="B1041" s="107"/>
      <c r="C1041" s="109"/>
      <c r="D1041" s="135">
        <v>1600000000</v>
      </c>
      <c r="E1041" s="27" t="s">
        <v>1278</v>
      </c>
      <c r="F1041" s="29"/>
    </row>
    <row r="1042" spans="1:6" ht="24.95" customHeight="1">
      <c r="A1042" s="179"/>
      <c r="B1042" s="107"/>
      <c r="C1042" s="109"/>
      <c r="D1042" s="195">
        <v>3087897184</v>
      </c>
      <c r="E1042" s="72" t="s">
        <v>403</v>
      </c>
      <c r="F1042" s="30"/>
    </row>
    <row r="1043" spans="1:6" ht="24.95" customHeight="1">
      <c r="A1043" s="179"/>
      <c r="B1043" s="107"/>
      <c r="C1043" s="109"/>
      <c r="D1043" s="195"/>
      <c r="E1043" s="109" t="s">
        <v>950</v>
      </c>
      <c r="F1043" s="30">
        <v>151925990</v>
      </c>
    </row>
    <row r="1044" spans="1:6" ht="24.95" customHeight="1">
      <c r="A1044" s="179"/>
      <c r="B1044" s="107"/>
      <c r="C1044" s="109"/>
      <c r="D1044" s="195"/>
      <c r="E1044" s="109" t="s">
        <v>951</v>
      </c>
      <c r="F1044" s="30">
        <v>131236290</v>
      </c>
    </row>
    <row r="1045" spans="1:6" ht="24.95" customHeight="1">
      <c r="A1045" s="179"/>
      <c r="B1045" s="107"/>
      <c r="C1045" s="109"/>
      <c r="D1045" s="195"/>
      <c r="E1045" s="109" t="s">
        <v>952</v>
      </c>
      <c r="F1045" s="30">
        <v>43213164</v>
      </c>
    </row>
    <row r="1046" spans="1:6" ht="24.95" customHeight="1">
      <c r="A1046" s="179"/>
      <c r="B1046" s="107"/>
      <c r="C1046" s="109"/>
      <c r="D1046" s="195"/>
      <c r="E1046" s="109" t="s">
        <v>953</v>
      </c>
      <c r="F1046" s="30">
        <v>467966757</v>
      </c>
    </row>
    <row r="1047" spans="1:6" ht="24.95" customHeight="1">
      <c r="A1047" s="179"/>
      <c r="B1047" s="107"/>
      <c r="C1047" s="109"/>
      <c r="D1047" s="195"/>
      <c r="E1047" s="109" t="s">
        <v>954</v>
      </c>
      <c r="F1047" s="30">
        <v>238262010</v>
      </c>
    </row>
    <row r="1048" spans="1:6" ht="24.95" customHeight="1">
      <c r="A1048" s="179"/>
      <c r="B1048" s="107"/>
      <c r="C1048" s="109"/>
      <c r="D1048" s="195"/>
      <c r="E1048" s="109" t="s">
        <v>955</v>
      </c>
      <c r="F1048" s="30">
        <v>216464143</v>
      </c>
    </row>
    <row r="1049" spans="1:6" ht="24.95" customHeight="1">
      <c r="A1049" s="179"/>
      <c r="B1049" s="107"/>
      <c r="C1049" s="109"/>
      <c r="D1049" s="195"/>
      <c r="E1049" s="109" t="s">
        <v>956</v>
      </c>
      <c r="F1049" s="30">
        <v>935661508</v>
      </c>
    </row>
    <row r="1050" spans="1:6" ht="24.95" customHeight="1">
      <c r="A1050" s="179"/>
      <c r="B1050" s="107"/>
      <c r="C1050" s="109"/>
      <c r="D1050" s="195"/>
      <c r="E1050" s="109" t="s">
        <v>957</v>
      </c>
      <c r="F1050" s="30">
        <v>123790336</v>
      </c>
    </row>
    <row r="1051" spans="1:6" ht="24.95" customHeight="1">
      <c r="A1051" s="179"/>
      <c r="B1051" s="107"/>
      <c r="C1051" s="109"/>
      <c r="D1051" s="195"/>
      <c r="E1051" s="109" t="s">
        <v>958</v>
      </c>
      <c r="F1051" s="30">
        <v>149720078</v>
      </c>
    </row>
    <row r="1052" spans="1:6" ht="24.95" customHeight="1">
      <c r="A1052" s="179"/>
      <c r="B1052" s="107"/>
      <c r="C1052" s="109"/>
      <c r="D1052" s="195"/>
      <c r="E1052" s="109" t="s">
        <v>959</v>
      </c>
      <c r="F1052" s="30">
        <v>191182328</v>
      </c>
    </row>
    <row r="1053" spans="1:6" ht="24.95" customHeight="1">
      <c r="A1053" s="179"/>
      <c r="B1053" s="107"/>
      <c r="C1053" s="109"/>
      <c r="D1053" s="195"/>
      <c r="E1053" s="109" t="s">
        <v>960</v>
      </c>
      <c r="F1053" s="30">
        <v>65955041</v>
      </c>
    </row>
    <row r="1054" spans="1:6" ht="24.95" customHeight="1">
      <c r="A1054" s="179"/>
      <c r="B1054" s="107"/>
      <c r="C1054" s="109"/>
      <c r="D1054" s="195"/>
      <c r="E1054" s="109" t="s">
        <v>961</v>
      </c>
      <c r="F1054" s="30">
        <v>220813102</v>
      </c>
    </row>
    <row r="1055" spans="1:6" ht="24.95" customHeight="1">
      <c r="A1055" s="179"/>
      <c r="B1055" s="107"/>
      <c r="C1055" s="109"/>
      <c r="D1055" s="195"/>
      <c r="E1055" s="109" t="s">
        <v>962</v>
      </c>
      <c r="F1055" s="30">
        <v>74905186</v>
      </c>
    </row>
    <row r="1056" spans="1:6" ht="24.95" customHeight="1">
      <c r="A1056" s="179"/>
      <c r="B1056" s="107"/>
      <c r="C1056" s="109"/>
      <c r="D1056" s="195"/>
      <c r="E1056" s="109" t="s">
        <v>1277</v>
      </c>
      <c r="F1056" s="30">
        <v>76801251</v>
      </c>
    </row>
    <row r="1057" spans="1:6" ht="24.95" customHeight="1">
      <c r="A1057" s="179"/>
      <c r="B1057" s="107"/>
      <c r="C1057" s="109"/>
      <c r="D1057" s="135">
        <v>3370025755</v>
      </c>
      <c r="E1057" s="72" t="s">
        <v>404</v>
      </c>
      <c r="F1057" s="30"/>
    </row>
    <row r="1058" spans="1:6" ht="24.95" customHeight="1">
      <c r="A1058" s="179"/>
      <c r="B1058" s="107"/>
      <c r="C1058" s="109"/>
      <c r="D1058" s="195">
        <v>66225486</v>
      </c>
      <c r="E1058" s="72" t="s">
        <v>405</v>
      </c>
      <c r="F1058" s="25"/>
    </row>
    <row r="1059" spans="1:6" ht="24.95" customHeight="1">
      <c r="A1059" s="179"/>
      <c r="B1059" s="107"/>
      <c r="C1059" s="109"/>
      <c r="D1059" s="135">
        <v>239644642</v>
      </c>
      <c r="E1059" s="193" t="s">
        <v>406</v>
      </c>
      <c r="F1059" s="30"/>
    </row>
    <row r="1060" spans="1:6" ht="24.95" customHeight="1">
      <c r="A1060" s="179"/>
      <c r="B1060" s="107"/>
      <c r="C1060" s="109"/>
      <c r="D1060" s="135"/>
      <c r="E1060" s="194" t="s">
        <v>1279</v>
      </c>
      <c r="F1060" s="51">
        <v>144163637</v>
      </c>
    </row>
    <row r="1061" spans="1:6" ht="24.95" customHeight="1">
      <c r="A1061" s="179"/>
      <c r="B1061" s="107"/>
      <c r="C1061" s="109"/>
      <c r="D1061" s="135"/>
      <c r="E1061" s="194" t="s">
        <v>1280</v>
      </c>
      <c r="F1061" s="51">
        <v>95481005</v>
      </c>
    </row>
    <row r="1062" spans="1:6" ht="24.95" customHeight="1">
      <c r="A1062" s="179"/>
      <c r="B1062" s="107"/>
      <c r="C1062" s="109"/>
      <c r="D1062" s="135">
        <v>28896625</v>
      </c>
      <c r="E1062" s="68" t="s">
        <v>407</v>
      </c>
      <c r="F1062" s="167"/>
    </row>
    <row r="1063" spans="1:6" ht="24.95" customHeight="1">
      <c r="A1063" s="179"/>
      <c r="B1063" s="107"/>
      <c r="C1063" s="109"/>
      <c r="D1063" s="135">
        <v>42192488</v>
      </c>
      <c r="E1063" s="72" t="s">
        <v>408</v>
      </c>
      <c r="F1063" s="167"/>
    </row>
    <row r="1064" spans="1:6" ht="24.95" customHeight="1">
      <c r="A1064" s="302"/>
      <c r="B1064" s="107"/>
      <c r="C1064" s="107"/>
      <c r="D1064" s="135">
        <v>256330082</v>
      </c>
      <c r="E1064" s="68" t="s">
        <v>409</v>
      </c>
      <c r="F1064" s="166"/>
    </row>
    <row r="1065" spans="1:6" ht="24.95" customHeight="1">
      <c r="A1065" s="179"/>
      <c r="B1065" s="107"/>
      <c r="C1065" s="109"/>
      <c r="D1065" s="135">
        <v>204047</v>
      </c>
      <c r="E1065" s="72" t="s">
        <v>410</v>
      </c>
      <c r="F1065" s="167"/>
    </row>
    <row r="1066" spans="1:6" ht="24.95" customHeight="1">
      <c r="A1066" s="179"/>
      <c r="B1066" s="107"/>
      <c r="C1066" s="109"/>
      <c r="D1066" s="135">
        <v>311762766</v>
      </c>
      <c r="E1066" s="72" t="s">
        <v>411</v>
      </c>
      <c r="F1066" s="167"/>
    </row>
    <row r="1067" spans="1:6" ht="24.95" customHeight="1">
      <c r="A1067" s="302"/>
      <c r="B1067" s="107"/>
      <c r="C1067" s="107"/>
      <c r="D1067" s="135">
        <v>387324413</v>
      </c>
      <c r="E1067" s="68" t="s">
        <v>412</v>
      </c>
      <c r="F1067" s="166"/>
    </row>
    <row r="1068" spans="1:6" ht="24.95" customHeight="1">
      <c r="A1068" s="302"/>
      <c r="B1068" s="107"/>
      <c r="C1068" s="107"/>
      <c r="D1068" s="135">
        <v>484957767</v>
      </c>
      <c r="E1068" s="72" t="s">
        <v>413</v>
      </c>
      <c r="F1068" s="166"/>
    </row>
    <row r="1069" spans="1:6" ht="24.95" customHeight="1">
      <c r="A1069" s="302"/>
      <c r="B1069" s="107"/>
      <c r="C1069" s="109"/>
      <c r="D1069" s="135">
        <v>26632530</v>
      </c>
      <c r="E1069" s="72" t="s">
        <v>437</v>
      </c>
      <c r="F1069" s="166"/>
    </row>
    <row r="1070" spans="1:6" ht="24.95" customHeight="1">
      <c r="A1070" s="179"/>
      <c r="B1070" s="107"/>
      <c r="C1070" s="109"/>
      <c r="D1070" s="135">
        <v>41028661</v>
      </c>
      <c r="E1070" s="72" t="s">
        <v>414</v>
      </c>
      <c r="F1070" s="166"/>
    </row>
    <row r="1071" spans="1:6" ht="24.95" customHeight="1">
      <c r="A1071" s="179"/>
      <c r="B1071" s="107"/>
      <c r="C1071" s="109"/>
      <c r="D1071" s="135">
        <v>193619434</v>
      </c>
      <c r="E1071" s="72" t="s">
        <v>415</v>
      </c>
      <c r="F1071" s="166"/>
    </row>
    <row r="1072" spans="1:6" ht="24.95" customHeight="1">
      <c r="A1072" s="302"/>
      <c r="B1072" s="107"/>
      <c r="C1072" s="107"/>
      <c r="D1072" s="135">
        <v>49446000</v>
      </c>
      <c r="E1072" s="72" t="s">
        <v>416</v>
      </c>
      <c r="F1072" s="166"/>
    </row>
    <row r="1073" spans="1:6" ht="24.95" customHeight="1">
      <c r="A1073" s="302"/>
      <c r="B1073" s="107"/>
      <c r="C1073" s="107"/>
      <c r="D1073" s="135"/>
      <c r="E1073" s="108" t="s">
        <v>683</v>
      </c>
      <c r="F1073" s="166">
        <v>24646000</v>
      </c>
    </row>
    <row r="1074" spans="1:6" ht="24.95" customHeight="1">
      <c r="A1074" s="302"/>
      <c r="B1074" s="107"/>
      <c r="C1074" s="107"/>
      <c r="D1074" s="135"/>
      <c r="E1074" s="108" t="s">
        <v>684</v>
      </c>
      <c r="F1074" s="166">
        <v>6800000</v>
      </c>
    </row>
    <row r="1075" spans="1:6" ht="24.95" customHeight="1">
      <c r="A1075" s="302"/>
      <c r="B1075" s="107"/>
      <c r="C1075" s="107"/>
      <c r="D1075" s="135"/>
      <c r="E1075" s="108" t="s">
        <v>685</v>
      </c>
      <c r="F1075" s="166">
        <v>18000000</v>
      </c>
    </row>
    <row r="1076" spans="1:6" ht="24.95" customHeight="1">
      <c r="A1076" s="302"/>
      <c r="B1076" s="107"/>
      <c r="C1076" s="107"/>
      <c r="D1076" s="135">
        <v>7473710377</v>
      </c>
      <c r="E1076" s="141" t="s">
        <v>417</v>
      </c>
      <c r="F1076" s="166"/>
    </row>
    <row r="1077" spans="1:6" ht="24.95" customHeight="1">
      <c r="A1077" s="302"/>
      <c r="B1077" s="107"/>
      <c r="C1077" s="107"/>
      <c r="D1077" s="135">
        <v>21289996</v>
      </c>
      <c r="E1077" s="141" t="s">
        <v>695</v>
      </c>
      <c r="F1077" s="166"/>
    </row>
    <row r="1078" spans="1:6" ht="24.95" customHeight="1">
      <c r="A1078" s="302"/>
      <c r="B1078" s="107"/>
      <c r="C1078" s="107"/>
      <c r="D1078" s="135">
        <v>4445746</v>
      </c>
      <c r="E1078" s="141" t="s">
        <v>696</v>
      </c>
      <c r="F1078" s="166"/>
    </row>
    <row r="1079" spans="1:6" ht="24.95" customHeight="1">
      <c r="A1079" s="302"/>
      <c r="B1079" s="107"/>
      <c r="C1079" s="107"/>
      <c r="D1079" s="135">
        <v>8965500</v>
      </c>
      <c r="E1079" s="141" t="s">
        <v>697</v>
      </c>
      <c r="F1079" s="166"/>
    </row>
    <row r="1080" spans="1:6" ht="24.95" customHeight="1">
      <c r="A1080" s="302"/>
      <c r="B1080" s="107"/>
      <c r="C1080" s="107"/>
      <c r="D1080" s="135">
        <v>81338380</v>
      </c>
      <c r="E1080" s="141" t="s">
        <v>1282</v>
      </c>
      <c r="F1080" s="166"/>
    </row>
    <row r="1081" spans="1:6" ht="24.95" customHeight="1">
      <c r="A1081" s="302"/>
      <c r="B1081" s="107"/>
      <c r="C1081" s="107"/>
      <c r="D1081" s="135">
        <v>10239709</v>
      </c>
      <c r="E1081" s="141" t="s">
        <v>1281</v>
      </c>
      <c r="F1081" s="166"/>
    </row>
    <row r="1082" spans="1:6" ht="24.95" customHeight="1">
      <c r="A1082" s="302"/>
      <c r="B1082" s="107"/>
      <c r="C1082" s="107"/>
      <c r="D1082" s="135">
        <v>10000000</v>
      </c>
      <c r="E1082" s="141" t="s">
        <v>1283</v>
      </c>
      <c r="F1082" s="166"/>
    </row>
    <row r="1083" spans="1:6" ht="24.95" customHeight="1">
      <c r="A1083" s="302"/>
      <c r="B1083" s="107"/>
      <c r="C1083" s="107"/>
      <c r="D1083" s="135">
        <v>8796650</v>
      </c>
      <c r="E1083" s="141" t="s">
        <v>1284</v>
      </c>
      <c r="F1083" s="166"/>
    </row>
    <row r="1084" spans="1:6" ht="24.95" customHeight="1">
      <c r="A1084" s="302"/>
      <c r="B1084" s="107"/>
      <c r="C1084" s="107"/>
      <c r="D1084" s="135">
        <f>39218000000+1398631486</f>
        <v>40616631486</v>
      </c>
      <c r="E1084" s="141" t="s">
        <v>1285</v>
      </c>
      <c r="F1084" s="166"/>
    </row>
    <row r="1085" spans="1:6" ht="24.95" customHeight="1">
      <c r="A1085" s="302"/>
      <c r="B1085" s="107"/>
      <c r="C1085" s="109"/>
      <c r="D1085" s="135">
        <f>6344648000+16124199</f>
        <v>6360772199</v>
      </c>
      <c r="E1085" s="141" t="s">
        <v>1286</v>
      </c>
      <c r="F1085" s="166"/>
    </row>
    <row r="1086" spans="1:6" ht="24.95" customHeight="1">
      <c r="A1086" s="302"/>
      <c r="B1086" s="107"/>
      <c r="C1086" s="109"/>
      <c r="D1086" s="135"/>
      <c r="E1086" s="77" t="s">
        <v>236</v>
      </c>
      <c r="F1086" s="166">
        <v>6344648000</v>
      </c>
    </row>
    <row r="1087" spans="1:6" ht="24.95" customHeight="1">
      <c r="A1087" s="302"/>
      <c r="B1087" s="107"/>
      <c r="C1087" s="109"/>
      <c r="D1087" s="135"/>
      <c r="E1087" s="77" t="s">
        <v>237</v>
      </c>
      <c r="F1087" s="166">
        <v>16124199</v>
      </c>
    </row>
    <row r="1088" spans="1:6" ht="24.95" customHeight="1">
      <c r="A1088" s="302"/>
      <c r="B1088" s="107"/>
      <c r="C1088" s="109"/>
      <c r="D1088" s="135">
        <v>1651329198</v>
      </c>
      <c r="E1088" s="141" t="s">
        <v>1287</v>
      </c>
      <c r="F1088" s="166"/>
    </row>
    <row r="1089" spans="1:6" ht="24.95" customHeight="1">
      <c r="A1089" s="302"/>
      <c r="B1089" s="107"/>
      <c r="C1089" s="109"/>
      <c r="D1089" s="135"/>
      <c r="E1089" s="40" t="s">
        <v>931</v>
      </c>
      <c r="F1089" s="47">
        <v>68506769</v>
      </c>
    </row>
    <row r="1090" spans="1:6" ht="24.95" customHeight="1">
      <c r="A1090" s="302"/>
      <c r="B1090" s="107"/>
      <c r="C1090" s="109"/>
      <c r="D1090" s="135"/>
      <c r="E1090" s="40" t="s">
        <v>932</v>
      </c>
      <c r="F1090" s="47">
        <v>157140094</v>
      </c>
    </row>
    <row r="1091" spans="1:6" ht="24.95" customHeight="1">
      <c r="A1091" s="302"/>
      <c r="B1091" s="107"/>
      <c r="C1091" s="109"/>
      <c r="D1091" s="135"/>
      <c r="E1091" s="40" t="s">
        <v>933</v>
      </c>
      <c r="F1091" s="47">
        <v>1300682335</v>
      </c>
    </row>
    <row r="1092" spans="1:6" ht="24.95" customHeight="1">
      <c r="A1092" s="302"/>
      <c r="B1092" s="107"/>
      <c r="C1092" s="109"/>
      <c r="D1092" s="135"/>
      <c r="E1092" s="41" t="s">
        <v>934</v>
      </c>
      <c r="F1092" s="47"/>
    </row>
    <row r="1093" spans="1:6" ht="24.95" customHeight="1">
      <c r="A1093" s="302"/>
      <c r="B1093" s="107"/>
      <c r="C1093" s="109"/>
      <c r="D1093" s="135"/>
      <c r="E1093" s="41" t="s">
        <v>935</v>
      </c>
      <c r="F1093" s="47"/>
    </row>
    <row r="1094" spans="1:6" ht="24.95" customHeight="1">
      <c r="A1094" s="302"/>
      <c r="B1094" s="107"/>
      <c r="C1094" s="109"/>
      <c r="D1094" s="135"/>
      <c r="E1094" s="41" t="s">
        <v>936</v>
      </c>
      <c r="F1094" s="47"/>
    </row>
    <row r="1095" spans="1:6" ht="24.95" customHeight="1">
      <c r="A1095" s="302"/>
      <c r="B1095" s="107"/>
      <c r="C1095" s="109"/>
      <c r="D1095" s="135"/>
      <c r="E1095" s="42" t="s">
        <v>937</v>
      </c>
      <c r="F1095" s="306"/>
    </row>
    <row r="1096" spans="1:6" ht="24.95" customHeight="1">
      <c r="A1096" s="179"/>
      <c r="B1096" s="107"/>
      <c r="C1096" s="109"/>
      <c r="D1096" s="103"/>
      <c r="E1096" s="44" t="s">
        <v>938</v>
      </c>
      <c r="F1096" s="39">
        <v>20000000</v>
      </c>
    </row>
    <row r="1097" spans="1:6" ht="24.95" customHeight="1">
      <c r="A1097" s="179"/>
      <c r="B1097" s="107"/>
      <c r="C1097" s="109"/>
      <c r="D1097" s="103"/>
      <c r="E1097" s="44" t="s">
        <v>939</v>
      </c>
      <c r="F1097" s="39">
        <v>105000000</v>
      </c>
    </row>
    <row r="1098" spans="1:6" s="15" customFormat="1" ht="24.95" customHeight="1" thickBot="1">
      <c r="A1098" s="401" t="s">
        <v>436</v>
      </c>
      <c r="B1098" s="402"/>
      <c r="C1098" s="403"/>
      <c r="D1098" s="216">
        <f>D977+D1038</f>
        <v>76943110930</v>
      </c>
      <c r="E1098" s="406"/>
      <c r="F1098" s="407"/>
    </row>
    <row r="1099" spans="1:6" ht="24.95" customHeight="1">
      <c r="A1099" s="108"/>
      <c r="B1099" s="108"/>
      <c r="C1099" s="108"/>
      <c r="D1099" s="98"/>
      <c r="E1099" s="8"/>
      <c r="F1099" s="98"/>
    </row>
    <row r="1100" spans="1:6" ht="24.95" customHeight="1">
      <c r="A1100" s="108"/>
      <c r="B1100" s="108"/>
      <c r="C1100" s="108"/>
      <c r="D1100" s="98"/>
      <c r="E1100" s="8"/>
      <c r="F1100" s="98"/>
    </row>
    <row r="1101" spans="1:6" ht="24.95" customHeight="1">
      <c r="A1101" s="395" t="s">
        <v>138</v>
      </c>
      <c r="B1101" s="396"/>
      <c r="C1101" s="397"/>
      <c r="D1101" s="105">
        <f>D4-수입목별명세서!D4</f>
        <v>0</v>
      </c>
      <c r="E1101" s="9"/>
      <c r="F1101" s="19"/>
    </row>
    <row r="1103" spans="1:6" ht="24.95" customHeight="1">
      <c r="C1103" s="106" t="s">
        <v>100</v>
      </c>
      <c r="D1103" s="97">
        <v>75510000</v>
      </c>
    </row>
    <row r="1104" spans="1:6" ht="24.95" customHeight="1">
      <c r="C1104" s="106" t="s">
        <v>16</v>
      </c>
      <c r="D1104" s="97">
        <v>28000000</v>
      </c>
    </row>
    <row r="1105" spans="3:4" ht="24.95" customHeight="1">
      <c r="C1105" s="106" t="s">
        <v>139</v>
      </c>
      <c r="D1105" s="97">
        <v>0</v>
      </c>
    </row>
    <row r="1106" spans="3:4" ht="24.95" customHeight="1">
      <c r="C1106" s="106" t="s">
        <v>140</v>
      </c>
      <c r="D1106" s="97">
        <v>0</v>
      </c>
    </row>
    <row r="1107" spans="3:4" ht="24.95" customHeight="1">
      <c r="C1107" s="106" t="s">
        <v>141</v>
      </c>
      <c r="D1107" s="97">
        <v>70000000</v>
      </c>
    </row>
    <row r="1108" spans="3:4" ht="24.95" customHeight="1">
      <c r="C1108" s="106" t="s">
        <v>142</v>
      </c>
      <c r="D1108" s="97">
        <v>64449922</v>
      </c>
    </row>
    <row r="1109" spans="3:4" ht="24.95" customHeight="1">
      <c r="C1109" s="106" t="s">
        <v>143</v>
      </c>
      <c r="D1109" s="97">
        <v>160000000</v>
      </c>
    </row>
    <row r="1110" spans="3:4" ht="24.95" customHeight="1">
      <c r="C1110" s="106" t="s">
        <v>144</v>
      </c>
      <c r="D1110" s="97">
        <v>0</v>
      </c>
    </row>
    <row r="1111" spans="3:4" ht="24.95" customHeight="1">
      <c r="C1111" s="106" t="s">
        <v>145</v>
      </c>
      <c r="D1111" s="97">
        <v>348014000</v>
      </c>
    </row>
    <row r="1112" spans="3:4" ht="24.95" customHeight="1">
      <c r="C1112" s="106" t="s">
        <v>101</v>
      </c>
      <c r="D1112" s="97">
        <v>10000000</v>
      </c>
    </row>
    <row r="1113" spans="3:4" ht="24.95" customHeight="1">
      <c r="C1113" s="106" t="s">
        <v>146</v>
      </c>
      <c r="D1113" s="97">
        <v>119000000</v>
      </c>
    </row>
    <row r="1114" spans="3:4" ht="24.95" customHeight="1">
      <c r="C1114" s="106" t="s">
        <v>147</v>
      </c>
      <c r="D1114" s="97">
        <v>117026570</v>
      </c>
    </row>
    <row r="1115" spans="3:4" ht="24.95" customHeight="1">
      <c r="C1115" s="106" t="s">
        <v>148</v>
      </c>
      <c r="D1115" s="97">
        <v>193600000</v>
      </c>
    </row>
    <row r="1117" spans="3:4" ht="24.95" customHeight="1">
      <c r="D1117" s="97">
        <f>SUM(D1103:D1115)</f>
        <v>1185600492</v>
      </c>
    </row>
    <row r="1118" spans="3:4" ht="24.95" customHeight="1">
      <c r="D1118" s="45">
        <f>D1101-D1117</f>
        <v>-1185600492</v>
      </c>
    </row>
  </sheetData>
  <autoFilter ref="A3:F1098">
    <filterColumn colId="4" showButton="0"/>
  </autoFilter>
  <mergeCells count="8">
    <mergeCell ref="A4:C4"/>
    <mergeCell ref="A1101:C1101"/>
    <mergeCell ref="E3:F3"/>
    <mergeCell ref="A976:C976"/>
    <mergeCell ref="A1098:C1098"/>
    <mergeCell ref="E976:F976"/>
    <mergeCell ref="E1098:F1098"/>
    <mergeCell ref="E776:F776"/>
  </mergeCells>
  <phoneticPr fontId="2" type="noConversion"/>
  <printOptions horizontalCentered="1"/>
  <pageMargins left="0.19685039370078741" right="0.19685039370078741" top="0.74803149606299213" bottom="0.47244094488188981" header="0.31496062992125984" footer="0.31496062992125984"/>
  <pageSetup paperSize="9" scale="72" fitToHeight="20" orientation="landscape" useFirstPageNumber="1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8</vt:i4>
      </vt:variant>
    </vt:vector>
  </HeadingPairs>
  <TitlesOfParts>
    <vt:vector size="12" baseType="lpstr">
      <vt:lpstr>수입자금예산서</vt:lpstr>
      <vt:lpstr>수입목별명세서</vt:lpstr>
      <vt:lpstr>지출자금예산서</vt:lpstr>
      <vt:lpstr>지출목별명세서</vt:lpstr>
      <vt:lpstr>수입목별명세서!Print_Area</vt:lpstr>
      <vt:lpstr>수입자금예산서!Print_Area</vt:lpstr>
      <vt:lpstr>지출목별명세서!Print_Area</vt:lpstr>
      <vt:lpstr>지출자금예산서!Print_Area</vt:lpstr>
      <vt:lpstr>수입목별명세서!Print_Titles</vt:lpstr>
      <vt:lpstr>수입자금예산서!Print_Titles</vt:lpstr>
      <vt:lpstr>지출목별명세서!Print_Titles</vt:lpstr>
      <vt:lpstr>지출자금예산서!Print_Titles</vt:lpstr>
    </vt:vector>
  </TitlesOfParts>
  <Company>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.</cp:lastModifiedBy>
  <cp:lastPrinted>2011-12-14T08:06:37Z</cp:lastPrinted>
  <dcterms:created xsi:type="dcterms:W3CDTF">2005-11-15T02:00:32Z</dcterms:created>
  <dcterms:modified xsi:type="dcterms:W3CDTF">2011-12-16T08:12:34Z</dcterms:modified>
</cp:coreProperties>
</file>