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90" yWindow="120" windowWidth="16380" windowHeight="10995" tabRatio="483"/>
  </bookViews>
  <sheets>
    <sheet name="WithPerformance" sheetId="8" r:id="rId1"/>
    <sheet name="YR 11-12 to 12-13 Combined" sheetId="1" r:id="rId2"/>
    <sheet name="By program" sheetId="3" r:id="rId3"/>
    <sheet name="MultiProg" sheetId="4" r:id="rId4"/>
    <sheet name="Rejected Projects" sheetId="6" r:id="rId5"/>
  </sheets>
  <definedNames>
    <definedName name="_xlnm.Print_Area" localSheetId="0">WithPerformance!$A$1:$K$59</definedName>
    <definedName name="_xlnm.Print_Area" localSheetId="1">'YR 11-12 to 12-13 Combined'!$A$1:$J$59</definedName>
    <definedName name="_xlnm.Print_Titles" localSheetId="4">'Rejected Projects'!$1:$2</definedName>
  </definedNames>
  <calcPr calcId="125725"/>
</workbook>
</file>

<file path=xl/calcChain.xml><?xml version="1.0" encoding="utf-8"?>
<calcChain xmlns="http://schemas.openxmlformats.org/spreadsheetml/2006/main">
  <c r="K27" i="8"/>
  <c r="K26"/>
  <c r="K25"/>
  <c r="K24"/>
  <c r="K23"/>
  <c r="J27"/>
  <c r="J26"/>
  <c r="J25"/>
  <c r="J24"/>
  <c r="J23"/>
  <c r="D27"/>
  <c r="D26"/>
  <c r="D25"/>
  <c r="D24"/>
  <c r="D23"/>
  <c r="D22"/>
  <c r="J22"/>
  <c r="K22"/>
  <c r="J21"/>
  <c r="K21"/>
  <c r="D21"/>
  <c r="D20" l="1"/>
  <c r="J20"/>
  <c r="K20"/>
  <c r="J18"/>
  <c r="J17"/>
  <c r="J16"/>
  <c r="J14"/>
  <c r="J13"/>
  <c r="J12"/>
  <c r="J11"/>
  <c r="J10"/>
  <c r="J9"/>
  <c r="J8"/>
  <c r="J6"/>
  <c r="J5"/>
  <c r="J4"/>
  <c r="J3"/>
  <c r="J7"/>
  <c r="J19"/>
  <c r="K19"/>
  <c r="D19"/>
  <c r="J18" i="4" l="1"/>
  <c r="H18" i="3"/>
  <c r="D18" i="8"/>
  <c r="K18"/>
  <c r="H29" i="6" l="1"/>
  <c r="J17" i="4"/>
  <c r="H17" i="3"/>
  <c r="H28" i="6"/>
  <c r="D17" i="8"/>
  <c r="K17"/>
  <c r="I14" i="1" l="1"/>
  <c r="H14"/>
  <c r="G14"/>
  <c r="F14"/>
  <c r="E14"/>
  <c r="C14"/>
  <c r="B14"/>
  <c r="A14"/>
  <c r="I13"/>
  <c r="H13"/>
  <c r="G13"/>
  <c r="F13"/>
  <c r="E13"/>
  <c r="C13"/>
  <c r="B13"/>
  <c r="A13"/>
  <c r="I12"/>
  <c r="H12"/>
  <c r="G12"/>
  <c r="F12"/>
  <c r="E12"/>
  <c r="C12"/>
  <c r="B12"/>
  <c r="A12"/>
  <c r="I11"/>
  <c r="H11"/>
  <c r="G11"/>
  <c r="F11"/>
  <c r="E11"/>
  <c r="C11"/>
  <c r="B11"/>
  <c r="A11"/>
  <c r="I10"/>
  <c r="H10"/>
  <c r="G10"/>
  <c r="F10"/>
  <c r="E10"/>
  <c r="C10"/>
  <c r="B10"/>
  <c r="A10"/>
  <c r="I9"/>
  <c r="H9"/>
  <c r="G9"/>
  <c r="F9"/>
  <c r="E9"/>
  <c r="C9"/>
  <c r="B9"/>
  <c r="A9"/>
  <c r="I8"/>
  <c r="H8"/>
  <c r="G8"/>
  <c r="F8"/>
  <c r="E8"/>
  <c r="C8"/>
  <c r="B8"/>
  <c r="A8"/>
  <c r="I7"/>
  <c r="H7"/>
  <c r="G7"/>
  <c r="F7"/>
  <c r="E7"/>
  <c r="C7"/>
  <c r="B7"/>
  <c r="A7"/>
  <c r="I6"/>
  <c r="H6"/>
  <c r="G6"/>
  <c r="F6"/>
  <c r="E6"/>
  <c r="C6"/>
  <c r="B6"/>
  <c r="A6"/>
  <c r="I5"/>
  <c r="H5"/>
  <c r="G5"/>
  <c r="F5"/>
  <c r="E5"/>
  <c r="C5"/>
  <c r="B5"/>
  <c r="A5"/>
  <c r="I4"/>
  <c r="H4"/>
  <c r="G4"/>
  <c r="F4"/>
  <c r="E4"/>
  <c r="C4"/>
  <c r="B4"/>
  <c r="A4"/>
  <c r="I3"/>
  <c r="H3"/>
  <c r="G3"/>
  <c r="F3"/>
  <c r="E3"/>
  <c r="C3"/>
  <c r="B3"/>
  <c r="A3"/>
  <c r="H27" i="6"/>
  <c r="H14" i="3"/>
  <c r="H13"/>
  <c r="H12"/>
  <c r="H11"/>
  <c r="H10"/>
  <c r="H9"/>
  <c r="H8"/>
  <c r="H7"/>
  <c r="H6"/>
  <c r="H5"/>
  <c r="H4"/>
  <c r="H3"/>
  <c r="J13" i="4"/>
  <c r="J12"/>
  <c r="J8"/>
  <c r="J7"/>
  <c r="J6"/>
  <c r="J3"/>
  <c r="K14" i="8"/>
  <c r="J14" i="1"/>
  <c r="D14" i="8"/>
  <c r="D14" i="1" s="1"/>
  <c r="K13" i="8"/>
  <c r="J13" i="1"/>
  <c r="D13" i="8"/>
  <c r="D13" i="1" s="1"/>
  <c r="K12" i="8"/>
  <c r="J12" i="1"/>
  <c r="D12" i="8"/>
  <c r="D12" i="1" s="1"/>
  <c r="K11" i="8"/>
  <c r="J11" i="1"/>
  <c r="D11" i="8"/>
  <c r="D11" i="1" s="1"/>
  <c r="K10" i="8"/>
  <c r="J10" i="1"/>
  <c r="D10" i="8"/>
  <c r="D10" i="1" s="1"/>
  <c r="K9" i="8"/>
  <c r="J9" i="1"/>
  <c r="D9" i="8"/>
  <c r="D9" i="1" s="1"/>
  <c r="K8" i="8"/>
  <c r="J8" i="1"/>
  <c r="D8" i="8"/>
  <c r="D8" i="1" s="1"/>
  <c r="K7" i="8"/>
  <c r="J7" i="1"/>
  <c r="D7" i="8"/>
  <c r="D7" i="1" s="1"/>
  <c r="K6" i="8"/>
  <c r="J6" i="1"/>
  <c r="D6" i="8"/>
  <c r="D6" i="1" s="1"/>
  <c r="K5" i="8"/>
  <c r="J5" i="1"/>
  <c r="D5" i="8"/>
  <c r="D5" i="1" s="1"/>
  <c r="K4" i="8"/>
  <c r="J4" i="1"/>
  <c r="D4" i="8"/>
  <c r="D4" i="1" s="1"/>
  <c r="K3" i="8"/>
  <c r="J3" i="1"/>
  <c r="D3" i="8"/>
  <c r="D3" i="1" s="1"/>
  <c r="H25" i="6" l="1"/>
  <c r="H26"/>
  <c r="A1" i="1" l="1"/>
  <c r="J27"/>
  <c r="I27"/>
  <c r="H27"/>
  <c r="G27"/>
  <c r="F27"/>
  <c r="E27"/>
  <c r="D27"/>
  <c r="C27"/>
  <c r="J26"/>
  <c r="I26"/>
  <c r="H26"/>
  <c r="G26"/>
  <c r="F26"/>
  <c r="E26"/>
  <c r="D26"/>
  <c r="C26"/>
  <c r="J25"/>
  <c r="I25"/>
  <c r="H25"/>
  <c r="G25"/>
  <c r="F25"/>
  <c r="E25"/>
  <c r="D25"/>
  <c r="C25"/>
  <c r="J24"/>
  <c r="I24"/>
  <c r="H24"/>
  <c r="G24"/>
  <c r="F24"/>
  <c r="E24"/>
  <c r="D24"/>
  <c r="C24"/>
  <c r="I23"/>
  <c r="H23"/>
  <c r="G23"/>
  <c r="F23"/>
  <c r="E23"/>
  <c r="C23"/>
  <c r="I22"/>
  <c r="H22"/>
  <c r="G22"/>
  <c r="F22"/>
  <c r="E22"/>
  <c r="C22"/>
  <c r="J21"/>
  <c r="I21"/>
  <c r="H21"/>
  <c r="G21"/>
  <c r="F21"/>
  <c r="E21"/>
  <c r="D21"/>
  <c r="C21"/>
  <c r="I20"/>
  <c r="H20"/>
  <c r="G20"/>
  <c r="F20"/>
  <c r="E20"/>
  <c r="C20"/>
  <c r="J19"/>
  <c r="I19"/>
  <c r="H19"/>
  <c r="G19"/>
  <c r="F19"/>
  <c r="E19"/>
  <c r="D19"/>
  <c r="C19"/>
  <c r="J18"/>
  <c r="I18"/>
  <c r="H18"/>
  <c r="G18"/>
  <c r="F18"/>
  <c r="E18"/>
  <c r="D18"/>
  <c r="C18"/>
  <c r="J17"/>
  <c r="I17"/>
  <c r="H17"/>
  <c r="G17"/>
  <c r="F17"/>
  <c r="E17"/>
  <c r="D17"/>
  <c r="C17"/>
  <c r="I16"/>
  <c r="H16"/>
  <c r="G16"/>
  <c r="F16"/>
  <c r="E16"/>
  <c r="C16"/>
  <c r="B27"/>
  <c r="B26"/>
  <c r="B25"/>
  <c r="B24"/>
  <c r="B23"/>
  <c r="B22"/>
  <c r="B21"/>
  <c r="B20"/>
  <c r="B19"/>
  <c r="B18"/>
  <c r="B17"/>
  <c r="B16"/>
  <c r="A28"/>
  <c r="A27"/>
  <c r="A26"/>
  <c r="A25"/>
  <c r="A24"/>
  <c r="A23"/>
  <c r="A22"/>
  <c r="A21"/>
  <c r="A20"/>
  <c r="A19"/>
  <c r="A18"/>
  <c r="A17"/>
  <c r="A16"/>
  <c r="D20"/>
  <c r="D22"/>
  <c r="D23"/>
  <c r="J23"/>
  <c r="J22"/>
  <c r="J20"/>
  <c r="J16"/>
  <c r="D16" i="8"/>
  <c r="D16" i="1" s="1"/>
  <c r="B28" i="8"/>
  <c r="C28"/>
  <c r="F28"/>
  <c r="E28" s="1"/>
  <c r="E28" i="1" s="1"/>
  <c r="G28" i="8"/>
  <c r="H28"/>
  <c r="I28"/>
  <c r="D28" l="1"/>
  <c r="D28" i="1" s="1"/>
  <c r="G28"/>
  <c r="I28"/>
  <c r="F28"/>
  <c r="H28"/>
  <c r="C28"/>
  <c r="B28"/>
  <c r="J28" i="8"/>
  <c r="J28" i="1" l="1"/>
  <c r="K16" i="8" l="1"/>
  <c r="I15"/>
  <c r="I29" s="1"/>
  <c r="H15"/>
  <c r="H29" s="1"/>
  <c r="G15"/>
  <c r="G29" s="1"/>
  <c r="F15"/>
  <c r="F29" s="1"/>
  <c r="C15"/>
  <c r="C29" s="1"/>
  <c r="B15"/>
  <c r="B29" s="1"/>
  <c r="J15"/>
  <c r="J29" s="1"/>
  <c r="D29" l="1"/>
  <c r="K15"/>
  <c r="E15"/>
  <c r="E29" s="1"/>
  <c r="K28"/>
  <c r="D15"/>
  <c r="K29" l="1"/>
  <c r="G28" i="4" l="1"/>
  <c r="G15"/>
  <c r="G29" l="1"/>
  <c r="B15" i="3" l="1"/>
  <c r="C15"/>
  <c r="D15"/>
  <c r="E15"/>
  <c r="F15"/>
  <c r="G15"/>
  <c r="H16"/>
  <c r="H28" s="1"/>
  <c r="B28"/>
  <c r="C28"/>
  <c r="D28"/>
  <c r="E28"/>
  <c r="F28"/>
  <c r="G28"/>
  <c r="B15" i="4"/>
  <c r="C15"/>
  <c r="D15"/>
  <c r="E15"/>
  <c r="F15"/>
  <c r="H15"/>
  <c r="I15"/>
  <c r="B28"/>
  <c r="C28"/>
  <c r="D28"/>
  <c r="E28"/>
  <c r="F28"/>
  <c r="H28"/>
  <c r="I28"/>
  <c r="J28"/>
  <c r="J15" i="1"/>
  <c r="J29" s="1"/>
  <c r="B15"/>
  <c r="B29" s="1"/>
  <c r="C15"/>
  <c r="C29" s="1"/>
  <c r="F15"/>
  <c r="G15"/>
  <c r="G29" s="1"/>
  <c r="H15"/>
  <c r="H29" s="1"/>
  <c r="I15"/>
  <c r="I29" s="1"/>
  <c r="H29" i="4" l="1"/>
  <c r="E29"/>
  <c r="D29" i="1"/>
  <c r="E15"/>
  <c r="F29"/>
  <c r="B29" i="4"/>
  <c r="F29"/>
  <c r="D29"/>
  <c r="J15"/>
  <c r="I29"/>
  <c r="J29"/>
  <c r="C29"/>
  <c r="G29" i="3"/>
  <c r="E29"/>
  <c r="C29"/>
  <c r="H15"/>
  <c r="F29"/>
  <c r="D29"/>
  <c r="B29"/>
  <c r="H29"/>
  <c r="D15" i="1"/>
  <c r="E29" l="1"/>
</calcChain>
</file>

<file path=xl/sharedStrings.xml><?xml version="1.0" encoding="utf-8"?>
<sst xmlns="http://schemas.openxmlformats.org/spreadsheetml/2006/main" count="162" uniqueCount="109">
  <si>
    <t>Total</t>
  </si>
  <si>
    <t>Number of Projects Bid Opened</t>
  </si>
  <si>
    <t>Low Bid</t>
  </si>
  <si>
    <t>Bid Month-YR</t>
  </si>
  <si>
    <t>Engineer's Estimate</t>
  </si>
  <si>
    <t>No. of  Projects Under 10% of EE</t>
  </si>
  <si>
    <t>Low Bid vs. EE</t>
  </si>
  <si>
    <t>Avg. Number of Bidders</t>
  </si>
  <si>
    <t>No. of Projects Over 10% of EE</t>
  </si>
  <si>
    <t>No. of Projects Within 110% of EE</t>
  </si>
  <si>
    <t>Month</t>
  </si>
  <si>
    <t>Maintenance</t>
  </si>
  <si>
    <t>Minor A</t>
  </si>
  <si>
    <t>SHOPP</t>
  </si>
  <si>
    <t>STIP</t>
  </si>
  <si>
    <t>Other</t>
  </si>
  <si>
    <t>Multiple Programs</t>
  </si>
  <si>
    <t xml:space="preserve">Total </t>
  </si>
  <si>
    <t>Other Maintenance</t>
  </si>
  <si>
    <t>MinorA SHOPP</t>
  </si>
  <si>
    <t>SHOPP Other</t>
  </si>
  <si>
    <t>SHOPP STIP</t>
  </si>
  <si>
    <t>STIP Other</t>
  </si>
  <si>
    <t>STIP SHOPP Other</t>
  </si>
  <si>
    <t>Maintenance Minor A</t>
  </si>
  <si>
    <t>Jul 10 to Jun 11</t>
  </si>
  <si>
    <t>Minor
Other</t>
  </si>
  <si>
    <t>No.</t>
  </si>
  <si>
    <t>Bid Opening Date</t>
  </si>
  <si>
    <t>Number of Bidders</t>
  </si>
  <si>
    <t>Program</t>
  </si>
  <si>
    <t>Bid Rejection Reasons</t>
  </si>
  <si>
    <t>Bid Rejection Date</t>
  </si>
  <si>
    <r>
      <t xml:space="preserve">No. of Projects in </t>
    </r>
    <r>
      <rPr>
        <b/>
        <sz val="10"/>
        <color indexed="8"/>
        <rFont val="Calibri"/>
        <family val="2"/>
      </rPr>
      <t>±</t>
    </r>
    <r>
      <rPr>
        <b/>
        <sz val="10"/>
        <color indexed="8"/>
        <rFont val="Arial"/>
        <family val="2"/>
      </rPr>
      <t>10% of EE</t>
    </r>
  </si>
  <si>
    <t>08-334874</t>
  </si>
  <si>
    <t>07-4L2204</t>
  </si>
  <si>
    <t>Overrun</t>
  </si>
  <si>
    <t>10-0S1904</t>
  </si>
  <si>
    <t>04-4A8824</t>
  </si>
  <si>
    <t>Materially unbalanced or nonresponsive bids.</t>
  </si>
  <si>
    <t>Percent of  Projects Within ±10% of EE</t>
  </si>
  <si>
    <t>04-4A07U4</t>
  </si>
  <si>
    <t>The new conditions in the Incidental Take Permit (ITP) for the project were not addressed clearly in the contract specifications.</t>
  </si>
  <si>
    <t>02-2E2904</t>
  </si>
  <si>
    <t>Material defect.</t>
  </si>
  <si>
    <t>08-0P9304</t>
  </si>
  <si>
    <t>11-2M2404</t>
  </si>
  <si>
    <t>04-2E2604</t>
  </si>
  <si>
    <t>All four bidders did not meet the required DVBE goal.</t>
  </si>
  <si>
    <t>The first two bidders were nonresponsive 
and the third one was overrun.</t>
  </si>
  <si>
    <t>All three bidders were nonresponsive.</t>
  </si>
  <si>
    <t>04-0120M4</t>
  </si>
  <si>
    <t>09-349104</t>
  </si>
  <si>
    <t>The period of time to award this contract expired before there was a mutual agreement between the bidders and the Department to extend the bids.</t>
  </si>
  <si>
    <t>All four bidders did not meet the required DVBE goal and have been found to be nonresponsive.</t>
  </si>
  <si>
    <t>04-2E5304</t>
  </si>
  <si>
    <t>08-0P7904</t>
  </si>
  <si>
    <t xml:space="preserve">Subsequent to the bid opening, it was determined there was an error in the estimate which will put the State at a contract administrative disadvantage.  Therefore, the Department has decided to reject all bids. </t>
  </si>
  <si>
    <t>07-1W0504</t>
  </si>
  <si>
    <t>The three lowest bidders were found to be nonresponsive.  In addition, the period of time to award this contract expired before there was a mutual agreement between the bidders and the Department to extend the bids.</t>
  </si>
  <si>
    <t>08-0N1404</t>
  </si>
  <si>
    <t>Six bids were received for this project.  The low bidder was determined to be nonresponsive, and the 2nd lowest bid is 32.89 percent above the Engineer's Estimate and exceeds available funding.  The Department has rejected all the bids.</t>
  </si>
  <si>
    <t>09-348104</t>
  </si>
  <si>
    <t>Three bids were received for this project.  The low bidder has asked for relief of bid, and the 3rd lowest bidder has been found nonresponsive.  The remaining bid is 40% over the Engineer's Estimate, and appears to be mathematically unbalanced.  The Department has decided to reject all bids.</t>
  </si>
  <si>
    <t>03-4M2404</t>
  </si>
  <si>
    <t xml:space="preserve">Three bids were received for this project.  Subsequent to bid opening, it was determined that there was a material defect in the bidding documents.  The Department has decided to reject all bids. </t>
  </si>
  <si>
    <t>03-4M2904</t>
  </si>
  <si>
    <t xml:space="preserve">Six bids were received for this project.  Subsequent to bid opening, it was determined that the two lowest bids appear to be unbalanced due to a material quantity defect in the Engineer's Estimate.  The Department has decided to reject all bids. </t>
  </si>
  <si>
    <t>04-2E2304</t>
  </si>
  <si>
    <t>The Departmental Good Faith Effort Reconsideration Committee has determined that the low bidder (Truesdell), second bidder (Peterson-Chase) and the 3rd bidder (Bay Line Cutting &amp; Coring) did not make a good faith effort to meet the UDBE goal and are no longer eligible for award.   We do not have current bid extensions for the remaining bidders, therefore there are no qualified bidders on this project.</t>
  </si>
  <si>
    <t>Contract #</t>
  </si>
  <si>
    <t>06-0M2204</t>
  </si>
  <si>
    <t>Five bids were received for this project.  The first four bidders were found to be nonresponsive.   The fifth bidder is 57% over the Engineer's Estimate and exceeds available funding.  The Department has rejected the bid.</t>
  </si>
  <si>
    <t>01-474414</t>
  </si>
  <si>
    <t>Four bids were received on this project.  Subsequent to bid opening, it was determined that the contract specifications for this project were materially flawed.  The Department has decided to reject all bids.</t>
  </si>
  <si>
    <t>08-0L9004</t>
  </si>
  <si>
    <t>05-1A9704</t>
  </si>
  <si>
    <t>There were four bidders on this project.   The third and fourth bidders were found to be nonresponsive.   We did not receive bid extensions in the required timeframe for the 1st and 2nd bidders, so there are no qualified bidders.</t>
  </si>
  <si>
    <t>There were seven bids on this project.   Caltrans was unable to complete all the administrative requirements necessary to extend the bid.  Therefore, there are no eligible bids for the project.</t>
  </si>
  <si>
    <t>Jul 11 to Jun 12</t>
  </si>
  <si>
    <t>08-0L5904</t>
  </si>
  <si>
    <t>There were eight bidders on this project.  The 1st and 5th bidder were found to be nonresponsive.  All other bidders did not return the bid extension requests within the required timeframe.  Therefore, there are no qualified bidders.</t>
  </si>
  <si>
    <t>Jul-12</t>
  </si>
  <si>
    <t>05-0M9704</t>
  </si>
  <si>
    <t>Two bids were received for this project.  The low bid is 37.14 percent over the Engineer's Estimate and both bids exceed available funding.  Subsequent to the bid opening, the district determined there is a more cost effective treatment for the metal beam guardrail.   The Department has rejected both bids.</t>
  </si>
  <si>
    <t>Note: 1) "*", numbers may be different from that in the previous report due to bid rank change(s); 2) Rejected projects are not included in calculations.</t>
  </si>
  <si>
    <t>26</t>
  </si>
  <si>
    <t>11-289604</t>
  </si>
  <si>
    <t xml:space="preserve">Seven bids were received for this project.  The field site conditions for this project changed between when the design was completed and when bid opening took place.  Therefore, the current contract documents are obsolete.  The Department has decided to reject all bids. </t>
  </si>
  <si>
    <t>04-3A23U4</t>
  </si>
  <si>
    <t>There were five bids received for this contract.  Subsequent to the bid opening, it was determined that there was a material defect in the contract documents, which creates a reasonable doubt that an award would result in the lowest ultimate cost to the State.  The Department has decided to reject all bids.  The scope of the work and the funding will be re-evaluated and the project will be re-advertised at a later date.</t>
  </si>
  <si>
    <t>Sep-12</t>
  </si>
  <si>
    <t>Jul 11 to Sep 12</t>
  </si>
  <si>
    <r>
      <t xml:space="preserve">Bid Opening By Program 
</t>
    </r>
    <r>
      <rPr>
        <sz val="12"/>
        <color indexed="8"/>
        <rFont val="Arial"/>
        <family val="2"/>
      </rPr>
      <t>(As of 10/2/2012)</t>
    </r>
  </si>
  <si>
    <r>
      <t xml:space="preserve">Multiple Programs
</t>
    </r>
    <r>
      <rPr>
        <sz val="12"/>
        <color indexed="8"/>
        <rFont val="Arial"/>
        <family val="2"/>
      </rPr>
      <t>(As of 10/2/2012)</t>
    </r>
  </si>
  <si>
    <r>
      <t xml:space="preserve"> List of Rejected Projects
</t>
    </r>
    <r>
      <rPr>
        <sz val="12"/>
        <color indexed="8"/>
        <rFont val="Arial"/>
        <family val="2"/>
      </rPr>
      <t xml:space="preserve"> (Sorted by rejection date, for bid opened from July 2011 to Sep 2012, as of 10/2/2012)</t>
    </r>
  </si>
  <si>
    <t>11-290304</t>
  </si>
  <si>
    <t>There was one bidder for this project.  The bidder has been found to be nonresponsive, therefore there are no qualfiied bidders. The plans are being retained in DES-OE for one month. Project BEES will be unlocked at receipt of the DES-CCD memo.  If District does not make material changes to the project within one month of bid rejection the plans will be returned for retention in the District and should be submitted as a new PS&amp;E submittal.</t>
  </si>
  <si>
    <t>Mar-13</t>
  </si>
  <si>
    <t>Jul 12 to Jun 13</t>
  </si>
  <si>
    <t xml:space="preserve"> Aug-13</t>
  </si>
  <si>
    <t xml:space="preserve"> Sept-13</t>
  </si>
  <si>
    <t>Oct-13</t>
  </si>
  <si>
    <t>Nov-13</t>
  </si>
  <si>
    <t xml:space="preserve"> Jan-14</t>
  </si>
  <si>
    <r>
      <t xml:space="preserve">Combined Bidder Activity Summary Report - June 2014
</t>
    </r>
    <r>
      <rPr>
        <sz val="12"/>
        <color indexed="8"/>
        <rFont val="Arial"/>
        <family val="2"/>
      </rPr>
      <t xml:space="preserve"> (Projects bid opened from July 2012 to June 2014, as of 07/03/2014)</t>
    </r>
  </si>
  <si>
    <t>* May-14</t>
  </si>
  <si>
    <t>* Apr-14</t>
  </si>
  <si>
    <t>Jul 13 - Jun 14</t>
  </si>
</sst>
</file>

<file path=xl/styles.xml><?xml version="1.0" encoding="utf-8"?>
<styleSheet xmlns="http://schemas.openxmlformats.org/spreadsheetml/2006/main">
  <numFmts count="4">
    <numFmt numFmtId="164" formatCode="0.0"/>
    <numFmt numFmtId="165" formatCode="0.0%"/>
    <numFmt numFmtId="166" formatCode="&quot;$&quot;#,##0"/>
    <numFmt numFmtId="167" formatCode="#,##0.0"/>
  </numFmts>
  <fonts count="12">
    <font>
      <sz val="10"/>
      <color indexed="8"/>
      <name val="MS Sans Serif"/>
    </font>
    <font>
      <sz val="10"/>
      <color indexed="8"/>
      <name val="Arial"/>
      <family val="2"/>
    </font>
    <font>
      <b/>
      <sz val="10"/>
      <color indexed="8"/>
      <name val="Arial"/>
      <family val="2"/>
    </font>
    <font>
      <b/>
      <sz val="10"/>
      <color indexed="8"/>
      <name val="MS Sans Serif"/>
      <family val="2"/>
    </font>
    <font>
      <b/>
      <sz val="12"/>
      <color indexed="8"/>
      <name val="MS Sans Serif"/>
      <family val="2"/>
    </font>
    <font>
      <b/>
      <sz val="10"/>
      <color indexed="8"/>
      <name val="Arial"/>
      <family val="2"/>
    </font>
    <font>
      <b/>
      <sz val="12"/>
      <color indexed="8"/>
      <name val="Arial"/>
      <family val="2"/>
    </font>
    <font>
      <sz val="10"/>
      <color indexed="8"/>
      <name val="MS Sans Serif"/>
      <family val="2"/>
    </font>
    <font>
      <sz val="12"/>
      <color indexed="8"/>
      <name val="Arial"/>
      <family val="2"/>
    </font>
    <font>
      <b/>
      <sz val="10"/>
      <color indexed="8"/>
      <name val="Calibri"/>
      <family val="2"/>
    </font>
    <font>
      <b/>
      <sz val="10"/>
      <name val="Arial"/>
      <family val="2"/>
    </font>
    <font>
      <sz val="10"/>
      <name val="Arial"/>
      <family val="2"/>
    </font>
  </fonts>
  <fills count="2">
    <fill>
      <patternFill patternType="none"/>
    </fill>
    <fill>
      <patternFill patternType="gray125"/>
    </fill>
  </fills>
  <borders count="45">
    <border>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8"/>
      </left>
      <right style="thin">
        <color indexed="8"/>
      </right>
      <top style="thin">
        <color indexed="64"/>
      </top>
      <bottom style="medium">
        <color indexed="64"/>
      </bottom>
      <diagonal/>
    </border>
    <border>
      <left/>
      <right style="thin">
        <color indexed="8"/>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48">
    <xf numFmtId="0" fontId="0" fillId="0" borderId="0" xfId="0"/>
    <xf numFmtId="164" fontId="0" fillId="0" borderId="0" xfId="0" applyNumberFormat="1"/>
    <xf numFmtId="0" fontId="3" fillId="0" borderId="0" xfId="0" applyFont="1" applyAlignment="1">
      <alignment wrapText="1"/>
    </xf>
    <xf numFmtId="17" fontId="0" fillId="0" borderId="0" xfId="0" applyNumberFormat="1"/>
    <xf numFmtId="166" fontId="0" fillId="0" borderId="0" xfId="0" applyNumberFormat="1"/>
    <xf numFmtId="0" fontId="3" fillId="0" borderId="0" xfId="0" applyFont="1"/>
    <xf numFmtId="0" fontId="7" fillId="0" borderId="0" xfId="0" applyFont="1"/>
    <xf numFmtId="0" fontId="0" fillId="0" borderId="0" xfId="0" applyBorder="1" applyAlignment="1">
      <alignment horizontal="center"/>
    </xf>
    <xf numFmtId="0" fontId="0" fillId="0" borderId="0" xfId="0" applyAlignment="1">
      <alignment horizontal="center"/>
    </xf>
    <xf numFmtId="0" fontId="5" fillId="0" borderId="0" xfId="0" applyFont="1" applyFill="1" applyAlignment="1">
      <alignment wrapText="1"/>
    </xf>
    <xf numFmtId="0" fontId="5" fillId="0" borderId="0" xfId="0" applyFont="1" applyAlignment="1">
      <alignment wrapText="1"/>
    </xf>
    <xf numFmtId="17" fontId="6" fillId="0" borderId="0" xfId="0" applyNumberFormat="1" applyFont="1" applyFill="1" applyBorder="1" applyAlignment="1">
      <alignment horizontal="center" wrapText="1"/>
    </xf>
    <xf numFmtId="17" fontId="2" fillId="0" borderId="1" xfId="0" applyNumberFormat="1" applyFont="1" applyFill="1" applyBorder="1" applyAlignment="1">
      <alignment horizontal="center" wrapText="1"/>
    </xf>
    <xf numFmtId="17" fontId="2" fillId="0" borderId="1" xfId="0" applyNumberFormat="1" applyFont="1" applyFill="1" applyBorder="1" applyAlignment="1">
      <alignment horizontal="center" vertical="center" wrapText="1"/>
    </xf>
    <xf numFmtId="166" fontId="2" fillId="0" borderId="9" xfId="0" applyNumberFormat="1" applyFont="1" applyFill="1" applyBorder="1" applyAlignment="1">
      <alignment horizontal="center" wrapText="1"/>
    </xf>
    <xf numFmtId="0" fontId="2" fillId="0" borderId="5" xfId="0" applyFont="1" applyFill="1" applyBorder="1" applyAlignment="1">
      <alignment horizontal="center" wrapText="1"/>
    </xf>
    <xf numFmtId="164" fontId="2" fillId="0" borderId="5" xfId="0" applyNumberFormat="1" applyFont="1" applyFill="1" applyBorder="1" applyAlignment="1">
      <alignment horizontal="center" wrapText="1"/>
    </xf>
    <xf numFmtId="0" fontId="2" fillId="0" borderId="1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17" fontId="2" fillId="0" borderId="2" xfId="0" applyNumberFormat="1" applyFont="1" applyFill="1" applyBorder="1" applyAlignment="1">
      <alignment horizontal="center" vertical="center" wrapText="1"/>
    </xf>
    <xf numFmtId="165" fontId="1" fillId="0" borderId="3" xfId="1" applyNumberFormat="1"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3" fontId="1" fillId="0" borderId="3" xfId="0" applyNumberFormat="1" applyFont="1" applyFill="1" applyBorder="1" applyAlignment="1">
      <alignment horizontal="center" vertical="center" wrapText="1"/>
    </xf>
    <xf numFmtId="1" fontId="1" fillId="0" borderId="4" xfId="0" applyNumberFormat="1" applyFont="1" applyBorder="1" applyAlignment="1">
      <alignment horizontal="center" vertical="center"/>
    </xf>
    <xf numFmtId="17" fontId="2" fillId="0" borderId="16" xfId="0" applyNumberFormat="1" applyFont="1" applyFill="1" applyBorder="1" applyAlignment="1">
      <alignment horizontal="center" vertical="center" wrapText="1"/>
    </xf>
    <xf numFmtId="165" fontId="1" fillId="0" borderId="17" xfId="1" applyNumberFormat="1" applyFont="1" applyFill="1" applyBorder="1" applyAlignment="1">
      <alignment horizontal="center" vertical="center" wrapText="1"/>
    </xf>
    <xf numFmtId="164" fontId="1" fillId="0" borderId="17" xfId="0" applyNumberFormat="1" applyFont="1" applyFill="1" applyBorder="1" applyAlignment="1">
      <alignment horizontal="center" vertical="center" wrapText="1"/>
    </xf>
    <xf numFmtId="3" fontId="1" fillId="0" borderId="17" xfId="0" applyNumberFormat="1" applyFont="1" applyFill="1" applyBorder="1" applyAlignment="1">
      <alignment horizontal="center" vertical="center" wrapText="1"/>
    </xf>
    <xf numFmtId="1" fontId="1" fillId="0" borderId="18" xfId="0" applyNumberFormat="1" applyFont="1" applyBorder="1" applyAlignment="1">
      <alignment horizontal="center" vertical="center"/>
    </xf>
    <xf numFmtId="17" fontId="2" fillId="0" borderId="19" xfId="0" applyNumberFormat="1" applyFont="1" applyFill="1" applyBorder="1" applyAlignment="1">
      <alignment horizontal="center" vertical="center" wrapText="1"/>
    </xf>
    <xf numFmtId="165" fontId="1" fillId="0" borderId="20" xfId="1" applyNumberFormat="1" applyFont="1" applyFill="1" applyBorder="1" applyAlignment="1">
      <alignment horizontal="center" vertical="center" wrapText="1"/>
    </xf>
    <xf numFmtId="164" fontId="1" fillId="0" borderId="20" xfId="0" applyNumberFormat="1" applyFont="1" applyFill="1" applyBorder="1" applyAlignment="1">
      <alignment horizontal="center" vertical="center" wrapText="1"/>
    </xf>
    <xf numFmtId="3" fontId="1" fillId="0" borderId="20" xfId="0" applyNumberFormat="1" applyFont="1" applyFill="1" applyBorder="1" applyAlignment="1">
      <alignment horizontal="center" vertical="center" wrapText="1"/>
    </xf>
    <xf numFmtId="1" fontId="1" fillId="0" borderId="21" xfId="0" applyNumberFormat="1" applyFont="1" applyBorder="1" applyAlignment="1">
      <alignment horizontal="center" vertical="center"/>
    </xf>
    <xf numFmtId="165" fontId="2" fillId="0" borderId="14" xfId="1" applyNumberFormat="1" applyFont="1" applyFill="1" applyBorder="1" applyAlignment="1">
      <alignment horizontal="center" vertical="center" wrapText="1"/>
    </xf>
    <xf numFmtId="164" fontId="2" fillId="0" borderId="14" xfId="0" applyNumberFormat="1" applyFont="1" applyFill="1" applyBorder="1" applyAlignment="1">
      <alignment horizontal="center" vertical="center" wrapText="1"/>
    </xf>
    <xf numFmtId="3" fontId="2" fillId="0" borderId="14" xfId="0" applyNumberFormat="1" applyFont="1" applyFill="1" applyBorder="1" applyAlignment="1">
      <alignment horizontal="center" vertical="center" wrapText="1"/>
    </xf>
    <xf numFmtId="3" fontId="2" fillId="0" borderId="15" xfId="0" applyNumberFormat="1" applyFont="1" applyFill="1" applyBorder="1" applyAlignment="1">
      <alignment horizontal="center" vertical="center" wrapText="1"/>
    </xf>
    <xf numFmtId="3" fontId="1" fillId="0" borderId="4" xfId="0" applyNumberFormat="1" applyFont="1" applyFill="1" applyBorder="1" applyAlignment="1">
      <alignment horizontal="center" vertical="center" wrapText="1"/>
    </xf>
    <xf numFmtId="3" fontId="1" fillId="0" borderId="18" xfId="0" applyNumberFormat="1" applyFont="1" applyFill="1" applyBorder="1" applyAlignment="1">
      <alignment horizontal="center" vertical="center" wrapText="1"/>
    </xf>
    <xf numFmtId="3" fontId="1" fillId="0" borderId="21" xfId="0" applyNumberFormat="1" applyFont="1" applyFill="1" applyBorder="1" applyAlignment="1">
      <alignment horizontal="center" vertical="center" wrapText="1"/>
    </xf>
    <xf numFmtId="167" fontId="2" fillId="0" borderId="14" xfId="0" applyNumberFormat="1" applyFont="1" applyFill="1" applyBorder="1" applyAlignment="1">
      <alignment horizontal="center" vertical="center" wrapText="1"/>
    </xf>
    <xf numFmtId="17" fontId="6" fillId="0" borderId="22" xfId="0" applyNumberFormat="1" applyFont="1" applyFill="1" applyBorder="1" applyAlignment="1">
      <alignment horizontal="center" vertical="center" wrapText="1"/>
    </xf>
    <xf numFmtId="166" fontId="2" fillId="0" borderId="14" xfId="0" applyNumberFormat="1" applyFont="1" applyFill="1" applyBorder="1" applyAlignment="1">
      <alignment horizontal="center" wrapText="1"/>
    </xf>
    <xf numFmtId="17" fontId="2" fillId="0" borderId="26" xfId="0" applyNumberFormat="1" applyFont="1" applyFill="1" applyBorder="1" applyAlignment="1">
      <alignment horizontal="center" wrapText="1"/>
    </xf>
    <xf numFmtId="17" fontId="2" fillId="0" borderId="23" xfId="0" applyNumberFormat="1" applyFont="1" applyFill="1" applyBorder="1" applyAlignment="1">
      <alignment horizontal="center" vertical="center" wrapText="1"/>
    </xf>
    <xf numFmtId="17" fontId="2" fillId="0" borderId="24" xfId="0" applyNumberFormat="1" applyFont="1" applyFill="1" applyBorder="1" applyAlignment="1">
      <alignment horizontal="center" vertical="center" wrapText="1"/>
    </xf>
    <xf numFmtId="1" fontId="2" fillId="0" borderId="2" xfId="0" applyNumberFormat="1" applyFont="1" applyFill="1" applyBorder="1" applyAlignment="1">
      <alignment horizontal="center" vertical="center" wrapText="1"/>
    </xf>
    <xf numFmtId="1" fontId="2" fillId="0" borderId="16" xfId="0" applyNumberFormat="1" applyFont="1" applyFill="1" applyBorder="1" applyAlignment="1">
      <alignment horizontal="center" vertical="center" wrapText="1"/>
    </xf>
    <xf numFmtId="14" fontId="2" fillId="0" borderId="23" xfId="0" applyNumberFormat="1" applyFont="1" applyFill="1" applyBorder="1" applyAlignment="1">
      <alignment horizontal="center" vertical="center" wrapText="1"/>
    </xf>
    <xf numFmtId="14" fontId="2" fillId="0" borderId="24" xfId="0" applyNumberFormat="1" applyFont="1" applyFill="1" applyBorder="1" applyAlignment="1">
      <alignment horizontal="center" vertical="center" wrapText="1"/>
    </xf>
    <xf numFmtId="1" fontId="1" fillId="0" borderId="3" xfId="0" applyNumberFormat="1" applyFont="1" applyFill="1" applyBorder="1" applyAlignment="1">
      <alignment horizontal="center" vertical="center" wrapText="1"/>
    </xf>
    <xf numFmtId="1" fontId="1" fillId="0" borderId="17" xfId="0" applyNumberFormat="1" applyFont="1" applyFill="1" applyBorder="1" applyAlignment="1">
      <alignment horizontal="center" vertical="center" wrapText="1"/>
    </xf>
    <xf numFmtId="0" fontId="2" fillId="0" borderId="1" xfId="0" applyFont="1" applyFill="1" applyBorder="1" applyAlignment="1">
      <alignment horizontal="center" wrapText="1"/>
    </xf>
    <xf numFmtId="0" fontId="2" fillId="0" borderId="14" xfId="0" applyFont="1" applyFill="1" applyBorder="1" applyAlignment="1">
      <alignment horizontal="center" wrapText="1"/>
    </xf>
    <xf numFmtId="0" fontId="2" fillId="0" borderId="15" xfId="0" applyFont="1" applyFill="1" applyBorder="1" applyAlignment="1">
      <alignment wrapText="1"/>
    </xf>
    <xf numFmtId="0" fontId="1" fillId="0" borderId="3" xfId="0" applyFont="1" applyBorder="1" applyAlignment="1">
      <alignment horizontal="center" vertical="center"/>
    </xf>
    <xf numFmtId="0" fontId="0" fillId="0" borderId="0" xfId="0"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2" fillId="0" borderId="14" xfId="0" applyFont="1" applyBorder="1" applyAlignment="1">
      <alignment horizontal="center" vertical="center"/>
    </xf>
    <xf numFmtId="17" fontId="6" fillId="0" borderId="34" xfId="0" applyNumberFormat="1" applyFont="1" applyFill="1" applyBorder="1" applyAlignment="1">
      <alignment horizontal="center" vertical="center" wrapText="1"/>
    </xf>
    <xf numFmtId="0" fontId="2" fillId="0" borderId="22" xfId="0" applyFont="1" applyFill="1" applyBorder="1" applyAlignment="1">
      <alignment horizontal="center" vertical="center" wrapText="1"/>
    </xf>
    <xf numFmtId="0" fontId="2" fillId="0" borderId="32" xfId="0" applyFont="1" applyFill="1" applyBorder="1" applyAlignment="1">
      <alignment horizontal="center" vertical="center" wrapText="1"/>
    </xf>
    <xf numFmtId="0" fontId="2" fillId="0" borderId="3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0" borderId="15" xfId="0" applyFont="1" applyFill="1" applyBorder="1" applyAlignment="1">
      <alignment horizontal="center" vertical="center" wrapText="1"/>
    </xf>
    <xf numFmtId="0" fontId="2" fillId="0" borderId="20" xfId="0" applyFont="1" applyBorder="1" applyAlignment="1">
      <alignment horizontal="center"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66" fontId="1" fillId="0" borderId="3" xfId="0" applyNumberFormat="1" applyFont="1" applyFill="1" applyBorder="1" applyAlignment="1">
      <alignment horizontal="right" vertical="center" wrapText="1"/>
    </xf>
    <xf numFmtId="166" fontId="1" fillId="0" borderId="23" xfId="0" applyNumberFormat="1" applyFont="1" applyFill="1" applyBorder="1" applyAlignment="1">
      <alignment horizontal="right" vertical="center" wrapText="1"/>
    </xf>
    <xf numFmtId="166" fontId="1" fillId="0" borderId="17" xfId="0" applyNumberFormat="1" applyFont="1" applyBorder="1" applyAlignment="1">
      <alignment horizontal="right" vertical="center"/>
    </xf>
    <xf numFmtId="166" fontId="1" fillId="0" borderId="24" xfId="0" applyNumberFormat="1" applyFont="1" applyFill="1" applyBorder="1" applyAlignment="1">
      <alignment horizontal="right" vertical="center" wrapText="1"/>
    </xf>
    <xf numFmtId="166" fontId="1" fillId="0" borderId="17" xfId="0" applyNumberFormat="1" applyFont="1" applyFill="1" applyBorder="1" applyAlignment="1">
      <alignment horizontal="right" vertical="center" wrapText="1"/>
    </xf>
    <xf numFmtId="166" fontId="1" fillId="0" borderId="20" xfId="0" applyNumberFormat="1" applyFont="1" applyFill="1" applyBorder="1" applyAlignment="1">
      <alignment horizontal="right" vertical="center" wrapText="1"/>
    </xf>
    <xf numFmtId="166" fontId="1" fillId="0" borderId="25" xfId="0" applyNumberFormat="1" applyFont="1" applyFill="1" applyBorder="1" applyAlignment="1">
      <alignment horizontal="right" vertical="center" wrapText="1"/>
    </xf>
    <xf numFmtId="166" fontId="2" fillId="0" borderId="14" xfId="0" applyNumberFormat="1" applyFont="1" applyFill="1" applyBorder="1" applyAlignment="1">
      <alignment horizontal="right" vertical="center" wrapText="1"/>
    </xf>
    <xf numFmtId="166" fontId="2" fillId="0" borderId="26" xfId="0" applyNumberFormat="1" applyFont="1" applyFill="1" applyBorder="1" applyAlignment="1">
      <alignment horizontal="right" vertical="center" wrapText="1"/>
    </xf>
    <xf numFmtId="1" fontId="2" fillId="0" borderId="37" xfId="0" applyNumberFormat="1" applyFont="1" applyFill="1" applyBorder="1" applyAlignment="1">
      <alignment horizontal="center" vertical="center" wrapText="1"/>
    </xf>
    <xf numFmtId="17" fontId="2" fillId="0" borderId="38" xfId="0" applyNumberFormat="1" applyFont="1" applyFill="1" applyBorder="1" applyAlignment="1">
      <alignment horizontal="center" vertical="center" wrapText="1"/>
    </xf>
    <xf numFmtId="14" fontId="2" fillId="0" borderId="38" xfId="0" applyNumberFormat="1" applyFont="1" applyFill="1" applyBorder="1" applyAlignment="1">
      <alignment horizontal="center" vertical="center" wrapText="1"/>
    </xf>
    <xf numFmtId="1" fontId="1" fillId="0" borderId="39" xfId="0" applyNumberFormat="1" applyFont="1" applyFill="1" applyBorder="1" applyAlignment="1">
      <alignment horizontal="center" vertical="center" wrapText="1"/>
    </xf>
    <xf numFmtId="166" fontId="1" fillId="0" borderId="39" xfId="0" applyNumberFormat="1" applyFont="1" applyFill="1" applyBorder="1" applyAlignment="1">
      <alignment horizontal="right" vertical="center" wrapText="1"/>
    </xf>
    <xf numFmtId="166" fontId="1" fillId="0" borderId="38" xfId="0" applyNumberFormat="1" applyFont="1" applyFill="1" applyBorder="1" applyAlignment="1">
      <alignment horizontal="right" vertical="center" wrapText="1"/>
    </xf>
    <xf numFmtId="14" fontId="2" fillId="0" borderId="41" xfId="0" applyNumberFormat="1" applyFont="1" applyFill="1" applyBorder="1" applyAlignment="1">
      <alignment horizontal="center" vertical="center" wrapText="1"/>
    </xf>
    <xf numFmtId="1" fontId="1" fillId="0" borderId="28" xfId="0" applyNumberFormat="1" applyFont="1" applyFill="1" applyBorder="1" applyAlignment="1">
      <alignment horizontal="center" vertical="center" wrapText="1"/>
    </xf>
    <xf numFmtId="166" fontId="1" fillId="0" borderId="28" xfId="0" applyNumberFormat="1" applyFont="1" applyFill="1" applyBorder="1" applyAlignment="1">
      <alignment horizontal="right" vertical="center" wrapText="1"/>
    </xf>
    <xf numFmtId="166" fontId="1" fillId="0" borderId="41" xfId="0" applyNumberFormat="1" applyFont="1" applyFill="1" applyBorder="1" applyAlignment="1">
      <alignment horizontal="right" vertical="center" wrapText="1"/>
    </xf>
    <xf numFmtId="165" fontId="1" fillId="0" borderId="28" xfId="1" applyNumberFormat="1" applyFont="1" applyFill="1" applyBorder="1" applyAlignment="1">
      <alignment horizontal="center" vertical="center" wrapText="1"/>
    </xf>
    <xf numFmtId="17" fontId="2" fillId="0" borderId="41" xfId="0" applyNumberFormat="1" applyFont="1" applyFill="1" applyBorder="1" applyAlignment="1">
      <alignment horizontal="center" vertical="center" wrapText="1"/>
    </xf>
    <xf numFmtId="165" fontId="1" fillId="0" borderId="21" xfId="1" applyNumberFormat="1" applyFont="1" applyFill="1" applyBorder="1" applyAlignment="1">
      <alignment horizontal="center" vertical="center" wrapText="1"/>
    </xf>
    <xf numFmtId="165" fontId="2" fillId="0" borderId="15" xfId="1" applyNumberFormat="1" applyFont="1" applyFill="1" applyBorder="1" applyAlignment="1">
      <alignment horizontal="center" vertical="center" wrapText="1"/>
    </xf>
    <xf numFmtId="165" fontId="1" fillId="0" borderId="42" xfId="1" applyNumberFormat="1" applyFont="1" applyFill="1" applyBorder="1" applyAlignment="1">
      <alignment horizontal="center" vertical="center" wrapText="1"/>
    </xf>
    <xf numFmtId="165" fontId="1" fillId="0" borderId="43" xfId="1" applyNumberFormat="1" applyFont="1" applyFill="1" applyBorder="1" applyAlignment="1">
      <alignment horizontal="center" vertical="center" wrapText="1"/>
    </xf>
    <xf numFmtId="1" fontId="2" fillId="0" borderId="27" xfId="0" applyNumberFormat="1" applyFont="1" applyFill="1" applyBorder="1" applyAlignment="1">
      <alignment horizontal="center" vertical="center" wrapText="1"/>
    </xf>
    <xf numFmtId="1" fontId="1" fillId="0" borderId="44" xfId="0" applyNumberFormat="1" applyFont="1" applyFill="1" applyBorder="1" applyAlignment="1">
      <alignment horizontal="center" vertical="center" wrapText="1"/>
    </xf>
    <xf numFmtId="166" fontId="1" fillId="0" borderId="44" xfId="0" applyNumberFormat="1" applyFont="1" applyFill="1" applyBorder="1" applyAlignment="1">
      <alignment horizontal="right" vertical="center" wrapText="1"/>
    </xf>
    <xf numFmtId="166" fontId="1" fillId="0" borderId="3" xfId="0" applyNumberFormat="1" applyFont="1" applyBorder="1" applyAlignment="1">
      <alignment horizontal="right" vertical="center"/>
    </xf>
    <xf numFmtId="49" fontId="1" fillId="0" borderId="18" xfId="0" applyNumberFormat="1" applyFont="1" applyBorder="1" applyAlignment="1">
      <alignment horizontal="left" vertical="center" wrapText="1"/>
    </xf>
    <xf numFmtId="49" fontId="1" fillId="0" borderId="29" xfId="0" applyNumberFormat="1" applyFont="1" applyBorder="1" applyAlignment="1">
      <alignment horizontal="left" vertical="center" wrapText="1"/>
    </xf>
    <xf numFmtId="0" fontId="1" fillId="0" borderId="29" xfId="0" applyNumberFormat="1" applyFont="1" applyBorder="1" applyAlignment="1">
      <alignment horizontal="left" vertical="center" wrapText="1"/>
    </xf>
    <xf numFmtId="17" fontId="2" fillId="0" borderId="16" xfId="0" quotePrefix="1" applyNumberFormat="1" applyFont="1" applyFill="1" applyBorder="1" applyAlignment="1">
      <alignment horizontal="center" vertical="center" wrapText="1"/>
    </xf>
    <xf numFmtId="17" fontId="2" fillId="0" borderId="28" xfId="0" applyNumberFormat="1" applyFont="1" applyFill="1" applyBorder="1" applyAlignment="1">
      <alignment horizontal="center" vertical="center" wrapText="1"/>
    </xf>
    <xf numFmtId="14" fontId="2" fillId="0" borderId="28" xfId="0" applyNumberFormat="1" applyFont="1" applyFill="1" applyBorder="1" applyAlignment="1">
      <alignment horizontal="center" vertical="center" wrapText="1"/>
    </xf>
    <xf numFmtId="49" fontId="1" fillId="0" borderId="40" xfId="0" applyNumberFormat="1" applyFont="1" applyBorder="1" applyAlignment="1">
      <alignment horizontal="left" vertical="center" wrapText="1"/>
    </xf>
    <xf numFmtId="0" fontId="1" fillId="0" borderId="18" xfId="0" applyNumberFormat="1" applyFont="1" applyBorder="1" applyAlignment="1">
      <alignment horizontal="left" vertical="center" wrapText="1"/>
    </xf>
    <xf numFmtId="49" fontId="1" fillId="0" borderId="4" xfId="0" applyNumberFormat="1" applyFont="1" applyBorder="1" applyAlignment="1">
      <alignment horizontal="left" vertical="center" wrapText="1"/>
    </xf>
    <xf numFmtId="17" fontId="2" fillId="0" borderId="2" xfId="0" quotePrefix="1" applyNumberFormat="1" applyFont="1" applyFill="1" applyBorder="1" applyAlignment="1">
      <alignment horizontal="center" vertical="center" wrapText="1"/>
    </xf>
    <xf numFmtId="17" fontId="2" fillId="0" borderId="19" xfId="0" quotePrefix="1" applyNumberFormat="1" applyFont="1" applyFill="1" applyBorder="1" applyAlignment="1">
      <alignment horizontal="center" vertical="center" wrapText="1"/>
    </xf>
    <xf numFmtId="17" fontId="2" fillId="0" borderId="25" xfId="0" applyNumberFormat="1" applyFont="1" applyFill="1" applyBorder="1" applyAlignment="1">
      <alignment horizontal="center" vertical="center" wrapText="1"/>
    </xf>
    <xf numFmtId="164" fontId="2" fillId="0" borderId="30" xfId="0" applyNumberFormat="1" applyFont="1" applyFill="1" applyBorder="1" applyAlignment="1">
      <alignment horizontal="center" vertical="center" wrapText="1"/>
    </xf>
    <xf numFmtId="166" fontId="2" fillId="0" borderId="20" xfId="0" applyNumberFormat="1" applyFont="1" applyFill="1" applyBorder="1" applyAlignment="1">
      <alignment horizontal="right" vertical="center" wrapText="1"/>
    </xf>
    <xf numFmtId="166" fontId="2" fillId="0" borderId="31" xfId="0" applyNumberFormat="1" applyFont="1" applyFill="1" applyBorder="1" applyAlignment="1">
      <alignment horizontal="right" vertical="center" wrapText="1"/>
    </xf>
    <xf numFmtId="0" fontId="2" fillId="0" borderId="30" xfId="0" applyFont="1" applyFill="1" applyBorder="1" applyAlignment="1">
      <alignment horizontal="center" vertical="center" wrapText="1"/>
    </xf>
    <xf numFmtId="0" fontId="2" fillId="0" borderId="21" xfId="0" applyFont="1" applyBorder="1" applyAlignment="1">
      <alignment horizontal="center" vertical="center" wrapText="1"/>
    </xf>
    <xf numFmtId="49" fontId="10" fillId="0" borderId="16" xfId="0" applyNumberFormat="1" applyFont="1" applyFill="1" applyBorder="1" applyAlignment="1">
      <alignment horizontal="center" vertical="center" wrapText="1"/>
    </xf>
    <xf numFmtId="166" fontId="11" fillId="0" borderId="17" xfId="0" applyNumberFormat="1" applyFont="1" applyFill="1" applyBorder="1" applyAlignment="1">
      <alignment horizontal="right" vertical="center" wrapText="1"/>
    </xf>
    <xf numFmtId="166" fontId="11" fillId="0" borderId="24" xfId="0" applyNumberFormat="1" applyFont="1" applyFill="1" applyBorder="1" applyAlignment="1">
      <alignment horizontal="right" vertical="center" wrapText="1"/>
    </xf>
    <xf numFmtId="165" fontId="11" fillId="0" borderId="17" xfId="1" applyNumberFormat="1" applyFont="1" applyFill="1" applyBorder="1" applyAlignment="1">
      <alignment horizontal="center" vertical="center" wrapText="1"/>
    </xf>
    <xf numFmtId="164" fontId="11" fillId="0" borderId="17" xfId="0" applyNumberFormat="1" applyFont="1" applyFill="1" applyBorder="1" applyAlignment="1">
      <alignment horizontal="center" vertical="center" wrapText="1"/>
    </xf>
    <xf numFmtId="3" fontId="11" fillId="0" borderId="17" xfId="0" applyNumberFormat="1" applyFont="1" applyFill="1" applyBorder="1" applyAlignment="1">
      <alignment horizontal="center" vertical="center" wrapText="1"/>
    </xf>
    <xf numFmtId="165" fontId="11" fillId="0" borderId="43" xfId="1" applyNumberFormat="1" applyFont="1" applyFill="1" applyBorder="1" applyAlignment="1">
      <alignment horizontal="center" vertical="center" wrapText="1"/>
    </xf>
    <xf numFmtId="17" fontId="6" fillId="0" borderId="10" xfId="0" applyNumberFormat="1" applyFont="1" applyBorder="1" applyAlignment="1">
      <alignment horizontal="center" wrapText="1"/>
    </xf>
    <xf numFmtId="17" fontId="6" fillId="0" borderId="11" xfId="0" applyNumberFormat="1" applyFont="1" applyBorder="1" applyAlignment="1">
      <alignment horizontal="center" wrapText="1"/>
    </xf>
    <xf numFmtId="17" fontId="6" fillId="0" borderId="12" xfId="0" applyNumberFormat="1" applyFont="1" applyBorder="1" applyAlignment="1">
      <alignment horizontal="center" wrapText="1"/>
    </xf>
    <xf numFmtId="17" fontId="1" fillId="0" borderId="8" xfId="0" applyNumberFormat="1" applyFont="1" applyFill="1" applyBorder="1" applyAlignment="1">
      <alignment horizontal="center" vertical="center" wrapText="1"/>
    </xf>
    <xf numFmtId="17" fontId="1" fillId="0" borderId="6" xfId="0" applyNumberFormat="1" applyFont="1" applyFill="1" applyBorder="1" applyAlignment="1">
      <alignment horizontal="center" vertical="center" wrapText="1"/>
    </xf>
    <xf numFmtId="17" fontId="1" fillId="0" borderId="7" xfId="0" applyNumberFormat="1" applyFont="1" applyFill="1" applyBorder="1" applyAlignment="1">
      <alignment horizontal="center" vertical="center" wrapText="1"/>
    </xf>
    <xf numFmtId="17" fontId="0" fillId="0" borderId="0" xfId="0" applyNumberFormat="1" applyAlignment="1">
      <alignment horizontal="center"/>
    </xf>
    <xf numFmtId="17" fontId="4" fillId="0" borderId="0" xfId="0" applyNumberFormat="1" applyFont="1" applyAlignment="1">
      <alignment horizontal="left" wrapText="1"/>
    </xf>
    <xf numFmtId="17" fontId="0" fillId="0" borderId="0" xfId="0" applyNumberFormat="1" applyAlignment="1">
      <alignment horizontal="left"/>
    </xf>
    <xf numFmtId="0" fontId="6" fillId="0" borderId="8"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wrapText="1"/>
    </xf>
    <xf numFmtId="0" fontId="6" fillId="0" borderId="6" xfId="0" applyFont="1" applyBorder="1" applyAlignment="1">
      <alignment horizontal="center"/>
    </xf>
    <xf numFmtId="0" fontId="6" fillId="0" borderId="7" xfId="0" applyFont="1" applyBorder="1" applyAlignment="1">
      <alignment horizontal="center"/>
    </xf>
    <xf numFmtId="0" fontId="2" fillId="0" borderId="13" xfId="0" applyFont="1" applyFill="1" applyBorder="1" applyAlignment="1">
      <alignment horizontal="center" wrapText="1"/>
    </xf>
    <xf numFmtId="0" fontId="0" fillId="0" borderId="0" xfId="0" applyFill="1"/>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manualLayout>
          <c:layoutTarget val="inner"/>
          <c:xMode val="edge"/>
          <c:yMode val="edge"/>
          <c:x val="7.1578456817298505E-2"/>
          <c:y val="1.6680736862600083E-2"/>
          <c:w val="0.9136566598176975"/>
          <c:h val="0.85708269675245818"/>
        </c:manualLayout>
      </c:layout>
      <c:barChart>
        <c:barDir val="col"/>
        <c:grouping val="clustered"/>
        <c:ser>
          <c:idx val="1"/>
          <c:order val="0"/>
          <c:tx>
            <c:strRef>
              <c:f>WithPerformance!$B$2</c:f>
              <c:strCache>
                <c:ptCount val="1"/>
                <c:pt idx="0">
                  <c:v>Engineer's Estimate</c:v>
                </c:pt>
              </c:strCache>
            </c:strRef>
          </c:tx>
          <c:spPr>
            <a:solidFill>
              <a:srgbClr val="0000FF"/>
            </a:solidFill>
            <a:ln w="12700">
              <a:solidFill>
                <a:srgbClr val="000000"/>
              </a:solidFill>
              <a:prstDash val="solid"/>
            </a:ln>
          </c:spPr>
          <c:dLbls>
            <c:delete val="1"/>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Oct-13</c:v>
                </c:pt>
                <c:pt idx="17">
                  <c:v>Nov-13</c:v>
                </c:pt>
                <c:pt idx="18">
                  <c:v>Dec-13</c:v>
                </c:pt>
                <c:pt idx="19">
                  <c:v> Jan-14</c:v>
                </c:pt>
                <c:pt idx="20">
                  <c:v>Feb-14</c:v>
                </c:pt>
                <c:pt idx="21">
                  <c:v>Mar-14</c:v>
                </c:pt>
                <c:pt idx="22">
                  <c:v>* Apr-14</c:v>
                </c:pt>
                <c:pt idx="23">
                  <c:v>* May-14</c:v>
                </c:pt>
                <c:pt idx="24">
                  <c:v>Jun-14</c:v>
                </c:pt>
                <c:pt idx="25">
                  <c:v>Jul 13 - Jun 14</c:v>
                </c:pt>
                <c:pt idx="26">
                  <c:v>Total</c:v>
                </c:pt>
              </c:strCache>
            </c:strRef>
          </c:cat>
          <c:val>
            <c:numRef>
              <c:f>WithPerformance!$B$3:$B$29</c:f>
              <c:numCache>
                <c:formatCode>"$"#,##0</c:formatCode>
                <c:ptCount val="27"/>
                <c:pt idx="0">
                  <c:v>324344704.50999999</c:v>
                </c:pt>
                <c:pt idx="1">
                  <c:v>376864727.33000004</c:v>
                </c:pt>
                <c:pt idx="2">
                  <c:v>510608479.64999998</c:v>
                </c:pt>
                <c:pt idx="3">
                  <c:v>783252992.55999994</c:v>
                </c:pt>
                <c:pt idx="4">
                  <c:v>205996003.5</c:v>
                </c:pt>
                <c:pt idx="5">
                  <c:v>94032650.609999999</c:v>
                </c:pt>
                <c:pt idx="6">
                  <c:v>115138540.42</c:v>
                </c:pt>
                <c:pt idx="7">
                  <c:v>63553977.689999998</c:v>
                </c:pt>
                <c:pt idx="8">
                  <c:v>86258663.980000004</c:v>
                </c:pt>
                <c:pt idx="9">
                  <c:v>125885500.15000001</c:v>
                </c:pt>
                <c:pt idx="10">
                  <c:v>148547033.87</c:v>
                </c:pt>
                <c:pt idx="11">
                  <c:v>33084358.350000001</c:v>
                </c:pt>
                <c:pt idx="12">
                  <c:v>2867567632.6200004</c:v>
                </c:pt>
                <c:pt idx="13">
                  <c:v>101578652.05</c:v>
                </c:pt>
                <c:pt idx="14">
                  <c:v>67879300.280000001</c:v>
                </c:pt>
                <c:pt idx="15">
                  <c:v>204165819.49000001</c:v>
                </c:pt>
                <c:pt idx="16">
                  <c:v>162182345.53</c:v>
                </c:pt>
                <c:pt idx="17">
                  <c:v>165502932.37</c:v>
                </c:pt>
                <c:pt idx="18">
                  <c:v>124415660.37</c:v>
                </c:pt>
                <c:pt idx="19">
                  <c:v>140813434.81999999</c:v>
                </c:pt>
                <c:pt idx="20">
                  <c:v>92385807</c:v>
                </c:pt>
                <c:pt idx="21">
                  <c:v>210853414</c:v>
                </c:pt>
                <c:pt idx="22">
                  <c:v>231265534</c:v>
                </c:pt>
                <c:pt idx="23">
                  <c:v>140508630</c:v>
                </c:pt>
                <c:pt idx="24">
                  <c:v>231614414</c:v>
                </c:pt>
                <c:pt idx="25">
                  <c:v>1873165943.9100001</c:v>
                </c:pt>
                <c:pt idx="26">
                  <c:v>4740733576.5300007</c:v>
                </c:pt>
              </c:numCache>
            </c:numRef>
          </c:val>
        </c:ser>
        <c:ser>
          <c:idx val="0"/>
          <c:order val="1"/>
          <c:tx>
            <c:strRef>
              <c:f>WithPerformance!$C$2</c:f>
              <c:strCache>
                <c:ptCount val="1"/>
                <c:pt idx="0">
                  <c:v>Low Bid</c:v>
                </c:pt>
              </c:strCache>
            </c:strRef>
          </c:tx>
          <c:spPr>
            <a:solidFill>
              <a:srgbClr val="993366"/>
            </a:solidFill>
            <a:ln w="12700">
              <a:solidFill>
                <a:srgbClr val="000000"/>
              </a:solidFill>
              <a:prstDash val="solid"/>
            </a:ln>
          </c:spPr>
          <c:dLbls>
            <c:delete val="1"/>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Oct-13</c:v>
                </c:pt>
                <c:pt idx="17">
                  <c:v>Nov-13</c:v>
                </c:pt>
                <c:pt idx="18">
                  <c:v>Dec-13</c:v>
                </c:pt>
                <c:pt idx="19">
                  <c:v> Jan-14</c:v>
                </c:pt>
                <c:pt idx="20">
                  <c:v>Feb-14</c:v>
                </c:pt>
                <c:pt idx="21">
                  <c:v>Mar-14</c:v>
                </c:pt>
                <c:pt idx="22">
                  <c:v>* Apr-14</c:v>
                </c:pt>
                <c:pt idx="23">
                  <c:v>* May-14</c:v>
                </c:pt>
                <c:pt idx="24">
                  <c:v>Jun-14</c:v>
                </c:pt>
                <c:pt idx="25">
                  <c:v>Jul 13 - Jun 14</c:v>
                </c:pt>
                <c:pt idx="26">
                  <c:v>Total</c:v>
                </c:pt>
              </c:strCache>
            </c:strRef>
          </c:cat>
          <c:val>
            <c:numRef>
              <c:f>WithPerformance!$C$3:$C$29</c:f>
              <c:numCache>
                <c:formatCode>"$"#,##0</c:formatCode>
                <c:ptCount val="27"/>
                <c:pt idx="0">
                  <c:v>282585115.10000002</c:v>
                </c:pt>
                <c:pt idx="1">
                  <c:v>330982460.76999998</c:v>
                </c:pt>
                <c:pt idx="2">
                  <c:v>465296642.81999999</c:v>
                </c:pt>
                <c:pt idx="3">
                  <c:v>703867617.39999998</c:v>
                </c:pt>
                <c:pt idx="4">
                  <c:v>185618567.77000001</c:v>
                </c:pt>
                <c:pt idx="5">
                  <c:v>87155581.719999999</c:v>
                </c:pt>
                <c:pt idx="6">
                  <c:v>105448173.59999999</c:v>
                </c:pt>
                <c:pt idx="7">
                  <c:v>60906336.5</c:v>
                </c:pt>
                <c:pt idx="8">
                  <c:v>80216996.5</c:v>
                </c:pt>
                <c:pt idx="9">
                  <c:v>122939214</c:v>
                </c:pt>
                <c:pt idx="10">
                  <c:v>142415485.09</c:v>
                </c:pt>
                <c:pt idx="11">
                  <c:v>32859582.600000001</c:v>
                </c:pt>
                <c:pt idx="12">
                  <c:v>2600291773.8700004</c:v>
                </c:pt>
                <c:pt idx="13">
                  <c:v>102192668.34999999</c:v>
                </c:pt>
                <c:pt idx="14">
                  <c:v>61238911.229999997</c:v>
                </c:pt>
                <c:pt idx="15">
                  <c:v>173258066.06</c:v>
                </c:pt>
                <c:pt idx="16">
                  <c:v>146432319.91999999</c:v>
                </c:pt>
                <c:pt idx="17">
                  <c:v>144277480.63</c:v>
                </c:pt>
                <c:pt idx="18">
                  <c:v>119060555.56999999</c:v>
                </c:pt>
                <c:pt idx="19">
                  <c:v>137191609</c:v>
                </c:pt>
                <c:pt idx="20">
                  <c:v>83500057</c:v>
                </c:pt>
                <c:pt idx="21">
                  <c:v>184251324</c:v>
                </c:pt>
                <c:pt idx="22">
                  <c:v>205255562</c:v>
                </c:pt>
                <c:pt idx="23">
                  <c:v>134448039</c:v>
                </c:pt>
                <c:pt idx="24">
                  <c:v>221633094</c:v>
                </c:pt>
                <c:pt idx="25">
                  <c:v>1712739686.76</c:v>
                </c:pt>
                <c:pt idx="26">
                  <c:v>4313031460.6300001</c:v>
                </c:pt>
              </c:numCache>
            </c:numRef>
          </c:val>
        </c:ser>
        <c:dLbls>
          <c:showVal val="1"/>
        </c:dLbls>
        <c:axId val="94499968"/>
        <c:axId val="94501504"/>
      </c:barChart>
      <c:lineChart>
        <c:grouping val="standard"/>
        <c:ser>
          <c:idx val="2"/>
          <c:order val="2"/>
          <c:tx>
            <c:strRef>
              <c:f>WithPerformance!$D$2</c:f>
              <c:strCache>
                <c:ptCount val="1"/>
                <c:pt idx="0">
                  <c:v>Low Bid vs. EE</c:v>
                </c:pt>
              </c:strCache>
            </c:strRef>
          </c:tx>
          <c:spPr>
            <a:ln w="28575">
              <a:noFill/>
            </a:ln>
          </c:spPr>
          <c:marker>
            <c:symbol val="none"/>
          </c:marker>
          <c:dLbls>
            <c:dLbl>
              <c:idx val="0"/>
              <c:layout>
                <c:manualLayout>
                  <c:x val="-3.0087273256709159E-2"/>
                  <c:y val="6.6520647122502108E-2"/>
                </c:manualLayout>
              </c:layout>
              <c:dLblPos val="r"/>
              <c:showVal val="1"/>
              <c:separator> </c:separator>
            </c:dLbl>
            <c:dLbl>
              <c:idx val="1"/>
              <c:layout>
                <c:manualLayout>
                  <c:x val="-2.8672553601189497E-2"/>
                  <c:y val="8.9778982757870912E-2"/>
                </c:manualLayout>
              </c:layout>
              <c:dLblPos val="r"/>
              <c:showVal val="1"/>
              <c:separator> </c:separator>
            </c:dLbl>
            <c:dLbl>
              <c:idx val="2"/>
              <c:layout>
                <c:manualLayout>
                  <c:x val="-3.07856117814852E-2"/>
                  <c:y val="0.22356488701147545"/>
                </c:manualLayout>
              </c:layout>
              <c:dLblPos val="r"/>
              <c:showVal val="1"/>
              <c:separator> </c:separator>
            </c:dLbl>
            <c:dLbl>
              <c:idx val="3"/>
              <c:layout>
                <c:manualLayout>
                  <c:x val="-2.6135127056295091E-2"/>
                  <c:y val="0.13162890856414169"/>
                </c:manualLayout>
              </c:layout>
              <c:dLblPos val="r"/>
              <c:showVal val="1"/>
              <c:separator> </c:separator>
            </c:dLbl>
            <c:dLbl>
              <c:idx val="4"/>
              <c:layout>
                <c:manualLayout>
                  <c:x val="-2.1690228203993384E-2"/>
                  <c:y val="0.22168316097533847"/>
                </c:manualLayout>
              </c:layout>
              <c:dLblPos val="r"/>
              <c:showVal val="1"/>
              <c:separator> </c:separator>
            </c:dLbl>
            <c:dLbl>
              <c:idx val="5"/>
              <c:layout>
                <c:manualLayout>
                  <c:x val="-2.3628596168165938E-2"/>
                  <c:y val="0.35672949256539599"/>
                </c:manualLayout>
              </c:layout>
              <c:dLblPos val="r"/>
              <c:showVal val="1"/>
              <c:separator> </c:separator>
            </c:dLbl>
            <c:dLbl>
              <c:idx val="6"/>
              <c:layout>
                <c:manualLayout>
                  <c:x val="-2.6100127852733641E-2"/>
                  <c:y val="0.27479224740458891"/>
                </c:manualLayout>
              </c:layout>
              <c:dLblPos val="r"/>
              <c:showVal val="1"/>
              <c:separator> </c:separator>
            </c:dLbl>
            <c:dLbl>
              <c:idx val="7"/>
              <c:layout>
                <c:manualLayout>
                  <c:x val="-2.6026271265690619E-2"/>
                  <c:y val="0.51150546579139822"/>
                </c:manualLayout>
              </c:layout>
              <c:dLblPos val="r"/>
              <c:showVal val="1"/>
              <c:separator> </c:separator>
            </c:dLbl>
            <c:dLbl>
              <c:idx val="8"/>
              <c:layout>
                <c:manualLayout>
                  <c:x val="-2.2522952036760746E-2"/>
                  <c:y val="0.37636470998054411"/>
                </c:manualLayout>
              </c:layout>
              <c:dLblPos val="r"/>
              <c:showVal val="1"/>
              <c:separator> </c:separator>
            </c:dLbl>
            <c:dLbl>
              <c:idx val="9"/>
              <c:layout>
                <c:manualLayout>
                  <c:x val="-2.2548673236228448E-2"/>
                  <c:y val="0.5821981186215377"/>
                </c:manualLayout>
              </c:layout>
              <c:dLblPos val="r"/>
              <c:showVal val="1"/>
              <c:separator> </c:separator>
            </c:dLbl>
            <c:dLbl>
              <c:idx val="10"/>
              <c:layout>
                <c:manualLayout>
                  <c:x val="-2.4678939720715571E-2"/>
                  <c:y val="0.50807182265393502"/>
                </c:manualLayout>
              </c:layout>
              <c:dLblPos val="r"/>
              <c:showVal val="1"/>
              <c:separator> </c:separator>
            </c:dLbl>
            <c:dLbl>
              <c:idx val="11"/>
              <c:layout>
                <c:manualLayout>
                  <c:x val="-2.0130672902035272E-2"/>
                  <c:y val="0.70066304576856753"/>
                </c:manualLayout>
              </c:layout>
              <c:dLblPos val="r"/>
              <c:showVal val="1"/>
              <c:separator> </c:separator>
            </c:dLbl>
            <c:dLbl>
              <c:idx val="12"/>
              <c:layout>
                <c:manualLayout>
                  <c:x val="-2.4686288634849188E-2"/>
                  <c:y val="-0.15370737682949359"/>
                </c:manualLayout>
              </c:layout>
              <c:dLblPos val="r"/>
              <c:showVal val="1"/>
              <c:separator> </c:separator>
            </c:dLbl>
            <c:dLbl>
              <c:idx val="13"/>
              <c:layout>
                <c:manualLayout>
                  <c:x val="-2.2040621932804746E-2"/>
                  <c:y val="0.6994572640715313"/>
                </c:manualLayout>
              </c:layout>
              <c:dLblPos val="r"/>
              <c:showVal val="1"/>
              <c:separator> </c:separator>
            </c:dLbl>
            <c:dLbl>
              <c:idx val="14"/>
              <c:layout>
                <c:manualLayout>
                  <c:x val="-2.707946252246704E-2"/>
                  <c:y val="0.24896847814417225"/>
                </c:manualLayout>
              </c:layout>
              <c:dLblPos val="r"/>
              <c:showVal val="1"/>
              <c:separator> </c:separator>
            </c:dLbl>
            <c:dLbl>
              <c:idx val="15"/>
              <c:layout>
                <c:manualLayout>
                  <c:x val="-2.5973359083928473E-2"/>
                  <c:y val="-2.5675664194258235E-2"/>
                </c:manualLayout>
              </c:layout>
              <c:dLblPos val="r"/>
              <c:showVal val="1"/>
              <c:separator> </c:separator>
            </c:dLbl>
            <c:dLbl>
              <c:idx val="16"/>
              <c:layout>
                <c:manualLayout>
                  <c:x val="-2.1873767334480872E-2"/>
                  <c:y val="0.20577084535359458"/>
                </c:manualLayout>
              </c:layout>
              <c:dLblPos val="r"/>
              <c:showVal val="1"/>
              <c:separator> </c:separator>
            </c:dLbl>
            <c:dLbl>
              <c:idx val="17"/>
              <c:layout>
                <c:manualLayout>
                  <c:x val="-2.4254631790924776E-2"/>
                  <c:y val="9.6756054929021562E-2"/>
                </c:manualLayout>
              </c:layout>
              <c:dLblPos val="r"/>
              <c:showVal val="1"/>
              <c:separator> </c:separator>
            </c:dLbl>
            <c:dLbl>
              <c:idx val="18"/>
              <c:layout>
                <c:manualLayout>
                  <c:x val="-2.2501548324346546E-2"/>
                  <c:y val="0.47538964956062824"/>
                </c:manualLayout>
              </c:layout>
              <c:dLblPos val="r"/>
              <c:showVal val="1"/>
              <c:separator> </c:separator>
            </c:dLbl>
            <c:dLbl>
              <c:idx val="19"/>
              <c:layout>
                <c:manualLayout>
                  <c:x val="-2.3298813646419145E-2"/>
                  <c:y val="0.58116466580004855"/>
                </c:manualLayout>
              </c:layout>
              <c:dLblPos val="r"/>
              <c:showVal val="1"/>
              <c:separator> </c:separator>
            </c:dLbl>
            <c:dLbl>
              <c:idx val="20"/>
              <c:layout>
                <c:manualLayout>
                  <c:x val="-2.7756481237027994E-2"/>
                  <c:y val="0.22001886167257156"/>
                </c:manualLayout>
              </c:layout>
              <c:dLblPos val="r"/>
              <c:showVal val="1"/>
              <c:separator> </c:separator>
            </c:dLbl>
            <c:dLbl>
              <c:idx val="21"/>
              <c:layout>
                <c:manualLayout>
                  <c:x val="-2.8938554075423006E-2"/>
                  <c:y val="9.4419007190143733E-2"/>
                </c:manualLayout>
              </c:layout>
              <c:dLblPos val="r"/>
              <c:showVal val="1"/>
              <c:separator> </c:separator>
            </c:dLbl>
            <c:dLbl>
              <c:idx val="22"/>
              <c:layout>
                <c:manualLayout>
                  <c:x val="-2.6596363279607259E-2"/>
                  <c:y val="0.13479453366793123"/>
                </c:manualLayout>
              </c:layout>
              <c:dLblPos val="r"/>
              <c:showVal val="1"/>
              <c:separator> </c:separator>
            </c:dLbl>
            <c:dLbl>
              <c:idx val="23"/>
              <c:layout>
                <c:manualLayout>
                  <c:x val="-2.8946454158116641E-2"/>
                  <c:y val="0.49141415428724616"/>
                </c:manualLayout>
              </c:layout>
              <c:dLblPos val="r"/>
              <c:showVal val="1"/>
              <c:separator> </c:separator>
            </c:dLbl>
            <c:dLbl>
              <c:idx val="24"/>
              <c:layout>
                <c:manualLayout>
                  <c:x val="-2.5448387995424541E-2"/>
                  <c:y val="0.42005946301375541"/>
                </c:manualLayout>
              </c:layout>
              <c:dLblPos val="r"/>
              <c:showVal val="1"/>
              <c:separator> </c:separator>
            </c:dLbl>
            <c:dLbl>
              <c:idx val="25"/>
              <c:layout>
                <c:manualLayout>
                  <c:x val="-3.1191639287368449E-2"/>
                  <c:y val="4.0841275395094849E-2"/>
                </c:manualLayout>
              </c:layout>
              <c:dLblPos val="r"/>
              <c:showVal val="1"/>
              <c:separator> </c:separator>
            </c:dLbl>
            <c:dLbl>
              <c:idx val="26"/>
              <c:layout>
                <c:manualLayout>
                  <c:x val="-2.1499284403286401E-2"/>
                  <c:y val="-0.44526481416864888"/>
                </c:manualLayout>
              </c:layout>
              <c:dLblPos val="r"/>
              <c:showVal val="1"/>
              <c:separator> </c:separator>
            </c:dLbl>
            <c:numFmt formatCode="0.0%" sourceLinked="0"/>
            <c:spPr>
              <a:noFill/>
              <a:ln w="25400">
                <a:noFill/>
              </a:ln>
            </c:spPr>
            <c:txPr>
              <a:bodyPr/>
              <a:lstStyle/>
              <a:p>
                <a:pPr algn="just">
                  <a:defRPr sz="900" b="1" i="0" u="none" strike="noStrike" baseline="0">
                    <a:solidFill>
                      <a:srgbClr val="000000"/>
                    </a:solidFill>
                    <a:latin typeface="Arial"/>
                    <a:ea typeface="Arial"/>
                    <a:cs typeface="Arial"/>
                  </a:defRPr>
                </a:pPr>
                <a:endParaRPr lang="en-US"/>
              </a:p>
            </c:txPr>
            <c:dLblPos val="b"/>
            <c:showVal val="1"/>
            <c:separator> </c:separator>
          </c:dLbls>
          <c:cat>
            <c:strRef>
              <c:f>WithPerformance!$A$3:$A$29</c:f>
              <c:strCache>
                <c:ptCount val="27"/>
                <c:pt idx="0">
                  <c:v>Jul-12</c:v>
                </c:pt>
                <c:pt idx="1">
                  <c:v>Aug-12</c:v>
                </c:pt>
                <c:pt idx="2">
                  <c:v>Sep-12</c:v>
                </c:pt>
                <c:pt idx="3">
                  <c:v>Oct-12</c:v>
                </c:pt>
                <c:pt idx="4">
                  <c:v>Nov-12</c:v>
                </c:pt>
                <c:pt idx="5">
                  <c:v>Dec-12</c:v>
                </c:pt>
                <c:pt idx="6">
                  <c:v>Jan-13</c:v>
                </c:pt>
                <c:pt idx="7">
                  <c:v>Feb-13</c:v>
                </c:pt>
                <c:pt idx="8">
                  <c:v>Mar-13</c:v>
                </c:pt>
                <c:pt idx="9">
                  <c:v>Apr-13</c:v>
                </c:pt>
                <c:pt idx="10">
                  <c:v>May-13</c:v>
                </c:pt>
                <c:pt idx="11">
                  <c:v>Jun-13</c:v>
                </c:pt>
                <c:pt idx="12">
                  <c:v>Jul 12 to Jun 13</c:v>
                </c:pt>
                <c:pt idx="13">
                  <c:v>Jul-13</c:v>
                </c:pt>
                <c:pt idx="14">
                  <c:v> Aug-13</c:v>
                </c:pt>
                <c:pt idx="15">
                  <c:v> Sept-13</c:v>
                </c:pt>
                <c:pt idx="16">
                  <c:v>Oct-13</c:v>
                </c:pt>
                <c:pt idx="17">
                  <c:v>Nov-13</c:v>
                </c:pt>
                <c:pt idx="18">
                  <c:v>Dec-13</c:v>
                </c:pt>
                <c:pt idx="19">
                  <c:v> Jan-14</c:v>
                </c:pt>
                <c:pt idx="20">
                  <c:v>Feb-14</c:v>
                </c:pt>
                <c:pt idx="21">
                  <c:v>Mar-14</c:v>
                </c:pt>
                <c:pt idx="22">
                  <c:v>* Apr-14</c:v>
                </c:pt>
                <c:pt idx="23">
                  <c:v>* May-14</c:v>
                </c:pt>
                <c:pt idx="24">
                  <c:v>Jun-14</c:v>
                </c:pt>
                <c:pt idx="25">
                  <c:v>Jul 13 - Jun 14</c:v>
                </c:pt>
                <c:pt idx="26">
                  <c:v>Total</c:v>
                </c:pt>
              </c:strCache>
            </c:strRef>
          </c:cat>
          <c:val>
            <c:numRef>
              <c:f>WithPerformance!$D$3:$D$29</c:f>
              <c:numCache>
                <c:formatCode>0.0%</c:formatCode>
                <c:ptCount val="27"/>
                <c:pt idx="0">
                  <c:v>-0.12875064346460591</c:v>
                </c:pt>
                <c:pt idx="1">
                  <c:v>-0.1217473093994903</c:v>
                </c:pt>
                <c:pt idx="2">
                  <c:v>-8.8740862394332515E-2</c:v>
                </c:pt>
                <c:pt idx="3">
                  <c:v>-0.10135342719921848</c:v>
                </c:pt>
                <c:pt idx="4">
                  <c:v>-9.8921510047645114E-2</c:v>
                </c:pt>
                <c:pt idx="5">
                  <c:v>-7.3134904157095532E-2</c:v>
                </c:pt>
                <c:pt idx="6">
                  <c:v>-8.4162668596038187E-2</c:v>
                </c:pt>
                <c:pt idx="7">
                  <c:v>-4.1659724319923958E-2</c:v>
                </c:pt>
                <c:pt idx="8">
                  <c:v>-7.0041282825813636E-2</c:v>
                </c:pt>
                <c:pt idx="9">
                  <c:v>-2.3404491752341071E-2</c:v>
                </c:pt>
                <c:pt idx="10">
                  <c:v>-4.1276817316769764E-2</c:v>
                </c:pt>
                <c:pt idx="11">
                  <c:v>-6.7940187209343294E-3</c:v>
                </c:pt>
                <c:pt idx="12">
                  <c:v>-9.3206470776697609E-2</c:v>
                </c:pt>
                <c:pt idx="13">
                  <c:v>6.0447376255569939E-3</c:v>
                </c:pt>
                <c:pt idx="14">
                  <c:v>-9.7826421642659936E-2</c:v>
                </c:pt>
                <c:pt idx="15">
                  <c:v>-0.15138554292391662</c:v>
                </c:pt>
                <c:pt idx="16">
                  <c:v>-9.7113070837211574E-2</c:v>
                </c:pt>
                <c:pt idx="17">
                  <c:v>-0.12824819135257481</c:v>
                </c:pt>
                <c:pt idx="18">
                  <c:v>-4.3042047794260414E-2</c:v>
                </c:pt>
                <c:pt idx="19">
                  <c:v>-2.5720740528982381E-2</c:v>
                </c:pt>
                <c:pt idx="20">
                  <c:v>-9.6180899301989101E-2</c:v>
                </c:pt>
                <c:pt idx="21">
                  <c:v>-0.12616390455978105</c:v>
                </c:pt>
                <c:pt idx="22">
                  <c:v>-0.11246799966310587</c:v>
                </c:pt>
                <c:pt idx="23">
                  <c:v>-4.3133229610167002E-2</c:v>
                </c:pt>
                <c:pt idx="24">
                  <c:v>-4.3094554555659047E-2</c:v>
                </c:pt>
                <c:pt idx="25">
                  <c:v>-8.5644444728228561E-2</c:v>
                </c:pt>
                <c:pt idx="26">
                  <c:v>-9.0218551410994691E-2</c:v>
                </c:pt>
              </c:numCache>
            </c:numRef>
          </c:val>
        </c:ser>
        <c:dLbls>
          <c:showVal val="1"/>
        </c:dLbls>
        <c:marker val="1"/>
        <c:axId val="94538368"/>
        <c:axId val="94536832"/>
      </c:lineChart>
      <c:catAx>
        <c:axId val="94499968"/>
        <c:scaling>
          <c:orientation val="minMax"/>
        </c:scaling>
        <c:axPos val="b"/>
        <c:numFmt formatCode="mmm\-yy" sourceLinked="1"/>
        <c:majorTickMark val="cross"/>
        <c:tickLblPos val="nextTo"/>
        <c:spPr>
          <a:ln w="3175">
            <a:solidFill>
              <a:srgbClr val="000000"/>
            </a:solidFill>
            <a:prstDash val="solid"/>
          </a:ln>
        </c:spPr>
        <c:txPr>
          <a:bodyPr rot="-2700000" vert="horz"/>
          <a:lstStyle/>
          <a:p>
            <a:pPr>
              <a:defRPr sz="1000" b="1" i="0" u="none" strike="noStrike" baseline="0">
                <a:solidFill>
                  <a:srgbClr val="000000"/>
                </a:solidFill>
                <a:latin typeface="Arial"/>
                <a:ea typeface="Arial"/>
                <a:cs typeface="Arial"/>
              </a:defRPr>
            </a:pPr>
            <a:endParaRPr lang="en-US"/>
          </a:p>
        </c:txPr>
        <c:crossAx val="94501504"/>
        <c:crosses val="autoZero"/>
        <c:lblAlgn val="ctr"/>
        <c:lblOffset val="100"/>
        <c:tickLblSkip val="1"/>
        <c:tickMarkSkip val="1"/>
      </c:catAx>
      <c:valAx>
        <c:axId val="94501504"/>
        <c:scaling>
          <c:orientation val="minMax"/>
          <c:max val="5500000000"/>
          <c:min val="0"/>
        </c:scaling>
        <c:axPos val="l"/>
        <c:title>
          <c:tx>
            <c:rich>
              <a:bodyPr/>
              <a:lstStyle/>
              <a:p>
                <a:pPr>
                  <a:defRPr sz="950" b="1" i="0" u="none" strike="noStrike" baseline="0">
                    <a:solidFill>
                      <a:srgbClr val="000000"/>
                    </a:solidFill>
                    <a:latin typeface="Arial"/>
                    <a:ea typeface="Arial"/>
                    <a:cs typeface="Arial"/>
                  </a:defRPr>
                </a:pPr>
                <a:r>
                  <a:rPr lang="en-US"/>
                  <a:t> Amount in Millions  </a:t>
                </a:r>
              </a:p>
            </c:rich>
          </c:tx>
          <c:layout>
            <c:manualLayout>
              <c:xMode val="edge"/>
              <c:yMode val="edge"/>
              <c:x val="4.7170259786890765E-3"/>
              <c:y val="0.26654421662638123"/>
            </c:manualLayout>
          </c:layout>
          <c:spPr>
            <a:noFill/>
            <a:ln w="25400">
              <a:noFill/>
            </a:ln>
          </c:spPr>
        </c:title>
        <c:numFmt formatCode="\$#,##0" sourceLinked="0"/>
        <c:majorTickMark val="cross"/>
        <c:tickLblPos val="nextTo"/>
        <c:spPr>
          <a:ln w="12700">
            <a:solidFill>
              <a:srgbClr val="000000"/>
            </a:solidFill>
            <a:prstDash val="solid"/>
          </a:ln>
        </c:spPr>
        <c:txPr>
          <a:bodyPr rot="0" vert="horz"/>
          <a:lstStyle/>
          <a:p>
            <a:pPr>
              <a:defRPr sz="900" b="1" i="0" u="none" strike="noStrike" baseline="0">
                <a:solidFill>
                  <a:srgbClr val="000000"/>
                </a:solidFill>
                <a:latin typeface="Arial"/>
                <a:ea typeface="Arial"/>
                <a:cs typeface="Arial"/>
              </a:defRPr>
            </a:pPr>
            <a:endParaRPr lang="en-US"/>
          </a:p>
        </c:txPr>
        <c:crossAx val="94499968"/>
        <c:crosses val="autoZero"/>
        <c:crossBetween val="between"/>
        <c:majorUnit val="250000000"/>
        <c:minorUnit val="100000000"/>
        <c:dispUnits>
          <c:builtInUnit val="millions"/>
        </c:dispUnits>
      </c:valAx>
      <c:valAx>
        <c:axId val="94536832"/>
        <c:scaling>
          <c:orientation val="minMax"/>
        </c:scaling>
        <c:axPos val="r"/>
        <c:numFmt formatCode="0%" sourceLinked="0"/>
        <c:majorTickMark val="none"/>
        <c:tickLblPos val="none"/>
        <c:crossAx val="94538368"/>
        <c:crosses val="max"/>
        <c:crossBetween val="between"/>
      </c:valAx>
      <c:catAx>
        <c:axId val="94538368"/>
        <c:scaling>
          <c:orientation val="minMax"/>
        </c:scaling>
        <c:delete val="1"/>
        <c:axPos val="b"/>
        <c:tickLblPos val="none"/>
        <c:crossAx val="94536832"/>
        <c:crosses val="autoZero"/>
        <c:lblAlgn val="ctr"/>
        <c:lblOffset val="100"/>
      </c:catAx>
      <c:spPr>
        <a:gradFill rotWithShape="0">
          <a:gsLst>
            <a:gs pos="0">
              <a:srgbClr val="E3E3E3"/>
            </a:gs>
            <a:gs pos="100000">
              <a:srgbClr val="FFFFFF"/>
            </a:gs>
          </a:gsLst>
          <a:lin ang="5400000" scaled="1"/>
        </a:gradFill>
        <a:ln w="12700">
          <a:solidFill>
            <a:srgbClr val="808080"/>
          </a:solidFill>
          <a:prstDash val="solid"/>
        </a:ln>
      </c:spPr>
    </c:plotArea>
    <c:legend>
      <c:legendPos val="r"/>
      <c:legendEntry>
        <c:idx val="2"/>
        <c:delete val="1"/>
      </c:legendEntry>
      <c:layout>
        <c:manualLayout>
          <c:xMode val="edge"/>
          <c:yMode val="edge"/>
          <c:x val="0.13420661932445366"/>
          <c:y val="0.19335716540165618"/>
          <c:w val="0.16074176807444523"/>
          <c:h val="6.9384683350227835E-2"/>
        </c:manualLayout>
      </c:layou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22225">
      <a:solidFill>
        <a:schemeClr val="tx1"/>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oddHeader>&amp;CFY 09/10 to  FY 10/11 Combined Chart</c:oddHeader>
      <c:oddFooter>&amp;CPage &amp;P</c:oddFooter>
    </c:headerFooter>
    <c:pageMargins b="1" l="0.75000000000001421" r="0.75000000000001421" t="1" header="0.5" footer="0.5"/>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6803</xdr:rowOff>
    </xdr:from>
    <xdr:to>
      <xdr:col>10</xdr:col>
      <xdr:colOff>928007</xdr:colOff>
      <xdr:row>60</xdr:row>
      <xdr:rowOff>68036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pageSetUpPr fitToPage="1"/>
  </sheetPr>
  <dimension ref="A1:M59"/>
  <sheetViews>
    <sheetView tabSelected="1" topLeftCell="A2" zoomScale="90" zoomScaleNormal="90" workbookViewId="0">
      <pane ySplit="1875" topLeftCell="A31" activePane="bottomLeft"/>
      <selection activeCell="F2" sqref="F1:J1048576"/>
      <selection pane="bottomLeft" activeCell="I27" sqref="I27"/>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style="147" customWidth="1"/>
    <col min="7" max="7" width="12.5703125" style="147" customWidth="1"/>
    <col min="8" max="9" width="12.7109375" style="147" customWidth="1"/>
    <col min="10" max="10" width="13.7109375" style="147" customWidth="1"/>
    <col min="11" max="11" width="14.5703125" customWidth="1"/>
    <col min="13" max="13" width="23.42578125" customWidth="1"/>
    <col min="14" max="14" width="21.28515625" customWidth="1"/>
    <col min="15" max="15" width="9.28515625" bestFit="1" customWidth="1"/>
    <col min="17" max="17" width="12.42578125" customWidth="1"/>
  </cols>
  <sheetData>
    <row r="1" spans="1:13" ht="39.75" customHeight="1" thickBot="1">
      <c r="A1" s="131" t="s">
        <v>105</v>
      </c>
      <c r="B1" s="132"/>
      <c r="C1" s="132"/>
      <c r="D1" s="132"/>
      <c r="E1" s="132"/>
      <c r="F1" s="132"/>
      <c r="G1" s="132"/>
      <c r="H1" s="132"/>
      <c r="I1" s="132"/>
      <c r="J1" s="132"/>
      <c r="K1" s="133"/>
    </row>
    <row r="2" spans="1:13" s="2" customFormat="1" ht="54.75" customHeight="1" thickBot="1">
      <c r="A2" s="12" t="s">
        <v>3</v>
      </c>
      <c r="B2" s="44" t="s">
        <v>4</v>
      </c>
      <c r="C2" s="14" t="s">
        <v>2</v>
      </c>
      <c r="D2" s="15" t="s">
        <v>6</v>
      </c>
      <c r="E2" s="16" t="s">
        <v>7</v>
      </c>
      <c r="F2" s="15" t="s">
        <v>1</v>
      </c>
      <c r="G2" s="146" t="s">
        <v>5</v>
      </c>
      <c r="H2" s="55" t="s">
        <v>33</v>
      </c>
      <c r="I2" s="55" t="s">
        <v>8</v>
      </c>
      <c r="J2" s="55" t="s">
        <v>9</v>
      </c>
      <c r="K2" s="19" t="s">
        <v>40</v>
      </c>
    </row>
    <row r="3" spans="1:13" s="6" customFormat="1" ht="21.95" customHeight="1">
      <c r="A3" s="20">
        <v>41105</v>
      </c>
      <c r="B3" s="78">
        <v>324344704.50999999</v>
      </c>
      <c r="C3" s="79">
        <v>282585115.10000002</v>
      </c>
      <c r="D3" s="21">
        <f t="shared" ref="D3:D14" si="0">(C3-B3)/B3</f>
        <v>-0.12875064346460591</v>
      </c>
      <c r="E3" s="22">
        <v>5.5714285714285712</v>
      </c>
      <c r="F3" s="23">
        <v>28</v>
      </c>
      <c r="G3" s="23">
        <v>15</v>
      </c>
      <c r="H3" s="23">
        <v>9</v>
      </c>
      <c r="I3" s="23">
        <v>4</v>
      </c>
      <c r="J3" s="23">
        <f t="shared" ref="J3:J6" si="1">SUM(G3:H3)</f>
        <v>24</v>
      </c>
      <c r="K3" s="101">
        <f t="shared" ref="K3:K14" si="2">H3/F3</f>
        <v>0.32142857142857145</v>
      </c>
      <c r="M3" s="5"/>
    </row>
    <row r="4" spans="1:13" s="6" customFormat="1" ht="21.95" customHeight="1">
      <c r="A4" s="25">
        <v>41132</v>
      </c>
      <c r="B4" s="82">
        <v>376864727.33000004</v>
      </c>
      <c r="C4" s="81">
        <v>330982460.76999998</v>
      </c>
      <c r="D4" s="26">
        <f t="shared" si="0"/>
        <v>-0.1217473093994903</v>
      </c>
      <c r="E4" s="27">
        <v>5.8</v>
      </c>
      <c r="F4" s="28">
        <v>25</v>
      </c>
      <c r="G4" s="28">
        <v>14</v>
      </c>
      <c r="H4" s="28">
        <v>7</v>
      </c>
      <c r="I4" s="28">
        <v>4</v>
      </c>
      <c r="J4" s="28">
        <f t="shared" si="1"/>
        <v>21</v>
      </c>
      <c r="K4" s="102">
        <f t="shared" si="2"/>
        <v>0.28000000000000003</v>
      </c>
      <c r="M4" s="5"/>
    </row>
    <row r="5" spans="1:13" s="6" customFormat="1" ht="21.95" customHeight="1">
      <c r="A5" s="25">
        <v>41163</v>
      </c>
      <c r="B5" s="82">
        <v>510608479.64999998</v>
      </c>
      <c r="C5" s="81">
        <v>465296642.81999999</v>
      </c>
      <c r="D5" s="26">
        <f t="shared" si="0"/>
        <v>-8.8740862394332515E-2</v>
      </c>
      <c r="E5" s="27">
        <v>5.8823529409999997</v>
      </c>
      <c r="F5" s="28">
        <v>34</v>
      </c>
      <c r="G5" s="28">
        <v>16</v>
      </c>
      <c r="H5" s="28">
        <v>16</v>
      </c>
      <c r="I5" s="28">
        <v>2</v>
      </c>
      <c r="J5" s="28">
        <f t="shared" si="1"/>
        <v>32</v>
      </c>
      <c r="K5" s="102">
        <f t="shared" si="2"/>
        <v>0.47058823529411764</v>
      </c>
      <c r="M5" s="5"/>
    </row>
    <row r="6" spans="1:13" s="6" customFormat="1" ht="21.95" customHeight="1">
      <c r="A6" s="25">
        <v>41193</v>
      </c>
      <c r="B6" s="82">
        <v>783252992.55999994</v>
      </c>
      <c r="C6" s="81">
        <v>703867617.39999998</v>
      </c>
      <c r="D6" s="26">
        <f t="shared" si="0"/>
        <v>-0.10135342719921848</v>
      </c>
      <c r="E6" s="27">
        <v>5.5813953490000001</v>
      </c>
      <c r="F6" s="28">
        <v>44</v>
      </c>
      <c r="G6" s="28">
        <v>25</v>
      </c>
      <c r="H6" s="28">
        <v>9</v>
      </c>
      <c r="I6" s="28">
        <v>9</v>
      </c>
      <c r="J6" s="28">
        <f t="shared" si="1"/>
        <v>34</v>
      </c>
      <c r="K6" s="102">
        <f t="shared" si="2"/>
        <v>0.20454545454545456</v>
      </c>
      <c r="M6" s="5"/>
    </row>
    <row r="7" spans="1:13" s="6" customFormat="1" ht="21.95" customHeight="1">
      <c r="A7" s="25">
        <v>41224</v>
      </c>
      <c r="B7" s="82">
        <v>205996003.5</v>
      </c>
      <c r="C7" s="81">
        <v>185618567.77000001</v>
      </c>
      <c r="D7" s="26">
        <f t="shared" si="0"/>
        <v>-9.8921510047645114E-2</v>
      </c>
      <c r="E7" s="27">
        <v>6.1290322579999996</v>
      </c>
      <c r="F7" s="28">
        <v>31</v>
      </c>
      <c r="G7" s="28">
        <v>14</v>
      </c>
      <c r="H7" s="28">
        <v>13</v>
      </c>
      <c r="I7" s="28">
        <v>4</v>
      </c>
      <c r="J7" s="28">
        <f>SUM(G7:H7)</f>
        <v>27</v>
      </c>
      <c r="K7" s="102">
        <f t="shared" si="2"/>
        <v>0.41935483870967744</v>
      </c>
      <c r="M7" s="5"/>
    </row>
    <row r="8" spans="1:13" s="6" customFormat="1" ht="21.95" customHeight="1">
      <c r="A8" s="25">
        <v>41254</v>
      </c>
      <c r="B8" s="82">
        <v>94032650.609999999</v>
      </c>
      <c r="C8" s="81">
        <v>87155581.719999999</v>
      </c>
      <c r="D8" s="26">
        <f t="shared" si="0"/>
        <v>-7.3134904157095532E-2</v>
      </c>
      <c r="E8" s="27">
        <v>7.5</v>
      </c>
      <c r="F8" s="28">
        <v>20</v>
      </c>
      <c r="G8" s="28">
        <v>7</v>
      </c>
      <c r="H8" s="28">
        <v>9</v>
      </c>
      <c r="I8" s="28">
        <v>4</v>
      </c>
      <c r="J8" s="28">
        <f t="shared" ref="J8:J14" si="3">SUM(G8:H8)</f>
        <v>16</v>
      </c>
      <c r="K8" s="102">
        <f t="shared" si="2"/>
        <v>0.45</v>
      </c>
      <c r="M8" s="5"/>
    </row>
    <row r="9" spans="1:13" s="6" customFormat="1" ht="21.95" customHeight="1">
      <c r="A9" s="25">
        <v>41286</v>
      </c>
      <c r="B9" s="82">
        <v>115138540.42</v>
      </c>
      <c r="C9" s="81">
        <v>105448173.59999999</v>
      </c>
      <c r="D9" s="26">
        <f t="shared" si="0"/>
        <v>-8.4162668596038187E-2</v>
      </c>
      <c r="E9" s="27">
        <v>8.1875</v>
      </c>
      <c r="F9" s="28">
        <v>32</v>
      </c>
      <c r="G9" s="28">
        <v>15</v>
      </c>
      <c r="H9" s="28">
        <v>12</v>
      </c>
      <c r="I9" s="28">
        <v>5</v>
      </c>
      <c r="J9" s="28">
        <f t="shared" si="3"/>
        <v>27</v>
      </c>
      <c r="K9" s="102">
        <f t="shared" si="2"/>
        <v>0.375</v>
      </c>
      <c r="M9" s="5"/>
    </row>
    <row r="10" spans="1:13" s="6" customFormat="1" ht="21.95" customHeight="1">
      <c r="A10" s="25">
        <v>41317</v>
      </c>
      <c r="B10" s="82">
        <v>63553977.689999998</v>
      </c>
      <c r="C10" s="81">
        <v>60906336.5</v>
      </c>
      <c r="D10" s="26">
        <f t="shared" si="0"/>
        <v>-4.1659724319923958E-2</v>
      </c>
      <c r="E10" s="27">
        <v>7.457142857</v>
      </c>
      <c r="F10" s="28">
        <v>35</v>
      </c>
      <c r="G10" s="28">
        <v>9</v>
      </c>
      <c r="H10" s="28">
        <v>23</v>
      </c>
      <c r="I10" s="28">
        <v>4</v>
      </c>
      <c r="J10" s="28">
        <f t="shared" si="3"/>
        <v>32</v>
      </c>
      <c r="K10" s="102">
        <f t="shared" si="2"/>
        <v>0.65714285714285714</v>
      </c>
      <c r="M10" s="5"/>
    </row>
    <row r="11" spans="1:13" s="6" customFormat="1" ht="21.95" customHeight="1">
      <c r="A11" s="110" t="s">
        <v>98</v>
      </c>
      <c r="B11" s="82">
        <v>86258663.980000004</v>
      </c>
      <c r="C11" s="81">
        <v>80216996.5</v>
      </c>
      <c r="D11" s="26">
        <f t="shared" si="0"/>
        <v>-7.0041282825813636E-2</v>
      </c>
      <c r="E11" s="27">
        <v>6.9353488370000003</v>
      </c>
      <c r="F11" s="28">
        <v>43</v>
      </c>
      <c r="G11" s="28">
        <v>17</v>
      </c>
      <c r="H11" s="28">
        <v>21</v>
      </c>
      <c r="I11" s="28">
        <v>5</v>
      </c>
      <c r="J11" s="28">
        <f t="shared" si="3"/>
        <v>38</v>
      </c>
      <c r="K11" s="102">
        <f t="shared" si="2"/>
        <v>0.48837209302325579</v>
      </c>
      <c r="M11" s="5"/>
    </row>
    <row r="12" spans="1:13" s="6" customFormat="1" ht="21.95" customHeight="1">
      <c r="A12" s="25">
        <v>41376</v>
      </c>
      <c r="B12" s="82">
        <v>125885500.15000001</v>
      </c>
      <c r="C12" s="81">
        <v>122939214</v>
      </c>
      <c r="D12" s="26">
        <f t="shared" si="0"/>
        <v>-2.3404491752341071E-2</v>
      </c>
      <c r="E12" s="27">
        <v>5.4078947370000003</v>
      </c>
      <c r="F12" s="28">
        <v>76</v>
      </c>
      <c r="G12" s="28">
        <v>26</v>
      </c>
      <c r="H12" s="28">
        <v>37</v>
      </c>
      <c r="I12" s="28">
        <v>13</v>
      </c>
      <c r="J12" s="28">
        <f t="shared" si="3"/>
        <v>63</v>
      </c>
      <c r="K12" s="102">
        <f t="shared" si="2"/>
        <v>0.48684210526315791</v>
      </c>
      <c r="M12" s="5"/>
    </row>
    <row r="13" spans="1:13" s="6" customFormat="1" ht="21.95" customHeight="1">
      <c r="A13" s="25">
        <v>41407</v>
      </c>
      <c r="B13" s="82">
        <v>148547033.87</v>
      </c>
      <c r="C13" s="81">
        <v>142415485.09</v>
      </c>
      <c r="D13" s="26">
        <f t="shared" si="0"/>
        <v>-4.1276817316769764E-2</v>
      </c>
      <c r="E13" s="27">
        <v>5.5</v>
      </c>
      <c r="F13" s="28">
        <v>59</v>
      </c>
      <c r="G13" s="28">
        <v>20</v>
      </c>
      <c r="H13" s="28">
        <v>30</v>
      </c>
      <c r="I13" s="28">
        <v>9</v>
      </c>
      <c r="J13" s="28">
        <f t="shared" si="3"/>
        <v>50</v>
      </c>
      <c r="K13" s="102">
        <f t="shared" si="2"/>
        <v>0.50847457627118642</v>
      </c>
      <c r="M13" s="5"/>
    </row>
    <row r="14" spans="1:13" s="6" customFormat="1" ht="21.95" customHeight="1" thickBot="1">
      <c r="A14" s="30">
        <v>41438</v>
      </c>
      <c r="B14" s="83">
        <v>33084358.350000001</v>
      </c>
      <c r="C14" s="84">
        <v>32859582.600000001</v>
      </c>
      <c r="D14" s="31">
        <f t="shared" si="0"/>
        <v>-6.7940187209343294E-3</v>
      </c>
      <c r="E14" s="32">
        <v>5.13</v>
      </c>
      <c r="F14" s="33">
        <v>16</v>
      </c>
      <c r="G14" s="33">
        <v>6</v>
      </c>
      <c r="H14" s="33">
        <v>8</v>
      </c>
      <c r="I14" s="33">
        <v>2</v>
      </c>
      <c r="J14" s="33">
        <f t="shared" si="3"/>
        <v>14</v>
      </c>
      <c r="K14" s="99">
        <f t="shared" si="2"/>
        <v>0.5</v>
      </c>
      <c r="M14" s="5"/>
    </row>
    <row r="15" spans="1:13" s="5" customFormat="1" ht="24" customHeight="1" thickBot="1">
      <c r="A15" s="13" t="s">
        <v>99</v>
      </c>
      <c r="B15" s="85">
        <f>SUM(B3:B14)</f>
        <v>2867567632.6200004</v>
      </c>
      <c r="C15" s="86">
        <f>SUM(C3:C14)</f>
        <v>2600291773.8700004</v>
      </c>
      <c r="D15" s="35">
        <f t="shared" ref="D15:D27" si="4">(C15-B15)/B15</f>
        <v>-9.3206470776697609E-2</v>
      </c>
      <c r="E15" s="36">
        <f>(E3*F3+E4*F4+E5*F5+E6*F6+E7*F7+E8*F8+E9*F9+E10*F10+E11*F11+E12*F12+E13*F13+E14*F14)/F15</f>
        <v>6.1521024725643336</v>
      </c>
      <c r="F15" s="37">
        <f>SUM(F3:F14)</f>
        <v>443</v>
      </c>
      <c r="G15" s="37">
        <f>SUM(G3:G14)</f>
        <v>184</v>
      </c>
      <c r="H15" s="37">
        <f>SUM(H3:H14)</f>
        <v>194</v>
      </c>
      <c r="I15" s="37">
        <f>SUM(I3:I14)</f>
        <v>65</v>
      </c>
      <c r="J15" s="37">
        <f>SUM(J3:J14)</f>
        <v>378</v>
      </c>
      <c r="K15" s="100">
        <f t="shared" ref="K15:K29" si="5">H15/F15</f>
        <v>0.43792325056433407</v>
      </c>
    </row>
    <row r="16" spans="1:13" s="5" customFormat="1" ht="21.95" customHeight="1">
      <c r="A16" s="20">
        <v>41468</v>
      </c>
      <c r="B16" s="78">
        <v>101578652.05</v>
      </c>
      <c r="C16" s="79">
        <v>102192668.34999999</v>
      </c>
      <c r="D16" s="21">
        <f t="shared" si="4"/>
        <v>6.0447376255569939E-3</v>
      </c>
      <c r="E16" s="22">
        <v>4.8571428570000004</v>
      </c>
      <c r="F16" s="23">
        <v>14</v>
      </c>
      <c r="G16" s="23">
        <v>7</v>
      </c>
      <c r="H16" s="23">
        <v>3</v>
      </c>
      <c r="I16" s="23">
        <v>4</v>
      </c>
      <c r="J16" s="23">
        <f>SUM(G16:H16)</f>
        <v>10</v>
      </c>
      <c r="K16" s="101">
        <f t="shared" si="5"/>
        <v>0.21428571428571427</v>
      </c>
    </row>
    <row r="17" spans="1:11" s="5" customFormat="1" ht="21.95" customHeight="1">
      <c r="A17" s="25" t="s">
        <v>100</v>
      </c>
      <c r="B17" s="82">
        <v>67879300.280000001</v>
      </c>
      <c r="C17" s="81">
        <v>61238911.229999997</v>
      </c>
      <c r="D17" s="26">
        <f t="shared" si="4"/>
        <v>-9.7826421642659936E-2</v>
      </c>
      <c r="E17" s="27">
        <v>6</v>
      </c>
      <c r="F17" s="28">
        <v>20</v>
      </c>
      <c r="G17" s="28">
        <v>9</v>
      </c>
      <c r="H17" s="28">
        <v>8</v>
      </c>
      <c r="I17" s="28">
        <v>3</v>
      </c>
      <c r="J17" s="28">
        <f>SUM(G17:H17)</f>
        <v>17</v>
      </c>
      <c r="K17" s="102">
        <f t="shared" ref="K17" si="6">H17/F17</f>
        <v>0.4</v>
      </c>
    </row>
    <row r="18" spans="1:11" s="5" customFormat="1" ht="21.95" customHeight="1">
      <c r="A18" s="25" t="s">
        <v>101</v>
      </c>
      <c r="B18" s="82">
        <v>204165819.49000001</v>
      </c>
      <c r="C18" s="81">
        <v>173258066.06</v>
      </c>
      <c r="D18" s="26">
        <f t="shared" si="4"/>
        <v>-0.15138554292391662</v>
      </c>
      <c r="E18" s="27">
        <v>6.8845999999999998</v>
      </c>
      <c r="F18" s="28">
        <v>26</v>
      </c>
      <c r="G18" s="28">
        <v>18</v>
      </c>
      <c r="H18" s="28">
        <v>5</v>
      </c>
      <c r="I18" s="28">
        <v>3</v>
      </c>
      <c r="J18" s="28">
        <f>SUM(G18:H18)</f>
        <v>23</v>
      </c>
      <c r="K18" s="102">
        <f t="shared" ref="K18:K27" si="7">H18/F18</f>
        <v>0.19230769230769232</v>
      </c>
    </row>
    <row r="19" spans="1:11" s="5" customFormat="1" ht="21.95" customHeight="1">
      <c r="A19" s="124" t="s">
        <v>102</v>
      </c>
      <c r="B19" s="125">
        <v>162182345.53</v>
      </c>
      <c r="C19" s="126">
        <v>146432319.91999999</v>
      </c>
      <c r="D19" s="127">
        <f t="shared" si="4"/>
        <v>-9.7113070837211574E-2</v>
      </c>
      <c r="E19" s="128">
        <v>5.3102999999999998</v>
      </c>
      <c r="F19" s="129">
        <v>29</v>
      </c>
      <c r="G19" s="129">
        <v>10</v>
      </c>
      <c r="H19" s="129">
        <v>16</v>
      </c>
      <c r="I19" s="129">
        <v>3</v>
      </c>
      <c r="J19" s="129">
        <f t="shared" ref="J19:J27" si="8">SUM(G19:H19)</f>
        <v>26</v>
      </c>
      <c r="K19" s="130">
        <f t="shared" si="7"/>
        <v>0.55172413793103448</v>
      </c>
    </row>
    <row r="20" spans="1:11" s="5" customFormat="1" ht="21.95" customHeight="1">
      <c r="A20" s="124" t="s">
        <v>103</v>
      </c>
      <c r="B20" s="125">
        <v>165502932.37</v>
      </c>
      <c r="C20" s="126">
        <v>144277480.63</v>
      </c>
      <c r="D20" s="127">
        <f t="shared" si="4"/>
        <v>-0.12824819135257481</v>
      </c>
      <c r="E20" s="128">
        <v>7.4669999999999996</v>
      </c>
      <c r="F20" s="129">
        <v>15</v>
      </c>
      <c r="G20" s="129">
        <v>8</v>
      </c>
      <c r="H20" s="129">
        <v>6</v>
      </c>
      <c r="I20" s="129">
        <v>1</v>
      </c>
      <c r="J20" s="129">
        <f t="shared" si="8"/>
        <v>14</v>
      </c>
      <c r="K20" s="130">
        <f t="shared" si="7"/>
        <v>0.4</v>
      </c>
    </row>
    <row r="21" spans="1:11" s="5" customFormat="1" ht="21.95" customHeight="1">
      <c r="A21" s="25">
        <v>41620</v>
      </c>
      <c r="B21" s="82">
        <v>124415660.37</v>
      </c>
      <c r="C21" s="81">
        <v>119060555.56999999</v>
      </c>
      <c r="D21" s="26">
        <f t="shared" si="4"/>
        <v>-4.3042047794260414E-2</v>
      </c>
      <c r="E21" s="27">
        <v>6.9230999999999998</v>
      </c>
      <c r="F21" s="28">
        <v>13</v>
      </c>
      <c r="G21" s="28">
        <v>4</v>
      </c>
      <c r="H21" s="28">
        <v>6</v>
      </c>
      <c r="I21" s="28">
        <v>3</v>
      </c>
      <c r="J21" s="28">
        <f t="shared" si="8"/>
        <v>10</v>
      </c>
      <c r="K21" s="102">
        <f t="shared" si="7"/>
        <v>0.46153846153846156</v>
      </c>
    </row>
    <row r="22" spans="1:11" s="5" customFormat="1" ht="21.95" customHeight="1">
      <c r="A22" s="124" t="s">
        <v>104</v>
      </c>
      <c r="B22" s="82">
        <v>140813434.81999999</v>
      </c>
      <c r="C22" s="81">
        <v>137191609</v>
      </c>
      <c r="D22" s="26">
        <f t="shared" si="4"/>
        <v>-2.5720740528982381E-2</v>
      </c>
      <c r="E22" s="27">
        <v>7.5714285710000002</v>
      </c>
      <c r="F22" s="28">
        <v>28</v>
      </c>
      <c r="G22" s="28">
        <v>13</v>
      </c>
      <c r="H22" s="28">
        <v>9</v>
      </c>
      <c r="I22" s="28">
        <v>6</v>
      </c>
      <c r="J22" s="28">
        <f t="shared" si="8"/>
        <v>22</v>
      </c>
      <c r="K22" s="102">
        <f t="shared" si="7"/>
        <v>0.32142857142857145</v>
      </c>
    </row>
    <row r="23" spans="1:11" s="5" customFormat="1" ht="21.95" customHeight="1">
      <c r="A23" s="25">
        <v>41684</v>
      </c>
      <c r="B23" s="82">
        <v>92385807</v>
      </c>
      <c r="C23" s="81">
        <v>83500057</v>
      </c>
      <c r="D23" s="26">
        <f t="shared" si="4"/>
        <v>-9.6180899301989101E-2</v>
      </c>
      <c r="E23" s="27">
        <v>6.6</v>
      </c>
      <c r="F23" s="28">
        <v>27</v>
      </c>
      <c r="G23" s="28">
        <v>10</v>
      </c>
      <c r="H23" s="28">
        <v>13</v>
      </c>
      <c r="I23" s="28">
        <v>4</v>
      </c>
      <c r="J23" s="28">
        <f t="shared" si="8"/>
        <v>23</v>
      </c>
      <c r="K23" s="102">
        <f t="shared" si="7"/>
        <v>0.48148148148148145</v>
      </c>
    </row>
    <row r="24" spans="1:11" s="5" customFormat="1" ht="21.95" customHeight="1">
      <c r="A24" s="25">
        <v>41712</v>
      </c>
      <c r="B24" s="82">
        <v>210853414</v>
      </c>
      <c r="C24" s="81">
        <v>184251324</v>
      </c>
      <c r="D24" s="26">
        <f t="shared" si="4"/>
        <v>-0.12616390455978105</v>
      </c>
      <c r="E24" s="27">
        <v>6.4</v>
      </c>
      <c r="F24" s="28">
        <v>56</v>
      </c>
      <c r="G24" s="28">
        <v>29</v>
      </c>
      <c r="H24" s="28">
        <v>23</v>
      </c>
      <c r="I24" s="28">
        <v>4</v>
      </c>
      <c r="J24" s="28">
        <f t="shared" si="8"/>
        <v>52</v>
      </c>
      <c r="K24" s="102">
        <f t="shared" si="7"/>
        <v>0.4107142857142857</v>
      </c>
    </row>
    <row r="25" spans="1:11" s="5" customFormat="1" ht="21.95" customHeight="1">
      <c r="A25" s="25" t="s">
        <v>107</v>
      </c>
      <c r="B25" s="82">
        <v>231265534</v>
      </c>
      <c r="C25" s="81">
        <v>205255562</v>
      </c>
      <c r="D25" s="26">
        <f t="shared" si="4"/>
        <v>-0.11246799966310587</v>
      </c>
      <c r="E25" s="27">
        <v>5.5</v>
      </c>
      <c r="F25" s="28">
        <v>62</v>
      </c>
      <c r="G25" s="28">
        <v>31</v>
      </c>
      <c r="H25" s="28">
        <v>25</v>
      </c>
      <c r="I25" s="28">
        <v>6</v>
      </c>
      <c r="J25" s="28">
        <f t="shared" si="8"/>
        <v>56</v>
      </c>
      <c r="K25" s="102">
        <f t="shared" si="7"/>
        <v>0.40322580645161288</v>
      </c>
    </row>
    <row r="26" spans="1:11" s="5" customFormat="1" ht="21.95" customHeight="1">
      <c r="A26" s="25" t="s">
        <v>106</v>
      </c>
      <c r="B26" s="82">
        <v>140508630</v>
      </c>
      <c r="C26" s="81">
        <v>134448039</v>
      </c>
      <c r="D26" s="26">
        <f t="shared" si="4"/>
        <v>-4.3133229610167002E-2</v>
      </c>
      <c r="E26" s="27">
        <v>4.8</v>
      </c>
      <c r="F26" s="28">
        <v>57</v>
      </c>
      <c r="G26" s="28">
        <v>31</v>
      </c>
      <c r="H26" s="28">
        <v>18</v>
      </c>
      <c r="I26" s="28">
        <v>8</v>
      </c>
      <c r="J26" s="28">
        <f t="shared" si="8"/>
        <v>49</v>
      </c>
      <c r="K26" s="102">
        <f t="shared" si="7"/>
        <v>0.31578947368421051</v>
      </c>
    </row>
    <row r="27" spans="1:11" s="5" customFormat="1" ht="21.95" customHeight="1" thickBot="1">
      <c r="A27" s="30">
        <v>41791</v>
      </c>
      <c r="B27" s="83">
        <v>231614414</v>
      </c>
      <c r="C27" s="84">
        <v>221633094</v>
      </c>
      <c r="D27" s="26">
        <f t="shared" si="4"/>
        <v>-4.3094554555659047E-2</v>
      </c>
      <c r="E27" s="32">
        <v>5</v>
      </c>
      <c r="F27" s="33">
        <v>20</v>
      </c>
      <c r="G27" s="33">
        <v>5</v>
      </c>
      <c r="H27" s="33">
        <v>12</v>
      </c>
      <c r="I27" s="33">
        <v>3</v>
      </c>
      <c r="J27" s="33">
        <f t="shared" si="8"/>
        <v>17</v>
      </c>
      <c r="K27" s="99">
        <f t="shared" si="7"/>
        <v>0.6</v>
      </c>
    </row>
    <row r="28" spans="1:11" s="5" customFormat="1" ht="24" customHeight="1" thickBot="1">
      <c r="A28" s="13" t="s">
        <v>108</v>
      </c>
      <c r="B28" s="85">
        <f>SUM(B16:B27)</f>
        <v>1873165943.9100001</v>
      </c>
      <c r="C28" s="86">
        <f>SUM(C16:C27)</f>
        <v>1712739686.76</v>
      </c>
      <c r="D28" s="35">
        <f>(C28-B28)/B28</f>
        <v>-8.5644444728228561E-2</v>
      </c>
      <c r="E28" s="42">
        <f>(F16*E16+F17*E17+F18*E18+F19*E19+F20*E20+F21*E21+F22*E22+F23*E23+F24*E24+F25*E25+F26*E26+F27*E27)/F28</f>
        <v>5.9569580381089917</v>
      </c>
      <c r="F28" s="37">
        <f>SUM(F16:F27)</f>
        <v>367</v>
      </c>
      <c r="G28" s="37">
        <f>SUM(G16:G27)</f>
        <v>175</v>
      </c>
      <c r="H28" s="37">
        <f>SUM(H16:H27)</f>
        <v>144</v>
      </c>
      <c r="I28" s="37">
        <f>SUM(I16:I27)</f>
        <v>48</v>
      </c>
      <c r="J28" s="37">
        <f>SUM(J16:J27)</f>
        <v>319</v>
      </c>
      <c r="K28" s="100">
        <f t="shared" si="5"/>
        <v>0.39237057220708449</v>
      </c>
    </row>
    <row r="29" spans="1:11" s="5" customFormat="1" ht="24" customHeight="1" thickBot="1">
      <c r="A29" s="43" t="s">
        <v>0</v>
      </c>
      <c r="B29" s="85">
        <f>B15+B28</f>
        <v>4740733576.5300007</v>
      </c>
      <c r="C29" s="86">
        <f>C15+C28</f>
        <v>4313031460.6300001</v>
      </c>
      <c r="D29" s="35">
        <f>(C29-B29)/B29</f>
        <v>-9.0218551410994691E-2</v>
      </c>
      <c r="E29" s="42">
        <f>(F28*E28+F15*E15)/F29</f>
        <v>6.0636851794222215</v>
      </c>
      <c r="F29" s="37">
        <f>F15+F28</f>
        <v>810</v>
      </c>
      <c r="G29" s="37">
        <f>G15+G28</f>
        <v>359</v>
      </c>
      <c r="H29" s="37">
        <f>H15+H28</f>
        <v>338</v>
      </c>
      <c r="I29" s="37">
        <f>I15+I28</f>
        <v>113</v>
      </c>
      <c r="J29" s="37">
        <f>J15+J28</f>
        <v>697</v>
      </c>
      <c r="K29" s="100">
        <f t="shared" si="5"/>
        <v>0.41728395061728396</v>
      </c>
    </row>
    <row r="30" spans="1:11" ht="21.95" customHeight="1" thickBot="1">
      <c r="A30" s="134" t="s">
        <v>85</v>
      </c>
      <c r="B30" s="135"/>
      <c r="C30" s="135"/>
      <c r="D30" s="135"/>
      <c r="E30" s="135"/>
      <c r="F30" s="135"/>
      <c r="G30" s="135"/>
      <c r="H30" s="135"/>
      <c r="I30" s="135"/>
      <c r="J30" s="135"/>
      <c r="K30" s="136"/>
    </row>
    <row r="31" spans="1:11" ht="15" customHeight="1"/>
    <row r="56" spans="1:11" ht="16.5" customHeight="1"/>
    <row r="57" spans="1:11" ht="13.5" customHeight="1">
      <c r="A57" s="137"/>
      <c r="B57" s="137"/>
      <c r="C57" s="137"/>
      <c r="D57" s="137"/>
      <c r="E57" s="137"/>
      <c r="F57" s="137"/>
    </row>
    <row r="58" spans="1:11" ht="22.5" customHeight="1">
      <c r="A58" s="138"/>
      <c r="B58" s="138"/>
      <c r="C58" s="138"/>
      <c r="D58" s="138"/>
      <c r="E58" s="138"/>
      <c r="F58" s="138"/>
      <c r="G58" s="138"/>
      <c r="H58" s="138"/>
      <c r="I58" s="138"/>
      <c r="J58" s="138"/>
      <c r="K58" s="138"/>
    </row>
    <row r="59" spans="1:11" ht="11.25" customHeight="1">
      <c r="A59" s="139"/>
      <c r="B59" s="139"/>
      <c r="C59" s="139"/>
      <c r="D59" s="139"/>
      <c r="E59" s="139"/>
      <c r="F59" s="139"/>
      <c r="G59" s="139"/>
      <c r="H59" s="139"/>
      <c r="I59" s="139"/>
      <c r="J59" s="139"/>
    </row>
  </sheetData>
  <mergeCells count="5">
    <mergeCell ref="A1:K1"/>
    <mergeCell ref="A30:K30"/>
    <mergeCell ref="A57:F57"/>
    <mergeCell ref="A58:K58"/>
    <mergeCell ref="A59:J59"/>
  </mergeCells>
  <printOptions horizontalCentered="1" verticalCentered="1"/>
  <pageMargins left="0.25" right="0.25" top="0.75" bottom="0.75" header="0.3" footer="0.3"/>
  <pageSetup scale="63" orientation="portrait" r:id="rId1"/>
  <ignoredErrors>
    <ignoredError sqref="J7 J3 J8:J14 J4:J6 J16 J17:J18" formulaRange="1"/>
    <ignoredError sqref="J15" formula="1"/>
  </ignoredErrors>
  <drawing r:id="rId2"/>
</worksheet>
</file>

<file path=xl/worksheets/sheet2.xml><?xml version="1.0" encoding="utf-8"?>
<worksheet xmlns="http://schemas.openxmlformats.org/spreadsheetml/2006/main" xmlns:r="http://schemas.openxmlformats.org/officeDocument/2006/relationships">
  <sheetPr>
    <pageSetUpPr fitToPage="1"/>
  </sheetPr>
  <dimension ref="A1:L59"/>
  <sheetViews>
    <sheetView topLeftCell="A2" zoomScale="70" zoomScaleNormal="70" workbookViewId="0">
      <selection activeCell="C25" sqref="C25"/>
    </sheetView>
  </sheetViews>
  <sheetFormatPr defaultRowHeight="12.75"/>
  <cols>
    <col min="1" max="1" width="15.5703125" style="3" customWidth="1"/>
    <col min="2" max="2" width="20.28515625" style="4" customWidth="1"/>
    <col min="3" max="3" width="18.42578125" style="4" customWidth="1"/>
    <col min="4" max="4" width="15.5703125" customWidth="1"/>
    <col min="5" max="5" width="13.5703125" style="1" customWidth="1"/>
    <col min="6" max="6" width="14" customWidth="1"/>
    <col min="7" max="7" width="12.5703125" customWidth="1"/>
    <col min="8" max="8" width="12.7109375" customWidth="1"/>
    <col min="9" max="9" width="13.7109375" customWidth="1"/>
    <col min="10" max="10" width="14.5703125" customWidth="1"/>
    <col min="12" max="12" width="23.42578125" customWidth="1"/>
    <col min="13" max="13" width="21.28515625" customWidth="1"/>
    <col min="14" max="14" width="9.28515625" bestFit="1" customWidth="1"/>
    <col min="16" max="16" width="12.42578125" customWidth="1"/>
  </cols>
  <sheetData>
    <row r="1" spans="1:12" ht="39.75" customHeight="1" thickBot="1">
      <c r="A1" s="131" t="str">
        <f>WithPerformance!A1</f>
        <v>Combined Bidder Activity Summary Report - June 2014
 (Projects bid opened from July 2012 to June 2014, as of 07/03/2014)</v>
      </c>
      <c r="B1" s="132"/>
      <c r="C1" s="132"/>
      <c r="D1" s="132"/>
      <c r="E1" s="132"/>
      <c r="F1" s="132"/>
      <c r="G1" s="132"/>
      <c r="H1" s="132"/>
      <c r="I1" s="132"/>
      <c r="J1" s="133"/>
    </row>
    <row r="2" spans="1:12" s="2" customFormat="1" ht="54.75" customHeight="1" thickBot="1">
      <c r="A2" s="12" t="s">
        <v>3</v>
      </c>
      <c r="B2" s="44" t="s">
        <v>4</v>
      </c>
      <c r="C2" s="14" t="s">
        <v>2</v>
      </c>
      <c r="D2" s="15" t="s">
        <v>6</v>
      </c>
      <c r="E2" s="16" t="s">
        <v>7</v>
      </c>
      <c r="F2" s="15" t="s">
        <v>1</v>
      </c>
      <c r="G2" s="17" t="s">
        <v>5</v>
      </c>
      <c r="H2" s="18" t="s">
        <v>33</v>
      </c>
      <c r="I2" s="18" t="s">
        <v>8</v>
      </c>
      <c r="J2" s="19" t="s">
        <v>9</v>
      </c>
    </row>
    <row r="3" spans="1:12" s="6" customFormat="1" ht="21.95" customHeight="1">
      <c r="A3" s="20">
        <f>IF(WithPerformance!A3="","",WithPerformance!A3)</f>
        <v>41105</v>
      </c>
      <c r="B3" s="78">
        <f>IF(WithPerformance!B3="","",WithPerformance!B3)</f>
        <v>324344704.50999999</v>
      </c>
      <c r="C3" s="79">
        <f>IF(WithPerformance!C3="","",WithPerformance!C3)</f>
        <v>282585115.10000002</v>
      </c>
      <c r="D3" s="21">
        <f>IF(WithPerformance!D3="","",WithPerformance!D3)</f>
        <v>-0.12875064346460591</v>
      </c>
      <c r="E3" s="22">
        <f>IF(WithPerformance!E3="","",WithPerformance!E3)</f>
        <v>5.5714285714285712</v>
      </c>
      <c r="F3" s="23">
        <f>IF(WithPerformance!F3="","",WithPerformance!F3)</f>
        <v>28</v>
      </c>
      <c r="G3" s="23">
        <f>IF(WithPerformance!G3="","",WithPerformance!G3)</f>
        <v>15</v>
      </c>
      <c r="H3" s="23">
        <f>IF(WithPerformance!H3="","",WithPerformance!H3)</f>
        <v>9</v>
      </c>
      <c r="I3" s="23">
        <f>IF(WithPerformance!I3="","",WithPerformance!I3)</f>
        <v>4</v>
      </c>
      <c r="J3" s="24">
        <f>IF(WithPerformance!J3="","",WithPerformance!J3)</f>
        <v>24</v>
      </c>
      <c r="L3" s="5"/>
    </row>
    <row r="4" spans="1:12" s="6" customFormat="1" ht="21.95" customHeight="1">
      <c r="A4" s="25">
        <f>IF(WithPerformance!A4="","",WithPerformance!A4)</f>
        <v>41132</v>
      </c>
      <c r="B4" s="80">
        <f>IF(WithPerformance!B4="","",WithPerformance!B4)</f>
        <v>376864727.33000004</v>
      </c>
      <c r="C4" s="81">
        <f>IF(WithPerformance!C4="","",WithPerformance!C4)</f>
        <v>330982460.76999998</v>
      </c>
      <c r="D4" s="26">
        <f>IF(WithPerformance!D4="","",WithPerformance!D4)</f>
        <v>-0.1217473093994903</v>
      </c>
      <c r="E4" s="27">
        <f>IF(WithPerformance!E4="","",WithPerformance!E4)</f>
        <v>5.8</v>
      </c>
      <c r="F4" s="28">
        <f>IF(WithPerformance!F4="","",WithPerformance!F4)</f>
        <v>25</v>
      </c>
      <c r="G4" s="28">
        <f>IF(WithPerformance!G4="","",WithPerformance!G4)</f>
        <v>14</v>
      </c>
      <c r="H4" s="28">
        <f>IF(WithPerformance!H4="","",WithPerformance!H4)</f>
        <v>7</v>
      </c>
      <c r="I4" s="28">
        <f>IF(WithPerformance!I4="","",WithPerformance!I4)</f>
        <v>4</v>
      </c>
      <c r="J4" s="29">
        <f>IF(WithPerformance!J4="","",WithPerformance!J4)</f>
        <v>21</v>
      </c>
      <c r="L4" s="5"/>
    </row>
    <row r="5" spans="1:12" s="6" customFormat="1" ht="21.95" customHeight="1">
      <c r="A5" s="25">
        <f>IF(WithPerformance!A5="","",WithPerformance!A5)</f>
        <v>41163</v>
      </c>
      <c r="B5" s="82">
        <f>IF(WithPerformance!B5="","",WithPerformance!B5)</f>
        <v>510608479.64999998</v>
      </c>
      <c r="C5" s="81">
        <f>IF(WithPerformance!C5="","",WithPerformance!C5)</f>
        <v>465296642.81999999</v>
      </c>
      <c r="D5" s="26">
        <f>IF(WithPerformance!D5="","",WithPerformance!D5)</f>
        <v>-8.8740862394332515E-2</v>
      </c>
      <c r="E5" s="27">
        <f>IF(WithPerformance!E5="","",WithPerformance!E5)</f>
        <v>5.8823529409999997</v>
      </c>
      <c r="F5" s="28">
        <f>IF(WithPerformance!F5="","",WithPerformance!F5)</f>
        <v>34</v>
      </c>
      <c r="G5" s="28">
        <f>IF(WithPerformance!G5="","",WithPerformance!G5)</f>
        <v>16</v>
      </c>
      <c r="H5" s="28">
        <f>IF(WithPerformance!H5="","",WithPerformance!H5)</f>
        <v>16</v>
      </c>
      <c r="I5" s="28">
        <f>IF(WithPerformance!I5="","",WithPerformance!I5)</f>
        <v>2</v>
      </c>
      <c r="J5" s="29">
        <f>IF(WithPerformance!J5="","",WithPerformance!J5)</f>
        <v>32</v>
      </c>
      <c r="L5" s="5"/>
    </row>
    <row r="6" spans="1:12" s="6" customFormat="1" ht="21.95" customHeight="1">
      <c r="A6" s="25">
        <f>IF(WithPerformance!A6="","",WithPerformance!A6)</f>
        <v>41193</v>
      </c>
      <c r="B6" s="82">
        <f>IF(WithPerformance!B6="","",WithPerformance!B6)</f>
        <v>783252992.55999994</v>
      </c>
      <c r="C6" s="81">
        <f>IF(WithPerformance!C6="","",WithPerformance!C6)</f>
        <v>703867617.39999998</v>
      </c>
      <c r="D6" s="26">
        <f>IF(WithPerformance!D6="","",WithPerformance!D6)</f>
        <v>-0.10135342719921848</v>
      </c>
      <c r="E6" s="27">
        <f>IF(WithPerformance!E6="","",WithPerformance!E6)</f>
        <v>5.5813953490000001</v>
      </c>
      <c r="F6" s="28">
        <f>IF(WithPerformance!F6="","",WithPerformance!F6)</f>
        <v>44</v>
      </c>
      <c r="G6" s="28">
        <f>IF(WithPerformance!G6="","",WithPerformance!G6)</f>
        <v>25</v>
      </c>
      <c r="H6" s="28">
        <f>IF(WithPerformance!H6="","",WithPerformance!H6)</f>
        <v>9</v>
      </c>
      <c r="I6" s="28">
        <f>IF(WithPerformance!I6="","",WithPerformance!I6)</f>
        <v>9</v>
      </c>
      <c r="J6" s="29">
        <f>IF(WithPerformance!J6="","",WithPerformance!J6)</f>
        <v>34</v>
      </c>
      <c r="L6" s="5"/>
    </row>
    <row r="7" spans="1:12" s="6" customFormat="1" ht="21.95" customHeight="1">
      <c r="A7" s="25">
        <f>IF(WithPerformance!A7="","",WithPerformance!A7)</f>
        <v>41224</v>
      </c>
      <c r="B7" s="82">
        <f>IF(WithPerformance!B7="","",WithPerformance!B7)</f>
        <v>205996003.5</v>
      </c>
      <c r="C7" s="81">
        <f>IF(WithPerformance!C7="","",WithPerformance!C7)</f>
        <v>185618567.77000001</v>
      </c>
      <c r="D7" s="26">
        <f>IF(WithPerformance!D7="","",WithPerformance!D7)</f>
        <v>-9.8921510047645114E-2</v>
      </c>
      <c r="E7" s="27">
        <f>IF(WithPerformance!E7="","",WithPerformance!E7)</f>
        <v>6.1290322579999996</v>
      </c>
      <c r="F7" s="28">
        <f>IF(WithPerformance!F7="","",WithPerformance!F7)</f>
        <v>31</v>
      </c>
      <c r="G7" s="28">
        <f>IF(WithPerformance!G7="","",WithPerformance!G7)</f>
        <v>14</v>
      </c>
      <c r="H7" s="28">
        <f>IF(WithPerformance!H7="","",WithPerformance!H7)</f>
        <v>13</v>
      </c>
      <c r="I7" s="28">
        <f>IF(WithPerformance!I7="","",WithPerformance!I7)</f>
        <v>4</v>
      </c>
      <c r="J7" s="29">
        <f>IF(WithPerformance!J7="","",WithPerformance!J7)</f>
        <v>27</v>
      </c>
      <c r="L7" s="5"/>
    </row>
    <row r="8" spans="1:12" s="6" customFormat="1" ht="21.95" customHeight="1">
      <c r="A8" s="25">
        <f>IF(WithPerformance!A8="","",WithPerformance!A8)</f>
        <v>41254</v>
      </c>
      <c r="B8" s="82">
        <f>IF(WithPerformance!B8="","",WithPerformance!B8)</f>
        <v>94032650.609999999</v>
      </c>
      <c r="C8" s="81">
        <f>IF(WithPerformance!C8="","",WithPerformance!C8)</f>
        <v>87155581.719999999</v>
      </c>
      <c r="D8" s="26">
        <f>IF(WithPerformance!D8="","",WithPerformance!D8)</f>
        <v>-7.3134904157095532E-2</v>
      </c>
      <c r="E8" s="27">
        <f>IF(WithPerformance!E8="","",WithPerformance!E8)</f>
        <v>7.5</v>
      </c>
      <c r="F8" s="28">
        <f>IF(WithPerformance!F8="","",WithPerformance!F8)</f>
        <v>20</v>
      </c>
      <c r="G8" s="28">
        <f>IF(WithPerformance!G8="","",WithPerformance!G8)</f>
        <v>7</v>
      </c>
      <c r="H8" s="28">
        <f>IF(WithPerformance!H8="","",WithPerformance!H8)</f>
        <v>9</v>
      </c>
      <c r="I8" s="28">
        <f>IF(WithPerformance!I8="","",WithPerformance!I8)</f>
        <v>4</v>
      </c>
      <c r="J8" s="29">
        <f>IF(WithPerformance!J8="","",WithPerformance!J8)</f>
        <v>16</v>
      </c>
      <c r="L8" s="5"/>
    </row>
    <row r="9" spans="1:12" s="6" customFormat="1" ht="21.95" customHeight="1">
      <c r="A9" s="25">
        <f>IF(WithPerformance!A9="","",WithPerformance!A9)</f>
        <v>41286</v>
      </c>
      <c r="B9" s="82">
        <f>IF(WithPerformance!B9="","",WithPerformance!B9)</f>
        <v>115138540.42</v>
      </c>
      <c r="C9" s="81">
        <f>IF(WithPerformance!C9="","",WithPerformance!C9)</f>
        <v>105448173.59999999</v>
      </c>
      <c r="D9" s="26">
        <f>IF(WithPerformance!D9="","",WithPerformance!D9)</f>
        <v>-8.4162668596038187E-2</v>
      </c>
      <c r="E9" s="27">
        <f>IF(WithPerformance!E9="","",WithPerformance!E9)</f>
        <v>8.1875</v>
      </c>
      <c r="F9" s="28">
        <f>IF(WithPerformance!F9="","",WithPerformance!F9)</f>
        <v>32</v>
      </c>
      <c r="G9" s="28">
        <f>IF(WithPerformance!G9="","",WithPerformance!G9)</f>
        <v>15</v>
      </c>
      <c r="H9" s="28">
        <f>IF(WithPerformance!H9="","",WithPerformance!H9)</f>
        <v>12</v>
      </c>
      <c r="I9" s="28">
        <f>IF(WithPerformance!I9="","",WithPerformance!I9)</f>
        <v>5</v>
      </c>
      <c r="J9" s="29">
        <f>IF(WithPerformance!J9="","",WithPerformance!J9)</f>
        <v>27</v>
      </c>
      <c r="L9" s="5"/>
    </row>
    <row r="10" spans="1:12" s="6" customFormat="1" ht="21.95" customHeight="1">
      <c r="A10" s="25">
        <f>IF(WithPerformance!A10="","",WithPerformance!A10)</f>
        <v>41317</v>
      </c>
      <c r="B10" s="82">
        <f>IF(WithPerformance!B10="","",WithPerformance!B10)</f>
        <v>63553977.689999998</v>
      </c>
      <c r="C10" s="81">
        <f>IF(WithPerformance!C10="","",WithPerformance!C10)</f>
        <v>60906336.5</v>
      </c>
      <c r="D10" s="26">
        <f>IF(WithPerformance!D10="","",WithPerformance!D10)</f>
        <v>-4.1659724319923958E-2</v>
      </c>
      <c r="E10" s="27">
        <f>IF(WithPerformance!E10="","",WithPerformance!E10)</f>
        <v>7.457142857</v>
      </c>
      <c r="F10" s="28">
        <f>IF(WithPerformance!F10="","",WithPerformance!F10)</f>
        <v>35</v>
      </c>
      <c r="G10" s="28">
        <f>IF(WithPerformance!G10="","",WithPerformance!G10)</f>
        <v>9</v>
      </c>
      <c r="H10" s="28">
        <f>IF(WithPerformance!H10="","",WithPerformance!H10)</f>
        <v>23</v>
      </c>
      <c r="I10" s="28">
        <f>IF(WithPerformance!I10="","",WithPerformance!I10)</f>
        <v>4</v>
      </c>
      <c r="J10" s="29">
        <f>IF(WithPerformance!J10="","",WithPerformance!J10)</f>
        <v>32</v>
      </c>
      <c r="L10" s="5"/>
    </row>
    <row r="11" spans="1:12" s="6" customFormat="1" ht="21.95" customHeight="1">
      <c r="A11" s="25" t="str">
        <f>IF(WithPerformance!A11="","",WithPerformance!A11)</f>
        <v>Mar-13</v>
      </c>
      <c r="B11" s="82">
        <f>IF(WithPerformance!B11="","",WithPerformance!B11)</f>
        <v>86258663.980000004</v>
      </c>
      <c r="C11" s="81">
        <f>IF(WithPerformance!C11="","",WithPerformance!C11)</f>
        <v>80216996.5</v>
      </c>
      <c r="D11" s="26">
        <f>IF(WithPerformance!D11="","",WithPerformance!D11)</f>
        <v>-7.0041282825813636E-2</v>
      </c>
      <c r="E11" s="27">
        <f>IF(WithPerformance!E11="","",WithPerformance!E11)</f>
        <v>6.9353488370000003</v>
      </c>
      <c r="F11" s="28">
        <f>IF(WithPerformance!F11="","",WithPerformance!F11)</f>
        <v>43</v>
      </c>
      <c r="G11" s="28">
        <f>IF(WithPerformance!G11="","",WithPerformance!G11)</f>
        <v>17</v>
      </c>
      <c r="H11" s="28">
        <f>IF(WithPerformance!H11="","",WithPerformance!H11)</f>
        <v>21</v>
      </c>
      <c r="I11" s="28">
        <f>IF(WithPerformance!I11="","",WithPerformance!I11)</f>
        <v>5</v>
      </c>
      <c r="J11" s="29">
        <f>IF(WithPerformance!J11="","",WithPerformance!J11)</f>
        <v>38</v>
      </c>
      <c r="L11" s="5"/>
    </row>
    <row r="12" spans="1:12" s="6" customFormat="1" ht="21.95" customHeight="1">
      <c r="A12" s="25">
        <f>IF(WithPerformance!A12="","",WithPerformance!A12)</f>
        <v>41376</v>
      </c>
      <c r="B12" s="82">
        <f>IF(WithPerformance!B12="","",WithPerformance!B12)</f>
        <v>125885500.15000001</v>
      </c>
      <c r="C12" s="81">
        <f>IF(WithPerformance!C12="","",WithPerformance!C12)</f>
        <v>122939214</v>
      </c>
      <c r="D12" s="26">
        <f>IF(WithPerformance!D12="","",WithPerformance!D12)</f>
        <v>-2.3404491752341071E-2</v>
      </c>
      <c r="E12" s="27">
        <f>IF(WithPerformance!E12="","",WithPerformance!E12)</f>
        <v>5.4078947370000003</v>
      </c>
      <c r="F12" s="28">
        <f>IF(WithPerformance!F12="","",WithPerformance!F12)</f>
        <v>76</v>
      </c>
      <c r="G12" s="28">
        <f>IF(WithPerformance!G12="","",WithPerformance!G12)</f>
        <v>26</v>
      </c>
      <c r="H12" s="28">
        <f>IF(WithPerformance!H12="","",WithPerformance!H12)</f>
        <v>37</v>
      </c>
      <c r="I12" s="28">
        <f>IF(WithPerformance!I12="","",WithPerformance!I12)</f>
        <v>13</v>
      </c>
      <c r="J12" s="29">
        <f>IF(WithPerformance!J12="","",WithPerformance!J12)</f>
        <v>63</v>
      </c>
      <c r="L12" s="5"/>
    </row>
    <row r="13" spans="1:12" s="6" customFormat="1" ht="21.95" customHeight="1">
      <c r="A13" s="25">
        <f>IF(WithPerformance!A13="","",WithPerformance!A13)</f>
        <v>41407</v>
      </c>
      <c r="B13" s="82">
        <f>IF(WithPerformance!B13="","",WithPerformance!B13)</f>
        <v>148547033.87</v>
      </c>
      <c r="C13" s="81">
        <f>IF(WithPerformance!C13="","",WithPerformance!C13)</f>
        <v>142415485.09</v>
      </c>
      <c r="D13" s="26">
        <f>IF(WithPerformance!D13="","",WithPerformance!D13)</f>
        <v>-4.1276817316769764E-2</v>
      </c>
      <c r="E13" s="27">
        <f>IF(WithPerformance!E13="","",WithPerformance!E13)</f>
        <v>5.5</v>
      </c>
      <c r="F13" s="28">
        <f>IF(WithPerformance!F13="","",WithPerformance!F13)</f>
        <v>59</v>
      </c>
      <c r="G13" s="28">
        <f>IF(WithPerformance!G13="","",WithPerformance!G13)</f>
        <v>20</v>
      </c>
      <c r="H13" s="28">
        <f>IF(WithPerformance!H13="","",WithPerformance!H13)</f>
        <v>30</v>
      </c>
      <c r="I13" s="28">
        <f>IF(WithPerformance!I13="","",WithPerformance!I13)</f>
        <v>9</v>
      </c>
      <c r="J13" s="29">
        <f>IF(WithPerformance!J13="","",WithPerformance!J13)</f>
        <v>50</v>
      </c>
      <c r="L13" s="5"/>
    </row>
    <row r="14" spans="1:12" s="6" customFormat="1" ht="21.95" customHeight="1" thickBot="1">
      <c r="A14" s="30">
        <f>IF(WithPerformance!A14="","",WithPerformance!A14)</f>
        <v>41438</v>
      </c>
      <c r="B14" s="83">
        <f>IF(WithPerformance!B14="","",WithPerformance!B14)</f>
        <v>33084358.350000001</v>
      </c>
      <c r="C14" s="84">
        <f>IF(WithPerformance!C14="","",WithPerformance!C14)</f>
        <v>32859582.600000001</v>
      </c>
      <c r="D14" s="31">
        <f>IF(WithPerformance!D14="","",WithPerformance!D14)</f>
        <v>-6.7940187209343294E-3</v>
      </c>
      <c r="E14" s="32">
        <f>IF(WithPerformance!E14="","",WithPerformance!E14)</f>
        <v>5.13</v>
      </c>
      <c r="F14" s="33">
        <f>IF(WithPerformance!F14="","",WithPerformance!F14)</f>
        <v>16</v>
      </c>
      <c r="G14" s="33">
        <f>IF(WithPerformance!G14="","",WithPerformance!G14)</f>
        <v>6</v>
      </c>
      <c r="H14" s="33">
        <f>IF(WithPerformance!H14="","",WithPerformance!H14)</f>
        <v>8</v>
      </c>
      <c r="I14" s="33">
        <f>IF(WithPerformance!I14="","",WithPerformance!I14)</f>
        <v>2</v>
      </c>
      <c r="J14" s="34">
        <f>IF(WithPerformance!J14="","",WithPerformance!J14)</f>
        <v>14</v>
      </c>
      <c r="L14" s="5"/>
    </row>
    <row r="15" spans="1:12" s="5" customFormat="1" ht="24" customHeight="1" thickBot="1">
      <c r="A15" s="13" t="s">
        <v>79</v>
      </c>
      <c r="B15" s="85">
        <f>SUM(B3:B14)</f>
        <v>2867567632.6200004</v>
      </c>
      <c r="C15" s="86">
        <f>SUM(C3:C14)</f>
        <v>2600291773.8700004</v>
      </c>
      <c r="D15" s="35">
        <f t="shared" ref="D15" si="0">(C15-B15)/B15</f>
        <v>-9.3206470776697609E-2</v>
      </c>
      <c r="E15" s="36">
        <f>(E3*F3+E4*F4+E5*F5+E6*F6+E7*F7+E8*F8+E9*F9+E10*F10+E11*F11+E12*F12+E13*F13+E14*F14)/F15</f>
        <v>6.1521024725643336</v>
      </c>
      <c r="F15" s="37">
        <f>SUM(F3:F14)</f>
        <v>443</v>
      </c>
      <c r="G15" s="37">
        <f>SUM(G3:G14)</f>
        <v>184</v>
      </c>
      <c r="H15" s="37">
        <f>SUM(H3:H14)</f>
        <v>194</v>
      </c>
      <c r="I15" s="37">
        <f>SUM(I3:I14)</f>
        <v>65</v>
      </c>
      <c r="J15" s="38">
        <f>SUM(J3:J14)</f>
        <v>378</v>
      </c>
    </row>
    <row r="16" spans="1:12" s="5" customFormat="1" ht="21.95" customHeight="1">
      <c r="A16" s="20">
        <f>IF(WithPerformance!A16="","",WithPerformance!A16)</f>
        <v>41468</v>
      </c>
      <c r="B16" s="78">
        <f>IF(WithPerformance!B16="","",WithPerformance!B16)</f>
        <v>101578652.05</v>
      </c>
      <c r="C16" s="79">
        <f>IF(WithPerformance!C16="","",WithPerformance!C16)</f>
        <v>102192668.34999999</v>
      </c>
      <c r="D16" s="21">
        <f>IF(WithPerformance!D16="","",WithPerformance!D16)</f>
        <v>6.0447376255569939E-3</v>
      </c>
      <c r="E16" s="22">
        <f>IF(WithPerformance!E16="","",WithPerformance!E16)</f>
        <v>4.8571428570000004</v>
      </c>
      <c r="F16" s="23">
        <f>IF(WithPerformance!F16="","",WithPerformance!F16)</f>
        <v>14</v>
      </c>
      <c r="G16" s="23">
        <f>IF(WithPerformance!G16="","",WithPerformance!G16)</f>
        <v>7</v>
      </c>
      <c r="H16" s="23">
        <f>IF(WithPerformance!H16="","",WithPerformance!H16)</f>
        <v>3</v>
      </c>
      <c r="I16" s="23">
        <f>IF(WithPerformance!I16="","",WithPerformance!I16)</f>
        <v>4</v>
      </c>
      <c r="J16" s="39">
        <f>IF(WithPerformance!J16="","",WithPerformance!J16)</f>
        <v>10</v>
      </c>
    </row>
    <row r="17" spans="1:10" s="5" customFormat="1" ht="21.95" customHeight="1">
      <c r="A17" s="25" t="str">
        <f>IF(WithPerformance!A17="","",WithPerformance!A17)</f>
        <v xml:space="preserve"> Aug-13</v>
      </c>
      <c r="B17" s="82">
        <f>IF(WithPerformance!B17="","",WithPerformance!B17)</f>
        <v>67879300.280000001</v>
      </c>
      <c r="C17" s="81">
        <f>IF(WithPerformance!C17="","",WithPerformance!C17)</f>
        <v>61238911.229999997</v>
      </c>
      <c r="D17" s="26">
        <f>IF(WithPerformance!D17="","",WithPerformance!D17)</f>
        <v>-9.7826421642659936E-2</v>
      </c>
      <c r="E17" s="27">
        <f>IF(WithPerformance!E17="","",WithPerformance!E17)</f>
        <v>6</v>
      </c>
      <c r="F17" s="28">
        <f>IF(WithPerformance!F17="","",WithPerformance!F17)</f>
        <v>20</v>
      </c>
      <c r="G17" s="28">
        <f>IF(WithPerformance!G17="","",WithPerformance!G17)</f>
        <v>9</v>
      </c>
      <c r="H17" s="28">
        <f>IF(WithPerformance!H17="","",WithPerformance!H17)</f>
        <v>8</v>
      </c>
      <c r="I17" s="28">
        <f>IF(WithPerformance!I17="","",WithPerformance!I17)</f>
        <v>3</v>
      </c>
      <c r="J17" s="40">
        <f>IF(WithPerformance!J17="","",WithPerformance!J17)</f>
        <v>17</v>
      </c>
    </row>
    <row r="18" spans="1:10" s="5" customFormat="1" ht="21.95" customHeight="1">
      <c r="A18" s="25" t="str">
        <f>IF(WithPerformance!A18="","",WithPerformance!A18)</f>
        <v xml:space="preserve"> Sept-13</v>
      </c>
      <c r="B18" s="82">
        <f>IF(WithPerformance!B18="","",WithPerformance!B18)</f>
        <v>204165819.49000001</v>
      </c>
      <c r="C18" s="81">
        <f>IF(WithPerformance!C18="","",WithPerformance!C18)</f>
        <v>173258066.06</v>
      </c>
      <c r="D18" s="26">
        <f>IF(WithPerformance!D18="","",WithPerformance!D18)</f>
        <v>-0.15138554292391662</v>
      </c>
      <c r="E18" s="27">
        <f>IF(WithPerformance!E18="","",WithPerformance!E18)</f>
        <v>6.8845999999999998</v>
      </c>
      <c r="F18" s="28">
        <f>IF(WithPerformance!F18="","",WithPerformance!F18)</f>
        <v>26</v>
      </c>
      <c r="G18" s="28">
        <f>IF(WithPerformance!G18="","",WithPerformance!G18)</f>
        <v>18</v>
      </c>
      <c r="H18" s="28">
        <f>IF(WithPerformance!H18="","",WithPerformance!H18)</f>
        <v>5</v>
      </c>
      <c r="I18" s="28">
        <f>IF(WithPerformance!I18="","",WithPerformance!I18)</f>
        <v>3</v>
      </c>
      <c r="J18" s="40">
        <f>IF(WithPerformance!J18="","",WithPerformance!J18)</f>
        <v>23</v>
      </c>
    </row>
    <row r="19" spans="1:10" s="5" customFormat="1" ht="21.95" customHeight="1">
      <c r="A19" s="25" t="str">
        <f>IF(WithPerformance!A19="","",WithPerformance!A19)</f>
        <v>Oct-13</v>
      </c>
      <c r="B19" s="82">
        <f>IF(WithPerformance!B19="","",WithPerformance!B19)</f>
        <v>162182345.53</v>
      </c>
      <c r="C19" s="81">
        <f>IF(WithPerformance!C19="","",WithPerformance!C19)</f>
        <v>146432319.91999999</v>
      </c>
      <c r="D19" s="26">
        <f>IF(WithPerformance!D19="","",WithPerformance!D19)</f>
        <v>-9.7113070837211574E-2</v>
      </c>
      <c r="E19" s="27">
        <f>IF(WithPerformance!E19="","",WithPerformance!E19)</f>
        <v>5.3102999999999998</v>
      </c>
      <c r="F19" s="28">
        <f>IF(WithPerformance!F19="","",WithPerformance!F19)</f>
        <v>29</v>
      </c>
      <c r="G19" s="28">
        <f>IF(WithPerformance!G19="","",WithPerformance!G19)</f>
        <v>10</v>
      </c>
      <c r="H19" s="28">
        <f>IF(WithPerformance!H19="","",WithPerformance!H19)</f>
        <v>16</v>
      </c>
      <c r="I19" s="28">
        <f>IF(WithPerformance!I19="","",WithPerformance!I19)</f>
        <v>3</v>
      </c>
      <c r="J19" s="40">
        <f>IF(WithPerformance!J19="","",WithPerformance!J19)</f>
        <v>26</v>
      </c>
    </row>
    <row r="20" spans="1:10" s="5" customFormat="1" ht="21.95" customHeight="1">
      <c r="A20" s="25" t="str">
        <f>IF(WithPerformance!A20="","",WithPerformance!A20)</f>
        <v>Nov-13</v>
      </c>
      <c r="B20" s="82">
        <f>IF(WithPerformance!B20="","",WithPerformance!B20)</f>
        <v>165502932.37</v>
      </c>
      <c r="C20" s="81">
        <f>IF(WithPerformance!C20="","",WithPerformance!C20)</f>
        <v>144277480.63</v>
      </c>
      <c r="D20" s="26">
        <f>IF(WithPerformance!D20="","",WithPerformance!D20)</f>
        <v>-0.12824819135257481</v>
      </c>
      <c r="E20" s="27">
        <f>IF(WithPerformance!E20="","",WithPerformance!E20)</f>
        <v>7.4669999999999996</v>
      </c>
      <c r="F20" s="28">
        <f>IF(WithPerformance!F20="","",WithPerformance!F20)</f>
        <v>15</v>
      </c>
      <c r="G20" s="28">
        <f>IF(WithPerformance!G20="","",WithPerformance!G20)</f>
        <v>8</v>
      </c>
      <c r="H20" s="28">
        <f>IF(WithPerformance!H20="","",WithPerformance!H20)</f>
        <v>6</v>
      </c>
      <c r="I20" s="28">
        <f>IF(WithPerformance!I20="","",WithPerformance!I20)</f>
        <v>1</v>
      </c>
      <c r="J20" s="40">
        <f>IF(WithPerformance!J20="","",WithPerformance!J20)</f>
        <v>14</v>
      </c>
    </row>
    <row r="21" spans="1:10" s="5" customFormat="1" ht="21.95" customHeight="1">
      <c r="A21" s="25">
        <f>IF(WithPerformance!A21="","",WithPerformance!A21)</f>
        <v>41620</v>
      </c>
      <c r="B21" s="82">
        <f>IF(WithPerformance!B21="","",WithPerformance!B21)</f>
        <v>124415660.37</v>
      </c>
      <c r="C21" s="81">
        <f>IF(WithPerformance!C21="","",WithPerformance!C21)</f>
        <v>119060555.56999999</v>
      </c>
      <c r="D21" s="26">
        <f>IF(WithPerformance!D21="","",WithPerformance!D21)</f>
        <v>-4.3042047794260414E-2</v>
      </c>
      <c r="E21" s="27">
        <f>IF(WithPerformance!E21="","",WithPerformance!E21)</f>
        <v>6.9230999999999998</v>
      </c>
      <c r="F21" s="28">
        <f>IF(WithPerformance!F21="","",WithPerformance!F21)</f>
        <v>13</v>
      </c>
      <c r="G21" s="28">
        <f>IF(WithPerformance!G21="","",WithPerformance!G21)</f>
        <v>4</v>
      </c>
      <c r="H21" s="28">
        <f>IF(WithPerformance!H21="","",WithPerformance!H21)</f>
        <v>6</v>
      </c>
      <c r="I21" s="28">
        <f>IF(WithPerformance!I21="","",WithPerformance!I21)</f>
        <v>3</v>
      </c>
      <c r="J21" s="40">
        <f>IF(WithPerformance!J21="","",WithPerformance!J21)</f>
        <v>10</v>
      </c>
    </row>
    <row r="22" spans="1:10" s="5" customFormat="1" ht="21.95" customHeight="1">
      <c r="A22" s="25" t="str">
        <f>IF(WithPerformance!A22="","",WithPerformance!A22)</f>
        <v xml:space="preserve"> Jan-14</v>
      </c>
      <c r="B22" s="82">
        <f>IF(WithPerformance!B22="","",WithPerformance!B22)</f>
        <v>140813434.81999999</v>
      </c>
      <c r="C22" s="81">
        <f>IF(WithPerformance!C22="","",WithPerformance!C22)</f>
        <v>137191609</v>
      </c>
      <c r="D22" s="26">
        <f>IF(WithPerformance!D22="","",WithPerformance!D22)</f>
        <v>-2.5720740528982381E-2</v>
      </c>
      <c r="E22" s="27">
        <f>IF(WithPerformance!E22="","",WithPerformance!E22)</f>
        <v>7.5714285710000002</v>
      </c>
      <c r="F22" s="28">
        <f>IF(WithPerformance!F22="","",WithPerformance!F22)</f>
        <v>28</v>
      </c>
      <c r="G22" s="28">
        <f>IF(WithPerformance!G22="","",WithPerformance!G22)</f>
        <v>13</v>
      </c>
      <c r="H22" s="28">
        <f>IF(WithPerformance!H22="","",WithPerformance!H22)</f>
        <v>9</v>
      </c>
      <c r="I22" s="28">
        <f>IF(WithPerformance!I22="","",WithPerformance!I22)</f>
        <v>6</v>
      </c>
      <c r="J22" s="40">
        <f>IF(WithPerformance!J22="","",WithPerformance!J22)</f>
        <v>22</v>
      </c>
    </row>
    <row r="23" spans="1:10" s="5" customFormat="1" ht="21.95" customHeight="1">
      <c r="A23" s="25">
        <f>IF(WithPerformance!A23="","",WithPerformance!A23)</f>
        <v>41684</v>
      </c>
      <c r="B23" s="82">
        <f>IF(WithPerformance!B23="","",WithPerformance!B23)</f>
        <v>92385807</v>
      </c>
      <c r="C23" s="81">
        <f>IF(WithPerformance!C23="","",WithPerformance!C23)</f>
        <v>83500057</v>
      </c>
      <c r="D23" s="26">
        <f>IF(WithPerformance!D23="","",WithPerformance!D23)</f>
        <v>-9.6180899301989101E-2</v>
      </c>
      <c r="E23" s="27">
        <f>IF(WithPerformance!E23="","",WithPerformance!E23)</f>
        <v>6.6</v>
      </c>
      <c r="F23" s="28">
        <f>IF(WithPerformance!F23="","",WithPerformance!F23)</f>
        <v>27</v>
      </c>
      <c r="G23" s="28">
        <f>IF(WithPerformance!G23="","",WithPerformance!G23)</f>
        <v>10</v>
      </c>
      <c r="H23" s="28">
        <f>IF(WithPerformance!H23="","",WithPerformance!H23)</f>
        <v>13</v>
      </c>
      <c r="I23" s="28">
        <f>IF(WithPerformance!I23="","",WithPerformance!I23)</f>
        <v>4</v>
      </c>
      <c r="J23" s="40">
        <f>IF(WithPerformance!J23="","",WithPerformance!J23)</f>
        <v>23</v>
      </c>
    </row>
    <row r="24" spans="1:10" s="5" customFormat="1" ht="21.95" customHeight="1">
      <c r="A24" s="25">
        <f>IF(WithPerformance!A24="","",WithPerformance!A24)</f>
        <v>41712</v>
      </c>
      <c r="B24" s="82">
        <f>IF(WithPerformance!B24="","",WithPerformance!B24)</f>
        <v>210853414</v>
      </c>
      <c r="C24" s="81">
        <f>IF(WithPerformance!C24="","",WithPerformance!C24)</f>
        <v>184251324</v>
      </c>
      <c r="D24" s="26">
        <f>IF(WithPerformance!D24="","",WithPerformance!D24)</f>
        <v>-0.12616390455978105</v>
      </c>
      <c r="E24" s="27">
        <f>IF(WithPerformance!E24="","",WithPerformance!E24)</f>
        <v>6.4</v>
      </c>
      <c r="F24" s="28">
        <f>IF(WithPerformance!F24="","",WithPerformance!F24)</f>
        <v>56</v>
      </c>
      <c r="G24" s="28">
        <f>IF(WithPerformance!G24="","",WithPerformance!G24)</f>
        <v>29</v>
      </c>
      <c r="H24" s="28">
        <f>IF(WithPerformance!H24="","",WithPerformance!H24)</f>
        <v>23</v>
      </c>
      <c r="I24" s="28">
        <f>IF(WithPerformance!I24="","",WithPerformance!I24)</f>
        <v>4</v>
      </c>
      <c r="J24" s="40">
        <f>IF(WithPerformance!J24="","",WithPerformance!J24)</f>
        <v>52</v>
      </c>
    </row>
    <row r="25" spans="1:10" s="5" customFormat="1" ht="21.95" customHeight="1">
      <c r="A25" s="25" t="str">
        <f>IF(WithPerformance!A25="","",WithPerformance!A25)</f>
        <v>* Apr-14</v>
      </c>
      <c r="B25" s="82">
        <f>IF(WithPerformance!B25="","",WithPerformance!B25)</f>
        <v>231265534</v>
      </c>
      <c r="C25" s="81">
        <f>IF(WithPerformance!C25="","",WithPerformance!C25)</f>
        <v>205255562</v>
      </c>
      <c r="D25" s="26">
        <f>IF(WithPerformance!D25="","",WithPerformance!D25)</f>
        <v>-0.11246799966310587</v>
      </c>
      <c r="E25" s="27">
        <f>IF(WithPerformance!E25="","",WithPerformance!E25)</f>
        <v>5.5</v>
      </c>
      <c r="F25" s="28">
        <f>IF(WithPerformance!F25="","",WithPerformance!F25)</f>
        <v>62</v>
      </c>
      <c r="G25" s="28">
        <f>IF(WithPerformance!G25="","",WithPerformance!G25)</f>
        <v>31</v>
      </c>
      <c r="H25" s="28">
        <f>IF(WithPerformance!H25="","",WithPerformance!H25)</f>
        <v>25</v>
      </c>
      <c r="I25" s="28">
        <f>IF(WithPerformance!I25="","",WithPerformance!I25)</f>
        <v>6</v>
      </c>
      <c r="J25" s="40">
        <f>IF(WithPerformance!J25="","",WithPerformance!J25)</f>
        <v>56</v>
      </c>
    </row>
    <row r="26" spans="1:10" s="5" customFormat="1" ht="21.95" customHeight="1">
      <c r="A26" s="25" t="str">
        <f>IF(WithPerformance!A26="","",WithPerformance!A26)</f>
        <v>* May-14</v>
      </c>
      <c r="B26" s="82">
        <f>IF(WithPerformance!B26="","",WithPerformance!B26)</f>
        <v>140508630</v>
      </c>
      <c r="C26" s="81">
        <f>IF(WithPerformance!C26="","",WithPerformance!C26)</f>
        <v>134448039</v>
      </c>
      <c r="D26" s="26">
        <f>IF(WithPerformance!D26="","",WithPerformance!D26)</f>
        <v>-4.3133229610167002E-2</v>
      </c>
      <c r="E26" s="27">
        <f>IF(WithPerformance!E26="","",WithPerformance!E26)</f>
        <v>4.8</v>
      </c>
      <c r="F26" s="28">
        <f>IF(WithPerformance!F26="","",WithPerformance!F26)</f>
        <v>57</v>
      </c>
      <c r="G26" s="28">
        <f>IF(WithPerformance!G26="","",WithPerformance!G26)</f>
        <v>31</v>
      </c>
      <c r="H26" s="28">
        <f>IF(WithPerformance!H26="","",WithPerformance!H26)</f>
        <v>18</v>
      </c>
      <c r="I26" s="28">
        <f>IF(WithPerformance!I26="","",WithPerformance!I26)</f>
        <v>8</v>
      </c>
      <c r="J26" s="40">
        <f>IF(WithPerformance!J26="","",WithPerformance!J26)</f>
        <v>49</v>
      </c>
    </row>
    <row r="27" spans="1:10" s="5" customFormat="1" ht="21.95" customHeight="1" thickBot="1">
      <c r="A27" s="30">
        <f>IF(WithPerformance!A27="","",WithPerformance!A27)</f>
        <v>41791</v>
      </c>
      <c r="B27" s="83">
        <f>IF(WithPerformance!B27="","",WithPerformance!B27)</f>
        <v>231614414</v>
      </c>
      <c r="C27" s="84">
        <f>IF(WithPerformance!C27="","",WithPerformance!C27)</f>
        <v>221633094</v>
      </c>
      <c r="D27" s="31">
        <f>IF(WithPerformance!D27="","",WithPerformance!D27)</f>
        <v>-4.3094554555659047E-2</v>
      </c>
      <c r="E27" s="32">
        <f>IF(WithPerformance!E27="","",WithPerformance!E27)</f>
        <v>5</v>
      </c>
      <c r="F27" s="33">
        <f>IF(WithPerformance!F27="","",WithPerformance!F27)</f>
        <v>20</v>
      </c>
      <c r="G27" s="33">
        <f>IF(WithPerformance!G27="","",WithPerformance!G27)</f>
        <v>5</v>
      </c>
      <c r="H27" s="33">
        <f>IF(WithPerformance!H27="","",WithPerformance!H27)</f>
        <v>12</v>
      </c>
      <c r="I27" s="33">
        <f>IF(WithPerformance!I27="","",WithPerformance!I27)</f>
        <v>3</v>
      </c>
      <c r="J27" s="41">
        <f>IF(WithPerformance!J27="","",WithPerformance!J27)</f>
        <v>17</v>
      </c>
    </row>
    <row r="28" spans="1:10" s="5" customFormat="1" ht="24" customHeight="1" thickBot="1">
      <c r="A28" s="20" t="str">
        <f>IF(WithPerformance!A28="","",WithPerformance!A28)</f>
        <v>Jul 13 - Jun 14</v>
      </c>
      <c r="B28" s="85">
        <f>IF(WithPerformance!B28="","",WithPerformance!B28)</f>
        <v>1873165943.9100001</v>
      </c>
      <c r="C28" s="86">
        <f>IF(WithPerformance!C28="","",WithPerformance!C28)</f>
        <v>1712739686.76</v>
      </c>
      <c r="D28" s="35">
        <f>IF(WithPerformance!D28="","",WithPerformance!D28)</f>
        <v>-8.5644444728228561E-2</v>
      </c>
      <c r="E28" s="42">
        <f>IF(WithPerformance!E28="","",WithPerformance!E28)</f>
        <v>5.9569580381089917</v>
      </c>
      <c r="F28" s="37">
        <f>IF(WithPerformance!F28="","",WithPerformance!F28)</f>
        <v>367</v>
      </c>
      <c r="G28" s="37">
        <f>IF(WithPerformance!G28="","",WithPerformance!G28)</f>
        <v>175</v>
      </c>
      <c r="H28" s="37">
        <f>IF(WithPerformance!H28="","",WithPerformance!H28)</f>
        <v>144</v>
      </c>
      <c r="I28" s="37">
        <f>IF(WithPerformance!I28="","",WithPerformance!I28)</f>
        <v>48</v>
      </c>
      <c r="J28" s="38">
        <f>IF(WithPerformance!J28="","",WithPerformance!J28)</f>
        <v>319</v>
      </c>
    </row>
    <row r="29" spans="1:10" s="5" customFormat="1" ht="24" customHeight="1" thickBot="1">
      <c r="A29" s="43" t="s">
        <v>0</v>
      </c>
      <c r="B29" s="85">
        <f>B15+B28</f>
        <v>4740733576.5300007</v>
      </c>
      <c r="C29" s="86">
        <f>C15+C28</f>
        <v>4313031460.6300001</v>
      </c>
      <c r="D29" s="35">
        <f>(C29-B29)/B29</f>
        <v>-9.0218551410994691E-2</v>
      </c>
      <c r="E29" s="42">
        <f>(F28*E28+F15*E15)/F29</f>
        <v>6.0636851794222215</v>
      </c>
      <c r="F29" s="37">
        <f>F15+F28</f>
        <v>810</v>
      </c>
      <c r="G29" s="37">
        <f>G15+G28</f>
        <v>359</v>
      </c>
      <c r="H29" s="37">
        <f>H15+H28</f>
        <v>338</v>
      </c>
      <c r="I29" s="37">
        <f>I15+I28</f>
        <v>113</v>
      </c>
      <c r="J29" s="38">
        <f>J15+J28</f>
        <v>697</v>
      </c>
    </row>
    <row r="30" spans="1:10" ht="21.95" customHeight="1" thickBot="1">
      <c r="A30" s="134" t="s">
        <v>85</v>
      </c>
      <c r="B30" s="135"/>
      <c r="C30" s="135"/>
      <c r="D30" s="135"/>
      <c r="E30" s="135"/>
      <c r="F30" s="135"/>
      <c r="G30" s="135"/>
      <c r="H30" s="135"/>
      <c r="I30" s="135"/>
      <c r="J30" s="136"/>
    </row>
    <row r="31" spans="1:10" ht="15" customHeight="1"/>
    <row r="56" spans="1:10" ht="16.5" customHeight="1"/>
    <row r="57" spans="1:10" ht="13.5" customHeight="1">
      <c r="A57" s="137"/>
      <c r="B57" s="137"/>
      <c r="C57" s="137"/>
      <c r="D57" s="137"/>
      <c r="E57" s="137"/>
      <c r="F57" s="137"/>
    </row>
    <row r="58" spans="1:10" ht="22.5" customHeight="1">
      <c r="A58" s="138"/>
      <c r="B58" s="138"/>
      <c r="C58" s="138"/>
      <c r="D58" s="138"/>
      <c r="E58" s="138"/>
      <c r="F58" s="138"/>
      <c r="G58" s="138"/>
      <c r="H58" s="138"/>
      <c r="I58" s="138"/>
      <c r="J58" s="138"/>
    </row>
    <row r="59" spans="1:10" ht="11.25" customHeight="1">
      <c r="A59" s="139"/>
      <c r="B59" s="139"/>
      <c r="C59" s="139"/>
      <c r="D59" s="139"/>
      <c r="E59" s="139"/>
      <c r="F59" s="139"/>
      <c r="G59" s="139"/>
      <c r="H59" s="139"/>
      <c r="I59" s="139"/>
    </row>
  </sheetData>
  <mergeCells count="5">
    <mergeCell ref="A57:F57"/>
    <mergeCell ref="A1:J1"/>
    <mergeCell ref="A59:I59"/>
    <mergeCell ref="A58:J58"/>
    <mergeCell ref="A30:J30"/>
  </mergeCells>
  <phoneticPr fontId="0" type="noConversion"/>
  <printOptions horizontalCentered="1" verticalCentered="1"/>
  <pageMargins left="0.25" right="0.25" top="0.55000000000000004" bottom="0.15" header="0.25" footer="0.5"/>
  <pageSetup scale="66" orientation="portrait" r:id="rId1"/>
</worksheet>
</file>

<file path=xl/worksheets/sheet3.xml><?xml version="1.0" encoding="utf-8"?>
<worksheet xmlns="http://schemas.openxmlformats.org/spreadsheetml/2006/main" xmlns:r="http://schemas.openxmlformats.org/officeDocument/2006/relationships">
  <dimension ref="A1:H30"/>
  <sheetViews>
    <sheetView workbookViewId="0">
      <selection activeCell="J29" sqref="J29"/>
    </sheetView>
  </sheetViews>
  <sheetFormatPr defaultRowHeight="12.75"/>
  <cols>
    <col min="1" max="1" width="16.85546875" customWidth="1"/>
    <col min="2" max="2" width="13.7109375" style="8" customWidth="1"/>
    <col min="3" max="3" width="11.5703125" style="8" customWidth="1"/>
    <col min="4" max="4" width="12.28515625" style="8" customWidth="1"/>
    <col min="5" max="5" width="10.5703125" style="8" customWidth="1"/>
    <col min="6" max="6" width="10.28515625" style="8" customWidth="1"/>
    <col min="7" max="7" width="12.28515625" style="8" customWidth="1"/>
    <col min="8" max="8" width="9.5703125" style="8" customWidth="1"/>
  </cols>
  <sheetData>
    <row r="1" spans="1:8" ht="51" customHeight="1" thickBot="1">
      <c r="A1" s="140" t="s">
        <v>93</v>
      </c>
      <c r="B1" s="141"/>
      <c r="C1" s="141"/>
      <c r="D1" s="141"/>
      <c r="E1" s="141"/>
      <c r="F1" s="141"/>
      <c r="G1" s="141"/>
      <c r="H1" s="142"/>
    </row>
    <row r="2" spans="1:8" s="9" customFormat="1" ht="41.25" customHeight="1" thickBot="1">
      <c r="A2" s="68" t="s">
        <v>10</v>
      </c>
      <c r="B2" s="69" t="s">
        <v>11</v>
      </c>
      <c r="C2" s="69" t="s">
        <v>12</v>
      </c>
      <c r="D2" s="69" t="s">
        <v>13</v>
      </c>
      <c r="E2" s="69" t="s">
        <v>14</v>
      </c>
      <c r="F2" s="69" t="s">
        <v>15</v>
      </c>
      <c r="G2" s="69" t="s">
        <v>16</v>
      </c>
      <c r="H2" s="70" t="s">
        <v>17</v>
      </c>
    </row>
    <row r="3" spans="1:8" ht="20.25" customHeight="1">
      <c r="A3" s="20">
        <v>40739</v>
      </c>
      <c r="B3" s="57"/>
      <c r="C3" s="57"/>
      <c r="D3" s="57">
        <v>12</v>
      </c>
      <c r="E3" s="57">
        <v>1</v>
      </c>
      <c r="F3" s="57"/>
      <c r="G3" s="57"/>
      <c r="H3" s="71">
        <f>SUM(B3:G3)</f>
        <v>13</v>
      </c>
    </row>
    <row r="4" spans="1:8" ht="20.25" customHeight="1">
      <c r="A4" s="25">
        <v>40766</v>
      </c>
      <c r="B4" s="59">
        <v>1</v>
      </c>
      <c r="C4" s="59"/>
      <c r="D4" s="59">
        <v>18</v>
      </c>
      <c r="E4" s="59">
        <v>1</v>
      </c>
      <c r="F4" s="59">
        <v>1</v>
      </c>
      <c r="G4" s="59"/>
      <c r="H4" s="72">
        <f t="shared" ref="H4:H14" si="0">SUM(B4:G4)</f>
        <v>21</v>
      </c>
    </row>
    <row r="5" spans="1:8" ht="20.25" customHeight="1">
      <c r="A5" s="25">
        <v>40797</v>
      </c>
      <c r="B5" s="59"/>
      <c r="C5" s="59"/>
      <c r="D5" s="59">
        <v>16</v>
      </c>
      <c r="E5" s="59">
        <v>1</v>
      </c>
      <c r="F5" s="59">
        <v>4</v>
      </c>
      <c r="G5" s="59"/>
      <c r="H5" s="72">
        <f t="shared" si="0"/>
        <v>21</v>
      </c>
    </row>
    <row r="6" spans="1:8" ht="20.25" customHeight="1">
      <c r="A6" s="25">
        <v>40827</v>
      </c>
      <c r="B6" s="59">
        <v>1</v>
      </c>
      <c r="C6" s="59">
        <v>2</v>
      </c>
      <c r="D6" s="59">
        <v>27</v>
      </c>
      <c r="E6" s="59">
        <v>2</v>
      </c>
      <c r="F6" s="59">
        <v>3</v>
      </c>
      <c r="G6" s="59">
        <v>3</v>
      </c>
      <c r="H6" s="72">
        <f t="shared" si="0"/>
        <v>38</v>
      </c>
    </row>
    <row r="7" spans="1:8" ht="20.25" customHeight="1">
      <c r="A7" s="25">
        <v>40858</v>
      </c>
      <c r="B7" s="59">
        <v>6</v>
      </c>
      <c r="C7" s="59">
        <v>1</v>
      </c>
      <c r="D7" s="59">
        <v>21</v>
      </c>
      <c r="E7" s="59">
        <v>2</v>
      </c>
      <c r="F7" s="59">
        <v>3</v>
      </c>
      <c r="G7" s="59">
        <v>1</v>
      </c>
      <c r="H7" s="72">
        <f t="shared" si="0"/>
        <v>34</v>
      </c>
    </row>
    <row r="8" spans="1:8" ht="20.25" customHeight="1">
      <c r="A8" s="25">
        <v>40888</v>
      </c>
      <c r="B8" s="59">
        <v>6</v>
      </c>
      <c r="C8" s="59"/>
      <c r="D8" s="59">
        <v>13</v>
      </c>
      <c r="E8" s="59">
        <v>2</v>
      </c>
      <c r="F8" s="59">
        <v>2</v>
      </c>
      <c r="G8" s="59">
        <v>3</v>
      </c>
      <c r="H8" s="72">
        <f t="shared" si="0"/>
        <v>26</v>
      </c>
    </row>
    <row r="9" spans="1:8" ht="20.25" customHeight="1">
      <c r="A9" s="25">
        <v>40920</v>
      </c>
      <c r="B9" s="59">
        <v>14</v>
      </c>
      <c r="C9" s="59">
        <v>3</v>
      </c>
      <c r="D9" s="59">
        <v>15</v>
      </c>
      <c r="E9" s="59"/>
      <c r="F9" s="59"/>
      <c r="G9" s="59"/>
      <c r="H9" s="72">
        <f t="shared" si="0"/>
        <v>32</v>
      </c>
    </row>
    <row r="10" spans="1:8" ht="20.25" customHeight="1">
      <c r="A10" s="25">
        <v>40951</v>
      </c>
      <c r="B10" s="59">
        <v>22</v>
      </c>
      <c r="C10" s="59">
        <v>5</v>
      </c>
      <c r="D10" s="59">
        <v>13</v>
      </c>
      <c r="E10" s="59">
        <v>1</v>
      </c>
      <c r="F10" s="59">
        <v>6</v>
      </c>
      <c r="G10" s="59"/>
      <c r="H10" s="72">
        <f t="shared" si="0"/>
        <v>47</v>
      </c>
    </row>
    <row r="11" spans="1:8" ht="20.25" customHeight="1">
      <c r="A11" s="25">
        <v>40980</v>
      </c>
      <c r="B11" s="59">
        <v>38</v>
      </c>
      <c r="C11" s="59">
        <v>10</v>
      </c>
      <c r="D11" s="59">
        <v>13</v>
      </c>
      <c r="E11" s="59">
        <v>1</v>
      </c>
      <c r="F11" s="59">
        <v>4</v>
      </c>
      <c r="G11" s="59"/>
      <c r="H11" s="72">
        <f t="shared" si="0"/>
        <v>66</v>
      </c>
    </row>
    <row r="12" spans="1:8" ht="20.25" customHeight="1">
      <c r="A12" s="25">
        <v>41011</v>
      </c>
      <c r="B12" s="59">
        <v>63</v>
      </c>
      <c r="C12" s="59">
        <v>7</v>
      </c>
      <c r="D12" s="59">
        <v>5</v>
      </c>
      <c r="E12" s="59">
        <v>1</v>
      </c>
      <c r="F12" s="59">
        <v>6</v>
      </c>
      <c r="G12" s="59">
        <v>2</v>
      </c>
      <c r="H12" s="72">
        <f t="shared" si="0"/>
        <v>84</v>
      </c>
    </row>
    <row r="13" spans="1:8" ht="20.25" customHeight="1">
      <c r="A13" s="25">
        <v>41041</v>
      </c>
      <c r="B13" s="59">
        <v>49</v>
      </c>
      <c r="C13" s="59">
        <v>24</v>
      </c>
      <c r="D13" s="59">
        <v>12</v>
      </c>
      <c r="E13" s="59">
        <v>2</v>
      </c>
      <c r="F13" s="59">
        <v>3</v>
      </c>
      <c r="G13" s="59">
        <v>4</v>
      </c>
      <c r="H13" s="72">
        <f t="shared" si="0"/>
        <v>94</v>
      </c>
    </row>
    <row r="14" spans="1:8" ht="20.25" customHeight="1" thickBot="1">
      <c r="A14" s="25">
        <v>41072</v>
      </c>
      <c r="B14" s="59">
        <v>1</v>
      </c>
      <c r="C14" s="59"/>
      <c r="D14" s="59">
        <v>10</v>
      </c>
      <c r="E14" s="59">
        <v>1</v>
      </c>
      <c r="F14" s="59">
        <v>3</v>
      </c>
      <c r="G14" s="59"/>
      <c r="H14" s="72">
        <f t="shared" si="0"/>
        <v>15</v>
      </c>
    </row>
    <row r="15" spans="1:8" s="10" customFormat="1" ht="25.5" customHeight="1" thickBot="1">
      <c r="A15" s="13" t="s">
        <v>25</v>
      </c>
      <c r="B15" s="61">
        <f t="shared" ref="B15:G15" si="1">SUM(B3:B14)</f>
        <v>201</v>
      </c>
      <c r="C15" s="61">
        <f t="shared" si="1"/>
        <v>52</v>
      </c>
      <c r="D15" s="61">
        <f t="shared" si="1"/>
        <v>175</v>
      </c>
      <c r="E15" s="61">
        <f t="shared" si="1"/>
        <v>15</v>
      </c>
      <c r="F15" s="61">
        <f t="shared" si="1"/>
        <v>35</v>
      </c>
      <c r="G15" s="61">
        <f t="shared" si="1"/>
        <v>13</v>
      </c>
      <c r="H15" s="74">
        <f>SUM(B15:G15)</f>
        <v>491</v>
      </c>
    </row>
    <row r="16" spans="1:8" ht="20.25" customHeight="1">
      <c r="A16" s="116" t="s">
        <v>82</v>
      </c>
      <c r="B16" s="57">
        <v>1</v>
      </c>
      <c r="C16" s="57"/>
      <c r="D16" s="57">
        <v>21</v>
      </c>
      <c r="E16" s="57">
        <v>3</v>
      </c>
      <c r="F16" s="57">
        <v>3</v>
      </c>
      <c r="G16" s="57"/>
      <c r="H16" s="71">
        <f>SUM(B16:G16)</f>
        <v>28</v>
      </c>
    </row>
    <row r="17" spans="1:8" ht="20.25" customHeight="1">
      <c r="A17" s="25">
        <v>41133</v>
      </c>
      <c r="B17" s="59"/>
      <c r="C17" s="59"/>
      <c r="D17" s="59">
        <v>15</v>
      </c>
      <c r="E17" s="59">
        <v>4</v>
      </c>
      <c r="F17" s="59">
        <v>4</v>
      </c>
      <c r="G17" s="59">
        <v>2</v>
      </c>
      <c r="H17" s="72">
        <f>SUM(B17:G17)</f>
        <v>25</v>
      </c>
    </row>
    <row r="18" spans="1:8" ht="20.25" customHeight="1">
      <c r="A18" s="110" t="s">
        <v>91</v>
      </c>
      <c r="B18" s="59">
        <v>1</v>
      </c>
      <c r="C18" s="59"/>
      <c r="D18" s="59">
        <v>20</v>
      </c>
      <c r="E18" s="59">
        <v>4</v>
      </c>
      <c r="F18" s="59">
        <v>5</v>
      </c>
      <c r="G18" s="59">
        <v>4</v>
      </c>
      <c r="H18" s="72">
        <f>SUM(B18:G18)</f>
        <v>34</v>
      </c>
    </row>
    <row r="19" spans="1:8" ht="20.25" customHeight="1">
      <c r="A19" s="25"/>
      <c r="B19" s="59"/>
      <c r="C19" s="59"/>
      <c r="D19" s="59"/>
      <c r="E19" s="59"/>
      <c r="F19" s="59"/>
      <c r="G19" s="59"/>
      <c r="H19" s="72"/>
    </row>
    <row r="20" spans="1:8" ht="20.25" customHeight="1">
      <c r="A20" s="25"/>
      <c r="B20" s="59"/>
      <c r="C20" s="59"/>
      <c r="D20" s="59"/>
      <c r="E20" s="59"/>
      <c r="F20" s="59"/>
      <c r="G20" s="59"/>
      <c r="H20" s="72"/>
    </row>
    <row r="21" spans="1:8" ht="20.25" customHeight="1">
      <c r="A21" s="25"/>
      <c r="B21" s="59"/>
      <c r="C21" s="59"/>
      <c r="D21" s="59"/>
      <c r="E21" s="59"/>
      <c r="F21" s="59"/>
      <c r="G21" s="59"/>
      <c r="H21" s="72"/>
    </row>
    <row r="22" spans="1:8" ht="20.25" customHeight="1">
      <c r="A22" s="25"/>
      <c r="B22" s="59"/>
      <c r="C22" s="59"/>
      <c r="D22" s="59"/>
      <c r="E22" s="59"/>
      <c r="F22" s="59"/>
      <c r="G22" s="59"/>
      <c r="H22" s="72"/>
    </row>
    <row r="23" spans="1:8" ht="20.25" customHeight="1">
      <c r="A23" s="25"/>
      <c r="B23" s="59"/>
      <c r="C23" s="59"/>
      <c r="D23" s="59"/>
      <c r="E23" s="59"/>
      <c r="F23" s="59"/>
      <c r="G23" s="59"/>
      <c r="H23" s="72"/>
    </row>
    <row r="24" spans="1:8" ht="20.25" customHeight="1">
      <c r="A24" s="25"/>
      <c r="B24" s="59"/>
      <c r="C24" s="59"/>
      <c r="D24" s="59"/>
      <c r="E24" s="59"/>
      <c r="F24" s="59"/>
      <c r="G24" s="59"/>
      <c r="H24" s="72"/>
    </row>
    <row r="25" spans="1:8" ht="20.25" customHeight="1">
      <c r="A25" s="25"/>
      <c r="B25" s="59"/>
      <c r="C25" s="59"/>
      <c r="D25" s="59"/>
      <c r="E25" s="59"/>
      <c r="F25" s="59"/>
      <c r="G25" s="59"/>
      <c r="H25" s="72"/>
    </row>
    <row r="26" spans="1:8" ht="20.25" customHeight="1">
      <c r="A26" s="25"/>
      <c r="B26" s="59"/>
      <c r="C26" s="59"/>
      <c r="D26" s="59"/>
      <c r="E26" s="59"/>
      <c r="F26" s="59"/>
      <c r="G26" s="59"/>
      <c r="H26" s="72"/>
    </row>
    <row r="27" spans="1:8" ht="20.25" customHeight="1">
      <c r="A27" s="25"/>
      <c r="B27" s="59"/>
      <c r="C27" s="59"/>
      <c r="D27" s="59"/>
      <c r="E27" s="59"/>
      <c r="F27" s="59"/>
      <c r="G27" s="59"/>
      <c r="H27" s="72"/>
    </row>
    <row r="28" spans="1:8" ht="25.5" customHeight="1" thickBot="1">
      <c r="A28" s="30" t="s">
        <v>92</v>
      </c>
      <c r="B28" s="75">
        <f>SUM(B16:B27)</f>
        <v>2</v>
      </c>
      <c r="C28" s="75">
        <f t="shared" ref="C28:H28" si="2">SUM(C16:C27)</f>
        <v>0</v>
      </c>
      <c r="D28" s="75">
        <f t="shared" si="2"/>
        <v>56</v>
      </c>
      <c r="E28" s="75">
        <f t="shared" si="2"/>
        <v>11</v>
      </c>
      <c r="F28" s="75">
        <f t="shared" si="2"/>
        <v>12</v>
      </c>
      <c r="G28" s="75">
        <f t="shared" si="2"/>
        <v>6</v>
      </c>
      <c r="H28" s="73">
        <f t="shared" si="2"/>
        <v>87</v>
      </c>
    </row>
    <row r="29" spans="1:8" ht="25.5" customHeight="1" thickBot="1">
      <c r="A29" s="67" t="s">
        <v>0</v>
      </c>
      <c r="B29" s="76">
        <f t="shared" ref="B29:H29" si="3">B15+B28</f>
        <v>203</v>
      </c>
      <c r="C29" s="76">
        <f t="shared" si="3"/>
        <v>52</v>
      </c>
      <c r="D29" s="76">
        <f t="shared" si="3"/>
        <v>231</v>
      </c>
      <c r="E29" s="76">
        <f t="shared" si="3"/>
        <v>26</v>
      </c>
      <c r="F29" s="76">
        <f t="shared" si="3"/>
        <v>47</v>
      </c>
      <c r="G29" s="76">
        <f t="shared" si="3"/>
        <v>19</v>
      </c>
      <c r="H29" s="77">
        <f t="shared" si="3"/>
        <v>578</v>
      </c>
    </row>
    <row r="30" spans="1:8" ht="23.25" customHeight="1">
      <c r="A30" s="11"/>
      <c r="B30" s="7"/>
      <c r="C30" s="7"/>
      <c r="D30" s="7"/>
      <c r="E30" s="7"/>
      <c r="F30" s="7"/>
      <c r="G30" s="7"/>
      <c r="H30" s="7"/>
    </row>
  </sheetData>
  <mergeCells count="1">
    <mergeCell ref="A1:H1"/>
  </mergeCells>
  <phoneticPr fontId="0" type="noConversion"/>
  <pageMargins left="0.5" right="0.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dimension ref="A1:J29"/>
  <sheetViews>
    <sheetView topLeftCell="A16" workbookViewId="0">
      <selection activeCell="J6" sqref="J6"/>
    </sheetView>
  </sheetViews>
  <sheetFormatPr defaultRowHeight="12.75"/>
  <cols>
    <col min="1" max="1" width="10.5703125" customWidth="1"/>
    <col min="2" max="2" width="12.5703125" style="8" customWidth="1"/>
    <col min="3" max="8" width="8.7109375" style="8" customWidth="1"/>
    <col min="9" max="9" width="13.42578125" style="8" customWidth="1"/>
    <col min="10" max="10" width="7" customWidth="1"/>
  </cols>
  <sheetData>
    <row r="1" spans="1:10" ht="39" customHeight="1" thickBot="1">
      <c r="A1" s="143" t="s">
        <v>94</v>
      </c>
      <c r="B1" s="144"/>
      <c r="C1" s="144"/>
      <c r="D1" s="144"/>
      <c r="E1" s="144"/>
      <c r="F1" s="144"/>
      <c r="G1" s="144"/>
      <c r="H1" s="144"/>
      <c r="I1" s="144"/>
      <c r="J1" s="145"/>
    </row>
    <row r="2" spans="1:10" ht="46.5" customHeight="1" thickBot="1">
      <c r="A2" s="54" t="s">
        <v>10</v>
      </c>
      <c r="B2" s="55" t="s">
        <v>18</v>
      </c>
      <c r="C2" s="55" t="s">
        <v>19</v>
      </c>
      <c r="D2" s="55" t="s">
        <v>20</v>
      </c>
      <c r="E2" s="55" t="s">
        <v>21</v>
      </c>
      <c r="F2" s="55" t="s">
        <v>22</v>
      </c>
      <c r="G2" s="55" t="s">
        <v>26</v>
      </c>
      <c r="H2" s="55" t="s">
        <v>23</v>
      </c>
      <c r="I2" s="55" t="s">
        <v>24</v>
      </c>
      <c r="J2" s="56" t="s">
        <v>0</v>
      </c>
    </row>
    <row r="3" spans="1:10" s="58" customFormat="1" ht="19.5" customHeight="1">
      <c r="A3" s="20">
        <v>40739</v>
      </c>
      <c r="B3" s="57"/>
      <c r="C3" s="57"/>
      <c r="D3" s="57"/>
      <c r="E3" s="57"/>
      <c r="F3" s="57"/>
      <c r="G3" s="57"/>
      <c r="H3" s="57"/>
      <c r="I3" s="57"/>
      <c r="J3" s="63">
        <f>SUM(B3:I3)</f>
        <v>0</v>
      </c>
    </row>
    <row r="4" spans="1:10" s="58" customFormat="1" ht="19.5" customHeight="1">
      <c r="A4" s="25">
        <v>40766</v>
      </c>
      <c r="B4" s="59"/>
      <c r="C4" s="59"/>
      <c r="D4" s="59"/>
      <c r="E4" s="59"/>
      <c r="F4" s="59"/>
      <c r="G4" s="59"/>
      <c r="H4" s="59"/>
      <c r="I4" s="59"/>
      <c r="J4" s="60">
        <v>0</v>
      </c>
    </row>
    <row r="5" spans="1:10" s="58" customFormat="1" ht="19.5" customHeight="1">
      <c r="A5" s="25">
        <v>40797</v>
      </c>
      <c r="B5" s="59"/>
      <c r="C5" s="59"/>
      <c r="D5" s="59"/>
      <c r="E5" s="59"/>
      <c r="F5" s="59"/>
      <c r="G5" s="59"/>
      <c r="H5" s="59"/>
      <c r="I5" s="59"/>
      <c r="J5" s="60">
        <v>0</v>
      </c>
    </row>
    <row r="6" spans="1:10" s="58" customFormat="1" ht="19.5" customHeight="1">
      <c r="A6" s="25">
        <v>40827</v>
      </c>
      <c r="B6" s="59"/>
      <c r="C6" s="59">
        <v>1</v>
      </c>
      <c r="D6" s="59">
        <v>1</v>
      </c>
      <c r="E6" s="59"/>
      <c r="F6" s="59">
        <v>1</v>
      </c>
      <c r="G6" s="59"/>
      <c r="H6" s="59"/>
      <c r="I6" s="59"/>
      <c r="J6" s="60">
        <f>SUM(B6:I6)</f>
        <v>3</v>
      </c>
    </row>
    <row r="7" spans="1:10" s="58" customFormat="1" ht="19.5" customHeight="1">
      <c r="A7" s="25">
        <v>40858</v>
      </c>
      <c r="B7" s="59"/>
      <c r="C7" s="59"/>
      <c r="D7" s="59">
        <v>1</v>
      </c>
      <c r="E7" s="59"/>
      <c r="F7" s="59"/>
      <c r="G7" s="59"/>
      <c r="H7" s="59"/>
      <c r="I7" s="59"/>
      <c r="J7" s="60">
        <f>SUM(B7:I7)</f>
        <v>1</v>
      </c>
    </row>
    <row r="8" spans="1:10" s="58" customFormat="1" ht="19.5" customHeight="1">
      <c r="A8" s="25">
        <v>40888</v>
      </c>
      <c r="B8" s="59"/>
      <c r="C8" s="59"/>
      <c r="D8" s="59">
        <v>1</v>
      </c>
      <c r="E8" s="59"/>
      <c r="F8" s="59">
        <v>2</v>
      </c>
      <c r="G8" s="59"/>
      <c r="H8" s="59"/>
      <c r="I8" s="59"/>
      <c r="J8" s="60">
        <f>SUM(B8:I8)</f>
        <v>3</v>
      </c>
    </row>
    <row r="9" spans="1:10" s="58" customFormat="1" ht="19.5" customHeight="1">
      <c r="A9" s="25">
        <v>40919</v>
      </c>
      <c r="B9" s="59"/>
      <c r="C9" s="59"/>
      <c r="D9" s="59"/>
      <c r="E9" s="59"/>
      <c r="F9" s="59"/>
      <c r="G9" s="59"/>
      <c r="H9" s="59"/>
      <c r="I9" s="59"/>
      <c r="J9" s="60"/>
    </row>
    <row r="10" spans="1:10" s="58" customFormat="1" ht="19.5" customHeight="1">
      <c r="A10" s="25">
        <v>40951</v>
      </c>
      <c r="B10" s="59"/>
      <c r="C10" s="59"/>
      <c r="D10" s="59"/>
      <c r="E10" s="59"/>
      <c r="F10" s="59"/>
      <c r="G10" s="59"/>
      <c r="H10" s="59"/>
      <c r="I10" s="59"/>
      <c r="J10" s="60"/>
    </row>
    <row r="11" spans="1:10" s="58" customFormat="1" ht="19.5" customHeight="1">
      <c r="A11" s="25">
        <v>40980</v>
      </c>
      <c r="B11" s="59"/>
      <c r="C11" s="59"/>
      <c r="D11" s="59"/>
      <c r="E11" s="59"/>
      <c r="F11" s="59"/>
      <c r="G11" s="59"/>
      <c r="H11" s="59"/>
      <c r="I11" s="59"/>
      <c r="J11" s="60"/>
    </row>
    <row r="12" spans="1:10" s="58" customFormat="1" ht="19.5" customHeight="1">
      <c r="A12" s="25">
        <v>41011</v>
      </c>
      <c r="B12" s="59"/>
      <c r="C12" s="59">
        <v>2</v>
      </c>
      <c r="D12" s="59"/>
      <c r="E12" s="59"/>
      <c r="F12" s="59"/>
      <c r="G12" s="59"/>
      <c r="H12" s="59"/>
      <c r="I12" s="59"/>
      <c r="J12" s="60">
        <f t="shared" ref="J12:J13" si="0">SUM(B12:I12)</f>
        <v>2</v>
      </c>
    </row>
    <row r="13" spans="1:10" s="58" customFormat="1" ht="19.5" customHeight="1">
      <c r="A13" s="25">
        <v>41041</v>
      </c>
      <c r="B13" s="59"/>
      <c r="C13" s="59">
        <v>3</v>
      </c>
      <c r="D13" s="59">
        <v>1</v>
      </c>
      <c r="E13" s="59"/>
      <c r="F13" s="59"/>
      <c r="G13" s="59"/>
      <c r="H13" s="59"/>
      <c r="I13" s="59"/>
      <c r="J13" s="60">
        <f t="shared" si="0"/>
        <v>4</v>
      </c>
    </row>
    <row r="14" spans="1:10" s="58" customFormat="1" ht="19.5" customHeight="1" thickBot="1">
      <c r="A14" s="30">
        <v>41072</v>
      </c>
      <c r="B14" s="64"/>
      <c r="C14" s="64"/>
      <c r="D14" s="64"/>
      <c r="E14" s="64"/>
      <c r="F14" s="64"/>
      <c r="G14" s="64"/>
      <c r="H14" s="64"/>
      <c r="I14" s="64"/>
      <c r="J14" s="65"/>
    </row>
    <row r="15" spans="1:10" s="58" customFormat="1" ht="30" customHeight="1" thickBot="1">
      <c r="A15" s="13" t="s">
        <v>79</v>
      </c>
      <c r="B15" s="61">
        <f t="shared" ref="B15:I15" si="1">SUM(B3:B14)</f>
        <v>0</v>
      </c>
      <c r="C15" s="61">
        <f t="shared" si="1"/>
        <v>6</v>
      </c>
      <c r="D15" s="61">
        <f t="shared" si="1"/>
        <v>4</v>
      </c>
      <c r="E15" s="61">
        <f t="shared" si="1"/>
        <v>0</v>
      </c>
      <c r="F15" s="61">
        <f t="shared" si="1"/>
        <v>3</v>
      </c>
      <c r="G15" s="61">
        <f t="shared" si="1"/>
        <v>0</v>
      </c>
      <c r="H15" s="61">
        <f t="shared" si="1"/>
        <v>0</v>
      </c>
      <c r="I15" s="61">
        <f t="shared" si="1"/>
        <v>0</v>
      </c>
      <c r="J15" s="62">
        <f>SUM(B15:I15)</f>
        <v>13</v>
      </c>
    </row>
    <row r="16" spans="1:10" s="58" customFormat="1" ht="19.5" customHeight="1">
      <c r="A16" s="116" t="s">
        <v>82</v>
      </c>
      <c r="B16" s="57"/>
      <c r="C16" s="57"/>
      <c r="D16" s="57"/>
      <c r="E16" s="57"/>
      <c r="F16" s="57"/>
      <c r="G16" s="57"/>
      <c r="H16" s="57"/>
      <c r="I16" s="57"/>
      <c r="J16" s="63"/>
    </row>
    <row r="17" spans="1:10" s="58" customFormat="1" ht="19.5" customHeight="1">
      <c r="A17" s="25">
        <v>41133</v>
      </c>
      <c r="B17" s="59"/>
      <c r="C17" s="59"/>
      <c r="D17" s="59">
        <v>1</v>
      </c>
      <c r="E17" s="59"/>
      <c r="F17" s="59">
        <v>1</v>
      </c>
      <c r="G17" s="59"/>
      <c r="H17" s="59"/>
      <c r="I17" s="59"/>
      <c r="J17" s="60">
        <f t="shared" ref="J17:J18" si="2">SUM(B17:I17)</f>
        <v>2</v>
      </c>
    </row>
    <row r="18" spans="1:10" s="58" customFormat="1" ht="19.5" customHeight="1">
      <c r="A18" s="110" t="s">
        <v>91</v>
      </c>
      <c r="B18" s="59"/>
      <c r="C18" s="59"/>
      <c r="D18" s="59">
        <v>1</v>
      </c>
      <c r="E18" s="59"/>
      <c r="F18" s="59">
        <v>3</v>
      </c>
      <c r="G18" s="59"/>
      <c r="H18" s="59"/>
      <c r="I18" s="59"/>
      <c r="J18" s="60">
        <f t="shared" si="2"/>
        <v>4</v>
      </c>
    </row>
    <row r="19" spans="1:10" s="58" customFormat="1" ht="19.5" customHeight="1">
      <c r="A19" s="25"/>
      <c r="B19" s="59"/>
      <c r="C19" s="59"/>
      <c r="D19" s="59"/>
      <c r="E19" s="59"/>
      <c r="F19" s="59"/>
      <c r="G19" s="59"/>
      <c r="H19" s="59"/>
      <c r="I19" s="59"/>
      <c r="J19" s="60"/>
    </row>
    <row r="20" spans="1:10" s="58" customFormat="1" ht="19.5" customHeight="1">
      <c r="A20" s="25"/>
      <c r="B20" s="59"/>
      <c r="C20" s="59"/>
      <c r="D20" s="59"/>
      <c r="E20" s="59"/>
      <c r="F20" s="59"/>
      <c r="G20" s="59"/>
      <c r="H20" s="59"/>
      <c r="I20" s="59"/>
      <c r="J20" s="60"/>
    </row>
    <row r="21" spans="1:10" s="58" customFormat="1" ht="19.5" customHeight="1">
      <c r="A21" s="25"/>
      <c r="B21" s="59"/>
      <c r="C21" s="59"/>
      <c r="D21" s="59"/>
      <c r="E21" s="59"/>
      <c r="F21" s="59"/>
      <c r="G21" s="59"/>
      <c r="H21" s="59"/>
      <c r="I21" s="59"/>
      <c r="J21" s="60"/>
    </row>
    <row r="22" spans="1:10" s="58" customFormat="1" ht="19.5" customHeight="1">
      <c r="A22" s="25"/>
      <c r="B22" s="59"/>
      <c r="C22" s="59"/>
      <c r="D22" s="59"/>
      <c r="E22" s="59"/>
      <c r="F22" s="59"/>
      <c r="G22" s="59"/>
      <c r="H22" s="59"/>
      <c r="I22" s="59"/>
      <c r="J22" s="60"/>
    </row>
    <row r="23" spans="1:10" s="58" customFormat="1" ht="19.5" customHeight="1">
      <c r="A23" s="25"/>
      <c r="B23" s="59"/>
      <c r="C23" s="59"/>
      <c r="D23" s="59"/>
      <c r="E23" s="59"/>
      <c r="F23" s="59"/>
      <c r="G23" s="59"/>
      <c r="H23" s="59"/>
      <c r="I23" s="59"/>
      <c r="J23" s="60"/>
    </row>
    <row r="24" spans="1:10" s="58" customFormat="1" ht="19.5" customHeight="1">
      <c r="A24" s="25"/>
      <c r="B24" s="59"/>
      <c r="C24" s="59"/>
      <c r="D24" s="59"/>
      <c r="E24" s="59"/>
      <c r="F24" s="59"/>
      <c r="G24" s="59"/>
      <c r="H24" s="59"/>
      <c r="I24" s="59"/>
      <c r="J24" s="60"/>
    </row>
    <row r="25" spans="1:10" s="58" customFormat="1" ht="19.5" customHeight="1">
      <c r="A25" s="25"/>
      <c r="B25" s="59"/>
      <c r="C25" s="59"/>
      <c r="D25" s="59"/>
      <c r="E25" s="59"/>
      <c r="F25" s="59"/>
      <c r="G25" s="59"/>
      <c r="H25" s="59"/>
      <c r="I25" s="59"/>
      <c r="J25" s="60"/>
    </row>
    <row r="26" spans="1:10" s="58" customFormat="1" ht="19.5" customHeight="1">
      <c r="A26" s="25"/>
      <c r="B26" s="59"/>
      <c r="C26" s="59"/>
      <c r="D26" s="59"/>
      <c r="E26" s="59"/>
      <c r="F26" s="59"/>
      <c r="G26" s="59"/>
      <c r="H26" s="59"/>
      <c r="I26" s="59"/>
      <c r="J26" s="60"/>
    </row>
    <row r="27" spans="1:10" s="58" customFormat="1" ht="19.5" customHeight="1" thickBot="1">
      <c r="A27" s="30"/>
      <c r="B27" s="64"/>
      <c r="C27" s="64"/>
      <c r="D27" s="64"/>
      <c r="E27" s="64"/>
      <c r="F27" s="64"/>
      <c r="G27" s="64"/>
      <c r="H27" s="64"/>
      <c r="I27" s="64"/>
      <c r="J27" s="65"/>
    </row>
    <row r="28" spans="1:10" s="58" customFormat="1" ht="30" customHeight="1" thickBot="1">
      <c r="A28" s="13" t="s">
        <v>92</v>
      </c>
      <c r="B28" s="66">
        <f t="shared" ref="B28:J28" si="3">SUM(B16:B27)</f>
        <v>0</v>
      </c>
      <c r="C28" s="66">
        <f t="shared" si="3"/>
        <v>0</v>
      </c>
      <c r="D28" s="66">
        <f t="shared" si="3"/>
        <v>2</v>
      </c>
      <c r="E28" s="66">
        <f t="shared" si="3"/>
        <v>0</v>
      </c>
      <c r="F28" s="66">
        <f t="shared" si="3"/>
        <v>4</v>
      </c>
      <c r="G28" s="66">
        <f t="shared" si="3"/>
        <v>0</v>
      </c>
      <c r="H28" s="66">
        <f t="shared" si="3"/>
        <v>0</v>
      </c>
      <c r="I28" s="66">
        <f t="shared" si="3"/>
        <v>0</v>
      </c>
      <c r="J28" s="62">
        <f t="shared" si="3"/>
        <v>6</v>
      </c>
    </row>
    <row r="29" spans="1:10" s="58" customFormat="1" ht="30" customHeight="1" thickBot="1">
      <c r="A29" s="13" t="s">
        <v>0</v>
      </c>
      <c r="B29" s="66">
        <f>B28+B15</f>
        <v>0</v>
      </c>
      <c r="C29" s="66">
        <f t="shared" ref="C29:J29" si="4">C28+C15</f>
        <v>6</v>
      </c>
      <c r="D29" s="66">
        <f t="shared" si="4"/>
        <v>6</v>
      </c>
      <c r="E29" s="66">
        <f t="shared" si="4"/>
        <v>0</v>
      </c>
      <c r="F29" s="66">
        <f t="shared" si="4"/>
        <v>7</v>
      </c>
      <c r="G29" s="66">
        <f t="shared" si="4"/>
        <v>0</v>
      </c>
      <c r="H29" s="66">
        <f t="shared" si="4"/>
        <v>0</v>
      </c>
      <c r="I29" s="66">
        <f t="shared" si="4"/>
        <v>0</v>
      </c>
      <c r="J29" s="62">
        <f t="shared" si="4"/>
        <v>19</v>
      </c>
    </row>
  </sheetData>
  <mergeCells count="1">
    <mergeCell ref="A1:J1"/>
  </mergeCells>
  <phoneticPr fontId="0" type="noConversion"/>
  <printOptions gridLines="1"/>
  <pageMargins left="0.5" right="0.5" top="1" bottom="1" header="0.5" footer="0.5"/>
  <pageSetup orientation="portrait" horizontalDpi="1200" verticalDpi="1200"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J36"/>
  <sheetViews>
    <sheetView zoomScale="85" zoomScaleNormal="85" workbookViewId="0">
      <pane ySplit="2" topLeftCell="A27" activePane="bottomLeft" state="frozenSplit"/>
      <selection pane="bottomLeft" activeCell="J30" sqref="J30"/>
    </sheetView>
  </sheetViews>
  <sheetFormatPr defaultRowHeight="12.75"/>
  <cols>
    <col min="1" max="1" width="7.28515625" style="3" customWidth="1"/>
    <col min="2" max="2" width="11.28515625" style="3" customWidth="1"/>
    <col min="3" max="3" width="12.140625" style="3" customWidth="1"/>
    <col min="4" max="4" width="14" style="3" customWidth="1"/>
    <col min="5" max="5" width="11.85546875" style="1" customWidth="1"/>
    <col min="6" max="6" width="16" style="4" customWidth="1"/>
    <col min="7" max="7" width="14.5703125" style="4" customWidth="1"/>
    <col min="8" max="8" width="14.7109375" customWidth="1"/>
    <col min="9" max="9" width="13.5703125" style="1" customWidth="1"/>
    <col min="10" max="10" width="59.42578125" customWidth="1"/>
    <col min="12" max="12" width="21.28515625" customWidth="1"/>
    <col min="13" max="13" width="9.28515625" bestFit="1" customWidth="1"/>
    <col min="15" max="15" width="12.42578125" customWidth="1"/>
  </cols>
  <sheetData>
    <row r="1" spans="1:10" ht="39.75" customHeight="1" thickBot="1">
      <c r="A1" s="131" t="s">
        <v>95</v>
      </c>
      <c r="B1" s="132"/>
      <c r="C1" s="132"/>
      <c r="D1" s="132"/>
      <c r="E1" s="132"/>
      <c r="F1" s="132"/>
      <c r="G1" s="132"/>
      <c r="H1" s="132"/>
      <c r="I1" s="132"/>
      <c r="J1" s="133"/>
    </row>
    <row r="2" spans="1:10" s="2" customFormat="1" ht="38.25" customHeight="1" thickBot="1">
      <c r="A2" s="12" t="s">
        <v>27</v>
      </c>
      <c r="B2" s="45" t="s">
        <v>70</v>
      </c>
      <c r="C2" s="45" t="s">
        <v>28</v>
      </c>
      <c r="D2" s="45" t="s">
        <v>32</v>
      </c>
      <c r="E2" s="16" t="s">
        <v>29</v>
      </c>
      <c r="F2" s="44" t="s">
        <v>4</v>
      </c>
      <c r="G2" s="14" t="s">
        <v>2</v>
      </c>
      <c r="H2" s="15" t="s">
        <v>6</v>
      </c>
      <c r="I2" s="16" t="s">
        <v>30</v>
      </c>
      <c r="J2" s="19" t="s">
        <v>31</v>
      </c>
    </row>
    <row r="3" spans="1:10" s="6" customFormat="1" ht="21.95" customHeight="1">
      <c r="A3" s="48">
        <v>1</v>
      </c>
      <c r="B3" s="46" t="s">
        <v>34</v>
      </c>
      <c r="C3" s="50">
        <v>40752</v>
      </c>
      <c r="D3" s="50">
        <v>40801</v>
      </c>
      <c r="E3" s="52">
        <v>5</v>
      </c>
      <c r="F3" s="106">
        <v>1593949.25</v>
      </c>
      <c r="G3" s="79">
        <v>1572806.75</v>
      </c>
      <c r="H3" s="21">
        <v>-1.3264224064850245E-2</v>
      </c>
      <c r="I3" s="52" t="s">
        <v>15</v>
      </c>
      <c r="J3" s="115" t="s">
        <v>44</v>
      </c>
    </row>
    <row r="4" spans="1:10" s="6" customFormat="1" ht="21.95" customHeight="1">
      <c r="A4" s="49">
        <v>2</v>
      </c>
      <c r="B4" s="47" t="s">
        <v>35</v>
      </c>
      <c r="C4" s="51">
        <v>40801</v>
      </c>
      <c r="D4" s="51">
        <v>40847</v>
      </c>
      <c r="E4" s="53">
        <v>7</v>
      </c>
      <c r="F4" s="82">
        <v>2846627</v>
      </c>
      <c r="G4" s="81">
        <v>4300643.7</v>
      </c>
      <c r="H4" s="26">
        <v>0.51078581774148846</v>
      </c>
      <c r="I4" s="53" t="s">
        <v>13</v>
      </c>
      <c r="J4" s="107" t="s">
        <v>36</v>
      </c>
    </row>
    <row r="5" spans="1:10" s="6" customFormat="1" ht="21.95" customHeight="1">
      <c r="A5" s="49">
        <v>3</v>
      </c>
      <c r="B5" s="47" t="s">
        <v>37</v>
      </c>
      <c r="C5" s="51">
        <v>40828</v>
      </c>
      <c r="D5" s="51">
        <v>40868</v>
      </c>
      <c r="E5" s="53">
        <v>2</v>
      </c>
      <c r="F5" s="82">
        <v>1184275.5</v>
      </c>
      <c r="G5" s="81">
        <v>1642000</v>
      </c>
      <c r="H5" s="26">
        <v>0.38650170505089398</v>
      </c>
      <c r="I5" s="53" t="s">
        <v>13</v>
      </c>
      <c r="J5" s="107" t="s">
        <v>36</v>
      </c>
    </row>
    <row r="6" spans="1:10" s="6" customFormat="1" ht="21.95" customHeight="1">
      <c r="A6" s="49">
        <v>4</v>
      </c>
      <c r="B6" s="47" t="s">
        <v>38</v>
      </c>
      <c r="C6" s="51">
        <v>40835</v>
      </c>
      <c r="D6" s="51">
        <v>40868</v>
      </c>
      <c r="E6" s="53">
        <v>2</v>
      </c>
      <c r="F6" s="82">
        <v>281868</v>
      </c>
      <c r="G6" s="81">
        <v>244425</v>
      </c>
      <c r="H6" s="26">
        <v>-0.13283877559708801</v>
      </c>
      <c r="I6" s="53" t="s">
        <v>13</v>
      </c>
      <c r="J6" s="107" t="s">
        <v>39</v>
      </c>
    </row>
    <row r="7" spans="1:10" s="6" customFormat="1" ht="34.5" customHeight="1">
      <c r="A7" s="49">
        <v>5</v>
      </c>
      <c r="B7" s="47" t="s">
        <v>41</v>
      </c>
      <c r="C7" s="51">
        <v>40813</v>
      </c>
      <c r="D7" s="51">
        <v>40900</v>
      </c>
      <c r="E7" s="53">
        <v>11</v>
      </c>
      <c r="F7" s="81">
        <v>56806166.5</v>
      </c>
      <c r="G7" s="81">
        <v>37190532</v>
      </c>
      <c r="H7" s="26">
        <v>-0.34530818938468588</v>
      </c>
      <c r="I7" s="53" t="s">
        <v>13</v>
      </c>
      <c r="J7" s="107" t="s">
        <v>42</v>
      </c>
    </row>
    <row r="8" spans="1:10" s="6" customFormat="1" ht="34.5" customHeight="1">
      <c r="A8" s="49">
        <v>6</v>
      </c>
      <c r="B8" s="47" t="s">
        <v>43</v>
      </c>
      <c r="C8" s="51">
        <v>40877</v>
      </c>
      <c r="D8" s="51">
        <v>40913</v>
      </c>
      <c r="E8" s="53">
        <v>4</v>
      </c>
      <c r="F8" s="82">
        <v>4228636.04</v>
      </c>
      <c r="G8" s="81">
        <v>6498609.8399999999</v>
      </c>
      <c r="H8" s="26">
        <v>0.53680992606779199</v>
      </c>
      <c r="I8" s="53" t="s">
        <v>13</v>
      </c>
      <c r="J8" s="107" t="s">
        <v>36</v>
      </c>
    </row>
    <row r="9" spans="1:10" s="6" customFormat="1" ht="34.5" customHeight="1">
      <c r="A9" s="49">
        <v>7</v>
      </c>
      <c r="B9" s="47" t="s">
        <v>45</v>
      </c>
      <c r="C9" s="51">
        <v>40857</v>
      </c>
      <c r="D9" s="51">
        <v>40934</v>
      </c>
      <c r="E9" s="53">
        <v>3</v>
      </c>
      <c r="F9" s="82">
        <v>2044150</v>
      </c>
      <c r="G9" s="81">
        <v>4029900</v>
      </c>
      <c r="H9" s="26">
        <v>0.97143066800381572</v>
      </c>
      <c r="I9" s="53" t="s">
        <v>11</v>
      </c>
      <c r="J9" s="107" t="s">
        <v>49</v>
      </c>
    </row>
    <row r="10" spans="1:10" s="6" customFormat="1" ht="34.5" customHeight="1">
      <c r="A10" s="49">
        <v>8</v>
      </c>
      <c r="B10" s="47" t="s">
        <v>46</v>
      </c>
      <c r="C10" s="51">
        <v>40885</v>
      </c>
      <c r="D10" s="51">
        <v>40940</v>
      </c>
      <c r="E10" s="53">
        <v>3</v>
      </c>
      <c r="F10" s="82">
        <v>2528060</v>
      </c>
      <c r="G10" s="81">
        <v>3017894</v>
      </c>
      <c r="H10" s="26">
        <v>0.19375885066019002</v>
      </c>
      <c r="I10" s="53" t="s">
        <v>11</v>
      </c>
      <c r="J10" s="107" t="s">
        <v>50</v>
      </c>
    </row>
    <row r="11" spans="1:10" s="6" customFormat="1" ht="34.5" customHeight="1">
      <c r="A11" s="49">
        <v>9</v>
      </c>
      <c r="B11" s="47" t="s">
        <v>47</v>
      </c>
      <c r="C11" s="51">
        <v>40877</v>
      </c>
      <c r="D11" s="51">
        <v>40947</v>
      </c>
      <c r="E11" s="53">
        <v>4</v>
      </c>
      <c r="F11" s="82">
        <v>976725.32</v>
      </c>
      <c r="G11" s="81">
        <v>1056460.8999999999</v>
      </c>
      <c r="H11" s="26">
        <v>8.1635623001971483E-2</v>
      </c>
      <c r="I11" s="53" t="s">
        <v>11</v>
      </c>
      <c r="J11" s="107" t="s">
        <v>48</v>
      </c>
    </row>
    <row r="12" spans="1:10" s="6" customFormat="1" ht="45" customHeight="1">
      <c r="A12" s="49">
        <v>10</v>
      </c>
      <c r="B12" s="47" t="s">
        <v>51</v>
      </c>
      <c r="C12" s="51">
        <v>40926</v>
      </c>
      <c r="D12" s="51">
        <v>40975</v>
      </c>
      <c r="E12" s="53">
        <v>7</v>
      </c>
      <c r="F12" s="82">
        <v>42924544.299999997</v>
      </c>
      <c r="G12" s="81">
        <v>28704096.75</v>
      </c>
      <c r="H12" s="26">
        <v>-0.33128942384602084</v>
      </c>
      <c r="I12" s="53" t="s">
        <v>15</v>
      </c>
      <c r="J12" s="107" t="s">
        <v>53</v>
      </c>
    </row>
    <row r="13" spans="1:10" s="6" customFormat="1" ht="36.75" customHeight="1">
      <c r="A13" s="49">
        <v>11</v>
      </c>
      <c r="B13" s="47" t="s">
        <v>52</v>
      </c>
      <c r="C13" s="51">
        <v>40877</v>
      </c>
      <c r="D13" s="51">
        <v>40975</v>
      </c>
      <c r="E13" s="53">
        <v>4</v>
      </c>
      <c r="F13" s="82">
        <v>873765.33</v>
      </c>
      <c r="G13" s="81">
        <v>929929</v>
      </c>
      <c r="H13" s="26">
        <v>6.4277750640438031E-2</v>
      </c>
      <c r="I13" s="53" t="s">
        <v>11</v>
      </c>
      <c r="J13" s="107" t="s">
        <v>54</v>
      </c>
    </row>
    <row r="14" spans="1:10" s="6" customFormat="1" ht="43.5" customHeight="1">
      <c r="A14" s="49">
        <v>12</v>
      </c>
      <c r="B14" s="47" t="s">
        <v>55</v>
      </c>
      <c r="C14" s="51">
        <v>40940</v>
      </c>
      <c r="D14" s="51">
        <v>40980</v>
      </c>
      <c r="E14" s="53">
        <v>4</v>
      </c>
      <c r="F14" s="82">
        <v>2697605</v>
      </c>
      <c r="G14" s="81">
        <v>2951510</v>
      </c>
      <c r="H14" s="26">
        <v>9.4122378925009409E-2</v>
      </c>
      <c r="I14" s="53" t="s">
        <v>11</v>
      </c>
      <c r="J14" s="107" t="s">
        <v>53</v>
      </c>
    </row>
    <row r="15" spans="1:10" s="6" customFormat="1" ht="46.5" customHeight="1">
      <c r="A15" s="49">
        <v>13</v>
      </c>
      <c r="B15" s="98" t="s">
        <v>56</v>
      </c>
      <c r="C15" s="93">
        <v>40976</v>
      </c>
      <c r="D15" s="93">
        <v>40989</v>
      </c>
      <c r="E15" s="94">
        <v>3</v>
      </c>
      <c r="F15" s="95">
        <v>1078795</v>
      </c>
      <c r="G15" s="96">
        <v>739620</v>
      </c>
      <c r="H15" s="97">
        <v>-0.3144017167302407</v>
      </c>
      <c r="I15" s="94" t="s">
        <v>11</v>
      </c>
      <c r="J15" s="108" t="s">
        <v>57</v>
      </c>
    </row>
    <row r="16" spans="1:10" s="6" customFormat="1" ht="60" customHeight="1">
      <c r="A16" s="103">
        <v>14</v>
      </c>
      <c r="B16" s="111" t="s">
        <v>58</v>
      </c>
      <c r="C16" s="112">
        <v>40934</v>
      </c>
      <c r="D16" s="93">
        <v>41001</v>
      </c>
      <c r="E16" s="94">
        <v>5</v>
      </c>
      <c r="F16" s="95">
        <v>1168265.5</v>
      </c>
      <c r="G16" s="96">
        <v>964092.9</v>
      </c>
      <c r="H16" s="97">
        <v>-0.17476558196745515</v>
      </c>
      <c r="I16" s="94" t="s">
        <v>11</v>
      </c>
      <c r="J16" s="108" t="s">
        <v>59</v>
      </c>
    </row>
    <row r="17" spans="1:10" s="6" customFormat="1" ht="60" customHeight="1">
      <c r="A17" s="49">
        <v>15</v>
      </c>
      <c r="B17" s="47" t="s">
        <v>60</v>
      </c>
      <c r="C17" s="51">
        <v>40969</v>
      </c>
      <c r="D17" s="51">
        <v>41011</v>
      </c>
      <c r="E17" s="53">
        <v>6</v>
      </c>
      <c r="F17" s="82">
        <v>823684</v>
      </c>
      <c r="G17" s="81">
        <v>1094580</v>
      </c>
      <c r="H17" s="26">
        <v>0.32888340674336275</v>
      </c>
      <c r="I17" s="53" t="s">
        <v>12</v>
      </c>
      <c r="J17" s="107" t="s">
        <v>61</v>
      </c>
    </row>
    <row r="18" spans="1:10" s="6" customFormat="1" ht="60" customHeight="1">
      <c r="A18" s="49">
        <v>16</v>
      </c>
      <c r="B18" s="47" t="s">
        <v>62</v>
      </c>
      <c r="C18" s="51">
        <v>40996</v>
      </c>
      <c r="D18" s="51">
        <v>41011</v>
      </c>
      <c r="E18" s="53">
        <v>3</v>
      </c>
      <c r="F18" s="82">
        <v>4462084</v>
      </c>
      <c r="G18" s="81">
        <v>5195595</v>
      </c>
      <c r="H18" s="26">
        <v>0.16438753730319733</v>
      </c>
      <c r="I18" s="53" t="s">
        <v>11</v>
      </c>
      <c r="J18" s="114" t="s">
        <v>63</v>
      </c>
    </row>
    <row r="19" spans="1:10" s="6" customFormat="1" ht="60" customHeight="1">
      <c r="A19" s="49">
        <v>17</v>
      </c>
      <c r="B19" s="47" t="s">
        <v>64</v>
      </c>
      <c r="C19" s="51">
        <v>40996</v>
      </c>
      <c r="D19" s="51">
        <v>41012</v>
      </c>
      <c r="E19" s="53">
        <v>3</v>
      </c>
      <c r="F19" s="82">
        <v>2402862.6</v>
      </c>
      <c r="G19" s="81">
        <v>2199998</v>
      </c>
      <c r="H19" s="26">
        <v>-8.4426217295986913E-2</v>
      </c>
      <c r="I19" s="53" t="s">
        <v>11</v>
      </c>
      <c r="J19" s="107" t="s">
        <v>65</v>
      </c>
    </row>
    <row r="20" spans="1:10" s="6" customFormat="1" ht="60" customHeight="1">
      <c r="A20" s="49">
        <v>18</v>
      </c>
      <c r="B20" s="47" t="s">
        <v>66</v>
      </c>
      <c r="C20" s="51">
        <v>41016</v>
      </c>
      <c r="D20" s="51">
        <v>41032</v>
      </c>
      <c r="E20" s="53">
        <v>6</v>
      </c>
      <c r="F20" s="82">
        <v>2591182</v>
      </c>
      <c r="G20" s="81">
        <v>2585585</v>
      </c>
      <c r="H20" s="26">
        <v>-2.1600180921293832E-3</v>
      </c>
      <c r="I20" s="53" t="s">
        <v>11</v>
      </c>
      <c r="J20" s="107" t="s">
        <v>67</v>
      </c>
    </row>
    <row r="21" spans="1:10" s="6" customFormat="1" ht="60" customHeight="1">
      <c r="A21" s="49">
        <v>19</v>
      </c>
      <c r="B21" s="47" t="s">
        <v>71</v>
      </c>
      <c r="C21" s="51">
        <v>41009</v>
      </c>
      <c r="D21" s="51">
        <v>41040</v>
      </c>
      <c r="E21" s="53">
        <v>5</v>
      </c>
      <c r="F21" s="82">
        <v>1795452</v>
      </c>
      <c r="G21" s="81">
        <v>1670000</v>
      </c>
      <c r="H21" s="26">
        <v>-6.9872099059178419E-2</v>
      </c>
      <c r="I21" s="53" t="s">
        <v>11</v>
      </c>
      <c r="J21" s="107" t="s">
        <v>72</v>
      </c>
    </row>
    <row r="22" spans="1:10" s="6" customFormat="1" ht="49.5" customHeight="1">
      <c r="A22" s="49">
        <v>20</v>
      </c>
      <c r="B22" s="47" t="s">
        <v>73</v>
      </c>
      <c r="C22" s="51">
        <v>41043</v>
      </c>
      <c r="D22" s="51">
        <v>41051</v>
      </c>
      <c r="E22" s="53">
        <v>4</v>
      </c>
      <c r="F22" s="82">
        <v>4716086.5</v>
      </c>
      <c r="G22" s="81">
        <v>3999726</v>
      </c>
      <c r="H22" s="26">
        <v>-0.15189723513340989</v>
      </c>
      <c r="I22" s="53" t="s">
        <v>13</v>
      </c>
      <c r="J22" s="107" t="s">
        <v>74</v>
      </c>
    </row>
    <row r="23" spans="1:10" s="6" customFormat="1" ht="83.25" customHeight="1">
      <c r="A23" s="103">
        <v>21</v>
      </c>
      <c r="B23" s="98" t="s">
        <v>68</v>
      </c>
      <c r="C23" s="93">
        <v>40939</v>
      </c>
      <c r="D23" s="93">
        <v>41053</v>
      </c>
      <c r="E23" s="104">
        <v>6</v>
      </c>
      <c r="F23" s="95">
        <v>1552256.2</v>
      </c>
      <c r="G23" s="105">
        <v>1658658</v>
      </c>
      <c r="H23" s="26">
        <v>6.8546545344769796E-2</v>
      </c>
      <c r="I23" s="53" t="s">
        <v>13</v>
      </c>
      <c r="J23" s="109" t="s">
        <v>69</v>
      </c>
    </row>
    <row r="24" spans="1:10" s="6" customFormat="1" ht="60" customHeight="1">
      <c r="A24" s="49">
        <v>22</v>
      </c>
      <c r="B24" s="47" t="s">
        <v>75</v>
      </c>
      <c r="C24" s="51">
        <v>41046</v>
      </c>
      <c r="D24" s="51">
        <v>41088</v>
      </c>
      <c r="E24" s="53">
        <v>4</v>
      </c>
      <c r="F24" s="82">
        <v>904633.12</v>
      </c>
      <c r="G24" s="81">
        <v>1298000</v>
      </c>
      <c r="H24" s="26">
        <v>0.43483581498762724</v>
      </c>
      <c r="I24" s="53" t="s">
        <v>12</v>
      </c>
      <c r="J24" s="107" t="s">
        <v>77</v>
      </c>
    </row>
    <row r="25" spans="1:10" s="6" customFormat="1" ht="45.75" customHeight="1">
      <c r="A25" s="49">
        <v>23</v>
      </c>
      <c r="B25" s="47" t="s">
        <v>76</v>
      </c>
      <c r="C25" s="51">
        <v>41073</v>
      </c>
      <c r="D25" s="51">
        <v>41092</v>
      </c>
      <c r="E25" s="53">
        <v>7</v>
      </c>
      <c r="F25" s="82">
        <v>1636640</v>
      </c>
      <c r="G25" s="81">
        <v>1385592</v>
      </c>
      <c r="H25" s="26">
        <f>(G25-F25)/F25</f>
        <v>-0.15339231596441491</v>
      </c>
      <c r="I25" s="53" t="s">
        <v>13</v>
      </c>
      <c r="J25" s="107" t="s">
        <v>78</v>
      </c>
    </row>
    <row r="26" spans="1:10" s="6" customFormat="1" ht="56.25" customHeight="1">
      <c r="A26" s="87">
        <v>24</v>
      </c>
      <c r="B26" s="88" t="s">
        <v>80</v>
      </c>
      <c r="C26" s="89">
        <v>41018</v>
      </c>
      <c r="D26" s="89">
        <v>41114</v>
      </c>
      <c r="E26" s="90">
        <v>8</v>
      </c>
      <c r="F26" s="91">
        <v>591556</v>
      </c>
      <c r="G26" s="92">
        <v>925000</v>
      </c>
      <c r="H26" s="26">
        <f>(G26-F26)/F26</f>
        <v>0.56367275456592447</v>
      </c>
      <c r="I26" s="53" t="s">
        <v>12</v>
      </c>
      <c r="J26" s="113" t="s">
        <v>81</v>
      </c>
    </row>
    <row r="27" spans="1:10" s="6" customFormat="1" ht="69" customHeight="1">
      <c r="A27" s="49">
        <v>25</v>
      </c>
      <c r="B27" s="47" t="s">
        <v>83</v>
      </c>
      <c r="C27" s="51">
        <v>41093</v>
      </c>
      <c r="D27" s="51">
        <v>41114</v>
      </c>
      <c r="E27" s="53">
        <v>2</v>
      </c>
      <c r="F27" s="82">
        <v>1515103</v>
      </c>
      <c r="G27" s="81">
        <v>2077777</v>
      </c>
      <c r="H27" s="26">
        <f>(G27-F27)/F27</f>
        <v>0.37137673148294209</v>
      </c>
      <c r="I27" s="53" t="s">
        <v>13</v>
      </c>
      <c r="J27" s="114" t="s">
        <v>84</v>
      </c>
    </row>
    <row r="28" spans="1:10" s="6" customFormat="1" ht="69" customHeight="1">
      <c r="A28" s="49" t="s">
        <v>86</v>
      </c>
      <c r="B28" s="47" t="s">
        <v>87</v>
      </c>
      <c r="C28" s="51">
        <v>41116</v>
      </c>
      <c r="D28" s="51">
        <v>41142</v>
      </c>
      <c r="E28" s="53">
        <v>7</v>
      </c>
      <c r="F28" s="82">
        <v>642790</v>
      </c>
      <c r="G28" s="81">
        <v>444242</v>
      </c>
      <c r="H28" s="26">
        <f>(G28-F28)/F28</f>
        <v>-0.30888470573593241</v>
      </c>
      <c r="I28" s="53" t="s">
        <v>13</v>
      </c>
      <c r="J28" s="114" t="s">
        <v>88</v>
      </c>
    </row>
    <row r="29" spans="1:10" s="6" customFormat="1" ht="81" customHeight="1">
      <c r="A29" s="49">
        <v>27</v>
      </c>
      <c r="B29" s="47" t="s">
        <v>89</v>
      </c>
      <c r="C29" s="51">
        <v>41129</v>
      </c>
      <c r="D29" s="51">
        <v>41166</v>
      </c>
      <c r="E29" s="53">
        <v>5</v>
      </c>
      <c r="F29" s="82">
        <v>25087733.699999999</v>
      </c>
      <c r="G29" s="82">
        <v>29988888</v>
      </c>
      <c r="H29" s="26">
        <f>(G29-F29)/F29</f>
        <v>0.19536058372622159</v>
      </c>
      <c r="I29" s="53" t="s">
        <v>14</v>
      </c>
      <c r="J29" s="114" t="s">
        <v>90</v>
      </c>
    </row>
    <row r="30" spans="1:10" s="6" customFormat="1" ht="81" customHeight="1">
      <c r="A30" s="103">
        <v>28</v>
      </c>
      <c r="B30" s="98" t="s">
        <v>96</v>
      </c>
      <c r="C30" s="93">
        <v>41221</v>
      </c>
      <c r="D30" s="93">
        <v>41262</v>
      </c>
      <c r="E30" s="104"/>
      <c r="F30" s="95"/>
      <c r="G30" s="82"/>
      <c r="H30" s="26"/>
      <c r="I30" s="53"/>
      <c r="J30" s="109" t="s">
        <v>97</v>
      </c>
    </row>
    <row r="31" spans="1:10" s="6" customFormat="1" ht="81" customHeight="1">
      <c r="A31" s="103"/>
      <c r="B31" s="98"/>
      <c r="C31" s="93"/>
      <c r="D31" s="93"/>
      <c r="E31" s="104"/>
      <c r="F31" s="95"/>
      <c r="G31" s="82"/>
      <c r="H31" s="26"/>
      <c r="I31" s="53"/>
      <c r="J31" s="109"/>
    </row>
    <row r="32" spans="1:10" s="6" customFormat="1" ht="81" customHeight="1">
      <c r="A32" s="103"/>
      <c r="B32" s="98"/>
      <c r="C32" s="93"/>
      <c r="D32" s="93"/>
      <c r="E32" s="104"/>
      <c r="F32" s="95"/>
      <c r="G32" s="82"/>
      <c r="H32" s="26"/>
      <c r="I32" s="53"/>
      <c r="J32" s="109"/>
    </row>
    <row r="33" spans="1:10" s="6" customFormat="1" ht="81" customHeight="1">
      <c r="A33" s="103"/>
      <c r="B33" s="98"/>
      <c r="C33" s="93"/>
      <c r="D33" s="93"/>
      <c r="E33" s="104"/>
      <c r="F33" s="95"/>
      <c r="G33" s="82"/>
      <c r="H33" s="26"/>
      <c r="I33" s="53"/>
      <c r="J33" s="109"/>
    </row>
    <row r="34" spans="1:10" s="6" customFormat="1" ht="21.75" customHeight="1" thickBot="1">
      <c r="A34" s="117"/>
      <c r="B34" s="118"/>
      <c r="C34" s="118"/>
      <c r="D34" s="118"/>
      <c r="E34" s="119"/>
      <c r="F34" s="120"/>
      <c r="G34" s="121"/>
      <c r="H34" s="122"/>
      <c r="I34" s="119"/>
      <c r="J34" s="123"/>
    </row>
    <row r="35" spans="1:10" ht="22.5" customHeight="1">
      <c r="A35" s="138"/>
      <c r="B35" s="138"/>
      <c r="C35" s="138"/>
      <c r="D35" s="138"/>
      <c r="E35" s="138"/>
      <c r="F35" s="138"/>
      <c r="G35" s="138"/>
      <c r="H35" s="138"/>
      <c r="I35" s="138"/>
      <c r="J35" s="138"/>
    </row>
    <row r="36" spans="1:10" ht="11.25" customHeight="1">
      <c r="A36" s="139"/>
      <c r="B36" s="139"/>
      <c r="C36" s="139"/>
      <c r="D36" s="139"/>
      <c r="E36" s="139"/>
      <c r="F36" s="139"/>
      <c r="G36" s="139"/>
      <c r="H36" s="139"/>
      <c r="I36" s="139"/>
    </row>
  </sheetData>
  <sortState ref="A3:J25">
    <sortCondition ref="D3:D25"/>
    <sortCondition ref="C3:C25"/>
    <sortCondition ref="B3:B25"/>
  </sortState>
  <mergeCells count="3">
    <mergeCell ref="A1:J1"/>
    <mergeCell ref="A35:J35"/>
    <mergeCell ref="A36:I36"/>
  </mergeCells>
  <printOptions horizontalCentered="1" verticalCentered="1"/>
  <pageMargins left="0.39" right="0.44" top="0.59" bottom="0.62" header="0.25" footer="0.43"/>
  <pageSetup scale="7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WithPerformance</vt:lpstr>
      <vt:lpstr>YR 11-12 to 12-13 Combined</vt:lpstr>
      <vt:lpstr>By program</vt:lpstr>
      <vt:lpstr>MultiProg</vt:lpstr>
      <vt:lpstr>Rejected Projects</vt:lpstr>
      <vt:lpstr>WithPerformance!Print_Area</vt:lpstr>
      <vt:lpstr>'YR 11-12 to 12-13 Combined'!Print_Area</vt:lpstr>
      <vt:lpstr>'Rejected Projects'!Print_Titles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s120597</cp:lastModifiedBy>
  <cp:lastPrinted>2014-06-10T21:08:24Z</cp:lastPrinted>
  <dcterms:created xsi:type="dcterms:W3CDTF">2006-09-01T17:28:45Z</dcterms:created>
  <dcterms:modified xsi:type="dcterms:W3CDTF">2014-07-08T16:48:34Z</dcterms:modified>
</cp:coreProperties>
</file>