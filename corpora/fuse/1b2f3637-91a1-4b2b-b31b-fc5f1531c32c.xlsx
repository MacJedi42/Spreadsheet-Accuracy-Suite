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/>
  <workbookProtection workbookPassword="9FA1" lockStructure="1"/>
  <bookViews>
    <workbookView xWindow="5715" yWindow="3255" windowWidth="14760" windowHeight="10275"/>
  </bookViews>
  <sheets>
    <sheet name="Travel Reimbursement" sheetId="1" r:id="rId1"/>
  </sheets>
  <calcPr calcId="145621"/>
  <customWorkbookViews>
    <customWorkbookView name="UNC - Personal View" guid="{09966A4B-80EC-4144-8F85-0F510AE56EF4}" mergeInterval="0" personalView="1" xWindow="5" yWindow="24" windowWidth="796" windowHeight="577" activeSheetId="1"/>
  </customWorkbookViews>
</workbook>
</file>

<file path=xl/calcChain.xml><?xml version="1.0" encoding="utf-8"?>
<calcChain xmlns="http://schemas.openxmlformats.org/spreadsheetml/2006/main">
  <c r="J73" i="1" l="1"/>
  <c r="I20" i="1"/>
  <c r="I68" i="1"/>
  <c r="I70" i="1"/>
  <c r="I69" i="1"/>
  <c r="F144" i="1" l="1"/>
  <c r="F143" i="1"/>
  <c r="F142" i="1"/>
  <c r="F137" i="1"/>
  <c r="F136" i="1"/>
  <c r="F135" i="1"/>
  <c r="F130" i="1"/>
  <c r="F129" i="1"/>
  <c r="F128" i="1"/>
  <c r="F123" i="1"/>
  <c r="F122" i="1"/>
  <c r="F121" i="1"/>
  <c r="F116" i="1"/>
  <c r="F115" i="1"/>
  <c r="F114" i="1"/>
  <c r="F109" i="1"/>
  <c r="F108" i="1"/>
  <c r="F107" i="1"/>
  <c r="F102" i="1"/>
  <c r="F101" i="1"/>
  <c r="F100" i="1"/>
  <c r="F95" i="1"/>
  <c r="F94" i="1"/>
  <c r="F93" i="1"/>
  <c r="F88" i="1"/>
  <c r="F87" i="1"/>
  <c r="F86" i="1"/>
  <c r="F55" i="1"/>
  <c r="F54" i="1"/>
  <c r="F53" i="1"/>
  <c r="F48" i="1"/>
  <c r="F47" i="1"/>
  <c r="F46" i="1"/>
  <c r="F41" i="1"/>
  <c r="F40" i="1"/>
  <c r="F39" i="1"/>
  <c r="F33" i="1"/>
  <c r="F32" i="1"/>
  <c r="B69" i="1" l="1"/>
  <c r="F34" i="1"/>
  <c r="I59" i="1" l="1"/>
  <c r="B68" i="1" l="1"/>
  <c r="F75" i="1"/>
  <c r="F77" i="1"/>
  <c r="I148" i="1" l="1"/>
  <c r="I146" i="1"/>
  <c r="I141" i="1"/>
  <c r="I139" i="1"/>
  <c r="I134" i="1"/>
  <c r="I132" i="1"/>
  <c r="I127" i="1"/>
  <c r="I125" i="1"/>
  <c r="I120" i="1"/>
  <c r="I118" i="1"/>
  <c r="I113" i="1"/>
  <c r="I111" i="1"/>
  <c r="I106" i="1"/>
  <c r="I104" i="1"/>
  <c r="I99" i="1"/>
  <c r="I97" i="1"/>
  <c r="I92" i="1"/>
  <c r="I90" i="1"/>
  <c r="I52" i="1"/>
  <c r="I45" i="1"/>
  <c r="I38" i="1"/>
  <c r="I57" i="1"/>
  <c r="I50" i="1"/>
  <c r="I43" i="1"/>
  <c r="I36" i="1"/>
  <c r="I63" i="1" l="1"/>
  <c r="I152" i="1"/>
  <c r="E68" i="1"/>
  <c r="E69" i="1"/>
  <c r="F78" i="1"/>
  <c r="E62" i="1" l="1"/>
  <c r="E151" i="1" s="1"/>
  <c r="E61" i="1"/>
  <c r="E153" i="1"/>
  <c r="E152" i="1"/>
  <c r="E150" i="1"/>
  <c r="D153" i="1"/>
  <c r="D152" i="1"/>
  <c r="D151" i="1"/>
  <c r="D150" i="1"/>
  <c r="K63" i="1"/>
  <c r="K152" i="1"/>
  <c r="D65" i="1"/>
  <c r="I71" i="1" l="1"/>
  <c r="F152" i="1"/>
  <c r="D154" i="1"/>
  <c r="E65" i="1"/>
  <c r="E154" i="1"/>
  <c r="F63" i="1"/>
  <c r="B71" i="1" l="1"/>
  <c r="E71" i="1"/>
  <c r="I23" i="1" l="1"/>
</calcChain>
</file>

<file path=xl/sharedStrings.xml><?xml version="1.0" encoding="utf-8"?>
<sst xmlns="http://schemas.openxmlformats.org/spreadsheetml/2006/main" count="288" uniqueCount="96">
  <si>
    <t>The University of North Carolina - General Administration</t>
  </si>
  <si>
    <t>REQUEST FOR REIMBURSEMENT OF TRAVEL AND OTHER EXPENSES</t>
  </si>
  <si>
    <t>INSTRUCTIONS:  Prepare in duplicate.  Attach all necessary receipts or other supporting documents to this form and submit the original</t>
  </si>
  <si>
    <t>PAYEE'S NAME</t>
  </si>
  <si>
    <t>TITLE</t>
  </si>
  <si>
    <t>DATE</t>
  </si>
  <si>
    <t>DEPARTMENT/DIVISION</t>
  </si>
  <si>
    <t>Travel Auth. #/Date</t>
  </si>
  <si>
    <t>DEPARTMENT/DIVISION ADDRESS</t>
  </si>
  <si>
    <t>FROM</t>
  </si>
  <si>
    <t>PURPOSE OF TRIP</t>
  </si>
  <si>
    <t>AMOUNT</t>
  </si>
  <si>
    <t>OFFICE USE ONLY</t>
  </si>
  <si>
    <t>Total Expenses</t>
  </si>
  <si>
    <t>Amount Due-Applicant</t>
  </si>
  <si>
    <t>I have examined this reimbursement request and certify that it is just and reasonable.</t>
  </si>
  <si>
    <t>Claimant</t>
  </si>
  <si>
    <t>Department/Division Head</t>
  </si>
  <si>
    <t>DAY</t>
  </si>
  <si>
    <t>TO</t>
  </si>
  <si>
    <t>(1) MODE</t>
  </si>
  <si>
    <t>DAILY PRIVATE CAR MILEAGE</t>
  </si>
  <si>
    <t>TRANSPORT COSTS TO BE REIMBURSED</t>
  </si>
  <si>
    <t>(2) TYPE</t>
  </si>
  <si>
    <t>(3)   DAILY TOTALS</t>
  </si>
  <si>
    <t>EXPLANATION</t>
  </si>
  <si>
    <t>(4)   AMOUNT</t>
  </si>
  <si>
    <t>(2) SUBSISTENCE</t>
  </si>
  <si>
    <t>In-State</t>
  </si>
  <si>
    <t>Out-of-State</t>
  </si>
  <si>
    <t>C=CAR</t>
  </si>
  <si>
    <t>BREAKFAST</t>
  </si>
  <si>
    <t>TRANS.</t>
  </si>
  <si>
    <t>SUBSIST.</t>
  </si>
  <si>
    <t>OTHER EXP.</t>
  </si>
  <si>
    <t>LUNCH</t>
  </si>
  <si>
    <t>DINNER</t>
  </si>
  <si>
    <t>HOTEL</t>
  </si>
  <si>
    <t>(3) 24-hour period</t>
  </si>
  <si>
    <t>(continued from previous page)</t>
  </si>
  <si>
    <t>(4)            AMOUNT</t>
  </si>
  <si>
    <t>Under penalties of perjury I certify this is a true and accurate statement of the city of lodging, expenses</t>
  </si>
  <si>
    <t xml:space="preserve">and allowances incurred in the service of the state.  Unless I have marked out this sentence, I </t>
  </si>
  <si>
    <t>voluntarily give permission to UNC GA to electronically deposit my travel reimbursement to the</t>
  </si>
  <si>
    <t>bank account I use for Payroll direct deposit or another designated bank account.</t>
  </si>
  <si>
    <t>C@.30</t>
  </si>
  <si>
    <t>INVOICE ________________________________________________</t>
  </si>
  <si>
    <t>Amount</t>
  </si>
  <si>
    <r>
      <t>to the Services Office</t>
    </r>
    <r>
      <rPr>
        <sz val="10"/>
        <rFont val="Helvetica"/>
      </rPr>
      <t xml:space="preserve"> </t>
    </r>
    <r>
      <rPr>
        <b/>
        <sz val="10"/>
        <color indexed="10"/>
        <rFont val="Helvetica"/>
      </rPr>
      <t>within 30 days after travel status terminates</t>
    </r>
    <r>
      <rPr>
        <b/>
        <sz val="8"/>
        <color indexed="10"/>
        <rFont val="Helvetica"/>
        <family val="2"/>
      </rPr>
      <t>.</t>
    </r>
    <r>
      <rPr>
        <sz val="8"/>
        <rFont val="Helvetica"/>
        <family val="2"/>
      </rPr>
      <t xml:space="preserve">  Retain one (1) copy for your files.</t>
    </r>
  </si>
  <si>
    <t>SUBSISTENCE - MEALS &amp; HOTEL</t>
  </si>
  <si>
    <t>Ground</t>
  </si>
  <si>
    <t>Other</t>
  </si>
  <si>
    <t>Meals</t>
  </si>
  <si>
    <t>Registration Fee</t>
  </si>
  <si>
    <t>Lodging</t>
  </si>
  <si>
    <t>Transportation</t>
  </si>
  <si>
    <t>Subsistence</t>
  </si>
  <si>
    <t>Rental</t>
  </si>
  <si>
    <t>Airfare</t>
  </si>
  <si>
    <t>Train</t>
  </si>
  <si>
    <t>Parking, Taxi, Toll</t>
  </si>
  <si>
    <t>Lunch</t>
  </si>
  <si>
    <t>Hotel</t>
  </si>
  <si>
    <t>Dinner</t>
  </si>
  <si>
    <t>Breakfast</t>
  </si>
  <si>
    <t>RENTAL CAR</t>
  </si>
  <si>
    <t>TRAIN</t>
  </si>
  <si>
    <t>PARKING, TAXI, TOLL</t>
  </si>
  <si>
    <t>TRANSPORTATION - MILEAGE, AIRFARE, RENTAL CAR, TRAIN, PARKING, TAXI, TOLL</t>
  </si>
  <si>
    <t>(1) TRAVEL MODE</t>
  </si>
  <si>
    <t>Mailing Address (if not reimbursed via EFT):</t>
  </si>
  <si>
    <t xml:space="preserve">            Period Covered by this Voucher</t>
  </si>
  <si>
    <t>THROUGH</t>
  </si>
  <si>
    <t>Duty Station (City)</t>
  </si>
  <si>
    <t>Total Subsistance</t>
  </si>
  <si>
    <t>Total Other</t>
  </si>
  <si>
    <t>SUBTOTAL</t>
  </si>
  <si>
    <t>AIRFARE (Includes excess bagage)</t>
  </si>
  <si>
    <t>Air</t>
  </si>
  <si>
    <t>Total Transportation</t>
  </si>
  <si>
    <t>REIMBURSEMENT GRAND TOTAL</t>
  </si>
  <si>
    <r>
      <t xml:space="preserve">  TRAVEL (SHOW EACH CITY VISITED) </t>
    </r>
    <r>
      <rPr>
        <b/>
        <sz val="7"/>
        <color rgb="FFFF0000"/>
        <rFont val="Helv"/>
      </rPr>
      <t>MUST INCLUDE DEPARTURE AND ARRIVAL TIMES IF MEAL ALLOWANCE IS REQUESTED</t>
    </r>
  </si>
  <si>
    <t>REIMBURSEMENT SUMMARY</t>
  </si>
  <si>
    <t xml:space="preserve">          OTHER EXPENSES      - REGISTRATION FEE, OTHER (BAGGAGE TIP, INTERNET, FAX, COPIES, PHONE)</t>
  </si>
  <si>
    <t>C@.56</t>
  </si>
  <si>
    <t>PS CHARTFIELD BUSINESS UNIT - UNCGA</t>
  </si>
  <si>
    <t>FUND</t>
  </si>
  <si>
    <t>SOURCE</t>
  </si>
  <si>
    <t>DEPT</t>
  </si>
  <si>
    <t>PROJECT</t>
  </si>
  <si>
    <t>PROGRAM</t>
  </si>
  <si>
    <t>** NON EMPLOYEE **</t>
  </si>
  <si>
    <t>C@.25</t>
  </si>
  <si>
    <t>INCURRED IN THE DISCHARGE OF OFFICIAL DUTY - INCLUDING PER DIEM (Rev 10/01/2014)</t>
  </si>
  <si>
    <t>BOG Per Diem</t>
  </si>
  <si>
    <t>Board Per Diem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</si>
</sst>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;\(&quot;$&quot;#,##0.00\)"/>
  </numFmts>
  <fonts count="34">
    <font>
      <sz val="9"/>
      <name val="C Helvetica Condensed"/>
    </font>
    <font>
      <sz val="9"/>
      <name val="Helv"/>
    </font>
    <font>
      <sz val="6"/>
      <name val="Helv"/>
    </font>
    <font>
      <sz val="8"/>
      <name val="Helv"/>
    </font>
    <font>
      <sz val="7"/>
      <name val="Helv"/>
    </font>
    <font>
      <b/>
      <sz val="8"/>
      <name val="Helv"/>
    </font>
    <font>
      <b/>
      <sz val="9"/>
      <name val="Helv"/>
    </font>
    <font>
      <sz val="5"/>
      <name val="Helv"/>
    </font>
    <font>
      <sz val="8"/>
      <name val="Helvetica"/>
      <family val="2"/>
    </font>
    <font>
      <sz val="6"/>
      <name val="Helvetica"/>
      <family val="2"/>
    </font>
    <font>
      <sz val="9"/>
      <name val="Helvetica"/>
      <family val="2"/>
    </font>
    <font>
      <sz val="8"/>
      <name val="C Helvetica Condensed"/>
    </font>
    <font>
      <b/>
      <sz val="8"/>
      <color indexed="10"/>
      <name val="Helvetica"/>
      <family val="2"/>
    </font>
    <font>
      <b/>
      <sz val="9"/>
      <name val="Helvetica"/>
    </font>
    <font>
      <sz val="10"/>
      <name val="Helvetica"/>
    </font>
    <font>
      <b/>
      <sz val="10"/>
      <color indexed="10"/>
      <name val="Helvetica"/>
    </font>
    <font>
      <sz val="7"/>
      <name val="C Helvetica Condensed"/>
    </font>
    <font>
      <b/>
      <sz val="7"/>
      <name val="Helv"/>
    </font>
    <font>
      <sz val="6"/>
      <name val="Times New Roman"/>
      <family val="1"/>
    </font>
    <font>
      <sz val="7"/>
      <name val="Helvetica"/>
      <family val="2"/>
    </font>
    <font>
      <sz val="9"/>
      <name val="C Helvetica Condensed"/>
    </font>
    <font>
      <b/>
      <sz val="10"/>
      <name val="Helv"/>
    </font>
    <font>
      <sz val="7"/>
      <name val="Times New Roman"/>
      <family val="1"/>
    </font>
    <font>
      <b/>
      <sz val="9"/>
      <color rgb="FFFF0000"/>
      <name val="Helv"/>
    </font>
    <font>
      <u/>
      <sz val="8"/>
      <name val="Helv"/>
    </font>
    <font>
      <u/>
      <sz val="8"/>
      <name val="C Helvetica Condensed"/>
    </font>
    <font>
      <b/>
      <sz val="9"/>
      <name val="C Helvetica Condensed"/>
    </font>
    <font>
      <b/>
      <sz val="7"/>
      <color rgb="FFFF0000"/>
      <name val="Helv"/>
    </font>
    <font>
      <b/>
      <sz val="8"/>
      <name val="C Helvetica Condensed"/>
    </font>
    <font>
      <sz val="9"/>
      <color rgb="FFFF0000"/>
      <name val="Helvetica"/>
      <family val="2"/>
    </font>
    <font>
      <b/>
      <sz val="9"/>
      <color rgb="FFFF0000"/>
      <name val="C Helvetica Condensed"/>
    </font>
    <font>
      <b/>
      <sz val="9"/>
      <color rgb="FFFF0000"/>
      <name val="Helvetica"/>
      <family val="2"/>
    </font>
    <font>
      <b/>
      <sz val="10"/>
      <color rgb="FFFF0000"/>
      <name val="Helv"/>
    </font>
    <font>
      <b/>
      <sz val="11"/>
      <color rgb="FFFF0000"/>
      <name val="Helv"/>
    </font>
  </fonts>
  <fills count="5">
    <fill>
      <patternFill patternType="none"/>
    </fill>
    <fill>
      <patternFill patternType="gray125"/>
    </fill>
    <fill>
      <patternFill patternType="mediumGray"/>
    </fill>
    <fill>
      <patternFill patternType="solid">
        <fgColor theme="5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5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1" applyNumberFormat="0" applyFill="0" applyBorder="0" applyAlignment="0"/>
    <xf numFmtId="44" fontId="20" fillId="0" borderId="0" applyFont="0" applyFill="0" applyBorder="0" applyAlignment="0" applyProtection="0"/>
  </cellStyleXfs>
  <cellXfs count="237"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6" xfId="0" applyFill="1" applyBorder="1"/>
    <xf numFmtId="0" fontId="4" fillId="0" borderId="9" xfId="0" applyFont="1" applyBorder="1" applyAlignment="1">
      <alignment horizontal="center"/>
    </xf>
    <xf numFmtId="0" fontId="2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7" fontId="4" fillId="0" borderId="9" xfId="0" applyNumberFormat="1" applyFont="1" applyBorder="1" applyAlignment="1">
      <alignment horizontal="center"/>
    </xf>
    <xf numFmtId="0" fontId="5" fillId="0" borderId="1" xfId="1" applyFont="1" applyBorder="1"/>
    <xf numFmtId="0" fontId="6" fillId="0" borderId="15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right"/>
    </xf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5" fillId="0" borderId="18" xfId="0" applyFont="1" applyBorder="1" applyProtection="1"/>
    <xf numFmtId="0" fontId="0" fillId="0" borderId="18" xfId="0" applyBorder="1" applyProtection="1"/>
    <xf numFmtId="0" fontId="5" fillId="0" borderId="19" xfId="0" applyFont="1" applyBorder="1" applyProtection="1"/>
    <xf numFmtId="0" fontId="5" fillId="0" borderId="0" xfId="1" applyFont="1" applyBorder="1" applyProtection="1"/>
    <xf numFmtId="0" fontId="0" fillId="0" borderId="19" xfId="0" applyBorder="1" applyProtection="1"/>
    <xf numFmtId="0" fontId="0" fillId="0" borderId="16" xfId="0" applyBorder="1" applyProtection="1"/>
    <xf numFmtId="0" fontId="0" fillId="0" borderId="1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22" xfId="0" applyBorder="1" applyProtection="1"/>
    <xf numFmtId="0" fontId="0" fillId="0" borderId="5" xfId="0" applyBorder="1" applyProtection="1"/>
    <xf numFmtId="0" fontId="3" fillId="0" borderId="0" xfId="1" applyBorder="1" applyAlignment="1" applyProtection="1">
      <alignment horizontal="center"/>
    </xf>
    <xf numFmtId="0" fontId="3" fillId="0" borderId="0" xfId="1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4" xfId="0" applyBorder="1" applyProtection="1"/>
    <xf numFmtId="0" fontId="0" fillId="0" borderId="2" xfId="0" applyBorder="1" applyProtection="1"/>
    <xf numFmtId="0" fontId="0" fillId="0" borderId="3" xfId="0" applyBorder="1" applyProtection="1"/>
    <xf numFmtId="7" fontId="4" fillId="0" borderId="9" xfId="0" applyNumberFormat="1" applyFont="1" applyBorder="1" applyAlignment="1" applyProtection="1">
      <alignment horizontal="center"/>
    </xf>
    <xf numFmtId="0" fontId="3" fillId="0" borderId="24" xfId="1" applyBorder="1" applyAlignment="1" applyProtection="1">
      <alignment horizontal="centerContinuous"/>
    </xf>
    <xf numFmtId="0" fontId="1" fillId="0" borderId="24" xfId="1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Continuous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27" xfId="0" applyFont="1" applyBorder="1" applyAlignment="1" applyProtection="1">
      <alignment horizontal="center" vertical="top" wrapText="1"/>
    </xf>
    <xf numFmtId="0" fontId="7" fillId="0" borderId="7" xfId="0" applyFont="1" applyBorder="1" applyAlignment="1" applyProtection="1">
      <alignment horizontal="center" vertical="top" wrapText="1"/>
    </xf>
    <xf numFmtId="0" fontId="7" fillId="0" borderId="27" xfId="0" applyFont="1" applyBorder="1" applyAlignment="1">
      <alignment horizontal="center" vertical="top" wrapText="1"/>
    </xf>
    <xf numFmtId="0" fontId="7" fillId="0" borderId="28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0" xfId="0" applyFont="1" applyProtection="1"/>
    <xf numFmtId="0" fontId="8" fillId="0" borderId="16" xfId="0" applyFont="1" applyBorder="1" applyProtection="1"/>
    <xf numFmtId="0" fontId="8" fillId="0" borderId="29" xfId="0" applyFont="1" applyBorder="1" applyProtection="1"/>
    <xf numFmtId="0" fontId="10" fillId="0" borderId="0" xfId="0" applyFont="1" applyBorder="1" applyProtection="1">
      <protection locked="0"/>
    </xf>
    <xf numFmtId="0" fontId="10" fillId="0" borderId="0" xfId="0" applyFont="1" applyProtection="1"/>
    <xf numFmtId="164" fontId="10" fillId="0" borderId="20" xfId="0" applyNumberFormat="1" applyFont="1" applyBorder="1" applyAlignment="1" applyProtection="1">
      <alignment horizontal="right"/>
    </xf>
    <xf numFmtId="164" fontId="10" fillId="0" borderId="22" xfId="0" applyNumberFormat="1" applyFont="1" applyBorder="1" applyProtection="1"/>
    <xf numFmtId="0" fontId="10" fillId="0" borderId="13" xfId="0" applyFont="1" applyBorder="1" applyProtection="1">
      <protection locked="0"/>
    </xf>
    <xf numFmtId="0" fontId="10" fillId="0" borderId="7" xfId="0" applyFont="1" applyBorder="1" applyProtection="1">
      <protection locked="0"/>
    </xf>
    <xf numFmtId="0" fontId="10" fillId="0" borderId="6" xfId="0" applyFont="1" applyBorder="1" applyProtection="1">
      <protection locked="0"/>
    </xf>
    <xf numFmtId="7" fontId="10" fillId="0" borderId="13" xfId="0" applyNumberFormat="1" applyFont="1" applyBorder="1" applyProtection="1">
      <protection locked="0"/>
    </xf>
    <xf numFmtId="7" fontId="10" fillId="0" borderId="7" xfId="0" applyNumberFormat="1" applyFont="1" applyBorder="1" applyProtection="1">
      <protection locked="0"/>
    </xf>
    <xf numFmtId="7" fontId="10" fillId="0" borderId="32" xfId="0" applyNumberFormat="1" applyFont="1" applyBorder="1"/>
    <xf numFmtId="7" fontId="10" fillId="0" borderId="9" xfId="0" applyNumberFormat="1" applyFont="1" applyBorder="1"/>
    <xf numFmtId="7" fontId="10" fillId="0" borderId="32" xfId="0" applyNumberFormat="1" applyFont="1" applyBorder="1" applyProtection="1"/>
    <xf numFmtId="7" fontId="10" fillId="0" borderId="9" xfId="0" applyNumberFormat="1" applyFont="1" applyBorder="1" applyProtection="1"/>
    <xf numFmtId="14" fontId="3" fillId="2" borderId="6" xfId="1" applyNumberFormat="1" applyFont="1" applyFill="1" applyBorder="1" applyProtection="1"/>
    <xf numFmtId="0" fontId="11" fillId="2" borderId="6" xfId="0" applyFont="1" applyFill="1" applyBorder="1"/>
    <xf numFmtId="0" fontId="11" fillId="2" borderId="7" xfId="0" applyFont="1" applyFill="1" applyBorder="1"/>
    <xf numFmtId="14" fontId="8" fillId="0" borderId="13" xfId="1" applyNumberFormat="1" applyFont="1" applyBorder="1" applyProtection="1">
      <protection locked="0"/>
    </xf>
    <xf numFmtId="7" fontId="9" fillId="0" borderId="0" xfId="0" applyNumberFormat="1" applyFont="1" applyBorder="1"/>
    <xf numFmtId="49" fontId="10" fillId="0" borderId="0" xfId="0" applyNumberFormat="1" applyFont="1" applyBorder="1" applyAlignment="1">
      <alignment horizontal="right"/>
    </xf>
    <xf numFmtId="7" fontId="0" fillId="0" borderId="0" xfId="0" applyNumberFormat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16" fillId="0" borderId="0" xfId="0" applyFont="1" applyProtection="1"/>
    <xf numFmtId="0" fontId="0" fillId="0" borderId="10" xfId="0" applyFont="1" applyBorder="1" applyProtection="1"/>
    <xf numFmtId="0" fontId="0" fillId="0" borderId="11" xfId="0" applyFont="1" applyBorder="1" applyProtection="1"/>
    <xf numFmtId="0" fontId="0" fillId="0" borderId="14" xfId="0" applyFont="1" applyBorder="1" applyProtection="1"/>
    <xf numFmtId="0" fontId="0" fillId="0" borderId="12" xfId="0" applyFont="1" applyBorder="1" applyProtection="1"/>
    <xf numFmtId="0" fontId="18" fillId="0" borderId="0" xfId="0" applyFont="1" applyBorder="1" applyProtection="1"/>
    <xf numFmtId="0" fontId="18" fillId="0" borderId="0" xfId="0" applyFont="1" applyProtection="1"/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35" xfId="0" applyFont="1" applyBorder="1" applyProtection="1">
      <protection locked="0"/>
    </xf>
    <xf numFmtId="0" fontId="8" fillId="0" borderId="35" xfId="0" applyFont="1" applyBorder="1" applyAlignment="1">
      <alignment horizontal="center"/>
    </xf>
    <xf numFmtId="0" fontId="0" fillId="2" borderId="6" xfId="0" applyFill="1" applyBorder="1"/>
    <xf numFmtId="14" fontId="3" fillId="0" borderId="41" xfId="1" applyNumberFormat="1" applyFont="1" applyBorder="1" applyProtection="1">
      <protection locked="0"/>
    </xf>
    <xf numFmtId="0" fontId="10" fillId="0" borderId="42" xfId="0" applyFont="1" applyBorder="1" applyProtection="1">
      <protection locked="0"/>
    </xf>
    <xf numFmtId="14" fontId="3" fillId="2" borderId="38" xfId="1" applyNumberFormat="1" applyFont="1" applyFill="1" applyBorder="1" applyProtection="1"/>
    <xf numFmtId="0" fontId="11" fillId="2" borderId="38" xfId="0" applyFont="1" applyFill="1" applyBorder="1"/>
    <xf numFmtId="7" fontId="10" fillId="0" borderId="44" xfId="0" applyNumberFormat="1" applyFont="1" applyBorder="1" applyProtection="1">
      <protection locked="0"/>
    </xf>
    <xf numFmtId="7" fontId="10" fillId="0" borderId="45" xfId="0" applyNumberFormat="1" applyFont="1" applyBorder="1" applyProtection="1">
      <protection locked="0"/>
    </xf>
    <xf numFmtId="0" fontId="11" fillId="2" borderId="30" xfId="0" applyFont="1" applyFill="1" applyBorder="1"/>
    <xf numFmtId="7" fontId="10" fillId="0" borderId="46" xfId="0" applyNumberFormat="1" applyFont="1" applyBorder="1" applyProtection="1">
      <protection locked="0"/>
    </xf>
    <xf numFmtId="0" fontId="8" fillId="0" borderId="30" xfId="0" applyFont="1" applyBorder="1" applyAlignment="1">
      <alignment horizontal="center"/>
    </xf>
    <xf numFmtId="7" fontId="0" fillId="2" borderId="34" xfId="0" applyNumberFormat="1" applyFill="1" applyBorder="1" applyAlignment="1">
      <alignment horizontal="center"/>
    </xf>
    <xf numFmtId="0" fontId="0" fillId="2" borderId="3" xfId="0" applyFill="1" applyBorder="1"/>
    <xf numFmtId="0" fontId="0" fillId="2" borderId="13" xfId="0" applyFill="1" applyBorder="1"/>
    <xf numFmtId="0" fontId="0" fillId="2" borderId="3" xfId="0" applyFill="1" applyBorder="1"/>
    <xf numFmtId="0" fontId="19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21" fillId="0" borderId="0" xfId="0" applyFont="1" applyAlignment="1" applyProtection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Border="1" applyProtection="1"/>
    <xf numFmtId="0" fontId="22" fillId="0" borderId="0" xfId="0" applyFont="1" applyProtection="1"/>
    <xf numFmtId="14" fontId="8" fillId="0" borderId="41" xfId="1" applyNumberFormat="1" applyFont="1" applyBorder="1" applyProtection="1">
      <protection locked="0"/>
    </xf>
    <xf numFmtId="14" fontId="3" fillId="0" borderId="17" xfId="1" applyNumberFormat="1" applyFont="1" applyBorder="1" applyProtection="1">
      <protection locked="0"/>
    </xf>
    <xf numFmtId="0" fontId="13" fillId="0" borderId="0" xfId="0" applyFont="1" applyBorder="1" applyAlignment="1" applyProtection="1">
      <alignment horizontal="left"/>
      <protection locked="0"/>
    </xf>
    <xf numFmtId="49" fontId="8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44" fontId="0" fillId="0" borderId="35" xfId="2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4" fillId="0" borderId="2" xfId="1" applyFont="1" applyBorder="1"/>
    <xf numFmtId="0" fontId="3" fillId="0" borderId="1" xfId="1" applyBorder="1"/>
    <xf numFmtId="0" fontId="4" fillId="0" borderId="20" xfId="1" applyFont="1" applyBorder="1"/>
    <xf numFmtId="44" fontId="0" fillId="0" borderId="3" xfId="2" applyFont="1" applyBorder="1" applyAlignment="1">
      <alignment vertical="center"/>
    </xf>
    <xf numFmtId="0" fontId="5" fillId="0" borderId="0" xfId="1" applyFont="1" applyBorder="1" applyAlignment="1">
      <alignment horizontal="left"/>
    </xf>
    <xf numFmtId="44" fontId="10" fillId="0" borderId="48" xfId="2" applyFont="1" applyBorder="1"/>
    <xf numFmtId="0" fontId="24" fillId="0" borderId="0" xfId="1" applyFont="1" applyBorder="1" applyAlignment="1">
      <alignment horizontal="left" vertical="center"/>
    </xf>
    <xf numFmtId="7" fontId="17" fillId="0" borderId="8" xfId="0" applyNumberFormat="1" applyFont="1" applyBorder="1" applyAlignment="1" applyProtection="1">
      <alignment horizontal="center"/>
    </xf>
    <xf numFmtId="0" fontId="17" fillId="0" borderId="8" xfId="0" applyFont="1" applyBorder="1" applyAlignment="1">
      <alignment horizontal="center"/>
    </xf>
    <xf numFmtId="7" fontId="17" fillId="0" borderId="8" xfId="0" applyNumberFormat="1" applyFont="1" applyBorder="1" applyAlignment="1">
      <alignment horizontal="center"/>
    </xf>
    <xf numFmtId="0" fontId="5" fillId="0" borderId="0" xfId="0" applyFont="1" applyBorder="1" applyAlignment="1"/>
    <xf numFmtId="44" fontId="10" fillId="0" borderId="35" xfId="2" applyFont="1" applyBorder="1" applyAlignment="1">
      <alignment vertical="center"/>
    </xf>
    <xf numFmtId="44" fontId="10" fillId="0" borderId="48" xfId="2" applyFont="1" applyBorder="1" applyAlignment="1"/>
    <xf numFmtId="7" fontId="8" fillId="0" borderId="0" xfId="0" applyNumberFormat="1" applyFont="1" applyBorder="1" applyAlignment="1"/>
    <xf numFmtId="7" fontId="8" fillId="0" borderId="0" xfId="0" applyNumberFormat="1" applyFont="1" applyBorder="1" applyAlignment="1">
      <alignment horizontal="center"/>
    </xf>
    <xf numFmtId="0" fontId="5" fillId="0" borderId="0" xfId="1" applyFont="1" applyBorder="1" applyAlignment="1"/>
    <xf numFmtId="0" fontId="0" fillId="0" borderId="0" xfId="0" applyBorder="1"/>
    <xf numFmtId="0" fontId="2" fillId="0" borderId="18" xfId="0" applyFont="1" applyBorder="1"/>
    <xf numFmtId="0" fontId="2" fillId="0" borderId="18" xfId="0" applyFont="1" applyBorder="1" applyAlignment="1">
      <alignment horizontal="right"/>
    </xf>
    <xf numFmtId="0" fontId="5" fillId="0" borderId="18" xfId="1" applyFont="1" applyBorder="1" applyAlignment="1">
      <alignment horizontal="right"/>
    </xf>
    <xf numFmtId="7" fontId="9" fillId="0" borderId="18" xfId="0" applyNumberFormat="1" applyFont="1" applyBorder="1"/>
    <xf numFmtId="7" fontId="0" fillId="0" borderId="18" xfId="0" applyNumberFormat="1" applyBorder="1"/>
    <xf numFmtId="7" fontId="10" fillId="0" borderId="40" xfId="0" applyNumberFormat="1" applyFont="1" applyBorder="1"/>
    <xf numFmtId="0" fontId="2" fillId="0" borderId="15" xfId="0" applyFont="1" applyBorder="1"/>
    <xf numFmtId="0" fontId="3" fillId="0" borderId="0" xfId="0" applyFont="1" applyBorder="1" applyAlignment="1">
      <alignment horizontal="center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34" xfId="0" applyBorder="1"/>
    <xf numFmtId="0" fontId="11" fillId="0" borderId="0" xfId="0" applyFont="1" applyBorder="1" applyAlignment="1">
      <alignment vertical="center"/>
    </xf>
    <xf numFmtId="0" fontId="0" fillId="0" borderId="15" xfId="0" applyBorder="1"/>
    <xf numFmtId="0" fontId="0" fillId="0" borderId="28" xfId="0" applyBorder="1"/>
    <xf numFmtId="0" fontId="0" fillId="0" borderId="47" xfId="0" applyBorder="1"/>
    <xf numFmtId="0" fontId="0" fillId="0" borderId="47" xfId="0" applyBorder="1" applyAlignment="1">
      <alignment horizontal="right"/>
    </xf>
    <xf numFmtId="0" fontId="5" fillId="0" borderId="19" xfId="0" applyFont="1" applyBorder="1"/>
    <xf numFmtId="44" fontId="10" fillId="0" borderId="13" xfId="2" applyFont="1" applyBorder="1" applyProtection="1">
      <protection locked="0"/>
    </xf>
    <xf numFmtId="44" fontId="10" fillId="0" borderId="7" xfId="2" applyFont="1" applyBorder="1" applyProtection="1">
      <protection locked="0"/>
    </xf>
    <xf numFmtId="7" fontId="10" fillId="0" borderId="48" xfId="2" applyNumberFormat="1" applyFont="1" applyBorder="1" applyAlignment="1"/>
    <xf numFmtId="0" fontId="8" fillId="0" borderId="23" xfId="0" applyFont="1" applyBorder="1" applyProtection="1">
      <protection locked="0"/>
    </xf>
    <xf numFmtId="0" fontId="8" fillId="0" borderId="23" xfId="0" applyFont="1" applyBorder="1" applyProtection="1"/>
    <xf numFmtId="0" fontId="8" fillId="0" borderId="39" xfId="0" applyFont="1" applyBorder="1" applyProtection="1">
      <protection locked="0"/>
    </xf>
    <xf numFmtId="0" fontId="19" fillId="0" borderId="51" xfId="0" applyFont="1" applyBorder="1" applyAlignment="1">
      <alignment horizontal="center"/>
    </xf>
    <xf numFmtId="7" fontId="10" fillId="0" borderId="45" xfId="0" applyNumberFormat="1" applyFont="1" applyBorder="1"/>
    <xf numFmtId="7" fontId="10" fillId="0" borderId="46" xfId="0" applyNumberFormat="1" applyFont="1" applyBorder="1"/>
    <xf numFmtId="7" fontId="0" fillId="2" borderId="54" xfId="0" applyNumberFormat="1" applyFill="1" applyBorder="1"/>
    <xf numFmtId="0" fontId="8" fillId="0" borderId="42" xfId="0" quotePrefix="1" applyFont="1" applyBorder="1" applyAlignment="1">
      <alignment horizontal="center"/>
    </xf>
    <xf numFmtId="0" fontId="8" fillId="0" borderId="13" xfId="0" quotePrefix="1" applyFont="1" applyBorder="1" applyAlignment="1">
      <alignment horizontal="center"/>
    </xf>
    <xf numFmtId="0" fontId="5" fillId="0" borderId="0" xfId="1" applyFont="1" applyBorder="1"/>
    <xf numFmtId="0" fontId="0" fillId="0" borderId="40" xfId="0" applyBorder="1" applyProtection="1"/>
    <xf numFmtId="0" fontId="32" fillId="0" borderId="0" xfId="0" applyFont="1" applyAlignment="1" applyProtection="1">
      <alignment horizontal="center"/>
    </xf>
    <xf numFmtId="0" fontId="8" fillId="4" borderId="16" xfId="0" applyFont="1" applyFill="1" applyBorder="1" applyProtection="1"/>
    <xf numFmtId="0" fontId="0" fillId="4" borderId="1" xfId="0" applyFill="1" applyBorder="1" applyProtection="1"/>
    <xf numFmtId="164" fontId="10" fillId="4" borderId="31" xfId="0" applyNumberFormat="1" applyFont="1" applyFill="1" applyBorder="1" applyProtection="1">
      <protection locked="0"/>
    </xf>
    <xf numFmtId="0" fontId="0" fillId="4" borderId="20" xfId="0" applyFill="1" applyBorder="1" applyProtection="1"/>
    <xf numFmtId="164" fontId="10" fillId="4" borderId="25" xfId="0" applyNumberFormat="1" applyFont="1" applyFill="1" applyBorder="1"/>
    <xf numFmtId="0" fontId="33" fillId="0" borderId="0" xfId="0" applyFont="1" applyBorder="1" applyAlignment="1">
      <alignment horizontal="right"/>
    </xf>
    <xf numFmtId="0" fontId="33" fillId="0" borderId="15" xfId="0" applyFont="1" applyBorder="1" applyAlignment="1">
      <alignment horizontal="right"/>
    </xf>
    <xf numFmtId="14" fontId="3" fillId="0" borderId="38" xfId="1" applyNumberFormat="1" applyFont="1" applyBorder="1" applyProtection="1">
      <protection locked="0"/>
    </xf>
    <xf numFmtId="0" fontId="0" fillId="2" borderId="26" xfId="0" applyFill="1" applyBorder="1" applyAlignment="1">
      <alignment horizontal="center"/>
    </xf>
    <xf numFmtId="7" fontId="0" fillId="2" borderId="5" xfId="0" applyNumberFormat="1" applyFill="1" applyBorder="1" applyProtection="1"/>
    <xf numFmtId="7" fontId="10" fillId="0" borderId="56" xfId="0" applyNumberFormat="1" applyFont="1" applyBorder="1" applyProtection="1"/>
    <xf numFmtId="7" fontId="0" fillId="2" borderId="0" xfId="0" applyNumberFormat="1" applyFill="1" applyBorder="1" applyProtection="1"/>
    <xf numFmtId="7" fontId="10" fillId="0" borderId="4" xfId="0" applyNumberFormat="1" applyFont="1" applyBorder="1" applyProtection="1"/>
    <xf numFmtId="7" fontId="10" fillId="0" borderId="4" xfId="0" applyNumberFormat="1" applyFont="1" applyBorder="1" applyProtection="1">
      <protection locked="0"/>
    </xf>
    <xf numFmtId="7" fontId="10" fillId="0" borderId="55" xfId="0" applyNumberFormat="1" applyFont="1" applyBorder="1" applyProtection="1">
      <protection locked="0"/>
    </xf>
    <xf numFmtId="7" fontId="10" fillId="0" borderId="27" xfId="0" applyNumberFormat="1" applyFont="1" applyBorder="1" applyProtection="1">
      <protection locked="0"/>
    </xf>
    <xf numFmtId="0" fontId="7" fillId="0" borderId="47" xfId="0" applyFont="1" applyBorder="1" applyAlignment="1" applyProtection="1">
      <alignment horizontal="center" vertical="top" wrapText="1"/>
    </xf>
    <xf numFmtId="0" fontId="0" fillId="2" borderId="15" xfId="0" applyFill="1" applyBorder="1" applyAlignment="1">
      <alignment horizontal="center"/>
    </xf>
    <xf numFmtId="0" fontId="7" fillId="0" borderId="50" xfId="0" applyFont="1" applyBorder="1" applyAlignment="1" applyProtection="1">
      <alignment horizontal="center" vertical="top" wrapText="1"/>
    </xf>
    <xf numFmtId="0" fontId="7" fillId="0" borderId="56" xfId="0" applyFont="1" applyBorder="1" applyAlignment="1" applyProtection="1">
      <alignment horizontal="center" vertical="top" wrapText="1"/>
    </xf>
    <xf numFmtId="0" fontId="7" fillId="0" borderId="43" xfId="0" applyFont="1" applyBorder="1" applyAlignment="1" applyProtection="1">
      <alignment horizontal="center" vertical="top" wrapText="1"/>
    </xf>
    <xf numFmtId="14" fontId="8" fillId="0" borderId="38" xfId="1" applyNumberFormat="1" applyFont="1" applyBorder="1" applyProtection="1">
      <protection locked="0"/>
    </xf>
    <xf numFmtId="14" fontId="8" fillId="0" borderId="6" xfId="1" applyNumberFormat="1" applyFont="1" applyBorder="1" applyProtection="1">
      <protection locked="0"/>
    </xf>
    <xf numFmtId="0" fontId="23" fillId="3" borderId="35" xfId="0" applyFont="1" applyFill="1" applyBorder="1" applyAlignment="1" applyProtection="1">
      <alignment horizontal="center"/>
    </xf>
    <xf numFmtId="0" fontId="31" fillId="3" borderId="35" xfId="0" applyFont="1" applyFill="1" applyBorder="1" applyAlignment="1" applyProtection="1">
      <alignment horizontal="center"/>
      <protection locked="0"/>
    </xf>
    <xf numFmtId="0" fontId="29" fillId="3" borderId="35" xfId="0" applyFont="1" applyFill="1" applyBorder="1" applyAlignment="1" applyProtection="1">
      <alignment horizontal="center"/>
      <protection locked="0"/>
    </xf>
    <xf numFmtId="0" fontId="28" fillId="0" borderId="47" xfId="0" applyFont="1" applyBorder="1" applyAlignment="1">
      <alignment horizontal="right"/>
    </xf>
    <xf numFmtId="0" fontId="26" fillId="0" borderId="47" xfId="0" applyFont="1" applyBorder="1" applyAlignment="1">
      <alignment horizontal="right"/>
    </xf>
    <xf numFmtId="44" fontId="26" fillId="0" borderId="47" xfId="2" applyFont="1" applyBorder="1" applyAlignment="1">
      <alignment horizontal="center"/>
    </xf>
    <xf numFmtId="44" fontId="26" fillId="0" borderId="49" xfId="2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7" fontId="11" fillId="2" borderId="52" xfId="0" applyNumberFormat="1" applyFont="1" applyFill="1" applyBorder="1"/>
    <xf numFmtId="7" fontId="11" fillId="2" borderId="37" xfId="0" applyNumberFormat="1" applyFont="1" applyFill="1" applyBorder="1"/>
    <xf numFmtId="7" fontId="11" fillId="2" borderId="53" xfId="0" applyNumberFormat="1" applyFont="1" applyFill="1" applyBorder="1"/>
    <xf numFmtId="0" fontId="17" fillId="0" borderId="26" xfId="0" applyFont="1" applyBorder="1" applyAlignment="1" applyProtection="1">
      <alignment horizontal="center" vertical="center" wrapText="1"/>
    </xf>
    <xf numFmtId="0" fontId="17" fillId="0" borderId="23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/>
    </xf>
    <xf numFmtId="0" fontId="17" fillId="0" borderId="5" xfId="0" applyFont="1" applyBorder="1" applyAlignment="1" applyProtection="1">
      <alignment horizontal="center" vertical="center"/>
    </xf>
    <xf numFmtId="0" fontId="17" fillId="0" borderId="33" xfId="0" applyFont="1" applyBorder="1" applyAlignment="1" applyProtection="1">
      <alignment horizontal="center" vertical="center"/>
    </xf>
    <xf numFmtId="0" fontId="0" fillId="2" borderId="3" xfId="0" applyFill="1" applyBorder="1"/>
    <xf numFmtId="0" fontId="0" fillId="2" borderId="6" xfId="0" applyFill="1" applyBorder="1"/>
    <xf numFmtId="0" fontId="0" fillId="2" borderId="13" xfId="0" applyFill="1" applyBorder="1"/>
    <xf numFmtId="0" fontId="17" fillId="0" borderId="4" xfId="0" applyFont="1" applyBorder="1" applyAlignment="1" applyProtection="1">
      <alignment horizontal="center" vertical="center" wrapText="1"/>
    </xf>
    <xf numFmtId="0" fontId="17" fillId="0" borderId="5" xfId="0" applyFont="1" applyBorder="1" applyAlignment="1" applyProtection="1">
      <alignment horizontal="center" vertical="center" wrapText="1"/>
    </xf>
    <xf numFmtId="0" fontId="17" fillId="0" borderId="33" xfId="0" applyFont="1" applyBorder="1" applyAlignment="1" applyProtection="1">
      <alignment horizontal="center" vertical="center" wrapText="1"/>
    </xf>
    <xf numFmtId="0" fontId="0" fillId="0" borderId="5" xfId="0" applyBorder="1" applyAlignment="1" applyProtection="1">
      <alignment horizontal="left"/>
    </xf>
    <xf numFmtId="14" fontId="10" fillId="0" borderId="4" xfId="0" applyNumberFormat="1" applyFont="1" applyBorder="1" applyAlignment="1" applyProtection="1">
      <alignment horizontal="left"/>
      <protection locked="0"/>
    </xf>
    <xf numFmtId="14" fontId="10" fillId="0" borderId="23" xfId="0" applyNumberFormat="1" applyFont="1" applyBorder="1" applyAlignment="1" applyProtection="1">
      <alignment horizontal="left"/>
      <protection locked="0"/>
    </xf>
    <xf numFmtId="14" fontId="10" fillId="0" borderId="5" xfId="0" applyNumberFormat="1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center" vertical="top" wrapText="1"/>
      <protection locked="0"/>
    </xf>
    <xf numFmtId="0" fontId="10" fillId="0" borderId="34" xfId="0" applyFont="1" applyBorder="1" applyAlignment="1" applyProtection="1">
      <alignment horizontal="center" vertical="top" wrapText="1"/>
      <protection locked="0"/>
    </xf>
    <xf numFmtId="0" fontId="10" fillId="0" borderId="5" xfId="0" applyFont="1" applyBorder="1" applyAlignment="1" applyProtection="1">
      <alignment horizontal="center" vertical="top" wrapText="1"/>
      <protection locked="0"/>
    </xf>
    <xf numFmtId="0" fontId="10" fillId="0" borderId="33" xfId="0" applyFont="1" applyBorder="1" applyAlignment="1" applyProtection="1">
      <alignment horizontal="center" vertical="top" wrapText="1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10" fillId="0" borderId="15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7" xfId="0" applyFont="1" applyBorder="1" applyAlignment="1" applyProtection="1">
      <alignment horizontal="left" vertical="center"/>
      <protection locked="0"/>
    </xf>
    <xf numFmtId="7" fontId="11" fillId="2" borderId="16" xfId="0" applyNumberFormat="1" applyFont="1" applyFill="1" applyBorder="1"/>
    <xf numFmtId="7" fontId="11" fillId="2" borderId="1" xfId="0" applyNumberFormat="1" applyFont="1" applyFill="1" applyBorder="1"/>
    <xf numFmtId="7" fontId="11" fillId="2" borderId="36" xfId="0" applyNumberFormat="1" applyFont="1" applyFill="1" applyBorder="1"/>
    <xf numFmtId="14" fontId="10" fillId="0" borderId="26" xfId="0" applyNumberFormat="1" applyFont="1" applyBorder="1" applyAlignment="1" applyProtection="1">
      <alignment horizontal="left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33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left"/>
      <protection locked="0"/>
    </xf>
    <xf numFmtId="0" fontId="10" fillId="0" borderId="33" xfId="0" applyFont="1" applyBorder="1" applyAlignment="1" applyProtection="1">
      <alignment horizontal="left"/>
      <protection locked="0"/>
    </xf>
    <xf numFmtId="0" fontId="10" fillId="0" borderId="26" xfId="0" applyFont="1" applyBorder="1" applyAlignment="1" applyProtection="1">
      <alignment horizontal="left"/>
      <protection locked="0"/>
    </xf>
    <xf numFmtId="0" fontId="10" fillId="0" borderId="0" xfId="0" applyFont="1" applyBorder="1" applyAlignment="1" applyProtection="1">
      <alignment horizontal="left"/>
      <protection locked="0"/>
    </xf>
    <xf numFmtId="0" fontId="10" fillId="0" borderId="28" xfId="0" applyFont="1" applyBorder="1" applyAlignment="1" applyProtection="1">
      <alignment horizontal="left"/>
      <protection locked="0"/>
    </xf>
    <xf numFmtId="0" fontId="10" fillId="0" borderId="47" xfId="0" applyFont="1" applyBorder="1" applyAlignment="1" applyProtection="1">
      <alignment horizontal="left"/>
      <protection locked="0"/>
    </xf>
    <xf numFmtId="0" fontId="10" fillId="0" borderId="49" xfId="0" applyFont="1" applyBorder="1" applyAlignment="1" applyProtection="1">
      <alignment horizontal="left"/>
      <protection locked="0"/>
    </xf>
    <xf numFmtId="0" fontId="30" fillId="3" borderId="35" xfId="0" applyFont="1" applyFill="1" applyBorder="1" applyAlignment="1" applyProtection="1">
      <alignment horizontal="center"/>
    </xf>
    <xf numFmtId="0" fontId="29" fillId="3" borderId="55" xfId="0" applyFont="1" applyFill="1" applyBorder="1" applyAlignment="1" applyProtection="1">
      <alignment horizontal="center"/>
      <protection locked="0"/>
    </xf>
    <xf numFmtId="0" fontId="29" fillId="3" borderId="31" xfId="0" applyFont="1" applyFill="1" applyBorder="1" applyAlignment="1" applyProtection="1">
      <alignment horizontal="center"/>
      <protection locked="0"/>
    </xf>
    <xf numFmtId="0" fontId="23" fillId="3" borderId="52" xfId="0" applyFont="1" applyFill="1" applyBorder="1" applyAlignment="1" applyProtection="1">
      <alignment horizontal="center"/>
    </xf>
    <xf numFmtId="0" fontId="23" fillId="3" borderId="37" xfId="0" applyFont="1" applyFill="1" applyBorder="1" applyAlignment="1" applyProtection="1">
      <alignment horizontal="center"/>
    </xf>
  </cellXfs>
  <cellStyles count="3">
    <cellStyle name="Currency" xfId="2" builtinId="4"/>
    <cellStyle name="HELV-8PT" xfId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18</xdr:row>
      <xdr:rowOff>9525</xdr:rowOff>
    </xdr:from>
    <xdr:to>
      <xdr:col>7</xdr:col>
      <xdr:colOff>523875</xdr:colOff>
      <xdr:row>22</xdr:row>
      <xdr:rowOff>161925</xdr:rowOff>
    </xdr:to>
    <xdr:sp macro="" textlink="">
      <xdr:nvSpPr>
        <xdr:cNvPr id="1351" name="Line 2"/>
        <xdr:cNvSpPr>
          <a:spLocks noChangeShapeType="1"/>
        </xdr:cNvSpPr>
      </xdr:nvSpPr>
      <xdr:spPr bwMode="auto">
        <a:xfrm>
          <a:off x="5210175" y="2752725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523875</xdr:colOff>
      <xdr:row>19</xdr:row>
      <xdr:rowOff>9525</xdr:rowOff>
    </xdr:from>
    <xdr:to>
      <xdr:col>10</xdr:col>
      <xdr:colOff>523875</xdr:colOff>
      <xdr:row>22</xdr:row>
      <xdr:rowOff>161925</xdr:rowOff>
    </xdr:to>
    <xdr:sp macro="" textlink="">
      <xdr:nvSpPr>
        <xdr:cNvPr id="1352" name="Line 8"/>
        <xdr:cNvSpPr>
          <a:spLocks noChangeShapeType="1"/>
        </xdr:cNvSpPr>
      </xdr:nvSpPr>
      <xdr:spPr bwMode="auto">
        <a:xfrm flipH="1">
          <a:off x="7439025" y="2924175"/>
          <a:ext cx="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323850</xdr:colOff>
      <xdr:row>18</xdr:row>
      <xdr:rowOff>0</xdr:rowOff>
    </xdr:from>
    <xdr:to>
      <xdr:col>7</xdr:col>
      <xdr:colOff>323850</xdr:colOff>
      <xdr:row>23</xdr:row>
      <xdr:rowOff>0</xdr:rowOff>
    </xdr:to>
    <xdr:sp macro="" textlink="">
      <xdr:nvSpPr>
        <xdr:cNvPr id="1353" name="Line 9"/>
        <xdr:cNvSpPr>
          <a:spLocks noChangeShapeType="1"/>
        </xdr:cNvSpPr>
      </xdr:nvSpPr>
      <xdr:spPr bwMode="auto">
        <a:xfrm>
          <a:off x="5010150" y="2743200"/>
          <a:ext cx="0" cy="857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18</xdr:row>
      <xdr:rowOff>9525</xdr:rowOff>
    </xdr:from>
    <xdr:to>
      <xdr:col>9</xdr:col>
      <xdr:colOff>161925</xdr:colOff>
      <xdr:row>23</xdr:row>
      <xdr:rowOff>0</xdr:rowOff>
    </xdr:to>
    <xdr:sp macro="" textlink="">
      <xdr:nvSpPr>
        <xdr:cNvPr id="1354" name="Line 10"/>
        <xdr:cNvSpPr>
          <a:spLocks noChangeShapeType="1"/>
        </xdr:cNvSpPr>
      </xdr:nvSpPr>
      <xdr:spPr bwMode="auto">
        <a:xfrm>
          <a:off x="6715125" y="2771775"/>
          <a:ext cx="0" cy="847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63</xdr:row>
      <xdr:rowOff>161925</xdr:rowOff>
    </xdr:from>
    <xdr:to>
      <xdr:col>3</xdr:col>
      <xdr:colOff>381000</xdr:colOff>
      <xdr:row>63</xdr:row>
      <xdr:rowOff>161925</xdr:rowOff>
    </xdr:to>
    <xdr:sp macro="" textlink="">
      <xdr:nvSpPr>
        <xdr:cNvPr id="1355" name="Line 11"/>
        <xdr:cNvSpPr>
          <a:spLocks noChangeShapeType="1"/>
        </xdr:cNvSpPr>
      </xdr:nvSpPr>
      <xdr:spPr bwMode="auto">
        <a:xfrm>
          <a:off x="2857500" y="10372725"/>
          <a:ext cx="352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247650</xdr:colOff>
      <xdr:row>64</xdr:row>
      <xdr:rowOff>9525</xdr:rowOff>
    </xdr:from>
    <xdr:to>
      <xdr:col>4</xdr:col>
      <xdr:colOff>609600</xdr:colOff>
      <xdr:row>64</xdr:row>
      <xdr:rowOff>9525</xdr:rowOff>
    </xdr:to>
    <xdr:sp macro="" textlink="">
      <xdr:nvSpPr>
        <xdr:cNvPr id="1356" name="Line 12"/>
        <xdr:cNvSpPr>
          <a:spLocks noChangeShapeType="1"/>
        </xdr:cNvSpPr>
      </xdr:nvSpPr>
      <xdr:spPr bwMode="auto">
        <a:xfrm flipV="1">
          <a:off x="3495675" y="10391775"/>
          <a:ext cx="361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153</xdr:row>
      <xdr:rowOff>0</xdr:rowOff>
    </xdr:from>
    <xdr:to>
      <xdr:col>3</xdr:col>
      <xdr:colOff>266700</xdr:colOff>
      <xdr:row>153</xdr:row>
      <xdr:rowOff>0</xdr:rowOff>
    </xdr:to>
    <xdr:sp macro="" textlink="">
      <xdr:nvSpPr>
        <xdr:cNvPr id="1357" name="Line 13"/>
        <xdr:cNvSpPr>
          <a:spLocks noChangeShapeType="1"/>
        </xdr:cNvSpPr>
      </xdr:nvSpPr>
      <xdr:spPr bwMode="auto">
        <a:xfrm>
          <a:off x="2752725" y="21278850"/>
          <a:ext cx="2381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153</xdr:row>
      <xdr:rowOff>0</xdr:rowOff>
    </xdr:from>
    <xdr:to>
      <xdr:col>4</xdr:col>
      <xdr:colOff>438150</xdr:colOff>
      <xdr:row>153</xdr:row>
      <xdr:rowOff>0</xdr:rowOff>
    </xdr:to>
    <xdr:sp macro="" textlink="">
      <xdr:nvSpPr>
        <xdr:cNvPr id="1358" name="Line 14"/>
        <xdr:cNvSpPr>
          <a:spLocks noChangeShapeType="1"/>
        </xdr:cNvSpPr>
      </xdr:nvSpPr>
      <xdr:spPr bwMode="auto">
        <a:xfrm>
          <a:off x="3267075" y="21278850"/>
          <a:ext cx="2476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28575</xdr:colOff>
      <xdr:row>152</xdr:row>
      <xdr:rowOff>161924</xdr:rowOff>
    </xdr:from>
    <xdr:to>
      <xdr:col>3</xdr:col>
      <xdr:colOff>400050</xdr:colOff>
      <xdr:row>152</xdr:row>
      <xdr:rowOff>161925</xdr:rowOff>
    </xdr:to>
    <xdr:sp macro="" textlink="">
      <xdr:nvSpPr>
        <xdr:cNvPr id="1359" name="Line 15"/>
        <xdr:cNvSpPr>
          <a:spLocks noChangeShapeType="1"/>
        </xdr:cNvSpPr>
      </xdr:nvSpPr>
      <xdr:spPr bwMode="auto">
        <a:xfrm>
          <a:off x="2857500" y="24193499"/>
          <a:ext cx="371475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190498</xdr:colOff>
      <xdr:row>152</xdr:row>
      <xdr:rowOff>161924</xdr:rowOff>
    </xdr:from>
    <xdr:to>
      <xdr:col>4</xdr:col>
      <xdr:colOff>571500</xdr:colOff>
      <xdr:row>152</xdr:row>
      <xdr:rowOff>161925</xdr:rowOff>
    </xdr:to>
    <xdr:sp macro="" textlink="">
      <xdr:nvSpPr>
        <xdr:cNvPr id="1360" name="Line 16"/>
        <xdr:cNvSpPr>
          <a:spLocks noChangeShapeType="1"/>
        </xdr:cNvSpPr>
      </xdr:nvSpPr>
      <xdr:spPr bwMode="auto">
        <a:xfrm>
          <a:off x="3438523" y="24193499"/>
          <a:ext cx="381002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5"/>
  <sheetViews>
    <sheetView showGridLines="0" showZeros="0" tabSelected="1" workbookViewId="0"/>
  </sheetViews>
  <sheetFormatPr defaultColWidth="12" defaultRowHeight="14.1" customHeight="1"/>
  <cols>
    <col min="1" max="1" width="10.85546875" customWidth="1"/>
    <col min="2" max="2" width="16.28515625" customWidth="1"/>
    <col min="3" max="3" width="15.28515625" customWidth="1"/>
    <col min="4" max="4" width="7.7109375" customWidth="1"/>
    <col min="5" max="5" width="11.140625" customWidth="1"/>
    <col min="6" max="6" width="10.85546875" customWidth="1"/>
    <col min="7" max="7" width="7.5703125" customWidth="1"/>
    <col min="8" max="8" width="10" customWidth="1"/>
    <col min="9" max="9" width="11.140625" customWidth="1"/>
    <col min="10" max="10" width="12.28515625" customWidth="1"/>
    <col min="11" max="11" width="10.28515625" customWidth="1"/>
  </cols>
  <sheetData>
    <row r="1" spans="1:11" ht="14.1" customHeight="1">
      <c r="A1" s="19"/>
      <c r="B1" s="19"/>
      <c r="C1" s="19"/>
      <c r="D1" s="19"/>
      <c r="E1" s="19"/>
      <c r="F1" s="101" t="s">
        <v>0</v>
      </c>
      <c r="G1" s="19"/>
      <c r="H1" s="19"/>
      <c r="I1" s="19"/>
      <c r="J1" s="19"/>
      <c r="K1" s="19"/>
    </row>
    <row r="2" spans="1:11" ht="14.1" customHeight="1">
      <c r="A2" s="19"/>
      <c r="B2" s="19"/>
      <c r="C2" s="19"/>
      <c r="D2" s="19"/>
      <c r="E2" s="19"/>
      <c r="F2" s="160" t="s">
        <v>91</v>
      </c>
      <c r="G2" s="19"/>
      <c r="H2" s="19"/>
      <c r="I2" s="19"/>
      <c r="J2" s="19"/>
      <c r="K2" s="19"/>
    </row>
    <row r="3" spans="1:11" ht="14.1" customHeight="1">
      <c r="A3" s="19"/>
      <c r="B3" s="19"/>
      <c r="C3" s="19"/>
      <c r="D3" s="19"/>
      <c r="E3" s="19"/>
      <c r="F3" s="20" t="s">
        <v>1</v>
      </c>
      <c r="G3" s="19"/>
      <c r="H3" s="19"/>
      <c r="I3" s="19"/>
      <c r="J3" s="19"/>
      <c r="K3" s="19"/>
    </row>
    <row r="4" spans="1:11" ht="14.1" customHeight="1">
      <c r="A4" s="19"/>
      <c r="B4" s="19"/>
      <c r="C4" s="19"/>
      <c r="D4" s="19"/>
      <c r="E4" s="19"/>
      <c r="F4" s="20" t="s">
        <v>93</v>
      </c>
      <c r="G4" s="19"/>
      <c r="H4" s="19"/>
      <c r="I4" s="19"/>
      <c r="J4" s="19"/>
      <c r="K4" s="19"/>
    </row>
    <row r="5" spans="1:11" ht="14.1" customHeight="1">
      <c r="A5" s="19"/>
      <c r="B5" s="19"/>
      <c r="C5" s="19"/>
      <c r="D5" s="19"/>
      <c r="E5" s="19"/>
      <c r="F5" s="20"/>
      <c r="G5" s="19"/>
      <c r="H5" s="19"/>
      <c r="I5" s="19"/>
      <c r="J5" s="19"/>
      <c r="K5" s="19"/>
    </row>
    <row r="6" spans="1:11" ht="14.1" customHeight="1">
      <c r="A6" s="50" t="s">
        <v>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4.1" customHeight="1" thickBot="1">
      <c r="A7" s="50" t="s">
        <v>48</v>
      </c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ht="14.1" customHeight="1">
      <c r="A8" s="23" t="s">
        <v>3</v>
      </c>
      <c r="B8" s="22"/>
      <c r="C8" s="159"/>
      <c r="D8" s="21" t="s">
        <v>4</v>
      </c>
      <c r="E8" s="22"/>
      <c r="F8" s="22"/>
      <c r="G8" s="22"/>
      <c r="H8" s="22"/>
      <c r="I8" s="23" t="s">
        <v>5</v>
      </c>
      <c r="J8" s="22"/>
      <c r="K8" s="22"/>
    </row>
    <row r="9" spans="1:11" ht="14.1" customHeight="1" thickBot="1">
      <c r="A9" s="229"/>
      <c r="B9" s="230"/>
      <c r="C9" s="231"/>
      <c r="D9" s="225"/>
      <c r="E9" s="225"/>
      <c r="F9" s="225"/>
      <c r="G9" s="225"/>
      <c r="H9" s="226"/>
      <c r="I9" s="222"/>
      <c r="J9" s="210"/>
      <c r="K9" s="210"/>
    </row>
    <row r="10" spans="1:11" ht="14.1" customHeight="1">
      <c r="A10" s="158" t="s">
        <v>6</v>
      </c>
      <c r="F10" s="15" t="s">
        <v>7</v>
      </c>
      <c r="I10" s="15" t="s">
        <v>73</v>
      </c>
    </row>
    <row r="11" spans="1:11" ht="14.1" customHeight="1">
      <c r="A11" s="223"/>
      <c r="B11" s="223"/>
      <c r="C11" s="223"/>
      <c r="D11" s="223"/>
      <c r="E11" s="224"/>
      <c r="F11" s="222"/>
      <c r="G11" s="225"/>
      <c r="H11" s="226"/>
      <c r="I11" s="227"/>
      <c r="J11" s="225"/>
      <c r="K11" s="225"/>
    </row>
    <row r="12" spans="1:11" ht="14.1" customHeight="1">
      <c r="A12" s="14" t="s">
        <v>8</v>
      </c>
      <c r="F12" s="235" t="s">
        <v>85</v>
      </c>
      <c r="G12" s="236"/>
      <c r="H12" s="236"/>
      <c r="I12" s="236"/>
      <c r="J12" s="236"/>
      <c r="K12" s="236"/>
    </row>
    <row r="13" spans="1:11" ht="14.1" customHeight="1">
      <c r="A13" s="158"/>
      <c r="F13" s="184" t="s">
        <v>86</v>
      </c>
      <c r="G13" s="232" t="s">
        <v>87</v>
      </c>
      <c r="H13" s="232"/>
      <c r="I13" s="185" t="s">
        <v>88</v>
      </c>
      <c r="J13" s="185" t="s">
        <v>89</v>
      </c>
      <c r="K13" s="185" t="s">
        <v>90</v>
      </c>
    </row>
    <row r="14" spans="1:11" ht="14.1" customHeight="1">
      <c r="A14" s="228"/>
      <c r="B14" s="228"/>
      <c r="C14" s="228"/>
      <c r="D14" s="228"/>
      <c r="E14" s="228"/>
      <c r="F14" s="186"/>
      <c r="G14" s="233"/>
      <c r="H14" s="234"/>
      <c r="I14" s="186"/>
      <c r="J14" s="186"/>
      <c r="K14" s="186"/>
    </row>
    <row r="15" spans="1:11" ht="14.1" customHeight="1">
      <c r="A15" s="112" t="s">
        <v>9</v>
      </c>
      <c r="B15" s="113" t="s">
        <v>71</v>
      </c>
      <c r="C15" s="113"/>
      <c r="D15" s="113"/>
      <c r="E15" s="114" t="s">
        <v>72</v>
      </c>
      <c r="F15" s="107" t="s">
        <v>70</v>
      </c>
      <c r="G15" s="53"/>
      <c r="H15" s="53"/>
      <c r="I15" s="53"/>
      <c r="J15" s="53"/>
      <c r="K15" s="53"/>
    </row>
    <row r="16" spans="1:11" ht="15" customHeight="1">
      <c r="A16" s="208"/>
      <c r="B16" s="209"/>
      <c r="C16" s="208"/>
      <c r="D16" s="210"/>
      <c r="E16" s="209"/>
      <c r="F16" s="215"/>
      <c r="G16" s="215"/>
      <c r="H16" s="215"/>
      <c r="I16" s="215"/>
      <c r="J16" s="215"/>
      <c r="K16" s="215"/>
    </row>
    <row r="17" spans="1:11" ht="14.1" customHeight="1">
      <c r="A17" s="24" t="s">
        <v>10</v>
      </c>
      <c r="B17" s="54"/>
      <c r="C17" s="53"/>
      <c r="D17" s="53"/>
      <c r="E17" s="53"/>
      <c r="F17" s="216"/>
      <c r="G17" s="215"/>
      <c r="H17" s="215"/>
      <c r="I17" s="215"/>
      <c r="J17" s="215"/>
      <c r="K17" s="215"/>
    </row>
    <row r="18" spans="1:11" ht="14.1" customHeight="1" thickBot="1">
      <c r="A18" s="211"/>
      <c r="B18" s="211"/>
      <c r="C18" s="211"/>
      <c r="D18" s="211"/>
      <c r="E18" s="212"/>
      <c r="F18" s="217"/>
      <c r="G18" s="218"/>
      <c r="H18" s="218"/>
      <c r="I18" s="218"/>
      <c r="J18" s="218"/>
      <c r="K18" s="218"/>
    </row>
    <row r="19" spans="1:11" ht="14.1" customHeight="1">
      <c r="A19" s="211"/>
      <c r="B19" s="211"/>
      <c r="C19" s="211"/>
      <c r="D19" s="211"/>
      <c r="E19" s="212"/>
      <c r="F19" s="25"/>
      <c r="G19" s="22"/>
      <c r="H19" s="22"/>
      <c r="I19" s="41" t="s">
        <v>11</v>
      </c>
      <c r="J19" s="42" t="s">
        <v>12</v>
      </c>
      <c r="K19" s="40"/>
    </row>
    <row r="20" spans="1:11" ht="14.1" customHeight="1">
      <c r="A20" s="213"/>
      <c r="B20" s="213"/>
      <c r="C20" s="213"/>
      <c r="D20" s="213"/>
      <c r="E20" s="214"/>
      <c r="F20" s="51" t="s">
        <v>13</v>
      </c>
      <c r="G20" s="27"/>
      <c r="H20" s="27"/>
      <c r="I20" s="55">
        <f>B71+E71+I71</f>
        <v>0</v>
      </c>
      <c r="J20" s="27"/>
      <c r="K20" s="28"/>
    </row>
    <row r="21" spans="1:11" ht="14.1" customHeight="1">
      <c r="A21" s="103" t="s">
        <v>41</v>
      </c>
      <c r="B21" s="80"/>
      <c r="C21" s="79"/>
      <c r="D21" s="79"/>
      <c r="E21" s="79"/>
      <c r="F21" s="161"/>
      <c r="G21" s="162"/>
      <c r="H21" s="162"/>
      <c r="I21" s="163"/>
      <c r="J21" s="162"/>
      <c r="K21" s="164"/>
    </row>
    <row r="22" spans="1:11" ht="14.1" customHeight="1">
      <c r="A22" s="103" t="s">
        <v>42</v>
      </c>
      <c r="B22" s="80"/>
      <c r="C22" s="79"/>
      <c r="D22" s="79"/>
      <c r="E22" s="79"/>
      <c r="F22" s="161"/>
      <c r="G22" s="162"/>
      <c r="H22" s="162"/>
      <c r="I22" s="165"/>
      <c r="J22" s="162"/>
      <c r="K22" s="164"/>
    </row>
    <row r="23" spans="1:11" ht="14.1" customHeight="1" thickBot="1">
      <c r="A23" s="104" t="s">
        <v>43</v>
      </c>
      <c r="B23" s="80"/>
      <c r="C23" s="80"/>
      <c r="D23" s="80"/>
      <c r="E23" s="79"/>
      <c r="F23" s="52" t="s">
        <v>14</v>
      </c>
      <c r="G23" s="29"/>
      <c r="H23" s="29"/>
      <c r="I23" s="56">
        <f>IF(I20-I21&gt;=0,I20-I21,0)</f>
        <v>0</v>
      </c>
      <c r="J23" s="29"/>
      <c r="K23" s="30"/>
    </row>
    <row r="24" spans="1:11" ht="14.1" customHeight="1">
      <c r="A24" s="104" t="s">
        <v>44</v>
      </c>
      <c r="B24" s="80"/>
      <c r="C24" s="80"/>
      <c r="D24" s="80"/>
      <c r="E24" s="80"/>
      <c r="F24" s="104" t="s">
        <v>15</v>
      </c>
      <c r="G24" s="19"/>
      <c r="H24" s="19"/>
      <c r="I24" s="19"/>
      <c r="J24" s="19"/>
      <c r="K24" s="19"/>
    </row>
    <row r="25" spans="1:11" ht="14.1" customHeight="1">
      <c r="A25" s="74"/>
      <c r="B25" s="74"/>
      <c r="C25" s="74"/>
      <c r="D25" s="74"/>
      <c r="E25" s="74"/>
      <c r="F25" s="19"/>
      <c r="G25" s="19"/>
      <c r="H25" s="19"/>
      <c r="I25" s="19"/>
      <c r="J25" s="19"/>
      <c r="K25" s="19"/>
    </row>
    <row r="26" spans="1:11" ht="14.1" customHeight="1">
      <c r="A26" s="207"/>
      <c r="B26" s="207"/>
      <c r="C26" s="207"/>
      <c r="D26" s="207"/>
      <c r="E26" s="19"/>
      <c r="F26" s="31"/>
      <c r="G26" s="31"/>
      <c r="H26" s="31"/>
      <c r="I26" s="31"/>
      <c r="J26" s="31"/>
      <c r="K26" s="31"/>
    </row>
    <row r="27" spans="1:11" ht="14.1" customHeight="1" thickBot="1">
      <c r="A27" s="19"/>
      <c r="B27" s="32" t="s">
        <v>16</v>
      </c>
      <c r="C27" s="19"/>
      <c r="D27" s="19"/>
      <c r="E27" s="19"/>
      <c r="F27" s="19"/>
      <c r="G27" s="19"/>
      <c r="H27" s="33" t="s">
        <v>17</v>
      </c>
      <c r="I27" s="19"/>
      <c r="J27" s="19"/>
      <c r="K27" s="19"/>
    </row>
    <row r="28" spans="1:11" ht="6" customHeight="1" thickTop="1">
      <c r="A28" s="34"/>
      <c r="B28" s="34"/>
      <c r="C28" s="35"/>
      <c r="D28" s="75"/>
      <c r="E28" s="76"/>
      <c r="F28" s="76"/>
      <c r="G28" s="77"/>
      <c r="H28" s="76"/>
      <c r="I28" s="76"/>
      <c r="J28" s="77"/>
      <c r="K28" s="78"/>
    </row>
    <row r="29" spans="1:11" ht="45.75" customHeight="1">
      <c r="A29" s="36"/>
      <c r="B29" s="204" t="s">
        <v>81</v>
      </c>
      <c r="C29" s="197"/>
      <c r="D29" s="204" t="s">
        <v>68</v>
      </c>
      <c r="E29" s="205"/>
      <c r="F29" s="206"/>
      <c r="G29" s="198" t="s">
        <v>49</v>
      </c>
      <c r="H29" s="199"/>
      <c r="I29" s="200"/>
      <c r="J29" s="196" t="s">
        <v>83</v>
      </c>
      <c r="K29" s="197"/>
    </row>
    <row r="30" spans="1:11" ht="14.1" customHeight="1" thickBot="1">
      <c r="A30" s="37"/>
      <c r="B30" s="37"/>
      <c r="C30" s="37"/>
      <c r="D30" s="37"/>
      <c r="E30" s="37"/>
      <c r="F30" s="37"/>
      <c r="G30" s="26"/>
      <c r="H30" s="37"/>
      <c r="I30" s="37"/>
      <c r="J30" s="26"/>
      <c r="K30" s="38"/>
    </row>
    <row r="31" spans="1:11" s="1" customFormat="1" ht="27.95" customHeight="1" thickBot="1">
      <c r="A31" s="45" t="s">
        <v>18</v>
      </c>
      <c r="B31" s="45" t="s">
        <v>9</v>
      </c>
      <c r="C31" s="45" t="s">
        <v>19</v>
      </c>
      <c r="D31" s="45" t="s">
        <v>20</v>
      </c>
      <c r="E31" s="45" t="s">
        <v>21</v>
      </c>
      <c r="F31" s="45" t="s">
        <v>22</v>
      </c>
      <c r="G31" s="179" t="s">
        <v>23</v>
      </c>
      <c r="H31" s="180" t="s">
        <v>11</v>
      </c>
      <c r="I31" s="181" t="s">
        <v>24</v>
      </c>
      <c r="J31" s="177" t="s">
        <v>25</v>
      </c>
      <c r="K31" s="46" t="s">
        <v>26</v>
      </c>
    </row>
    <row r="32" spans="1:11" ht="14.1" customHeight="1">
      <c r="A32" s="86"/>
      <c r="B32" s="87"/>
      <c r="C32" s="87"/>
      <c r="D32" s="156" t="s">
        <v>92</v>
      </c>
      <c r="E32" s="87"/>
      <c r="F32" s="171">
        <f>ROUND((E32*0.25),2)</f>
        <v>0</v>
      </c>
      <c r="G32" s="178"/>
      <c r="H32" s="172"/>
      <c r="I32" s="95"/>
      <c r="J32" s="150" t="s">
        <v>94</v>
      </c>
      <c r="K32" s="146"/>
    </row>
    <row r="33" spans="1:11" ht="14.1" customHeight="1">
      <c r="A33" s="168"/>
      <c r="B33" s="57"/>
      <c r="C33" s="57"/>
      <c r="D33" s="157" t="s">
        <v>45</v>
      </c>
      <c r="E33" s="83"/>
      <c r="F33" s="173">
        <f>ROUND((E33*0.3),2)</f>
        <v>0</v>
      </c>
      <c r="G33" s="169"/>
      <c r="H33" s="170"/>
      <c r="I33" s="95"/>
      <c r="J33" s="150"/>
      <c r="K33" s="146"/>
    </row>
    <row r="34" spans="1:11" ht="14.1" customHeight="1">
      <c r="A34" s="88"/>
      <c r="B34" s="57"/>
      <c r="C34" s="57"/>
      <c r="D34" s="157" t="s">
        <v>84</v>
      </c>
      <c r="E34" s="59"/>
      <c r="F34" s="173">
        <f>ROUND((E34*0.56),2)</f>
        <v>0</v>
      </c>
      <c r="G34" s="99" t="s">
        <v>64</v>
      </c>
      <c r="H34" s="60"/>
      <c r="I34" s="95"/>
      <c r="J34" s="149" t="s">
        <v>53</v>
      </c>
      <c r="K34" s="146"/>
    </row>
    <row r="35" spans="1:11" ht="14.1" customHeight="1">
      <c r="A35" s="89"/>
      <c r="B35" s="57"/>
      <c r="C35" s="57"/>
      <c r="D35" s="81" t="s">
        <v>58</v>
      </c>
      <c r="E35" s="98"/>
      <c r="F35" s="174"/>
      <c r="G35" s="100" t="s">
        <v>61</v>
      </c>
      <c r="H35" s="60"/>
      <c r="I35" s="95"/>
      <c r="J35" s="149" t="s">
        <v>51</v>
      </c>
      <c r="K35" s="146"/>
    </row>
    <row r="36" spans="1:11" ht="14.1" customHeight="1">
      <c r="A36" s="89"/>
      <c r="B36" s="57"/>
      <c r="C36" s="57"/>
      <c r="D36" s="81" t="s">
        <v>57</v>
      </c>
      <c r="E36" s="85"/>
      <c r="F36" s="174"/>
      <c r="G36" s="152" t="s">
        <v>63</v>
      </c>
      <c r="H36" s="60"/>
      <c r="I36" s="153">
        <f>SUM(H34:H36)</f>
        <v>0</v>
      </c>
      <c r="J36" s="149"/>
      <c r="K36" s="146"/>
    </row>
    <row r="37" spans="1:11" ht="14.1" customHeight="1">
      <c r="A37" s="89"/>
      <c r="B37" s="83"/>
      <c r="C37" s="83"/>
      <c r="D37" s="84" t="s">
        <v>59</v>
      </c>
      <c r="E37" s="97"/>
      <c r="F37" s="175"/>
      <c r="G37" s="193"/>
      <c r="H37" s="194"/>
      <c r="I37" s="195"/>
      <c r="J37" s="149"/>
      <c r="K37" s="146"/>
    </row>
    <row r="38" spans="1:11" ht="14.1" customHeight="1" thickBot="1">
      <c r="A38" s="92"/>
      <c r="B38" s="58"/>
      <c r="C38" s="58"/>
      <c r="D38" s="191" t="s">
        <v>60</v>
      </c>
      <c r="E38" s="192"/>
      <c r="F38" s="176"/>
      <c r="G38" s="94" t="s">
        <v>62</v>
      </c>
      <c r="H38" s="61"/>
      <c r="I38" s="154">
        <f>+H38</f>
        <v>0</v>
      </c>
      <c r="J38" s="151"/>
      <c r="K38" s="147"/>
    </row>
    <row r="39" spans="1:11" ht="14.1" customHeight="1">
      <c r="A39" s="86"/>
      <c r="B39" s="87"/>
      <c r="C39" s="87"/>
      <c r="D39" s="156" t="s">
        <v>92</v>
      </c>
      <c r="E39" s="87"/>
      <c r="F39" s="171">
        <f>ROUND((E39*0.25),2)</f>
        <v>0</v>
      </c>
      <c r="G39" s="178"/>
      <c r="H39" s="172"/>
      <c r="I39" s="95"/>
      <c r="J39" s="150" t="s">
        <v>94</v>
      </c>
      <c r="K39" s="146"/>
    </row>
    <row r="40" spans="1:11" ht="14.1" customHeight="1">
      <c r="A40" s="168"/>
      <c r="B40" s="57"/>
      <c r="C40" s="57"/>
      <c r="D40" s="157" t="s">
        <v>45</v>
      </c>
      <c r="E40" s="83"/>
      <c r="F40" s="173">
        <f>ROUND((E40*0.3),2)</f>
        <v>0</v>
      </c>
      <c r="G40" s="169"/>
      <c r="H40" s="170"/>
      <c r="I40" s="95"/>
      <c r="J40" s="150"/>
      <c r="K40" s="146"/>
    </row>
    <row r="41" spans="1:11" ht="14.1" customHeight="1">
      <c r="A41" s="88"/>
      <c r="B41" s="57"/>
      <c r="C41" s="57"/>
      <c r="D41" s="157" t="s">
        <v>84</v>
      </c>
      <c r="E41" s="59"/>
      <c r="F41" s="173">
        <f>ROUND((E41*0.56),2)</f>
        <v>0</v>
      </c>
      <c r="G41" s="99" t="s">
        <v>64</v>
      </c>
      <c r="H41" s="60"/>
      <c r="I41" s="95"/>
      <c r="J41" s="149"/>
      <c r="K41" s="146"/>
    </row>
    <row r="42" spans="1:11" ht="14.1" customHeight="1">
      <c r="A42" s="89"/>
      <c r="B42" s="57"/>
      <c r="C42" s="57"/>
      <c r="D42" s="81" t="s">
        <v>58</v>
      </c>
      <c r="E42" s="201"/>
      <c r="F42" s="90"/>
      <c r="G42" s="100" t="s">
        <v>61</v>
      </c>
      <c r="H42" s="60"/>
      <c r="I42" s="155"/>
      <c r="J42" s="149" t="s">
        <v>51</v>
      </c>
      <c r="K42" s="146"/>
    </row>
    <row r="43" spans="1:11" ht="14.1" customHeight="1">
      <c r="A43" s="89"/>
      <c r="B43" s="57"/>
      <c r="C43" s="57"/>
      <c r="D43" s="82" t="s">
        <v>57</v>
      </c>
      <c r="E43" s="202"/>
      <c r="F43" s="90"/>
      <c r="G43" s="152" t="s">
        <v>63</v>
      </c>
      <c r="H43" s="60"/>
      <c r="I43" s="153">
        <f>SUM(H41:H43)</f>
        <v>0</v>
      </c>
      <c r="J43" s="149"/>
      <c r="K43" s="146"/>
    </row>
    <row r="44" spans="1:11" ht="14.1" customHeight="1">
      <c r="A44" s="89"/>
      <c r="B44" s="57"/>
      <c r="C44" s="57"/>
      <c r="D44" s="84" t="s">
        <v>59</v>
      </c>
      <c r="E44" s="203"/>
      <c r="F44" s="91"/>
      <c r="G44" s="193"/>
      <c r="H44" s="194"/>
      <c r="I44" s="195"/>
      <c r="J44" s="149"/>
      <c r="K44" s="146"/>
    </row>
    <row r="45" spans="1:11" ht="14.1" customHeight="1" thickBot="1">
      <c r="A45" s="92"/>
      <c r="B45" s="58"/>
      <c r="C45" s="58"/>
      <c r="D45" s="191" t="s">
        <v>60</v>
      </c>
      <c r="E45" s="192"/>
      <c r="F45" s="93"/>
      <c r="G45" s="94" t="s">
        <v>62</v>
      </c>
      <c r="H45" s="61"/>
      <c r="I45" s="154">
        <f>+H45</f>
        <v>0</v>
      </c>
      <c r="J45" s="151"/>
      <c r="K45" s="147"/>
    </row>
    <row r="46" spans="1:11" ht="14.1" customHeight="1">
      <c r="A46" s="86"/>
      <c r="B46" s="87"/>
      <c r="C46" s="87"/>
      <c r="D46" s="156" t="s">
        <v>92</v>
      </c>
      <c r="E46" s="87"/>
      <c r="F46" s="171">
        <f>ROUND((E46*0.25),2)</f>
        <v>0</v>
      </c>
      <c r="G46" s="178"/>
      <c r="H46" s="172"/>
      <c r="I46" s="95"/>
      <c r="J46" s="150" t="s">
        <v>94</v>
      </c>
      <c r="K46" s="146"/>
    </row>
    <row r="47" spans="1:11" ht="14.1" customHeight="1">
      <c r="A47" s="168"/>
      <c r="B47" s="57"/>
      <c r="C47" s="57"/>
      <c r="D47" s="157" t="s">
        <v>45</v>
      </c>
      <c r="E47" s="83"/>
      <c r="F47" s="173">
        <f>ROUND((E47*0.3),2)</f>
        <v>0</v>
      </c>
      <c r="G47" s="169"/>
      <c r="H47" s="170"/>
      <c r="I47" s="95"/>
      <c r="J47" s="150"/>
      <c r="K47" s="146"/>
    </row>
    <row r="48" spans="1:11" ht="14.1" customHeight="1">
      <c r="A48" s="88"/>
      <c r="B48" s="57"/>
      <c r="C48" s="57"/>
      <c r="D48" s="157" t="s">
        <v>84</v>
      </c>
      <c r="E48" s="59"/>
      <c r="F48" s="173">
        <f>ROUND((E48*0.56),2)</f>
        <v>0</v>
      </c>
      <c r="G48" s="99" t="s">
        <v>64</v>
      </c>
      <c r="H48" s="60"/>
      <c r="I48" s="95"/>
      <c r="J48" s="149"/>
      <c r="K48" s="146"/>
    </row>
    <row r="49" spans="1:11" ht="14.1" customHeight="1">
      <c r="A49" s="89"/>
      <c r="B49" s="57"/>
      <c r="C49" s="57"/>
      <c r="D49" s="81" t="s">
        <v>58</v>
      </c>
      <c r="E49" s="201"/>
      <c r="F49" s="90"/>
      <c r="G49" s="100" t="s">
        <v>61</v>
      </c>
      <c r="H49" s="60"/>
      <c r="I49" s="155"/>
      <c r="J49" s="149" t="s">
        <v>51</v>
      </c>
      <c r="K49" s="146"/>
    </row>
    <row r="50" spans="1:11" ht="14.1" customHeight="1">
      <c r="A50" s="89"/>
      <c r="B50" s="57"/>
      <c r="C50" s="57"/>
      <c r="D50" s="82" t="s">
        <v>57</v>
      </c>
      <c r="E50" s="202"/>
      <c r="F50" s="90"/>
      <c r="G50" s="152" t="s">
        <v>63</v>
      </c>
      <c r="H50" s="60"/>
      <c r="I50" s="153">
        <f>SUM(H48:H50)</f>
        <v>0</v>
      </c>
      <c r="J50" s="149"/>
      <c r="K50" s="146"/>
    </row>
    <row r="51" spans="1:11" ht="14.1" customHeight="1">
      <c r="A51" s="89"/>
      <c r="B51" s="57"/>
      <c r="C51" s="57"/>
      <c r="D51" s="84" t="s">
        <v>59</v>
      </c>
      <c r="E51" s="203"/>
      <c r="F51" s="91"/>
      <c r="G51" s="219"/>
      <c r="H51" s="220"/>
      <c r="I51" s="221"/>
      <c r="J51" s="149"/>
      <c r="K51" s="146"/>
    </row>
    <row r="52" spans="1:11" ht="14.1" customHeight="1" thickBot="1">
      <c r="A52" s="92"/>
      <c r="B52" s="58"/>
      <c r="C52" s="58"/>
      <c r="D52" s="191" t="s">
        <v>60</v>
      </c>
      <c r="E52" s="192"/>
      <c r="F52" s="93"/>
      <c r="G52" s="94" t="s">
        <v>62</v>
      </c>
      <c r="H52" s="61"/>
      <c r="I52" s="154">
        <f>+H52</f>
        <v>0</v>
      </c>
      <c r="J52" s="151"/>
      <c r="K52" s="147"/>
    </row>
    <row r="53" spans="1:11" ht="14.1" customHeight="1">
      <c r="A53" s="106"/>
      <c r="B53" s="57"/>
      <c r="C53" s="57"/>
      <c r="D53" s="156" t="s">
        <v>92</v>
      </c>
      <c r="E53" s="87"/>
      <c r="F53" s="171">
        <f>ROUND((E53*0.25),2)</f>
        <v>0</v>
      </c>
      <c r="G53" s="178"/>
      <c r="H53" s="172"/>
      <c r="I53" s="95"/>
      <c r="J53" s="150" t="s">
        <v>94</v>
      </c>
      <c r="K53" s="146"/>
    </row>
    <row r="54" spans="1:11" ht="14.1" customHeight="1">
      <c r="A54" s="168"/>
      <c r="B54" s="57"/>
      <c r="C54" s="57"/>
      <c r="D54" s="157" t="s">
        <v>45</v>
      </c>
      <c r="E54" s="83"/>
      <c r="F54" s="173">
        <f>ROUND((E54*0.3),2)</f>
        <v>0</v>
      </c>
      <c r="G54" s="169"/>
      <c r="H54" s="170"/>
      <c r="I54" s="95"/>
      <c r="J54" s="150"/>
      <c r="K54" s="146"/>
    </row>
    <row r="55" spans="1:11" ht="14.1" customHeight="1">
      <c r="A55" s="88"/>
      <c r="B55" s="57"/>
      <c r="C55" s="57"/>
      <c r="D55" s="157" t="s">
        <v>84</v>
      </c>
      <c r="E55" s="59"/>
      <c r="F55" s="173">
        <f>ROUND((E55*0.56),2)</f>
        <v>0</v>
      </c>
      <c r="G55" s="99" t="s">
        <v>64</v>
      </c>
      <c r="H55" s="60"/>
      <c r="I55" s="95"/>
      <c r="J55" s="149"/>
      <c r="K55" s="146"/>
    </row>
    <row r="56" spans="1:11" ht="14.1" customHeight="1">
      <c r="A56" s="89"/>
      <c r="B56" s="57"/>
      <c r="C56" s="57"/>
      <c r="D56" s="81" t="s">
        <v>58</v>
      </c>
      <c r="E56" s="98"/>
      <c r="F56" s="90"/>
      <c r="G56" s="100" t="s">
        <v>61</v>
      </c>
      <c r="H56" s="60"/>
      <c r="I56" s="155"/>
      <c r="J56" s="149" t="s">
        <v>51</v>
      </c>
      <c r="K56" s="146"/>
    </row>
    <row r="57" spans="1:11" ht="14.1" customHeight="1">
      <c r="A57" s="89"/>
      <c r="B57" s="57"/>
      <c r="C57" s="57"/>
      <c r="D57" s="81" t="s">
        <v>57</v>
      </c>
      <c r="E57" s="85"/>
      <c r="F57" s="90"/>
      <c r="G57" s="152" t="s">
        <v>63</v>
      </c>
      <c r="H57" s="60"/>
      <c r="I57" s="153">
        <f>SUM(H55:H57)</f>
        <v>0</v>
      </c>
      <c r="J57" s="149"/>
      <c r="K57" s="146"/>
    </row>
    <row r="58" spans="1:11" ht="14.1" customHeight="1">
      <c r="A58" s="89"/>
      <c r="B58" s="83"/>
      <c r="C58" s="83"/>
      <c r="D58" s="84" t="s">
        <v>59</v>
      </c>
      <c r="E58" s="97"/>
      <c r="F58" s="91"/>
      <c r="G58" s="193"/>
      <c r="H58" s="194"/>
      <c r="I58" s="195"/>
      <c r="J58" s="149"/>
      <c r="K58" s="146"/>
    </row>
    <row r="59" spans="1:11" ht="14.1" customHeight="1" thickBot="1">
      <c r="A59" s="92"/>
      <c r="B59" s="58"/>
      <c r="C59" s="58"/>
      <c r="D59" s="191" t="s">
        <v>60</v>
      </c>
      <c r="E59" s="192"/>
      <c r="F59" s="93"/>
      <c r="G59" s="94" t="s">
        <v>62</v>
      </c>
      <c r="H59" s="61"/>
      <c r="I59" s="154">
        <f>+H59</f>
        <v>0</v>
      </c>
      <c r="J59" s="151"/>
      <c r="K59" s="147"/>
    </row>
    <row r="60" spans="1:11" ht="14.1" customHeight="1">
      <c r="A60" s="7" t="s">
        <v>69</v>
      </c>
      <c r="C60" s="7" t="s">
        <v>27</v>
      </c>
      <c r="D60" s="44" t="s">
        <v>28</v>
      </c>
      <c r="E60" s="44" t="s">
        <v>29</v>
      </c>
      <c r="F60" s="119" t="s">
        <v>76</v>
      </c>
      <c r="I60" s="120" t="s">
        <v>76</v>
      </c>
      <c r="K60" s="121" t="s">
        <v>76</v>
      </c>
    </row>
    <row r="61" spans="1:11" ht="14.1" customHeight="1" thickBot="1">
      <c r="A61" s="7" t="s">
        <v>30</v>
      </c>
      <c r="B61" s="7"/>
      <c r="C61" s="7" t="s">
        <v>31</v>
      </c>
      <c r="D61" s="43">
        <v>8.1999999999999993</v>
      </c>
      <c r="E61" s="43">
        <f>+D61</f>
        <v>8.1999999999999993</v>
      </c>
      <c r="F61" s="39" t="s">
        <v>32</v>
      </c>
      <c r="I61" s="6" t="s">
        <v>33</v>
      </c>
      <c r="K61" s="13" t="s">
        <v>34</v>
      </c>
    </row>
    <row r="62" spans="1:11" ht="14.1" customHeight="1">
      <c r="A62" s="7" t="s">
        <v>77</v>
      </c>
      <c r="B62" s="7"/>
      <c r="C62" s="7" t="s">
        <v>35</v>
      </c>
      <c r="D62" s="43">
        <v>10.7</v>
      </c>
      <c r="E62" s="43">
        <f>+D62</f>
        <v>10.7</v>
      </c>
      <c r="F62" s="64"/>
      <c r="I62" s="62"/>
      <c r="K62" s="62"/>
    </row>
    <row r="63" spans="1:11" ht="14.1" customHeight="1" thickBot="1">
      <c r="A63" s="7" t="s">
        <v>65</v>
      </c>
      <c r="B63" s="7"/>
      <c r="C63" s="7" t="s">
        <v>36</v>
      </c>
      <c r="D63" s="43">
        <v>18.399999999999999</v>
      </c>
      <c r="E63" s="43">
        <v>20.9</v>
      </c>
      <c r="F63" s="65">
        <f>SUM(F32:F59)</f>
        <v>0</v>
      </c>
      <c r="I63" s="65">
        <f>SUM(I32:I59)</f>
        <v>0</v>
      </c>
      <c r="K63" s="63">
        <f>SUM(K32:K59)</f>
        <v>0</v>
      </c>
    </row>
    <row r="64" spans="1:11" ht="14.1" customHeight="1">
      <c r="A64" s="7" t="s">
        <v>66</v>
      </c>
      <c r="B64" s="7"/>
      <c r="C64" s="7" t="s">
        <v>37</v>
      </c>
      <c r="D64" s="43">
        <v>65.900000000000006</v>
      </c>
      <c r="E64" s="43">
        <v>77.900000000000006</v>
      </c>
    </row>
    <row r="65" spans="1:11" ht="14.1" customHeight="1" thickBot="1">
      <c r="A65" s="7" t="s">
        <v>67</v>
      </c>
      <c r="B65" s="7"/>
      <c r="C65" s="7" t="s">
        <v>38</v>
      </c>
      <c r="D65" s="43">
        <f>SUM(D61:D64)</f>
        <v>103.2</v>
      </c>
      <c r="E65" s="43">
        <f>SUM(E61:E64)</f>
        <v>117.7</v>
      </c>
    </row>
    <row r="66" spans="1:11" ht="14.1" customHeight="1">
      <c r="A66" s="145" t="s">
        <v>82</v>
      </c>
      <c r="B66" s="129"/>
      <c r="C66" s="130"/>
      <c r="D66" s="129"/>
      <c r="E66" s="131"/>
      <c r="F66" s="132"/>
      <c r="G66" s="133"/>
      <c r="H66" s="131"/>
      <c r="I66" s="132"/>
      <c r="J66" s="131"/>
      <c r="K66" s="134"/>
    </row>
    <row r="67" spans="1:11" ht="14.1" customHeight="1">
      <c r="A67" s="135"/>
      <c r="B67" s="136" t="s">
        <v>47</v>
      </c>
      <c r="C67" s="137" t="s">
        <v>55</v>
      </c>
      <c r="D67" s="18"/>
      <c r="E67" s="126" t="s">
        <v>47</v>
      </c>
      <c r="F67" s="118" t="s">
        <v>56</v>
      </c>
      <c r="G67" s="128"/>
      <c r="H67" s="70"/>
      <c r="I67" s="125" t="s">
        <v>47</v>
      </c>
      <c r="J67" s="138" t="s">
        <v>51</v>
      </c>
      <c r="K67" s="139"/>
    </row>
    <row r="68" spans="1:11" ht="14.1" customHeight="1">
      <c r="A68" s="167">
        <v>526110</v>
      </c>
      <c r="B68" s="110">
        <f>F35+F42+F49+F56+F89+F96+F103+F110+F117+F124+F131+F138+F145</f>
        <v>0</v>
      </c>
      <c r="C68" s="108" t="s">
        <v>78</v>
      </c>
      <c r="D68" s="166">
        <v>526140</v>
      </c>
      <c r="E68" s="123">
        <f>I38+I45+I52+I59+I92+I99+I106+I113+I120+I127+I134+I141+I148</f>
        <v>0</v>
      </c>
      <c r="F68" s="109" t="s">
        <v>54</v>
      </c>
      <c r="G68" s="128"/>
      <c r="H68" s="166">
        <v>526160</v>
      </c>
      <c r="I68" s="110">
        <f>SUM(K35:K38)+SUM(K42:K45)+SUM(K49:K52)+SUM(K56:K59)+SUM(K89:K92)+SUM(K96:K99)+SUM(K103:K106)+SUM(K110:K113)+SUM(K117:K120)+SUM(K124:K127)+SUM(K131:K134)+SUM(K138:K141)+SUM(K145:K148)</f>
        <v>0</v>
      </c>
      <c r="J68" s="140" t="s">
        <v>51</v>
      </c>
      <c r="K68" s="139"/>
    </row>
    <row r="69" spans="1:11" ht="14.1" customHeight="1">
      <c r="A69" s="167">
        <v>526120</v>
      </c>
      <c r="B69" s="110">
        <f>+F32+F33+F34+F36+F37+F38+F39+F40+F41+F43+F44+F45+F46+F47+F48+F50+F51+F52+F53+F54+F55+F57+F58+F59+F86+F87+F88+F90+F91+F92+F93+F94+F95+F97+F98+F99+F100+F101+F102+F104+F105+F106+F107+F108+F109+F111+F112+F113+F114+F115+F116+F118+F119+F120+F121+F122+F123+F125+F126+F127+F128+F129+F130+F132+F133+F134+F135+F136+F137+F139+F140+F141+F142+F143+F144+F146+F147+F148</f>
        <v>0</v>
      </c>
      <c r="C69" s="108" t="s">
        <v>50</v>
      </c>
      <c r="D69" s="166">
        <v>526150</v>
      </c>
      <c r="E69" s="123">
        <f>I36+I43+I50+I57+I90+I97+I104+I111+I118+I125+I132+I139+I146</f>
        <v>0</v>
      </c>
      <c r="F69" s="109" t="s">
        <v>52</v>
      </c>
      <c r="G69" s="128"/>
      <c r="H69" s="166">
        <v>528310</v>
      </c>
      <c r="I69" s="110">
        <f>+K34</f>
        <v>0</v>
      </c>
      <c r="J69" s="140" t="s">
        <v>53</v>
      </c>
      <c r="K69" s="139"/>
    </row>
    <row r="70" spans="1:11" ht="14.1" customHeight="1" thickBot="1">
      <c r="A70" s="167">
        <v>526130</v>
      </c>
      <c r="B70" s="115">
        <v>0</v>
      </c>
      <c r="C70" s="108" t="s">
        <v>51</v>
      </c>
      <c r="D70" s="72"/>
      <c r="E70" s="71"/>
      <c r="F70" s="73"/>
      <c r="G70" s="128"/>
      <c r="H70" s="166">
        <v>516510</v>
      </c>
      <c r="I70" s="115">
        <f>K32+K39+K46+K53</f>
        <v>0</v>
      </c>
      <c r="J70" s="111" t="s">
        <v>95</v>
      </c>
      <c r="K70" s="139"/>
    </row>
    <row r="71" spans="1:11" ht="14.1" customHeight="1" thickBot="1">
      <c r="A71" s="141"/>
      <c r="B71" s="117">
        <f>$F$63+$F$152</f>
        <v>0</v>
      </c>
      <c r="C71" s="116" t="s">
        <v>79</v>
      </c>
      <c r="D71" s="122"/>
      <c r="E71" s="124">
        <f>$I$63+$I$152</f>
        <v>0</v>
      </c>
      <c r="F71" s="122" t="s">
        <v>74</v>
      </c>
      <c r="G71" s="128"/>
      <c r="H71" s="122"/>
      <c r="I71" s="148">
        <f>$K$63+$K$152+$I$70</f>
        <v>0</v>
      </c>
      <c r="J71" s="127" t="s">
        <v>75</v>
      </c>
      <c r="K71" s="139"/>
    </row>
    <row r="72" spans="1:11" ht="14.1" customHeight="1">
      <c r="A72" s="141"/>
      <c r="B72" s="128"/>
      <c r="C72" s="128"/>
      <c r="D72" s="128"/>
      <c r="E72" s="128"/>
      <c r="F72" s="128"/>
      <c r="G72" s="128"/>
      <c r="H72" s="128"/>
      <c r="I72" s="128"/>
      <c r="J72" s="128"/>
      <c r="K72" s="139"/>
    </row>
    <row r="73" spans="1:11" ht="14.1" customHeight="1" thickBot="1">
      <c r="A73" s="142" t="s">
        <v>46</v>
      </c>
      <c r="B73" s="143"/>
      <c r="C73" s="144"/>
      <c r="D73" s="143"/>
      <c r="E73" s="143"/>
      <c r="F73" s="143"/>
      <c r="G73" s="187" t="s">
        <v>80</v>
      </c>
      <c r="H73" s="188"/>
      <c r="I73" s="188"/>
      <c r="J73" s="189">
        <f>B68+B69+B70+E68+E69+I68+I69+I70</f>
        <v>0</v>
      </c>
      <c r="K73" s="190"/>
    </row>
    <row r="75" spans="1:11" ht="14.1" customHeight="1">
      <c r="F75" s="102" t="str">
        <f>+F1</f>
        <v>The University of North Carolina - General Administration</v>
      </c>
    </row>
    <row r="76" spans="1:11" ht="14.1" customHeight="1">
      <c r="F76" s="160" t="s">
        <v>91</v>
      </c>
    </row>
    <row r="77" spans="1:11" ht="14.1" customHeight="1">
      <c r="F77" s="16" t="str">
        <f>+F3</f>
        <v>REQUEST FOR REIMBURSEMENT OF TRAVEL AND OTHER EXPENSES</v>
      </c>
    </row>
    <row r="78" spans="1:11" ht="14.1" customHeight="1">
      <c r="F78" s="16" t="str">
        <f>+F4</f>
        <v>INCURRED IN THE DISCHARGE OF OFFICIAL DUTY - INCLUDING PER DIEM (Rev 10/01/2014)</v>
      </c>
    </row>
    <row r="79" spans="1:11" ht="14.1" customHeight="1">
      <c r="F79" s="17" t="s">
        <v>39</v>
      </c>
    </row>
    <row r="80" spans="1:11" ht="14.1" customHeight="1">
      <c r="F80" s="16"/>
    </row>
    <row r="81" spans="1:11" ht="14.1" customHeight="1" thickBot="1">
      <c r="F81" s="16"/>
    </row>
    <row r="82" spans="1:11" ht="4.5" customHeight="1" thickTop="1">
      <c r="A82" s="8"/>
      <c r="B82" s="8"/>
      <c r="C82" s="9"/>
      <c r="D82" s="8"/>
      <c r="E82" s="9"/>
      <c r="F82" s="9"/>
      <c r="G82" s="11"/>
      <c r="H82" s="9"/>
      <c r="I82" s="9"/>
      <c r="J82" s="11"/>
      <c r="K82" s="10"/>
    </row>
    <row r="83" spans="1:11" ht="38.25" customHeight="1">
      <c r="A83" s="4"/>
      <c r="B83" s="204" t="s">
        <v>81</v>
      </c>
      <c r="C83" s="197"/>
      <c r="D83" s="204" t="s">
        <v>68</v>
      </c>
      <c r="E83" s="205"/>
      <c r="F83" s="206"/>
      <c r="G83" s="198" t="s">
        <v>49</v>
      </c>
      <c r="H83" s="199"/>
      <c r="I83" s="200"/>
      <c r="J83" s="196" t="s">
        <v>83</v>
      </c>
      <c r="K83" s="197"/>
    </row>
    <row r="84" spans="1:11" ht="14.1" customHeight="1">
      <c r="A84" s="2"/>
      <c r="B84" s="2"/>
      <c r="C84" s="2"/>
      <c r="D84" s="2"/>
      <c r="E84" s="2"/>
      <c r="F84" s="2"/>
      <c r="G84" s="12"/>
      <c r="H84" s="2"/>
      <c r="I84" s="2"/>
      <c r="J84" s="12"/>
      <c r="K84" s="3"/>
    </row>
    <row r="85" spans="1:11" ht="27.95" customHeight="1" thickBot="1">
      <c r="A85" s="47" t="s">
        <v>18</v>
      </c>
      <c r="B85" s="47" t="s">
        <v>9</v>
      </c>
      <c r="C85" s="47" t="s">
        <v>19</v>
      </c>
      <c r="D85" s="47" t="s">
        <v>20</v>
      </c>
      <c r="E85" s="47" t="s">
        <v>21</v>
      </c>
      <c r="F85" s="47" t="s">
        <v>22</v>
      </c>
      <c r="G85" s="48" t="s">
        <v>23</v>
      </c>
      <c r="H85" s="47" t="s">
        <v>11</v>
      </c>
      <c r="I85" s="45" t="s">
        <v>24</v>
      </c>
      <c r="J85" s="48" t="s">
        <v>25</v>
      </c>
      <c r="K85" s="49" t="s">
        <v>40</v>
      </c>
    </row>
    <row r="86" spans="1:11" ht="14.1" customHeight="1">
      <c r="A86" s="105"/>
      <c r="B86" s="87"/>
      <c r="C86" s="87"/>
      <c r="D86" s="156" t="s">
        <v>92</v>
      </c>
      <c r="E86" s="87"/>
      <c r="F86" s="171">
        <f>ROUND((E86*0.25),2)</f>
        <v>0</v>
      </c>
      <c r="G86" s="178"/>
      <c r="H86" s="172"/>
      <c r="I86" s="95"/>
      <c r="J86" s="150"/>
      <c r="K86" s="146"/>
    </row>
    <row r="87" spans="1:11" ht="14.1" customHeight="1">
      <c r="A87" s="182"/>
      <c r="B87" s="57"/>
      <c r="C87" s="57"/>
      <c r="D87" s="157" t="s">
        <v>45</v>
      </c>
      <c r="E87" s="83"/>
      <c r="F87" s="173">
        <f>ROUND((E87*0.3),2)</f>
        <v>0</v>
      </c>
      <c r="G87" s="169"/>
      <c r="H87" s="170"/>
      <c r="I87" s="95"/>
      <c r="J87" s="150"/>
      <c r="K87" s="146"/>
    </row>
    <row r="88" spans="1:11" ht="14.1" customHeight="1">
      <c r="A88" s="88"/>
      <c r="B88" s="57"/>
      <c r="C88" s="57"/>
      <c r="D88" s="157" t="s">
        <v>84</v>
      </c>
      <c r="E88" s="59"/>
      <c r="F88" s="173">
        <f>ROUND((E88*0.56),2)</f>
        <v>0</v>
      </c>
      <c r="G88" s="99" t="s">
        <v>64</v>
      </c>
      <c r="H88" s="60"/>
      <c r="I88" s="95"/>
      <c r="J88" s="149"/>
      <c r="K88" s="146"/>
    </row>
    <row r="89" spans="1:11" ht="14.1" customHeight="1">
      <c r="A89" s="89"/>
      <c r="B89" s="57"/>
      <c r="C89" s="57"/>
      <c r="D89" s="81" t="s">
        <v>58</v>
      </c>
      <c r="E89" s="98"/>
      <c r="F89" s="90"/>
      <c r="G89" s="100" t="s">
        <v>61</v>
      </c>
      <c r="H89" s="60"/>
      <c r="I89" s="155"/>
      <c r="J89" s="149" t="s">
        <v>51</v>
      </c>
      <c r="K89" s="146"/>
    </row>
    <row r="90" spans="1:11" ht="14.1" customHeight="1">
      <c r="A90" s="89"/>
      <c r="B90" s="57"/>
      <c r="C90" s="57"/>
      <c r="D90" s="81" t="s">
        <v>57</v>
      </c>
      <c r="E90" s="85"/>
      <c r="F90" s="90"/>
      <c r="G90" s="152" t="s">
        <v>63</v>
      </c>
      <c r="H90" s="60"/>
      <c r="I90" s="153">
        <f>SUM(H88:H90)</f>
        <v>0</v>
      </c>
      <c r="J90" s="149"/>
      <c r="K90" s="146"/>
    </row>
    <row r="91" spans="1:11" ht="14.1" customHeight="1">
      <c r="A91" s="89"/>
      <c r="B91" s="83"/>
      <c r="C91" s="83"/>
      <c r="D91" s="84" t="s">
        <v>59</v>
      </c>
      <c r="E91" s="97"/>
      <c r="F91" s="91"/>
      <c r="G91" s="193"/>
      <c r="H91" s="194"/>
      <c r="I91" s="195"/>
      <c r="J91" s="149"/>
      <c r="K91" s="146"/>
    </row>
    <row r="92" spans="1:11" ht="14.1" customHeight="1" thickBot="1">
      <c r="A92" s="92"/>
      <c r="B92" s="58"/>
      <c r="C92" s="58"/>
      <c r="D92" s="191" t="s">
        <v>60</v>
      </c>
      <c r="E92" s="192"/>
      <c r="F92" s="93"/>
      <c r="G92" s="94" t="s">
        <v>62</v>
      </c>
      <c r="H92" s="61"/>
      <c r="I92" s="154">
        <f>+H92</f>
        <v>0</v>
      </c>
      <c r="J92" s="151"/>
      <c r="K92" s="147"/>
    </row>
    <row r="93" spans="1:11" ht="14.1" customHeight="1">
      <c r="A93" s="69"/>
      <c r="B93" s="57"/>
      <c r="C93" s="57"/>
      <c r="D93" s="156" t="s">
        <v>92</v>
      </c>
      <c r="E93" s="87"/>
      <c r="F93" s="171">
        <f>ROUND((E93*0.25),2)</f>
        <v>0</v>
      </c>
      <c r="G93" s="178"/>
      <c r="H93" s="172"/>
      <c r="I93" s="95"/>
      <c r="J93" s="150"/>
      <c r="K93" s="146"/>
    </row>
    <row r="94" spans="1:11" ht="14.1" customHeight="1">
      <c r="A94" s="183"/>
      <c r="B94" s="57"/>
      <c r="C94" s="57"/>
      <c r="D94" s="157" t="s">
        <v>45</v>
      </c>
      <c r="E94" s="83"/>
      <c r="F94" s="173">
        <f>ROUND((E94*0.3),2)</f>
        <v>0</v>
      </c>
      <c r="G94" s="169"/>
      <c r="H94" s="170"/>
      <c r="I94" s="95"/>
      <c r="J94" s="150"/>
      <c r="K94" s="146"/>
    </row>
    <row r="95" spans="1:11" ht="14.1" customHeight="1">
      <c r="A95" s="66"/>
      <c r="B95" s="57"/>
      <c r="C95" s="57"/>
      <c r="D95" s="157" t="s">
        <v>84</v>
      </c>
      <c r="E95" s="59"/>
      <c r="F95" s="173">
        <f>ROUND((E95*0.56),2)</f>
        <v>0</v>
      </c>
      <c r="G95" s="99" t="s">
        <v>64</v>
      </c>
      <c r="H95" s="60"/>
      <c r="I95" s="95"/>
      <c r="J95" s="149"/>
      <c r="K95" s="146"/>
    </row>
    <row r="96" spans="1:11" ht="14.1" customHeight="1">
      <c r="A96" s="67"/>
      <c r="B96" s="57"/>
      <c r="C96" s="57"/>
      <c r="D96" s="81" t="s">
        <v>58</v>
      </c>
      <c r="E96" s="96"/>
      <c r="F96" s="90"/>
      <c r="G96" s="100" t="s">
        <v>61</v>
      </c>
      <c r="H96" s="60"/>
      <c r="I96" s="155"/>
      <c r="J96" s="149" t="s">
        <v>51</v>
      </c>
      <c r="K96" s="146"/>
    </row>
    <row r="97" spans="1:11" ht="14.1" customHeight="1">
      <c r="A97" s="67"/>
      <c r="B97" s="57"/>
      <c r="C97" s="57"/>
      <c r="D97" s="81" t="s">
        <v>57</v>
      </c>
      <c r="E97" s="5"/>
      <c r="F97" s="90"/>
      <c r="G97" s="152" t="s">
        <v>63</v>
      </c>
      <c r="H97" s="60"/>
      <c r="I97" s="153">
        <f>SUM(H95:H97)</f>
        <v>0</v>
      </c>
      <c r="J97" s="149"/>
      <c r="K97" s="146"/>
    </row>
    <row r="98" spans="1:11" ht="14.1" customHeight="1">
      <c r="A98" s="67"/>
      <c r="B98" s="83"/>
      <c r="C98" s="83"/>
      <c r="D98" s="84" t="s">
        <v>59</v>
      </c>
      <c r="E98" s="97"/>
      <c r="F98" s="91"/>
      <c r="G98" s="193"/>
      <c r="H98" s="194"/>
      <c r="I98" s="195"/>
      <c r="J98" s="149"/>
      <c r="K98" s="146"/>
    </row>
    <row r="99" spans="1:11" ht="14.1" customHeight="1" thickBot="1">
      <c r="A99" s="68"/>
      <c r="B99" s="58"/>
      <c r="C99" s="58"/>
      <c r="D99" s="191" t="s">
        <v>60</v>
      </c>
      <c r="E99" s="192"/>
      <c r="F99" s="93"/>
      <c r="G99" s="94" t="s">
        <v>62</v>
      </c>
      <c r="H99" s="61"/>
      <c r="I99" s="154">
        <f>+H99</f>
        <v>0</v>
      </c>
      <c r="J99" s="151"/>
      <c r="K99" s="147"/>
    </row>
    <row r="100" spans="1:11" ht="14.1" customHeight="1">
      <c r="A100" s="69"/>
      <c r="B100" s="57"/>
      <c r="C100" s="57"/>
      <c r="D100" s="156" t="s">
        <v>92</v>
      </c>
      <c r="E100" s="87"/>
      <c r="F100" s="171">
        <f>ROUND((E100*0.25),2)</f>
        <v>0</v>
      </c>
      <c r="G100" s="178"/>
      <c r="H100" s="172"/>
      <c r="I100" s="95"/>
      <c r="J100" s="150"/>
      <c r="K100" s="146"/>
    </row>
    <row r="101" spans="1:11" ht="14.1" customHeight="1">
      <c r="A101" s="183"/>
      <c r="B101" s="57"/>
      <c r="C101" s="57"/>
      <c r="D101" s="157" t="s">
        <v>45</v>
      </c>
      <c r="E101" s="83"/>
      <c r="F101" s="173">
        <f>ROUND((E101*0.3),2)</f>
        <v>0</v>
      </c>
      <c r="G101" s="169"/>
      <c r="H101" s="170"/>
      <c r="I101" s="95"/>
      <c r="J101" s="150"/>
      <c r="K101" s="146"/>
    </row>
    <row r="102" spans="1:11" ht="14.1" customHeight="1">
      <c r="A102" s="66"/>
      <c r="B102" s="57"/>
      <c r="C102" s="57"/>
      <c r="D102" s="157" t="s">
        <v>84</v>
      </c>
      <c r="E102" s="59"/>
      <c r="F102" s="173">
        <f>ROUND((E102*0.56),2)</f>
        <v>0</v>
      </c>
      <c r="G102" s="99" t="s">
        <v>64</v>
      </c>
      <c r="H102" s="60"/>
      <c r="I102" s="95"/>
      <c r="J102" s="149"/>
      <c r="K102" s="146"/>
    </row>
    <row r="103" spans="1:11" ht="14.1" customHeight="1">
      <c r="A103" s="67"/>
      <c r="B103" s="57"/>
      <c r="C103" s="57"/>
      <c r="D103" s="81" t="s">
        <v>58</v>
      </c>
      <c r="E103" s="96"/>
      <c r="F103" s="90"/>
      <c r="G103" s="100" t="s">
        <v>61</v>
      </c>
      <c r="H103" s="60"/>
      <c r="I103" s="155"/>
      <c r="J103" s="149" t="s">
        <v>51</v>
      </c>
      <c r="K103" s="146"/>
    </row>
    <row r="104" spans="1:11" ht="14.1" customHeight="1">
      <c r="A104" s="67"/>
      <c r="B104" s="57"/>
      <c r="C104" s="57"/>
      <c r="D104" s="81" t="s">
        <v>57</v>
      </c>
      <c r="E104" s="5"/>
      <c r="F104" s="90"/>
      <c r="G104" s="152" t="s">
        <v>63</v>
      </c>
      <c r="H104" s="60"/>
      <c r="I104" s="153">
        <f>SUM(H102:H104)</f>
        <v>0</v>
      </c>
      <c r="J104" s="149"/>
      <c r="K104" s="146"/>
    </row>
    <row r="105" spans="1:11" ht="14.1" customHeight="1">
      <c r="A105" s="67"/>
      <c r="B105" s="83"/>
      <c r="C105" s="83"/>
      <c r="D105" s="84" t="s">
        <v>59</v>
      </c>
      <c r="E105" s="97"/>
      <c r="F105" s="91"/>
      <c r="G105" s="193"/>
      <c r="H105" s="194"/>
      <c r="I105" s="195"/>
      <c r="J105" s="149"/>
      <c r="K105" s="146"/>
    </row>
    <row r="106" spans="1:11" ht="14.1" customHeight="1" thickBot="1">
      <c r="A106" s="68"/>
      <c r="B106" s="58"/>
      <c r="C106" s="58"/>
      <c r="D106" s="191" t="s">
        <v>60</v>
      </c>
      <c r="E106" s="192"/>
      <c r="F106" s="93"/>
      <c r="G106" s="94" t="s">
        <v>62</v>
      </c>
      <c r="H106" s="61"/>
      <c r="I106" s="154">
        <f>+H106</f>
        <v>0</v>
      </c>
      <c r="J106" s="151"/>
      <c r="K106" s="147"/>
    </row>
    <row r="107" spans="1:11" ht="14.1" customHeight="1">
      <c r="A107" s="69"/>
      <c r="B107" s="57"/>
      <c r="C107" s="57"/>
      <c r="D107" s="156" t="s">
        <v>92</v>
      </c>
      <c r="E107" s="87"/>
      <c r="F107" s="171">
        <f>ROUND((E107*0.25),2)</f>
        <v>0</v>
      </c>
      <c r="G107" s="178"/>
      <c r="H107" s="172"/>
      <c r="I107" s="95"/>
      <c r="J107" s="150"/>
      <c r="K107" s="146"/>
    </row>
    <row r="108" spans="1:11" ht="14.1" customHeight="1">
      <c r="A108" s="183"/>
      <c r="B108" s="57"/>
      <c r="C108" s="57"/>
      <c r="D108" s="157" t="s">
        <v>45</v>
      </c>
      <c r="E108" s="83"/>
      <c r="F108" s="173">
        <f>ROUND((E108*0.3),2)</f>
        <v>0</v>
      </c>
      <c r="G108" s="169"/>
      <c r="H108" s="170"/>
      <c r="I108" s="95"/>
      <c r="J108" s="150"/>
      <c r="K108" s="146"/>
    </row>
    <row r="109" spans="1:11" ht="14.1" customHeight="1">
      <c r="A109" s="66"/>
      <c r="B109" s="57"/>
      <c r="C109" s="57"/>
      <c r="D109" s="157" t="s">
        <v>84</v>
      </c>
      <c r="E109" s="59"/>
      <c r="F109" s="173">
        <f>ROUND((E109*0.56),2)</f>
        <v>0</v>
      </c>
      <c r="G109" s="99" t="s">
        <v>64</v>
      </c>
      <c r="H109" s="60"/>
      <c r="I109" s="95"/>
      <c r="J109" s="149"/>
      <c r="K109" s="146"/>
    </row>
    <row r="110" spans="1:11" ht="14.1" customHeight="1">
      <c r="A110" s="67"/>
      <c r="B110" s="57"/>
      <c r="C110" s="57"/>
      <c r="D110" s="81" t="s">
        <v>58</v>
      </c>
      <c r="E110" s="96"/>
      <c r="F110" s="90"/>
      <c r="G110" s="100" t="s">
        <v>61</v>
      </c>
      <c r="H110" s="60"/>
      <c r="I110" s="155"/>
      <c r="J110" s="149" t="s">
        <v>51</v>
      </c>
      <c r="K110" s="146"/>
    </row>
    <row r="111" spans="1:11" ht="14.1" customHeight="1">
      <c r="A111" s="67"/>
      <c r="B111" s="57"/>
      <c r="C111" s="57"/>
      <c r="D111" s="81" t="s">
        <v>57</v>
      </c>
      <c r="E111" s="5"/>
      <c r="F111" s="90"/>
      <c r="G111" s="152" t="s">
        <v>63</v>
      </c>
      <c r="H111" s="60"/>
      <c r="I111" s="153">
        <f>SUM(H109:H111)</f>
        <v>0</v>
      </c>
      <c r="J111" s="149"/>
      <c r="K111" s="146"/>
    </row>
    <row r="112" spans="1:11" ht="14.1" customHeight="1">
      <c r="A112" s="67"/>
      <c r="B112" s="83"/>
      <c r="C112" s="83"/>
      <c r="D112" s="84" t="s">
        <v>59</v>
      </c>
      <c r="E112" s="97"/>
      <c r="F112" s="91"/>
      <c r="G112" s="193"/>
      <c r="H112" s="194"/>
      <c r="I112" s="195"/>
      <c r="J112" s="149"/>
      <c r="K112" s="146"/>
    </row>
    <row r="113" spans="1:11" ht="14.1" customHeight="1" thickBot="1">
      <c r="A113" s="68"/>
      <c r="B113" s="58"/>
      <c r="C113" s="58"/>
      <c r="D113" s="191" t="s">
        <v>60</v>
      </c>
      <c r="E113" s="192"/>
      <c r="F113" s="93"/>
      <c r="G113" s="94" t="s">
        <v>62</v>
      </c>
      <c r="H113" s="61"/>
      <c r="I113" s="154">
        <f>+H113</f>
        <v>0</v>
      </c>
      <c r="J113" s="151"/>
      <c r="K113" s="147"/>
    </row>
    <row r="114" spans="1:11" ht="14.1" customHeight="1">
      <c r="A114" s="69"/>
      <c r="B114" s="57"/>
      <c r="C114" s="57"/>
      <c r="D114" s="156" t="s">
        <v>92</v>
      </c>
      <c r="E114" s="87"/>
      <c r="F114" s="171">
        <f>ROUND((E114*0.25),2)</f>
        <v>0</v>
      </c>
      <c r="G114" s="178"/>
      <c r="H114" s="172"/>
      <c r="I114" s="95"/>
      <c r="J114" s="150"/>
      <c r="K114" s="146"/>
    </row>
    <row r="115" spans="1:11" ht="14.1" customHeight="1">
      <c r="A115" s="183"/>
      <c r="B115" s="57"/>
      <c r="C115" s="57"/>
      <c r="D115" s="157" t="s">
        <v>45</v>
      </c>
      <c r="E115" s="83"/>
      <c r="F115" s="173">
        <f>ROUND((E115*0.3),2)</f>
        <v>0</v>
      </c>
      <c r="G115" s="169"/>
      <c r="H115" s="170"/>
      <c r="I115" s="95"/>
      <c r="J115" s="150"/>
      <c r="K115" s="146"/>
    </row>
    <row r="116" spans="1:11" ht="14.1" customHeight="1">
      <c r="A116" s="66"/>
      <c r="B116" s="57"/>
      <c r="C116" s="57"/>
      <c r="D116" s="157" t="s">
        <v>84</v>
      </c>
      <c r="E116" s="59"/>
      <c r="F116" s="173">
        <f>ROUND((E116*0.56),2)</f>
        <v>0</v>
      </c>
      <c r="G116" s="99" t="s">
        <v>64</v>
      </c>
      <c r="H116" s="60"/>
      <c r="I116" s="95"/>
      <c r="J116" s="149"/>
      <c r="K116" s="146"/>
    </row>
    <row r="117" spans="1:11" ht="14.1" customHeight="1">
      <c r="A117" s="67"/>
      <c r="B117" s="57"/>
      <c r="C117" s="57"/>
      <c r="D117" s="81" t="s">
        <v>58</v>
      </c>
      <c r="E117" s="96"/>
      <c r="F117" s="90"/>
      <c r="G117" s="100" t="s">
        <v>61</v>
      </c>
      <c r="H117" s="60"/>
      <c r="I117" s="155"/>
      <c r="J117" s="149" t="s">
        <v>51</v>
      </c>
      <c r="K117" s="146"/>
    </row>
    <row r="118" spans="1:11" ht="14.1" customHeight="1">
      <c r="A118" s="67"/>
      <c r="B118" s="57"/>
      <c r="C118" s="57"/>
      <c r="D118" s="81" t="s">
        <v>57</v>
      </c>
      <c r="E118" s="5"/>
      <c r="F118" s="90"/>
      <c r="G118" s="152" t="s">
        <v>63</v>
      </c>
      <c r="H118" s="60"/>
      <c r="I118" s="153">
        <f>SUM(H116:H118)</f>
        <v>0</v>
      </c>
      <c r="J118" s="149"/>
      <c r="K118" s="146"/>
    </row>
    <row r="119" spans="1:11" ht="14.1" customHeight="1">
      <c r="A119" s="67"/>
      <c r="B119" s="83"/>
      <c r="C119" s="83"/>
      <c r="D119" s="84" t="s">
        <v>59</v>
      </c>
      <c r="E119" s="97"/>
      <c r="F119" s="91"/>
      <c r="G119" s="193"/>
      <c r="H119" s="194"/>
      <c r="I119" s="195"/>
      <c r="J119" s="149"/>
      <c r="K119" s="146"/>
    </row>
    <row r="120" spans="1:11" ht="14.1" customHeight="1" thickBot="1">
      <c r="A120" s="68"/>
      <c r="B120" s="58"/>
      <c r="C120" s="58"/>
      <c r="D120" s="191" t="s">
        <v>60</v>
      </c>
      <c r="E120" s="192"/>
      <c r="F120" s="93"/>
      <c r="G120" s="94" t="s">
        <v>62</v>
      </c>
      <c r="H120" s="61"/>
      <c r="I120" s="154">
        <f>+H120</f>
        <v>0</v>
      </c>
      <c r="J120" s="151"/>
      <c r="K120" s="147"/>
    </row>
    <row r="121" spans="1:11" ht="14.1" customHeight="1">
      <c r="A121" s="69"/>
      <c r="B121" s="57"/>
      <c r="C121" s="57"/>
      <c r="D121" s="156" t="s">
        <v>92</v>
      </c>
      <c r="E121" s="87"/>
      <c r="F121" s="171">
        <f>ROUND((E121*0.25),2)</f>
        <v>0</v>
      </c>
      <c r="G121" s="178"/>
      <c r="H121" s="172"/>
      <c r="I121" s="95"/>
      <c r="J121" s="150"/>
      <c r="K121" s="146"/>
    </row>
    <row r="122" spans="1:11" ht="14.1" customHeight="1">
      <c r="A122" s="183"/>
      <c r="B122" s="57"/>
      <c r="C122" s="57"/>
      <c r="D122" s="157" t="s">
        <v>45</v>
      </c>
      <c r="E122" s="83"/>
      <c r="F122" s="173">
        <f>ROUND((E122*0.3),2)</f>
        <v>0</v>
      </c>
      <c r="G122" s="169"/>
      <c r="H122" s="170"/>
      <c r="I122" s="95"/>
      <c r="J122" s="150"/>
      <c r="K122" s="146"/>
    </row>
    <row r="123" spans="1:11" ht="14.1" customHeight="1">
      <c r="A123" s="66"/>
      <c r="B123" s="57"/>
      <c r="C123" s="57"/>
      <c r="D123" s="157" t="s">
        <v>84</v>
      </c>
      <c r="E123" s="59"/>
      <c r="F123" s="173">
        <f>ROUND((E123*0.56),2)</f>
        <v>0</v>
      </c>
      <c r="G123" s="99" t="s">
        <v>64</v>
      </c>
      <c r="H123" s="60"/>
      <c r="I123" s="95"/>
      <c r="J123" s="149"/>
      <c r="K123" s="146"/>
    </row>
    <row r="124" spans="1:11" ht="14.1" customHeight="1">
      <c r="A124" s="67"/>
      <c r="B124" s="57"/>
      <c r="C124" s="57"/>
      <c r="D124" s="81" t="s">
        <v>58</v>
      </c>
      <c r="E124" s="96"/>
      <c r="F124" s="90"/>
      <c r="G124" s="100" t="s">
        <v>61</v>
      </c>
      <c r="H124" s="60"/>
      <c r="I124" s="155"/>
      <c r="J124" s="149" t="s">
        <v>51</v>
      </c>
      <c r="K124" s="146"/>
    </row>
    <row r="125" spans="1:11" ht="14.1" customHeight="1">
      <c r="A125" s="67"/>
      <c r="B125" s="57"/>
      <c r="C125" s="57"/>
      <c r="D125" s="81" t="s">
        <v>57</v>
      </c>
      <c r="E125" s="5"/>
      <c r="F125" s="90"/>
      <c r="G125" s="152" t="s">
        <v>63</v>
      </c>
      <c r="H125" s="60"/>
      <c r="I125" s="153">
        <f>SUM(H123:H125)</f>
        <v>0</v>
      </c>
      <c r="J125" s="149"/>
      <c r="K125" s="146"/>
    </row>
    <row r="126" spans="1:11" ht="14.1" customHeight="1">
      <c r="A126" s="67"/>
      <c r="B126" s="83"/>
      <c r="C126" s="83"/>
      <c r="D126" s="84" t="s">
        <v>59</v>
      </c>
      <c r="E126" s="97"/>
      <c r="F126" s="91"/>
      <c r="G126" s="193"/>
      <c r="H126" s="194"/>
      <c r="I126" s="195"/>
      <c r="J126" s="149"/>
      <c r="K126" s="146"/>
    </row>
    <row r="127" spans="1:11" ht="14.1" customHeight="1" thickBot="1">
      <c r="A127" s="68"/>
      <c r="B127" s="58"/>
      <c r="C127" s="58"/>
      <c r="D127" s="191" t="s">
        <v>60</v>
      </c>
      <c r="E127" s="192"/>
      <c r="F127" s="93"/>
      <c r="G127" s="94" t="s">
        <v>62</v>
      </c>
      <c r="H127" s="61"/>
      <c r="I127" s="154">
        <f>+H127</f>
        <v>0</v>
      </c>
      <c r="J127" s="151"/>
      <c r="K127" s="147"/>
    </row>
    <row r="128" spans="1:11" ht="14.1" customHeight="1">
      <c r="A128" s="69"/>
      <c r="B128" s="57"/>
      <c r="C128" s="57"/>
      <c r="D128" s="156" t="s">
        <v>92</v>
      </c>
      <c r="E128" s="87"/>
      <c r="F128" s="171">
        <f>ROUND((E128*0.25),2)</f>
        <v>0</v>
      </c>
      <c r="G128" s="178"/>
      <c r="H128" s="172"/>
      <c r="I128" s="95"/>
      <c r="J128" s="150"/>
      <c r="K128" s="146"/>
    </row>
    <row r="129" spans="1:11" ht="14.1" customHeight="1">
      <c r="A129" s="183"/>
      <c r="B129" s="57"/>
      <c r="C129" s="57"/>
      <c r="D129" s="157" t="s">
        <v>45</v>
      </c>
      <c r="E129" s="83"/>
      <c r="F129" s="173">
        <f>ROUND((E129*0.3),2)</f>
        <v>0</v>
      </c>
      <c r="G129" s="169"/>
      <c r="H129" s="170"/>
      <c r="I129" s="95"/>
      <c r="J129" s="150"/>
      <c r="K129" s="146"/>
    </row>
    <row r="130" spans="1:11" ht="14.1" customHeight="1">
      <c r="A130" s="66"/>
      <c r="B130" s="57"/>
      <c r="C130" s="57"/>
      <c r="D130" s="157" t="s">
        <v>84</v>
      </c>
      <c r="E130" s="59"/>
      <c r="F130" s="173">
        <f>ROUND((E130*0.56),2)</f>
        <v>0</v>
      </c>
      <c r="G130" s="99" t="s">
        <v>64</v>
      </c>
      <c r="H130" s="60"/>
      <c r="I130" s="95"/>
      <c r="J130" s="149"/>
      <c r="K130" s="146"/>
    </row>
    <row r="131" spans="1:11" ht="14.1" customHeight="1">
      <c r="A131" s="67"/>
      <c r="B131" s="57"/>
      <c r="C131" s="57"/>
      <c r="D131" s="81" t="s">
        <v>58</v>
      </c>
      <c r="E131" s="96"/>
      <c r="F131" s="90"/>
      <c r="G131" s="100" t="s">
        <v>61</v>
      </c>
      <c r="H131" s="60"/>
      <c r="I131" s="155"/>
      <c r="J131" s="149" t="s">
        <v>51</v>
      </c>
      <c r="K131" s="146"/>
    </row>
    <row r="132" spans="1:11" ht="14.1" customHeight="1">
      <c r="A132" s="67"/>
      <c r="B132" s="57"/>
      <c r="C132" s="57"/>
      <c r="D132" s="81" t="s">
        <v>57</v>
      </c>
      <c r="E132" s="5"/>
      <c r="F132" s="90"/>
      <c r="G132" s="152" t="s">
        <v>63</v>
      </c>
      <c r="H132" s="60"/>
      <c r="I132" s="153">
        <f>SUM(H130:H132)</f>
        <v>0</v>
      </c>
      <c r="J132" s="149"/>
      <c r="K132" s="146"/>
    </row>
    <row r="133" spans="1:11" ht="14.1" customHeight="1">
      <c r="A133" s="67"/>
      <c r="B133" s="83"/>
      <c r="C133" s="83"/>
      <c r="D133" s="84" t="s">
        <v>59</v>
      </c>
      <c r="E133" s="97"/>
      <c r="F133" s="91"/>
      <c r="G133" s="193"/>
      <c r="H133" s="194"/>
      <c r="I133" s="195"/>
      <c r="J133" s="149"/>
      <c r="K133" s="146"/>
    </row>
    <row r="134" spans="1:11" ht="14.1" customHeight="1" thickBot="1">
      <c r="A134" s="68"/>
      <c r="B134" s="58"/>
      <c r="C134" s="58"/>
      <c r="D134" s="191" t="s">
        <v>60</v>
      </c>
      <c r="E134" s="192"/>
      <c r="F134" s="93"/>
      <c r="G134" s="94" t="s">
        <v>62</v>
      </c>
      <c r="H134" s="61"/>
      <c r="I134" s="154">
        <f>+H134</f>
        <v>0</v>
      </c>
      <c r="J134" s="151"/>
      <c r="K134" s="147"/>
    </row>
    <row r="135" spans="1:11" ht="14.1" customHeight="1">
      <c r="A135" s="69"/>
      <c r="B135" s="57"/>
      <c r="C135" s="57"/>
      <c r="D135" s="156" t="s">
        <v>92</v>
      </c>
      <c r="E135" s="87"/>
      <c r="F135" s="171">
        <f>ROUND((E135*0.25),2)</f>
        <v>0</v>
      </c>
      <c r="G135" s="178"/>
      <c r="H135" s="172"/>
      <c r="I135" s="95"/>
      <c r="J135" s="150"/>
      <c r="K135" s="146"/>
    </row>
    <row r="136" spans="1:11" ht="14.1" customHeight="1">
      <c r="A136" s="183"/>
      <c r="B136" s="57"/>
      <c r="C136" s="57"/>
      <c r="D136" s="157" t="s">
        <v>45</v>
      </c>
      <c r="E136" s="83"/>
      <c r="F136" s="173">
        <f>ROUND((E136*0.3),2)</f>
        <v>0</v>
      </c>
      <c r="G136" s="169"/>
      <c r="H136" s="170"/>
      <c r="I136" s="95"/>
      <c r="J136" s="150"/>
      <c r="K136" s="146"/>
    </row>
    <row r="137" spans="1:11" ht="14.1" customHeight="1">
      <c r="A137" s="66"/>
      <c r="B137" s="57"/>
      <c r="C137" s="57"/>
      <c r="D137" s="157" t="s">
        <v>84</v>
      </c>
      <c r="E137" s="59"/>
      <c r="F137" s="173">
        <f>ROUND((E137*0.56),2)</f>
        <v>0</v>
      </c>
      <c r="G137" s="99" t="s">
        <v>64</v>
      </c>
      <c r="H137" s="60"/>
      <c r="I137" s="95"/>
      <c r="J137" s="149"/>
      <c r="K137" s="146"/>
    </row>
    <row r="138" spans="1:11" ht="14.1" customHeight="1">
      <c r="A138" s="67"/>
      <c r="B138" s="57"/>
      <c r="C138" s="57"/>
      <c r="D138" s="81" t="s">
        <v>58</v>
      </c>
      <c r="E138" s="96"/>
      <c r="F138" s="90"/>
      <c r="G138" s="100" t="s">
        <v>61</v>
      </c>
      <c r="H138" s="60"/>
      <c r="I138" s="155"/>
      <c r="J138" s="149" t="s">
        <v>51</v>
      </c>
      <c r="K138" s="146"/>
    </row>
    <row r="139" spans="1:11" ht="14.1" customHeight="1">
      <c r="A139" s="67"/>
      <c r="B139" s="57"/>
      <c r="C139" s="57"/>
      <c r="D139" s="81" t="s">
        <v>57</v>
      </c>
      <c r="E139" s="5"/>
      <c r="F139" s="90"/>
      <c r="G139" s="152" t="s">
        <v>63</v>
      </c>
      <c r="H139" s="60"/>
      <c r="I139" s="153">
        <f>SUM(H137:H139)</f>
        <v>0</v>
      </c>
      <c r="J139" s="149"/>
      <c r="K139" s="146"/>
    </row>
    <row r="140" spans="1:11" ht="14.1" customHeight="1">
      <c r="A140" s="67"/>
      <c r="B140" s="83"/>
      <c r="C140" s="83"/>
      <c r="D140" s="84" t="s">
        <v>59</v>
      </c>
      <c r="E140" s="97"/>
      <c r="F140" s="91"/>
      <c r="G140" s="193"/>
      <c r="H140" s="194"/>
      <c r="I140" s="195"/>
      <c r="J140" s="149"/>
      <c r="K140" s="146"/>
    </row>
    <row r="141" spans="1:11" ht="14.1" customHeight="1" thickBot="1">
      <c r="A141" s="68"/>
      <c r="B141" s="58"/>
      <c r="C141" s="58"/>
      <c r="D141" s="191" t="s">
        <v>60</v>
      </c>
      <c r="E141" s="192"/>
      <c r="F141" s="93"/>
      <c r="G141" s="94" t="s">
        <v>62</v>
      </c>
      <c r="H141" s="61"/>
      <c r="I141" s="154">
        <f>+H141</f>
        <v>0</v>
      </c>
      <c r="J141" s="151"/>
      <c r="K141" s="147"/>
    </row>
    <row r="142" spans="1:11" ht="14.1" customHeight="1">
      <c r="A142" s="69"/>
      <c r="B142" s="57"/>
      <c r="C142" s="57"/>
      <c r="D142" s="156" t="s">
        <v>92</v>
      </c>
      <c r="E142" s="87"/>
      <c r="F142" s="171">
        <f>ROUND((E142*0.25),2)</f>
        <v>0</v>
      </c>
      <c r="G142" s="178"/>
      <c r="H142" s="172"/>
      <c r="I142" s="95"/>
      <c r="J142" s="150"/>
      <c r="K142" s="146"/>
    </row>
    <row r="143" spans="1:11" ht="14.1" customHeight="1">
      <c r="A143" s="183"/>
      <c r="B143" s="57"/>
      <c r="C143" s="57"/>
      <c r="D143" s="157" t="s">
        <v>45</v>
      </c>
      <c r="E143" s="83"/>
      <c r="F143" s="173">
        <f>ROUND((E143*0.3),2)</f>
        <v>0</v>
      </c>
      <c r="G143" s="169"/>
      <c r="H143" s="170"/>
      <c r="I143" s="95"/>
      <c r="J143" s="150"/>
      <c r="K143" s="146"/>
    </row>
    <row r="144" spans="1:11" ht="14.1" customHeight="1">
      <c r="A144" s="66"/>
      <c r="B144" s="57"/>
      <c r="C144" s="57"/>
      <c r="D144" s="157" t="s">
        <v>84</v>
      </c>
      <c r="E144" s="59"/>
      <c r="F144" s="173">
        <f>ROUND((E144*0.56),2)</f>
        <v>0</v>
      </c>
      <c r="G144" s="99" t="s">
        <v>64</v>
      </c>
      <c r="H144" s="60"/>
      <c r="I144" s="95"/>
      <c r="J144" s="149"/>
      <c r="K144" s="146"/>
    </row>
    <row r="145" spans="1:11" ht="14.1" customHeight="1">
      <c r="A145" s="67"/>
      <c r="B145" s="57"/>
      <c r="C145" s="57"/>
      <c r="D145" s="81" t="s">
        <v>58</v>
      </c>
      <c r="E145" s="96"/>
      <c r="F145" s="90"/>
      <c r="G145" s="100" t="s">
        <v>61</v>
      </c>
      <c r="H145" s="60"/>
      <c r="I145" s="155"/>
      <c r="J145" s="149" t="s">
        <v>51</v>
      </c>
      <c r="K145" s="146"/>
    </row>
    <row r="146" spans="1:11" ht="14.1" customHeight="1">
      <c r="A146" s="67"/>
      <c r="B146" s="57"/>
      <c r="C146" s="57"/>
      <c r="D146" s="81" t="s">
        <v>57</v>
      </c>
      <c r="E146" s="5"/>
      <c r="F146" s="90"/>
      <c r="G146" s="152" t="s">
        <v>63</v>
      </c>
      <c r="H146" s="60"/>
      <c r="I146" s="153">
        <f>SUM(H144:H146)</f>
        <v>0</v>
      </c>
      <c r="J146" s="149"/>
      <c r="K146" s="146"/>
    </row>
    <row r="147" spans="1:11" ht="14.1" customHeight="1">
      <c r="A147" s="67"/>
      <c r="B147" s="83"/>
      <c r="C147" s="83"/>
      <c r="D147" s="84" t="s">
        <v>59</v>
      </c>
      <c r="E147" s="97"/>
      <c r="F147" s="91"/>
      <c r="G147" s="193"/>
      <c r="H147" s="194"/>
      <c r="I147" s="195"/>
      <c r="J147" s="149"/>
      <c r="K147" s="146"/>
    </row>
    <row r="148" spans="1:11" ht="14.1" customHeight="1" thickBot="1">
      <c r="A148" s="68"/>
      <c r="B148" s="58"/>
      <c r="C148" s="58"/>
      <c r="D148" s="191" t="s">
        <v>60</v>
      </c>
      <c r="E148" s="192"/>
      <c r="F148" s="93"/>
      <c r="G148" s="94" t="s">
        <v>62</v>
      </c>
      <c r="H148" s="61"/>
      <c r="I148" s="154">
        <f>+H148</f>
        <v>0</v>
      </c>
      <c r="J148" s="151"/>
      <c r="K148" s="147"/>
    </row>
    <row r="149" spans="1:11" ht="14.1" customHeight="1">
      <c r="A149" s="7" t="s">
        <v>69</v>
      </c>
      <c r="C149" s="7" t="s">
        <v>27</v>
      </c>
      <c r="D149" s="44" t="s">
        <v>28</v>
      </c>
      <c r="E149" s="44" t="s">
        <v>29</v>
      </c>
      <c r="F149" s="119" t="s">
        <v>76</v>
      </c>
      <c r="I149" s="120" t="s">
        <v>76</v>
      </c>
      <c r="K149" s="121" t="s">
        <v>76</v>
      </c>
    </row>
    <row r="150" spans="1:11" ht="14.1" customHeight="1" thickBot="1">
      <c r="A150" s="7" t="s">
        <v>30</v>
      </c>
      <c r="B150" s="7"/>
      <c r="C150" s="7" t="s">
        <v>31</v>
      </c>
      <c r="D150" s="43">
        <f>+D61</f>
        <v>8.1999999999999993</v>
      </c>
      <c r="E150" s="43">
        <f>+D61</f>
        <v>8.1999999999999993</v>
      </c>
      <c r="F150" s="39" t="s">
        <v>32</v>
      </c>
      <c r="I150" s="6" t="s">
        <v>33</v>
      </c>
      <c r="K150" s="13" t="s">
        <v>34</v>
      </c>
    </row>
    <row r="151" spans="1:11" ht="14.1" customHeight="1">
      <c r="A151" s="7" t="s">
        <v>77</v>
      </c>
      <c r="B151" s="7"/>
      <c r="C151" s="7" t="s">
        <v>35</v>
      </c>
      <c r="D151" s="43">
        <f>+D62</f>
        <v>10.7</v>
      </c>
      <c r="E151" s="43">
        <f>+E62</f>
        <v>10.7</v>
      </c>
      <c r="F151" s="64"/>
      <c r="I151" s="62"/>
      <c r="K151" s="62"/>
    </row>
    <row r="152" spans="1:11" ht="14.1" customHeight="1" thickBot="1">
      <c r="A152" s="7" t="s">
        <v>65</v>
      </c>
      <c r="B152" s="7"/>
      <c r="C152" s="7" t="s">
        <v>36</v>
      </c>
      <c r="D152" s="43">
        <f>+D63</f>
        <v>18.399999999999999</v>
      </c>
      <c r="E152" s="43">
        <f>+E63</f>
        <v>20.9</v>
      </c>
      <c r="F152" s="65">
        <f>SUM(F86:F148)</f>
        <v>0</v>
      </c>
      <c r="I152" s="65">
        <f>SUM(I86:I148)</f>
        <v>0</v>
      </c>
      <c r="K152" s="63">
        <f>SUM(K86:K148)</f>
        <v>0</v>
      </c>
    </row>
    <row r="153" spans="1:11" ht="14.1" customHeight="1">
      <c r="A153" s="7" t="s">
        <v>66</v>
      </c>
      <c r="B153" s="7"/>
      <c r="C153" s="7" t="s">
        <v>37</v>
      </c>
      <c r="D153" s="43">
        <f>+D64</f>
        <v>65.900000000000006</v>
      </c>
      <c r="E153" s="43">
        <f>+E64</f>
        <v>77.900000000000006</v>
      </c>
    </row>
    <row r="154" spans="1:11" ht="14.1" customHeight="1">
      <c r="A154" s="7" t="s">
        <v>67</v>
      </c>
      <c r="B154" s="7"/>
      <c r="C154" s="7" t="s">
        <v>38</v>
      </c>
      <c r="D154" s="43">
        <f>SUM(D150:D153)</f>
        <v>103.2</v>
      </c>
      <c r="E154" s="43">
        <f>SUM(E150:E153)</f>
        <v>117.7</v>
      </c>
    </row>
    <row r="155" spans="1:11" ht="14.1" customHeight="1">
      <c r="A155" s="7"/>
      <c r="C155" s="7"/>
    </row>
  </sheetData>
  <customSheetViews>
    <customSheetView guid="{09966A4B-80EC-4144-8F85-0F510AE56EF4}" showGridLines="0" zeroValues="0" showRuler="0">
      <rowBreaks count="1" manualBreakCount="1">
        <brk id="62" max="65535" man="1"/>
      </rowBreaks>
      <pageMargins left="0.25" right="0.25" top="0.25" bottom="0.25" header="0.5" footer="0.5"/>
      <printOptions horizontalCentered="1"/>
      <pageSetup scale="80" orientation="portrait" r:id="rId1"/>
      <headerFooter alignWithMargins="0">
        <oddHeader>&amp;L&amp;"Geneva"Form  BD403-GA</oddHeader>
        <oddFooter>&amp;L&amp;"Geneva,Regular"Form No.  GA-2  01/01</oddFooter>
      </headerFooter>
    </customSheetView>
  </customSheetViews>
  <mergeCells count="55">
    <mergeCell ref="D29:F29"/>
    <mergeCell ref="I9:K9"/>
    <mergeCell ref="A11:E11"/>
    <mergeCell ref="F11:H11"/>
    <mergeCell ref="I11:K11"/>
    <mergeCell ref="A14:E14"/>
    <mergeCell ref="A9:C9"/>
    <mergeCell ref="D9:H9"/>
    <mergeCell ref="G13:H13"/>
    <mergeCell ref="G14:H14"/>
    <mergeCell ref="F12:K12"/>
    <mergeCell ref="B83:C83"/>
    <mergeCell ref="D83:F83"/>
    <mergeCell ref="A26:D26"/>
    <mergeCell ref="A16:B16"/>
    <mergeCell ref="C16:E16"/>
    <mergeCell ref="A18:E20"/>
    <mergeCell ref="B29:C29"/>
    <mergeCell ref="F16:K16"/>
    <mergeCell ref="F17:K17"/>
    <mergeCell ref="F18:K18"/>
    <mergeCell ref="G51:I51"/>
    <mergeCell ref="G58:I58"/>
    <mergeCell ref="J29:K29"/>
    <mergeCell ref="G37:I37"/>
    <mergeCell ref="G44:I44"/>
    <mergeCell ref="G29:I29"/>
    <mergeCell ref="D38:E38"/>
    <mergeCell ref="D45:E45"/>
    <mergeCell ref="E42:E44"/>
    <mergeCell ref="D92:E92"/>
    <mergeCell ref="D99:E99"/>
    <mergeCell ref="D134:E134"/>
    <mergeCell ref="D141:E141"/>
    <mergeCell ref="D52:E52"/>
    <mergeCell ref="E49:E51"/>
    <mergeCell ref="D59:E59"/>
    <mergeCell ref="D106:E106"/>
    <mergeCell ref="D113:E113"/>
    <mergeCell ref="G73:I73"/>
    <mergeCell ref="J73:K73"/>
    <mergeCell ref="D148:E148"/>
    <mergeCell ref="G126:I126"/>
    <mergeCell ref="G133:I133"/>
    <mergeCell ref="G140:I140"/>
    <mergeCell ref="G147:I147"/>
    <mergeCell ref="G119:I119"/>
    <mergeCell ref="G91:I91"/>
    <mergeCell ref="G98:I98"/>
    <mergeCell ref="G105:I105"/>
    <mergeCell ref="G112:I112"/>
    <mergeCell ref="J83:K83"/>
    <mergeCell ref="G83:I83"/>
    <mergeCell ref="D120:E120"/>
    <mergeCell ref="D127:E127"/>
  </mergeCells>
  <phoneticPr fontId="0" type="noConversion"/>
  <dataValidations count="4">
    <dataValidation type="decimal" allowBlank="1" showInputMessage="1" showErrorMessage="1" error="Max Lunch Allow = $10.70" sqref="H35 H42 H49 H56 H89 H96 H103 H110 H117 H124 H131 H138 H145">
      <formula1>0</formula1>
      <formula2>10.7</formula2>
    </dataValidation>
    <dataValidation type="decimal" allowBlank="1" showInputMessage="1" showErrorMessage="1" error="Max Dinner Allow_x000a_In-State = $18.40_x000a_Out-State = $20.90" sqref="H36 H43 H50 H57 H90 H97 H104 H111 H118 H125 H132 H139 H146">
      <formula1>0</formula1>
      <formula2>20.9</formula2>
    </dataValidation>
    <dataValidation type="decimal" allowBlank="1" showInputMessage="1" showErrorMessage="1" error="Max Breakfast Allow = $8.20" sqref="H34 H137 H41 H48 H55 H88 H95 H102 H109 H116 H123 H130 H144">
      <formula1>0</formula1>
      <formula2>8.2</formula2>
    </dataValidation>
    <dataValidation type="whole" operator="equal" allowBlank="1" showInputMessage="1" showErrorMessage="1" error="Limited to Board Members_x000a_Max Allow = $15.00" sqref="K32 K39 K46 K53 K86 K93 K100 K107 K114 K121 K128 K135 K142">
      <formula1>15</formula1>
    </dataValidation>
  </dataValidations>
  <printOptions horizontalCentered="1"/>
  <pageMargins left="0.25" right="0.25" top="0.25" bottom="0" header="0.5" footer="0.25"/>
  <pageSetup scale="80" orientation="portrait" r:id="rId2"/>
  <headerFooter alignWithMargins="0">
    <oddHeader>&amp;L&amp;"Geneva"Form  BD403-GA</oddHeader>
    <oddFooter>&amp;L&amp;"Geneva,Regular"&amp;7Form No.  GA-2  01/01/2014</oddFooter>
  </headerFooter>
  <rowBreaks count="1" manualBreakCount="1">
    <brk id="74" max="16383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Travel Reimbursement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Reimbursement Form</dc:title>
  <dc:creator>Becki Boor</dc:creator>
  <cp:lastModifiedBy>Marsha D. Fields</cp:lastModifiedBy>
  <cp:lastPrinted>2013-10-25T11:44:56Z</cp:lastPrinted>
  <dcterms:created xsi:type="dcterms:W3CDTF">1999-03-24T17:21:24Z</dcterms:created>
  <dcterms:modified xsi:type="dcterms:W3CDTF">2014-09-25T02:48:36Z</dcterms:modified>
</cp:coreProperties>
</file>