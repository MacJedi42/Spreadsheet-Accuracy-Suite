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charts/chart1.xml" ContentType="application/vnd.openxmlformats-officedocument.drawingml.chart+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bookViews>
    <workbookView xWindow="7200" yWindow="4470" windowWidth="11340" windowHeight="6315"/>
  </bookViews>
  <sheets>
    <sheet name="Sheet1" sheetId="1" r:id="rId1"/>
  </sheets>
  <definedNames>
    <definedName name="_xlnm.Print_Area" localSheetId="0">Sheet1!$A$1:$G$56</definedName>
  </definedNames>
  <calcPr calcId="125725"/>
</workbook>
</file>

<file path=xl/calcChain.xml><?xml version="1.0" encoding="utf-8"?>
<calcChain xmlns="http://schemas.openxmlformats.org/spreadsheetml/2006/main">
  <c r="D22" i="1"/>
  <c r="C19"/>
  <c r="D19" s="1"/>
  <c r="C25"/>
  <c r="E25" s="1"/>
  <c r="E19"/>
  <c r="F19"/>
  <c r="C20"/>
  <c r="D20" s="1"/>
  <c r="C21"/>
  <c r="D21" s="1"/>
  <c r="C22"/>
  <c r="C23"/>
  <c r="D23" s="1"/>
</calcChain>
</file>

<file path=xl/sharedStrings.xml><?xml version="1.0" encoding="utf-8"?>
<sst xmlns="http://schemas.openxmlformats.org/spreadsheetml/2006/main" count="27" uniqueCount="26">
  <si>
    <t>slope</t>
  </si>
  <si>
    <t>intercept</t>
  </si>
  <si>
    <t>Actual, µg/L</t>
  </si>
  <si>
    <t>Observed, µg/L</t>
  </si>
  <si>
    <t>% Recovery</t>
  </si>
  <si>
    <t>and…</t>
  </si>
  <si>
    <t>For the curve to pass…</t>
  </si>
  <si>
    <t>Corr. Coefficient</t>
  </si>
  <si>
    <t>Analyst:</t>
  </si>
  <si>
    <t>Meter S/N:</t>
  </si>
  <si>
    <t>Meter Program #:</t>
  </si>
  <si>
    <r>
      <t>Date:</t>
    </r>
    <r>
      <rPr>
        <b/>
        <u/>
        <sz val="10"/>
        <rFont val="Arial"/>
        <family val="2"/>
      </rPr>
      <t xml:space="preserve">          </t>
    </r>
  </si>
  <si>
    <r>
      <t xml:space="preserve">Standard concentrations </t>
    </r>
    <r>
      <rPr>
        <b/>
        <sz val="10"/>
        <rFont val="Arial"/>
        <family val="2"/>
      </rPr>
      <t>less than 50 µg/L</t>
    </r>
    <r>
      <rPr>
        <sz val="10"/>
        <rFont val="Arial"/>
        <family val="2"/>
      </rPr>
      <t xml:space="preserve"> must have a </t>
    </r>
    <r>
      <rPr>
        <b/>
        <sz val="10"/>
        <color indexed="17"/>
        <rFont val="Arial"/>
        <family val="2"/>
      </rPr>
      <t>%  Recovery</t>
    </r>
    <r>
      <rPr>
        <sz val="10"/>
        <rFont val="Arial"/>
        <family val="2"/>
      </rPr>
      <t xml:space="preserve"> </t>
    </r>
    <r>
      <rPr>
        <b/>
        <sz val="10"/>
        <rFont val="Arial"/>
        <family val="2"/>
      </rPr>
      <t xml:space="preserve">between </t>
    </r>
    <r>
      <rPr>
        <b/>
        <sz val="10"/>
        <color indexed="17"/>
        <rFont val="Arial"/>
        <family val="2"/>
      </rPr>
      <t>75 - 125 %</t>
    </r>
    <r>
      <rPr>
        <sz val="10"/>
        <rFont val="Arial"/>
        <family val="2"/>
      </rPr>
      <t>.</t>
    </r>
  </si>
  <si>
    <r>
      <t xml:space="preserve">Standard concentrations of </t>
    </r>
    <r>
      <rPr>
        <b/>
        <sz val="10"/>
        <rFont val="Arial"/>
        <family val="2"/>
      </rPr>
      <t>50 µg/L or higher</t>
    </r>
    <r>
      <rPr>
        <sz val="10"/>
        <rFont val="Arial"/>
        <family val="2"/>
      </rPr>
      <t xml:space="preserve"> must have a </t>
    </r>
    <r>
      <rPr>
        <b/>
        <sz val="10"/>
        <color indexed="17"/>
        <rFont val="Arial"/>
        <family val="2"/>
      </rPr>
      <t>%  Recovery</t>
    </r>
    <r>
      <rPr>
        <sz val="10"/>
        <rFont val="Arial"/>
        <family val="2"/>
      </rPr>
      <t xml:space="preserve"> </t>
    </r>
    <r>
      <rPr>
        <b/>
        <sz val="10"/>
        <rFont val="Arial"/>
        <family val="2"/>
      </rPr>
      <t xml:space="preserve">between </t>
    </r>
    <r>
      <rPr>
        <b/>
        <sz val="10"/>
        <color indexed="17"/>
        <rFont val="Arial"/>
        <family val="2"/>
      </rPr>
      <t>90 - 110 %</t>
    </r>
    <r>
      <rPr>
        <b/>
        <sz val="10"/>
        <rFont val="Arial"/>
        <family val="2"/>
      </rPr>
      <t>.</t>
    </r>
  </si>
  <si>
    <r>
      <t xml:space="preserve">The </t>
    </r>
    <r>
      <rPr>
        <b/>
        <sz val="10"/>
        <color indexed="10"/>
        <rFont val="Arial"/>
        <family val="2"/>
      </rPr>
      <t>Correlation Coefficient</t>
    </r>
    <r>
      <rPr>
        <sz val="10"/>
        <rFont val="Arial"/>
        <family val="2"/>
      </rPr>
      <t xml:space="preserve"> must be </t>
    </r>
    <r>
      <rPr>
        <b/>
        <sz val="10"/>
        <color indexed="10"/>
        <rFont val="Arial"/>
        <family val="2"/>
      </rPr>
      <t>≥ 0.995</t>
    </r>
  </si>
  <si>
    <r>
      <rPr>
        <sz val="10"/>
        <rFont val="Calibri"/>
        <family val="2"/>
      </rPr>
      <t>µ</t>
    </r>
    <r>
      <rPr>
        <sz val="10"/>
        <rFont val="Arial"/>
        <family val="2"/>
      </rPr>
      <t>g/L</t>
    </r>
  </si>
  <si>
    <t>Meter Program:</t>
  </si>
  <si>
    <t>Std Pass/Fail</t>
  </si>
  <si>
    <t>Corr. Coefficient =</t>
  </si>
  <si>
    <r>
      <rPr>
        <b/>
        <i/>
        <u/>
        <sz val="10"/>
        <rFont val="Arial"/>
        <family val="2"/>
      </rPr>
      <t>Instructions:</t>
    </r>
    <r>
      <rPr>
        <sz val="10"/>
        <rFont val="Arial"/>
        <family val="2"/>
      </rPr>
      <t xml:space="preserve">  Fill in the information above.  Enter the actual concentrations of the standards in your curve in cells A19 through A23.  Enter the values that you observe on the meter in cells B19 through B23.  The </t>
    </r>
    <r>
      <rPr>
        <sz val="10"/>
        <color indexed="17"/>
        <rFont val="Arial"/>
        <family val="2"/>
      </rPr>
      <t>% Recovery</t>
    </r>
    <r>
      <rPr>
        <sz val="10"/>
        <rFont val="Arial"/>
        <family val="2"/>
      </rPr>
      <t xml:space="preserve"> and the </t>
    </r>
    <r>
      <rPr>
        <sz val="10"/>
        <color indexed="10"/>
        <rFont val="Arial"/>
        <family val="2"/>
      </rPr>
      <t>Correlation Coefficient</t>
    </r>
    <r>
      <rPr>
        <sz val="10"/>
        <rFont val="Arial"/>
        <family val="2"/>
      </rPr>
      <t xml:space="preserve"> will be automatically calulated.</t>
    </r>
  </si>
  <si>
    <t xml:space="preserve">Gel/Sealed Liquid Standard Observed Concentration = </t>
  </si>
  <si>
    <t>Gel/Sealed Liquid Standard Manufacturer:</t>
  </si>
  <si>
    <t>Lot #:</t>
  </si>
  <si>
    <t>Lab Name:</t>
  </si>
  <si>
    <t>NC WW/GW Certificiation #</t>
  </si>
  <si>
    <t>Chlorine Meter Calibration Curve Verification</t>
  </si>
</sst>
</file>

<file path=xl/styles.xml><?xml version="1.0" encoding="utf-8"?>
<styleSheet xmlns="http://schemas.openxmlformats.org/spreadsheetml/2006/main">
  <numFmts count="1">
    <numFmt numFmtId="164" formatCode="0.000"/>
  </numFmts>
  <fonts count="13">
    <font>
      <sz val="10"/>
      <name val="Arial"/>
    </font>
    <font>
      <sz val="10"/>
      <name val="Arial"/>
      <family val="2"/>
    </font>
    <font>
      <b/>
      <sz val="10"/>
      <name val="Arial"/>
      <family val="2"/>
    </font>
    <font>
      <sz val="10"/>
      <color indexed="10"/>
      <name val="Arial"/>
      <family val="2"/>
    </font>
    <font>
      <sz val="10"/>
      <color indexed="17"/>
      <name val="Arial"/>
      <family val="2"/>
    </font>
    <font>
      <b/>
      <sz val="10"/>
      <color indexed="17"/>
      <name val="Arial"/>
      <family val="2"/>
    </font>
    <font>
      <b/>
      <sz val="10"/>
      <color indexed="10"/>
      <name val="Arial"/>
      <family val="2"/>
    </font>
    <font>
      <b/>
      <u/>
      <sz val="10"/>
      <name val="Arial"/>
      <family val="2"/>
    </font>
    <font>
      <b/>
      <i/>
      <u/>
      <sz val="10"/>
      <name val="Arial"/>
      <family val="2"/>
    </font>
    <font>
      <sz val="10"/>
      <name val="Calibri"/>
      <family val="2"/>
    </font>
    <font>
      <sz val="10"/>
      <color rgb="FFFF0000"/>
      <name val="Arial"/>
      <family val="2"/>
    </font>
    <font>
      <b/>
      <sz val="10"/>
      <color rgb="FF00B050"/>
      <name val="Arial"/>
      <family val="2"/>
    </font>
    <font>
      <b/>
      <sz val="10"/>
      <color rgb="FFFF0000"/>
      <name val="Arial"/>
      <family val="2"/>
    </font>
  </fonts>
  <fills count="2">
    <fill>
      <patternFill patternType="none"/>
    </fill>
    <fill>
      <patternFill patternType="gray125"/>
    </fill>
  </fills>
  <borders count="3">
    <border>
      <left/>
      <right/>
      <top/>
      <bottom/>
      <diagonal/>
    </border>
    <border>
      <left/>
      <right/>
      <top/>
      <bottom style="medium">
        <color indexed="64"/>
      </bottom>
      <diagonal/>
    </border>
    <border>
      <left/>
      <right/>
      <top style="medium">
        <color indexed="64"/>
      </top>
      <bottom style="medium">
        <color indexed="64"/>
      </bottom>
      <diagonal/>
    </border>
  </borders>
  <cellStyleXfs count="1">
    <xf numFmtId="0" fontId="0" fillId="0" borderId="0"/>
  </cellStyleXfs>
  <cellXfs count="41">
    <xf numFmtId="0" fontId="0" fillId="0" borderId="0" xfId="0"/>
    <xf numFmtId="0" fontId="0" fillId="0" borderId="0" xfId="0" applyAlignment="1">
      <alignment horizontal="center"/>
    </xf>
    <xf numFmtId="0" fontId="0" fillId="0" borderId="0" xfId="0" applyFill="1" applyAlignment="1">
      <alignment horizontal="center"/>
    </xf>
    <xf numFmtId="0" fontId="0" fillId="0" borderId="0" xfId="0" applyAlignment="1" applyProtection="1">
      <alignment horizontal="center"/>
      <protection locked="0"/>
    </xf>
    <xf numFmtId="164" fontId="0" fillId="0" borderId="0" xfId="0" applyNumberFormat="1" applyAlignment="1" applyProtection="1">
      <alignment horizontal="center"/>
    </xf>
    <xf numFmtId="164" fontId="10" fillId="0" borderId="0" xfId="0" applyNumberFormat="1" applyFont="1" applyAlignment="1" applyProtection="1">
      <alignment horizontal="center"/>
    </xf>
    <xf numFmtId="0" fontId="2" fillId="0" borderId="0" xfId="0" applyFont="1" applyFill="1" applyAlignment="1" applyProtection="1">
      <alignment horizontal="left"/>
    </xf>
    <xf numFmtId="0" fontId="0" fillId="0" borderId="0" xfId="0" applyFill="1" applyAlignment="1" applyProtection="1">
      <alignment horizontal="center"/>
    </xf>
    <xf numFmtId="0" fontId="0" fillId="0" borderId="0" xfId="0" applyProtection="1"/>
    <xf numFmtId="0" fontId="1" fillId="0" borderId="0" xfId="0" applyFont="1" applyFill="1" applyAlignment="1" applyProtection="1">
      <alignment horizontal="left"/>
    </xf>
    <xf numFmtId="0" fontId="1" fillId="0" borderId="0" xfId="0" applyFont="1" applyAlignment="1" applyProtection="1">
      <alignment horizontal="left"/>
    </xf>
    <xf numFmtId="0" fontId="0" fillId="0" borderId="0" xfId="0" applyAlignment="1" applyProtection="1">
      <alignment horizontal="center"/>
    </xf>
    <xf numFmtId="0" fontId="0" fillId="0" borderId="1" xfId="0" applyBorder="1" applyAlignment="1" applyProtection="1">
      <alignment horizontal="center"/>
      <protection locked="0"/>
    </xf>
    <xf numFmtId="0" fontId="2" fillId="0" borderId="0" xfId="0" applyFont="1" applyAlignment="1" applyProtection="1">
      <alignment horizontal="right"/>
    </xf>
    <xf numFmtId="0" fontId="2" fillId="0" borderId="0" xfId="0" applyFont="1" applyAlignment="1" applyProtection="1">
      <alignment horizontal="right"/>
      <protection locked="0"/>
    </xf>
    <xf numFmtId="1" fontId="0" fillId="0" borderId="0" xfId="0" applyNumberFormat="1" applyAlignment="1" applyProtection="1">
      <alignment horizontal="center"/>
      <protection locked="0"/>
    </xf>
    <xf numFmtId="1" fontId="0" fillId="0" borderId="0" xfId="0" applyNumberFormat="1" applyFill="1" applyAlignment="1" applyProtection="1">
      <alignment horizontal="center"/>
      <protection locked="0"/>
    </xf>
    <xf numFmtId="0" fontId="2" fillId="0" borderId="0" xfId="0" applyFont="1" applyFill="1" applyAlignment="1" applyProtection="1">
      <alignment horizontal="center"/>
    </xf>
    <xf numFmtId="0" fontId="2" fillId="0" borderId="0" xfId="0" applyFont="1" applyAlignment="1" applyProtection="1">
      <alignment horizontal="center"/>
    </xf>
    <xf numFmtId="0" fontId="1" fillId="0" borderId="0" xfId="0" applyFont="1" applyAlignment="1" applyProtection="1">
      <alignment horizontal="left" wrapText="1"/>
    </xf>
    <xf numFmtId="0" fontId="2" fillId="0" borderId="1" xfId="0" applyFont="1" applyBorder="1" applyAlignment="1" applyProtection="1">
      <alignment horizontal="center"/>
    </xf>
    <xf numFmtId="0" fontId="11" fillId="0" borderId="1" xfId="0" applyFont="1" applyBorder="1" applyAlignment="1" applyProtection="1">
      <alignment horizontal="center"/>
    </xf>
    <xf numFmtId="0" fontId="1" fillId="0" borderId="0" xfId="0" applyFont="1" applyAlignment="1">
      <alignment horizontal="left"/>
    </xf>
    <xf numFmtId="0" fontId="12" fillId="0" borderId="0" xfId="0" applyFont="1" applyBorder="1" applyAlignment="1" applyProtection="1">
      <alignment horizontal="center"/>
    </xf>
    <xf numFmtId="1" fontId="1" fillId="0" borderId="0" xfId="0" applyNumberFormat="1" applyFont="1" applyFill="1" applyAlignment="1" applyProtection="1">
      <alignment horizontal="center"/>
    </xf>
    <xf numFmtId="14" fontId="0" fillId="0" borderId="1" xfId="0" applyNumberFormat="1" applyBorder="1" applyAlignment="1" applyProtection="1">
      <alignment horizontal="center"/>
      <protection locked="0"/>
    </xf>
    <xf numFmtId="0" fontId="0" fillId="0" borderId="1" xfId="0" applyBorder="1" applyAlignment="1" applyProtection="1">
      <alignment horizontal="center"/>
      <protection locked="0"/>
    </xf>
    <xf numFmtId="0" fontId="0" fillId="0" borderId="2" xfId="0" applyBorder="1" applyAlignment="1" applyProtection="1">
      <alignment horizontal="center"/>
      <protection locked="0"/>
    </xf>
    <xf numFmtId="0" fontId="2" fillId="0" borderId="0" xfId="0" applyFont="1" applyBorder="1" applyAlignment="1">
      <alignment horizontal="right"/>
    </xf>
    <xf numFmtId="0" fontId="2" fillId="0" borderId="0" xfId="0" applyFont="1" applyAlignment="1">
      <alignment horizontal="right"/>
    </xf>
    <xf numFmtId="0" fontId="2" fillId="0" borderId="0" xfId="0" applyFont="1" applyAlignment="1">
      <alignment horizontal="left"/>
    </xf>
    <xf numFmtId="0" fontId="1" fillId="0" borderId="1" xfId="0" applyFont="1" applyBorder="1" applyAlignment="1" applyProtection="1">
      <alignment horizontal="center"/>
      <protection locked="0"/>
    </xf>
    <xf numFmtId="0" fontId="2" fillId="0" borderId="0" xfId="0" applyFont="1" applyAlignment="1">
      <alignment horizontal="left"/>
    </xf>
    <xf numFmtId="0" fontId="2" fillId="0" borderId="0" xfId="0" applyFont="1" applyAlignment="1">
      <alignment horizontal="right"/>
    </xf>
    <xf numFmtId="0" fontId="1" fillId="0" borderId="1" xfId="0" applyFont="1" applyBorder="1" applyAlignment="1" applyProtection="1">
      <alignment horizontal="center"/>
      <protection locked="0"/>
    </xf>
    <xf numFmtId="0" fontId="0" fillId="0" borderId="1" xfId="0" applyBorder="1" applyAlignment="1" applyProtection="1">
      <alignment horizontal="center"/>
      <protection locked="0"/>
    </xf>
    <xf numFmtId="0" fontId="0" fillId="0" borderId="2" xfId="0" applyBorder="1" applyAlignment="1" applyProtection="1">
      <alignment horizontal="center"/>
      <protection locked="0"/>
    </xf>
    <xf numFmtId="0" fontId="1" fillId="0" borderId="0" xfId="0" applyFont="1" applyFill="1" applyAlignment="1" applyProtection="1">
      <alignment horizontal="left"/>
    </xf>
    <xf numFmtId="0" fontId="1" fillId="0" borderId="0" xfId="0" applyFont="1" applyAlignment="1" applyProtection="1">
      <alignment horizontal="left"/>
    </xf>
    <xf numFmtId="0" fontId="1" fillId="0" borderId="0" xfId="0" applyFont="1" applyAlignment="1" applyProtection="1">
      <alignment horizontal="left" wrapText="1"/>
    </xf>
    <xf numFmtId="0" fontId="2"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200" b="1" i="0" u="none" strike="noStrike" baseline="0">
                <a:solidFill>
                  <a:srgbClr val="000000"/>
                </a:solidFill>
                <a:latin typeface="Arial"/>
                <a:ea typeface="Arial"/>
                <a:cs typeface="Arial"/>
              </a:defRPr>
            </a:pPr>
            <a:r>
              <a:rPr lang="en-US"/>
              <a:t>Total Residual Chlorine</a:t>
            </a:r>
          </a:p>
        </c:rich>
      </c:tx>
      <c:layout>
        <c:manualLayout>
          <c:xMode val="edge"/>
          <c:yMode val="edge"/>
          <c:x val="0.38739562608272748"/>
          <c:y val="4.7618979134457506E-2"/>
        </c:manualLayout>
      </c:layout>
      <c:spPr>
        <a:noFill/>
        <a:ln w="25400">
          <a:noFill/>
        </a:ln>
      </c:spPr>
    </c:title>
    <c:plotArea>
      <c:layout>
        <c:manualLayout>
          <c:layoutTarget val="inner"/>
          <c:xMode val="edge"/>
          <c:yMode val="edge"/>
          <c:x val="0.15332553798622603"/>
          <c:y val="0.13464931466899971"/>
          <c:w val="0.80398832128272757"/>
          <c:h val="0.66526898598459505"/>
        </c:manualLayout>
      </c:layout>
      <c:scatterChart>
        <c:scatterStyle val="lineMarker"/>
        <c:ser>
          <c:idx val="0"/>
          <c:order val="0"/>
          <c:spPr>
            <a:ln w="28575">
              <a:noFill/>
            </a:ln>
          </c:spPr>
          <c:marker>
            <c:symbol val="diamond"/>
            <c:size val="5"/>
            <c:spPr>
              <a:solidFill>
                <a:srgbClr val="000080"/>
              </a:solidFill>
              <a:ln>
                <a:solidFill>
                  <a:srgbClr val="000080"/>
                </a:solidFill>
                <a:prstDash val="solid"/>
              </a:ln>
            </c:spPr>
          </c:marker>
          <c:trendline>
            <c:spPr>
              <a:ln w="25400">
                <a:solidFill>
                  <a:srgbClr val="000000"/>
                </a:solidFill>
                <a:prstDash val="solid"/>
              </a:ln>
            </c:spPr>
            <c:trendlineType val="linear"/>
          </c:trendline>
          <c:xVal>
            <c:numRef>
              <c:f>Sheet1!$A$19:$A$23</c:f>
              <c:numCache>
                <c:formatCode>0</c:formatCode>
                <c:ptCount val="5"/>
              </c:numCache>
            </c:numRef>
          </c:xVal>
          <c:yVal>
            <c:numRef>
              <c:f>Sheet1!$B$19:$B$23</c:f>
              <c:numCache>
                <c:formatCode>0</c:formatCode>
                <c:ptCount val="5"/>
              </c:numCache>
            </c:numRef>
          </c:yVal>
        </c:ser>
        <c:axId val="73757824"/>
        <c:axId val="73759744"/>
      </c:scatterChart>
      <c:valAx>
        <c:axId val="73757824"/>
        <c:scaling>
          <c:orientation val="minMax"/>
        </c:scaling>
        <c:axPos val="b"/>
        <c:title>
          <c:tx>
            <c:rich>
              <a:bodyPr/>
              <a:lstStyle/>
              <a:p>
                <a:pPr>
                  <a:defRPr sz="1400" b="1" i="0" u="none" strike="noStrike" baseline="0">
                    <a:solidFill>
                      <a:srgbClr val="000000"/>
                    </a:solidFill>
                    <a:latin typeface="Arial"/>
                    <a:ea typeface="Arial"/>
                    <a:cs typeface="Arial"/>
                  </a:defRPr>
                </a:pPr>
                <a:r>
                  <a:rPr lang="en-US"/>
                  <a:t>Actual (µg/L)</a:t>
                </a:r>
              </a:p>
            </c:rich>
          </c:tx>
          <c:layout>
            <c:manualLayout>
              <c:xMode val="edge"/>
              <c:yMode val="edge"/>
              <c:x val="0.4365857560301134"/>
              <c:y val="0.89828545404427174"/>
            </c:manualLayout>
          </c:layout>
          <c:spPr>
            <a:noFill/>
            <a:ln w="25400">
              <a:noFill/>
            </a:ln>
          </c:spPr>
        </c:title>
        <c:numFmt formatCode="0" sourceLinked="1"/>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73759744"/>
        <c:crosses val="autoZero"/>
        <c:crossBetween val="midCat"/>
      </c:valAx>
      <c:valAx>
        <c:axId val="73759744"/>
        <c:scaling>
          <c:orientation val="minMax"/>
        </c:scaling>
        <c:axPos val="l"/>
        <c:title>
          <c:tx>
            <c:rich>
              <a:bodyPr/>
              <a:lstStyle/>
              <a:p>
                <a:pPr>
                  <a:defRPr sz="1400" b="1" i="0" u="none" strike="noStrike" baseline="0">
                    <a:solidFill>
                      <a:srgbClr val="000000"/>
                    </a:solidFill>
                    <a:latin typeface="Arial"/>
                    <a:ea typeface="Arial"/>
                    <a:cs typeface="Arial"/>
                  </a:defRPr>
                </a:pPr>
                <a:r>
                  <a:rPr lang="en-US"/>
                  <a:t>Observed (µg/L)</a:t>
                </a:r>
              </a:p>
            </c:rich>
          </c:tx>
          <c:layout>
            <c:manualLayout>
              <c:xMode val="edge"/>
              <c:yMode val="edge"/>
              <c:x val="3.3904008553295312E-2"/>
              <c:y val="0.31891705317657232"/>
            </c:manualLayout>
          </c:layout>
          <c:spPr>
            <a:noFill/>
            <a:ln w="25400">
              <a:noFill/>
            </a:ln>
          </c:spPr>
        </c:title>
        <c:numFmt formatCode="0" sourceLinked="1"/>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73757824"/>
        <c:crosses val="autoZero"/>
        <c:crossBetween val="midCat"/>
      </c:valAx>
      <c:spPr>
        <a:solidFill>
          <a:srgbClr val="C0C0C0"/>
        </a:solidFill>
        <a:ln w="12700">
          <a:solidFill>
            <a:srgbClr val="808080"/>
          </a:solidFill>
          <a:prstDash val="solid"/>
        </a:ln>
      </c:spPr>
    </c:plotArea>
    <c:plotVisOnly val="1"/>
    <c:dispBlanksAs val="gap"/>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printSettings>
    <c:headerFooter alignWithMargins="0"/>
    <c:pageMargins b="1" l="0.75000000000000089" r="0.75000000000000089" t="1" header="0.5" footer="0.5"/>
    <c:pageSetup orientation="landscape"/>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38100</xdr:colOff>
      <xdr:row>25</xdr:row>
      <xdr:rowOff>9525</xdr:rowOff>
    </xdr:from>
    <xdr:to>
      <xdr:col>6</xdr:col>
      <xdr:colOff>476250</xdr:colOff>
      <xdr:row>50</xdr:row>
      <xdr:rowOff>133350</xdr:rowOff>
    </xdr:to>
    <xdr:graphicFrame macro="">
      <xdr:nvGraphicFramePr>
        <xdr:cNvPr id="1071"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G54"/>
  <sheetViews>
    <sheetView tabSelected="1" workbookViewId="0">
      <selection activeCell="B23" sqref="B23"/>
    </sheetView>
  </sheetViews>
  <sheetFormatPr defaultRowHeight="12.75"/>
  <cols>
    <col min="1" max="1" width="13" style="1" customWidth="1"/>
    <col min="2" max="2" width="16" style="1" customWidth="1"/>
    <col min="3" max="3" width="14.7109375" style="1" customWidth="1"/>
    <col min="4" max="4" width="16.42578125" style="1" customWidth="1"/>
    <col min="5" max="5" width="13.140625" style="1" customWidth="1"/>
    <col min="6" max="6" width="10.7109375" style="1" customWidth="1"/>
  </cols>
  <sheetData>
    <row r="1" spans="1:7">
      <c r="C1" s="30" t="s">
        <v>25</v>
      </c>
    </row>
    <row r="3" spans="1:7" ht="13.5" thickBot="1">
      <c r="A3" s="14" t="s">
        <v>11</v>
      </c>
      <c r="B3" s="25"/>
      <c r="C3" s="3"/>
      <c r="D3" s="13" t="s">
        <v>9</v>
      </c>
      <c r="E3" s="35"/>
      <c r="F3" s="35"/>
    </row>
    <row r="4" spans="1:7" ht="13.5" thickBot="1">
      <c r="A4" s="14" t="s">
        <v>8</v>
      </c>
      <c r="B4" s="34"/>
      <c r="C4" s="35"/>
      <c r="D4" s="13" t="s">
        <v>10</v>
      </c>
      <c r="E4" s="36"/>
      <c r="F4" s="36"/>
    </row>
    <row r="5" spans="1:7" ht="13.5" thickBot="1">
      <c r="A5" s="18" t="s">
        <v>23</v>
      </c>
      <c r="B5" s="34"/>
      <c r="C5" s="35"/>
      <c r="D5" s="40" t="s">
        <v>24</v>
      </c>
      <c r="E5" s="40"/>
      <c r="F5" s="27"/>
    </row>
    <row r="6" spans="1:7">
      <c r="A6" s="39" t="s">
        <v>19</v>
      </c>
      <c r="B6" s="39"/>
      <c r="C6" s="39"/>
      <c r="D6" s="39"/>
      <c r="E6" s="39"/>
      <c r="F6" s="39"/>
      <c r="G6" s="39"/>
    </row>
    <row r="7" spans="1:7">
      <c r="A7" s="39"/>
      <c r="B7" s="39"/>
      <c r="C7" s="39"/>
      <c r="D7" s="39"/>
      <c r="E7" s="39"/>
      <c r="F7" s="39"/>
      <c r="G7" s="39"/>
    </row>
    <row r="8" spans="1:7">
      <c r="A8" s="39"/>
      <c r="B8" s="39"/>
      <c r="C8" s="39"/>
      <c r="D8" s="39"/>
      <c r="E8" s="39"/>
      <c r="F8" s="39"/>
      <c r="G8" s="39"/>
    </row>
    <row r="9" spans="1:7">
      <c r="A9" s="19"/>
      <c r="B9" s="19"/>
      <c r="C9" s="19"/>
      <c r="D9" s="19"/>
      <c r="E9" s="19"/>
      <c r="F9" s="19"/>
      <c r="G9" s="19"/>
    </row>
    <row r="10" spans="1:7">
      <c r="A10" s="6" t="s">
        <v>6</v>
      </c>
      <c r="B10" s="7"/>
      <c r="C10" s="7"/>
      <c r="D10" s="7"/>
      <c r="E10" s="7"/>
      <c r="F10" s="7"/>
      <c r="G10" s="8"/>
    </row>
    <row r="11" spans="1:7">
      <c r="A11" s="9"/>
      <c r="B11" s="7"/>
      <c r="C11" s="7"/>
      <c r="D11" s="7"/>
      <c r="E11" s="7"/>
      <c r="F11" s="7"/>
      <c r="G11" s="8"/>
    </row>
    <row r="12" spans="1:7">
      <c r="A12" s="37" t="s">
        <v>14</v>
      </c>
      <c r="B12" s="37"/>
      <c r="C12" s="37"/>
      <c r="D12" s="7"/>
      <c r="E12" s="7"/>
      <c r="F12" s="7"/>
      <c r="G12" s="8"/>
    </row>
    <row r="13" spans="1:7">
      <c r="A13" s="17" t="s">
        <v>5</v>
      </c>
      <c r="B13" s="7"/>
      <c r="C13" s="7"/>
      <c r="D13" s="7"/>
      <c r="E13" s="7"/>
      <c r="F13" s="7"/>
      <c r="G13" s="8"/>
    </row>
    <row r="14" spans="1:7">
      <c r="A14" s="38" t="s">
        <v>12</v>
      </c>
      <c r="B14" s="38"/>
      <c r="C14" s="38"/>
      <c r="D14" s="38"/>
      <c r="E14" s="38"/>
      <c r="F14" s="38"/>
      <c r="G14" s="38"/>
    </row>
    <row r="15" spans="1:7">
      <c r="A15" s="18" t="s">
        <v>5</v>
      </c>
      <c r="B15" s="11"/>
      <c r="C15" s="11"/>
      <c r="D15" s="11"/>
      <c r="E15" s="11"/>
      <c r="F15" s="11"/>
      <c r="G15" s="8"/>
    </row>
    <row r="16" spans="1:7">
      <c r="A16" s="38" t="s">
        <v>13</v>
      </c>
      <c r="B16" s="38"/>
      <c r="C16" s="38"/>
      <c r="D16" s="38"/>
      <c r="E16" s="38"/>
      <c r="F16" s="38"/>
      <c r="G16" s="38"/>
    </row>
    <row r="17" spans="1:7">
      <c r="A17" s="10"/>
      <c r="B17" s="10"/>
      <c r="C17" s="10"/>
      <c r="D17" s="10"/>
      <c r="E17" s="10"/>
      <c r="F17" s="10"/>
      <c r="G17" s="10"/>
    </row>
    <row r="18" spans="1:7" ht="13.5" thickBot="1">
      <c r="A18" s="20" t="s">
        <v>2</v>
      </c>
      <c r="B18" s="20" t="s">
        <v>3</v>
      </c>
      <c r="C18" s="21" t="s">
        <v>4</v>
      </c>
      <c r="D18" s="21" t="s">
        <v>17</v>
      </c>
      <c r="E18" s="20" t="s">
        <v>0</v>
      </c>
      <c r="F18" s="20" t="s">
        <v>1</v>
      </c>
      <c r="G18" s="8"/>
    </row>
    <row r="19" spans="1:7">
      <c r="A19" s="15"/>
      <c r="B19" s="16"/>
      <c r="C19" s="24" t="e">
        <f>(B19/A19)*100</f>
        <v>#DIV/0!</v>
      </c>
      <c r="D19" s="24" t="e">
        <f>IF(C19&lt;74.5,"Failed",IF(C19&gt;125.4,"Failed","Passed"))</f>
        <v>#DIV/0!</v>
      </c>
      <c r="E19" s="4" t="e">
        <f>SLOPE(B19:B23,A19:A23)</f>
        <v>#DIV/0!</v>
      </c>
      <c r="F19" s="4" t="e">
        <f>INTERCEPT(B19:B23,A19:A23)</f>
        <v>#DIV/0!</v>
      </c>
    </row>
    <row r="20" spans="1:7">
      <c r="A20" s="15"/>
      <c r="B20" s="16"/>
      <c r="C20" s="24" t="e">
        <f>(B20/A20)*100</f>
        <v>#DIV/0!</v>
      </c>
      <c r="D20" s="24" t="e">
        <f>IF(C20&lt;74.5,"Failed",IF(C20&gt;125.4,"Failed","Passed"))</f>
        <v>#DIV/0!</v>
      </c>
      <c r="E20" s="4"/>
      <c r="F20" s="4"/>
    </row>
    <row r="21" spans="1:7">
      <c r="A21" s="15"/>
      <c r="B21" s="16"/>
      <c r="C21" s="24" t="e">
        <f>(B21/A21)*100</f>
        <v>#DIV/0!</v>
      </c>
      <c r="D21" s="24" t="e">
        <f>IF(C21&lt;89.5,"Failed",IF(C21&gt;110.4,"Failed","Passed"))</f>
        <v>#DIV/0!</v>
      </c>
      <c r="E21" s="4"/>
      <c r="F21" s="4"/>
    </row>
    <row r="22" spans="1:7">
      <c r="A22" s="15"/>
      <c r="B22" s="16"/>
      <c r="C22" s="24" t="e">
        <f>(B22/A22)*100</f>
        <v>#DIV/0!</v>
      </c>
      <c r="D22" s="24" t="e">
        <f>IF(C22&lt;89.5,"Failed",IF(C22&gt;110.4,"Failed","Passed"))</f>
        <v>#DIV/0!</v>
      </c>
      <c r="E22" s="4"/>
      <c r="F22" s="4"/>
    </row>
    <row r="23" spans="1:7">
      <c r="A23" s="16"/>
      <c r="B23" s="16"/>
      <c r="C23" s="24" t="e">
        <f>(B23/A23)*100</f>
        <v>#DIV/0!</v>
      </c>
      <c r="D23" s="24" t="e">
        <f>IF(C23&lt;89.5,"Failed",IF(C23&gt;110.4,"Failed","Passed"))</f>
        <v>#DIV/0!</v>
      </c>
      <c r="E23" s="4"/>
      <c r="F23" s="4"/>
    </row>
    <row r="24" spans="1:7">
      <c r="A24" s="2"/>
      <c r="B24" s="2"/>
      <c r="C24" s="2"/>
      <c r="D24" s="2"/>
      <c r="E24" s="2"/>
      <c r="F24" s="2"/>
    </row>
    <row r="25" spans="1:7">
      <c r="A25" s="2"/>
      <c r="B25" s="23" t="s">
        <v>18</v>
      </c>
      <c r="C25" s="5" t="e">
        <f>CORREL(A19:A23,B19:B23)</f>
        <v>#DIV/0!</v>
      </c>
      <c r="D25" s="23" t="s">
        <v>7</v>
      </c>
      <c r="E25" s="24" t="e">
        <f>IF(C25&lt;0.995,"Failed","Passed")</f>
        <v>#DIV/0!</v>
      </c>
      <c r="F25" s="2"/>
    </row>
    <row r="52" spans="1:7" ht="13.5" thickBot="1">
      <c r="B52" s="32" t="s">
        <v>20</v>
      </c>
      <c r="C52" s="32"/>
      <c r="D52" s="32"/>
      <c r="E52" s="26"/>
      <c r="F52" s="22" t="s">
        <v>15</v>
      </c>
    </row>
    <row r="53" spans="1:7" ht="13.5" thickBot="1">
      <c r="A53" s="33" t="s">
        <v>21</v>
      </c>
      <c r="B53" s="33"/>
      <c r="C53" s="33"/>
      <c r="D53" s="31"/>
      <c r="E53" s="28" t="s">
        <v>22</v>
      </c>
      <c r="F53" s="34"/>
      <c r="G53" s="35"/>
    </row>
    <row r="54" spans="1:7" ht="13.5" thickBot="1">
      <c r="C54" s="29" t="s">
        <v>16</v>
      </c>
      <c r="D54" s="12"/>
    </row>
  </sheetData>
  <sheetProtection password="C5ED" sheet="1" objects="1" scenarios="1" selectLockedCells="1"/>
  <mergeCells count="12">
    <mergeCell ref="B52:D52"/>
    <mergeCell ref="A53:C53"/>
    <mergeCell ref="F53:G53"/>
    <mergeCell ref="E3:F3"/>
    <mergeCell ref="E4:F4"/>
    <mergeCell ref="A12:C12"/>
    <mergeCell ref="A14:G14"/>
    <mergeCell ref="A16:G16"/>
    <mergeCell ref="A6:G8"/>
    <mergeCell ref="D5:E5"/>
    <mergeCell ref="B5:C5"/>
    <mergeCell ref="B4:C4"/>
  </mergeCells>
  <phoneticPr fontId="0" type="noConversion"/>
  <pageMargins left="0.75" right="0.25" top="0.75" bottom="0.75" header="0.3" footer="0.3"/>
  <pageSetup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Sheet1!Print_Area</vt:lpstr>
    </vt:vector>
  </TitlesOfParts>
  <Company>NC 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Staff</dc:creator>
  <cp:lastModifiedBy>DWQ</cp:lastModifiedBy>
  <cp:lastPrinted>2012-04-12T19:32:29Z</cp:lastPrinted>
  <dcterms:created xsi:type="dcterms:W3CDTF">2002-07-01T19:13:13Z</dcterms:created>
  <dcterms:modified xsi:type="dcterms:W3CDTF">2012-04-16T13:06:25Z</dcterms:modified>
</cp:coreProperties>
</file>