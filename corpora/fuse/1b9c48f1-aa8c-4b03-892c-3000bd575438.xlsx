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90" windowWidth="19965" windowHeight="9105"/>
  </bookViews>
  <sheets>
    <sheet name="Survey" sheetId="1" r:id="rId1"/>
    <sheet name="Sheet2" sheetId="2" state="hidden" r:id="rId2"/>
  </sheets>
  <definedNames>
    <definedName name="USDNumRange">Sheet2!$A$2:$A$287</definedName>
  </definedNames>
  <calcPr calcId="145621"/>
</workbook>
</file>

<file path=xl/calcChain.xml><?xml version="1.0" encoding="utf-8"?>
<calcChain xmlns="http://schemas.openxmlformats.org/spreadsheetml/2006/main">
  <c r="I2" i="1" l="1"/>
  <c r="E2" i="1" l="1"/>
  <c r="L2" i="1" l="1"/>
  <c r="O14" i="1"/>
  <c r="O15" i="1"/>
  <c r="O16" i="1"/>
  <c r="O18" i="1"/>
  <c r="O19" i="1"/>
  <c r="O20" i="1"/>
  <c r="O22" i="1"/>
  <c r="O23" i="1"/>
  <c r="O25" i="1"/>
  <c r="O26" i="1"/>
  <c r="O28" i="1"/>
  <c r="O29" i="1"/>
  <c r="O31" i="1"/>
  <c r="O32" i="1"/>
  <c r="O34" i="1"/>
  <c r="O35" i="1"/>
  <c r="O37" i="1"/>
  <c r="O38" i="1"/>
  <c r="O39" i="1"/>
  <c r="O41" i="1"/>
  <c r="O42" i="1"/>
  <c r="O43" i="1"/>
  <c r="O44" i="1"/>
  <c r="O46" i="1"/>
  <c r="O47" i="1"/>
  <c r="O48" i="1"/>
  <c r="O49" i="1"/>
  <c r="O50" i="1"/>
  <c r="O52" i="1"/>
  <c r="O53" i="1"/>
  <c r="O54" i="1"/>
  <c r="O56" i="1"/>
  <c r="O57" i="1"/>
  <c r="O58" i="1"/>
  <c r="O60" i="1"/>
  <c r="O61" i="1"/>
  <c r="O63" i="1"/>
  <c r="O64" i="1"/>
  <c r="O65" i="1"/>
  <c r="O66" i="1"/>
  <c r="O67" i="1"/>
  <c r="O69" i="1"/>
  <c r="O70" i="1"/>
  <c r="O11" i="1"/>
  <c r="O12" i="1"/>
  <c r="O9" i="1"/>
  <c r="A4" i="1"/>
  <c r="C9" i="1" l="1"/>
  <c r="C14" i="1"/>
  <c r="C18" i="1"/>
  <c r="C22" i="1"/>
  <c r="C25" i="1"/>
  <c r="C28" i="1"/>
  <c r="C31" i="1"/>
  <c r="C34" i="1"/>
  <c r="C37" i="1"/>
  <c r="C41" i="1"/>
  <c r="C46" i="1"/>
  <c r="C52" i="1"/>
  <c r="C56" i="1"/>
  <c r="C60" i="1"/>
  <c r="C63" i="1"/>
  <c r="C69" i="1"/>
  <c r="C15" i="1"/>
  <c r="C16" i="1"/>
  <c r="C19" i="1"/>
  <c r="C20" i="1"/>
  <c r="C23" i="1"/>
  <c r="C26" i="1"/>
  <c r="C29" i="1"/>
  <c r="C32" i="1"/>
  <c r="C35" i="1"/>
  <c r="C38" i="1"/>
  <c r="C39" i="1"/>
  <c r="C42" i="1"/>
  <c r="C43" i="1"/>
  <c r="C44" i="1"/>
  <c r="C47" i="1"/>
  <c r="C48" i="1"/>
  <c r="C49" i="1"/>
  <c r="C50" i="1"/>
  <c r="C53" i="1"/>
  <c r="C54" i="1"/>
  <c r="C57" i="1"/>
  <c r="C58" i="1"/>
  <c r="C61" i="1"/>
  <c r="C64" i="1"/>
  <c r="C65" i="1"/>
  <c r="C66" i="1"/>
  <c r="C67" i="1"/>
  <c r="C70" i="1"/>
  <c r="C11" i="1"/>
  <c r="C12" i="1"/>
  <c r="C10" i="1"/>
  <c r="L31" i="1" l="1"/>
  <c r="M31" i="1"/>
  <c r="N22" i="1"/>
  <c r="L15" i="1"/>
  <c r="L14" i="1" s="1"/>
  <c r="M15" i="1"/>
  <c r="N15" i="1" s="1"/>
  <c r="L16" i="1"/>
  <c r="L19" i="1"/>
  <c r="M19" i="1"/>
  <c r="N19" i="1" s="1"/>
  <c r="L20" i="1"/>
  <c r="L18" i="1" s="1"/>
  <c r="L23" i="1"/>
  <c r="L22" i="1" s="1"/>
  <c r="M23" i="1"/>
  <c r="N23" i="1" s="1"/>
  <c r="L26" i="1"/>
  <c r="L25" i="1" s="1"/>
  <c r="L29" i="1"/>
  <c r="L28" i="1" s="1"/>
  <c r="M29" i="1"/>
  <c r="N29" i="1" s="1"/>
  <c r="N28" i="1" s="1"/>
  <c r="L32" i="1"/>
  <c r="M32" i="1"/>
  <c r="L35" i="1"/>
  <c r="L34" i="1" s="1"/>
  <c r="M35" i="1"/>
  <c r="N35" i="1" s="1"/>
  <c r="N34" i="1" s="1"/>
  <c r="L38" i="1"/>
  <c r="L39" i="1"/>
  <c r="M39" i="1"/>
  <c r="N39" i="1" s="1"/>
  <c r="L42" i="1"/>
  <c r="L43" i="1"/>
  <c r="M43" i="1"/>
  <c r="N43" i="1" s="1"/>
  <c r="L44" i="1"/>
  <c r="M44" i="1" s="1"/>
  <c r="L47" i="1"/>
  <c r="N47" i="1" s="1"/>
  <c r="M47" i="1"/>
  <c r="L48" i="1"/>
  <c r="L46" i="1" s="1"/>
  <c r="M48" i="1"/>
  <c r="L49" i="1"/>
  <c r="M49" i="1" s="1"/>
  <c r="M46" i="1" s="1"/>
  <c r="L50" i="1"/>
  <c r="M50" i="1"/>
  <c r="L53" i="1"/>
  <c r="L52" i="1" s="1"/>
  <c r="M53" i="1"/>
  <c r="M52" i="1" s="1"/>
  <c r="L54" i="1"/>
  <c r="M54" i="1"/>
  <c r="L57" i="1"/>
  <c r="L56" i="1" s="1"/>
  <c r="L58" i="1"/>
  <c r="L61" i="1"/>
  <c r="L60" i="1" s="1"/>
  <c r="M61" i="1"/>
  <c r="M60" i="1" s="1"/>
  <c r="L64" i="1"/>
  <c r="M64" i="1"/>
  <c r="L65" i="1"/>
  <c r="M65" i="1"/>
  <c r="N65" i="1"/>
  <c r="L66" i="1"/>
  <c r="M66" i="1" s="1"/>
  <c r="M63" i="1" s="1"/>
  <c r="L67" i="1"/>
  <c r="M67" i="1"/>
  <c r="N67" i="1"/>
  <c r="L70" i="1"/>
  <c r="M70" i="1"/>
  <c r="M69" i="1" s="1"/>
  <c r="L11" i="1"/>
  <c r="M11" i="1" s="1"/>
  <c r="L12" i="1"/>
  <c r="M12" i="1" s="1"/>
  <c r="L10" i="1"/>
  <c r="B9" i="1"/>
  <c r="D69" i="1"/>
  <c r="E69" i="1"/>
  <c r="F69" i="1"/>
  <c r="G69" i="1"/>
  <c r="H69" i="1"/>
  <c r="I69" i="1"/>
  <c r="J69" i="1"/>
  <c r="K69" i="1"/>
  <c r="D60" i="1"/>
  <c r="E60" i="1"/>
  <c r="F60" i="1"/>
  <c r="G60" i="1"/>
  <c r="H60" i="1"/>
  <c r="I60" i="1"/>
  <c r="J60" i="1"/>
  <c r="K60" i="1"/>
  <c r="D63" i="1"/>
  <c r="E63" i="1"/>
  <c r="F63" i="1"/>
  <c r="G63" i="1"/>
  <c r="H63" i="1"/>
  <c r="I63" i="1"/>
  <c r="J63" i="1"/>
  <c r="K63" i="1"/>
  <c r="D56" i="1"/>
  <c r="E56" i="1"/>
  <c r="F56" i="1"/>
  <c r="G56" i="1"/>
  <c r="H56" i="1"/>
  <c r="I56" i="1"/>
  <c r="J56" i="1"/>
  <c r="K56" i="1"/>
  <c r="D52" i="1"/>
  <c r="E52" i="1"/>
  <c r="F52" i="1"/>
  <c r="G52" i="1"/>
  <c r="H52" i="1"/>
  <c r="I52" i="1"/>
  <c r="J52" i="1"/>
  <c r="K52" i="1"/>
  <c r="D46" i="1"/>
  <c r="E46" i="1"/>
  <c r="F46" i="1"/>
  <c r="G46" i="1"/>
  <c r="H46" i="1"/>
  <c r="I46" i="1"/>
  <c r="J46" i="1"/>
  <c r="K46" i="1"/>
  <c r="D41" i="1"/>
  <c r="E41" i="1"/>
  <c r="F41" i="1"/>
  <c r="G41" i="1"/>
  <c r="H41" i="1"/>
  <c r="I41" i="1"/>
  <c r="J41" i="1"/>
  <c r="K41" i="1"/>
  <c r="D37" i="1"/>
  <c r="E37" i="1"/>
  <c r="F37" i="1"/>
  <c r="G37" i="1"/>
  <c r="H37" i="1"/>
  <c r="I37" i="1"/>
  <c r="J37" i="1"/>
  <c r="K37" i="1"/>
  <c r="D34" i="1"/>
  <c r="E34" i="1"/>
  <c r="F34" i="1"/>
  <c r="G34" i="1"/>
  <c r="H34" i="1"/>
  <c r="I34" i="1"/>
  <c r="J34" i="1"/>
  <c r="K34" i="1"/>
  <c r="D31" i="1"/>
  <c r="E31" i="1"/>
  <c r="F31" i="1"/>
  <c r="G31" i="1"/>
  <c r="H31" i="1"/>
  <c r="I31" i="1"/>
  <c r="J31" i="1"/>
  <c r="K31" i="1"/>
  <c r="B69" i="1"/>
  <c r="B63" i="1"/>
  <c r="B60" i="1"/>
  <c r="B56" i="1"/>
  <c r="B52" i="1"/>
  <c r="B46" i="1"/>
  <c r="B41" i="1"/>
  <c r="B37" i="1"/>
  <c r="B34" i="1"/>
  <c r="B31" i="1"/>
  <c r="D28" i="1"/>
  <c r="E28" i="1"/>
  <c r="F28" i="1"/>
  <c r="G28" i="1"/>
  <c r="H28" i="1"/>
  <c r="I28" i="1"/>
  <c r="J28" i="1"/>
  <c r="K28" i="1"/>
  <c r="B28" i="1"/>
  <c r="D25" i="1"/>
  <c r="E25" i="1"/>
  <c r="F25" i="1"/>
  <c r="G25" i="1"/>
  <c r="H25" i="1"/>
  <c r="I25" i="1"/>
  <c r="J25" i="1"/>
  <c r="K25" i="1"/>
  <c r="B25" i="1"/>
  <c r="D22" i="1"/>
  <c r="E22" i="1"/>
  <c r="F22" i="1"/>
  <c r="G22" i="1"/>
  <c r="H22" i="1"/>
  <c r="I22" i="1"/>
  <c r="J22" i="1"/>
  <c r="K22" i="1"/>
  <c r="B22" i="1"/>
  <c r="D18" i="1"/>
  <c r="E18" i="1"/>
  <c r="F18" i="1"/>
  <c r="G18" i="1"/>
  <c r="H18" i="1"/>
  <c r="I18" i="1"/>
  <c r="J18" i="1"/>
  <c r="K18" i="1"/>
  <c r="B18" i="1"/>
  <c r="D9" i="1"/>
  <c r="E9" i="1"/>
  <c r="F9" i="1"/>
  <c r="G9" i="1"/>
  <c r="H9" i="1"/>
  <c r="I9" i="1"/>
  <c r="J9" i="1"/>
  <c r="K9" i="1"/>
  <c r="D14" i="1"/>
  <c r="E14" i="1"/>
  <c r="F14" i="1"/>
  <c r="G14" i="1"/>
  <c r="H14" i="1"/>
  <c r="I14" i="1"/>
  <c r="J14" i="1"/>
  <c r="K14" i="1"/>
  <c r="B14" i="1"/>
  <c r="N46" i="1" l="1"/>
  <c r="N18" i="1"/>
  <c r="N58" i="1"/>
  <c r="N49" i="1"/>
  <c r="N42" i="1"/>
  <c r="N64" i="1"/>
  <c r="N63" i="1" s="1"/>
  <c r="N53" i="1"/>
  <c r="M42" i="1"/>
  <c r="M41" i="1" s="1"/>
  <c r="M20" i="1"/>
  <c r="M18" i="1" s="1"/>
  <c r="N66" i="1"/>
  <c r="N70" i="1"/>
  <c r="N69" i="1" s="1"/>
  <c r="N61" i="1"/>
  <c r="N60" i="1" s="1"/>
  <c r="M57" i="1"/>
  <c r="M26" i="1"/>
  <c r="M25" i="1" s="1"/>
  <c r="L37" i="1"/>
  <c r="L63" i="1"/>
  <c r="N20" i="1"/>
  <c r="N12" i="1"/>
  <c r="N44" i="1"/>
  <c r="N26" i="1"/>
  <c r="N25" i="1" s="1"/>
  <c r="N48" i="1"/>
  <c r="N11" i="1"/>
  <c r="N50" i="1"/>
  <c r="N32" i="1"/>
  <c r="N31" i="1" s="1"/>
  <c r="M14" i="1"/>
  <c r="M22" i="1"/>
  <c r="M28" i="1"/>
  <c r="M34" i="1"/>
  <c r="M58" i="1"/>
  <c r="N54" i="1"/>
  <c r="M38" i="1"/>
  <c r="M37" i="1" s="1"/>
  <c r="M16" i="1"/>
  <c r="N16" i="1" s="1"/>
  <c r="N14" i="1" s="1"/>
  <c r="L41" i="1"/>
  <c r="L69" i="1"/>
  <c r="M10" i="1"/>
  <c r="N10" i="1" s="1"/>
  <c r="M9" i="1"/>
  <c r="L9" i="1"/>
  <c r="N41" i="1" l="1"/>
  <c r="N52" i="1"/>
  <c r="N38" i="1"/>
  <c r="N37" i="1" s="1"/>
  <c r="M56" i="1"/>
  <c r="N57" i="1"/>
  <c r="N56" i="1" s="1"/>
  <c r="O10" i="1"/>
  <c r="N9" i="1"/>
</calcChain>
</file>

<file path=xl/sharedStrings.xml><?xml version="1.0" encoding="utf-8"?>
<sst xmlns="http://schemas.openxmlformats.org/spreadsheetml/2006/main" count="391" uniqueCount="387">
  <si>
    <t>Equipment</t>
  </si>
  <si>
    <t>Supplies</t>
  </si>
  <si>
    <t>TOTAL</t>
  </si>
  <si>
    <t>Utilities</t>
  </si>
  <si>
    <t>Agriculture, Food &amp; Natural Resources</t>
  </si>
  <si>
    <t>Architecture &amp; Construction</t>
  </si>
  <si>
    <t>Arts, A/V Technology &amp; Communications</t>
  </si>
  <si>
    <t>Business, Management &amp; Administration</t>
  </si>
  <si>
    <t>Education &amp; Training</t>
  </si>
  <si>
    <t>Finance</t>
  </si>
  <si>
    <t>Government &amp; Public Administration</t>
  </si>
  <si>
    <t>Health Science</t>
  </si>
  <si>
    <t>Hospitality &amp; Tourism</t>
  </si>
  <si>
    <t>Human Services</t>
  </si>
  <si>
    <t>Information Technology</t>
  </si>
  <si>
    <t>Law, Public Safety, Corrections &amp; Security</t>
  </si>
  <si>
    <t>Manufacturing</t>
  </si>
  <si>
    <t>Marketing</t>
  </si>
  <si>
    <t>Science, Technology, Engineering &amp; Mathematics (STEM)</t>
  </si>
  <si>
    <t>Transportation, Distribution &amp; Logistics</t>
  </si>
  <si>
    <t>SUBTOTAL</t>
  </si>
  <si>
    <t>Amount</t>
  </si>
  <si>
    <t>Per Pupil</t>
  </si>
  <si>
    <t>Total Salaries</t>
  </si>
  <si>
    <t>Daily</t>
  </si>
  <si>
    <t>Contact</t>
  </si>
  <si>
    <t>Agriculture Science</t>
  </si>
  <si>
    <t>Plant Systems</t>
  </si>
  <si>
    <t>Construction</t>
  </si>
  <si>
    <t>Design &amp; Pre-Construction</t>
  </si>
  <si>
    <t>AV Communications</t>
  </si>
  <si>
    <t>Visual Arts</t>
  </si>
  <si>
    <t>Business Entreprenuership &amp; Management</t>
  </si>
  <si>
    <t>Teaching/Training</t>
  </si>
  <si>
    <t>Business Finance</t>
  </si>
  <si>
    <t>Restaurant &amp; Event Management</t>
  </si>
  <si>
    <t>Travel &amp; Tourism</t>
  </si>
  <si>
    <t>Consumer Services</t>
  </si>
  <si>
    <t>Early Childhood Development &amp; Services</t>
  </si>
  <si>
    <t>Family &amp; Community Services</t>
  </si>
  <si>
    <t>Information Support &amp; Services</t>
  </si>
  <si>
    <t>Network Systems</t>
  </si>
  <si>
    <t>Web &amp; Digital Communications</t>
  </si>
  <si>
    <t>Corrections, Security &amp; Law Enforcement Services</t>
  </si>
  <si>
    <t>Emergency &amp; Fire Management Services</t>
  </si>
  <si>
    <t>Maintenance</t>
  </si>
  <si>
    <t>Production</t>
  </si>
  <si>
    <t>BioChemistry/Green/Hazmat</t>
  </si>
  <si>
    <t>BioMedical</t>
  </si>
  <si>
    <t>Cartography/Geospatial/Spatial Math</t>
  </si>
  <si>
    <t>Engineering &amp; Applied Mathematics</t>
  </si>
  <si>
    <t>Mobile Equipment Maintenance</t>
  </si>
  <si>
    <t>(Consumables)</t>
  </si>
  <si>
    <t>technology)</t>
  </si>
  <si>
    <t>CTE Student</t>
  </si>
  <si>
    <t>Organizations</t>
  </si>
  <si>
    <t>(Col. 3 thru 10)</t>
  </si>
  <si>
    <t>(5% of Col. 11)</t>
  </si>
  <si>
    <t>(Col. 11 - 12)</t>
  </si>
  <si>
    <t>Assessments**</t>
  </si>
  <si>
    <t>Transportation***</t>
  </si>
  <si>
    <t>***Cost of transportation to and from approved program -- Use 2012-13 estimates</t>
  </si>
  <si>
    <t>Other</t>
  </si>
  <si>
    <t>Programming &amp; Software Development</t>
  </si>
  <si>
    <t>Power, Structural &amp; Technical Systems</t>
  </si>
  <si>
    <t>9/20/2011 FTE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</si>
  <si>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</si>
  <si>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</si>
  <si>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</si>
  <si>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</si>
  <si>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</si>
  <si>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</si>
  <si>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</si>
  <si>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</si>
  <si>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</si>
  <si>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</si>
  <si>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</si>
  <si>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</si>
  <si>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</si>
  <si>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</si>
  <si>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USD</t>
  </si>
  <si>
    <t>District Name</t>
  </si>
  <si>
    <t>Erie</t>
  </si>
  <si>
    <t>Cimarron-Ensign</t>
  </si>
  <si>
    <t>Cheylin</t>
  </si>
  <si>
    <t>Rawlins County</t>
  </si>
  <si>
    <t>Western Plains</t>
  </si>
  <si>
    <t>Rock Hills</t>
  </si>
  <si>
    <t>Washington Co. Schools</t>
  </si>
  <si>
    <t>Republic County</t>
  </si>
  <si>
    <t>Thunder Ridge</t>
  </si>
  <si>
    <t>Doniphan West Schools</t>
  </si>
  <si>
    <t>Ellsworth</t>
  </si>
  <si>
    <t>Central Plains</t>
  </si>
  <si>
    <t>Prairie Hills</t>
  </si>
  <si>
    <t>Riverside</t>
  </si>
  <si>
    <t>Nemaha Central Schools</t>
  </si>
  <si>
    <t>Greeley County</t>
  </si>
  <si>
    <t>Turner</t>
  </si>
  <si>
    <t>Piper</t>
  </si>
  <si>
    <t>Bonner Springs</t>
  </si>
  <si>
    <t>Bluestem</t>
  </si>
  <si>
    <t>Remington-Whitewater</t>
  </si>
  <si>
    <t>Leavenworth</t>
  </si>
  <si>
    <t>Ft. Leavenworth</t>
  </si>
  <si>
    <t>WaKeeney</t>
  </si>
  <si>
    <t>Moscow</t>
  </si>
  <si>
    <t>Hugoton</t>
  </si>
  <si>
    <t>Norton</t>
  </si>
  <si>
    <t>Northern Valley</t>
  </si>
  <si>
    <t>Ulysses</t>
  </si>
  <si>
    <t>Lakin</t>
  </si>
  <si>
    <t>Deerfield</t>
  </si>
  <si>
    <t>Rolla</t>
  </si>
  <si>
    <t>Elkhart</t>
  </si>
  <si>
    <t>Minneola</t>
  </si>
  <si>
    <t>Ashland</t>
  </si>
  <si>
    <t>Barnes</t>
  </si>
  <si>
    <t>Clifton-Clyde</t>
  </si>
  <si>
    <t>Meade</t>
  </si>
  <si>
    <t>Fowler</t>
  </si>
  <si>
    <t>Jetmore</t>
  </si>
  <si>
    <t>Blue Valley</t>
  </si>
  <si>
    <t>Spring Hill</t>
  </si>
  <si>
    <t>Gardner-Edgerton</t>
  </si>
  <si>
    <t>DeSoto</t>
  </si>
  <si>
    <t>Olathe</t>
  </si>
  <si>
    <t>Ft. Scott</t>
  </si>
  <si>
    <t>Uniontown</t>
  </si>
  <si>
    <t>Smith Center</t>
  </si>
  <si>
    <t>Ottawa</t>
  </si>
  <si>
    <t>North Ottawa Co.</t>
  </si>
  <si>
    <t>Twin Valley</t>
  </si>
  <si>
    <t>Wallace</t>
  </si>
  <si>
    <t>Weskan</t>
  </si>
  <si>
    <t>Lebo-Waverly</t>
  </si>
  <si>
    <t>Burlington</t>
  </si>
  <si>
    <t>LeRoy-Gridley</t>
  </si>
  <si>
    <t>Northeast</t>
  </si>
  <si>
    <t>Cherokee</t>
  </si>
  <si>
    <t>Girard</t>
  </si>
  <si>
    <t>Frontenac</t>
  </si>
  <si>
    <t>Pittsburg</t>
  </si>
  <si>
    <t>North Lyon Co.</t>
  </si>
  <si>
    <t>Southern Lyon Co.</t>
  </si>
  <si>
    <t>Emporia</t>
  </si>
  <si>
    <t>Barber Co.</t>
  </si>
  <si>
    <t>South Barber Co.</t>
  </si>
  <si>
    <t>Marmaton Valley</t>
  </si>
  <si>
    <t>Iola</t>
  </si>
  <si>
    <t>Humboldt</t>
  </si>
  <si>
    <t>Sedgwick</t>
  </si>
  <si>
    <t>Wichita</t>
  </si>
  <si>
    <t>Derby</t>
  </si>
  <si>
    <t>Haysville</t>
  </si>
  <si>
    <t>Valley Center</t>
  </si>
  <si>
    <t>Mulvane</t>
  </si>
  <si>
    <t>Clearwater</t>
  </si>
  <si>
    <t>Goddard</t>
  </si>
  <si>
    <t>Maize</t>
  </si>
  <si>
    <t>Renwick</t>
  </si>
  <si>
    <t>Cheney</t>
  </si>
  <si>
    <t>Palco</t>
  </si>
  <si>
    <t>Plainville</t>
  </si>
  <si>
    <t>Stockton</t>
  </si>
  <si>
    <t>Waconda</t>
  </si>
  <si>
    <t>Beloit</t>
  </si>
  <si>
    <t>Logan</t>
  </si>
  <si>
    <t>Oakley</t>
  </si>
  <si>
    <t>Triplains</t>
  </si>
  <si>
    <t>Graham County</t>
  </si>
  <si>
    <t>West Elk</t>
  </si>
  <si>
    <t>Elk Valley</t>
  </si>
  <si>
    <t>Chase</t>
  </si>
  <si>
    <t>Chase County</t>
  </si>
  <si>
    <t>Chautauqua</t>
  </si>
  <si>
    <t>Cedar Vale</t>
  </si>
  <si>
    <t>West Franklin</t>
  </si>
  <si>
    <t>Central Heights</t>
  </si>
  <si>
    <t>Wellsville</t>
  </si>
  <si>
    <t>Grinnell</t>
  </si>
  <si>
    <t>Wheatland</t>
  </si>
  <si>
    <t>Quinter</t>
  </si>
  <si>
    <t>Oberlin</t>
  </si>
  <si>
    <t>St. Francis</t>
  </si>
  <si>
    <t>Lincoln</t>
  </si>
  <si>
    <t>Sylvan Grove</t>
  </si>
  <si>
    <t>Commanche County</t>
  </si>
  <si>
    <t>Ness City</t>
  </si>
  <si>
    <t>Salina</t>
  </si>
  <si>
    <t>Southeast of Saline</t>
  </si>
  <si>
    <t>Ell-Saline</t>
  </si>
  <si>
    <t>Hutchinson</t>
  </si>
  <si>
    <t>Nickerson</t>
  </si>
  <si>
    <t>Fairfield</t>
  </si>
  <si>
    <t>Pretty Prairie</t>
  </si>
  <si>
    <t>Haven</t>
  </si>
  <si>
    <t>Buhler</t>
  </si>
  <si>
    <t>Brewster</t>
  </si>
  <si>
    <t>Colby</t>
  </si>
  <si>
    <t>Golden Plains</t>
  </si>
  <si>
    <t>Wamego</t>
  </si>
  <si>
    <t>Kaw Valley</t>
  </si>
  <si>
    <t>Onaga</t>
  </si>
  <si>
    <t>Westmoreland</t>
  </si>
  <si>
    <t>Phillipsburg</t>
  </si>
  <si>
    <t>Alma</t>
  </si>
  <si>
    <t>Wabaunsee East</t>
  </si>
  <si>
    <t>Kingman</t>
  </si>
  <si>
    <t>Cunningham</t>
  </si>
  <si>
    <t>Concordia</t>
  </si>
  <si>
    <t>Southern Cloud</t>
  </si>
  <si>
    <t>North Jackson</t>
  </si>
  <si>
    <t>Holton</t>
  </si>
  <si>
    <t>Mayetta</t>
  </si>
  <si>
    <t>Valley Falls</t>
  </si>
  <si>
    <t>Jefferson County</t>
  </si>
  <si>
    <t>Jefferson West</t>
  </si>
  <si>
    <t>Oskaloosa</t>
  </si>
  <si>
    <t>McLouth</t>
  </si>
  <si>
    <t>Perry</t>
  </si>
  <si>
    <t>Pleasanton</t>
  </si>
  <si>
    <t>Seaman</t>
  </si>
  <si>
    <t>Jayhawk</t>
  </si>
  <si>
    <t>Kinsely-Offerle</t>
  </si>
  <si>
    <t>Baldwin City</t>
  </si>
  <si>
    <t>Stafford</t>
  </si>
  <si>
    <t>St. John-Hudson</t>
  </si>
  <si>
    <t>Macksville</t>
  </si>
  <si>
    <t>Goodland</t>
  </si>
  <si>
    <t>Wellington</t>
  </si>
  <si>
    <t>Ellinwood</t>
  </si>
  <si>
    <t>Conway Springs</t>
  </si>
  <si>
    <t>Belle Plaine</t>
  </si>
  <si>
    <t>Oxford</t>
  </si>
  <si>
    <t>Argonia</t>
  </si>
  <si>
    <t>Caldwell</t>
  </si>
  <si>
    <t>Anthony-Harper</t>
  </si>
  <si>
    <t>Prairie View</t>
  </si>
  <si>
    <t>Holcomb</t>
  </si>
  <si>
    <t>Marysville</t>
  </si>
  <si>
    <t>Garnett</t>
  </si>
  <si>
    <t>Woodson</t>
  </si>
  <si>
    <t>Osawatomie</t>
  </si>
  <si>
    <t>Paola</t>
  </si>
  <si>
    <t>Burrton</t>
  </si>
  <si>
    <t>Montezuma</t>
  </si>
  <si>
    <t>Silver Lake</t>
  </si>
  <si>
    <t>Newton</t>
  </si>
  <si>
    <t>Sublette</t>
  </si>
  <si>
    <t>Circle</t>
  </si>
  <si>
    <t>Sterling</t>
  </si>
  <si>
    <t>Atchison</t>
  </si>
  <si>
    <t>Atchison County</t>
  </si>
  <si>
    <t>Riley County</t>
  </si>
  <si>
    <t>Clay Center</t>
  </si>
  <si>
    <t>Vermillon</t>
  </si>
  <si>
    <t>Spearville</t>
  </si>
  <si>
    <t>Pratt</t>
  </si>
  <si>
    <t>Manhattan</t>
  </si>
  <si>
    <t>Andover</t>
  </si>
  <si>
    <t>Madison-Virgil</t>
  </si>
  <si>
    <t>Altoona-Midway</t>
  </si>
  <si>
    <t>Ellis</t>
  </si>
  <si>
    <t>Eureka</t>
  </si>
  <si>
    <t>Hamilton</t>
  </si>
  <si>
    <t>Osborne</t>
  </si>
  <si>
    <t>Solomon</t>
  </si>
  <si>
    <t>Rose Hill</t>
  </si>
  <si>
    <t>LaCrosse</t>
  </si>
  <si>
    <t>Douglass</t>
  </si>
  <si>
    <t>Marion</t>
  </si>
  <si>
    <t>Centre</t>
  </si>
  <si>
    <t>Peabody-Burns</t>
  </si>
  <si>
    <t>Paradise</t>
  </si>
  <si>
    <t>McPherson</t>
  </si>
  <si>
    <t>Smoky Valley</t>
  </si>
  <si>
    <t>Augusta</t>
  </si>
  <si>
    <t>Otis-Bison</t>
  </si>
  <si>
    <t>Riverton</t>
  </si>
  <si>
    <t>Lyons</t>
  </si>
  <si>
    <t xml:space="preserve">Russell </t>
  </si>
  <si>
    <t>Durham-Hills</t>
  </si>
  <si>
    <t>Goessel</t>
  </si>
  <si>
    <t>Hoxie</t>
  </si>
  <si>
    <t>Chanute</t>
  </si>
  <si>
    <t>Hiawatha</t>
  </si>
  <si>
    <t>Louisburg</t>
  </si>
  <si>
    <t>Morris County</t>
  </si>
  <si>
    <t>Canton-Galva</t>
  </si>
  <si>
    <t>Osage City</t>
  </si>
  <si>
    <t>Lyndon</t>
  </si>
  <si>
    <t>Kiowa County</t>
  </si>
  <si>
    <t>Moundridge</t>
  </si>
  <si>
    <t>Pike Valley</t>
  </si>
  <si>
    <t>Great Bend</t>
  </si>
  <si>
    <t>Troy</t>
  </si>
  <si>
    <t>Brown County</t>
  </si>
  <si>
    <t>Hoisington</t>
  </si>
  <si>
    <t>Victoria</t>
  </si>
  <si>
    <t>Santa Fe Trail</t>
  </si>
  <si>
    <t>Abilene</t>
  </si>
  <si>
    <t>Caney</t>
  </si>
  <si>
    <t>Auburn Washburn</t>
  </si>
  <si>
    <t>Skyline</t>
  </si>
  <si>
    <t>Halstead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</si>
  <si>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</si>
  <si>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</si>
  <si>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</si>
  <si>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</si>
  <si>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</si>
  <si>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</si>
  <si>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</si>
  <si>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</si>
  <si>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Stanton County</t>
  </si>
  <si>
    <t>Burlingame</t>
  </si>
  <si>
    <t>Marais Des Cygnes</t>
  </si>
  <si>
    <t>Garden City</t>
  </si>
  <si>
    <t>Basehor-Linwood</t>
  </si>
  <si>
    <t>Bucklin</t>
  </si>
  <si>
    <t>Hesston</t>
  </si>
  <si>
    <t>Neodesha</t>
  </si>
  <si>
    <t>Central</t>
  </si>
  <si>
    <t>Udall</t>
  </si>
  <si>
    <t>Tonganoxie</t>
  </si>
  <si>
    <t>Winfield</t>
  </si>
  <si>
    <t>Scott County</t>
  </si>
  <si>
    <t>Leoti</t>
  </si>
  <si>
    <t>Healy</t>
  </si>
  <si>
    <t>Lansing</t>
  </si>
  <si>
    <t>Arkansas City</t>
  </si>
  <si>
    <t>Dexter</t>
  </si>
  <si>
    <t>Chapman</t>
  </si>
  <si>
    <t>Haviland</t>
  </si>
  <si>
    <t>Junction City</t>
  </si>
  <si>
    <t>Copeland</t>
  </si>
  <si>
    <t>Ingalls</t>
  </si>
  <si>
    <t>Crest</t>
  </si>
  <si>
    <t>Liberal</t>
  </si>
  <si>
    <t>Rural Vista</t>
  </si>
  <si>
    <t>Dighton</t>
  </si>
  <si>
    <t>Kismet-Plains</t>
  </si>
  <si>
    <t>Fredonia</t>
  </si>
  <si>
    <t>Herington</t>
  </si>
  <si>
    <t>Hays</t>
  </si>
  <si>
    <t>El Dorado</t>
  </si>
  <si>
    <t>Eudora</t>
  </si>
  <si>
    <t>Flinthills</t>
  </si>
  <si>
    <t>Columbus</t>
  </si>
  <si>
    <t>Syracuse</t>
  </si>
  <si>
    <t>Ft. Larned</t>
  </si>
  <si>
    <t>Pawnee Heights</t>
  </si>
  <si>
    <t>Lawrence</t>
  </si>
  <si>
    <t>Valley Heights</t>
  </si>
  <si>
    <t>Galena</t>
  </si>
  <si>
    <t>Kansas City</t>
  </si>
  <si>
    <t>Topeka</t>
  </si>
  <si>
    <t>Lewis</t>
  </si>
  <si>
    <t>Parsons</t>
  </si>
  <si>
    <t>Oswego</t>
  </si>
  <si>
    <t>Chetopa - St. Paul</t>
  </si>
  <si>
    <t>Labette County</t>
  </si>
  <si>
    <t>Satanta</t>
  </si>
  <si>
    <t>Baxter Springs</t>
  </si>
  <si>
    <t>South Haven</t>
  </si>
  <si>
    <t>Attica</t>
  </si>
  <si>
    <t>Shawnee Mission</t>
  </si>
  <si>
    <r>
      <rPr>
        <b/>
        <sz val="11"/>
        <color indexed="8"/>
        <rFont val="Calibri"/>
        <family val="2"/>
        <scheme val="minor"/>
      </rPr>
      <t>Cluster</t>
    </r>
    <r>
      <rPr>
        <sz val="11"/>
        <color indexed="8"/>
        <rFont val="Calibri"/>
        <family val="2"/>
        <scheme val="minor"/>
      </rPr>
      <t>/Pathway</t>
    </r>
  </si>
  <si>
    <r>
      <t xml:space="preserve">(Col. 1 </t>
    </r>
    <r>
      <rPr>
        <sz val="11"/>
        <color indexed="8"/>
        <rFont val="Calibri"/>
        <family val="2"/>
        <scheme val="minor"/>
      </rPr>
      <t>÷ 6 hrs.)</t>
    </r>
  </si>
  <si>
    <r>
      <t xml:space="preserve">(Col. 13 </t>
    </r>
    <r>
      <rPr>
        <sz val="11"/>
        <color indexed="8"/>
        <rFont val="Calibri"/>
        <family val="2"/>
        <scheme val="minor"/>
      </rPr>
      <t>÷ Col. 2)</t>
    </r>
  </si>
  <si>
    <t>Training/Prof</t>
  </si>
  <si>
    <t>Development</t>
  </si>
  <si>
    <t>Student</t>
  </si>
  <si>
    <t>Certification/</t>
  </si>
  <si>
    <t>(hardware inc</t>
  </si>
  <si>
    <t>and Fringe</t>
  </si>
  <si>
    <t>Benefits*</t>
  </si>
  <si>
    <t xml:space="preserve">     *Include substitute teachers</t>
  </si>
  <si>
    <t xml:space="preserve">   **Industry recognized credentials (not state assessments) -- Use 2012-13 estimates</t>
  </si>
  <si>
    <t>Minutes</t>
  </si>
  <si>
    <t>Name and phone number of the person completing this report</t>
  </si>
  <si>
    <t>(District Funds)</t>
  </si>
  <si>
    <t>Enrollment (Hrs)</t>
  </si>
  <si>
    <t>2011-12 Legal Max CTE Hours:</t>
  </si>
  <si>
    <t>Total Survey CTE Hours:</t>
  </si>
  <si>
    <t>Hours</t>
  </si>
  <si>
    <t>Difference: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</si>
</sst>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0" xfId="0" applyFont="1" applyFill="1"/>
    <xf numFmtId="0" fontId="4" fillId="3" borderId="0" xfId="0" applyFont="1" applyFill="1"/>
    <xf numFmtId="3" fontId="0" fillId="3" borderId="0" xfId="0" applyNumberFormat="1" applyFont="1" applyFill="1"/>
    <xf numFmtId="3" fontId="0" fillId="0" borderId="0" xfId="0" applyNumberFormat="1" applyFont="1" applyFill="1" applyProtection="1">
      <protection locked="0"/>
    </xf>
    <xf numFmtId="3" fontId="0" fillId="2" borderId="0" xfId="0" applyNumberFormat="1" applyFont="1" applyFill="1"/>
    <xf numFmtId="3" fontId="0" fillId="2" borderId="0" xfId="0" applyNumberFormat="1" applyFont="1" applyFill="1" applyProtection="1"/>
    <xf numFmtId="0" fontId="5" fillId="0" borderId="0" xfId="0" applyFont="1"/>
    <xf numFmtId="164" fontId="0" fillId="3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Protection="1"/>
    <xf numFmtId="0" fontId="6" fillId="0" borderId="2" xfId="0" applyFont="1" applyBorder="1" applyAlignment="1">
      <alignment horizontal="center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0" xfId="0" applyFont="1"/>
    <xf numFmtId="0" fontId="7" fillId="0" borderId="0" xfId="0" applyFont="1" applyAlignment="1" applyProtection="1">
      <protection locked="0"/>
    </xf>
    <xf numFmtId="0" fontId="0" fillId="0" borderId="0" xfId="0" applyFont="1" applyFill="1" applyAlignment="1" applyProtection="1">
      <alignment horizontal="center"/>
    </xf>
    <xf numFmtId="0" fontId="0" fillId="3" borderId="0" xfId="0" applyFont="1" applyFill="1" applyAlignment="1" applyProtection="1">
      <alignment horizontal="center"/>
      <protection locked="0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0" xfId="0" applyFont="1"/>
    <xf numFmtId="164" fontId="0" fillId="4" borderId="0" xfId="0" applyNumberFormat="1" applyFont="1" applyFill="1"/>
    <xf numFmtId="164" fontId="0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A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0</xdr:row>
          <xdr:rowOff>28575</xdr:rowOff>
        </xdr:from>
        <xdr:to>
          <xdr:col>0</xdr:col>
          <xdr:colOff>3467100</xdr:colOff>
          <xdr:row>1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Click here if this district does NOT have an approved CTE program.</a:t>
              </a: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5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defaultColWidth="8.85546875" defaultRowHeight="15" x14ac:dyDescent="0.25"/>
  <cols>
    <col min="1" max="1" width="53.7109375" style="3" bestFit="1" customWidth="1"/>
    <col min="2" max="2" width="8.7109375" style="3" customWidth="1"/>
    <col min="3" max="3" width="15.7109375" style="3" bestFit="1" customWidth="1"/>
    <col min="4" max="5" width="13.7109375" style="3" customWidth="1"/>
    <col min="6" max="6" width="14.42578125" style="3" bestFit="1" customWidth="1"/>
    <col min="7" max="7" width="13.7109375" style="3" customWidth="1"/>
    <col min="8" max="8" width="14.5703125" style="3" bestFit="1" customWidth="1"/>
    <col min="9" max="9" width="17.28515625" style="3" bestFit="1" customWidth="1"/>
    <col min="10" max="11" width="13.7109375" style="3" customWidth="1"/>
    <col min="12" max="12" width="14" style="3" bestFit="1" customWidth="1"/>
    <col min="13" max="13" width="13.7109375" style="3" bestFit="1" customWidth="1"/>
    <col min="14" max="14" width="13.7109375" style="3" customWidth="1"/>
    <col min="15" max="15" width="15.140625" style="3" bestFit="1" customWidth="1"/>
    <col min="16" max="16384" width="8.85546875" style="3"/>
  </cols>
  <sheetData>
    <row r="1" spans="1:15" x14ac:dyDescent="0.25">
      <c r="A1" s="24" t="b">
        <v>0</v>
      </c>
      <c r="B1" s="2"/>
    </row>
    <row r="2" spans="1:15" s="23" customFormat="1" x14ac:dyDescent="0.25">
      <c r="A2" s="1"/>
      <c r="B2" s="2"/>
      <c r="C2" s="28" t="s">
        <v>383</v>
      </c>
      <c r="E2" s="31" t="str">
        <f>IF(A3="", "",VLOOKUP(A3,Sheet2!$A$2:$C$287,3,FALSE))</f>
        <v/>
      </c>
      <c r="F2" s="28"/>
      <c r="G2" s="28" t="s">
        <v>384</v>
      </c>
      <c r="I2" s="32" t="str">
        <f>IF(A3="","",IF(SUM(B9,B14,B18,B22,B25,B28,B31,B34,B41,B46,B52,B56,B60,B63)=0,"0",SUM(B9,B14,B18,B22,B25,B28,B31,B34,B41,B46,B52,B56,B60,B63)/60))</f>
        <v/>
      </c>
      <c r="K2" s="28" t="s">
        <v>386</v>
      </c>
      <c r="L2" s="31" t="str">
        <f>IF(A3="","", I2-E2)</f>
        <v/>
      </c>
    </row>
    <row r="3" spans="1:15" s="5" customFormat="1" x14ac:dyDescent="0.25">
      <c r="A3" s="2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s="6" customFormat="1" x14ac:dyDescent="0.25">
      <c r="A4" s="25" t="str">
        <f>IF(A3="", "Click the blue box above to enter your USD number",VLOOKUP(A3,Sheet2!$A$2:$B$287,2,FALSE))</f>
        <v>Click the blue box above to enter your USD number</v>
      </c>
      <c r="B4" s="4" t="s">
        <v>66</v>
      </c>
      <c r="C4" s="27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</row>
    <row r="5" spans="1:15" x14ac:dyDescent="0.25">
      <c r="A5" s="22"/>
      <c r="B5" s="6" t="s">
        <v>24</v>
      </c>
      <c r="C5" s="6" t="s">
        <v>65</v>
      </c>
      <c r="D5" s="6" t="s">
        <v>23</v>
      </c>
      <c r="E5" s="6" t="s">
        <v>0</v>
      </c>
      <c r="H5" s="6" t="s">
        <v>372</v>
      </c>
      <c r="J5" s="6" t="s">
        <v>54</v>
      </c>
      <c r="O5" s="6" t="s">
        <v>21</v>
      </c>
    </row>
    <row r="6" spans="1:15" ht="17.25" x14ac:dyDescent="0.25">
      <c r="A6" s="21" t="s">
        <v>380</v>
      </c>
      <c r="B6" s="6" t="s">
        <v>25</v>
      </c>
      <c r="C6" s="7" t="s">
        <v>382</v>
      </c>
      <c r="D6" s="6" t="s">
        <v>375</v>
      </c>
      <c r="E6" s="6" t="s">
        <v>374</v>
      </c>
      <c r="F6" s="6" t="s">
        <v>1</v>
      </c>
      <c r="G6" s="6" t="s">
        <v>370</v>
      </c>
      <c r="H6" s="6" t="s">
        <v>373</v>
      </c>
      <c r="I6" s="6"/>
      <c r="J6" s="6" t="s">
        <v>55</v>
      </c>
      <c r="K6" s="6"/>
      <c r="L6" s="6" t="s">
        <v>20</v>
      </c>
      <c r="M6" s="6" t="s">
        <v>3</v>
      </c>
      <c r="N6" s="6" t="s">
        <v>2</v>
      </c>
      <c r="O6" s="6" t="s">
        <v>22</v>
      </c>
    </row>
    <row r="7" spans="1:15" s="10" customFormat="1" x14ac:dyDescent="0.25">
      <c r="A7" s="8" t="s">
        <v>367</v>
      </c>
      <c r="B7" s="9" t="s">
        <v>379</v>
      </c>
      <c r="C7" s="9" t="s">
        <v>368</v>
      </c>
      <c r="D7" s="9" t="s">
        <v>376</v>
      </c>
      <c r="E7" s="9" t="s">
        <v>53</v>
      </c>
      <c r="F7" s="9" t="s">
        <v>52</v>
      </c>
      <c r="G7" s="9" t="s">
        <v>371</v>
      </c>
      <c r="H7" s="9" t="s">
        <v>59</v>
      </c>
      <c r="I7" s="9" t="s">
        <v>60</v>
      </c>
      <c r="J7" s="9" t="s">
        <v>381</v>
      </c>
      <c r="K7" s="9" t="s">
        <v>62</v>
      </c>
      <c r="L7" s="9" t="s">
        <v>56</v>
      </c>
      <c r="M7" s="9" t="s">
        <v>57</v>
      </c>
      <c r="N7" s="9" t="s">
        <v>58</v>
      </c>
      <c r="O7" s="9" t="s">
        <v>369</v>
      </c>
    </row>
    <row r="8" spans="1:15" ht="9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15.75" x14ac:dyDescent="0.25">
      <c r="A9" s="12" t="s">
        <v>4</v>
      </c>
      <c r="B9" s="13">
        <f>SUM(B10:B12)</f>
        <v>0</v>
      </c>
      <c r="C9" s="18">
        <f>SUM(C10:C12)</f>
        <v>0</v>
      </c>
      <c r="D9" s="13">
        <f t="shared" ref="D9:K9" si="0">SUM(D10:D12)</f>
        <v>0</v>
      </c>
      <c r="E9" s="13">
        <f t="shared" si="0"/>
        <v>0</v>
      </c>
      <c r="F9" s="13">
        <f t="shared" si="0"/>
        <v>0</v>
      </c>
      <c r="G9" s="13">
        <f t="shared" si="0"/>
        <v>0</v>
      </c>
      <c r="H9" s="13">
        <f t="shared" si="0"/>
        <v>0</v>
      </c>
      <c r="I9" s="13">
        <f t="shared" si="0"/>
        <v>0</v>
      </c>
      <c r="J9" s="13">
        <f t="shared" si="0"/>
        <v>0</v>
      </c>
      <c r="K9" s="13">
        <f t="shared" si="0"/>
        <v>0</v>
      </c>
      <c r="L9" s="13">
        <f>SUM(L10:L12)</f>
        <v>0</v>
      </c>
      <c r="M9" s="13">
        <f t="shared" ref="M9" si="1">SUM(M10:M12)</f>
        <v>0</v>
      </c>
      <c r="N9" s="13">
        <f t="shared" ref="N9" si="2">SUM(N10:N12)</f>
        <v>0</v>
      </c>
      <c r="O9" s="13">
        <f>IF(C9=0, 0, N9/C9)</f>
        <v>0</v>
      </c>
    </row>
    <row r="10" spans="1:15" x14ac:dyDescent="0.25">
      <c r="A10" s="11" t="s">
        <v>26</v>
      </c>
      <c r="B10" s="14"/>
      <c r="C10" s="19">
        <f>B10/60/6</f>
        <v>0</v>
      </c>
      <c r="D10" s="14"/>
      <c r="E10" s="14"/>
      <c r="F10" s="14"/>
      <c r="G10" s="14"/>
      <c r="H10" s="14"/>
      <c r="I10" s="14"/>
      <c r="J10" s="14"/>
      <c r="K10" s="14"/>
      <c r="L10" s="15">
        <f>SUM(D10:K10)</f>
        <v>0</v>
      </c>
      <c r="M10" s="15">
        <f>L10*0.05</f>
        <v>0</v>
      </c>
      <c r="N10" s="15">
        <f>L10-M10</f>
        <v>0</v>
      </c>
      <c r="O10" s="15">
        <f>IF(C10=0, 0, N10/C10)</f>
        <v>0</v>
      </c>
    </row>
    <row r="11" spans="1:15" x14ac:dyDescent="0.25">
      <c r="A11" s="11" t="s">
        <v>27</v>
      </c>
      <c r="B11" s="14"/>
      <c r="C11" s="19">
        <f t="shared" ref="C11:C70" si="3">B11/60/6</f>
        <v>0</v>
      </c>
      <c r="D11" s="14"/>
      <c r="E11" s="14"/>
      <c r="F11" s="14"/>
      <c r="G11" s="14"/>
      <c r="H11" s="14"/>
      <c r="I11" s="14"/>
      <c r="J11" s="14"/>
      <c r="K11" s="14"/>
      <c r="L11" s="15">
        <f t="shared" ref="L11:L12" si="4">SUM(D11:K11)</f>
        <v>0</v>
      </c>
      <c r="M11" s="15">
        <f t="shared" ref="M11:M70" si="5">L11*0.05</f>
        <v>0</v>
      </c>
      <c r="N11" s="15">
        <f t="shared" ref="N11:N12" si="6">L11-M11</f>
        <v>0</v>
      </c>
      <c r="O11" s="15">
        <f t="shared" ref="O11:O70" si="7">IF(C11=0, 0, N11/C11)</f>
        <v>0</v>
      </c>
    </row>
    <row r="12" spans="1:15" x14ac:dyDescent="0.25">
      <c r="A12" s="11" t="s">
        <v>64</v>
      </c>
      <c r="B12" s="14"/>
      <c r="C12" s="19">
        <f t="shared" si="3"/>
        <v>0</v>
      </c>
      <c r="D12" s="14"/>
      <c r="E12" s="14"/>
      <c r="F12" s="14"/>
      <c r="G12" s="14"/>
      <c r="H12" s="14"/>
      <c r="I12" s="14"/>
      <c r="J12" s="14"/>
      <c r="K12" s="14"/>
      <c r="L12" s="15">
        <f t="shared" si="4"/>
        <v>0</v>
      </c>
      <c r="M12" s="15">
        <f t="shared" si="5"/>
        <v>0</v>
      </c>
      <c r="N12" s="15">
        <f t="shared" si="6"/>
        <v>0</v>
      </c>
      <c r="O12" s="15">
        <f t="shared" si="7"/>
        <v>0</v>
      </c>
    </row>
    <row r="13" spans="1:15" ht="9.6" customHeight="1" x14ac:dyDescent="0.25">
      <c r="A13" s="11"/>
      <c r="B13" s="15"/>
      <c r="C13" s="1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.75" x14ac:dyDescent="0.25">
      <c r="A14" s="12" t="s">
        <v>5</v>
      </c>
      <c r="B14" s="13">
        <f>SUM(B15:B16)</f>
        <v>0</v>
      </c>
      <c r="C14" s="18">
        <f>SUM(C15:C16)</f>
        <v>0</v>
      </c>
      <c r="D14" s="13">
        <f t="shared" ref="D14:K14" si="8">SUM(D15:D16)</f>
        <v>0</v>
      </c>
      <c r="E14" s="13">
        <f t="shared" si="8"/>
        <v>0</v>
      </c>
      <c r="F14" s="13">
        <f t="shared" si="8"/>
        <v>0</v>
      </c>
      <c r="G14" s="13">
        <f t="shared" si="8"/>
        <v>0</v>
      </c>
      <c r="H14" s="13">
        <f t="shared" si="8"/>
        <v>0</v>
      </c>
      <c r="I14" s="13">
        <f t="shared" si="8"/>
        <v>0</v>
      </c>
      <c r="J14" s="13">
        <f t="shared" si="8"/>
        <v>0</v>
      </c>
      <c r="K14" s="13">
        <f t="shared" si="8"/>
        <v>0</v>
      </c>
      <c r="L14" s="13">
        <f t="shared" ref="L14" si="9">SUM(L15:L16)</f>
        <v>0</v>
      </c>
      <c r="M14" s="13">
        <f t="shared" ref="M14" si="10">SUM(M15:M16)</f>
        <v>0</v>
      </c>
      <c r="N14" s="13">
        <f t="shared" ref="N14" si="11">SUM(N15:N16)</f>
        <v>0</v>
      </c>
      <c r="O14" s="13">
        <f t="shared" si="7"/>
        <v>0</v>
      </c>
    </row>
    <row r="15" spans="1:15" x14ac:dyDescent="0.25">
      <c r="A15" s="11" t="s">
        <v>28</v>
      </c>
      <c r="B15" s="14"/>
      <c r="C15" s="19">
        <f t="shared" si="3"/>
        <v>0</v>
      </c>
      <c r="D15" s="14"/>
      <c r="E15" s="14"/>
      <c r="F15" s="14"/>
      <c r="G15" s="14"/>
      <c r="H15" s="14"/>
      <c r="I15" s="14"/>
      <c r="J15" s="14"/>
      <c r="K15" s="14"/>
      <c r="L15" s="15">
        <f t="shared" ref="L15:L70" si="12">SUM(D15:K15)</f>
        <v>0</v>
      </c>
      <c r="M15" s="15">
        <f t="shared" si="5"/>
        <v>0</v>
      </c>
      <c r="N15" s="15">
        <f t="shared" ref="N15:N70" si="13">L15-M15</f>
        <v>0</v>
      </c>
      <c r="O15" s="15">
        <f t="shared" si="7"/>
        <v>0</v>
      </c>
    </row>
    <row r="16" spans="1:15" x14ac:dyDescent="0.25">
      <c r="A16" s="11" t="s">
        <v>29</v>
      </c>
      <c r="B16" s="14"/>
      <c r="C16" s="19">
        <f t="shared" si="3"/>
        <v>0</v>
      </c>
      <c r="D16" s="14"/>
      <c r="E16" s="14"/>
      <c r="F16" s="14"/>
      <c r="G16" s="14"/>
      <c r="H16" s="14"/>
      <c r="I16" s="14"/>
      <c r="J16" s="14"/>
      <c r="K16" s="14"/>
      <c r="L16" s="15">
        <f t="shared" si="12"/>
        <v>0</v>
      </c>
      <c r="M16" s="15">
        <f t="shared" si="5"/>
        <v>0</v>
      </c>
      <c r="N16" s="15">
        <f t="shared" si="13"/>
        <v>0</v>
      </c>
      <c r="O16" s="15">
        <f t="shared" si="7"/>
        <v>0</v>
      </c>
    </row>
    <row r="17" spans="1:15" ht="9.6" customHeight="1" x14ac:dyDescent="0.25">
      <c r="A17" s="11"/>
      <c r="B17" s="15"/>
      <c r="C17" s="1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5.75" x14ac:dyDescent="0.25">
      <c r="A18" s="12" t="s">
        <v>6</v>
      </c>
      <c r="B18" s="13">
        <f>SUM(B19:B20)</f>
        <v>0</v>
      </c>
      <c r="C18" s="18">
        <f>SUM(C19:C20)</f>
        <v>0</v>
      </c>
      <c r="D18" s="13">
        <f t="shared" ref="D18:K18" si="14">SUM(D19:D20)</f>
        <v>0</v>
      </c>
      <c r="E18" s="13">
        <f t="shared" si="14"/>
        <v>0</v>
      </c>
      <c r="F18" s="13">
        <f t="shared" si="14"/>
        <v>0</v>
      </c>
      <c r="G18" s="13">
        <f t="shared" si="14"/>
        <v>0</v>
      </c>
      <c r="H18" s="13">
        <f t="shared" si="14"/>
        <v>0</v>
      </c>
      <c r="I18" s="13">
        <f t="shared" si="14"/>
        <v>0</v>
      </c>
      <c r="J18" s="13">
        <f t="shared" si="14"/>
        <v>0</v>
      </c>
      <c r="K18" s="13">
        <f t="shared" si="14"/>
        <v>0</v>
      </c>
      <c r="L18" s="13">
        <f t="shared" ref="L18" si="15">SUM(L19:L20)</f>
        <v>0</v>
      </c>
      <c r="M18" s="13">
        <f t="shared" ref="M18" si="16">SUM(M19:M20)</f>
        <v>0</v>
      </c>
      <c r="N18" s="13">
        <f t="shared" ref="N18" si="17">SUM(N19:N20)</f>
        <v>0</v>
      </c>
      <c r="O18" s="13">
        <f t="shared" si="7"/>
        <v>0</v>
      </c>
    </row>
    <row r="19" spans="1:15" x14ac:dyDescent="0.25">
      <c r="A19" s="11" t="s">
        <v>30</v>
      </c>
      <c r="B19" s="14"/>
      <c r="C19" s="19">
        <f t="shared" si="3"/>
        <v>0</v>
      </c>
      <c r="D19" s="14"/>
      <c r="E19" s="14"/>
      <c r="F19" s="14"/>
      <c r="G19" s="14"/>
      <c r="H19" s="14"/>
      <c r="I19" s="14"/>
      <c r="J19" s="14"/>
      <c r="K19" s="14"/>
      <c r="L19" s="15">
        <f t="shared" si="12"/>
        <v>0</v>
      </c>
      <c r="M19" s="15">
        <f t="shared" si="5"/>
        <v>0</v>
      </c>
      <c r="N19" s="15">
        <f t="shared" si="13"/>
        <v>0</v>
      </c>
      <c r="O19" s="15">
        <f t="shared" si="7"/>
        <v>0</v>
      </c>
    </row>
    <row r="20" spans="1:15" x14ac:dyDescent="0.25">
      <c r="A20" s="11" t="s">
        <v>31</v>
      </c>
      <c r="B20" s="14"/>
      <c r="C20" s="19">
        <f t="shared" si="3"/>
        <v>0</v>
      </c>
      <c r="D20" s="14"/>
      <c r="E20" s="14"/>
      <c r="F20" s="14"/>
      <c r="G20" s="14"/>
      <c r="H20" s="14"/>
      <c r="I20" s="14"/>
      <c r="J20" s="14"/>
      <c r="K20" s="14"/>
      <c r="L20" s="15">
        <f t="shared" si="12"/>
        <v>0</v>
      </c>
      <c r="M20" s="15">
        <f t="shared" si="5"/>
        <v>0</v>
      </c>
      <c r="N20" s="15">
        <f t="shared" si="13"/>
        <v>0</v>
      </c>
      <c r="O20" s="15">
        <f t="shared" si="7"/>
        <v>0</v>
      </c>
    </row>
    <row r="21" spans="1:15" ht="9.6" customHeight="1" x14ac:dyDescent="0.25">
      <c r="A21" s="11"/>
      <c r="B21" s="15"/>
      <c r="C21" s="19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.75" x14ac:dyDescent="0.25">
      <c r="A22" s="12" t="s">
        <v>7</v>
      </c>
      <c r="B22" s="13">
        <f>SUM(B23)</f>
        <v>0</v>
      </c>
      <c r="C22" s="18">
        <f>SUM(C23)</f>
        <v>0</v>
      </c>
      <c r="D22" s="13">
        <f t="shared" ref="D22:K22" si="18">SUM(D23)</f>
        <v>0</v>
      </c>
      <c r="E22" s="13">
        <f t="shared" si="18"/>
        <v>0</v>
      </c>
      <c r="F22" s="13">
        <f t="shared" si="18"/>
        <v>0</v>
      </c>
      <c r="G22" s="13">
        <f t="shared" si="18"/>
        <v>0</v>
      </c>
      <c r="H22" s="13">
        <f t="shared" si="18"/>
        <v>0</v>
      </c>
      <c r="I22" s="13">
        <f t="shared" si="18"/>
        <v>0</v>
      </c>
      <c r="J22" s="13">
        <f t="shared" si="18"/>
        <v>0</v>
      </c>
      <c r="K22" s="13">
        <f t="shared" si="18"/>
        <v>0</v>
      </c>
      <c r="L22" s="13">
        <f t="shared" ref="L22" si="19">SUM(L23)</f>
        <v>0</v>
      </c>
      <c r="M22" s="13">
        <f t="shared" ref="M22" si="20">SUM(M23)</f>
        <v>0</v>
      </c>
      <c r="N22" s="13">
        <f t="shared" ref="N22" si="21">SUM(N23)</f>
        <v>0</v>
      </c>
      <c r="O22" s="13">
        <f t="shared" si="7"/>
        <v>0</v>
      </c>
    </row>
    <row r="23" spans="1:15" x14ac:dyDescent="0.25">
      <c r="A23" s="11" t="s">
        <v>32</v>
      </c>
      <c r="B23" s="14"/>
      <c r="C23" s="19">
        <f t="shared" si="3"/>
        <v>0</v>
      </c>
      <c r="D23" s="14"/>
      <c r="E23" s="14"/>
      <c r="F23" s="14"/>
      <c r="G23" s="14"/>
      <c r="H23" s="14"/>
      <c r="I23" s="14"/>
      <c r="J23" s="14"/>
      <c r="K23" s="14"/>
      <c r="L23" s="15">
        <f t="shared" si="12"/>
        <v>0</v>
      </c>
      <c r="M23" s="15">
        <f t="shared" si="5"/>
        <v>0</v>
      </c>
      <c r="N23" s="15">
        <f t="shared" si="13"/>
        <v>0</v>
      </c>
      <c r="O23" s="15">
        <f t="shared" si="7"/>
        <v>0</v>
      </c>
    </row>
    <row r="24" spans="1:15" ht="9.6" customHeight="1" x14ac:dyDescent="0.25">
      <c r="A24" s="11"/>
      <c r="B24" s="15"/>
      <c r="C24" s="1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5.75" x14ac:dyDescent="0.25">
      <c r="A25" s="12" t="s">
        <v>8</v>
      </c>
      <c r="B25" s="13">
        <f>SUM(B26)</f>
        <v>0</v>
      </c>
      <c r="C25" s="18">
        <f>SUM(C26)</f>
        <v>0</v>
      </c>
      <c r="D25" s="13">
        <f t="shared" ref="D25:K25" si="22">SUM(D26)</f>
        <v>0</v>
      </c>
      <c r="E25" s="13">
        <f t="shared" si="22"/>
        <v>0</v>
      </c>
      <c r="F25" s="13">
        <f t="shared" si="22"/>
        <v>0</v>
      </c>
      <c r="G25" s="13">
        <f t="shared" si="22"/>
        <v>0</v>
      </c>
      <c r="H25" s="13">
        <f t="shared" si="22"/>
        <v>0</v>
      </c>
      <c r="I25" s="13">
        <f t="shared" si="22"/>
        <v>0</v>
      </c>
      <c r="J25" s="13">
        <f t="shared" si="22"/>
        <v>0</v>
      </c>
      <c r="K25" s="13">
        <f t="shared" si="22"/>
        <v>0</v>
      </c>
      <c r="L25" s="13">
        <f t="shared" ref="L25" si="23">SUM(L26)</f>
        <v>0</v>
      </c>
      <c r="M25" s="13">
        <f t="shared" ref="M25" si="24">SUM(M26)</f>
        <v>0</v>
      </c>
      <c r="N25" s="13">
        <f t="shared" ref="N25" si="25">SUM(N26)</f>
        <v>0</v>
      </c>
      <c r="O25" s="13">
        <f t="shared" si="7"/>
        <v>0</v>
      </c>
    </row>
    <row r="26" spans="1:15" x14ac:dyDescent="0.25">
      <c r="A26" s="11" t="s">
        <v>33</v>
      </c>
      <c r="B26" s="14"/>
      <c r="C26" s="19">
        <f t="shared" si="3"/>
        <v>0</v>
      </c>
      <c r="D26" s="14"/>
      <c r="E26" s="14"/>
      <c r="F26" s="14"/>
      <c r="G26" s="14"/>
      <c r="H26" s="14"/>
      <c r="I26" s="14"/>
      <c r="J26" s="14"/>
      <c r="K26" s="14"/>
      <c r="L26" s="15">
        <f t="shared" si="12"/>
        <v>0</v>
      </c>
      <c r="M26" s="15">
        <f t="shared" si="5"/>
        <v>0</v>
      </c>
      <c r="N26" s="15">
        <f t="shared" si="13"/>
        <v>0</v>
      </c>
      <c r="O26" s="15">
        <f t="shared" si="7"/>
        <v>0</v>
      </c>
    </row>
    <row r="27" spans="1:15" ht="9.6" customHeight="1" x14ac:dyDescent="0.25">
      <c r="A27" s="11"/>
      <c r="B27" s="15"/>
      <c r="C27" s="19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5.75" x14ac:dyDescent="0.25">
      <c r="A28" s="12" t="s">
        <v>9</v>
      </c>
      <c r="B28" s="13">
        <f>SUM(B29)</f>
        <v>0</v>
      </c>
      <c r="C28" s="18">
        <f>SUM(C29)</f>
        <v>0</v>
      </c>
      <c r="D28" s="13">
        <f t="shared" ref="D28:K28" si="26">SUM(D29)</f>
        <v>0</v>
      </c>
      <c r="E28" s="13">
        <f t="shared" si="26"/>
        <v>0</v>
      </c>
      <c r="F28" s="13">
        <f t="shared" si="26"/>
        <v>0</v>
      </c>
      <c r="G28" s="13">
        <f t="shared" si="26"/>
        <v>0</v>
      </c>
      <c r="H28" s="13">
        <f t="shared" si="26"/>
        <v>0</v>
      </c>
      <c r="I28" s="13">
        <f t="shared" si="26"/>
        <v>0</v>
      </c>
      <c r="J28" s="13">
        <f t="shared" si="26"/>
        <v>0</v>
      </c>
      <c r="K28" s="13">
        <f t="shared" si="26"/>
        <v>0</v>
      </c>
      <c r="L28" s="13">
        <f t="shared" ref="L28" si="27">SUM(L29)</f>
        <v>0</v>
      </c>
      <c r="M28" s="13">
        <f t="shared" ref="M28" si="28">SUM(M29)</f>
        <v>0</v>
      </c>
      <c r="N28" s="13">
        <f t="shared" ref="N28" si="29">SUM(N29)</f>
        <v>0</v>
      </c>
      <c r="O28" s="13">
        <f t="shared" si="7"/>
        <v>0</v>
      </c>
    </row>
    <row r="29" spans="1:15" x14ac:dyDescent="0.25">
      <c r="A29" s="11" t="s">
        <v>34</v>
      </c>
      <c r="B29" s="14"/>
      <c r="C29" s="19">
        <f t="shared" si="3"/>
        <v>0</v>
      </c>
      <c r="D29" s="14"/>
      <c r="E29" s="14"/>
      <c r="F29" s="14"/>
      <c r="G29" s="14"/>
      <c r="H29" s="14"/>
      <c r="I29" s="14"/>
      <c r="J29" s="14"/>
      <c r="K29" s="14"/>
      <c r="L29" s="15">
        <f t="shared" si="12"/>
        <v>0</v>
      </c>
      <c r="M29" s="15">
        <f t="shared" si="5"/>
        <v>0</v>
      </c>
      <c r="N29" s="15">
        <f t="shared" si="13"/>
        <v>0</v>
      </c>
      <c r="O29" s="15">
        <f t="shared" si="7"/>
        <v>0</v>
      </c>
    </row>
    <row r="30" spans="1:15" ht="9.6" customHeight="1" x14ac:dyDescent="0.25">
      <c r="A30" s="11"/>
      <c r="B30" s="15"/>
      <c r="C30" s="19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5.75" x14ac:dyDescent="0.25">
      <c r="A31" s="12" t="s">
        <v>10</v>
      </c>
      <c r="B31" s="13">
        <f>SUM(B32)</f>
        <v>0</v>
      </c>
      <c r="C31" s="18">
        <f>SUM(C32)</f>
        <v>0</v>
      </c>
      <c r="D31" s="13">
        <f t="shared" ref="D31:K31" si="30">SUM(D32)</f>
        <v>0</v>
      </c>
      <c r="E31" s="13">
        <f t="shared" si="30"/>
        <v>0</v>
      </c>
      <c r="F31" s="13">
        <f t="shared" si="30"/>
        <v>0</v>
      </c>
      <c r="G31" s="13">
        <f t="shared" si="30"/>
        <v>0</v>
      </c>
      <c r="H31" s="13">
        <f t="shared" si="30"/>
        <v>0</v>
      </c>
      <c r="I31" s="13">
        <f t="shared" si="30"/>
        <v>0</v>
      </c>
      <c r="J31" s="13">
        <f t="shared" si="30"/>
        <v>0</v>
      </c>
      <c r="K31" s="13">
        <f t="shared" si="30"/>
        <v>0</v>
      </c>
      <c r="L31" s="13">
        <f t="shared" ref="L31" si="31">SUM(L32)</f>
        <v>0</v>
      </c>
      <c r="M31" s="13">
        <f t="shared" ref="M31" si="32">SUM(M32)</f>
        <v>0</v>
      </c>
      <c r="N31" s="13">
        <f t="shared" ref="N31" si="33">SUM(N32)</f>
        <v>0</v>
      </c>
      <c r="O31" s="13">
        <f t="shared" si="7"/>
        <v>0</v>
      </c>
    </row>
    <row r="32" spans="1:15" x14ac:dyDescent="0.25">
      <c r="A32" s="11" t="s">
        <v>10</v>
      </c>
      <c r="B32" s="14"/>
      <c r="C32" s="19">
        <f t="shared" si="3"/>
        <v>0</v>
      </c>
      <c r="D32" s="14"/>
      <c r="E32" s="14"/>
      <c r="F32" s="14"/>
      <c r="G32" s="14"/>
      <c r="H32" s="14"/>
      <c r="I32" s="14"/>
      <c r="J32" s="14"/>
      <c r="K32" s="14"/>
      <c r="L32" s="15">
        <f t="shared" si="12"/>
        <v>0</v>
      </c>
      <c r="M32" s="15">
        <f t="shared" si="5"/>
        <v>0</v>
      </c>
      <c r="N32" s="15">
        <f t="shared" si="13"/>
        <v>0</v>
      </c>
      <c r="O32" s="15">
        <f t="shared" si="7"/>
        <v>0</v>
      </c>
    </row>
    <row r="33" spans="1:15" ht="9.6" customHeight="1" x14ac:dyDescent="0.25">
      <c r="A33" s="11"/>
      <c r="B33" s="15"/>
      <c r="C33" s="19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5.75" x14ac:dyDescent="0.25">
      <c r="A34" s="12" t="s">
        <v>11</v>
      </c>
      <c r="B34" s="13">
        <f>SUM(B35)</f>
        <v>0</v>
      </c>
      <c r="C34" s="18">
        <f>SUM(C35)</f>
        <v>0</v>
      </c>
      <c r="D34" s="13">
        <f t="shared" ref="D34:K34" si="34">SUM(D35)</f>
        <v>0</v>
      </c>
      <c r="E34" s="13">
        <f t="shared" si="34"/>
        <v>0</v>
      </c>
      <c r="F34" s="13">
        <f t="shared" si="34"/>
        <v>0</v>
      </c>
      <c r="G34" s="13">
        <f t="shared" si="34"/>
        <v>0</v>
      </c>
      <c r="H34" s="13">
        <f t="shared" si="34"/>
        <v>0</v>
      </c>
      <c r="I34" s="13">
        <f t="shared" si="34"/>
        <v>0</v>
      </c>
      <c r="J34" s="13">
        <f t="shared" si="34"/>
        <v>0</v>
      </c>
      <c r="K34" s="13">
        <f t="shared" si="34"/>
        <v>0</v>
      </c>
      <c r="L34" s="13">
        <f t="shared" ref="L34" si="35">SUM(L35)</f>
        <v>0</v>
      </c>
      <c r="M34" s="13">
        <f t="shared" ref="M34" si="36">SUM(M35)</f>
        <v>0</v>
      </c>
      <c r="N34" s="13">
        <f t="shared" ref="N34" si="37">SUM(N35)</f>
        <v>0</v>
      </c>
      <c r="O34" s="13">
        <f t="shared" si="7"/>
        <v>0</v>
      </c>
    </row>
    <row r="35" spans="1:15" x14ac:dyDescent="0.25">
      <c r="A35" s="11" t="s">
        <v>11</v>
      </c>
      <c r="B35" s="14"/>
      <c r="C35" s="19">
        <f t="shared" si="3"/>
        <v>0</v>
      </c>
      <c r="D35" s="14"/>
      <c r="E35" s="14"/>
      <c r="F35" s="14"/>
      <c r="G35" s="14"/>
      <c r="H35" s="14"/>
      <c r="I35" s="14"/>
      <c r="J35" s="14"/>
      <c r="K35" s="14"/>
      <c r="L35" s="15">
        <f t="shared" si="12"/>
        <v>0</v>
      </c>
      <c r="M35" s="15">
        <f t="shared" si="5"/>
        <v>0</v>
      </c>
      <c r="N35" s="15">
        <f t="shared" si="13"/>
        <v>0</v>
      </c>
      <c r="O35" s="15">
        <f t="shared" si="7"/>
        <v>0</v>
      </c>
    </row>
    <row r="36" spans="1:15" ht="9.6" customHeight="1" x14ac:dyDescent="0.25">
      <c r="A36" s="11"/>
      <c r="B36" s="15"/>
      <c r="C36" s="19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5.75" x14ac:dyDescent="0.25">
      <c r="A37" s="12" t="s">
        <v>12</v>
      </c>
      <c r="B37" s="13">
        <f>SUM(B38:B39)</f>
        <v>0</v>
      </c>
      <c r="C37" s="18">
        <f>SUM(C38:C39)</f>
        <v>0</v>
      </c>
      <c r="D37" s="13">
        <f t="shared" ref="D37:K37" si="38">SUM(D38:D39)</f>
        <v>0</v>
      </c>
      <c r="E37" s="13">
        <f t="shared" si="38"/>
        <v>0</v>
      </c>
      <c r="F37" s="13">
        <f t="shared" si="38"/>
        <v>0</v>
      </c>
      <c r="G37" s="13">
        <f t="shared" si="38"/>
        <v>0</v>
      </c>
      <c r="H37" s="13">
        <f t="shared" si="38"/>
        <v>0</v>
      </c>
      <c r="I37" s="13">
        <f t="shared" si="38"/>
        <v>0</v>
      </c>
      <c r="J37" s="13">
        <f t="shared" si="38"/>
        <v>0</v>
      </c>
      <c r="K37" s="13">
        <f t="shared" si="38"/>
        <v>0</v>
      </c>
      <c r="L37" s="13">
        <f t="shared" ref="L37" si="39">SUM(L38:L39)</f>
        <v>0</v>
      </c>
      <c r="M37" s="13">
        <f t="shared" ref="M37" si="40">SUM(M38:M39)</f>
        <v>0</v>
      </c>
      <c r="N37" s="13">
        <f t="shared" ref="N37" si="41">SUM(N38:N39)</f>
        <v>0</v>
      </c>
      <c r="O37" s="13">
        <f t="shared" si="7"/>
        <v>0</v>
      </c>
    </row>
    <row r="38" spans="1:15" x14ac:dyDescent="0.25">
      <c r="A38" s="11" t="s">
        <v>35</v>
      </c>
      <c r="B38" s="14"/>
      <c r="C38" s="19">
        <f t="shared" si="3"/>
        <v>0</v>
      </c>
      <c r="D38" s="14"/>
      <c r="E38" s="14"/>
      <c r="F38" s="14"/>
      <c r="G38" s="14"/>
      <c r="H38" s="14"/>
      <c r="I38" s="14"/>
      <c r="J38" s="14"/>
      <c r="K38" s="14"/>
      <c r="L38" s="15">
        <f t="shared" si="12"/>
        <v>0</v>
      </c>
      <c r="M38" s="15">
        <f t="shared" si="5"/>
        <v>0</v>
      </c>
      <c r="N38" s="15">
        <f t="shared" si="13"/>
        <v>0</v>
      </c>
      <c r="O38" s="15">
        <f t="shared" si="7"/>
        <v>0</v>
      </c>
    </row>
    <row r="39" spans="1:15" x14ac:dyDescent="0.25">
      <c r="A39" s="11" t="s">
        <v>36</v>
      </c>
      <c r="B39" s="14"/>
      <c r="C39" s="19">
        <f t="shared" si="3"/>
        <v>0</v>
      </c>
      <c r="D39" s="14"/>
      <c r="E39" s="14"/>
      <c r="F39" s="14"/>
      <c r="G39" s="14"/>
      <c r="H39" s="14"/>
      <c r="I39" s="14"/>
      <c r="J39" s="14"/>
      <c r="K39" s="14"/>
      <c r="L39" s="15">
        <f t="shared" si="12"/>
        <v>0</v>
      </c>
      <c r="M39" s="15">
        <f t="shared" si="5"/>
        <v>0</v>
      </c>
      <c r="N39" s="15">
        <f t="shared" si="13"/>
        <v>0</v>
      </c>
      <c r="O39" s="15">
        <f t="shared" si="7"/>
        <v>0</v>
      </c>
    </row>
    <row r="40" spans="1:15" ht="9.6" customHeight="1" x14ac:dyDescent="0.25">
      <c r="A40" s="11"/>
      <c r="B40" s="15"/>
      <c r="C40" s="19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5.75" x14ac:dyDescent="0.25">
      <c r="A41" s="12" t="s">
        <v>13</v>
      </c>
      <c r="B41" s="13">
        <f>SUM(B42:B44)</f>
        <v>0</v>
      </c>
      <c r="C41" s="18">
        <f>SUM(C42:C44)</f>
        <v>0</v>
      </c>
      <c r="D41" s="13">
        <f t="shared" ref="D41:K41" si="42">SUM(D42:D44)</f>
        <v>0</v>
      </c>
      <c r="E41" s="13">
        <f t="shared" si="42"/>
        <v>0</v>
      </c>
      <c r="F41" s="13">
        <f t="shared" si="42"/>
        <v>0</v>
      </c>
      <c r="G41" s="13">
        <f t="shared" si="42"/>
        <v>0</v>
      </c>
      <c r="H41" s="13">
        <f t="shared" si="42"/>
        <v>0</v>
      </c>
      <c r="I41" s="13">
        <f t="shared" si="42"/>
        <v>0</v>
      </c>
      <c r="J41" s="13">
        <f t="shared" si="42"/>
        <v>0</v>
      </c>
      <c r="K41" s="13">
        <f t="shared" si="42"/>
        <v>0</v>
      </c>
      <c r="L41" s="13">
        <f t="shared" ref="L41" si="43">SUM(L42:L44)</f>
        <v>0</v>
      </c>
      <c r="M41" s="13">
        <f t="shared" ref="M41" si="44">SUM(M42:M44)</f>
        <v>0</v>
      </c>
      <c r="N41" s="13">
        <f t="shared" ref="N41" si="45">SUM(N42:N44)</f>
        <v>0</v>
      </c>
      <c r="O41" s="13">
        <f t="shared" si="7"/>
        <v>0</v>
      </c>
    </row>
    <row r="42" spans="1:15" x14ac:dyDescent="0.25">
      <c r="A42" s="11" t="s">
        <v>37</v>
      </c>
      <c r="B42" s="14"/>
      <c r="C42" s="19">
        <f t="shared" si="3"/>
        <v>0</v>
      </c>
      <c r="D42" s="14"/>
      <c r="E42" s="14"/>
      <c r="F42" s="14"/>
      <c r="G42" s="14"/>
      <c r="H42" s="14"/>
      <c r="I42" s="14"/>
      <c r="J42" s="14"/>
      <c r="K42" s="14"/>
      <c r="L42" s="15">
        <f t="shared" si="12"/>
        <v>0</v>
      </c>
      <c r="M42" s="15">
        <f t="shared" si="5"/>
        <v>0</v>
      </c>
      <c r="N42" s="15">
        <f t="shared" si="13"/>
        <v>0</v>
      </c>
      <c r="O42" s="15">
        <f t="shared" si="7"/>
        <v>0</v>
      </c>
    </row>
    <row r="43" spans="1:15" x14ac:dyDescent="0.25">
      <c r="A43" s="11" t="s">
        <v>38</v>
      </c>
      <c r="B43" s="14"/>
      <c r="C43" s="19">
        <f t="shared" si="3"/>
        <v>0</v>
      </c>
      <c r="D43" s="14"/>
      <c r="E43" s="14"/>
      <c r="F43" s="14"/>
      <c r="G43" s="14"/>
      <c r="H43" s="14"/>
      <c r="I43" s="14"/>
      <c r="J43" s="14"/>
      <c r="K43" s="14"/>
      <c r="L43" s="15">
        <f t="shared" si="12"/>
        <v>0</v>
      </c>
      <c r="M43" s="15">
        <f t="shared" si="5"/>
        <v>0</v>
      </c>
      <c r="N43" s="15">
        <f t="shared" si="13"/>
        <v>0</v>
      </c>
      <c r="O43" s="15">
        <f t="shared" si="7"/>
        <v>0</v>
      </c>
    </row>
    <row r="44" spans="1:15" x14ac:dyDescent="0.25">
      <c r="A44" s="11" t="s">
        <v>39</v>
      </c>
      <c r="B44" s="14"/>
      <c r="C44" s="19">
        <f t="shared" si="3"/>
        <v>0</v>
      </c>
      <c r="D44" s="14"/>
      <c r="E44" s="14"/>
      <c r="F44" s="14"/>
      <c r="G44" s="14"/>
      <c r="H44" s="14"/>
      <c r="I44" s="14"/>
      <c r="J44" s="14"/>
      <c r="K44" s="14"/>
      <c r="L44" s="15">
        <f t="shared" si="12"/>
        <v>0</v>
      </c>
      <c r="M44" s="15">
        <f t="shared" si="5"/>
        <v>0</v>
      </c>
      <c r="N44" s="15">
        <f t="shared" si="13"/>
        <v>0</v>
      </c>
      <c r="O44" s="15">
        <f t="shared" si="7"/>
        <v>0</v>
      </c>
    </row>
    <row r="45" spans="1:15" ht="9.6" customHeight="1" x14ac:dyDescent="0.25">
      <c r="A45" s="11"/>
      <c r="B45" s="15"/>
      <c r="C45" s="19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5.75" x14ac:dyDescent="0.25">
      <c r="A46" s="12" t="s">
        <v>14</v>
      </c>
      <c r="B46" s="13">
        <f>SUM(B47:B50)</f>
        <v>0</v>
      </c>
      <c r="C46" s="18">
        <f>SUM(C47:C50)</f>
        <v>0</v>
      </c>
      <c r="D46" s="13">
        <f t="shared" ref="D46:K46" si="46">SUM(D47:D50)</f>
        <v>0</v>
      </c>
      <c r="E46" s="13">
        <f t="shared" si="46"/>
        <v>0</v>
      </c>
      <c r="F46" s="13">
        <f t="shared" si="46"/>
        <v>0</v>
      </c>
      <c r="G46" s="13">
        <f t="shared" si="46"/>
        <v>0</v>
      </c>
      <c r="H46" s="13">
        <f t="shared" si="46"/>
        <v>0</v>
      </c>
      <c r="I46" s="13">
        <f t="shared" si="46"/>
        <v>0</v>
      </c>
      <c r="J46" s="13">
        <f t="shared" si="46"/>
        <v>0</v>
      </c>
      <c r="K46" s="13">
        <f t="shared" si="46"/>
        <v>0</v>
      </c>
      <c r="L46" s="13">
        <f t="shared" ref="L46" si="47">SUM(L47:L50)</f>
        <v>0</v>
      </c>
      <c r="M46" s="13">
        <f t="shared" ref="M46" si="48">SUM(M47:M50)</f>
        <v>0</v>
      </c>
      <c r="N46" s="13">
        <f t="shared" ref="N46" si="49">SUM(N47:N50)</f>
        <v>0</v>
      </c>
      <c r="O46" s="13">
        <f t="shared" si="7"/>
        <v>0</v>
      </c>
    </row>
    <row r="47" spans="1:15" x14ac:dyDescent="0.25">
      <c r="A47" s="11" t="s">
        <v>40</v>
      </c>
      <c r="B47" s="14"/>
      <c r="C47" s="19">
        <f t="shared" si="3"/>
        <v>0</v>
      </c>
      <c r="D47" s="14"/>
      <c r="E47" s="14"/>
      <c r="F47" s="14"/>
      <c r="G47" s="14"/>
      <c r="H47" s="14"/>
      <c r="I47" s="14"/>
      <c r="J47" s="14"/>
      <c r="K47" s="14"/>
      <c r="L47" s="15">
        <f t="shared" si="12"/>
        <v>0</v>
      </c>
      <c r="M47" s="15">
        <f t="shared" si="5"/>
        <v>0</v>
      </c>
      <c r="N47" s="15">
        <f t="shared" si="13"/>
        <v>0</v>
      </c>
      <c r="O47" s="15">
        <f t="shared" si="7"/>
        <v>0</v>
      </c>
    </row>
    <row r="48" spans="1:15" x14ac:dyDescent="0.25">
      <c r="A48" s="11" t="s">
        <v>41</v>
      </c>
      <c r="B48" s="14"/>
      <c r="C48" s="19">
        <f t="shared" si="3"/>
        <v>0</v>
      </c>
      <c r="D48" s="14"/>
      <c r="E48" s="14"/>
      <c r="F48" s="14"/>
      <c r="G48" s="14"/>
      <c r="H48" s="14"/>
      <c r="I48" s="14"/>
      <c r="J48" s="14"/>
      <c r="K48" s="14"/>
      <c r="L48" s="15">
        <f t="shared" si="12"/>
        <v>0</v>
      </c>
      <c r="M48" s="15">
        <f t="shared" si="5"/>
        <v>0</v>
      </c>
      <c r="N48" s="15">
        <f t="shared" si="13"/>
        <v>0</v>
      </c>
      <c r="O48" s="15">
        <f t="shared" si="7"/>
        <v>0</v>
      </c>
    </row>
    <row r="49" spans="1:15" x14ac:dyDescent="0.25">
      <c r="A49" s="11" t="s">
        <v>63</v>
      </c>
      <c r="B49" s="14"/>
      <c r="C49" s="19">
        <f t="shared" si="3"/>
        <v>0</v>
      </c>
      <c r="D49" s="14"/>
      <c r="E49" s="14"/>
      <c r="F49" s="14"/>
      <c r="G49" s="14"/>
      <c r="H49" s="14"/>
      <c r="I49" s="14"/>
      <c r="J49" s="14"/>
      <c r="K49" s="14"/>
      <c r="L49" s="15">
        <f t="shared" si="12"/>
        <v>0</v>
      </c>
      <c r="M49" s="15">
        <f t="shared" si="5"/>
        <v>0</v>
      </c>
      <c r="N49" s="15">
        <f t="shared" si="13"/>
        <v>0</v>
      </c>
      <c r="O49" s="15">
        <f t="shared" si="7"/>
        <v>0</v>
      </c>
    </row>
    <row r="50" spans="1:15" x14ac:dyDescent="0.25">
      <c r="A50" s="11" t="s">
        <v>42</v>
      </c>
      <c r="B50" s="14"/>
      <c r="C50" s="19">
        <f t="shared" si="3"/>
        <v>0</v>
      </c>
      <c r="D50" s="14"/>
      <c r="E50" s="14"/>
      <c r="F50" s="14"/>
      <c r="G50" s="14"/>
      <c r="H50" s="14"/>
      <c r="I50" s="14"/>
      <c r="J50" s="14"/>
      <c r="K50" s="14"/>
      <c r="L50" s="15">
        <f t="shared" si="12"/>
        <v>0</v>
      </c>
      <c r="M50" s="15">
        <f t="shared" si="5"/>
        <v>0</v>
      </c>
      <c r="N50" s="15">
        <f t="shared" si="13"/>
        <v>0</v>
      </c>
      <c r="O50" s="15">
        <f t="shared" si="7"/>
        <v>0</v>
      </c>
    </row>
    <row r="51" spans="1:15" ht="9.6" customHeight="1" x14ac:dyDescent="0.25">
      <c r="A51" s="11"/>
      <c r="B51" s="15"/>
      <c r="C51" s="19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5.75" x14ac:dyDescent="0.25">
      <c r="A52" s="12" t="s">
        <v>15</v>
      </c>
      <c r="B52" s="13">
        <f>SUM(B53:B54)</f>
        <v>0</v>
      </c>
      <c r="C52" s="18">
        <f>SUM(C53:C54)</f>
        <v>0</v>
      </c>
      <c r="D52" s="13">
        <f t="shared" ref="D52:K52" si="50">SUM(D53:D54)</f>
        <v>0</v>
      </c>
      <c r="E52" s="13">
        <f t="shared" si="50"/>
        <v>0</v>
      </c>
      <c r="F52" s="13">
        <f t="shared" si="50"/>
        <v>0</v>
      </c>
      <c r="G52" s="13">
        <f t="shared" si="50"/>
        <v>0</v>
      </c>
      <c r="H52" s="13">
        <f t="shared" si="50"/>
        <v>0</v>
      </c>
      <c r="I52" s="13">
        <f t="shared" si="50"/>
        <v>0</v>
      </c>
      <c r="J52" s="13">
        <f t="shared" si="50"/>
        <v>0</v>
      </c>
      <c r="K52" s="13">
        <f t="shared" si="50"/>
        <v>0</v>
      </c>
      <c r="L52" s="13">
        <f t="shared" ref="L52" si="51">SUM(L53:L54)</f>
        <v>0</v>
      </c>
      <c r="M52" s="13">
        <f t="shared" ref="M52" si="52">SUM(M53:M54)</f>
        <v>0</v>
      </c>
      <c r="N52" s="13">
        <f t="shared" ref="N52" si="53">SUM(N53:N54)</f>
        <v>0</v>
      </c>
      <c r="O52" s="13">
        <f t="shared" si="7"/>
        <v>0</v>
      </c>
    </row>
    <row r="53" spans="1:15" x14ac:dyDescent="0.25">
      <c r="A53" s="11" t="s">
        <v>43</v>
      </c>
      <c r="B53" s="14"/>
      <c r="C53" s="19">
        <f t="shared" si="3"/>
        <v>0</v>
      </c>
      <c r="D53" s="14"/>
      <c r="E53" s="14"/>
      <c r="F53" s="14"/>
      <c r="G53" s="14"/>
      <c r="H53" s="14"/>
      <c r="I53" s="14"/>
      <c r="J53" s="14"/>
      <c r="K53" s="14"/>
      <c r="L53" s="15">
        <f t="shared" si="12"/>
        <v>0</v>
      </c>
      <c r="M53" s="15">
        <f t="shared" si="5"/>
        <v>0</v>
      </c>
      <c r="N53" s="15">
        <f t="shared" si="13"/>
        <v>0</v>
      </c>
      <c r="O53" s="15">
        <f t="shared" si="7"/>
        <v>0</v>
      </c>
    </row>
    <row r="54" spans="1:15" x14ac:dyDescent="0.25">
      <c r="A54" s="11" t="s">
        <v>44</v>
      </c>
      <c r="B54" s="14"/>
      <c r="C54" s="19">
        <f t="shared" si="3"/>
        <v>0</v>
      </c>
      <c r="D54" s="14"/>
      <c r="E54" s="14"/>
      <c r="F54" s="14"/>
      <c r="G54" s="14"/>
      <c r="H54" s="14"/>
      <c r="I54" s="14"/>
      <c r="J54" s="14"/>
      <c r="K54" s="14"/>
      <c r="L54" s="15">
        <f t="shared" si="12"/>
        <v>0</v>
      </c>
      <c r="M54" s="15">
        <f t="shared" si="5"/>
        <v>0</v>
      </c>
      <c r="N54" s="15">
        <f t="shared" si="13"/>
        <v>0</v>
      </c>
      <c r="O54" s="15">
        <f t="shared" si="7"/>
        <v>0</v>
      </c>
    </row>
    <row r="55" spans="1:15" ht="9.6" customHeight="1" x14ac:dyDescent="0.25">
      <c r="A55" s="11"/>
      <c r="B55" s="15"/>
      <c r="C55" s="19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5.75" x14ac:dyDescent="0.25">
      <c r="A56" s="12" t="s">
        <v>16</v>
      </c>
      <c r="B56" s="13">
        <f>SUM(B57:B58)</f>
        <v>0</v>
      </c>
      <c r="C56" s="18">
        <f>SUM(C57:C58)</f>
        <v>0</v>
      </c>
      <c r="D56" s="13">
        <f t="shared" ref="D56:K56" si="54">SUM(D57:D58)</f>
        <v>0</v>
      </c>
      <c r="E56" s="13">
        <f t="shared" si="54"/>
        <v>0</v>
      </c>
      <c r="F56" s="13">
        <f t="shared" si="54"/>
        <v>0</v>
      </c>
      <c r="G56" s="13">
        <f t="shared" si="54"/>
        <v>0</v>
      </c>
      <c r="H56" s="13">
        <f t="shared" si="54"/>
        <v>0</v>
      </c>
      <c r="I56" s="13">
        <f t="shared" si="54"/>
        <v>0</v>
      </c>
      <c r="J56" s="13">
        <f t="shared" si="54"/>
        <v>0</v>
      </c>
      <c r="K56" s="13">
        <f t="shared" si="54"/>
        <v>0</v>
      </c>
      <c r="L56" s="13">
        <f t="shared" ref="L56" si="55">SUM(L57:L58)</f>
        <v>0</v>
      </c>
      <c r="M56" s="13">
        <f t="shared" ref="M56" si="56">SUM(M57:M58)</f>
        <v>0</v>
      </c>
      <c r="N56" s="13">
        <f t="shared" ref="N56" si="57">SUM(N57:N58)</f>
        <v>0</v>
      </c>
      <c r="O56" s="13">
        <f t="shared" si="7"/>
        <v>0</v>
      </c>
    </row>
    <row r="57" spans="1:15" x14ac:dyDescent="0.25">
      <c r="A57" s="11" t="s">
        <v>45</v>
      </c>
      <c r="B57" s="14"/>
      <c r="C57" s="19">
        <f t="shared" si="3"/>
        <v>0</v>
      </c>
      <c r="D57" s="14"/>
      <c r="E57" s="14"/>
      <c r="F57" s="14"/>
      <c r="G57" s="14"/>
      <c r="H57" s="14"/>
      <c r="I57" s="14"/>
      <c r="J57" s="14"/>
      <c r="K57" s="14"/>
      <c r="L57" s="15">
        <f t="shared" si="12"/>
        <v>0</v>
      </c>
      <c r="M57" s="15">
        <f t="shared" si="5"/>
        <v>0</v>
      </c>
      <c r="N57" s="15">
        <f t="shared" si="13"/>
        <v>0</v>
      </c>
      <c r="O57" s="15">
        <f t="shared" si="7"/>
        <v>0</v>
      </c>
    </row>
    <row r="58" spans="1:15" x14ac:dyDescent="0.25">
      <c r="A58" s="11" t="s">
        <v>46</v>
      </c>
      <c r="B58" s="14"/>
      <c r="C58" s="19">
        <f t="shared" si="3"/>
        <v>0</v>
      </c>
      <c r="D58" s="14"/>
      <c r="E58" s="14"/>
      <c r="F58" s="14"/>
      <c r="G58" s="14"/>
      <c r="H58" s="14"/>
      <c r="I58" s="14"/>
      <c r="J58" s="14"/>
      <c r="K58" s="14"/>
      <c r="L58" s="15">
        <f t="shared" si="12"/>
        <v>0</v>
      </c>
      <c r="M58" s="15">
        <f t="shared" si="5"/>
        <v>0</v>
      </c>
      <c r="N58" s="15">
        <f t="shared" si="13"/>
        <v>0</v>
      </c>
      <c r="O58" s="15">
        <f t="shared" si="7"/>
        <v>0</v>
      </c>
    </row>
    <row r="59" spans="1:15" ht="9.6" customHeight="1" x14ac:dyDescent="0.25">
      <c r="A59" s="11"/>
      <c r="B59" s="16"/>
      <c r="C59" s="20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5.75" x14ac:dyDescent="0.25">
      <c r="A60" s="12" t="s">
        <v>17</v>
      </c>
      <c r="B60" s="13">
        <f>SUM(B61)</f>
        <v>0</v>
      </c>
      <c r="C60" s="18">
        <f>SUM(C61)</f>
        <v>0</v>
      </c>
      <c r="D60" s="13">
        <f t="shared" ref="D60:K60" si="58">SUM(D61)</f>
        <v>0</v>
      </c>
      <c r="E60" s="13">
        <f t="shared" si="58"/>
        <v>0</v>
      </c>
      <c r="F60" s="13">
        <f t="shared" si="58"/>
        <v>0</v>
      </c>
      <c r="G60" s="13">
        <f t="shared" si="58"/>
        <v>0</v>
      </c>
      <c r="H60" s="13">
        <f t="shared" si="58"/>
        <v>0</v>
      </c>
      <c r="I60" s="13">
        <f t="shared" si="58"/>
        <v>0</v>
      </c>
      <c r="J60" s="13">
        <f t="shared" si="58"/>
        <v>0</v>
      </c>
      <c r="K60" s="13">
        <f t="shared" si="58"/>
        <v>0</v>
      </c>
      <c r="L60" s="13">
        <f t="shared" ref="L60" si="59">SUM(L61)</f>
        <v>0</v>
      </c>
      <c r="M60" s="13">
        <f t="shared" ref="M60" si="60">SUM(M61)</f>
        <v>0</v>
      </c>
      <c r="N60" s="13">
        <f t="shared" ref="N60" si="61">SUM(N61)</f>
        <v>0</v>
      </c>
      <c r="O60" s="13">
        <f t="shared" si="7"/>
        <v>0</v>
      </c>
    </row>
    <row r="61" spans="1:15" x14ac:dyDescent="0.25">
      <c r="A61" s="11" t="s">
        <v>17</v>
      </c>
      <c r="B61" s="14"/>
      <c r="C61" s="19">
        <f t="shared" si="3"/>
        <v>0</v>
      </c>
      <c r="D61" s="14"/>
      <c r="E61" s="14"/>
      <c r="F61" s="14"/>
      <c r="G61" s="14"/>
      <c r="H61" s="14"/>
      <c r="I61" s="14"/>
      <c r="J61" s="14"/>
      <c r="K61" s="14"/>
      <c r="L61" s="15">
        <f t="shared" si="12"/>
        <v>0</v>
      </c>
      <c r="M61" s="15">
        <f t="shared" si="5"/>
        <v>0</v>
      </c>
      <c r="N61" s="15">
        <f t="shared" si="13"/>
        <v>0</v>
      </c>
      <c r="O61" s="15">
        <f t="shared" si="7"/>
        <v>0</v>
      </c>
    </row>
    <row r="62" spans="1:15" ht="9.6" customHeight="1" x14ac:dyDescent="0.25">
      <c r="A62" s="11"/>
      <c r="B62" s="15"/>
      <c r="C62" s="19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5.75" x14ac:dyDescent="0.25">
      <c r="A63" s="12" t="s">
        <v>18</v>
      </c>
      <c r="B63" s="13">
        <f>SUM(B64:B67)</f>
        <v>0</v>
      </c>
      <c r="C63" s="18">
        <f>SUM(C64:C67)</f>
        <v>0</v>
      </c>
      <c r="D63" s="13">
        <f t="shared" ref="D63:K63" si="62">SUM(D64:D67)</f>
        <v>0</v>
      </c>
      <c r="E63" s="13">
        <f t="shared" si="62"/>
        <v>0</v>
      </c>
      <c r="F63" s="13">
        <f t="shared" si="62"/>
        <v>0</v>
      </c>
      <c r="G63" s="13">
        <f t="shared" si="62"/>
        <v>0</v>
      </c>
      <c r="H63" s="13">
        <f t="shared" si="62"/>
        <v>0</v>
      </c>
      <c r="I63" s="13">
        <f t="shared" si="62"/>
        <v>0</v>
      </c>
      <c r="J63" s="13">
        <f t="shared" si="62"/>
        <v>0</v>
      </c>
      <c r="K63" s="13">
        <f t="shared" si="62"/>
        <v>0</v>
      </c>
      <c r="L63" s="13">
        <f t="shared" ref="L63" si="63">SUM(L64:L67)</f>
        <v>0</v>
      </c>
      <c r="M63" s="13">
        <f t="shared" ref="M63" si="64">SUM(M64:M67)</f>
        <v>0</v>
      </c>
      <c r="N63" s="13">
        <f t="shared" ref="N63" si="65">SUM(N64:N67)</f>
        <v>0</v>
      </c>
      <c r="O63" s="13">
        <f t="shared" si="7"/>
        <v>0</v>
      </c>
    </row>
    <row r="64" spans="1:15" x14ac:dyDescent="0.25">
      <c r="A64" s="11" t="s">
        <v>47</v>
      </c>
      <c r="B64" s="14"/>
      <c r="C64" s="19">
        <f t="shared" si="3"/>
        <v>0</v>
      </c>
      <c r="D64" s="14"/>
      <c r="E64" s="14"/>
      <c r="F64" s="14"/>
      <c r="G64" s="14"/>
      <c r="H64" s="14"/>
      <c r="I64" s="14"/>
      <c r="J64" s="14"/>
      <c r="K64" s="14"/>
      <c r="L64" s="15">
        <f t="shared" si="12"/>
        <v>0</v>
      </c>
      <c r="M64" s="15">
        <f t="shared" si="5"/>
        <v>0</v>
      </c>
      <c r="N64" s="15">
        <f t="shared" si="13"/>
        <v>0</v>
      </c>
      <c r="O64" s="15">
        <f t="shared" si="7"/>
        <v>0</v>
      </c>
    </row>
    <row r="65" spans="1:15" x14ac:dyDescent="0.25">
      <c r="A65" s="11" t="s">
        <v>48</v>
      </c>
      <c r="B65" s="14"/>
      <c r="C65" s="19">
        <f t="shared" si="3"/>
        <v>0</v>
      </c>
      <c r="D65" s="14"/>
      <c r="E65" s="14"/>
      <c r="F65" s="14"/>
      <c r="G65" s="14"/>
      <c r="H65" s="14"/>
      <c r="I65" s="14"/>
      <c r="J65" s="14"/>
      <c r="K65" s="14"/>
      <c r="L65" s="15">
        <f t="shared" si="12"/>
        <v>0</v>
      </c>
      <c r="M65" s="15">
        <f t="shared" si="5"/>
        <v>0</v>
      </c>
      <c r="N65" s="15">
        <f t="shared" si="13"/>
        <v>0</v>
      </c>
      <c r="O65" s="15">
        <f t="shared" si="7"/>
        <v>0</v>
      </c>
    </row>
    <row r="66" spans="1:15" x14ac:dyDescent="0.25">
      <c r="A66" s="11" t="s">
        <v>49</v>
      </c>
      <c r="B66" s="14"/>
      <c r="C66" s="19">
        <f t="shared" si="3"/>
        <v>0</v>
      </c>
      <c r="D66" s="14"/>
      <c r="E66" s="14"/>
      <c r="F66" s="14"/>
      <c r="G66" s="14"/>
      <c r="H66" s="14"/>
      <c r="I66" s="14"/>
      <c r="J66" s="14"/>
      <c r="K66" s="14"/>
      <c r="L66" s="15">
        <f t="shared" si="12"/>
        <v>0</v>
      </c>
      <c r="M66" s="15">
        <f t="shared" si="5"/>
        <v>0</v>
      </c>
      <c r="N66" s="15">
        <f t="shared" si="13"/>
        <v>0</v>
      </c>
      <c r="O66" s="15">
        <f t="shared" si="7"/>
        <v>0</v>
      </c>
    </row>
    <row r="67" spans="1:15" x14ac:dyDescent="0.25">
      <c r="A67" s="11" t="s">
        <v>50</v>
      </c>
      <c r="B67" s="14"/>
      <c r="C67" s="19">
        <f t="shared" si="3"/>
        <v>0</v>
      </c>
      <c r="D67" s="14"/>
      <c r="E67" s="14"/>
      <c r="F67" s="14"/>
      <c r="G67" s="14"/>
      <c r="H67" s="14"/>
      <c r="I67" s="14"/>
      <c r="J67" s="14"/>
      <c r="K67" s="14"/>
      <c r="L67" s="15">
        <f t="shared" si="12"/>
        <v>0</v>
      </c>
      <c r="M67" s="15">
        <f t="shared" si="5"/>
        <v>0</v>
      </c>
      <c r="N67" s="15">
        <f t="shared" si="13"/>
        <v>0</v>
      </c>
      <c r="O67" s="15">
        <f t="shared" si="7"/>
        <v>0</v>
      </c>
    </row>
    <row r="68" spans="1:15" ht="9.6" customHeight="1" x14ac:dyDescent="0.25">
      <c r="A68" s="11"/>
      <c r="B68" s="15"/>
      <c r="C68" s="19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.75" x14ac:dyDescent="0.25">
      <c r="A69" s="12" t="s">
        <v>19</v>
      </c>
      <c r="B69" s="13">
        <f>SUM(B70)</f>
        <v>0</v>
      </c>
      <c r="C69" s="18">
        <f>SUM(C70)</f>
        <v>0</v>
      </c>
      <c r="D69" s="13">
        <f t="shared" ref="D69:K69" si="66">SUM(D70)</f>
        <v>0</v>
      </c>
      <c r="E69" s="13">
        <f t="shared" si="66"/>
        <v>0</v>
      </c>
      <c r="F69" s="13">
        <f t="shared" si="66"/>
        <v>0</v>
      </c>
      <c r="G69" s="13">
        <f t="shared" si="66"/>
        <v>0</v>
      </c>
      <c r="H69" s="13">
        <f t="shared" si="66"/>
        <v>0</v>
      </c>
      <c r="I69" s="13">
        <f t="shared" si="66"/>
        <v>0</v>
      </c>
      <c r="J69" s="13">
        <f t="shared" si="66"/>
        <v>0</v>
      </c>
      <c r="K69" s="13">
        <f t="shared" si="66"/>
        <v>0</v>
      </c>
      <c r="L69" s="13">
        <f t="shared" ref="L69" si="67">SUM(L70)</f>
        <v>0</v>
      </c>
      <c r="M69" s="13">
        <f t="shared" ref="M69" si="68">SUM(M70)</f>
        <v>0</v>
      </c>
      <c r="N69" s="13">
        <f t="shared" ref="N69" si="69">SUM(N70)</f>
        <v>0</v>
      </c>
      <c r="O69" s="13">
        <f t="shared" si="7"/>
        <v>0</v>
      </c>
    </row>
    <row r="70" spans="1:15" x14ac:dyDescent="0.25">
      <c r="A70" s="11" t="s">
        <v>51</v>
      </c>
      <c r="B70" s="14"/>
      <c r="C70" s="19">
        <f t="shared" si="3"/>
        <v>0</v>
      </c>
      <c r="D70" s="14"/>
      <c r="E70" s="14"/>
      <c r="F70" s="14"/>
      <c r="G70" s="14"/>
      <c r="H70" s="14"/>
      <c r="I70" s="14"/>
      <c r="J70" s="14"/>
      <c r="K70" s="14"/>
      <c r="L70" s="15">
        <f t="shared" si="12"/>
        <v>0</v>
      </c>
      <c r="M70" s="15">
        <f t="shared" si="5"/>
        <v>0</v>
      </c>
      <c r="N70" s="15">
        <f t="shared" si="13"/>
        <v>0</v>
      </c>
      <c r="O70" s="15">
        <f t="shared" si="7"/>
        <v>0</v>
      </c>
    </row>
    <row r="71" spans="1: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25">
      <c r="A72" s="30" t="s">
        <v>377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</row>
    <row r="73" spans="1:15" s="30" customFormat="1" x14ac:dyDescent="0.25">
      <c r="A73" s="30" t="s">
        <v>378</v>
      </c>
    </row>
    <row r="74" spans="1:15" s="30" customFormat="1" x14ac:dyDescent="0.25">
      <c r="A74" s="30" t="s">
        <v>61</v>
      </c>
    </row>
    <row r="75" spans="1:15" x14ac:dyDescent="0.25">
      <c r="A75" s="17"/>
      <c r="B75" s="17"/>
    </row>
  </sheetData>
  <sheetProtection password="B5D9" sheet="1" objects="1" scenarios="1"/>
  <mergeCells count="3">
    <mergeCell ref="A72:O72"/>
    <mergeCell ref="A73:XFD73"/>
    <mergeCell ref="A74:XFD74"/>
  </mergeCells>
  <dataValidations count="1">
    <dataValidation type="list" errorStyle="information" showInputMessage="1" showErrorMessage="1" errorTitle="District Info" error="Please select your USD from the list." sqref="A3">
      <formula1>USDNumRange</formula1>
    </dataValidation>
  </dataValidations>
  <printOptions gridLines="1"/>
  <pageMargins left="0.1" right="0.1" top="0.5" bottom="0.25" header="0.25" footer="0.25"/>
  <pageSetup scale="54" orientation="landscape" r:id="rId1"/>
  <headerFooter>
    <oddHeader>&amp;CTOTAL EXPENDITURES BY CLUSTER/PATHWAY (Include approved programs only)
2011-12 Actual Expenditures EXCEPT Columns 7 &amp; 8 Estimated Expenditures for 2012-13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47625</xdr:colOff>
                    <xdr:row>0</xdr:row>
                    <xdr:rowOff>28575</xdr:rowOff>
                  </from>
                  <to>
                    <xdr:col>0</xdr:col>
                    <xdr:colOff>3467100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80</v>
      </c>
      <c r="B1" t="s">
        <v>81</v>
      </c>
      <c r="C1" t="s">
        <v>385</v>
      </c>
    </row>
    <row r="2" spans="1:3" x14ac:dyDescent="0.25">
      <c r="A2">
        <v>101</v>
      </c>
      <c r="B2" t="s">
        <v>82</v>
      </c>
      <c r="C2" s="29">
        <v>130</v>
      </c>
    </row>
    <row r="3" spans="1:3" x14ac:dyDescent="0.25">
      <c r="A3">
        <v>102</v>
      </c>
      <c r="B3" t="s">
        <v>83</v>
      </c>
      <c r="C3" s="29">
        <v>167.9</v>
      </c>
    </row>
    <row r="4" spans="1:3" x14ac:dyDescent="0.25">
      <c r="A4">
        <v>103</v>
      </c>
      <c r="B4" t="s">
        <v>84</v>
      </c>
      <c r="C4" s="29">
        <v>11</v>
      </c>
    </row>
    <row r="5" spans="1:3" x14ac:dyDescent="0.25">
      <c r="A5">
        <v>105</v>
      </c>
      <c r="B5" t="s">
        <v>85</v>
      </c>
      <c r="C5" s="29">
        <v>61.1</v>
      </c>
    </row>
    <row r="6" spans="1:3" x14ac:dyDescent="0.25">
      <c r="A6">
        <v>106</v>
      </c>
      <c r="B6" t="s">
        <v>86</v>
      </c>
      <c r="C6" s="29">
        <v>0</v>
      </c>
    </row>
    <row r="7" spans="1:3" x14ac:dyDescent="0.25">
      <c r="A7">
        <v>107</v>
      </c>
      <c r="B7" t="s">
        <v>87</v>
      </c>
      <c r="C7" s="29">
        <v>99.6</v>
      </c>
    </row>
    <row r="8" spans="1:3" x14ac:dyDescent="0.25">
      <c r="A8">
        <v>108</v>
      </c>
      <c r="B8" t="s">
        <v>88</v>
      </c>
      <c r="C8" s="29">
        <v>73.599999999999994</v>
      </c>
    </row>
    <row r="9" spans="1:3" x14ac:dyDescent="0.25">
      <c r="A9">
        <v>109</v>
      </c>
      <c r="B9" t="s">
        <v>89</v>
      </c>
      <c r="C9" s="29">
        <v>96.4</v>
      </c>
    </row>
    <row r="10" spans="1:3" x14ac:dyDescent="0.25">
      <c r="A10">
        <v>110</v>
      </c>
      <c r="B10" t="s">
        <v>90</v>
      </c>
      <c r="C10" s="29">
        <v>48.5</v>
      </c>
    </row>
    <row r="11" spans="1:3" x14ac:dyDescent="0.25">
      <c r="A11">
        <v>111</v>
      </c>
      <c r="B11" t="s">
        <v>91</v>
      </c>
      <c r="C11" s="29">
        <v>113.4</v>
      </c>
    </row>
    <row r="12" spans="1:3" x14ac:dyDescent="0.25">
      <c r="A12">
        <v>112</v>
      </c>
      <c r="B12" t="s">
        <v>93</v>
      </c>
      <c r="C12" s="29">
        <v>198.6</v>
      </c>
    </row>
    <row r="13" spans="1:3" x14ac:dyDescent="0.25">
      <c r="A13">
        <v>113</v>
      </c>
      <c r="B13" t="s">
        <v>94</v>
      </c>
      <c r="C13" s="29">
        <v>285.39999999999998</v>
      </c>
    </row>
    <row r="14" spans="1:3" x14ac:dyDescent="0.25">
      <c r="A14">
        <v>114</v>
      </c>
      <c r="B14" t="s">
        <v>95</v>
      </c>
      <c r="C14" s="29">
        <v>247</v>
      </c>
    </row>
    <row r="15" spans="1:3" x14ac:dyDescent="0.25">
      <c r="A15">
        <v>115</v>
      </c>
      <c r="B15" t="s">
        <v>96</v>
      </c>
      <c r="C15" s="29">
        <v>211.3</v>
      </c>
    </row>
    <row r="16" spans="1:3" x14ac:dyDescent="0.25">
      <c r="A16">
        <v>200</v>
      </c>
      <c r="B16" t="s">
        <v>97</v>
      </c>
      <c r="C16" s="29">
        <v>53.1</v>
      </c>
    </row>
    <row r="17" spans="1:3" x14ac:dyDescent="0.25">
      <c r="A17">
        <v>202</v>
      </c>
      <c r="B17" t="s">
        <v>98</v>
      </c>
      <c r="C17" s="29">
        <v>641.4</v>
      </c>
    </row>
    <row r="18" spans="1:3" x14ac:dyDescent="0.25">
      <c r="A18">
        <v>203</v>
      </c>
      <c r="B18" t="s">
        <v>99</v>
      </c>
      <c r="C18" s="29">
        <v>342.8</v>
      </c>
    </row>
    <row r="19" spans="1:3" x14ac:dyDescent="0.25">
      <c r="A19">
        <v>204</v>
      </c>
      <c r="B19" t="s">
        <v>100</v>
      </c>
      <c r="C19" s="29">
        <v>377.2</v>
      </c>
    </row>
    <row r="20" spans="1:3" x14ac:dyDescent="0.25">
      <c r="A20">
        <v>205</v>
      </c>
      <c r="B20" t="s">
        <v>101</v>
      </c>
      <c r="C20" s="29">
        <v>145.4</v>
      </c>
    </row>
    <row r="21" spans="1:3" x14ac:dyDescent="0.25">
      <c r="A21">
        <v>206</v>
      </c>
      <c r="B21" t="s">
        <v>102</v>
      </c>
      <c r="C21" s="29">
        <v>50.7</v>
      </c>
    </row>
    <row r="22" spans="1:3" x14ac:dyDescent="0.25">
      <c r="A22">
        <v>207</v>
      </c>
      <c r="B22" t="s">
        <v>104</v>
      </c>
      <c r="C22" s="29">
        <v>0</v>
      </c>
    </row>
    <row r="23" spans="1:3" x14ac:dyDescent="0.25">
      <c r="A23">
        <v>208</v>
      </c>
      <c r="B23" t="s">
        <v>105</v>
      </c>
      <c r="C23" s="29">
        <v>49.4</v>
      </c>
    </row>
    <row r="24" spans="1:3" x14ac:dyDescent="0.25">
      <c r="A24">
        <v>209</v>
      </c>
      <c r="B24" t="s">
        <v>106</v>
      </c>
      <c r="C24" s="29">
        <v>0</v>
      </c>
    </row>
    <row r="25" spans="1:3" x14ac:dyDescent="0.25">
      <c r="A25">
        <v>210</v>
      </c>
      <c r="B25" t="s">
        <v>107</v>
      </c>
      <c r="C25" s="29">
        <v>223</v>
      </c>
    </row>
    <row r="26" spans="1:3" x14ac:dyDescent="0.25">
      <c r="A26">
        <v>211</v>
      </c>
      <c r="B26" t="s">
        <v>108</v>
      </c>
      <c r="C26" s="29">
        <v>143.30000000000001</v>
      </c>
    </row>
    <row r="27" spans="1:3" x14ac:dyDescent="0.25">
      <c r="A27">
        <v>212</v>
      </c>
      <c r="B27" t="s">
        <v>109</v>
      </c>
      <c r="C27" s="29">
        <v>30.9</v>
      </c>
    </row>
    <row r="28" spans="1:3" x14ac:dyDescent="0.25">
      <c r="A28">
        <v>214</v>
      </c>
      <c r="B28" t="s">
        <v>110</v>
      </c>
      <c r="C28" s="29">
        <v>366.3</v>
      </c>
    </row>
    <row r="29" spans="1:3" x14ac:dyDescent="0.25">
      <c r="A29">
        <v>215</v>
      </c>
      <c r="B29" t="s">
        <v>111</v>
      </c>
      <c r="C29" s="29">
        <v>48.8</v>
      </c>
    </row>
    <row r="30" spans="1:3" x14ac:dyDescent="0.25">
      <c r="A30">
        <v>216</v>
      </c>
      <c r="B30" t="s">
        <v>112</v>
      </c>
      <c r="C30" s="29">
        <v>71.3</v>
      </c>
    </row>
    <row r="31" spans="1:3" x14ac:dyDescent="0.25">
      <c r="A31">
        <v>217</v>
      </c>
      <c r="B31" t="s">
        <v>113</v>
      </c>
      <c r="C31" s="29">
        <v>62</v>
      </c>
    </row>
    <row r="32" spans="1:3" x14ac:dyDescent="0.25">
      <c r="A32">
        <v>218</v>
      </c>
      <c r="B32" t="s">
        <v>114</v>
      </c>
      <c r="C32" s="29">
        <v>99.7</v>
      </c>
    </row>
    <row r="33" spans="1:3" x14ac:dyDescent="0.25">
      <c r="A33">
        <v>219</v>
      </c>
      <c r="B33" t="s">
        <v>115</v>
      </c>
      <c r="C33" s="29">
        <v>0</v>
      </c>
    </row>
    <row r="34" spans="1:3" x14ac:dyDescent="0.25">
      <c r="A34">
        <v>220</v>
      </c>
      <c r="B34" t="s">
        <v>116</v>
      </c>
      <c r="C34" s="29">
        <v>19.399999999999999</v>
      </c>
    </row>
    <row r="35" spans="1:3" x14ac:dyDescent="0.25">
      <c r="A35">
        <v>223</v>
      </c>
      <c r="B35" t="s">
        <v>117</v>
      </c>
      <c r="C35" s="29">
        <v>198.1</v>
      </c>
    </row>
    <row r="36" spans="1:3" x14ac:dyDescent="0.25">
      <c r="A36">
        <v>224</v>
      </c>
      <c r="B36" t="s">
        <v>118</v>
      </c>
      <c r="C36" s="29">
        <v>59.6</v>
      </c>
    </row>
    <row r="37" spans="1:3" x14ac:dyDescent="0.25">
      <c r="A37">
        <v>225</v>
      </c>
      <c r="B37" t="s">
        <v>120</v>
      </c>
      <c r="C37" s="29">
        <v>0</v>
      </c>
    </row>
    <row r="38" spans="1:3" x14ac:dyDescent="0.25">
      <c r="A38">
        <v>226</v>
      </c>
      <c r="B38" t="s">
        <v>119</v>
      </c>
      <c r="C38" s="29">
        <v>78.2</v>
      </c>
    </row>
    <row r="39" spans="1:3" x14ac:dyDescent="0.25">
      <c r="A39">
        <v>227</v>
      </c>
      <c r="B39" t="s">
        <v>121</v>
      </c>
      <c r="C39" s="29">
        <v>49</v>
      </c>
    </row>
    <row r="40" spans="1:3" x14ac:dyDescent="0.25">
      <c r="A40">
        <v>229</v>
      </c>
      <c r="B40" t="s">
        <v>122</v>
      </c>
      <c r="C40" s="29">
        <v>3845.6</v>
      </c>
    </row>
    <row r="41" spans="1:3" x14ac:dyDescent="0.25">
      <c r="A41">
        <v>230</v>
      </c>
      <c r="B41" t="s">
        <v>123</v>
      </c>
      <c r="C41" s="29">
        <v>446.4</v>
      </c>
    </row>
    <row r="42" spans="1:3" x14ac:dyDescent="0.25">
      <c r="A42">
        <v>231</v>
      </c>
      <c r="B42" t="s">
        <v>124</v>
      </c>
      <c r="C42" s="29">
        <v>755.9</v>
      </c>
    </row>
    <row r="43" spans="1:3" x14ac:dyDescent="0.25">
      <c r="A43">
        <v>232</v>
      </c>
      <c r="B43" t="s">
        <v>125</v>
      </c>
      <c r="C43" s="29">
        <v>1626.9</v>
      </c>
    </row>
    <row r="44" spans="1:3" x14ac:dyDescent="0.25">
      <c r="A44">
        <v>233</v>
      </c>
      <c r="B44" t="s">
        <v>126</v>
      </c>
      <c r="C44" s="29">
        <v>5015.3999999999996</v>
      </c>
    </row>
    <row r="45" spans="1:3" x14ac:dyDescent="0.25">
      <c r="A45">
        <v>234</v>
      </c>
      <c r="B45" t="s">
        <v>127</v>
      </c>
      <c r="C45" s="29">
        <v>345.2</v>
      </c>
    </row>
    <row r="46" spans="1:3" x14ac:dyDescent="0.25">
      <c r="A46">
        <v>235</v>
      </c>
      <c r="B46" t="s">
        <v>128</v>
      </c>
      <c r="C46" s="29">
        <v>115.9</v>
      </c>
    </row>
    <row r="47" spans="1:3" x14ac:dyDescent="0.25">
      <c r="A47">
        <v>237</v>
      </c>
      <c r="B47" t="s">
        <v>129</v>
      </c>
      <c r="C47" s="29">
        <v>188.2</v>
      </c>
    </row>
    <row r="48" spans="1:3" x14ac:dyDescent="0.25">
      <c r="A48">
        <v>239</v>
      </c>
      <c r="B48" t="s">
        <v>131</v>
      </c>
      <c r="C48" s="29">
        <v>192.6</v>
      </c>
    </row>
    <row r="49" spans="1:3" x14ac:dyDescent="0.25">
      <c r="A49">
        <v>240</v>
      </c>
      <c r="B49" t="s">
        <v>132</v>
      </c>
      <c r="C49" s="29">
        <v>70.099999999999994</v>
      </c>
    </row>
    <row r="50" spans="1:3" x14ac:dyDescent="0.25">
      <c r="A50">
        <v>241</v>
      </c>
      <c r="B50" t="s">
        <v>133</v>
      </c>
      <c r="C50" s="29">
        <v>0</v>
      </c>
    </row>
    <row r="51" spans="1:3" x14ac:dyDescent="0.25">
      <c r="A51">
        <v>242</v>
      </c>
      <c r="B51" t="s">
        <v>134</v>
      </c>
      <c r="C51" s="29">
        <v>11.5</v>
      </c>
    </row>
    <row r="52" spans="1:3" x14ac:dyDescent="0.25">
      <c r="A52">
        <v>243</v>
      </c>
      <c r="B52" t="s">
        <v>135</v>
      </c>
      <c r="C52" s="29">
        <v>146</v>
      </c>
    </row>
    <row r="53" spans="1:3" x14ac:dyDescent="0.25">
      <c r="A53">
        <v>244</v>
      </c>
      <c r="B53" t="s">
        <v>136</v>
      </c>
      <c r="C53" s="29">
        <v>233.2</v>
      </c>
    </row>
    <row r="54" spans="1:3" x14ac:dyDescent="0.25">
      <c r="A54">
        <v>245</v>
      </c>
      <c r="B54" t="s">
        <v>137</v>
      </c>
      <c r="C54" s="29">
        <v>46.4</v>
      </c>
    </row>
    <row r="55" spans="1:3" x14ac:dyDescent="0.25">
      <c r="A55">
        <v>246</v>
      </c>
      <c r="B55" t="s">
        <v>138</v>
      </c>
      <c r="C55" s="29">
        <v>8.1</v>
      </c>
    </row>
    <row r="56" spans="1:3" x14ac:dyDescent="0.25">
      <c r="A56">
        <v>247</v>
      </c>
      <c r="B56" t="s">
        <v>139</v>
      </c>
      <c r="C56" s="29">
        <v>114.6</v>
      </c>
    </row>
    <row r="57" spans="1:3" x14ac:dyDescent="0.25">
      <c r="A57">
        <v>248</v>
      </c>
      <c r="B57" t="s">
        <v>140</v>
      </c>
      <c r="C57" s="29">
        <v>303.7</v>
      </c>
    </row>
    <row r="58" spans="1:3" x14ac:dyDescent="0.25">
      <c r="A58">
        <v>249</v>
      </c>
      <c r="B58" t="s">
        <v>141</v>
      </c>
      <c r="C58" s="29">
        <v>127</v>
      </c>
    </row>
    <row r="59" spans="1:3" x14ac:dyDescent="0.25">
      <c r="A59">
        <v>250</v>
      </c>
      <c r="B59" t="s">
        <v>142</v>
      </c>
      <c r="C59" s="29">
        <v>329.1</v>
      </c>
    </row>
    <row r="60" spans="1:3" x14ac:dyDescent="0.25">
      <c r="A60">
        <v>251</v>
      </c>
      <c r="B60" t="s">
        <v>143</v>
      </c>
      <c r="C60" s="29">
        <v>116.8</v>
      </c>
    </row>
    <row r="61" spans="1:3" x14ac:dyDescent="0.25">
      <c r="A61">
        <v>252</v>
      </c>
      <c r="B61" t="s">
        <v>144</v>
      </c>
      <c r="C61" s="29">
        <v>216.8</v>
      </c>
    </row>
    <row r="62" spans="1:3" x14ac:dyDescent="0.25">
      <c r="A62">
        <v>253</v>
      </c>
      <c r="B62" t="s">
        <v>145</v>
      </c>
      <c r="C62" s="29">
        <v>677.8</v>
      </c>
    </row>
    <row r="63" spans="1:3" x14ac:dyDescent="0.25">
      <c r="A63">
        <v>254</v>
      </c>
      <c r="B63" t="s">
        <v>146</v>
      </c>
      <c r="C63" s="29">
        <v>76.7</v>
      </c>
    </row>
    <row r="64" spans="1:3" x14ac:dyDescent="0.25">
      <c r="A64">
        <v>255</v>
      </c>
      <c r="B64" t="s">
        <v>147</v>
      </c>
      <c r="C64" s="29">
        <v>84.8</v>
      </c>
    </row>
    <row r="65" spans="1:3" x14ac:dyDescent="0.25">
      <c r="A65">
        <v>256</v>
      </c>
      <c r="B65" t="s">
        <v>148</v>
      </c>
      <c r="C65" s="29">
        <v>87.5</v>
      </c>
    </row>
    <row r="66" spans="1:3" x14ac:dyDescent="0.25">
      <c r="A66">
        <v>257</v>
      </c>
      <c r="B66" t="s">
        <v>149</v>
      </c>
      <c r="C66" s="29">
        <v>357.8</v>
      </c>
    </row>
    <row r="67" spans="1:3" x14ac:dyDescent="0.25">
      <c r="A67">
        <v>258</v>
      </c>
      <c r="B67" t="s">
        <v>150</v>
      </c>
      <c r="C67" s="29">
        <v>249.8</v>
      </c>
    </row>
    <row r="68" spans="1:3" x14ac:dyDescent="0.25">
      <c r="A68">
        <v>259</v>
      </c>
      <c r="B68" t="s">
        <v>152</v>
      </c>
      <c r="C68" s="29">
        <v>8964.2999999999993</v>
      </c>
    </row>
    <row r="69" spans="1:3" x14ac:dyDescent="0.25">
      <c r="A69">
        <v>260</v>
      </c>
      <c r="B69" t="s">
        <v>153</v>
      </c>
      <c r="C69" s="29">
        <v>1004.6</v>
      </c>
    </row>
    <row r="70" spans="1:3" x14ac:dyDescent="0.25">
      <c r="A70">
        <v>261</v>
      </c>
      <c r="B70" t="s">
        <v>154</v>
      </c>
      <c r="C70" s="29">
        <v>702.5</v>
      </c>
    </row>
    <row r="71" spans="1:3" x14ac:dyDescent="0.25">
      <c r="A71">
        <v>262</v>
      </c>
      <c r="B71" t="s">
        <v>155</v>
      </c>
      <c r="C71" s="29">
        <v>464.6</v>
      </c>
    </row>
    <row r="72" spans="1:3" x14ac:dyDescent="0.25">
      <c r="A72">
        <v>263</v>
      </c>
      <c r="B72" t="s">
        <v>156</v>
      </c>
      <c r="C72" s="29">
        <v>287.8</v>
      </c>
    </row>
    <row r="73" spans="1:3" x14ac:dyDescent="0.25">
      <c r="A73">
        <v>264</v>
      </c>
      <c r="B73" t="s">
        <v>157</v>
      </c>
      <c r="C73" s="29">
        <v>146.30000000000001</v>
      </c>
    </row>
    <row r="74" spans="1:3" x14ac:dyDescent="0.25">
      <c r="A74">
        <v>265</v>
      </c>
      <c r="B74" t="s">
        <v>158</v>
      </c>
      <c r="C74" s="29">
        <v>164.4</v>
      </c>
    </row>
    <row r="75" spans="1:3" x14ac:dyDescent="0.25">
      <c r="A75">
        <v>266</v>
      </c>
      <c r="B75" t="s">
        <v>159</v>
      </c>
      <c r="C75" s="29">
        <v>1187.9000000000001</v>
      </c>
    </row>
    <row r="76" spans="1:3" x14ac:dyDescent="0.25">
      <c r="A76">
        <v>267</v>
      </c>
      <c r="B76" t="s">
        <v>160</v>
      </c>
      <c r="C76" s="29">
        <v>446.1</v>
      </c>
    </row>
    <row r="77" spans="1:3" x14ac:dyDescent="0.25">
      <c r="A77">
        <v>268</v>
      </c>
      <c r="B77" t="s">
        <v>161</v>
      </c>
      <c r="C77" s="29">
        <v>206.9</v>
      </c>
    </row>
    <row r="78" spans="1:3" x14ac:dyDescent="0.25">
      <c r="A78">
        <v>269</v>
      </c>
      <c r="B78" t="s">
        <v>162</v>
      </c>
      <c r="C78" s="29">
        <v>31.2</v>
      </c>
    </row>
    <row r="79" spans="1:3" x14ac:dyDescent="0.25">
      <c r="A79">
        <v>270</v>
      </c>
      <c r="B79" t="s">
        <v>163</v>
      </c>
      <c r="C79" s="29">
        <v>101.4</v>
      </c>
    </row>
    <row r="80" spans="1:3" x14ac:dyDescent="0.25">
      <c r="A80">
        <v>271</v>
      </c>
      <c r="B80" t="s">
        <v>164</v>
      </c>
      <c r="C80" s="29">
        <v>70</v>
      </c>
    </row>
    <row r="81" spans="1:3" x14ac:dyDescent="0.25">
      <c r="A81">
        <v>272</v>
      </c>
      <c r="B81" t="s">
        <v>165</v>
      </c>
      <c r="C81" s="29">
        <v>142.69999999999999</v>
      </c>
    </row>
    <row r="82" spans="1:3" x14ac:dyDescent="0.25">
      <c r="A82">
        <v>273</v>
      </c>
      <c r="B82" t="s">
        <v>166</v>
      </c>
      <c r="C82" s="29">
        <v>180.6</v>
      </c>
    </row>
    <row r="83" spans="1:3" x14ac:dyDescent="0.25">
      <c r="A83">
        <v>274</v>
      </c>
      <c r="B83" t="s">
        <v>168</v>
      </c>
      <c r="C83" s="29">
        <v>142.4</v>
      </c>
    </row>
    <row r="84" spans="1:3" x14ac:dyDescent="0.25">
      <c r="A84">
        <v>275</v>
      </c>
      <c r="B84" t="s">
        <v>169</v>
      </c>
      <c r="C84" s="29">
        <v>0</v>
      </c>
    </row>
    <row r="85" spans="1:3" x14ac:dyDescent="0.25">
      <c r="A85">
        <v>281</v>
      </c>
      <c r="B85" t="s">
        <v>170</v>
      </c>
      <c r="C85" s="29">
        <v>121.5</v>
      </c>
    </row>
    <row r="86" spans="1:3" x14ac:dyDescent="0.25">
      <c r="A86">
        <v>282</v>
      </c>
      <c r="B86" t="s">
        <v>171</v>
      </c>
      <c r="C86" s="29">
        <v>89.9</v>
      </c>
    </row>
    <row r="87" spans="1:3" x14ac:dyDescent="0.25">
      <c r="A87">
        <v>283</v>
      </c>
      <c r="B87" t="s">
        <v>172</v>
      </c>
      <c r="C87" s="29">
        <v>85.6</v>
      </c>
    </row>
    <row r="88" spans="1:3" x14ac:dyDescent="0.25">
      <c r="A88">
        <v>284</v>
      </c>
      <c r="B88" t="s">
        <v>174</v>
      </c>
      <c r="C88" s="29">
        <v>102.9</v>
      </c>
    </row>
    <row r="89" spans="1:3" x14ac:dyDescent="0.25">
      <c r="A89">
        <v>285</v>
      </c>
      <c r="B89" t="s">
        <v>176</v>
      </c>
      <c r="C89" s="29">
        <v>0</v>
      </c>
    </row>
    <row r="90" spans="1:3" x14ac:dyDescent="0.25">
      <c r="A90">
        <v>286</v>
      </c>
      <c r="B90" t="s">
        <v>175</v>
      </c>
      <c r="C90" s="29">
        <v>39.1</v>
      </c>
    </row>
    <row r="91" spans="1:3" x14ac:dyDescent="0.25">
      <c r="A91">
        <v>287</v>
      </c>
      <c r="B91" t="s">
        <v>177</v>
      </c>
      <c r="C91" s="29">
        <v>274.7</v>
      </c>
    </row>
    <row r="92" spans="1:3" x14ac:dyDescent="0.25">
      <c r="A92">
        <v>288</v>
      </c>
      <c r="B92" t="s">
        <v>178</v>
      </c>
      <c r="C92" s="29">
        <v>356.5</v>
      </c>
    </row>
    <row r="93" spans="1:3" x14ac:dyDescent="0.25">
      <c r="A93">
        <v>289</v>
      </c>
      <c r="B93" t="s">
        <v>179</v>
      </c>
      <c r="C93" s="29">
        <v>108.4</v>
      </c>
    </row>
    <row r="94" spans="1:3" x14ac:dyDescent="0.25">
      <c r="A94">
        <v>290</v>
      </c>
      <c r="B94" t="s">
        <v>130</v>
      </c>
      <c r="C94" s="29">
        <v>538</v>
      </c>
    </row>
    <row r="95" spans="1:3" x14ac:dyDescent="0.25">
      <c r="A95">
        <v>291</v>
      </c>
      <c r="B95" t="s">
        <v>180</v>
      </c>
      <c r="C95" s="29">
        <v>19.2</v>
      </c>
    </row>
    <row r="96" spans="1:3" x14ac:dyDescent="0.25">
      <c r="A96">
        <v>292</v>
      </c>
      <c r="B96" t="s">
        <v>181</v>
      </c>
      <c r="C96" s="29">
        <v>22.6</v>
      </c>
    </row>
    <row r="97" spans="1:3" x14ac:dyDescent="0.25">
      <c r="A97">
        <v>293</v>
      </c>
      <c r="B97" t="s">
        <v>182</v>
      </c>
      <c r="C97" s="29">
        <v>66.8</v>
      </c>
    </row>
    <row r="98" spans="1:3" x14ac:dyDescent="0.25">
      <c r="A98">
        <v>294</v>
      </c>
      <c r="B98" t="s">
        <v>183</v>
      </c>
      <c r="C98" s="29">
        <v>81.7</v>
      </c>
    </row>
    <row r="99" spans="1:3" x14ac:dyDescent="0.25">
      <c r="A99">
        <v>297</v>
      </c>
      <c r="B99" t="s">
        <v>184</v>
      </c>
      <c r="C99" s="29">
        <v>19.2</v>
      </c>
    </row>
    <row r="100" spans="1:3" x14ac:dyDescent="0.25">
      <c r="A100">
        <v>298</v>
      </c>
      <c r="B100" t="s">
        <v>185</v>
      </c>
      <c r="C100" s="29">
        <v>55</v>
      </c>
    </row>
    <row r="101" spans="1:3" x14ac:dyDescent="0.25">
      <c r="A101">
        <v>299</v>
      </c>
      <c r="B101" t="s">
        <v>186</v>
      </c>
      <c r="C101" s="29">
        <v>40.9</v>
      </c>
    </row>
    <row r="102" spans="1:3" x14ac:dyDescent="0.25">
      <c r="A102">
        <v>300</v>
      </c>
      <c r="B102" t="s">
        <v>187</v>
      </c>
      <c r="C102" s="29">
        <v>0</v>
      </c>
    </row>
    <row r="103" spans="1:3" x14ac:dyDescent="0.25">
      <c r="A103">
        <v>303</v>
      </c>
      <c r="B103" t="s">
        <v>188</v>
      </c>
      <c r="C103" s="29">
        <v>172.6</v>
      </c>
    </row>
    <row r="104" spans="1:3" x14ac:dyDescent="0.25">
      <c r="A104">
        <v>305</v>
      </c>
      <c r="B104" t="s">
        <v>189</v>
      </c>
      <c r="C104" s="29">
        <v>910.7</v>
      </c>
    </row>
    <row r="105" spans="1:3" x14ac:dyDescent="0.25">
      <c r="A105">
        <v>306</v>
      </c>
      <c r="B105" t="s">
        <v>190</v>
      </c>
      <c r="C105" s="29">
        <v>196.7</v>
      </c>
    </row>
    <row r="106" spans="1:3" x14ac:dyDescent="0.25">
      <c r="A106">
        <v>307</v>
      </c>
      <c r="B106" t="s">
        <v>191</v>
      </c>
      <c r="C106" s="29">
        <v>171.8</v>
      </c>
    </row>
    <row r="107" spans="1:3" x14ac:dyDescent="0.25">
      <c r="A107">
        <v>308</v>
      </c>
      <c r="B107" t="s">
        <v>192</v>
      </c>
      <c r="C107" s="29">
        <v>1388.1</v>
      </c>
    </row>
    <row r="108" spans="1:3" x14ac:dyDescent="0.25">
      <c r="A108">
        <v>309</v>
      </c>
      <c r="B108" t="s">
        <v>193</v>
      </c>
      <c r="C108" s="29">
        <v>226.4</v>
      </c>
    </row>
    <row r="109" spans="1:3" x14ac:dyDescent="0.25">
      <c r="A109">
        <v>310</v>
      </c>
      <c r="B109" t="s">
        <v>194</v>
      </c>
      <c r="C109" s="29">
        <v>65.5</v>
      </c>
    </row>
    <row r="110" spans="1:3" x14ac:dyDescent="0.25">
      <c r="A110">
        <v>311</v>
      </c>
      <c r="B110" t="s">
        <v>195</v>
      </c>
      <c r="C110" s="29">
        <v>129.19999999999999</v>
      </c>
    </row>
    <row r="111" spans="1:3" x14ac:dyDescent="0.25">
      <c r="A111">
        <v>312</v>
      </c>
      <c r="B111" t="s">
        <v>196</v>
      </c>
      <c r="C111" s="29">
        <v>196</v>
      </c>
    </row>
    <row r="112" spans="1:3" x14ac:dyDescent="0.25">
      <c r="A112">
        <v>313</v>
      </c>
      <c r="B112" t="s">
        <v>197</v>
      </c>
      <c r="C112" s="29">
        <v>534.6</v>
      </c>
    </row>
    <row r="113" spans="1:3" x14ac:dyDescent="0.25">
      <c r="A113">
        <v>314</v>
      </c>
      <c r="B113" t="s">
        <v>198</v>
      </c>
      <c r="C113" s="29">
        <v>0</v>
      </c>
    </row>
    <row r="114" spans="1:3" x14ac:dyDescent="0.25">
      <c r="A114">
        <v>315</v>
      </c>
      <c r="B114" t="s">
        <v>199</v>
      </c>
      <c r="C114" s="29">
        <v>326.8</v>
      </c>
    </row>
    <row r="115" spans="1:3" x14ac:dyDescent="0.25">
      <c r="A115">
        <v>316</v>
      </c>
      <c r="B115" t="s">
        <v>200</v>
      </c>
      <c r="C115" s="29">
        <v>10.1</v>
      </c>
    </row>
    <row r="116" spans="1:3" x14ac:dyDescent="0.25">
      <c r="A116">
        <v>320</v>
      </c>
      <c r="B116" t="s">
        <v>201</v>
      </c>
      <c r="C116" s="29">
        <v>348.8</v>
      </c>
    </row>
    <row r="117" spans="1:3" x14ac:dyDescent="0.25">
      <c r="A117">
        <v>321</v>
      </c>
      <c r="B117" t="s">
        <v>202</v>
      </c>
      <c r="C117" s="29">
        <v>312</v>
      </c>
    </row>
    <row r="118" spans="1:3" x14ac:dyDescent="0.25">
      <c r="A118">
        <v>322</v>
      </c>
      <c r="B118" t="s">
        <v>203</v>
      </c>
      <c r="C118" s="29">
        <v>99.6</v>
      </c>
    </row>
    <row r="119" spans="1:3" x14ac:dyDescent="0.25">
      <c r="A119">
        <v>323</v>
      </c>
      <c r="B119" t="s">
        <v>204</v>
      </c>
      <c r="C119" s="29">
        <v>196.8</v>
      </c>
    </row>
    <row r="120" spans="1:3" x14ac:dyDescent="0.25">
      <c r="A120">
        <v>325</v>
      </c>
      <c r="B120" t="s">
        <v>205</v>
      </c>
      <c r="C120" s="29">
        <v>62.5</v>
      </c>
    </row>
    <row r="121" spans="1:3" x14ac:dyDescent="0.25">
      <c r="A121">
        <v>326</v>
      </c>
      <c r="B121" t="s">
        <v>167</v>
      </c>
      <c r="C121" s="29">
        <v>74.3</v>
      </c>
    </row>
    <row r="122" spans="1:3" x14ac:dyDescent="0.25">
      <c r="A122">
        <v>327</v>
      </c>
      <c r="B122" t="s">
        <v>92</v>
      </c>
      <c r="C122" s="29">
        <v>101.2</v>
      </c>
    </row>
    <row r="123" spans="1:3" x14ac:dyDescent="0.25">
      <c r="A123">
        <v>329</v>
      </c>
      <c r="B123" t="s">
        <v>206</v>
      </c>
      <c r="C123" s="29">
        <v>126.8</v>
      </c>
    </row>
    <row r="124" spans="1:3" x14ac:dyDescent="0.25">
      <c r="A124">
        <v>330</v>
      </c>
      <c r="B124" t="s">
        <v>207</v>
      </c>
      <c r="C124" s="29">
        <v>251.3</v>
      </c>
    </row>
    <row r="125" spans="1:3" x14ac:dyDescent="0.25">
      <c r="A125">
        <v>331</v>
      </c>
      <c r="B125" t="s">
        <v>208</v>
      </c>
      <c r="C125" s="29">
        <v>253.6</v>
      </c>
    </row>
    <row r="126" spans="1:3" x14ac:dyDescent="0.25">
      <c r="A126">
        <v>332</v>
      </c>
      <c r="B126" t="s">
        <v>209</v>
      </c>
      <c r="C126" s="29">
        <v>0</v>
      </c>
    </row>
    <row r="127" spans="1:3" x14ac:dyDescent="0.25">
      <c r="A127">
        <v>333</v>
      </c>
      <c r="B127" t="s">
        <v>210</v>
      </c>
      <c r="C127" s="29">
        <v>262.8</v>
      </c>
    </row>
    <row r="128" spans="1:3" x14ac:dyDescent="0.25">
      <c r="A128">
        <v>334</v>
      </c>
      <c r="B128" t="s">
        <v>211</v>
      </c>
      <c r="C128" s="29">
        <v>66.599999999999994</v>
      </c>
    </row>
    <row r="129" spans="1:3" x14ac:dyDescent="0.25">
      <c r="A129">
        <v>335</v>
      </c>
      <c r="B129" t="s">
        <v>212</v>
      </c>
      <c r="C129" s="29">
        <v>125.2</v>
      </c>
    </row>
    <row r="130" spans="1:3" x14ac:dyDescent="0.25">
      <c r="A130">
        <v>336</v>
      </c>
      <c r="B130" t="s">
        <v>213</v>
      </c>
      <c r="C130" s="29">
        <v>356.5</v>
      </c>
    </row>
    <row r="131" spans="1:3" x14ac:dyDescent="0.25">
      <c r="A131">
        <v>337</v>
      </c>
      <c r="B131" t="s">
        <v>214</v>
      </c>
      <c r="C131" s="29">
        <v>164.7</v>
      </c>
    </row>
    <row r="132" spans="1:3" x14ac:dyDescent="0.25">
      <c r="A132">
        <v>338</v>
      </c>
      <c r="B132" t="s">
        <v>215</v>
      </c>
      <c r="C132" s="29">
        <v>143.80000000000001</v>
      </c>
    </row>
    <row r="133" spans="1:3" x14ac:dyDescent="0.25">
      <c r="A133">
        <v>339</v>
      </c>
      <c r="B133" t="s">
        <v>216</v>
      </c>
      <c r="C133" s="29">
        <v>119.8</v>
      </c>
    </row>
    <row r="134" spans="1:3" x14ac:dyDescent="0.25">
      <c r="A134">
        <v>340</v>
      </c>
      <c r="B134" t="s">
        <v>217</v>
      </c>
      <c r="C134" s="29">
        <v>210.3</v>
      </c>
    </row>
    <row r="135" spans="1:3" x14ac:dyDescent="0.25">
      <c r="A135">
        <v>341</v>
      </c>
      <c r="B135" t="s">
        <v>218</v>
      </c>
      <c r="C135" s="29">
        <v>117.1</v>
      </c>
    </row>
    <row r="136" spans="1:3" x14ac:dyDescent="0.25">
      <c r="A136">
        <v>342</v>
      </c>
      <c r="B136" t="s">
        <v>219</v>
      </c>
      <c r="C136" s="29">
        <v>144.4</v>
      </c>
    </row>
    <row r="137" spans="1:3" x14ac:dyDescent="0.25">
      <c r="A137">
        <v>343</v>
      </c>
      <c r="B137" t="s">
        <v>220</v>
      </c>
      <c r="C137" s="29">
        <v>229.6</v>
      </c>
    </row>
    <row r="138" spans="1:3" x14ac:dyDescent="0.25">
      <c r="A138">
        <v>344</v>
      </c>
      <c r="B138" t="s">
        <v>221</v>
      </c>
      <c r="C138" s="29">
        <v>120.9</v>
      </c>
    </row>
    <row r="139" spans="1:3" x14ac:dyDescent="0.25">
      <c r="A139">
        <v>345</v>
      </c>
      <c r="B139" t="s">
        <v>222</v>
      </c>
      <c r="C139" s="29">
        <v>762.6</v>
      </c>
    </row>
    <row r="140" spans="1:3" x14ac:dyDescent="0.25">
      <c r="A140">
        <v>346</v>
      </c>
      <c r="B140" t="s">
        <v>223</v>
      </c>
      <c r="C140" s="29">
        <v>169.1</v>
      </c>
    </row>
    <row r="141" spans="1:3" x14ac:dyDescent="0.25">
      <c r="A141">
        <v>347</v>
      </c>
      <c r="B141" t="s">
        <v>224</v>
      </c>
      <c r="C141" s="29">
        <v>49.4</v>
      </c>
    </row>
    <row r="142" spans="1:3" x14ac:dyDescent="0.25">
      <c r="A142">
        <v>348</v>
      </c>
      <c r="B142" t="s">
        <v>225</v>
      </c>
      <c r="C142" s="29">
        <v>66.599999999999994</v>
      </c>
    </row>
    <row r="143" spans="1:3" x14ac:dyDescent="0.25">
      <c r="A143">
        <v>349</v>
      </c>
      <c r="B143" t="s">
        <v>226</v>
      </c>
      <c r="C143" s="29">
        <v>71</v>
      </c>
    </row>
    <row r="144" spans="1:3" x14ac:dyDescent="0.25">
      <c r="A144">
        <v>350</v>
      </c>
      <c r="B144" t="s">
        <v>227</v>
      </c>
      <c r="C144" s="29">
        <v>68.099999999999994</v>
      </c>
    </row>
    <row r="145" spans="1:3" x14ac:dyDescent="0.25">
      <c r="A145">
        <v>351</v>
      </c>
      <c r="B145" t="s">
        <v>228</v>
      </c>
      <c r="C145" s="29">
        <v>51.1</v>
      </c>
    </row>
    <row r="146" spans="1:3" x14ac:dyDescent="0.25">
      <c r="A146">
        <v>352</v>
      </c>
      <c r="B146" t="s">
        <v>229</v>
      </c>
      <c r="C146" s="29">
        <v>200.1</v>
      </c>
    </row>
    <row r="147" spans="1:3" x14ac:dyDescent="0.25">
      <c r="A147">
        <v>353</v>
      </c>
      <c r="B147" t="s">
        <v>230</v>
      </c>
      <c r="C147" s="29">
        <v>480.9</v>
      </c>
    </row>
    <row r="148" spans="1:3" x14ac:dyDescent="0.25">
      <c r="A148">
        <v>355</v>
      </c>
      <c r="B148" t="s">
        <v>231</v>
      </c>
      <c r="C148" s="29">
        <v>124</v>
      </c>
    </row>
    <row r="149" spans="1:3" x14ac:dyDescent="0.25">
      <c r="A149">
        <v>356</v>
      </c>
      <c r="B149" t="s">
        <v>232</v>
      </c>
      <c r="C149" s="29">
        <v>216.9</v>
      </c>
    </row>
    <row r="150" spans="1:3" x14ac:dyDescent="0.25">
      <c r="A150">
        <v>357</v>
      </c>
      <c r="B150" t="s">
        <v>233</v>
      </c>
      <c r="C150" s="29">
        <v>117.3</v>
      </c>
    </row>
    <row r="151" spans="1:3" x14ac:dyDescent="0.25">
      <c r="A151">
        <v>358</v>
      </c>
      <c r="B151" t="s">
        <v>234</v>
      </c>
      <c r="C151" s="29">
        <v>59.3</v>
      </c>
    </row>
    <row r="152" spans="1:3" x14ac:dyDescent="0.25">
      <c r="A152">
        <v>359</v>
      </c>
      <c r="B152" t="s">
        <v>235</v>
      </c>
      <c r="C152" s="29">
        <v>34.700000000000003</v>
      </c>
    </row>
    <row r="153" spans="1:3" x14ac:dyDescent="0.25">
      <c r="A153">
        <v>360</v>
      </c>
      <c r="B153" t="s">
        <v>236</v>
      </c>
      <c r="C153" s="29">
        <v>103.9</v>
      </c>
    </row>
    <row r="154" spans="1:3" x14ac:dyDescent="0.25">
      <c r="A154">
        <v>361</v>
      </c>
      <c r="B154" t="s">
        <v>237</v>
      </c>
      <c r="C154" s="29">
        <v>84.2</v>
      </c>
    </row>
    <row r="155" spans="1:3" x14ac:dyDescent="0.25">
      <c r="A155">
        <v>362</v>
      </c>
      <c r="B155" t="s">
        <v>238</v>
      </c>
      <c r="C155" s="29">
        <v>189.7</v>
      </c>
    </row>
    <row r="156" spans="1:3" x14ac:dyDescent="0.25">
      <c r="A156">
        <v>363</v>
      </c>
      <c r="B156" t="s">
        <v>239</v>
      </c>
      <c r="C156" s="29">
        <v>174.9</v>
      </c>
    </row>
    <row r="157" spans="1:3" x14ac:dyDescent="0.25">
      <c r="A157">
        <v>364</v>
      </c>
      <c r="B157" t="s">
        <v>240</v>
      </c>
      <c r="C157" s="29">
        <v>297.7</v>
      </c>
    </row>
    <row r="158" spans="1:3" x14ac:dyDescent="0.25">
      <c r="A158">
        <v>365</v>
      </c>
      <c r="B158" t="s">
        <v>241</v>
      </c>
      <c r="C158" s="29">
        <v>312.8</v>
      </c>
    </row>
    <row r="159" spans="1:3" x14ac:dyDescent="0.25">
      <c r="A159">
        <v>366</v>
      </c>
      <c r="B159" t="s">
        <v>242</v>
      </c>
      <c r="C159" s="29">
        <v>123.3</v>
      </c>
    </row>
    <row r="160" spans="1:3" x14ac:dyDescent="0.25">
      <c r="A160">
        <v>367</v>
      </c>
      <c r="B160" t="s">
        <v>243</v>
      </c>
      <c r="C160" s="29">
        <v>193.9</v>
      </c>
    </row>
    <row r="161" spans="1:3" x14ac:dyDescent="0.25">
      <c r="A161">
        <v>368</v>
      </c>
      <c r="B161" t="s">
        <v>244</v>
      </c>
      <c r="C161" s="29">
        <v>640.79999999999995</v>
      </c>
    </row>
    <row r="162" spans="1:3" x14ac:dyDescent="0.25">
      <c r="A162">
        <v>369</v>
      </c>
      <c r="B162" t="s">
        <v>245</v>
      </c>
      <c r="C162" s="29">
        <v>89.6</v>
      </c>
    </row>
    <row r="163" spans="1:3" x14ac:dyDescent="0.25">
      <c r="A163">
        <v>371</v>
      </c>
      <c r="B163" t="s">
        <v>246</v>
      </c>
      <c r="C163" s="29">
        <v>46.8</v>
      </c>
    </row>
    <row r="164" spans="1:3" x14ac:dyDescent="0.25">
      <c r="A164">
        <v>372</v>
      </c>
      <c r="B164" t="s">
        <v>247</v>
      </c>
      <c r="C164" s="29">
        <v>129.6</v>
      </c>
    </row>
    <row r="165" spans="1:3" x14ac:dyDescent="0.25">
      <c r="A165">
        <v>373</v>
      </c>
      <c r="B165" t="s">
        <v>248</v>
      </c>
      <c r="C165" s="29">
        <v>787.4</v>
      </c>
    </row>
    <row r="166" spans="1:3" x14ac:dyDescent="0.25">
      <c r="A166">
        <v>374</v>
      </c>
      <c r="B166" t="s">
        <v>249</v>
      </c>
      <c r="C166" s="29">
        <v>33</v>
      </c>
    </row>
    <row r="167" spans="1:3" x14ac:dyDescent="0.25">
      <c r="A167">
        <v>375</v>
      </c>
      <c r="B167" t="s">
        <v>250</v>
      </c>
      <c r="C167" s="29">
        <v>531.79999999999995</v>
      </c>
    </row>
    <row r="168" spans="1:3" x14ac:dyDescent="0.25">
      <c r="A168">
        <v>376</v>
      </c>
      <c r="B168" t="s">
        <v>251</v>
      </c>
      <c r="C168" s="29">
        <v>81.2</v>
      </c>
    </row>
    <row r="169" spans="1:3" x14ac:dyDescent="0.25">
      <c r="A169">
        <v>377</v>
      </c>
      <c r="B169" t="s">
        <v>253</v>
      </c>
      <c r="C169" s="29">
        <v>88.3</v>
      </c>
    </row>
    <row r="170" spans="1:3" x14ac:dyDescent="0.25">
      <c r="A170">
        <v>378</v>
      </c>
      <c r="B170" t="s">
        <v>254</v>
      </c>
      <c r="C170" s="29">
        <v>197.1</v>
      </c>
    </row>
    <row r="171" spans="1:3" x14ac:dyDescent="0.25">
      <c r="A171">
        <v>379</v>
      </c>
      <c r="B171" t="s">
        <v>255</v>
      </c>
      <c r="C171" s="29">
        <v>336.6</v>
      </c>
    </row>
    <row r="172" spans="1:3" x14ac:dyDescent="0.25">
      <c r="A172">
        <v>380</v>
      </c>
      <c r="B172" t="s">
        <v>256</v>
      </c>
      <c r="C172" s="29">
        <v>143.9</v>
      </c>
    </row>
    <row r="173" spans="1:3" x14ac:dyDescent="0.25">
      <c r="A173">
        <v>381</v>
      </c>
      <c r="B173" t="s">
        <v>257</v>
      </c>
      <c r="C173" s="29">
        <v>32.9</v>
      </c>
    </row>
    <row r="174" spans="1:3" x14ac:dyDescent="0.25">
      <c r="A174">
        <v>382</v>
      </c>
      <c r="B174" t="s">
        <v>258</v>
      </c>
      <c r="C174" s="29">
        <v>208.2</v>
      </c>
    </row>
    <row r="175" spans="1:3" x14ac:dyDescent="0.25">
      <c r="A175">
        <v>383</v>
      </c>
      <c r="B175" t="s">
        <v>259</v>
      </c>
      <c r="C175" s="29">
        <v>597.29999999999995</v>
      </c>
    </row>
    <row r="176" spans="1:3" x14ac:dyDescent="0.25">
      <c r="A176">
        <v>384</v>
      </c>
      <c r="B176" t="s">
        <v>122</v>
      </c>
      <c r="C176" s="29">
        <v>91.5</v>
      </c>
    </row>
    <row r="177" spans="1:3" x14ac:dyDescent="0.25">
      <c r="A177">
        <v>385</v>
      </c>
      <c r="B177" t="s">
        <v>260</v>
      </c>
      <c r="C177" s="29">
        <v>524.4</v>
      </c>
    </row>
    <row r="178" spans="1:3" x14ac:dyDescent="0.25">
      <c r="A178">
        <v>386</v>
      </c>
      <c r="B178" t="s">
        <v>261</v>
      </c>
      <c r="C178" s="29">
        <v>38.4</v>
      </c>
    </row>
    <row r="179" spans="1:3" x14ac:dyDescent="0.25">
      <c r="A179">
        <v>387</v>
      </c>
      <c r="B179" t="s">
        <v>262</v>
      </c>
      <c r="C179" s="29">
        <v>42.8</v>
      </c>
    </row>
    <row r="180" spans="1:3" x14ac:dyDescent="0.25">
      <c r="A180">
        <v>388</v>
      </c>
      <c r="B180" t="s">
        <v>263</v>
      </c>
      <c r="C180" s="29">
        <v>147.80000000000001</v>
      </c>
    </row>
    <row r="181" spans="1:3" x14ac:dyDescent="0.25">
      <c r="A181">
        <v>389</v>
      </c>
      <c r="B181" t="s">
        <v>264</v>
      </c>
      <c r="C181" s="29">
        <v>194.7</v>
      </c>
    </row>
    <row r="182" spans="1:3" x14ac:dyDescent="0.25">
      <c r="A182">
        <v>390</v>
      </c>
      <c r="B182" t="s">
        <v>265</v>
      </c>
      <c r="C182" s="29">
        <v>9.6999999999999993</v>
      </c>
    </row>
    <row r="183" spans="1:3" x14ac:dyDescent="0.25">
      <c r="A183">
        <v>392</v>
      </c>
      <c r="B183" t="s">
        <v>266</v>
      </c>
      <c r="C183" s="29">
        <v>83.1</v>
      </c>
    </row>
    <row r="184" spans="1:3" x14ac:dyDescent="0.25">
      <c r="A184">
        <v>393</v>
      </c>
      <c r="B184" t="s">
        <v>267</v>
      </c>
      <c r="C184" s="29">
        <v>54.5</v>
      </c>
    </row>
    <row r="185" spans="1:3" x14ac:dyDescent="0.25">
      <c r="A185">
        <v>394</v>
      </c>
      <c r="B185" t="s">
        <v>268</v>
      </c>
      <c r="C185" s="29">
        <v>208.9</v>
      </c>
    </row>
    <row r="186" spans="1:3" x14ac:dyDescent="0.25">
      <c r="A186">
        <v>395</v>
      </c>
      <c r="B186" t="s">
        <v>269</v>
      </c>
      <c r="C186" s="29">
        <v>9.1</v>
      </c>
    </row>
    <row r="187" spans="1:3" x14ac:dyDescent="0.25">
      <c r="A187">
        <v>396</v>
      </c>
      <c r="B187" t="s">
        <v>270</v>
      </c>
      <c r="C187" s="29">
        <v>195.8</v>
      </c>
    </row>
    <row r="188" spans="1:3" x14ac:dyDescent="0.25">
      <c r="A188">
        <v>397</v>
      </c>
      <c r="B188" t="s">
        <v>272</v>
      </c>
      <c r="C188" s="29">
        <v>112.6</v>
      </c>
    </row>
    <row r="189" spans="1:3" x14ac:dyDescent="0.25">
      <c r="A189">
        <v>398</v>
      </c>
      <c r="B189" t="s">
        <v>273</v>
      </c>
      <c r="C189" s="29">
        <v>97</v>
      </c>
    </row>
    <row r="190" spans="1:3" x14ac:dyDescent="0.25">
      <c r="A190">
        <v>399</v>
      </c>
      <c r="B190" t="s">
        <v>274</v>
      </c>
      <c r="C190" s="29">
        <v>58.9</v>
      </c>
    </row>
    <row r="191" spans="1:3" x14ac:dyDescent="0.25">
      <c r="A191">
        <v>400</v>
      </c>
      <c r="B191" t="s">
        <v>276</v>
      </c>
      <c r="C191" s="29">
        <v>264.3</v>
      </c>
    </row>
    <row r="192" spans="1:3" x14ac:dyDescent="0.25">
      <c r="A192">
        <v>401</v>
      </c>
      <c r="B192" t="s">
        <v>173</v>
      </c>
      <c r="C192" s="29">
        <v>39.200000000000003</v>
      </c>
    </row>
    <row r="193" spans="1:3" x14ac:dyDescent="0.25">
      <c r="A193">
        <v>402</v>
      </c>
      <c r="B193" t="s">
        <v>277</v>
      </c>
      <c r="C193" s="29">
        <v>441.7</v>
      </c>
    </row>
    <row r="194" spans="1:3" x14ac:dyDescent="0.25">
      <c r="A194">
        <v>403</v>
      </c>
      <c r="B194" t="s">
        <v>278</v>
      </c>
      <c r="C194" s="29">
        <v>57</v>
      </c>
    </row>
    <row r="195" spans="1:3" x14ac:dyDescent="0.25">
      <c r="A195">
        <v>404</v>
      </c>
      <c r="B195" t="s">
        <v>279</v>
      </c>
      <c r="C195" s="29">
        <v>295.7</v>
      </c>
    </row>
    <row r="196" spans="1:3" x14ac:dyDescent="0.25">
      <c r="A196">
        <v>405</v>
      </c>
      <c r="B196" t="s">
        <v>280</v>
      </c>
      <c r="C196" s="29">
        <v>58</v>
      </c>
    </row>
    <row r="197" spans="1:3" x14ac:dyDescent="0.25">
      <c r="A197">
        <v>407</v>
      </c>
      <c r="B197" t="s">
        <v>281</v>
      </c>
      <c r="C197" s="29">
        <v>103</v>
      </c>
    </row>
    <row r="198" spans="1:3" x14ac:dyDescent="0.25">
      <c r="A198">
        <v>408</v>
      </c>
      <c r="B198" t="s">
        <v>271</v>
      </c>
      <c r="C198" s="29">
        <v>137.4</v>
      </c>
    </row>
    <row r="199" spans="1:3" x14ac:dyDescent="0.25">
      <c r="A199">
        <v>409</v>
      </c>
      <c r="B199" t="s">
        <v>252</v>
      </c>
      <c r="C199" s="29">
        <v>247.3</v>
      </c>
    </row>
    <row r="200" spans="1:3" x14ac:dyDescent="0.25">
      <c r="A200">
        <v>410</v>
      </c>
      <c r="B200" t="s">
        <v>282</v>
      </c>
      <c r="C200" s="29">
        <v>402.6</v>
      </c>
    </row>
    <row r="201" spans="1:3" x14ac:dyDescent="0.25">
      <c r="A201">
        <v>411</v>
      </c>
      <c r="B201" t="s">
        <v>283</v>
      </c>
      <c r="C201" s="29">
        <v>58.4</v>
      </c>
    </row>
    <row r="202" spans="1:3" x14ac:dyDescent="0.25">
      <c r="A202">
        <v>412</v>
      </c>
      <c r="B202" t="s">
        <v>284</v>
      </c>
      <c r="C202" s="29">
        <v>55.4</v>
      </c>
    </row>
    <row r="203" spans="1:3" x14ac:dyDescent="0.25">
      <c r="A203">
        <v>413</v>
      </c>
      <c r="B203" t="s">
        <v>285</v>
      </c>
      <c r="C203" s="29">
        <v>541.4</v>
      </c>
    </row>
    <row r="204" spans="1:3" x14ac:dyDescent="0.25">
      <c r="A204">
        <v>415</v>
      </c>
      <c r="B204" t="s">
        <v>286</v>
      </c>
      <c r="C204" s="29">
        <v>196.1</v>
      </c>
    </row>
    <row r="205" spans="1:3" x14ac:dyDescent="0.25">
      <c r="A205">
        <v>416</v>
      </c>
      <c r="B205" t="s">
        <v>287</v>
      </c>
      <c r="C205" s="29">
        <v>272.8</v>
      </c>
    </row>
    <row r="206" spans="1:3" x14ac:dyDescent="0.25">
      <c r="A206">
        <v>417</v>
      </c>
      <c r="B206" t="s">
        <v>288</v>
      </c>
      <c r="C206" s="29">
        <v>184.1</v>
      </c>
    </row>
    <row r="207" spans="1:3" x14ac:dyDescent="0.25">
      <c r="A207">
        <v>418</v>
      </c>
      <c r="B207" t="s">
        <v>275</v>
      </c>
      <c r="C207" s="29">
        <v>299.2</v>
      </c>
    </row>
    <row r="208" spans="1:3" x14ac:dyDescent="0.25">
      <c r="A208">
        <v>419</v>
      </c>
      <c r="B208" t="s">
        <v>289</v>
      </c>
      <c r="C208" s="29">
        <v>79.900000000000006</v>
      </c>
    </row>
    <row r="209" spans="1:3" x14ac:dyDescent="0.25">
      <c r="A209">
        <v>420</v>
      </c>
      <c r="B209" t="s">
        <v>290</v>
      </c>
      <c r="C209" s="29">
        <v>60.1</v>
      </c>
    </row>
    <row r="210" spans="1:3" x14ac:dyDescent="0.25">
      <c r="A210">
        <v>421</v>
      </c>
      <c r="B210" t="s">
        <v>291</v>
      </c>
      <c r="C210" s="29">
        <v>112</v>
      </c>
    </row>
    <row r="211" spans="1:3" x14ac:dyDescent="0.25">
      <c r="A211">
        <v>422</v>
      </c>
      <c r="B211" t="s">
        <v>292</v>
      </c>
      <c r="C211" s="29">
        <v>0</v>
      </c>
    </row>
    <row r="212" spans="1:3" x14ac:dyDescent="0.25">
      <c r="A212">
        <v>423</v>
      </c>
      <c r="B212" t="s">
        <v>293</v>
      </c>
      <c r="C212" s="29">
        <v>95</v>
      </c>
    </row>
    <row r="213" spans="1:3" x14ac:dyDescent="0.25">
      <c r="A213">
        <v>426</v>
      </c>
      <c r="B213" t="s">
        <v>294</v>
      </c>
      <c r="C213" s="29">
        <v>28.9</v>
      </c>
    </row>
    <row r="214" spans="1:3" x14ac:dyDescent="0.25">
      <c r="A214">
        <v>428</v>
      </c>
      <c r="B214" t="s">
        <v>295</v>
      </c>
      <c r="C214" s="29">
        <v>621.6</v>
      </c>
    </row>
    <row r="215" spans="1:3" x14ac:dyDescent="0.25">
      <c r="A215">
        <v>429</v>
      </c>
      <c r="B215" t="s">
        <v>296</v>
      </c>
      <c r="C215" s="29">
        <v>24.9</v>
      </c>
    </row>
    <row r="216" spans="1:3" x14ac:dyDescent="0.25">
      <c r="A216">
        <v>430</v>
      </c>
      <c r="B216" t="s">
        <v>297</v>
      </c>
      <c r="C216" s="29">
        <v>180.8</v>
      </c>
    </row>
    <row r="217" spans="1:3" x14ac:dyDescent="0.25">
      <c r="A217">
        <v>431</v>
      </c>
      <c r="B217" t="s">
        <v>298</v>
      </c>
      <c r="C217" s="29">
        <v>213.2</v>
      </c>
    </row>
    <row r="218" spans="1:3" x14ac:dyDescent="0.25">
      <c r="A218">
        <v>432</v>
      </c>
      <c r="B218" t="s">
        <v>299</v>
      </c>
      <c r="C218" s="29">
        <v>74.3</v>
      </c>
    </row>
    <row r="219" spans="1:3" x14ac:dyDescent="0.25">
      <c r="A219">
        <v>434</v>
      </c>
      <c r="B219" t="s">
        <v>300</v>
      </c>
      <c r="C219" s="29">
        <v>234.9</v>
      </c>
    </row>
    <row r="220" spans="1:3" x14ac:dyDescent="0.25">
      <c r="A220">
        <v>435</v>
      </c>
      <c r="B220" t="s">
        <v>301</v>
      </c>
      <c r="C220" s="29">
        <v>474.4</v>
      </c>
    </row>
    <row r="221" spans="1:3" x14ac:dyDescent="0.25">
      <c r="A221">
        <v>436</v>
      </c>
      <c r="B221" t="s">
        <v>302</v>
      </c>
      <c r="C221" s="29">
        <v>121</v>
      </c>
    </row>
    <row r="222" spans="1:3" x14ac:dyDescent="0.25">
      <c r="A222">
        <v>437</v>
      </c>
      <c r="B222" t="s">
        <v>303</v>
      </c>
      <c r="C222" s="29">
        <v>497.7</v>
      </c>
    </row>
    <row r="223" spans="1:3" x14ac:dyDescent="0.25">
      <c r="A223">
        <v>438</v>
      </c>
      <c r="B223" t="s">
        <v>304</v>
      </c>
      <c r="C223" s="29">
        <v>123.4</v>
      </c>
    </row>
    <row r="224" spans="1:3" x14ac:dyDescent="0.25">
      <c r="A224">
        <v>439</v>
      </c>
      <c r="B224" t="s">
        <v>151</v>
      </c>
      <c r="C224" s="29">
        <v>160.80000000000001</v>
      </c>
    </row>
    <row r="225" spans="1:3" x14ac:dyDescent="0.25">
      <c r="A225">
        <v>440</v>
      </c>
      <c r="B225" t="s">
        <v>305</v>
      </c>
      <c r="C225" s="29">
        <v>173.7</v>
      </c>
    </row>
    <row r="226" spans="1:3" x14ac:dyDescent="0.25">
      <c r="A226">
        <v>443</v>
      </c>
      <c r="B226" t="s">
        <v>306</v>
      </c>
      <c r="C226" s="29">
        <v>1452.9</v>
      </c>
    </row>
    <row r="227" spans="1:3" x14ac:dyDescent="0.25">
      <c r="A227">
        <v>444</v>
      </c>
      <c r="B227" t="s">
        <v>307</v>
      </c>
      <c r="C227" s="29">
        <v>76.2</v>
      </c>
    </row>
    <row r="228" spans="1:3" x14ac:dyDescent="0.25">
      <c r="A228">
        <v>445</v>
      </c>
      <c r="B228" t="s">
        <v>308</v>
      </c>
      <c r="C228" s="29">
        <v>646.79999999999995</v>
      </c>
    </row>
    <row r="229" spans="1:3" x14ac:dyDescent="0.25">
      <c r="A229">
        <v>446</v>
      </c>
      <c r="B229" t="s">
        <v>309</v>
      </c>
      <c r="C229" s="29">
        <v>351.7</v>
      </c>
    </row>
    <row r="230" spans="1:3" x14ac:dyDescent="0.25">
      <c r="A230">
        <v>447</v>
      </c>
      <c r="B230" t="s">
        <v>310</v>
      </c>
      <c r="C230" s="29">
        <v>214.4</v>
      </c>
    </row>
    <row r="231" spans="1:3" x14ac:dyDescent="0.25">
      <c r="A231">
        <v>448</v>
      </c>
      <c r="B231" t="s">
        <v>311</v>
      </c>
      <c r="C231" s="29">
        <v>73.2</v>
      </c>
    </row>
    <row r="232" spans="1:3" x14ac:dyDescent="0.25">
      <c r="A232">
        <v>449</v>
      </c>
      <c r="B232" t="s">
        <v>312</v>
      </c>
      <c r="C232" s="29">
        <v>275.5</v>
      </c>
    </row>
    <row r="233" spans="1:3" x14ac:dyDescent="0.25">
      <c r="A233">
        <v>450</v>
      </c>
      <c r="B233" t="s">
        <v>313</v>
      </c>
      <c r="C233" s="29">
        <v>672.8</v>
      </c>
    </row>
    <row r="234" spans="1:3" x14ac:dyDescent="0.25">
      <c r="A234">
        <v>452</v>
      </c>
      <c r="B234" t="s">
        <v>314</v>
      </c>
      <c r="C234" s="29">
        <v>29.2</v>
      </c>
    </row>
    <row r="235" spans="1:3" x14ac:dyDescent="0.25">
      <c r="A235">
        <v>453</v>
      </c>
      <c r="B235" t="s">
        <v>103</v>
      </c>
      <c r="C235" s="29">
        <v>570.29999999999995</v>
      </c>
    </row>
    <row r="236" spans="1:3" x14ac:dyDescent="0.25">
      <c r="A236">
        <v>454</v>
      </c>
      <c r="B236" t="s">
        <v>315</v>
      </c>
      <c r="C236" s="29">
        <v>109.6</v>
      </c>
    </row>
    <row r="237" spans="1:3" x14ac:dyDescent="0.25">
      <c r="A237">
        <v>456</v>
      </c>
      <c r="B237" t="s">
        <v>316</v>
      </c>
      <c r="C237" s="29">
        <v>106.3</v>
      </c>
    </row>
    <row r="238" spans="1:3" x14ac:dyDescent="0.25">
      <c r="A238">
        <v>457</v>
      </c>
      <c r="B238" t="s">
        <v>317</v>
      </c>
      <c r="C238" s="29">
        <v>1245.9000000000001</v>
      </c>
    </row>
    <row r="239" spans="1:3" x14ac:dyDescent="0.25">
      <c r="A239">
        <v>458</v>
      </c>
      <c r="B239" t="s">
        <v>318</v>
      </c>
      <c r="C239" s="29">
        <v>454.8</v>
      </c>
    </row>
    <row r="240" spans="1:3" x14ac:dyDescent="0.25">
      <c r="A240">
        <v>459</v>
      </c>
      <c r="B240" t="s">
        <v>319</v>
      </c>
      <c r="C240" s="29">
        <v>0</v>
      </c>
    </row>
    <row r="241" spans="1:3" x14ac:dyDescent="0.25">
      <c r="A241">
        <v>460</v>
      </c>
      <c r="B241" t="s">
        <v>320</v>
      </c>
      <c r="C241" s="29">
        <v>176.8</v>
      </c>
    </row>
    <row r="242" spans="1:3" x14ac:dyDescent="0.25">
      <c r="A242">
        <v>461</v>
      </c>
      <c r="B242" t="s">
        <v>321</v>
      </c>
      <c r="C242" s="29">
        <v>192</v>
      </c>
    </row>
    <row r="243" spans="1:3" x14ac:dyDescent="0.25">
      <c r="A243">
        <v>462</v>
      </c>
      <c r="B243" t="s">
        <v>322</v>
      </c>
      <c r="C243" s="29">
        <v>69.099999999999994</v>
      </c>
    </row>
    <row r="244" spans="1:3" x14ac:dyDescent="0.25">
      <c r="A244">
        <v>463</v>
      </c>
      <c r="B244" t="s">
        <v>323</v>
      </c>
      <c r="C244" s="29">
        <v>0</v>
      </c>
    </row>
    <row r="245" spans="1:3" x14ac:dyDescent="0.25">
      <c r="A245">
        <v>464</v>
      </c>
      <c r="B245" t="s">
        <v>324</v>
      </c>
      <c r="C245" s="29">
        <v>472.9</v>
      </c>
    </row>
    <row r="246" spans="1:3" x14ac:dyDescent="0.25">
      <c r="A246">
        <v>465</v>
      </c>
      <c r="B246" t="s">
        <v>325</v>
      </c>
      <c r="C246" s="29">
        <v>703.2</v>
      </c>
    </row>
    <row r="247" spans="1:3" x14ac:dyDescent="0.25">
      <c r="A247">
        <v>466</v>
      </c>
      <c r="B247" t="s">
        <v>326</v>
      </c>
      <c r="C247" s="29">
        <v>106.3</v>
      </c>
    </row>
    <row r="248" spans="1:3" x14ac:dyDescent="0.25">
      <c r="A248">
        <v>467</v>
      </c>
      <c r="B248" t="s">
        <v>327</v>
      </c>
      <c r="C248" s="29">
        <v>74.5</v>
      </c>
    </row>
    <row r="249" spans="1:3" x14ac:dyDescent="0.25">
      <c r="A249">
        <v>468</v>
      </c>
      <c r="B249" t="s">
        <v>328</v>
      </c>
      <c r="C249" s="29">
        <v>0</v>
      </c>
    </row>
    <row r="250" spans="1:3" x14ac:dyDescent="0.25">
      <c r="A250">
        <v>469</v>
      </c>
      <c r="B250" t="s">
        <v>329</v>
      </c>
      <c r="C250" s="29">
        <v>284.5</v>
      </c>
    </row>
    <row r="251" spans="1:3" x14ac:dyDescent="0.25">
      <c r="A251">
        <v>470</v>
      </c>
      <c r="B251" t="s">
        <v>330</v>
      </c>
      <c r="C251" s="29">
        <v>587.6</v>
      </c>
    </row>
    <row r="252" spans="1:3" x14ac:dyDescent="0.25">
      <c r="A252">
        <v>471</v>
      </c>
      <c r="B252" t="s">
        <v>331</v>
      </c>
      <c r="C252" s="29">
        <v>0</v>
      </c>
    </row>
    <row r="253" spans="1:3" x14ac:dyDescent="0.25">
      <c r="A253">
        <v>473</v>
      </c>
      <c r="B253" t="s">
        <v>332</v>
      </c>
      <c r="C253" s="29">
        <v>352.4</v>
      </c>
    </row>
    <row r="254" spans="1:3" x14ac:dyDescent="0.25">
      <c r="A254">
        <v>474</v>
      </c>
      <c r="B254" t="s">
        <v>333</v>
      </c>
      <c r="C254" s="29">
        <v>0</v>
      </c>
    </row>
    <row r="255" spans="1:3" x14ac:dyDescent="0.25">
      <c r="A255">
        <v>475</v>
      </c>
      <c r="B255" t="s">
        <v>334</v>
      </c>
      <c r="C255" s="29">
        <v>506.3</v>
      </c>
    </row>
    <row r="256" spans="1:3" x14ac:dyDescent="0.25">
      <c r="A256">
        <v>476</v>
      </c>
      <c r="B256" t="s">
        <v>335</v>
      </c>
      <c r="C256" s="29">
        <v>26.7</v>
      </c>
    </row>
    <row r="257" spans="1:3" x14ac:dyDescent="0.25">
      <c r="A257">
        <v>477</v>
      </c>
      <c r="B257" t="s">
        <v>336</v>
      </c>
      <c r="C257" s="29">
        <v>0</v>
      </c>
    </row>
    <row r="258" spans="1:3" x14ac:dyDescent="0.25">
      <c r="A258">
        <v>479</v>
      </c>
      <c r="B258" t="s">
        <v>337</v>
      </c>
      <c r="C258" s="29">
        <v>62.4</v>
      </c>
    </row>
    <row r="259" spans="1:3" x14ac:dyDescent="0.25">
      <c r="A259">
        <v>480</v>
      </c>
      <c r="B259" t="s">
        <v>338</v>
      </c>
      <c r="C259" s="29">
        <v>474.5</v>
      </c>
    </row>
    <row r="260" spans="1:3" x14ac:dyDescent="0.25">
      <c r="A260">
        <v>481</v>
      </c>
      <c r="B260" t="s">
        <v>339</v>
      </c>
      <c r="C260" s="29">
        <v>236.2</v>
      </c>
    </row>
    <row r="261" spans="1:3" x14ac:dyDescent="0.25">
      <c r="A261">
        <v>482</v>
      </c>
      <c r="B261" t="s">
        <v>340</v>
      </c>
      <c r="C261" s="29">
        <v>63.5</v>
      </c>
    </row>
    <row r="262" spans="1:3" x14ac:dyDescent="0.25">
      <c r="A262">
        <v>483</v>
      </c>
      <c r="B262" t="s">
        <v>341</v>
      </c>
      <c r="C262" s="29">
        <v>32.6</v>
      </c>
    </row>
    <row r="263" spans="1:3" x14ac:dyDescent="0.25">
      <c r="A263">
        <v>484</v>
      </c>
      <c r="B263" t="s">
        <v>342</v>
      </c>
      <c r="C263" s="29">
        <v>79</v>
      </c>
    </row>
    <row r="264" spans="1:3" x14ac:dyDescent="0.25">
      <c r="A264">
        <v>487</v>
      </c>
      <c r="B264" t="s">
        <v>343</v>
      </c>
      <c r="C264" s="29">
        <v>135.19999999999999</v>
      </c>
    </row>
    <row r="265" spans="1:3" x14ac:dyDescent="0.25">
      <c r="A265">
        <v>489</v>
      </c>
      <c r="B265" t="s">
        <v>344</v>
      </c>
      <c r="C265" s="29">
        <v>745.7</v>
      </c>
    </row>
    <row r="266" spans="1:3" x14ac:dyDescent="0.25">
      <c r="A266">
        <v>490</v>
      </c>
      <c r="B266" t="s">
        <v>345</v>
      </c>
      <c r="C266" s="29">
        <v>274.5</v>
      </c>
    </row>
    <row r="267" spans="1:3" x14ac:dyDescent="0.25">
      <c r="A267">
        <v>491</v>
      </c>
      <c r="B267" t="s">
        <v>346</v>
      </c>
      <c r="C267" s="29">
        <v>493</v>
      </c>
    </row>
    <row r="268" spans="1:3" x14ac:dyDescent="0.25">
      <c r="A268">
        <v>492</v>
      </c>
      <c r="B268" t="s">
        <v>347</v>
      </c>
      <c r="C268" s="29">
        <v>0</v>
      </c>
    </row>
    <row r="269" spans="1:3" x14ac:dyDescent="0.25">
      <c r="A269">
        <v>493</v>
      </c>
      <c r="B269" t="s">
        <v>348</v>
      </c>
      <c r="C269" s="29">
        <v>377.1</v>
      </c>
    </row>
    <row r="270" spans="1:3" x14ac:dyDescent="0.25">
      <c r="A270">
        <v>494</v>
      </c>
      <c r="B270" t="s">
        <v>349</v>
      </c>
      <c r="C270" s="29">
        <v>32.5</v>
      </c>
    </row>
    <row r="271" spans="1:3" x14ac:dyDescent="0.25">
      <c r="A271">
        <v>495</v>
      </c>
      <c r="B271" t="s">
        <v>350</v>
      </c>
      <c r="C271" s="29">
        <v>176.7</v>
      </c>
    </row>
    <row r="272" spans="1:3" x14ac:dyDescent="0.25">
      <c r="A272">
        <v>496</v>
      </c>
      <c r="B272" t="s">
        <v>351</v>
      </c>
      <c r="C272" s="29">
        <v>4.8</v>
      </c>
    </row>
    <row r="273" spans="1:3" x14ac:dyDescent="0.25">
      <c r="A273">
        <v>497</v>
      </c>
      <c r="B273" t="s">
        <v>352</v>
      </c>
      <c r="C273" s="29">
        <v>1925.7</v>
      </c>
    </row>
    <row r="274" spans="1:3" x14ac:dyDescent="0.25">
      <c r="A274">
        <v>498</v>
      </c>
      <c r="B274" t="s">
        <v>353</v>
      </c>
      <c r="C274" s="29">
        <v>104.1</v>
      </c>
    </row>
    <row r="275" spans="1:3" x14ac:dyDescent="0.25">
      <c r="A275">
        <v>499</v>
      </c>
      <c r="B275" t="s">
        <v>354</v>
      </c>
      <c r="C275" s="29">
        <v>203.5</v>
      </c>
    </row>
    <row r="276" spans="1:3" x14ac:dyDescent="0.25">
      <c r="A276">
        <v>500</v>
      </c>
      <c r="B276" t="s">
        <v>355</v>
      </c>
      <c r="C276" s="29">
        <v>4162.3</v>
      </c>
    </row>
    <row r="277" spans="1:3" x14ac:dyDescent="0.25">
      <c r="A277">
        <v>501</v>
      </c>
      <c r="B277" t="s">
        <v>356</v>
      </c>
      <c r="C277" s="29">
        <v>1618</v>
      </c>
    </row>
    <row r="278" spans="1:3" x14ac:dyDescent="0.25">
      <c r="A278">
        <v>502</v>
      </c>
      <c r="B278" t="s">
        <v>357</v>
      </c>
      <c r="C278" s="29">
        <v>11.9</v>
      </c>
    </row>
    <row r="279" spans="1:3" x14ac:dyDescent="0.25">
      <c r="A279">
        <v>503</v>
      </c>
      <c r="B279" t="s">
        <v>358</v>
      </c>
      <c r="C279" s="29">
        <v>255.8</v>
      </c>
    </row>
    <row r="280" spans="1:3" x14ac:dyDescent="0.25">
      <c r="A280">
        <v>504</v>
      </c>
      <c r="B280" t="s">
        <v>359</v>
      </c>
      <c r="C280" s="29">
        <v>61.8</v>
      </c>
    </row>
    <row r="281" spans="1:3" x14ac:dyDescent="0.25">
      <c r="A281">
        <v>505</v>
      </c>
      <c r="B281" t="s">
        <v>360</v>
      </c>
      <c r="C281" s="29">
        <v>137.9</v>
      </c>
    </row>
    <row r="282" spans="1:3" x14ac:dyDescent="0.25">
      <c r="A282">
        <v>506</v>
      </c>
      <c r="B282" t="s">
        <v>361</v>
      </c>
      <c r="C282" s="29">
        <v>598.79999999999995</v>
      </c>
    </row>
    <row r="283" spans="1:3" x14ac:dyDescent="0.25">
      <c r="A283">
        <v>507</v>
      </c>
      <c r="B283" t="s">
        <v>362</v>
      </c>
      <c r="C283" s="29">
        <v>57.6</v>
      </c>
    </row>
    <row r="284" spans="1:3" x14ac:dyDescent="0.25">
      <c r="A284">
        <v>508</v>
      </c>
      <c r="B284" t="s">
        <v>363</v>
      </c>
      <c r="C284" s="29">
        <v>348.8</v>
      </c>
    </row>
    <row r="285" spans="1:3" x14ac:dyDescent="0.25">
      <c r="A285">
        <v>509</v>
      </c>
      <c r="B285" t="s">
        <v>364</v>
      </c>
      <c r="C285" s="29">
        <v>54.2</v>
      </c>
    </row>
    <row r="286" spans="1:3" x14ac:dyDescent="0.25">
      <c r="A286">
        <v>511</v>
      </c>
      <c r="B286" t="s">
        <v>365</v>
      </c>
      <c r="C286" s="29">
        <v>15.6</v>
      </c>
    </row>
    <row r="287" spans="1:3" x14ac:dyDescent="0.25">
      <c r="A287">
        <v>512</v>
      </c>
      <c r="B287" t="s">
        <v>366</v>
      </c>
      <c r="C287" s="29">
        <v>3794.4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Survey</vt:lpstr>
      <vt:lpstr>Sheet2</vt:lpstr>
      <vt:lpstr>USDNumRange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Milligan</dc:creator>
  <cp:lastModifiedBy>Kevin Mercer</cp:lastModifiedBy>
  <cp:lastPrinted>2012-12-26T22:14:27Z</cp:lastPrinted>
  <dcterms:created xsi:type="dcterms:W3CDTF">2012-05-25T18:31:19Z</dcterms:created>
  <dcterms:modified xsi:type="dcterms:W3CDTF">2012-12-27T22:41:02Z</dcterms:modified>
</cp:coreProperties>
</file>