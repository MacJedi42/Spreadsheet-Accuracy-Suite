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H:\APP\PA\Resource\FinanceFiles\Formula\FAC\2016-2017\GAI\01 Committee\2014 01 24 Meeting\Charge 1 OBF\"/>
    </mc:Choice>
  </mc:AlternateContent>
  <bookViews>
    <workbookView xWindow="0" yWindow="0" windowWidth="14370" windowHeight="9930" tabRatio="690"/>
  </bookViews>
  <sheets>
    <sheet name="Option 12" sheetId="8" r:id="rId1"/>
    <sheet name="Option 13" sheetId="9" r:id="rId2"/>
    <sheet name="Option 14" sheetId="10" r:id="rId3"/>
    <sheet name="Option 15" sheetId="11" r:id="rId4"/>
    <sheet name="Option 16" sheetId="12" r:id="rId5"/>
    <sheet name="Option 17" sheetId="13" r:id="rId6"/>
    <sheet name="Option 18" sheetId="14" r:id="rId7"/>
    <sheet name="Option 19" sheetId="15" r:id="rId8"/>
  </sheets>
  <externalReferences>
    <externalReference r:id="rId9"/>
    <externalReference r:id="rId10"/>
  </externalReferences>
  <definedNames>
    <definedName name="_Fill" localSheetId="0" hidden="1">#REF!</definedName>
    <definedName name="_Fill" localSheetId="1" hidden="1">#REF!</definedName>
    <definedName name="_Fill" localSheetId="2" hidden="1">#REF!</definedName>
    <definedName name="_Fill" localSheetId="3" hidden="1">#REF!</definedName>
    <definedName name="_Fill" localSheetId="4" hidden="1">#REF!</definedName>
    <definedName name="_Fill" localSheetId="5" hidden="1">#REF!</definedName>
    <definedName name="_Fill" localSheetId="6" hidden="1">#REF!</definedName>
    <definedName name="_Fill" localSheetId="7" hidden="1">#REF!</definedName>
    <definedName name="_Fill" hidden="1">#REF!</definedName>
    <definedName name="_xlnm._FilterDatabase" localSheetId="0" hidden="1">'Option 12'!$A$88:$N$362</definedName>
    <definedName name="_xlnm._FilterDatabase" localSheetId="1" hidden="1">'Option 13'!$A$88:$N$383</definedName>
    <definedName name="_xlnm._FilterDatabase" localSheetId="2" hidden="1">'Option 14'!$A$88:$N$362</definedName>
    <definedName name="_xlnm._FilterDatabase" localSheetId="3" hidden="1">'Option 15'!$A$88:$N$383</definedName>
    <definedName name="_xlnm._FilterDatabase" localSheetId="4" hidden="1">'Option 16'!$A$88:$N$362</definedName>
    <definedName name="_xlnm._FilterDatabase" localSheetId="5" hidden="1">'Option 17'!$A$88:$N$383</definedName>
    <definedName name="_xlnm._FilterDatabase" localSheetId="6" hidden="1">'Option 18'!$A$88:$O$362</definedName>
    <definedName name="_xlnm._FilterDatabase" localSheetId="7" hidden="1">'Option 19'!$A$88:$O$383</definedName>
    <definedName name="_Order1" hidden="1">255</definedName>
    <definedName name="_Order2" hidden="1">255</definedName>
    <definedName name="MATCHINST" localSheetId="0">#REF!</definedName>
    <definedName name="MATCHINST" localSheetId="1">#REF!</definedName>
    <definedName name="MATCHINST" localSheetId="2">#REF!</definedName>
    <definedName name="MATCHINST" localSheetId="3">#REF!</definedName>
    <definedName name="MATCHINST" localSheetId="4">#REF!</definedName>
    <definedName name="MATCHINST" localSheetId="5">#REF!</definedName>
    <definedName name="MATCHINST" localSheetId="6">#REF!</definedName>
    <definedName name="MATCHINST" localSheetId="7">#REF!</definedName>
    <definedName name="MATCHINST">#REF!</definedName>
    <definedName name="_xlnm.Print_Area" localSheetId="0">'Option 12'!$A$1:$H$1</definedName>
    <definedName name="_xlnm.Print_Area" localSheetId="1">'Option 13'!$A$1:$H$1</definedName>
    <definedName name="_xlnm.Print_Area" localSheetId="6">'Option 18'!$A$1:$H$1</definedName>
    <definedName name="_xlnm.Print_Area" localSheetId="7">'Option 19'!$A$1:$H$1</definedName>
    <definedName name="solver_adj2" localSheetId="0" hidden="1">#REF!</definedName>
    <definedName name="solver_adj2" localSheetId="1" hidden="1">#REF!</definedName>
    <definedName name="solver_adj2" localSheetId="2" hidden="1">#REF!</definedName>
    <definedName name="solver_adj2" localSheetId="3" hidden="1">#REF!</definedName>
    <definedName name="solver_adj2" localSheetId="4" hidden="1">#REF!</definedName>
    <definedName name="solver_adj2" localSheetId="5" hidden="1">#REF!</definedName>
    <definedName name="solver_adj2" localSheetId="6" hidden="1">#REF!</definedName>
    <definedName name="solver_adj2" localSheetId="7" hidden="1">#REF!</definedName>
    <definedName name="solver_adj2" hidden="1">#REF!</definedName>
    <definedName name="solver_cvg" hidden="1">0.0001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localSheetId="0" hidden="1">[1]Infrastructure!#REF!</definedName>
    <definedName name="solver_opt" localSheetId="1" hidden="1">[1]Infrastructure!#REF!</definedName>
    <definedName name="solver_opt" localSheetId="2" hidden="1">[1]Infrastructure!#REF!</definedName>
    <definedName name="solver_opt" localSheetId="3" hidden="1">[1]Infrastructure!#REF!</definedName>
    <definedName name="solver_opt" localSheetId="4" hidden="1">[1]Infrastructure!#REF!</definedName>
    <definedName name="solver_opt" localSheetId="5" hidden="1">[1]Infrastructure!#REF!</definedName>
    <definedName name="solver_opt" localSheetId="6" hidden="1">[1]Infrastructure!#REF!</definedName>
    <definedName name="solver_opt" localSheetId="7" hidden="1">[1]Infrastructure!#REF!</definedName>
    <definedName name="solver_opt" hidden="1">[2]Infrastructure!#REF!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Z_175A74B9_04D8_4168_BE0E_B9F6D216804E_.wvu.Cols" localSheetId="0" hidden="1">#REF!</definedName>
    <definedName name="Z_175A74B9_04D8_4168_BE0E_B9F6D216804E_.wvu.Cols" localSheetId="1" hidden="1">#REF!</definedName>
    <definedName name="Z_175A74B9_04D8_4168_BE0E_B9F6D216804E_.wvu.Cols" localSheetId="2" hidden="1">#REF!</definedName>
    <definedName name="Z_175A74B9_04D8_4168_BE0E_B9F6D216804E_.wvu.Cols" localSheetId="3" hidden="1">#REF!</definedName>
    <definedName name="Z_175A74B9_04D8_4168_BE0E_B9F6D216804E_.wvu.Cols" localSheetId="4" hidden="1">#REF!</definedName>
    <definedName name="Z_175A74B9_04D8_4168_BE0E_B9F6D216804E_.wvu.Cols" localSheetId="5" hidden="1">#REF!</definedName>
    <definedName name="Z_175A74B9_04D8_4168_BE0E_B9F6D216804E_.wvu.Cols" localSheetId="6" hidden="1">#REF!</definedName>
    <definedName name="Z_175A74B9_04D8_4168_BE0E_B9F6D216804E_.wvu.Cols" localSheetId="7" hidden="1">#REF!</definedName>
    <definedName name="Z_175A74B9_04D8_4168_BE0E_B9F6D216804E_.wvu.Cols" hidden="1">#REF!</definedName>
    <definedName name="Z_175A74B9_04D8_4168_BE0E_B9F6D216804E_.wvu.PrintTitles" localSheetId="0" hidden="1">[1]Infrastructure!$B:$K,[1]Infrastructure!$3:$3</definedName>
    <definedName name="Z_175A74B9_04D8_4168_BE0E_B9F6D216804E_.wvu.PrintTitles" localSheetId="1" hidden="1">[1]Infrastructure!$B:$K,[1]Infrastructure!$3:$3</definedName>
    <definedName name="Z_175A74B9_04D8_4168_BE0E_B9F6D216804E_.wvu.PrintTitles" localSheetId="2" hidden="1">[1]Infrastructure!$B:$K,[1]Infrastructure!$3:$3</definedName>
    <definedName name="Z_175A74B9_04D8_4168_BE0E_B9F6D216804E_.wvu.PrintTitles" localSheetId="3" hidden="1">[1]Infrastructure!$B:$K,[1]Infrastructure!$3:$3</definedName>
    <definedName name="Z_175A74B9_04D8_4168_BE0E_B9F6D216804E_.wvu.PrintTitles" localSheetId="4" hidden="1">[1]Infrastructure!$B:$K,[1]Infrastructure!$3:$3</definedName>
    <definedName name="Z_175A74B9_04D8_4168_BE0E_B9F6D216804E_.wvu.PrintTitles" localSheetId="5" hidden="1">[1]Infrastructure!$B:$K,[1]Infrastructure!$3:$3</definedName>
    <definedName name="Z_175A74B9_04D8_4168_BE0E_B9F6D216804E_.wvu.PrintTitles" localSheetId="6" hidden="1">[1]Infrastructure!$B:$K,[1]Infrastructure!$3:$3</definedName>
    <definedName name="Z_175A74B9_04D8_4168_BE0E_B9F6D216804E_.wvu.PrintTitles" localSheetId="7" hidden="1">[1]Infrastructure!$B:$K,[1]Infrastructure!$3:$3</definedName>
    <definedName name="Z_175A74B9_04D8_4168_BE0E_B9F6D216804E_.wvu.PrintTitles" hidden="1">[2]Infrastructure!$B:$K,[2]Infrastructure!$3:$3</definedName>
    <definedName name="Z_3B4A1CD3_71A7_41D8_BB20_2C00DD672F4C_.wvu.Cols" localSheetId="0" hidden="1">#REF!</definedName>
    <definedName name="Z_3B4A1CD3_71A7_41D8_BB20_2C00DD672F4C_.wvu.Cols" localSheetId="1" hidden="1">#REF!</definedName>
    <definedName name="Z_3B4A1CD3_71A7_41D8_BB20_2C00DD672F4C_.wvu.Cols" localSheetId="2" hidden="1">#REF!</definedName>
    <definedName name="Z_3B4A1CD3_71A7_41D8_BB20_2C00DD672F4C_.wvu.Cols" localSheetId="3" hidden="1">#REF!</definedName>
    <definedName name="Z_3B4A1CD3_71A7_41D8_BB20_2C00DD672F4C_.wvu.Cols" localSheetId="4" hidden="1">#REF!</definedName>
    <definedName name="Z_3B4A1CD3_71A7_41D8_BB20_2C00DD672F4C_.wvu.Cols" localSheetId="5" hidden="1">#REF!</definedName>
    <definedName name="Z_3B4A1CD3_71A7_41D8_BB20_2C00DD672F4C_.wvu.Cols" localSheetId="6" hidden="1">#REF!</definedName>
    <definedName name="Z_3B4A1CD3_71A7_41D8_BB20_2C00DD672F4C_.wvu.Cols" localSheetId="7" hidden="1">#REF!</definedName>
    <definedName name="Z_3B4A1CD3_71A7_41D8_BB20_2C00DD672F4C_.wvu.Cols" hidden="1">#REF!</definedName>
    <definedName name="Z_3B4A1CD3_71A7_41D8_BB20_2C00DD672F4C_.wvu.PrintTitles" localSheetId="0" hidden="1">[1]Infrastructure!$B:$K,[1]Infrastructure!$3:$3</definedName>
    <definedName name="Z_3B4A1CD3_71A7_41D8_BB20_2C00DD672F4C_.wvu.PrintTitles" localSheetId="1" hidden="1">[1]Infrastructure!$B:$K,[1]Infrastructure!$3:$3</definedName>
    <definedName name="Z_3B4A1CD3_71A7_41D8_BB20_2C00DD672F4C_.wvu.PrintTitles" localSheetId="2" hidden="1">[1]Infrastructure!$B:$K,[1]Infrastructure!$3:$3</definedName>
    <definedName name="Z_3B4A1CD3_71A7_41D8_BB20_2C00DD672F4C_.wvu.PrintTitles" localSheetId="3" hidden="1">[1]Infrastructure!$B:$K,[1]Infrastructure!$3:$3</definedName>
    <definedName name="Z_3B4A1CD3_71A7_41D8_BB20_2C00DD672F4C_.wvu.PrintTitles" localSheetId="4" hidden="1">[1]Infrastructure!$B:$K,[1]Infrastructure!$3:$3</definedName>
    <definedName name="Z_3B4A1CD3_71A7_41D8_BB20_2C00DD672F4C_.wvu.PrintTitles" localSheetId="5" hidden="1">[1]Infrastructure!$B:$K,[1]Infrastructure!$3:$3</definedName>
    <definedName name="Z_3B4A1CD3_71A7_41D8_BB20_2C00DD672F4C_.wvu.PrintTitles" localSheetId="6" hidden="1">[1]Infrastructure!$B:$K,[1]Infrastructure!$3:$3</definedName>
    <definedName name="Z_3B4A1CD3_71A7_41D8_BB20_2C00DD672F4C_.wvu.PrintTitles" localSheetId="7" hidden="1">[1]Infrastructure!$B:$K,[1]Infrastructure!$3:$3</definedName>
    <definedName name="Z_3B4A1CD3_71A7_41D8_BB20_2C00DD672F4C_.wvu.PrintTitles" hidden="1">[2]Infrastructure!$B:$K,[2]Infrastructure!$3:$3</definedName>
    <definedName name="Z_5F15871F_1F9D_454B_B820_06244E250857_.wvu.Cols" localSheetId="0" hidden="1">#REF!</definedName>
    <definedName name="Z_5F15871F_1F9D_454B_B820_06244E250857_.wvu.Cols" localSheetId="1" hidden="1">#REF!</definedName>
    <definedName name="Z_5F15871F_1F9D_454B_B820_06244E250857_.wvu.Cols" localSheetId="2" hidden="1">#REF!</definedName>
    <definedName name="Z_5F15871F_1F9D_454B_B820_06244E250857_.wvu.Cols" localSheetId="3" hidden="1">#REF!</definedName>
    <definedName name="Z_5F15871F_1F9D_454B_B820_06244E250857_.wvu.Cols" localSheetId="4" hidden="1">#REF!</definedName>
    <definedName name="Z_5F15871F_1F9D_454B_B820_06244E250857_.wvu.Cols" localSheetId="5" hidden="1">#REF!</definedName>
    <definedName name="Z_5F15871F_1F9D_454B_B820_06244E250857_.wvu.Cols" localSheetId="6" hidden="1">#REF!</definedName>
    <definedName name="Z_5F15871F_1F9D_454B_B820_06244E250857_.wvu.Cols" localSheetId="7" hidden="1">#REF!</definedName>
    <definedName name="Z_5F15871F_1F9D_454B_B820_06244E250857_.wvu.Cols" hidden="1">#REF!</definedName>
    <definedName name="Z_5F15871F_1F9D_454B_B820_06244E250857_.wvu.PrintTitles" localSheetId="0" hidden="1">[1]Infrastructure!$B:$K,[1]Infrastructure!$3:$3</definedName>
    <definedName name="Z_5F15871F_1F9D_454B_B820_06244E250857_.wvu.PrintTitles" localSheetId="1" hidden="1">[1]Infrastructure!$B:$K,[1]Infrastructure!$3:$3</definedName>
    <definedName name="Z_5F15871F_1F9D_454B_B820_06244E250857_.wvu.PrintTitles" localSheetId="2" hidden="1">[1]Infrastructure!$B:$K,[1]Infrastructure!$3:$3</definedName>
    <definedName name="Z_5F15871F_1F9D_454B_B820_06244E250857_.wvu.PrintTitles" localSheetId="3" hidden="1">[1]Infrastructure!$B:$K,[1]Infrastructure!$3:$3</definedName>
    <definedName name="Z_5F15871F_1F9D_454B_B820_06244E250857_.wvu.PrintTitles" localSheetId="4" hidden="1">[1]Infrastructure!$B:$K,[1]Infrastructure!$3:$3</definedName>
    <definedName name="Z_5F15871F_1F9D_454B_B820_06244E250857_.wvu.PrintTitles" localSheetId="5" hidden="1">[1]Infrastructure!$B:$K,[1]Infrastructure!$3:$3</definedName>
    <definedName name="Z_5F15871F_1F9D_454B_B820_06244E250857_.wvu.PrintTitles" localSheetId="6" hidden="1">[1]Infrastructure!$B:$K,[1]Infrastructure!$3:$3</definedName>
    <definedName name="Z_5F15871F_1F9D_454B_B820_06244E250857_.wvu.PrintTitles" localSheetId="7" hidden="1">[1]Infrastructure!$B:$K,[1]Infrastructure!$3:$3</definedName>
    <definedName name="Z_5F15871F_1F9D_454B_B820_06244E250857_.wvu.PrintTitles" hidden="1">[2]Infrastructure!$B:$K,[2]Infrastructure!$3:$3</definedName>
    <definedName name="Z_82D93351_CB79_47D8_8AE8_2B10EACDB89E_.wvu.Cols" localSheetId="0" hidden="1">#REF!</definedName>
    <definedName name="Z_82D93351_CB79_47D8_8AE8_2B10EACDB89E_.wvu.Cols" localSheetId="1" hidden="1">#REF!</definedName>
    <definedName name="Z_82D93351_CB79_47D8_8AE8_2B10EACDB89E_.wvu.Cols" localSheetId="2" hidden="1">#REF!</definedName>
    <definedName name="Z_82D93351_CB79_47D8_8AE8_2B10EACDB89E_.wvu.Cols" localSheetId="3" hidden="1">#REF!</definedName>
    <definedName name="Z_82D93351_CB79_47D8_8AE8_2B10EACDB89E_.wvu.Cols" localSheetId="4" hidden="1">#REF!</definedName>
    <definedName name="Z_82D93351_CB79_47D8_8AE8_2B10EACDB89E_.wvu.Cols" localSheetId="5" hidden="1">#REF!</definedName>
    <definedName name="Z_82D93351_CB79_47D8_8AE8_2B10EACDB89E_.wvu.Cols" localSheetId="6" hidden="1">#REF!</definedName>
    <definedName name="Z_82D93351_CB79_47D8_8AE8_2B10EACDB89E_.wvu.Cols" localSheetId="7" hidden="1">#REF!</definedName>
    <definedName name="Z_82D93351_CB79_47D8_8AE8_2B10EACDB89E_.wvu.Cols" hidden="1">#REF!</definedName>
    <definedName name="Z_82D93351_CB79_47D8_8AE8_2B10EACDB89E_.wvu.PrintTitles" localSheetId="0" hidden="1">[1]Infrastructure!$B:$K,[1]Infrastructure!$3:$3</definedName>
    <definedName name="Z_82D93351_CB79_47D8_8AE8_2B10EACDB89E_.wvu.PrintTitles" localSheetId="1" hidden="1">[1]Infrastructure!$B:$K,[1]Infrastructure!$3:$3</definedName>
    <definedName name="Z_82D93351_CB79_47D8_8AE8_2B10EACDB89E_.wvu.PrintTitles" localSheetId="2" hidden="1">[1]Infrastructure!$B:$K,[1]Infrastructure!$3:$3</definedName>
    <definedName name="Z_82D93351_CB79_47D8_8AE8_2B10EACDB89E_.wvu.PrintTitles" localSheetId="3" hidden="1">[1]Infrastructure!$B:$K,[1]Infrastructure!$3:$3</definedName>
    <definedName name="Z_82D93351_CB79_47D8_8AE8_2B10EACDB89E_.wvu.PrintTitles" localSheetId="4" hidden="1">[1]Infrastructure!$B:$K,[1]Infrastructure!$3:$3</definedName>
    <definedName name="Z_82D93351_CB79_47D8_8AE8_2B10EACDB89E_.wvu.PrintTitles" localSheetId="5" hidden="1">[1]Infrastructure!$B:$K,[1]Infrastructure!$3:$3</definedName>
    <definedName name="Z_82D93351_CB79_47D8_8AE8_2B10EACDB89E_.wvu.PrintTitles" localSheetId="6" hidden="1">[1]Infrastructure!$B:$K,[1]Infrastructure!$3:$3</definedName>
    <definedName name="Z_82D93351_CB79_47D8_8AE8_2B10EACDB89E_.wvu.PrintTitles" localSheetId="7" hidden="1">[1]Infrastructure!$B:$K,[1]Infrastructure!$3:$3</definedName>
    <definedName name="Z_82D93351_CB79_47D8_8AE8_2B10EACDB89E_.wvu.PrintTitles" hidden="1">[2]Infrastructure!$B:$K,[2]Infrastructure!$3:$3</definedName>
  </definedNames>
  <calcPr calcId="152511"/>
</workbook>
</file>

<file path=xl/calcChain.xml><?xml version="1.0" encoding="utf-8"?>
<calcChain xmlns="http://schemas.openxmlformats.org/spreadsheetml/2006/main">
  <c r="J322" i="14" l="1"/>
  <c r="J280" i="14"/>
  <c r="J238" i="14"/>
  <c r="J196" i="14"/>
  <c r="J153" i="14"/>
  <c r="J129" i="14"/>
  <c r="J88" i="14"/>
  <c r="J46" i="14"/>
  <c r="J362" i="14"/>
  <c r="J320" i="14"/>
  <c r="J278" i="14"/>
  <c r="J235" i="14"/>
  <c r="J234" i="14"/>
  <c r="J233" i="14"/>
  <c r="J232" i="14"/>
  <c r="J231" i="14"/>
  <c r="J230" i="14"/>
  <c r="J229" i="14"/>
  <c r="J228" i="14"/>
  <c r="J227" i="14"/>
  <c r="J226" i="14"/>
  <c r="J225" i="14"/>
  <c r="J224" i="14"/>
  <c r="J223" i="14"/>
  <c r="J222" i="14"/>
  <c r="J221" i="14"/>
  <c r="J220" i="14"/>
  <c r="J219" i="14"/>
  <c r="J218" i="14"/>
  <c r="J217" i="14"/>
  <c r="J216" i="14"/>
  <c r="J215" i="14"/>
  <c r="J214" i="14"/>
  <c r="J213" i="14"/>
  <c r="J212" i="14"/>
  <c r="J211" i="14"/>
  <c r="J210" i="14"/>
  <c r="J209" i="14"/>
  <c r="J208" i="14"/>
  <c r="J207" i="14"/>
  <c r="J206" i="14"/>
  <c r="J205" i="14"/>
  <c r="J204" i="14"/>
  <c r="J203" i="14"/>
  <c r="J202" i="14"/>
  <c r="J201" i="14"/>
  <c r="J200" i="14"/>
  <c r="J199" i="14"/>
  <c r="J198" i="14"/>
  <c r="J193" i="14"/>
  <c r="J192" i="14"/>
  <c r="J191" i="14"/>
  <c r="J190" i="14"/>
  <c r="J189" i="14"/>
  <c r="J188" i="14"/>
  <c r="J187" i="14"/>
  <c r="J186" i="14"/>
  <c r="J185" i="14"/>
  <c r="J184" i="14"/>
  <c r="J183" i="14"/>
  <c r="J182" i="14"/>
  <c r="J181" i="14"/>
  <c r="J180" i="14"/>
  <c r="J179" i="14"/>
  <c r="J178" i="14"/>
  <c r="J177" i="14"/>
  <c r="J176" i="14"/>
  <c r="J175" i="14"/>
  <c r="J174" i="14"/>
  <c r="J173" i="14"/>
  <c r="J172" i="14"/>
  <c r="J171" i="14"/>
  <c r="J139" i="14" s="1"/>
  <c r="J170" i="14"/>
  <c r="J169" i="14"/>
  <c r="J168" i="14"/>
  <c r="J167" i="14"/>
  <c r="J140" i="14" s="1"/>
  <c r="J166" i="14"/>
  <c r="J165" i="14"/>
  <c r="J164" i="14"/>
  <c r="J163" i="14"/>
  <c r="J162" i="14"/>
  <c r="J161" i="14"/>
  <c r="J160" i="14"/>
  <c r="J159" i="14"/>
  <c r="J138" i="14" s="1"/>
  <c r="J158" i="14"/>
  <c r="J157" i="14"/>
  <c r="J137" i="14" s="1"/>
  <c r="J156" i="14"/>
  <c r="J141" i="14"/>
  <c r="J129" i="15"/>
  <c r="J343" i="15"/>
  <c r="J301" i="15"/>
  <c r="J259" i="15"/>
  <c r="J174" i="15"/>
  <c r="J46" i="15"/>
  <c r="J383" i="15"/>
  <c r="J341" i="15"/>
  <c r="J299" i="15"/>
  <c r="J256" i="15"/>
  <c r="J255" i="15"/>
  <c r="J213" i="15" s="1"/>
  <c r="J254" i="15"/>
  <c r="J253" i="15"/>
  <c r="J211" i="15" s="1"/>
  <c r="J252" i="15"/>
  <c r="J251" i="15"/>
  <c r="J209" i="15" s="1"/>
  <c r="J250" i="15"/>
  <c r="J249" i="15"/>
  <c r="J207" i="15" s="1"/>
  <c r="J248" i="15"/>
  <c r="J247" i="15"/>
  <c r="J205" i="15" s="1"/>
  <c r="J246" i="15"/>
  <c r="J245" i="15"/>
  <c r="J203" i="15" s="1"/>
  <c r="J244" i="15"/>
  <c r="J243" i="15"/>
  <c r="J201" i="15" s="1"/>
  <c r="J242" i="15"/>
  <c r="J241" i="15"/>
  <c r="J199" i="15" s="1"/>
  <c r="J240" i="15"/>
  <c r="J239" i="15"/>
  <c r="J197" i="15" s="1"/>
  <c r="J238" i="15"/>
  <c r="J237" i="15"/>
  <c r="J195" i="15" s="1"/>
  <c r="J236" i="15"/>
  <c r="J235" i="15"/>
  <c r="J193" i="15" s="1"/>
  <c r="J234" i="15"/>
  <c r="J233" i="15"/>
  <c r="J191" i="15" s="1"/>
  <c r="J232" i="15"/>
  <c r="J231" i="15"/>
  <c r="J189" i="15" s="1"/>
  <c r="J230" i="15"/>
  <c r="J229" i="15"/>
  <c r="J187" i="15" s="1"/>
  <c r="J228" i="15"/>
  <c r="J227" i="15"/>
  <c r="J185" i="15" s="1"/>
  <c r="J226" i="15"/>
  <c r="J225" i="15"/>
  <c r="J183" i="15" s="1"/>
  <c r="J224" i="15"/>
  <c r="J223" i="15"/>
  <c r="J181" i="15" s="1"/>
  <c r="J222" i="15"/>
  <c r="J221" i="15"/>
  <c r="J179" i="15" s="1"/>
  <c r="J220" i="15"/>
  <c r="J219" i="15"/>
  <c r="J177" i="15" s="1"/>
  <c r="J214" i="15"/>
  <c r="J212" i="15"/>
  <c r="J210" i="15"/>
  <c r="J208" i="15"/>
  <c r="J206" i="15"/>
  <c r="J204" i="15"/>
  <c r="J202" i="15"/>
  <c r="J200" i="15"/>
  <c r="J198" i="15"/>
  <c r="J196" i="15"/>
  <c r="J194" i="15"/>
  <c r="J192" i="15"/>
  <c r="J190" i="15"/>
  <c r="J188" i="15"/>
  <c r="J186" i="15"/>
  <c r="J184" i="15"/>
  <c r="J182" i="15"/>
  <c r="J180" i="15"/>
  <c r="J178" i="15"/>
  <c r="J194" i="14" l="1"/>
  <c r="J236" i="14"/>
  <c r="J215" i="15"/>
  <c r="J257" i="15"/>
  <c r="N383" i="15" l="1"/>
  <c r="M383" i="15"/>
  <c r="L383" i="15"/>
  <c r="K383" i="15"/>
  <c r="I383" i="15"/>
  <c r="H383" i="15"/>
  <c r="G383" i="15"/>
  <c r="D383" i="15"/>
  <c r="F371" i="15"/>
  <c r="F383" i="15" s="1"/>
  <c r="N341" i="15"/>
  <c r="M341" i="15"/>
  <c r="L341" i="15"/>
  <c r="K341" i="15"/>
  <c r="I341" i="15"/>
  <c r="H341" i="15"/>
  <c r="G341" i="15"/>
  <c r="F341" i="15"/>
  <c r="D341" i="15"/>
  <c r="N299" i="15"/>
  <c r="M299" i="15"/>
  <c r="L299" i="15"/>
  <c r="K299" i="15"/>
  <c r="I299" i="15"/>
  <c r="H299" i="15"/>
  <c r="G299" i="15"/>
  <c r="F299" i="15"/>
  <c r="D299" i="15"/>
  <c r="E288" i="15"/>
  <c r="E277" i="15"/>
  <c r="E274" i="15"/>
  <c r="N256" i="15"/>
  <c r="M256" i="15"/>
  <c r="L256" i="15"/>
  <c r="K256" i="15"/>
  <c r="I256" i="15"/>
  <c r="H256" i="15"/>
  <c r="G256" i="15"/>
  <c r="D256" i="15"/>
  <c r="N255" i="15"/>
  <c r="M255" i="15"/>
  <c r="L255" i="15"/>
  <c r="K255" i="15"/>
  <c r="I255" i="15"/>
  <c r="H255" i="15"/>
  <c r="G255" i="15"/>
  <c r="D255" i="15"/>
  <c r="N254" i="15"/>
  <c r="M254" i="15"/>
  <c r="L254" i="15"/>
  <c r="K254" i="15"/>
  <c r="I254" i="15"/>
  <c r="H254" i="15"/>
  <c r="G254" i="15"/>
  <c r="D254" i="15"/>
  <c r="N253" i="15"/>
  <c r="M253" i="15"/>
  <c r="L253" i="15"/>
  <c r="K253" i="15"/>
  <c r="I253" i="15"/>
  <c r="H253" i="15"/>
  <c r="G253" i="15"/>
  <c r="D253" i="15"/>
  <c r="N252" i="15"/>
  <c r="M252" i="15"/>
  <c r="L252" i="15"/>
  <c r="K252" i="15"/>
  <c r="I252" i="15"/>
  <c r="H252" i="15"/>
  <c r="G252" i="15"/>
  <c r="D252" i="15"/>
  <c r="N251" i="15"/>
  <c r="M251" i="15"/>
  <c r="L251" i="15"/>
  <c r="K251" i="15"/>
  <c r="I251" i="15"/>
  <c r="H251" i="15"/>
  <c r="G251" i="15"/>
  <c r="D251" i="15"/>
  <c r="N250" i="15"/>
  <c r="M250" i="15"/>
  <c r="L250" i="15"/>
  <c r="K250" i="15"/>
  <c r="I250" i="15"/>
  <c r="H250" i="15"/>
  <c r="G250" i="15"/>
  <c r="D250" i="15"/>
  <c r="N249" i="15"/>
  <c r="M249" i="15"/>
  <c r="L249" i="15"/>
  <c r="K249" i="15"/>
  <c r="I249" i="15"/>
  <c r="H249" i="15"/>
  <c r="G249" i="15"/>
  <c r="D249" i="15"/>
  <c r="N248" i="15"/>
  <c r="M248" i="15"/>
  <c r="L248" i="15"/>
  <c r="K248" i="15"/>
  <c r="I248" i="15"/>
  <c r="H248" i="15"/>
  <c r="G248" i="15"/>
  <c r="D248" i="15"/>
  <c r="N247" i="15"/>
  <c r="M247" i="15"/>
  <c r="L247" i="15"/>
  <c r="K247" i="15"/>
  <c r="I247" i="15"/>
  <c r="H247" i="15"/>
  <c r="G247" i="15"/>
  <c r="D247" i="15"/>
  <c r="N246" i="15"/>
  <c r="M246" i="15"/>
  <c r="L246" i="15"/>
  <c r="K246" i="15"/>
  <c r="I246" i="15"/>
  <c r="H246" i="15"/>
  <c r="G246" i="15"/>
  <c r="D246" i="15"/>
  <c r="N245" i="15"/>
  <c r="M245" i="15"/>
  <c r="L245" i="15"/>
  <c r="K245" i="15"/>
  <c r="I245" i="15"/>
  <c r="H245" i="15"/>
  <c r="G245" i="15"/>
  <c r="D245" i="15"/>
  <c r="N244" i="15"/>
  <c r="M244" i="15"/>
  <c r="L244" i="15"/>
  <c r="K244" i="15"/>
  <c r="I244" i="15"/>
  <c r="H244" i="15"/>
  <c r="G244" i="15"/>
  <c r="D244" i="15"/>
  <c r="N243" i="15"/>
  <c r="M243" i="15"/>
  <c r="L243" i="15"/>
  <c r="K243" i="15"/>
  <c r="I243" i="15"/>
  <c r="H243" i="15"/>
  <c r="G243" i="15"/>
  <c r="D243" i="15"/>
  <c r="N242" i="15"/>
  <c r="M242" i="15"/>
  <c r="L242" i="15"/>
  <c r="K242" i="15"/>
  <c r="I242" i="15"/>
  <c r="H242" i="15"/>
  <c r="G242" i="15"/>
  <c r="D242" i="15"/>
  <c r="N241" i="15"/>
  <c r="M241" i="15"/>
  <c r="L241" i="15"/>
  <c r="K241" i="15"/>
  <c r="I241" i="15"/>
  <c r="H241" i="15"/>
  <c r="G241" i="15"/>
  <c r="D241" i="15"/>
  <c r="N240" i="15"/>
  <c r="M240" i="15"/>
  <c r="L240" i="15"/>
  <c r="K240" i="15"/>
  <c r="I240" i="15"/>
  <c r="H240" i="15"/>
  <c r="G240" i="15"/>
  <c r="D240" i="15"/>
  <c r="N239" i="15"/>
  <c r="M239" i="15"/>
  <c r="L239" i="15"/>
  <c r="K239" i="15"/>
  <c r="I239" i="15"/>
  <c r="H239" i="15"/>
  <c r="G239" i="15"/>
  <c r="D239" i="15"/>
  <c r="N238" i="15"/>
  <c r="M238" i="15"/>
  <c r="L238" i="15"/>
  <c r="K238" i="15"/>
  <c r="I238" i="15"/>
  <c r="H238" i="15"/>
  <c r="G238" i="15"/>
  <c r="D238" i="15"/>
  <c r="N237" i="15"/>
  <c r="M237" i="15"/>
  <c r="L237" i="15"/>
  <c r="K237" i="15"/>
  <c r="I237" i="15"/>
  <c r="H237" i="15"/>
  <c r="G237" i="15"/>
  <c r="D237" i="15"/>
  <c r="N236" i="15"/>
  <c r="M236" i="15"/>
  <c r="L236" i="15"/>
  <c r="K236" i="15"/>
  <c r="I236" i="15"/>
  <c r="H236" i="15"/>
  <c r="G236" i="15"/>
  <c r="D236" i="15"/>
  <c r="N235" i="15"/>
  <c r="M235" i="15"/>
  <c r="L235" i="15"/>
  <c r="K235" i="15"/>
  <c r="I235" i="15"/>
  <c r="H235" i="15"/>
  <c r="G235" i="15"/>
  <c r="D235" i="15"/>
  <c r="N234" i="15"/>
  <c r="M234" i="15"/>
  <c r="L234" i="15"/>
  <c r="K234" i="15"/>
  <c r="I234" i="15"/>
  <c r="H234" i="15"/>
  <c r="G234" i="15"/>
  <c r="D234" i="15"/>
  <c r="N233" i="15"/>
  <c r="M233" i="15"/>
  <c r="L233" i="15"/>
  <c r="K233" i="15"/>
  <c r="I233" i="15"/>
  <c r="H233" i="15"/>
  <c r="G233" i="15"/>
  <c r="D233" i="15"/>
  <c r="N232" i="15"/>
  <c r="M232" i="15"/>
  <c r="L232" i="15"/>
  <c r="K232" i="15"/>
  <c r="I232" i="15"/>
  <c r="H232" i="15"/>
  <c r="G232" i="15"/>
  <c r="D232" i="15"/>
  <c r="N231" i="15"/>
  <c r="M231" i="15"/>
  <c r="L231" i="15"/>
  <c r="K231" i="15"/>
  <c r="I231" i="15"/>
  <c r="H231" i="15"/>
  <c r="G231" i="15"/>
  <c r="E231" i="15"/>
  <c r="E189" i="15" s="1"/>
  <c r="D231" i="15"/>
  <c r="F231" i="15" s="1"/>
  <c r="F189" i="15" s="1"/>
  <c r="N230" i="15"/>
  <c r="N188" i="15" s="1"/>
  <c r="M230" i="15"/>
  <c r="L230" i="15"/>
  <c r="L188" i="15" s="1"/>
  <c r="K230" i="15"/>
  <c r="I230" i="15"/>
  <c r="I188" i="15" s="1"/>
  <c r="H230" i="15"/>
  <c r="G230" i="15"/>
  <c r="G188" i="15" s="1"/>
  <c r="D230" i="15"/>
  <c r="F230" i="15" s="1"/>
  <c r="N229" i="15"/>
  <c r="M229" i="15"/>
  <c r="L229" i="15"/>
  <c r="K229" i="15"/>
  <c r="I229" i="15"/>
  <c r="H229" i="15"/>
  <c r="G229" i="15"/>
  <c r="D229" i="15"/>
  <c r="F229" i="15" s="1"/>
  <c r="F187" i="15" s="1"/>
  <c r="N228" i="15"/>
  <c r="N186" i="15" s="1"/>
  <c r="M228" i="15"/>
  <c r="L228" i="15"/>
  <c r="L186" i="15" s="1"/>
  <c r="K228" i="15"/>
  <c r="I228" i="15"/>
  <c r="I186" i="15" s="1"/>
  <c r="H228" i="15"/>
  <c r="G228" i="15"/>
  <c r="G186" i="15" s="1"/>
  <c r="D228" i="15"/>
  <c r="F228" i="15" s="1"/>
  <c r="N227" i="15"/>
  <c r="M227" i="15"/>
  <c r="L227" i="15"/>
  <c r="K227" i="15"/>
  <c r="I227" i="15"/>
  <c r="H227" i="15"/>
  <c r="G227" i="15"/>
  <c r="E227" i="15"/>
  <c r="E185" i="15" s="1"/>
  <c r="D227" i="15"/>
  <c r="F227" i="15" s="1"/>
  <c r="F185" i="15" s="1"/>
  <c r="N226" i="15"/>
  <c r="N184" i="15" s="1"/>
  <c r="M226" i="15"/>
  <c r="L226" i="15"/>
  <c r="L184" i="15" s="1"/>
  <c r="K226" i="15"/>
  <c r="I226" i="15"/>
  <c r="I184" i="15" s="1"/>
  <c r="H226" i="15"/>
  <c r="G226" i="15"/>
  <c r="G184" i="15" s="1"/>
  <c r="D226" i="15"/>
  <c r="F226" i="15" s="1"/>
  <c r="N225" i="15"/>
  <c r="M225" i="15"/>
  <c r="L225" i="15"/>
  <c r="K225" i="15"/>
  <c r="I225" i="15"/>
  <c r="H225" i="15"/>
  <c r="G225" i="15"/>
  <c r="E225" i="15"/>
  <c r="D225" i="15"/>
  <c r="F225" i="15" s="1"/>
  <c r="N224" i="15"/>
  <c r="M224" i="15"/>
  <c r="L224" i="15"/>
  <c r="K224" i="15"/>
  <c r="I224" i="15"/>
  <c r="H224" i="15"/>
  <c r="G224" i="15"/>
  <c r="D224" i="15"/>
  <c r="F224" i="15" s="1"/>
  <c r="N223" i="15"/>
  <c r="M223" i="15"/>
  <c r="L223" i="15"/>
  <c r="K223" i="15"/>
  <c r="I223" i="15"/>
  <c r="H223" i="15"/>
  <c r="G223" i="15"/>
  <c r="E223" i="15"/>
  <c r="D223" i="15"/>
  <c r="F223" i="15" s="1"/>
  <c r="N222" i="15"/>
  <c r="M222" i="15"/>
  <c r="L222" i="15"/>
  <c r="K222" i="15"/>
  <c r="I222" i="15"/>
  <c r="H222" i="15"/>
  <c r="G222" i="15"/>
  <c r="D222" i="15"/>
  <c r="F222" i="15" s="1"/>
  <c r="N221" i="15"/>
  <c r="M221" i="15"/>
  <c r="L221" i="15"/>
  <c r="K221" i="15"/>
  <c r="I221" i="15"/>
  <c r="H221" i="15"/>
  <c r="G221" i="15"/>
  <c r="E221" i="15"/>
  <c r="D221" i="15"/>
  <c r="F221" i="15" s="1"/>
  <c r="N220" i="15"/>
  <c r="M220" i="15"/>
  <c r="L220" i="15"/>
  <c r="K220" i="15"/>
  <c r="I220" i="15"/>
  <c r="H220" i="15"/>
  <c r="G220" i="15"/>
  <c r="D220" i="15"/>
  <c r="F220" i="15" s="1"/>
  <c r="N219" i="15"/>
  <c r="N257" i="15" s="1"/>
  <c r="M219" i="15"/>
  <c r="M257" i="15" s="1"/>
  <c r="L219" i="15"/>
  <c r="L257" i="15" s="1"/>
  <c r="K219" i="15"/>
  <c r="K257" i="15" s="1"/>
  <c r="I219" i="15"/>
  <c r="I257" i="15" s="1"/>
  <c r="H219" i="15"/>
  <c r="H257" i="15" s="1"/>
  <c r="G219" i="15"/>
  <c r="G257" i="15" s="1"/>
  <c r="D219" i="15"/>
  <c r="E219" i="15" s="1"/>
  <c r="E177" i="15" s="1"/>
  <c r="N214" i="15"/>
  <c r="M214" i="15"/>
  <c r="L214" i="15"/>
  <c r="K214" i="15"/>
  <c r="I214" i="15"/>
  <c r="H214" i="15"/>
  <c r="G214" i="15"/>
  <c r="B214" i="15"/>
  <c r="B256" i="15" s="1"/>
  <c r="B298" i="15" s="1"/>
  <c r="B340" i="15" s="1"/>
  <c r="B382" i="15" s="1"/>
  <c r="A214" i="15"/>
  <c r="A256" i="15" s="1"/>
  <c r="A298" i="15" s="1"/>
  <c r="A340" i="15" s="1"/>
  <c r="A382" i="15" s="1"/>
  <c r="N213" i="15"/>
  <c r="M213" i="15"/>
  <c r="L213" i="15"/>
  <c r="K213" i="15"/>
  <c r="I213" i="15"/>
  <c r="H213" i="15"/>
  <c r="G213" i="15"/>
  <c r="B213" i="15"/>
  <c r="B255" i="15" s="1"/>
  <c r="B297" i="15" s="1"/>
  <c r="B339" i="15" s="1"/>
  <c r="B381" i="15" s="1"/>
  <c r="A213" i="15"/>
  <c r="A255" i="15" s="1"/>
  <c r="A297" i="15" s="1"/>
  <c r="A339" i="15" s="1"/>
  <c r="A381" i="15" s="1"/>
  <c r="N212" i="15"/>
  <c r="M212" i="15"/>
  <c r="L212" i="15"/>
  <c r="K212" i="15"/>
  <c r="I212" i="15"/>
  <c r="H212" i="15"/>
  <c r="G212" i="15"/>
  <c r="B212" i="15"/>
  <c r="B254" i="15" s="1"/>
  <c r="B296" i="15" s="1"/>
  <c r="B338" i="15" s="1"/>
  <c r="B380" i="15" s="1"/>
  <c r="A212" i="15"/>
  <c r="A254" i="15" s="1"/>
  <c r="A296" i="15" s="1"/>
  <c r="A338" i="15" s="1"/>
  <c r="A380" i="15" s="1"/>
  <c r="N211" i="15"/>
  <c r="M211" i="15"/>
  <c r="L211" i="15"/>
  <c r="K211" i="15"/>
  <c r="I211" i="15"/>
  <c r="H211" i="15"/>
  <c r="G211" i="15"/>
  <c r="B211" i="15"/>
  <c r="B253" i="15" s="1"/>
  <c r="B295" i="15" s="1"/>
  <c r="B337" i="15" s="1"/>
  <c r="B379" i="15" s="1"/>
  <c r="A211" i="15"/>
  <c r="A253" i="15" s="1"/>
  <c r="A295" i="15" s="1"/>
  <c r="A337" i="15" s="1"/>
  <c r="A379" i="15" s="1"/>
  <c r="N210" i="15"/>
  <c r="M210" i="15"/>
  <c r="L210" i="15"/>
  <c r="K210" i="15"/>
  <c r="I210" i="15"/>
  <c r="H210" i="15"/>
  <c r="G210" i="15"/>
  <c r="B210" i="15"/>
  <c r="B252" i="15" s="1"/>
  <c r="B294" i="15" s="1"/>
  <c r="B336" i="15" s="1"/>
  <c r="B378" i="15" s="1"/>
  <c r="A210" i="15"/>
  <c r="A252" i="15" s="1"/>
  <c r="A294" i="15" s="1"/>
  <c r="A336" i="15" s="1"/>
  <c r="A378" i="15" s="1"/>
  <c r="N209" i="15"/>
  <c r="M209" i="15"/>
  <c r="L209" i="15"/>
  <c r="K209" i="15"/>
  <c r="I209" i="15"/>
  <c r="H209" i="15"/>
  <c r="G209" i="15"/>
  <c r="B209" i="15"/>
  <c r="B251" i="15" s="1"/>
  <c r="B293" i="15" s="1"/>
  <c r="B335" i="15" s="1"/>
  <c r="B377" i="15" s="1"/>
  <c r="A209" i="15"/>
  <c r="A251" i="15" s="1"/>
  <c r="A293" i="15" s="1"/>
  <c r="A335" i="15" s="1"/>
  <c r="A377" i="15" s="1"/>
  <c r="N208" i="15"/>
  <c r="M208" i="15"/>
  <c r="L208" i="15"/>
  <c r="K208" i="15"/>
  <c r="I208" i="15"/>
  <c r="H208" i="15"/>
  <c r="G208" i="15"/>
  <c r="B208" i="15"/>
  <c r="B250" i="15" s="1"/>
  <c r="B292" i="15" s="1"/>
  <c r="B334" i="15" s="1"/>
  <c r="B376" i="15" s="1"/>
  <c r="A208" i="15"/>
  <c r="A250" i="15" s="1"/>
  <c r="A292" i="15" s="1"/>
  <c r="A334" i="15" s="1"/>
  <c r="A376" i="15" s="1"/>
  <c r="N207" i="15"/>
  <c r="M207" i="15"/>
  <c r="L207" i="15"/>
  <c r="K207" i="15"/>
  <c r="I207" i="15"/>
  <c r="H207" i="15"/>
  <c r="G207" i="15"/>
  <c r="B207" i="15"/>
  <c r="B249" i="15" s="1"/>
  <c r="B291" i="15" s="1"/>
  <c r="B333" i="15" s="1"/>
  <c r="B375" i="15" s="1"/>
  <c r="A207" i="15"/>
  <c r="A249" i="15" s="1"/>
  <c r="A291" i="15" s="1"/>
  <c r="A333" i="15" s="1"/>
  <c r="A375" i="15" s="1"/>
  <c r="N206" i="15"/>
  <c r="M206" i="15"/>
  <c r="L206" i="15"/>
  <c r="K206" i="15"/>
  <c r="I206" i="15"/>
  <c r="H206" i="15"/>
  <c r="G206" i="15"/>
  <c r="B206" i="15"/>
  <c r="B248" i="15" s="1"/>
  <c r="B290" i="15" s="1"/>
  <c r="B332" i="15" s="1"/>
  <c r="B374" i="15" s="1"/>
  <c r="A206" i="15"/>
  <c r="A248" i="15" s="1"/>
  <c r="A290" i="15" s="1"/>
  <c r="A332" i="15" s="1"/>
  <c r="A374" i="15" s="1"/>
  <c r="N205" i="15"/>
  <c r="M205" i="15"/>
  <c r="L205" i="15"/>
  <c r="K205" i="15"/>
  <c r="I205" i="15"/>
  <c r="H205" i="15"/>
  <c r="G205" i="15"/>
  <c r="B205" i="15"/>
  <c r="B247" i="15" s="1"/>
  <c r="B289" i="15" s="1"/>
  <c r="B331" i="15" s="1"/>
  <c r="B373" i="15" s="1"/>
  <c r="A205" i="15"/>
  <c r="A247" i="15" s="1"/>
  <c r="A289" i="15" s="1"/>
  <c r="A331" i="15" s="1"/>
  <c r="A373" i="15" s="1"/>
  <c r="N204" i="15"/>
  <c r="M204" i="15"/>
  <c r="L204" i="15"/>
  <c r="K204" i="15"/>
  <c r="I204" i="15"/>
  <c r="H204" i="15"/>
  <c r="G204" i="15"/>
  <c r="B204" i="15"/>
  <c r="B246" i="15" s="1"/>
  <c r="B288" i="15" s="1"/>
  <c r="B330" i="15" s="1"/>
  <c r="B372" i="15" s="1"/>
  <c r="A204" i="15"/>
  <c r="A246" i="15" s="1"/>
  <c r="A288" i="15" s="1"/>
  <c r="A330" i="15" s="1"/>
  <c r="A372" i="15" s="1"/>
  <c r="N203" i="15"/>
  <c r="M203" i="15"/>
  <c r="L203" i="15"/>
  <c r="K203" i="15"/>
  <c r="I203" i="15"/>
  <c r="H203" i="15"/>
  <c r="G203" i="15"/>
  <c r="B203" i="15"/>
  <c r="B245" i="15" s="1"/>
  <c r="B287" i="15" s="1"/>
  <c r="B329" i="15" s="1"/>
  <c r="B371" i="15" s="1"/>
  <c r="A203" i="15"/>
  <c r="A245" i="15" s="1"/>
  <c r="A287" i="15" s="1"/>
  <c r="A329" i="15" s="1"/>
  <c r="A371" i="15" s="1"/>
  <c r="N202" i="15"/>
  <c r="M202" i="15"/>
  <c r="L202" i="15"/>
  <c r="K202" i="15"/>
  <c r="I202" i="15"/>
  <c r="H202" i="15"/>
  <c r="G202" i="15"/>
  <c r="B202" i="15"/>
  <c r="B244" i="15" s="1"/>
  <c r="B286" i="15" s="1"/>
  <c r="B328" i="15" s="1"/>
  <c r="B370" i="15" s="1"/>
  <c r="A202" i="15"/>
  <c r="A244" i="15" s="1"/>
  <c r="A286" i="15" s="1"/>
  <c r="A328" i="15" s="1"/>
  <c r="A370" i="15" s="1"/>
  <c r="N201" i="15"/>
  <c r="M201" i="15"/>
  <c r="L201" i="15"/>
  <c r="K201" i="15"/>
  <c r="I201" i="15"/>
  <c r="H201" i="15"/>
  <c r="G201" i="15"/>
  <c r="B201" i="15"/>
  <c r="B243" i="15" s="1"/>
  <c r="B285" i="15" s="1"/>
  <c r="B327" i="15" s="1"/>
  <c r="B369" i="15" s="1"/>
  <c r="A201" i="15"/>
  <c r="A243" i="15" s="1"/>
  <c r="A285" i="15" s="1"/>
  <c r="A327" i="15" s="1"/>
  <c r="A369" i="15" s="1"/>
  <c r="N200" i="15"/>
  <c r="M200" i="15"/>
  <c r="L200" i="15"/>
  <c r="K200" i="15"/>
  <c r="I200" i="15"/>
  <c r="H200" i="15"/>
  <c r="G200" i="15"/>
  <c r="B200" i="15"/>
  <c r="B242" i="15" s="1"/>
  <c r="B284" i="15" s="1"/>
  <c r="B326" i="15" s="1"/>
  <c r="B368" i="15" s="1"/>
  <c r="A200" i="15"/>
  <c r="A242" i="15" s="1"/>
  <c r="A284" i="15" s="1"/>
  <c r="A326" i="15" s="1"/>
  <c r="A368" i="15" s="1"/>
  <c r="N199" i="15"/>
  <c r="M199" i="15"/>
  <c r="L199" i="15"/>
  <c r="K199" i="15"/>
  <c r="I199" i="15"/>
  <c r="H199" i="15"/>
  <c r="G199" i="15"/>
  <c r="B199" i="15"/>
  <c r="B241" i="15" s="1"/>
  <c r="B283" i="15" s="1"/>
  <c r="B325" i="15" s="1"/>
  <c r="B367" i="15" s="1"/>
  <c r="A199" i="15"/>
  <c r="A241" i="15" s="1"/>
  <c r="A283" i="15" s="1"/>
  <c r="A325" i="15" s="1"/>
  <c r="A367" i="15" s="1"/>
  <c r="N198" i="15"/>
  <c r="M198" i="15"/>
  <c r="L198" i="15"/>
  <c r="K198" i="15"/>
  <c r="I198" i="15"/>
  <c r="H198" i="15"/>
  <c r="G198" i="15"/>
  <c r="B198" i="15"/>
  <c r="B240" i="15" s="1"/>
  <c r="B282" i="15" s="1"/>
  <c r="B324" i="15" s="1"/>
  <c r="B366" i="15" s="1"/>
  <c r="A198" i="15"/>
  <c r="A240" i="15" s="1"/>
  <c r="A282" i="15" s="1"/>
  <c r="A324" i="15" s="1"/>
  <c r="A366" i="15" s="1"/>
  <c r="N197" i="15"/>
  <c r="M197" i="15"/>
  <c r="L197" i="15"/>
  <c r="K197" i="15"/>
  <c r="I197" i="15"/>
  <c r="H197" i="15"/>
  <c r="G197" i="15"/>
  <c r="B197" i="15"/>
  <c r="B239" i="15" s="1"/>
  <c r="B281" i="15" s="1"/>
  <c r="B323" i="15" s="1"/>
  <c r="B365" i="15" s="1"/>
  <c r="A197" i="15"/>
  <c r="A239" i="15" s="1"/>
  <c r="A281" i="15" s="1"/>
  <c r="A323" i="15" s="1"/>
  <c r="A365" i="15" s="1"/>
  <c r="N196" i="15"/>
  <c r="M196" i="15"/>
  <c r="L196" i="15"/>
  <c r="K196" i="15"/>
  <c r="I196" i="15"/>
  <c r="H196" i="15"/>
  <c r="G196" i="15"/>
  <c r="B196" i="15"/>
  <c r="B238" i="15" s="1"/>
  <c r="B280" i="15" s="1"/>
  <c r="B322" i="15" s="1"/>
  <c r="B364" i="15" s="1"/>
  <c r="A196" i="15"/>
  <c r="A238" i="15" s="1"/>
  <c r="A280" i="15" s="1"/>
  <c r="A322" i="15" s="1"/>
  <c r="A364" i="15" s="1"/>
  <c r="N195" i="15"/>
  <c r="M195" i="15"/>
  <c r="L195" i="15"/>
  <c r="K195" i="15"/>
  <c r="I195" i="15"/>
  <c r="H195" i="15"/>
  <c r="G195" i="15"/>
  <c r="B195" i="15"/>
  <c r="B237" i="15" s="1"/>
  <c r="B279" i="15" s="1"/>
  <c r="B321" i="15" s="1"/>
  <c r="B363" i="15" s="1"/>
  <c r="A195" i="15"/>
  <c r="A237" i="15" s="1"/>
  <c r="A279" i="15" s="1"/>
  <c r="A321" i="15" s="1"/>
  <c r="A363" i="15" s="1"/>
  <c r="N194" i="15"/>
  <c r="M194" i="15"/>
  <c r="L194" i="15"/>
  <c r="K194" i="15"/>
  <c r="I194" i="15"/>
  <c r="H194" i="15"/>
  <c r="G194" i="15"/>
  <c r="B194" i="15"/>
  <c r="B236" i="15" s="1"/>
  <c r="B278" i="15" s="1"/>
  <c r="B320" i="15" s="1"/>
  <c r="B362" i="15" s="1"/>
  <c r="A194" i="15"/>
  <c r="A236" i="15" s="1"/>
  <c r="A278" i="15" s="1"/>
  <c r="A320" i="15" s="1"/>
  <c r="A362" i="15" s="1"/>
  <c r="N193" i="15"/>
  <c r="M193" i="15"/>
  <c r="L193" i="15"/>
  <c r="K193" i="15"/>
  <c r="I193" i="15"/>
  <c r="H193" i="15"/>
  <c r="G193" i="15"/>
  <c r="B193" i="15"/>
  <c r="B235" i="15" s="1"/>
  <c r="B277" i="15" s="1"/>
  <c r="B319" i="15" s="1"/>
  <c r="B361" i="15" s="1"/>
  <c r="A193" i="15"/>
  <c r="A235" i="15" s="1"/>
  <c r="A277" i="15" s="1"/>
  <c r="A319" i="15" s="1"/>
  <c r="A361" i="15" s="1"/>
  <c r="N192" i="15"/>
  <c r="M192" i="15"/>
  <c r="L192" i="15"/>
  <c r="K192" i="15"/>
  <c r="I192" i="15"/>
  <c r="H192" i="15"/>
  <c r="G192" i="15"/>
  <c r="B192" i="15"/>
  <c r="B234" i="15" s="1"/>
  <c r="B276" i="15" s="1"/>
  <c r="B318" i="15" s="1"/>
  <c r="B360" i="15" s="1"/>
  <c r="A192" i="15"/>
  <c r="A234" i="15" s="1"/>
  <c r="A276" i="15" s="1"/>
  <c r="A318" i="15" s="1"/>
  <c r="A360" i="15" s="1"/>
  <c r="N191" i="15"/>
  <c r="M191" i="15"/>
  <c r="L191" i="15"/>
  <c r="K191" i="15"/>
  <c r="I191" i="15"/>
  <c r="H191" i="15"/>
  <c r="G191" i="15"/>
  <c r="B191" i="15"/>
  <c r="B233" i="15" s="1"/>
  <c r="B275" i="15" s="1"/>
  <c r="B317" i="15" s="1"/>
  <c r="B359" i="15" s="1"/>
  <c r="A191" i="15"/>
  <c r="A233" i="15" s="1"/>
  <c r="A275" i="15" s="1"/>
  <c r="A317" i="15" s="1"/>
  <c r="A359" i="15" s="1"/>
  <c r="N190" i="15"/>
  <c r="M190" i="15"/>
  <c r="L190" i="15"/>
  <c r="K190" i="15"/>
  <c r="I190" i="15"/>
  <c r="H190" i="15"/>
  <c r="G190" i="15"/>
  <c r="B190" i="15"/>
  <c r="B232" i="15" s="1"/>
  <c r="B274" i="15" s="1"/>
  <c r="B316" i="15" s="1"/>
  <c r="B358" i="15" s="1"/>
  <c r="A190" i="15"/>
  <c r="A232" i="15" s="1"/>
  <c r="A274" i="15" s="1"/>
  <c r="A316" i="15" s="1"/>
  <c r="A358" i="15" s="1"/>
  <c r="N189" i="15"/>
  <c r="M189" i="15"/>
  <c r="L189" i="15"/>
  <c r="K189" i="15"/>
  <c r="I189" i="15"/>
  <c r="H189" i="15"/>
  <c r="G189" i="15"/>
  <c r="D189" i="15"/>
  <c r="J143" i="15" s="1"/>
  <c r="J102" i="15" s="1"/>
  <c r="J60" i="15" s="1"/>
  <c r="B189" i="15"/>
  <c r="B231" i="15" s="1"/>
  <c r="B273" i="15" s="1"/>
  <c r="B315" i="15" s="1"/>
  <c r="B357" i="15" s="1"/>
  <c r="A189" i="15"/>
  <c r="A231" i="15" s="1"/>
  <c r="A273" i="15" s="1"/>
  <c r="A315" i="15" s="1"/>
  <c r="A357" i="15" s="1"/>
  <c r="M188" i="15"/>
  <c r="K188" i="15"/>
  <c r="H188" i="15"/>
  <c r="F188" i="15"/>
  <c r="D188" i="15"/>
  <c r="B188" i="15"/>
  <c r="B230" i="15" s="1"/>
  <c r="B272" i="15" s="1"/>
  <c r="B314" i="15" s="1"/>
  <c r="B356" i="15" s="1"/>
  <c r="A188" i="15"/>
  <c r="A230" i="15" s="1"/>
  <c r="A272" i="15" s="1"/>
  <c r="A314" i="15" s="1"/>
  <c r="A356" i="15" s="1"/>
  <c r="N187" i="15"/>
  <c r="M187" i="15"/>
  <c r="L187" i="15"/>
  <c r="K187" i="15"/>
  <c r="I187" i="15"/>
  <c r="H187" i="15"/>
  <c r="G187" i="15"/>
  <c r="D187" i="15"/>
  <c r="B187" i="15"/>
  <c r="B229" i="15" s="1"/>
  <c r="B271" i="15" s="1"/>
  <c r="B313" i="15" s="1"/>
  <c r="B355" i="15" s="1"/>
  <c r="A187" i="15"/>
  <c r="A229" i="15" s="1"/>
  <c r="A271" i="15" s="1"/>
  <c r="A313" i="15" s="1"/>
  <c r="A355" i="15" s="1"/>
  <c r="M186" i="15"/>
  <c r="K186" i="15"/>
  <c r="H186" i="15"/>
  <c r="F186" i="15"/>
  <c r="D186" i="15"/>
  <c r="B186" i="15"/>
  <c r="B228" i="15" s="1"/>
  <c r="B270" i="15" s="1"/>
  <c r="B312" i="15" s="1"/>
  <c r="B354" i="15" s="1"/>
  <c r="A186" i="15"/>
  <c r="A228" i="15" s="1"/>
  <c r="A270" i="15" s="1"/>
  <c r="A312" i="15" s="1"/>
  <c r="A354" i="15" s="1"/>
  <c r="N185" i="15"/>
  <c r="M185" i="15"/>
  <c r="L185" i="15"/>
  <c r="K185" i="15"/>
  <c r="I185" i="15"/>
  <c r="H185" i="15"/>
  <c r="G185" i="15"/>
  <c r="D185" i="15"/>
  <c r="J139" i="15" s="1"/>
  <c r="J98" i="15" s="1"/>
  <c r="J56" i="15" s="1"/>
  <c r="B185" i="15"/>
  <c r="B227" i="15" s="1"/>
  <c r="B269" i="15" s="1"/>
  <c r="B311" i="15" s="1"/>
  <c r="B353" i="15" s="1"/>
  <c r="A185" i="15"/>
  <c r="A227" i="15" s="1"/>
  <c r="A269" i="15" s="1"/>
  <c r="A311" i="15" s="1"/>
  <c r="A353" i="15" s="1"/>
  <c r="M184" i="15"/>
  <c r="K184" i="15"/>
  <c r="H184" i="15"/>
  <c r="F184" i="15"/>
  <c r="D184" i="15"/>
  <c r="B184" i="15"/>
  <c r="B226" i="15" s="1"/>
  <c r="B268" i="15" s="1"/>
  <c r="B310" i="15" s="1"/>
  <c r="B352" i="15" s="1"/>
  <c r="A184" i="15"/>
  <c r="A226" i="15" s="1"/>
  <c r="A268" i="15" s="1"/>
  <c r="A310" i="15" s="1"/>
  <c r="A352" i="15" s="1"/>
  <c r="N183" i="15"/>
  <c r="M183" i="15"/>
  <c r="L183" i="15"/>
  <c r="K183" i="15"/>
  <c r="I183" i="15"/>
  <c r="H183" i="15"/>
  <c r="G183" i="15"/>
  <c r="F183" i="15"/>
  <c r="E183" i="15"/>
  <c r="D183" i="15"/>
  <c r="C183" i="15"/>
  <c r="B183" i="15"/>
  <c r="B225" i="15" s="1"/>
  <c r="B267" i="15" s="1"/>
  <c r="B309" i="15" s="1"/>
  <c r="B351" i="15" s="1"/>
  <c r="A183" i="15"/>
  <c r="A225" i="15" s="1"/>
  <c r="A267" i="15" s="1"/>
  <c r="A309" i="15" s="1"/>
  <c r="A351" i="15" s="1"/>
  <c r="N182" i="15"/>
  <c r="M182" i="15"/>
  <c r="L182" i="15"/>
  <c r="K182" i="15"/>
  <c r="I182" i="15"/>
  <c r="H182" i="15"/>
  <c r="G182" i="15"/>
  <c r="F182" i="15"/>
  <c r="D182" i="15"/>
  <c r="B182" i="15"/>
  <c r="B224" i="15" s="1"/>
  <c r="B266" i="15" s="1"/>
  <c r="B308" i="15" s="1"/>
  <c r="B350" i="15" s="1"/>
  <c r="A182" i="15"/>
  <c r="A224" i="15" s="1"/>
  <c r="A266" i="15" s="1"/>
  <c r="A308" i="15" s="1"/>
  <c r="A350" i="15" s="1"/>
  <c r="N181" i="15"/>
  <c r="M181" i="15"/>
  <c r="L181" i="15"/>
  <c r="K181" i="15"/>
  <c r="I181" i="15"/>
  <c r="H181" i="15"/>
  <c r="G181" i="15"/>
  <c r="F181" i="15"/>
  <c r="E181" i="15"/>
  <c r="D181" i="15"/>
  <c r="C181" i="15"/>
  <c r="B181" i="15"/>
  <c r="B223" i="15" s="1"/>
  <c r="B265" i="15" s="1"/>
  <c r="B307" i="15" s="1"/>
  <c r="B349" i="15" s="1"/>
  <c r="A181" i="15"/>
  <c r="A223" i="15" s="1"/>
  <c r="A265" i="15" s="1"/>
  <c r="A307" i="15" s="1"/>
  <c r="A349" i="15" s="1"/>
  <c r="N180" i="15"/>
  <c r="M180" i="15"/>
  <c r="L180" i="15"/>
  <c r="K180" i="15"/>
  <c r="I180" i="15"/>
  <c r="H180" i="15"/>
  <c r="G180" i="15"/>
  <c r="F180" i="15"/>
  <c r="D180" i="15"/>
  <c r="B180" i="15"/>
  <c r="B222" i="15" s="1"/>
  <c r="B264" i="15" s="1"/>
  <c r="B306" i="15" s="1"/>
  <c r="B348" i="15" s="1"/>
  <c r="A180" i="15"/>
  <c r="A222" i="15" s="1"/>
  <c r="A264" i="15" s="1"/>
  <c r="A306" i="15" s="1"/>
  <c r="A348" i="15" s="1"/>
  <c r="N179" i="15"/>
  <c r="M179" i="15"/>
  <c r="L179" i="15"/>
  <c r="K179" i="15"/>
  <c r="I179" i="15"/>
  <c r="H179" i="15"/>
  <c r="G179" i="15"/>
  <c r="F179" i="15"/>
  <c r="E179" i="15"/>
  <c r="D179" i="15"/>
  <c r="C179" i="15"/>
  <c r="B179" i="15"/>
  <c r="B221" i="15" s="1"/>
  <c r="B263" i="15" s="1"/>
  <c r="B305" i="15" s="1"/>
  <c r="B347" i="15" s="1"/>
  <c r="A179" i="15"/>
  <c r="A221" i="15" s="1"/>
  <c r="A263" i="15" s="1"/>
  <c r="A305" i="15" s="1"/>
  <c r="A347" i="15" s="1"/>
  <c r="N178" i="15"/>
  <c r="M178" i="15"/>
  <c r="L178" i="15"/>
  <c r="K178" i="15"/>
  <c r="I178" i="15"/>
  <c r="H178" i="15"/>
  <c r="G178" i="15"/>
  <c r="F178" i="15"/>
  <c r="D178" i="15"/>
  <c r="B178" i="15"/>
  <c r="B220" i="15" s="1"/>
  <c r="B262" i="15" s="1"/>
  <c r="B304" i="15" s="1"/>
  <c r="B346" i="15" s="1"/>
  <c r="A178" i="15"/>
  <c r="A220" i="15" s="1"/>
  <c r="A262" i="15" s="1"/>
  <c r="A304" i="15" s="1"/>
  <c r="A346" i="15" s="1"/>
  <c r="N177" i="15"/>
  <c r="M177" i="15"/>
  <c r="L177" i="15"/>
  <c r="L215" i="15" s="1"/>
  <c r="K177" i="15"/>
  <c r="I177" i="15"/>
  <c r="H177" i="15"/>
  <c r="G177" i="15"/>
  <c r="G215" i="15" s="1"/>
  <c r="D177" i="15"/>
  <c r="B177" i="15"/>
  <c r="B219" i="15" s="1"/>
  <c r="B261" i="15" s="1"/>
  <c r="B303" i="15" s="1"/>
  <c r="B345" i="15" s="1"/>
  <c r="A177" i="15"/>
  <c r="A219" i="15" s="1"/>
  <c r="A261" i="15" s="1"/>
  <c r="A303" i="15" s="1"/>
  <c r="A345" i="15" s="1"/>
  <c r="N171" i="15"/>
  <c r="N143" i="15"/>
  <c r="L143" i="15"/>
  <c r="L102" i="15" s="1"/>
  <c r="L60" i="15" s="1"/>
  <c r="I143" i="15"/>
  <c r="G143" i="15"/>
  <c r="E143" i="15"/>
  <c r="N139" i="15"/>
  <c r="E139" i="15"/>
  <c r="L137" i="15"/>
  <c r="L96" i="15" s="1"/>
  <c r="L54" i="15" s="1"/>
  <c r="G137" i="15"/>
  <c r="L135" i="15"/>
  <c r="G135" i="15"/>
  <c r="L133" i="15"/>
  <c r="L92" i="15" s="1"/>
  <c r="L50" i="15" s="1"/>
  <c r="G133" i="15"/>
  <c r="B127" i="15"/>
  <c r="B168" i="15" s="1"/>
  <c r="A127" i="15"/>
  <c r="A168" i="15" s="1"/>
  <c r="B126" i="15"/>
  <c r="B167" i="15" s="1"/>
  <c r="A126" i="15"/>
  <c r="A167" i="15" s="1"/>
  <c r="B125" i="15"/>
  <c r="B166" i="15" s="1"/>
  <c r="A125" i="15"/>
  <c r="A166" i="15" s="1"/>
  <c r="B124" i="15"/>
  <c r="B165" i="15" s="1"/>
  <c r="A124" i="15"/>
  <c r="A165" i="15" s="1"/>
  <c r="B123" i="15"/>
  <c r="B164" i="15" s="1"/>
  <c r="A123" i="15"/>
  <c r="A164" i="15" s="1"/>
  <c r="B122" i="15"/>
  <c r="B163" i="15" s="1"/>
  <c r="A122" i="15"/>
  <c r="A163" i="15" s="1"/>
  <c r="B121" i="15"/>
  <c r="B162" i="15" s="1"/>
  <c r="A121" i="15"/>
  <c r="A162" i="15" s="1"/>
  <c r="B120" i="15"/>
  <c r="B161" i="15" s="1"/>
  <c r="A120" i="15"/>
  <c r="A161" i="15" s="1"/>
  <c r="B119" i="15"/>
  <c r="B160" i="15" s="1"/>
  <c r="A119" i="15"/>
  <c r="A160" i="15" s="1"/>
  <c r="B118" i="15"/>
  <c r="B159" i="15" s="1"/>
  <c r="A118" i="15"/>
  <c r="A159" i="15" s="1"/>
  <c r="B117" i="15"/>
  <c r="B158" i="15" s="1"/>
  <c r="A117" i="15"/>
  <c r="A158" i="15" s="1"/>
  <c r="B116" i="15"/>
  <c r="B157" i="15" s="1"/>
  <c r="A116" i="15"/>
  <c r="A157" i="15" s="1"/>
  <c r="B115" i="15"/>
  <c r="B156" i="15" s="1"/>
  <c r="A115" i="15"/>
  <c r="A156" i="15" s="1"/>
  <c r="B114" i="15"/>
  <c r="B155" i="15" s="1"/>
  <c r="A114" i="15"/>
  <c r="A155" i="15" s="1"/>
  <c r="B113" i="15"/>
  <c r="B154" i="15" s="1"/>
  <c r="A113" i="15"/>
  <c r="A154" i="15" s="1"/>
  <c r="B112" i="15"/>
  <c r="B153" i="15" s="1"/>
  <c r="A112" i="15"/>
  <c r="A153" i="15" s="1"/>
  <c r="B111" i="15"/>
  <c r="B152" i="15" s="1"/>
  <c r="A111" i="15"/>
  <c r="A152" i="15" s="1"/>
  <c r="B110" i="15"/>
  <c r="B151" i="15" s="1"/>
  <c r="A110" i="15"/>
  <c r="A151" i="15" s="1"/>
  <c r="B109" i="15"/>
  <c r="B150" i="15" s="1"/>
  <c r="A109" i="15"/>
  <c r="A150" i="15" s="1"/>
  <c r="B108" i="15"/>
  <c r="B149" i="15" s="1"/>
  <c r="A108" i="15"/>
  <c r="A149" i="15" s="1"/>
  <c r="B107" i="15"/>
  <c r="B148" i="15" s="1"/>
  <c r="A107" i="15"/>
  <c r="A148" i="15" s="1"/>
  <c r="B106" i="15"/>
  <c r="B147" i="15" s="1"/>
  <c r="A106" i="15"/>
  <c r="A147" i="15" s="1"/>
  <c r="B105" i="15"/>
  <c r="B146" i="15" s="1"/>
  <c r="A105" i="15"/>
  <c r="A146" i="15" s="1"/>
  <c r="B104" i="15"/>
  <c r="B145" i="15" s="1"/>
  <c r="A104" i="15"/>
  <c r="A145" i="15" s="1"/>
  <c r="B103" i="15"/>
  <c r="B144" i="15" s="1"/>
  <c r="A103" i="15"/>
  <c r="A144" i="15" s="1"/>
  <c r="N102" i="15"/>
  <c r="N60" i="15" s="1"/>
  <c r="G102" i="15"/>
  <c r="G60" i="15" s="1"/>
  <c r="E102" i="15"/>
  <c r="E60" i="15" s="1"/>
  <c r="B102" i="15"/>
  <c r="B143" i="15" s="1"/>
  <c r="A102" i="15"/>
  <c r="A143" i="15" s="1"/>
  <c r="B101" i="15"/>
  <c r="B142" i="15" s="1"/>
  <c r="A101" i="15"/>
  <c r="A142" i="15" s="1"/>
  <c r="B100" i="15"/>
  <c r="B141" i="15" s="1"/>
  <c r="A100" i="15"/>
  <c r="A141" i="15" s="1"/>
  <c r="B99" i="15"/>
  <c r="B140" i="15" s="1"/>
  <c r="A99" i="15"/>
  <c r="A140" i="15" s="1"/>
  <c r="N98" i="15"/>
  <c r="N56" i="15" s="1"/>
  <c r="E98" i="15"/>
  <c r="E56" i="15" s="1"/>
  <c r="B98" i="15"/>
  <c r="B139" i="15" s="1"/>
  <c r="A98" i="15"/>
  <c r="A139" i="15" s="1"/>
  <c r="B97" i="15"/>
  <c r="B138" i="15" s="1"/>
  <c r="A97" i="15"/>
  <c r="A138" i="15" s="1"/>
  <c r="G96" i="15"/>
  <c r="G54" i="15" s="1"/>
  <c r="B96" i="15"/>
  <c r="B137" i="15" s="1"/>
  <c r="A96" i="15"/>
  <c r="A137" i="15" s="1"/>
  <c r="B95" i="15"/>
  <c r="B136" i="15" s="1"/>
  <c r="A95" i="15"/>
  <c r="A136" i="15" s="1"/>
  <c r="L94" i="15"/>
  <c r="L52" i="15" s="1"/>
  <c r="G94" i="15"/>
  <c r="G52" i="15" s="1"/>
  <c r="B94" i="15"/>
  <c r="B135" i="15" s="1"/>
  <c r="A94" i="15"/>
  <c r="A135" i="15" s="1"/>
  <c r="B93" i="15"/>
  <c r="B134" i="15" s="1"/>
  <c r="A93" i="15"/>
  <c r="A134" i="15" s="1"/>
  <c r="G92" i="15"/>
  <c r="G50" i="15" s="1"/>
  <c r="B92" i="15"/>
  <c r="B133" i="15" s="1"/>
  <c r="A92" i="15"/>
  <c r="A133" i="15" s="1"/>
  <c r="B91" i="15"/>
  <c r="B132" i="15" s="1"/>
  <c r="A91" i="15"/>
  <c r="A132" i="15" s="1"/>
  <c r="B90" i="15"/>
  <c r="B131" i="15" s="1"/>
  <c r="A90" i="15"/>
  <c r="A131" i="15" s="1"/>
  <c r="B85" i="15"/>
  <c r="A85" i="15"/>
  <c r="B84" i="15"/>
  <c r="A84" i="15"/>
  <c r="B83" i="15"/>
  <c r="A83" i="15"/>
  <c r="B82" i="15"/>
  <c r="A82" i="15"/>
  <c r="B81" i="15"/>
  <c r="A81" i="15"/>
  <c r="B80" i="15"/>
  <c r="A80" i="15"/>
  <c r="B79" i="15"/>
  <c r="A79" i="15"/>
  <c r="B78" i="15"/>
  <c r="A78" i="15"/>
  <c r="B77" i="15"/>
  <c r="A77" i="15"/>
  <c r="B76" i="15"/>
  <c r="A76" i="15"/>
  <c r="B75" i="15"/>
  <c r="A75" i="15"/>
  <c r="B74" i="15"/>
  <c r="A74" i="15"/>
  <c r="B73" i="15"/>
  <c r="A73" i="15"/>
  <c r="B72" i="15"/>
  <c r="A72" i="15"/>
  <c r="B71" i="15"/>
  <c r="A71" i="15"/>
  <c r="B70" i="15"/>
  <c r="A70" i="15"/>
  <c r="B69" i="15"/>
  <c r="A69" i="15"/>
  <c r="B68" i="15"/>
  <c r="A68" i="15"/>
  <c r="B67" i="15"/>
  <c r="A67" i="15"/>
  <c r="B66" i="15"/>
  <c r="A66" i="15"/>
  <c r="B65" i="15"/>
  <c r="A65" i="15"/>
  <c r="B64" i="15"/>
  <c r="A64" i="15"/>
  <c r="B63" i="15"/>
  <c r="A63" i="15"/>
  <c r="B62" i="15"/>
  <c r="A62" i="15"/>
  <c r="B61" i="15"/>
  <c r="A61" i="15"/>
  <c r="B60" i="15"/>
  <c r="A60" i="15"/>
  <c r="B59" i="15"/>
  <c r="A59" i="15"/>
  <c r="B58" i="15"/>
  <c r="A58" i="15"/>
  <c r="B57" i="15"/>
  <c r="A57" i="15"/>
  <c r="B56" i="15"/>
  <c r="A56" i="15"/>
  <c r="B55" i="15"/>
  <c r="A55" i="15"/>
  <c r="B54" i="15"/>
  <c r="A54" i="15"/>
  <c r="B53" i="15"/>
  <c r="A53" i="15"/>
  <c r="B52" i="15"/>
  <c r="A52" i="15"/>
  <c r="B51" i="15"/>
  <c r="A51" i="15"/>
  <c r="B50" i="15"/>
  <c r="A50" i="15"/>
  <c r="B49" i="15"/>
  <c r="A49" i="15"/>
  <c r="B48" i="15"/>
  <c r="A48" i="15"/>
  <c r="P43" i="15"/>
  <c r="T43" i="15" s="1"/>
  <c r="N362" i="14"/>
  <c r="M362" i="14"/>
  <c r="L362" i="14"/>
  <c r="K362" i="14"/>
  <c r="I362" i="14"/>
  <c r="H362" i="14"/>
  <c r="G362" i="14"/>
  <c r="F362" i="14"/>
  <c r="D362" i="14"/>
  <c r="F350" i="14"/>
  <c r="N320" i="14"/>
  <c r="M320" i="14"/>
  <c r="L320" i="14"/>
  <c r="K320" i="14"/>
  <c r="I320" i="14"/>
  <c r="H320" i="14"/>
  <c r="G320" i="14"/>
  <c r="F320" i="14"/>
  <c r="D320" i="14"/>
  <c r="N278" i="14"/>
  <c r="M278" i="14"/>
  <c r="L278" i="14"/>
  <c r="K278" i="14"/>
  <c r="I278" i="14"/>
  <c r="H278" i="14"/>
  <c r="G278" i="14"/>
  <c r="F278" i="14"/>
  <c r="D278" i="14"/>
  <c r="E267" i="14"/>
  <c r="E256" i="14"/>
  <c r="E253" i="14"/>
  <c r="N235" i="14"/>
  <c r="N193" i="14" s="1"/>
  <c r="M235" i="14"/>
  <c r="L235" i="14"/>
  <c r="L193" i="14" s="1"/>
  <c r="K235" i="14"/>
  <c r="I235" i="14"/>
  <c r="I193" i="14" s="1"/>
  <c r="H235" i="14"/>
  <c r="G235" i="14"/>
  <c r="G193" i="14" s="1"/>
  <c r="E235" i="14"/>
  <c r="E193" i="14" s="1"/>
  <c r="D235" i="14"/>
  <c r="F235" i="14" s="1"/>
  <c r="N234" i="14"/>
  <c r="M234" i="14"/>
  <c r="L234" i="14"/>
  <c r="K234" i="14"/>
  <c r="I234" i="14"/>
  <c r="H234" i="14"/>
  <c r="G234" i="14"/>
  <c r="E234" i="14"/>
  <c r="E192" i="14" s="1"/>
  <c r="D234" i="14"/>
  <c r="F234" i="14" s="1"/>
  <c r="F192" i="14" s="1"/>
  <c r="N233" i="14"/>
  <c r="N191" i="14" s="1"/>
  <c r="M233" i="14"/>
  <c r="L233" i="14"/>
  <c r="L191" i="14" s="1"/>
  <c r="K233" i="14"/>
  <c r="I233" i="14"/>
  <c r="I191" i="14" s="1"/>
  <c r="H233" i="14"/>
  <c r="G233" i="14"/>
  <c r="G191" i="14" s="1"/>
  <c r="E233" i="14"/>
  <c r="E191" i="14" s="1"/>
  <c r="D233" i="14"/>
  <c r="F233" i="14" s="1"/>
  <c r="N232" i="14"/>
  <c r="M232" i="14"/>
  <c r="L232" i="14"/>
  <c r="K232" i="14"/>
  <c r="I232" i="14"/>
  <c r="H232" i="14"/>
  <c r="G232" i="14"/>
  <c r="E232" i="14"/>
  <c r="D232" i="14"/>
  <c r="F232" i="14" s="1"/>
  <c r="F190" i="14" s="1"/>
  <c r="N231" i="14"/>
  <c r="N189" i="14" s="1"/>
  <c r="M231" i="14"/>
  <c r="L231" i="14"/>
  <c r="L189" i="14" s="1"/>
  <c r="K231" i="14"/>
  <c r="I231" i="14"/>
  <c r="I189" i="14" s="1"/>
  <c r="H231" i="14"/>
  <c r="G231" i="14"/>
  <c r="G189" i="14" s="1"/>
  <c r="E231" i="14"/>
  <c r="E189" i="14" s="1"/>
  <c r="D231" i="14"/>
  <c r="F231" i="14" s="1"/>
  <c r="N230" i="14"/>
  <c r="M230" i="14"/>
  <c r="L230" i="14"/>
  <c r="K230" i="14"/>
  <c r="I230" i="14"/>
  <c r="H230" i="14"/>
  <c r="G230" i="14"/>
  <c r="E230" i="14"/>
  <c r="E188" i="14" s="1"/>
  <c r="D230" i="14"/>
  <c r="F230" i="14" s="1"/>
  <c r="F188" i="14" s="1"/>
  <c r="N229" i="14"/>
  <c r="N187" i="14" s="1"/>
  <c r="M229" i="14"/>
  <c r="L229" i="14"/>
  <c r="L187" i="14" s="1"/>
  <c r="K229" i="14"/>
  <c r="I229" i="14"/>
  <c r="I187" i="14" s="1"/>
  <c r="H229" i="14"/>
  <c r="G229" i="14"/>
  <c r="G187" i="14" s="1"/>
  <c r="E229" i="14"/>
  <c r="E187" i="14" s="1"/>
  <c r="D229" i="14"/>
  <c r="F229" i="14" s="1"/>
  <c r="N228" i="14"/>
  <c r="M228" i="14"/>
  <c r="L228" i="14"/>
  <c r="K228" i="14"/>
  <c r="I228" i="14"/>
  <c r="H228" i="14"/>
  <c r="G228" i="14"/>
  <c r="E228" i="14"/>
  <c r="D228" i="14"/>
  <c r="F228" i="14" s="1"/>
  <c r="F186" i="14" s="1"/>
  <c r="N227" i="14"/>
  <c r="N185" i="14" s="1"/>
  <c r="M227" i="14"/>
  <c r="L227" i="14"/>
  <c r="L185" i="14" s="1"/>
  <c r="K227" i="14"/>
  <c r="I227" i="14"/>
  <c r="I185" i="14" s="1"/>
  <c r="H227" i="14"/>
  <c r="G227" i="14"/>
  <c r="G185" i="14" s="1"/>
  <c r="E227" i="14"/>
  <c r="E185" i="14" s="1"/>
  <c r="D227" i="14"/>
  <c r="F227" i="14" s="1"/>
  <c r="N226" i="14"/>
  <c r="M226" i="14"/>
  <c r="L226" i="14"/>
  <c r="K226" i="14"/>
  <c r="I226" i="14"/>
  <c r="H226" i="14"/>
  <c r="G226" i="14"/>
  <c r="E226" i="14"/>
  <c r="E184" i="14" s="1"/>
  <c r="D226" i="14"/>
  <c r="F226" i="14" s="1"/>
  <c r="F184" i="14" s="1"/>
  <c r="N225" i="14"/>
  <c r="N183" i="14" s="1"/>
  <c r="M225" i="14"/>
  <c r="L225" i="14"/>
  <c r="L183" i="14" s="1"/>
  <c r="K225" i="14"/>
  <c r="I225" i="14"/>
  <c r="I183" i="14" s="1"/>
  <c r="H225" i="14"/>
  <c r="G225" i="14"/>
  <c r="G183" i="14" s="1"/>
  <c r="E225" i="14"/>
  <c r="E183" i="14" s="1"/>
  <c r="D225" i="14"/>
  <c r="F225" i="14" s="1"/>
  <c r="N224" i="14"/>
  <c r="M224" i="14"/>
  <c r="L224" i="14"/>
  <c r="K224" i="14"/>
  <c r="I224" i="14"/>
  <c r="H224" i="14"/>
  <c r="G224" i="14"/>
  <c r="E224" i="14"/>
  <c r="D224" i="14"/>
  <c r="F224" i="14" s="1"/>
  <c r="F182" i="14" s="1"/>
  <c r="N223" i="14"/>
  <c r="N181" i="14" s="1"/>
  <c r="M223" i="14"/>
  <c r="L223" i="14"/>
  <c r="L181" i="14" s="1"/>
  <c r="K223" i="14"/>
  <c r="I223" i="14"/>
  <c r="I181" i="14" s="1"/>
  <c r="H223" i="14"/>
  <c r="G223" i="14"/>
  <c r="G181" i="14" s="1"/>
  <c r="E223" i="14"/>
  <c r="E181" i="14" s="1"/>
  <c r="D223" i="14"/>
  <c r="F223" i="14" s="1"/>
  <c r="N222" i="14"/>
  <c r="M222" i="14"/>
  <c r="L222" i="14"/>
  <c r="K222" i="14"/>
  <c r="I222" i="14"/>
  <c r="H222" i="14"/>
  <c r="G222" i="14"/>
  <c r="E222" i="14"/>
  <c r="E180" i="14" s="1"/>
  <c r="D222" i="14"/>
  <c r="F222" i="14" s="1"/>
  <c r="F180" i="14" s="1"/>
  <c r="N221" i="14"/>
  <c r="N179" i="14" s="1"/>
  <c r="M221" i="14"/>
  <c r="L221" i="14"/>
  <c r="L179" i="14" s="1"/>
  <c r="K221" i="14"/>
  <c r="I221" i="14"/>
  <c r="I179" i="14" s="1"/>
  <c r="H221" i="14"/>
  <c r="G221" i="14"/>
  <c r="G179" i="14" s="1"/>
  <c r="E221" i="14"/>
  <c r="E179" i="14" s="1"/>
  <c r="D221" i="14"/>
  <c r="F221" i="14" s="1"/>
  <c r="N220" i="14"/>
  <c r="M220" i="14"/>
  <c r="L220" i="14"/>
  <c r="K220" i="14"/>
  <c r="I220" i="14"/>
  <c r="H220" i="14"/>
  <c r="G220" i="14"/>
  <c r="E220" i="14"/>
  <c r="D220" i="14"/>
  <c r="F220" i="14" s="1"/>
  <c r="F178" i="14" s="1"/>
  <c r="N219" i="14"/>
  <c r="N177" i="14" s="1"/>
  <c r="M219" i="14"/>
  <c r="L219" i="14"/>
  <c r="L177" i="14" s="1"/>
  <c r="K219" i="14"/>
  <c r="I219" i="14"/>
  <c r="I177" i="14" s="1"/>
  <c r="H219" i="14"/>
  <c r="G219" i="14"/>
  <c r="G177" i="14" s="1"/>
  <c r="E219" i="14"/>
  <c r="E177" i="14" s="1"/>
  <c r="D219" i="14"/>
  <c r="F219" i="14" s="1"/>
  <c r="N218" i="14"/>
  <c r="M218" i="14"/>
  <c r="L218" i="14"/>
  <c r="K218" i="14"/>
  <c r="I218" i="14"/>
  <c r="H218" i="14"/>
  <c r="G218" i="14"/>
  <c r="E218" i="14"/>
  <c r="E176" i="14" s="1"/>
  <c r="D218" i="14"/>
  <c r="F218" i="14" s="1"/>
  <c r="F176" i="14" s="1"/>
  <c r="N217" i="14"/>
  <c r="N175" i="14" s="1"/>
  <c r="M217" i="14"/>
  <c r="L217" i="14"/>
  <c r="L175" i="14" s="1"/>
  <c r="K217" i="14"/>
  <c r="I217" i="14"/>
  <c r="I175" i="14" s="1"/>
  <c r="H217" i="14"/>
  <c r="G217" i="14"/>
  <c r="G175" i="14" s="1"/>
  <c r="E217" i="14"/>
  <c r="E175" i="14" s="1"/>
  <c r="D217" i="14"/>
  <c r="F217" i="14" s="1"/>
  <c r="N216" i="14"/>
  <c r="M216" i="14"/>
  <c r="L216" i="14"/>
  <c r="K216" i="14"/>
  <c r="I216" i="14"/>
  <c r="H216" i="14"/>
  <c r="G216" i="14"/>
  <c r="E216" i="14"/>
  <c r="D216" i="14"/>
  <c r="F216" i="14" s="1"/>
  <c r="F174" i="14" s="1"/>
  <c r="N215" i="14"/>
  <c r="N173" i="14" s="1"/>
  <c r="M215" i="14"/>
  <c r="L215" i="14"/>
  <c r="L173" i="14" s="1"/>
  <c r="K215" i="14"/>
  <c r="I215" i="14"/>
  <c r="I173" i="14" s="1"/>
  <c r="H215" i="14"/>
  <c r="G215" i="14"/>
  <c r="G173" i="14" s="1"/>
  <c r="E215" i="14"/>
  <c r="E173" i="14" s="1"/>
  <c r="D215" i="14"/>
  <c r="F215" i="14" s="1"/>
  <c r="N214" i="14"/>
  <c r="M214" i="14"/>
  <c r="L214" i="14"/>
  <c r="K214" i="14"/>
  <c r="I214" i="14"/>
  <c r="H214" i="14"/>
  <c r="G214" i="14"/>
  <c r="E214" i="14"/>
  <c r="E172" i="14" s="1"/>
  <c r="D214" i="14"/>
  <c r="F214" i="14" s="1"/>
  <c r="F172" i="14" s="1"/>
  <c r="N213" i="14"/>
  <c r="N171" i="14" s="1"/>
  <c r="M213" i="14"/>
  <c r="L213" i="14"/>
  <c r="L171" i="14" s="1"/>
  <c r="K213" i="14"/>
  <c r="I213" i="14"/>
  <c r="I171" i="14" s="1"/>
  <c r="H213" i="14"/>
  <c r="G213" i="14"/>
  <c r="G171" i="14" s="1"/>
  <c r="D213" i="14"/>
  <c r="F213" i="14" s="1"/>
  <c r="N212" i="14"/>
  <c r="M212" i="14"/>
  <c r="L212" i="14"/>
  <c r="K212" i="14"/>
  <c r="I212" i="14"/>
  <c r="H212" i="14"/>
  <c r="G212" i="14"/>
  <c r="D212" i="14"/>
  <c r="F212" i="14" s="1"/>
  <c r="F170" i="14" s="1"/>
  <c r="N211" i="14"/>
  <c r="N169" i="14" s="1"/>
  <c r="M211" i="14"/>
  <c r="L211" i="14"/>
  <c r="L169" i="14" s="1"/>
  <c r="K211" i="14"/>
  <c r="I211" i="14"/>
  <c r="I169" i="14" s="1"/>
  <c r="H211" i="14"/>
  <c r="G211" i="14"/>
  <c r="G169" i="14" s="1"/>
  <c r="D211" i="14"/>
  <c r="F211" i="14" s="1"/>
  <c r="N210" i="14"/>
  <c r="M210" i="14"/>
  <c r="L210" i="14"/>
  <c r="K210" i="14"/>
  <c r="I210" i="14"/>
  <c r="H210" i="14"/>
  <c r="G210" i="14"/>
  <c r="E210" i="14"/>
  <c r="E168" i="14" s="1"/>
  <c r="D210" i="14"/>
  <c r="F210" i="14" s="1"/>
  <c r="F168" i="14" s="1"/>
  <c r="N209" i="14"/>
  <c r="N167" i="14" s="1"/>
  <c r="M209" i="14"/>
  <c r="L209" i="14"/>
  <c r="L167" i="14" s="1"/>
  <c r="K209" i="14"/>
  <c r="I209" i="14"/>
  <c r="I167" i="14" s="1"/>
  <c r="H209" i="14"/>
  <c r="G209" i="14"/>
  <c r="G167" i="14" s="1"/>
  <c r="D209" i="14"/>
  <c r="F209" i="14" s="1"/>
  <c r="N208" i="14"/>
  <c r="M208" i="14"/>
  <c r="L208" i="14"/>
  <c r="K208" i="14"/>
  <c r="I208" i="14"/>
  <c r="H208" i="14"/>
  <c r="G208" i="14"/>
  <c r="D208" i="14"/>
  <c r="F208" i="14" s="1"/>
  <c r="F166" i="14" s="1"/>
  <c r="N207" i="14"/>
  <c r="N165" i="14" s="1"/>
  <c r="M207" i="14"/>
  <c r="L207" i="14"/>
  <c r="L165" i="14" s="1"/>
  <c r="K207" i="14"/>
  <c r="I207" i="14"/>
  <c r="I165" i="14" s="1"/>
  <c r="H207" i="14"/>
  <c r="G207" i="14"/>
  <c r="G165" i="14" s="1"/>
  <c r="D207" i="14"/>
  <c r="F207" i="14" s="1"/>
  <c r="N206" i="14"/>
  <c r="M206" i="14"/>
  <c r="L206" i="14"/>
  <c r="K206" i="14"/>
  <c r="I206" i="14"/>
  <c r="H206" i="14"/>
  <c r="G206" i="14"/>
  <c r="E206" i="14"/>
  <c r="E164" i="14" s="1"/>
  <c r="D206" i="14"/>
  <c r="F206" i="14" s="1"/>
  <c r="F164" i="14" s="1"/>
  <c r="N205" i="14"/>
  <c r="N163" i="14" s="1"/>
  <c r="M205" i="14"/>
  <c r="L205" i="14"/>
  <c r="L163" i="14" s="1"/>
  <c r="K205" i="14"/>
  <c r="I205" i="14"/>
  <c r="I163" i="14" s="1"/>
  <c r="H205" i="14"/>
  <c r="G205" i="14"/>
  <c r="G163" i="14" s="1"/>
  <c r="E205" i="14"/>
  <c r="E163" i="14" s="1"/>
  <c r="D205" i="14"/>
  <c r="F205" i="14" s="1"/>
  <c r="N204" i="14"/>
  <c r="M204" i="14"/>
  <c r="L204" i="14"/>
  <c r="K204" i="14"/>
  <c r="I204" i="14"/>
  <c r="H204" i="14"/>
  <c r="G204" i="14"/>
  <c r="E204" i="14"/>
  <c r="D204" i="14"/>
  <c r="F204" i="14" s="1"/>
  <c r="F162" i="14" s="1"/>
  <c r="N203" i="14"/>
  <c r="N161" i="14" s="1"/>
  <c r="M203" i="14"/>
  <c r="L203" i="14"/>
  <c r="L161" i="14" s="1"/>
  <c r="K203" i="14"/>
  <c r="I203" i="14"/>
  <c r="I161" i="14" s="1"/>
  <c r="H203" i="14"/>
  <c r="G203" i="14"/>
  <c r="G161" i="14" s="1"/>
  <c r="D203" i="14"/>
  <c r="F203" i="14" s="1"/>
  <c r="N202" i="14"/>
  <c r="M202" i="14"/>
  <c r="L202" i="14"/>
  <c r="K202" i="14"/>
  <c r="I202" i="14"/>
  <c r="H202" i="14"/>
  <c r="G202" i="14"/>
  <c r="E202" i="14"/>
  <c r="E160" i="14" s="1"/>
  <c r="D202" i="14"/>
  <c r="F202" i="14" s="1"/>
  <c r="F160" i="14" s="1"/>
  <c r="N201" i="14"/>
  <c r="N159" i="14" s="1"/>
  <c r="M201" i="14"/>
  <c r="L201" i="14"/>
  <c r="L159" i="14" s="1"/>
  <c r="K201" i="14"/>
  <c r="I201" i="14"/>
  <c r="I159" i="14" s="1"/>
  <c r="H201" i="14"/>
  <c r="G201" i="14"/>
  <c r="G159" i="14" s="1"/>
  <c r="D201" i="14"/>
  <c r="F201" i="14" s="1"/>
  <c r="N200" i="14"/>
  <c r="M200" i="14"/>
  <c r="L200" i="14"/>
  <c r="K200" i="14"/>
  <c r="I200" i="14"/>
  <c r="H200" i="14"/>
  <c r="G200" i="14"/>
  <c r="D200" i="14"/>
  <c r="F200" i="14" s="1"/>
  <c r="F158" i="14" s="1"/>
  <c r="N199" i="14"/>
  <c r="N157" i="14" s="1"/>
  <c r="N137" i="14" s="1"/>
  <c r="M199" i="14"/>
  <c r="L199" i="14"/>
  <c r="L157" i="14" s="1"/>
  <c r="L137" i="14" s="1"/>
  <c r="K199" i="14"/>
  <c r="I199" i="14"/>
  <c r="I157" i="14" s="1"/>
  <c r="H199" i="14"/>
  <c r="G199" i="14"/>
  <c r="G157" i="14" s="1"/>
  <c r="D199" i="14"/>
  <c r="F199" i="14" s="1"/>
  <c r="N198" i="14"/>
  <c r="N236" i="14" s="1"/>
  <c r="M198" i="14"/>
  <c r="M236" i="14" s="1"/>
  <c r="L198" i="14"/>
  <c r="K198" i="14"/>
  <c r="K236" i="14" s="1"/>
  <c r="I198" i="14"/>
  <c r="I236" i="14" s="1"/>
  <c r="H198" i="14"/>
  <c r="H236" i="14" s="1"/>
  <c r="G198" i="14"/>
  <c r="E198" i="14"/>
  <c r="E156" i="14" s="1"/>
  <c r="D198" i="14"/>
  <c r="M193" i="14"/>
  <c r="K193" i="14"/>
  <c r="H193" i="14"/>
  <c r="F193" i="14"/>
  <c r="D193" i="14"/>
  <c r="B193" i="14"/>
  <c r="B235" i="14" s="1"/>
  <c r="B277" i="14" s="1"/>
  <c r="B319" i="14" s="1"/>
  <c r="B361" i="14" s="1"/>
  <c r="A193" i="14"/>
  <c r="A235" i="14" s="1"/>
  <c r="A277" i="14" s="1"/>
  <c r="A319" i="14" s="1"/>
  <c r="A361" i="14" s="1"/>
  <c r="N192" i="14"/>
  <c r="M192" i="14"/>
  <c r="L192" i="14"/>
  <c r="K192" i="14"/>
  <c r="I192" i="14"/>
  <c r="H192" i="14"/>
  <c r="G192" i="14"/>
  <c r="D192" i="14"/>
  <c r="B192" i="14"/>
  <c r="B234" i="14" s="1"/>
  <c r="B276" i="14" s="1"/>
  <c r="B318" i="14" s="1"/>
  <c r="B360" i="14" s="1"/>
  <c r="A192" i="14"/>
  <c r="A234" i="14" s="1"/>
  <c r="A276" i="14" s="1"/>
  <c r="A318" i="14" s="1"/>
  <c r="A360" i="14" s="1"/>
  <c r="M191" i="14"/>
  <c r="K191" i="14"/>
  <c r="H191" i="14"/>
  <c r="F191" i="14"/>
  <c r="D191" i="14"/>
  <c r="C191" i="14" s="1"/>
  <c r="B191" i="14"/>
  <c r="B233" i="14" s="1"/>
  <c r="B275" i="14" s="1"/>
  <c r="B317" i="14" s="1"/>
  <c r="B359" i="14" s="1"/>
  <c r="A191" i="14"/>
  <c r="A233" i="14" s="1"/>
  <c r="A275" i="14" s="1"/>
  <c r="A317" i="14" s="1"/>
  <c r="A359" i="14" s="1"/>
  <c r="N190" i="14"/>
  <c r="M190" i="14"/>
  <c r="L190" i="14"/>
  <c r="K190" i="14"/>
  <c r="I190" i="14"/>
  <c r="H190" i="14"/>
  <c r="G190" i="14"/>
  <c r="E190" i="14"/>
  <c r="D190" i="14"/>
  <c r="C190" i="14"/>
  <c r="B190" i="14"/>
  <c r="B232" i="14" s="1"/>
  <c r="B274" i="14" s="1"/>
  <c r="B316" i="14" s="1"/>
  <c r="B358" i="14" s="1"/>
  <c r="A190" i="14"/>
  <c r="A232" i="14" s="1"/>
  <c r="A274" i="14" s="1"/>
  <c r="A316" i="14" s="1"/>
  <c r="A358" i="14" s="1"/>
  <c r="M189" i="14"/>
  <c r="K189" i="14"/>
  <c r="H189" i="14"/>
  <c r="F189" i="14"/>
  <c r="D189" i="14"/>
  <c r="B189" i="14"/>
  <c r="B231" i="14" s="1"/>
  <c r="B273" i="14" s="1"/>
  <c r="B315" i="14" s="1"/>
  <c r="B357" i="14" s="1"/>
  <c r="A189" i="14"/>
  <c r="A231" i="14" s="1"/>
  <c r="A273" i="14" s="1"/>
  <c r="A315" i="14" s="1"/>
  <c r="A357" i="14" s="1"/>
  <c r="N188" i="14"/>
  <c r="M188" i="14"/>
  <c r="L188" i="14"/>
  <c r="K188" i="14"/>
  <c r="I188" i="14"/>
  <c r="H188" i="14"/>
  <c r="G188" i="14"/>
  <c r="D188" i="14"/>
  <c r="B188" i="14"/>
  <c r="B230" i="14" s="1"/>
  <c r="B272" i="14" s="1"/>
  <c r="B314" i="14" s="1"/>
  <c r="B356" i="14" s="1"/>
  <c r="A188" i="14"/>
  <c r="A230" i="14" s="1"/>
  <c r="A272" i="14" s="1"/>
  <c r="A314" i="14" s="1"/>
  <c r="A356" i="14" s="1"/>
  <c r="M187" i="14"/>
  <c r="K187" i="14"/>
  <c r="H187" i="14"/>
  <c r="F187" i="14"/>
  <c r="D187" i="14"/>
  <c r="C187" i="14" s="1"/>
  <c r="B187" i="14"/>
  <c r="B229" i="14" s="1"/>
  <c r="B271" i="14" s="1"/>
  <c r="B313" i="14" s="1"/>
  <c r="B355" i="14" s="1"/>
  <c r="A187" i="14"/>
  <c r="A229" i="14" s="1"/>
  <c r="A271" i="14" s="1"/>
  <c r="A313" i="14" s="1"/>
  <c r="A355" i="14" s="1"/>
  <c r="N186" i="14"/>
  <c r="M186" i="14"/>
  <c r="L186" i="14"/>
  <c r="K186" i="14"/>
  <c r="I186" i="14"/>
  <c r="H186" i="14"/>
  <c r="G186" i="14"/>
  <c r="E186" i="14"/>
  <c r="D186" i="14"/>
  <c r="C186" i="14"/>
  <c r="B186" i="14"/>
  <c r="B228" i="14" s="1"/>
  <c r="B270" i="14" s="1"/>
  <c r="B312" i="14" s="1"/>
  <c r="B354" i="14" s="1"/>
  <c r="A186" i="14"/>
  <c r="A228" i="14" s="1"/>
  <c r="A270" i="14" s="1"/>
  <c r="A312" i="14" s="1"/>
  <c r="A354" i="14" s="1"/>
  <c r="M185" i="14"/>
  <c r="K185" i="14"/>
  <c r="H185" i="14"/>
  <c r="F185" i="14"/>
  <c r="D185" i="14"/>
  <c r="B185" i="14"/>
  <c r="B227" i="14" s="1"/>
  <c r="B269" i="14" s="1"/>
  <c r="B311" i="14" s="1"/>
  <c r="B353" i="14" s="1"/>
  <c r="A185" i="14"/>
  <c r="A227" i="14" s="1"/>
  <c r="A269" i="14" s="1"/>
  <c r="A311" i="14" s="1"/>
  <c r="A353" i="14" s="1"/>
  <c r="N184" i="14"/>
  <c r="M184" i="14"/>
  <c r="L184" i="14"/>
  <c r="K184" i="14"/>
  <c r="I184" i="14"/>
  <c r="H184" i="14"/>
  <c r="G184" i="14"/>
  <c r="D184" i="14"/>
  <c r="B184" i="14"/>
  <c r="B226" i="14" s="1"/>
  <c r="B268" i="14" s="1"/>
  <c r="B310" i="14" s="1"/>
  <c r="B352" i="14" s="1"/>
  <c r="A184" i="14"/>
  <c r="A226" i="14" s="1"/>
  <c r="A268" i="14" s="1"/>
  <c r="A310" i="14" s="1"/>
  <c r="A352" i="14" s="1"/>
  <c r="M183" i="14"/>
  <c r="K183" i="14"/>
  <c r="H183" i="14"/>
  <c r="F183" i="14"/>
  <c r="D183" i="14"/>
  <c r="C183" i="14" s="1"/>
  <c r="B183" i="14"/>
  <c r="B225" i="14" s="1"/>
  <c r="B267" i="14" s="1"/>
  <c r="B309" i="14" s="1"/>
  <c r="B351" i="14" s="1"/>
  <c r="A183" i="14"/>
  <c r="A225" i="14" s="1"/>
  <c r="A267" i="14" s="1"/>
  <c r="A309" i="14" s="1"/>
  <c r="A351" i="14" s="1"/>
  <c r="N182" i="14"/>
  <c r="M182" i="14"/>
  <c r="L182" i="14"/>
  <c r="K182" i="14"/>
  <c r="I182" i="14"/>
  <c r="H182" i="14"/>
  <c r="G182" i="14"/>
  <c r="E182" i="14"/>
  <c r="D182" i="14"/>
  <c r="C182" i="14"/>
  <c r="B182" i="14"/>
  <c r="B224" i="14" s="1"/>
  <c r="B266" i="14" s="1"/>
  <c r="B308" i="14" s="1"/>
  <c r="B350" i="14" s="1"/>
  <c r="A182" i="14"/>
  <c r="A224" i="14" s="1"/>
  <c r="A266" i="14" s="1"/>
  <c r="A308" i="14" s="1"/>
  <c r="A350" i="14" s="1"/>
  <c r="M181" i="14"/>
  <c r="K181" i="14"/>
  <c r="H181" i="14"/>
  <c r="F181" i="14"/>
  <c r="D181" i="14"/>
  <c r="B181" i="14"/>
  <c r="B223" i="14" s="1"/>
  <c r="B265" i="14" s="1"/>
  <c r="B307" i="14" s="1"/>
  <c r="B349" i="14" s="1"/>
  <c r="A181" i="14"/>
  <c r="A223" i="14" s="1"/>
  <c r="A265" i="14" s="1"/>
  <c r="A307" i="14" s="1"/>
  <c r="A349" i="14" s="1"/>
  <c r="N180" i="14"/>
  <c r="M180" i="14"/>
  <c r="L180" i="14"/>
  <c r="K180" i="14"/>
  <c r="I180" i="14"/>
  <c r="H180" i="14"/>
  <c r="G180" i="14"/>
  <c r="D180" i="14"/>
  <c r="B180" i="14"/>
  <c r="B222" i="14" s="1"/>
  <c r="B264" i="14" s="1"/>
  <c r="B306" i="14" s="1"/>
  <c r="B348" i="14" s="1"/>
  <c r="A180" i="14"/>
  <c r="A222" i="14" s="1"/>
  <c r="A264" i="14" s="1"/>
  <c r="A306" i="14" s="1"/>
  <c r="A348" i="14" s="1"/>
  <c r="M179" i="14"/>
  <c r="K179" i="14"/>
  <c r="H179" i="14"/>
  <c r="F179" i="14"/>
  <c r="D179" i="14"/>
  <c r="C179" i="14" s="1"/>
  <c r="B179" i="14"/>
  <c r="B221" i="14" s="1"/>
  <c r="B263" i="14" s="1"/>
  <c r="B305" i="14" s="1"/>
  <c r="B347" i="14" s="1"/>
  <c r="A179" i="14"/>
  <c r="A221" i="14" s="1"/>
  <c r="A263" i="14" s="1"/>
  <c r="A305" i="14" s="1"/>
  <c r="A347" i="14" s="1"/>
  <c r="N178" i="14"/>
  <c r="M178" i="14"/>
  <c r="L178" i="14"/>
  <c r="K178" i="14"/>
  <c r="I178" i="14"/>
  <c r="H178" i="14"/>
  <c r="G178" i="14"/>
  <c r="E178" i="14"/>
  <c r="D178" i="14"/>
  <c r="C178" i="14"/>
  <c r="B178" i="14"/>
  <c r="B220" i="14" s="1"/>
  <c r="B262" i="14" s="1"/>
  <c r="B304" i="14" s="1"/>
  <c r="B346" i="14" s="1"/>
  <c r="A178" i="14"/>
  <c r="A220" i="14" s="1"/>
  <c r="A262" i="14" s="1"/>
  <c r="A304" i="14" s="1"/>
  <c r="A346" i="14" s="1"/>
  <c r="M177" i="14"/>
  <c r="K177" i="14"/>
  <c r="H177" i="14"/>
  <c r="F177" i="14"/>
  <c r="D177" i="14"/>
  <c r="B177" i="14"/>
  <c r="B219" i="14" s="1"/>
  <c r="B261" i="14" s="1"/>
  <c r="B303" i="14" s="1"/>
  <c r="B345" i="14" s="1"/>
  <c r="A177" i="14"/>
  <c r="A219" i="14" s="1"/>
  <c r="A261" i="14" s="1"/>
  <c r="A303" i="14" s="1"/>
  <c r="A345" i="14" s="1"/>
  <c r="N176" i="14"/>
  <c r="M176" i="14"/>
  <c r="L176" i="14"/>
  <c r="K176" i="14"/>
  <c r="I176" i="14"/>
  <c r="H176" i="14"/>
  <c r="G176" i="14"/>
  <c r="D176" i="14"/>
  <c r="B176" i="14"/>
  <c r="B218" i="14" s="1"/>
  <c r="B260" i="14" s="1"/>
  <c r="B302" i="14" s="1"/>
  <c r="B344" i="14" s="1"/>
  <c r="A176" i="14"/>
  <c r="A218" i="14" s="1"/>
  <c r="A260" i="14" s="1"/>
  <c r="A302" i="14" s="1"/>
  <c r="A344" i="14" s="1"/>
  <c r="M175" i="14"/>
  <c r="K175" i="14"/>
  <c r="H175" i="14"/>
  <c r="F175" i="14"/>
  <c r="D175" i="14"/>
  <c r="C175" i="14" s="1"/>
  <c r="B175" i="14"/>
  <c r="B217" i="14" s="1"/>
  <c r="B259" i="14" s="1"/>
  <c r="B301" i="14" s="1"/>
  <c r="B343" i="14" s="1"/>
  <c r="A175" i="14"/>
  <c r="A217" i="14" s="1"/>
  <c r="A259" i="14" s="1"/>
  <c r="A301" i="14" s="1"/>
  <c r="A343" i="14" s="1"/>
  <c r="N174" i="14"/>
  <c r="M174" i="14"/>
  <c r="L174" i="14"/>
  <c r="K174" i="14"/>
  <c r="I174" i="14"/>
  <c r="H174" i="14"/>
  <c r="G174" i="14"/>
  <c r="E174" i="14"/>
  <c r="D174" i="14"/>
  <c r="C174" i="14"/>
  <c r="B174" i="14"/>
  <c r="B216" i="14" s="1"/>
  <c r="B258" i="14" s="1"/>
  <c r="B300" i="14" s="1"/>
  <c r="B342" i="14" s="1"/>
  <c r="A174" i="14"/>
  <c r="A216" i="14" s="1"/>
  <c r="A258" i="14" s="1"/>
  <c r="A300" i="14" s="1"/>
  <c r="A342" i="14" s="1"/>
  <c r="M173" i="14"/>
  <c r="K173" i="14"/>
  <c r="H173" i="14"/>
  <c r="F173" i="14"/>
  <c r="F140" i="14" s="1"/>
  <c r="D173" i="14"/>
  <c r="B173" i="14"/>
  <c r="B215" i="14" s="1"/>
  <c r="B257" i="14" s="1"/>
  <c r="B299" i="14" s="1"/>
  <c r="B341" i="14" s="1"/>
  <c r="A173" i="14"/>
  <c r="A215" i="14" s="1"/>
  <c r="A257" i="14" s="1"/>
  <c r="A299" i="14" s="1"/>
  <c r="A341" i="14" s="1"/>
  <c r="N172" i="14"/>
  <c r="M172" i="14"/>
  <c r="L172" i="14"/>
  <c r="K172" i="14"/>
  <c r="I172" i="14"/>
  <c r="H172" i="14"/>
  <c r="G172" i="14"/>
  <c r="D172" i="14"/>
  <c r="B172" i="14"/>
  <c r="B214" i="14" s="1"/>
  <c r="B256" i="14" s="1"/>
  <c r="B298" i="14" s="1"/>
  <c r="B340" i="14" s="1"/>
  <c r="A172" i="14"/>
  <c r="A214" i="14" s="1"/>
  <c r="A256" i="14" s="1"/>
  <c r="A298" i="14" s="1"/>
  <c r="A340" i="14" s="1"/>
  <c r="M171" i="14"/>
  <c r="K171" i="14"/>
  <c r="H171" i="14"/>
  <c r="F171" i="14"/>
  <c r="D171" i="14"/>
  <c r="B171" i="14"/>
  <c r="B213" i="14" s="1"/>
  <c r="B255" i="14" s="1"/>
  <c r="B297" i="14" s="1"/>
  <c r="B339" i="14" s="1"/>
  <c r="A171" i="14"/>
  <c r="A213" i="14" s="1"/>
  <c r="A255" i="14" s="1"/>
  <c r="A297" i="14" s="1"/>
  <c r="A339" i="14" s="1"/>
  <c r="N170" i="14"/>
  <c r="M170" i="14"/>
  <c r="L170" i="14"/>
  <c r="K170" i="14"/>
  <c r="I170" i="14"/>
  <c r="H170" i="14"/>
  <c r="G170" i="14"/>
  <c r="D170" i="14"/>
  <c r="B170" i="14"/>
  <c r="B212" i="14" s="1"/>
  <c r="B254" i="14" s="1"/>
  <c r="B296" i="14" s="1"/>
  <c r="B338" i="14" s="1"/>
  <c r="A170" i="14"/>
  <c r="A212" i="14" s="1"/>
  <c r="A254" i="14" s="1"/>
  <c r="A296" i="14" s="1"/>
  <c r="A338" i="14" s="1"/>
  <c r="M169" i="14"/>
  <c r="K169" i="14"/>
  <c r="H169" i="14"/>
  <c r="F169" i="14"/>
  <c r="D169" i="14"/>
  <c r="B169" i="14"/>
  <c r="B211" i="14" s="1"/>
  <c r="B253" i="14" s="1"/>
  <c r="B295" i="14" s="1"/>
  <c r="B337" i="14" s="1"/>
  <c r="A169" i="14"/>
  <c r="A211" i="14" s="1"/>
  <c r="A253" i="14" s="1"/>
  <c r="A295" i="14" s="1"/>
  <c r="A337" i="14" s="1"/>
  <c r="N168" i="14"/>
  <c r="N140" i="14" s="1"/>
  <c r="M168" i="14"/>
  <c r="L168" i="14"/>
  <c r="L140" i="14" s="1"/>
  <c r="K168" i="14"/>
  <c r="I168" i="14"/>
  <c r="H168" i="14"/>
  <c r="G168" i="14"/>
  <c r="D168" i="14"/>
  <c r="B168" i="14"/>
  <c r="B210" i="14" s="1"/>
  <c r="B252" i="14" s="1"/>
  <c r="B294" i="14" s="1"/>
  <c r="B336" i="14" s="1"/>
  <c r="A168" i="14"/>
  <c r="A210" i="14" s="1"/>
  <c r="A252" i="14" s="1"/>
  <c r="A294" i="14" s="1"/>
  <c r="A336" i="14" s="1"/>
  <c r="M167" i="14"/>
  <c r="M140" i="14" s="1"/>
  <c r="K167" i="14"/>
  <c r="H167" i="14"/>
  <c r="F167" i="14"/>
  <c r="D167" i="14"/>
  <c r="D140" i="14" s="1"/>
  <c r="B167" i="14"/>
  <c r="B209" i="14" s="1"/>
  <c r="B251" i="14" s="1"/>
  <c r="B293" i="14" s="1"/>
  <c r="B335" i="14" s="1"/>
  <c r="A167" i="14"/>
  <c r="A209" i="14" s="1"/>
  <c r="A251" i="14" s="1"/>
  <c r="A293" i="14" s="1"/>
  <c r="A335" i="14" s="1"/>
  <c r="N166" i="14"/>
  <c r="M166" i="14"/>
  <c r="L166" i="14"/>
  <c r="K166" i="14"/>
  <c r="I166" i="14"/>
  <c r="H166" i="14"/>
  <c r="G166" i="14"/>
  <c r="D166" i="14"/>
  <c r="B166" i="14"/>
  <c r="B208" i="14" s="1"/>
  <c r="B250" i="14" s="1"/>
  <c r="B292" i="14" s="1"/>
  <c r="B334" i="14" s="1"/>
  <c r="A166" i="14"/>
  <c r="A208" i="14" s="1"/>
  <c r="A250" i="14" s="1"/>
  <c r="A292" i="14" s="1"/>
  <c r="A334" i="14" s="1"/>
  <c r="M165" i="14"/>
  <c r="K165" i="14"/>
  <c r="H165" i="14"/>
  <c r="F165" i="14"/>
  <c r="D165" i="14"/>
  <c r="B165" i="14"/>
  <c r="B207" i="14" s="1"/>
  <c r="B249" i="14" s="1"/>
  <c r="B291" i="14" s="1"/>
  <c r="B333" i="14" s="1"/>
  <c r="A165" i="14"/>
  <c r="A207" i="14" s="1"/>
  <c r="A249" i="14" s="1"/>
  <c r="A291" i="14" s="1"/>
  <c r="A333" i="14" s="1"/>
  <c r="N164" i="14"/>
  <c r="M164" i="14"/>
  <c r="L164" i="14"/>
  <c r="K164" i="14"/>
  <c r="I164" i="14"/>
  <c r="H164" i="14"/>
  <c r="G164" i="14"/>
  <c r="D164" i="14"/>
  <c r="B164" i="14"/>
  <c r="B206" i="14" s="1"/>
  <c r="B248" i="14" s="1"/>
  <c r="B290" i="14" s="1"/>
  <c r="B332" i="14" s="1"/>
  <c r="A164" i="14"/>
  <c r="A206" i="14" s="1"/>
  <c r="A248" i="14" s="1"/>
  <c r="A290" i="14" s="1"/>
  <c r="A332" i="14" s="1"/>
  <c r="M163" i="14"/>
  <c r="K163" i="14"/>
  <c r="H163" i="14"/>
  <c r="F163" i="14"/>
  <c r="D163" i="14"/>
  <c r="C163" i="14" s="1"/>
  <c r="B163" i="14"/>
  <c r="B205" i="14" s="1"/>
  <c r="B247" i="14" s="1"/>
  <c r="B289" i="14" s="1"/>
  <c r="B331" i="14" s="1"/>
  <c r="A163" i="14"/>
  <c r="A205" i="14" s="1"/>
  <c r="A247" i="14" s="1"/>
  <c r="A289" i="14" s="1"/>
  <c r="A331" i="14" s="1"/>
  <c r="N162" i="14"/>
  <c r="M162" i="14"/>
  <c r="M141" i="14" s="1"/>
  <c r="L162" i="14"/>
  <c r="K162" i="14"/>
  <c r="I162" i="14"/>
  <c r="H162" i="14"/>
  <c r="G162" i="14"/>
  <c r="E162" i="14"/>
  <c r="D162" i="14"/>
  <c r="C162" i="14"/>
  <c r="B162" i="14"/>
  <c r="B204" i="14" s="1"/>
  <c r="B246" i="14" s="1"/>
  <c r="B288" i="14" s="1"/>
  <c r="B330" i="14" s="1"/>
  <c r="A162" i="14"/>
  <c r="A204" i="14" s="1"/>
  <c r="A246" i="14" s="1"/>
  <c r="A288" i="14" s="1"/>
  <c r="A330" i="14" s="1"/>
  <c r="M161" i="14"/>
  <c r="K161" i="14"/>
  <c r="K141" i="14" s="1"/>
  <c r="H161" i="14"/>
  <c r="F161" i="14"/>
  <c r="F141" i="14" s="1"/>
  <c r="D161" i="14"/>
  <c r="B161" i="14"/>
  <c r="B203" i="14" s="1"/>
  <c r="B245" i="14" s="1"/>
  <c r="B287" i="14" s="1"/>
  <c r="B329" i="14" s="1"/>
  <c r="A161" i="14"/>
  <c r="A203" i="14" s="1"/>
  <c r="A245" i="14" s="1"/>
  <c r="A287" i="14" s="1"/>
  <c r="A329" i="14" s="1"/>
  <c r="N160" i="14"/>
  <c r="N139" i="14" s="1"/>
  <c r="M160" i="14"/>
  <c r="L160" i="14"/>
  <c r="L139" i="14" s="1"/>
  <c r="K160" i="14"/>
  <c r="I160" i="14"/>
  <c r="H160" i="14"/>
  <c r="G160" i="14"/>
  <c r="G139" i="14" s="1"/>
  <c r="D160" i="14"/>
  <c r="B160" i="14"/>
  <c r="B202" i="14" s="1"/>
  <c r="B244" i="14" s="1"/>
  <c r="B286" i="14" s="1"/>
  <c r="B328" i="14" s="1"/>
  <c r="A160" i="14"/>
  <c r="A202" i="14" s="1"/>
  <c r="A244" i="14" s="1"/>
  <c r="A286" i="14" s="1"/>
  <c r="A328" i="14" s="1"/>
  <c r="M159" i="14"/>
  <c r="K159" i="14"/>
  <c r="H159" i="14"/>
  <c r="F159" i="14"/>
  <c r="D159" i="14"/>
  <c r="B159" i="14"/>
  <c r="B201" i="14" s="1"/>
  <c r="B243" i="14" s="1"/>
  <c r="B285" i="14" s="1"/>
  <c r="B327" i="14" s="1"/>
  <c r="A159" i="14"/>
  <c r="A201" i="14" s="1"/>
  <c r="A243" i="14" s="1"/>
  <c r="A285" i="14" s="1"/>
  <c r="A327" i="14" s="1"/>
  <c r="N158" i="14"/>
  <c r="M158" i="14"/>
  <c r="L158" i="14"/>
  <c r="K158" i="14"/>
  <c r="I158" i="14"/>
  <c r="H158" i="14"/>
  <c r="G158" i="14"/>
  <c r="D158" i="14"/>
  <c r="B158" i="14"/>
  <c r="B200" i="14" s="1"/>
  <c r="B242" i="14" s="1"/>
  <c r="B284" i="14" s="1"/>
  <c r="B326" i="14" s="1"/>
  <c r="A158" i="14"/>
  <c r="A200" i="14" s="1"/>
  <c r="A242" i="14" s="1"/>
  <c r="A284" i="14" s="1"/>
  <c r="A326" i="14" s="1"/>
  <c r="M157" i="14"/>
  <c r="K157" i="14"/>
  <c r="K137" i="14" s="1"/>
  <c r="H157" i="14"/>
  <c r="H137" i="14" s="1"/>
  <c r="F157" i="14"/>
  <c r="F137" i="14" s="1"/>
  <c r="D157" i="14"/>
  <c r="B157" i="14"/>
  <c r="B199" i="14" s="1"/>
  <c r="B241" i="14" s="1"/>
  <c r="B283" i="14" s="1"/>
  <c r="B325" i="14" s="1"/>
  <c r="A157" i="14"/>
  <c r="A199" i="14" s="1"/>
  <c r="A241" i="14" s="1"/>
  <c r="A283" i="14" s="1"/>
  <c r="A325" i="14" s="1"/>
  <c r="N156" i="14"/>
  <c r="N194" i="14" s="1"/>
  <c r="M156" i="14"/>
  <c r="L156" i="14"/>
  <c r="L194" i="14" s="1"/>
  <c r="K156" i="14"/>
  <c r="I156" i="14"/>
  <c r="I194" i="14" s="1"/>
  <c r="H156" i="14"/>
  <c r="G156" i="14"/>
  <c r="G138" i="14" s="1"/>
  <c r="D156" i="14"/>
  <c r="B156" i="14"/>
  <c r="B198" i="14" s="1"/>
  <c r="B240" i="14" s="1"/>
  <c r="B282" i="14" s="1"/>
  <c r="B324" i="14" s="1"/>
  <c r="A156" i="14"/>
  <c r="A198" i="14" s="1"/>
  <c r="A240" i="14" s="1"/>
  <c r="A282" i="14" s="1"/>
  <c r="A324" i="14" s="1"/>
  <c r="N150" i="14"/>
  <c r="G141" i="14"/>
  <c r="H140" i="14"/>
  <c r="K139" i="14"/>
  <c r="M137" i="14"/>
  <c r="G137" i="14"/>
  <c r="B127" i="14"/>
  <c r="A127" i="14"/>
  <c r="B126" i="14"/>
  <c r="A126" i="14"/>
  <c r="B125" i="14"/>
  <c r="A125" i="14"/>
  <c r="B124" i="14"/>
  <c r="A124" i="14"/>
  <c r="B123" i="14"/>
  <c r="A123" i="14"/>
  <c r="B122" i="14"/>
  <c r="A122" i="14"/>
  <c r="B121" i="14"/>
  <c r="A121" i="14"/>
  <c r="B120" i="14"/>
  <c r="A120" i="14"/>
  <c r="B119" i="14"/>
  <c r="A119" i="14"/>
  <c r="B118" i="14"/>
  <c r="A118" i="14"/>
  <c r="B117" i="14"/>
  <c r="A117" i="14"/>
  <c r="B116" i="14"/>
  <c r="A116" i="14"/>
  <c r="B115" i="14"/>
  <c r="A115" i="14"/>
  <c r="B114" i="14"/>
  <c r="A114" i="14"/>
  <c r="B113" i="14"/>
  <c r="A113" i="14"/>
  <c r="B112" i="14"/>
  <c r="A112" i="14"/>
  <c r="B111" i="14"/>
  <c r="A111" i="14"/>
  <c r="B110" i="14"/>
  <c r="A110" i="14"/>
  <c r="B109" i="14"/>
  <c r="A109" i="14"/>
  <c r="B108" i="14"/>
  <c r="A108" i="14"/>
  <c r="B107" i="14"/>
  <c r="A107" i="14"/>
  <c r="B106" i="14"/>
  <c r="A106" i="14"/>
  <c r="B105" i="14"/>
  <c r="A105" i="14"/>
  <c r="B104" i="14"/>
  <c r="A104" i="14"/>
  <c r="B103" i="14"/>
  <c r="A103" i="14"/>
  <c r="B102" i="14"/>
  <c r="A102" i="14"/>
  <c r="B101" i="14"/>
  <c r="A101" i="14"/>
  <c r="B100" i="14"/>
  <c r="A100" i="14"/>
  <c r="B99" i="14"/>
  <c r="A99" i="14"/>
  <c r="B98" i="14"/>
  <c r="A98" i="14"/>
  <c r="B97" i="14"/>
  <c r="A97" i="14"/>
  <c r="B96" i="14"/>
  <c r="A96" i="14"/>
  <c r="B95" i="14"/>
  <c r="A95" i="14"/>
  <c r="B94" i="14"/>
  <c r="A94" i="14"/>
  <c r="B93" i="14"/>
  <c r="A93" i="14"/>
  <c r="B92" i="14"/>
  <c r="A92" i="14"/>
  <c r="B91" i="14"/>
  <c r="A91" i="14"/>
  <c r="B90" i="14"/>
  <c r="A90" i="14"/>
  <c r="B85" i="14"/>
  <c r="A85" i="14"/>
  <c r="B84" i="14"/>
  <c r="A84" i="14"/>
  <c r="B83" i="14"/>
  <c r="A83" i="14"/>
  <c r="B82" i="14"/>
  <c r="A82" i="14"/>
  <c r="B81" i="14"/>
  <c r="A81" i="14"/>
  <c r="B80" i="14"/>
  <c r="A80" i="14"/>
  <c r="B79" i="14"/>
  <c r="A79" i="14"/>
  <c r="B78" i="14"/>
  <c r="A78" i="14"/>
  <c r="B77" i="14"/>
  <c r="A77" i="14"/>
  <c r="B76" i="14"/>
  <c r="A76" i="14"/>
  <c r="B75" i="14"/>
  <c r="A75" i="14"/>
  <c r="B74" i="14"/>
  <c r="A74" i="14"/>
  <c r="B73" i="14"/>
  <c r="A73" i="14"/>
  <c r="B72" i="14"/>
  <c r="A72" i="14"/>
  <c r="B71" i="14"/>
  <c r="A71" i="14"/>
  <c r="B70" i="14"/>
  <c r="A70" i="14"/>
  <c r="B69" i="14"/>
  <c r="A69" i="14"/>
  <c r="B68" i="14"/>
  <c r="A68" i="14"/>
  <c r="B67" i="14"/>
  <c r="A67" i="14"/>
  <c r="B66" i="14"/>
  <c r="A66" i="14"/>
  <c r="B65" i="14"/>
  <c r="A65" i="14"/>
  <c r="B64" i="14"/>
  <c r="A64" i="14"/>
  <c r="B63" i="14"/>
  <c r="A63" i="14"/>
  <c r="B62" i="14"/>
  <c r="A62" i="14"/>
  <c r="B61" i="14"/>
  <c r="A61" i="14"/>
  <c r="B60" i="14"/>
  <c r="A60" i="14"/>
  <c r="B59" i="14"/>
  <c r="A59" i="14"/>
  <c r="B58" i="14"/>
  <c r="A58" i="14"/>
  <c r="B57" i="14"/>
  <c r="A57" i="14"/>
  <c r="B56" i="14"/>
  <c r="A56" i="14"/>
  <c r="B55" i="14"/>
  <c r="A55" i="14"/>
  <c r="B54" i="14"/>
  <c r="A54" i="14"/>
  <c r="B53" i="14"/>
  <c r="A53" i="14"/>
  <c r="B52" i="14"/>
  <c r="A52" i="14"/>
  <c r="B51" i="14"/>
  <c r="A51" i="14"/>
  <c r="B50" i="14"/>
  <c r="A50" i="14"/>
  <c r="B49" i="14"/>
  <c r="A49" i="14"/>
  <c r="B48" i="14"/>
  <c r="A48" i="14"/>
  <c r="P43" i="14"/>
  <c r="T43" i="14" s="1"/>
  <c r="H138" i="14" l="1"/>
  <c r="M138" i="14"/>
  <c r="L138" i="14"/>
  <c r="D194" i="14"/>
  <c r="D236" i="14"/>
  <c r="G236" i="14"/>
  <c r="L236" i="14"/>
  <c r="E199" i="14"/>
  <c r="E157" i="14" s="1"/>
  <c r="E200" i="14"/>
  <c r="E158" i="14" s="1"/>
  <c r="C158" i="14" s="1"/>
  <c r="E201" i="14"/>
  <c r="E159" i="14" s="1"/>
  <c r="C159" i="14" s="1"/>
  <c r="E207" i="14"/>
  <c r="E165" i="14" s="1"/>
  <c r="E208" i="14"/>
  <c r="E166" i="14" s="1"/>
  <c r="C166" i="14" s="1"/>
  <c r="E209" i="14"/>
  <c r="E167" i="14" s="1"/>
  <c r="C167" i="14" s="1"/>
  <c r="C168" i="14"/>
  <c r="C176" i="14"/>
  <c r="C184" i="14"/>
  <c r="C192" i="14"/>
  <c r="M139" i="14"/>
  <c r="E203" i="14"/>
  <c r="E161" i="14" s="1"/>
  <c r="C164" i="14"/>
  <c r="E211" i="14"/>
  <c r="E169" i="14" s="1"/>
  <c r="E212" i="14"/>
  <c r="E170" i="14" s="1"/>
  <c r="C170" i="14" s="1"/>
  <c r="E213" i="14"/>
  <c r="E171" i="14" s="1"/>
  <c r="C172" i="14"/>
  <c r="C180" i="14"/>
  <c r="C188" i="14"/>
  <c r="G139" i="15"/>
  <c r="G98" i="15" s="1"/>
  <c r="G56" i="15" s="1"/>
  <c r="I139" i="15"/>
  <c r="L139" i="15"/>
  <c r="L98" i="15" s="1"/>
  <c r="L56" i="15" s="1"/>
  <c r="E222" i="15"/>
  <c r="E180" i="15" s="1"/>
  <c r="E226" i="15"/>
  <c r="E184" i="15" s="1"/>
  <c r="J133" i="15"/>
  <c r="J92" i="15" s="1"/>
  <c r="J50" i="15" s="1"/>
  <c r="J134" i="15"/>
  <c r="J93" i="15" s="1"/>
  <c r="J51" i="15" s="1"/>
  <c r="J135" i="15"/>
  <c r="J94" i="15" s="1"/>
  <c r="J52" i="15" s="1"/>
  <c r="J137" i="15"/>
  <c r="J96" i="15" s="1"/>
  <c r="J54" i="15" s="1"/>
  <c r="J138" i="15"/>
  <c r="J97" i="15" s="1"/>
  <c r="J55" i="15" s="1"/>
  <c r="E220" i="15"/>
  <c r="E178" i="15" s="1"/>
  <c r="E224" i="15"/>
  <c r="E182" i="15" s="1"/>
  <c r="J136" i="15" s="1"/>
  <c r="J95" i="15" s="1"/>
  <c r="J53" i="15" s="1"/>
  <c r="E228" i="15"/>
  <c r="E186" i="15" s="1"/>
  <c r="E229" i="15"/>
  <c r="E187" i="15" s="1"/>
  <c r="J141" i="15" s="1"/>
  <c r="J100" i="15" s="1"/>
  <c r="J58" i="15" s="1"/>
  <c r="E230" i="15"/>
  <c r="E188" i="15" s="1"/>
  <c r="E138" i="14"/>
  <c r="C160" i="14"/>
  <c r="C171" i="14"/>
  <c r="D139" i="14"/>
  <c r="H139" i="14"/>
  <c r="G194" i="14"/>
  <c r="E140" i="14"/>
  <c r="J146" i="14" s="1"/>
  <c r="J134" i="14" s="1"/>
  <c r="E236" i="14"/>
  <c r="D138" i="14"/>
  <c r="N138" i="14"/>
  <c r="H194" i="14"/>
  <c r="K194" i="14"/>
  <c r="M194" i="14"/>
  <c r="C157" i="14"/>
  <c r="D137" i="14"/>
  <c r="K138" i="14"/>
  <c r="C161" i="14"/>
  <c r="D141" i="14"/>
  <c r="H141" i="14"/>
  <c r="C165" i="14"/>
  <c r="K140" i="14"/>
  <c r="K146" i="14" s="1"/>
  <c r="K134" i="14" s="1"/>
  <c r="C169" i="14"/>
  <c r="C173" i="14"/>
  <c r="C177" i="14"/>
  <c r="C181" i="14"/>
  <c r="C185" i="14"/>
  <c r="C189" i="14"/>
  <c r="C193" i="14"/>
  <c r="F139" i="14"/>
  <c r="L141" i="14"/>
  <c r="N141" i="14"/>
  <c r="G140" i="14"/>
  <c r="F198" i="14"/>
  <c r="I215" i="15"/>
  <c r="N215" i="15"/>
  <c r="F132" i="15"/>
  <c r="F91" i="15" s="1"/>
  <c r="F49" i="15" s="1"/>
  <c r="N132" i="15"/>
  <c r="N91" i="15" s="1"/>
  <c r="N49" i="15" s="1"/>
  <c r="I132" i="15"/>
  <c r="E132" i="15"/>
  <c r="E91" i="15" s="1"/>
  <c r="E49" i="15" s="1"/>
  <c r="H132" i="15"/>
  <c r="H91" i="15" s="1"/>
  <c r="K132" i="15"/>
  <c r="K91" i="15" s="1"/>
  <c r="K49" i="15" s="1"/>
  <c r="M132" i="15"/>
  <c r="M91" i="15" s="1"/>
  <c r="M49" i="15" s="1"/>
  <c r="M133" i="15"/>
  <c r="M92" i="15" s="1"/>
  <c r="M50" i="15" s="1"/>
  <c r="K133" i="15"/>
  <c r="K92" i="15" s="1"/>
  <c r="K50" i="15" s="1"/>
  <c r="H133" i="15"/>
  <c r="H92" i="15" s="1"/>
  <c r="F133" i="15"/>
  <c r="F92" i="15" s="1"/>
  <c r="F50" i="15" s="1"/>
  <c r="D133" i="15"/>
  <c r="D92" i="15" s="1"/>
  <c r="E133" i="15"/>
  <c r="E92" i="15" s="1"/>
  <c r="E50" i="15" s="1"/>
  <c r="I133" i="15"/>
  <c r="N133" i="15"/>
  <c r="N92" i="15" s="1"/>
  <c r="N50" i="15" s="1"/>
  <c r="F134" i="15"/>
  <c r="F93" i="15" s="1"/>
  <c r="F51" i="15" s="1"/>
  <c r="N134" i="15"/>
  <c r="N93" i="15" s="1"/>
  <c r="N51" i="15" s="1"/>
  <c r="I134" i="15"/>
  <c r="E134" i="15"/>
  <c r="E93" i="15" s="1"/>
  <c r="E51" i="15" s="1"/>
  <c r="H134" i="15"/>
  <c r="H93" i="15" s="1"/>
  <c r="K134" i="15"/>
  <c r="K93" i="15" s="1"/>
  <c r="K51" i="15" s="1"/>
  <c r="M134" i="15"/>
  <c r="M93" i="15" s="1"/>
  <c r="M51" i="15" s="1"/>
  <c r="M135" i="15"/>
  <c r="M94" i="15" s="1"/>
  <c r="M52" i="15" s="1"/>
  <c r="K135" i="15"/>
  <c r="K94" i="15" s="1"/>
  <c r="K52" i="15" s="1"/>
  <c r="H135" i="15"/>
  <c r="H94" i="15" s="1"/>
  <c r="F135" i="15"/>
  <c r="F94" i="15" s="1"/>
  <c r="F52" i="15" s="1"/>
  <c r="D135" i="15"/>
  <c r="D94" i="15" s="1"/>
  <c r="E135" i="15"/>
  <c r="E94" i="15" s="1"/>
  <c r="E52" i="15" s="1"/>
  <c r="I135" i="15"/>
  <c r="N135" i="15"/>
  <c r="N94" i="15" s="1"/>
  <c r="N52" i="15" s="1"/>
  <c r="F136" i="15"/>
  <c r="F95" i="15" s="1"/>
  <c r="F53" i="15" s="1"/>
  <c r="N136" i="15"/>
  <c r="N95" i="15" s="1"/>
  <c r="N53" i="15" s="1"/>
  <c r="I136" i="15"/>
  <c r="E136" i="15"/>
  <c r="E95" i="15" s="1"/>
  <c r="E53" i="15" s="1"/>
  <c r="H136" i="15"/>
  <c r="H95" i="15" s="1"/>
  <c r="K136" i="15"/>
  <c r="K95" i="15" s="1"/>
  <c r="K53" i="15" s="1"/>
  <c r="M136" i="15"/>
  <c r="M95" i="15" s="1"/>
  <c r="M53" i="15" s="1"/>
  <c r="M137" i="15"/>
  <c r="M96" i="15" s="1"/>
  <c r="M54" i="15" s="1"/>
  <c r="K137" i="15"/>
  <c r="K96" i="15" s="1"/>
  <c r="K54" i="15" s="1"/>
  <c r="H137" i="15"/>
  <c r="H96" i="15" s="1"/>
  <c r="F137" i="15"/>
  <c r="F96" i="15" s="1"/>
  <c r="F54" i="15" s="1"/>
  <c r="D137" i="15"/>
  <c r="D96" i="15" s="1"/>
  <c r="E137" i="15"/>
  <c r="E96" i="15" s="1"/>
  <c r="E54" i="15" s="1"/>
  <c r="I137" i="15"/>
  <c r="N137" i="15"/>
  <c r="N96" i="15" s="1"/>
  <c r="N54" i="15" s="1"/>
  <c r="C178" i="15"/>
  <c r="D132" i="15"/>
  <c r="D91" i="15" s="1"/>
  <c r="C180" i="15"/>
  <c r="D134" i="15"/>
  <c r="D93" i="15" s="1"/>
  <c r="C182" i="15"/>
  <c r="D136" i="15"/>
  <c r="D95" i="15" s="1"/>
  <c r="C184" i="15"/>
  <c r="K138" i="15"/>
  <c r="K97" i="15" s="1"/>
  <c r="K55" i="15" s="1"/>
  <c r="F138" i="15"/>
  <c r="F97" i="15" s="1"/>
  <c r="F55" i="15" s="1"/>
  <c r="D138" i="15"/>
  <c r="D97" i="15" s="1"/>
  <c r="H138" i="15"/>
  <c r="H97" i="15" s="1"/>
  <c r="M138" i="15"/>
  <c r="M97" i="15" s="1"/>
  <c r="M55" i="15" s="1"/>
  <c r="K140" i="15"/>
  <c r="K99" i="15" s="1"/>
  <c r="K57" i="15" s="1"/>
  <c r="M141" i="15"/>
  <c r="M100" i="15" s="1"/>
  <c r="M58" i="15" s="1"/>
  <c r="K141" i="15"/>
  <c r="K100" i="15" s="1"/>
  <c r="K58" i="15" s="1"/>
  <c r="H141" i="15"/>
  <c r="H100" i="15" s="1"/>
  <c r="F141" i="15"/>
  <c r="F100" i="15" s="1"/>
  <c r="F58" i="15" s="1"/>
  <c r="D141" i="15"/>
  <c r="D100" i="15" s="1"/>
  <c r="C188" i="15"/>
  <c r="K142" i="15"/>
  <c r="K101" i="15" s="1"/>
  <c r="K59" i="15" s="1"/>
  <c r="F142" i="15"/>
  <c r="F101" i="15" s="1"/>
  <c r="F59" i="15" s="1"/>
  <c r="D142" i="15"/>
  <c r="D101" i="15" s="1"/>
  <c r="H142" i="15"/>
  <c r="H101" i="15" s="1"/>
  <c r="M142" i="15"/>
  <c r="M101" i="15" s="1"/>
  <c r="M59" i="15" s="1"/>
  <c r="C185" i="15"/>
  <c r="M139" i="15"/>
  <c r="M98" i="15" s="1"/>
  <c r="M56" i="15" s="1"/>
  <c r="K139" i="15"/>
  <c r="K98" i="15" s="1"/>
  <c r="K56" i="15" s="1"/>
  <c r="H139" i="15"/>
  <c r="H98" i="15" s="1"/>
  <c r="F139" i="15"/>
  <c r="F98" i="15" s="1"/>
  <c r="F56" i="15" s="1"/>
  <c r="D139" i="15"/>
  <c r="D98" i="15" s="1"/>
  <c r="M140" i="15"/>
  <c r="M99" i="15" s="1"/>
  <c r="M57" i="15" s="1"/>
  <c r="H140" i="15"/>
  <c r="H99" i="15" s="1"/>
  <c r="D140" i="15"/>
  <c r="D99" i="15" s="1"/>
  <c r="C189" i="15"/>
  <c r="M143" i="15"/>
  <c r="M102" i="15" s="1"/>
  <c r="M60" i="15" s="1"/>
  <c r="K143" i="15"/>
  <c r="K102" i="15" s="1"/>
  <c r="K60" i="15" s="1"/>
  <c r="H143" i="15"/>
  <c r="H102" i="15" s="1"/>
  <c r="F143" i="15"/>
  <c r="F102" i="15" s="1"/>
  <c r="F60" i="15" s="1"/>
  <c r="D143" i="15"/>
  <c r="D102" i="15" s="1"/>
  <c r="E232" i="15"/>
  <c r="E190" i="15" s="1"/>
  <c r="F232" i="15"/>
  <c r="F190" i="15" s="1"/>
  <c r="D190" i="15"/>
  <c r="J144" i="15" s="1"/>
  <c r="J103" i="15" s="1"/>
  <c r="J61" i="15" s="1"/>
  <c r="E233" i="15"/>
  <c r="E191" i="15" s="1"/>
  <c r="F233" i="15"/>
  <c r="F191" i="15" s="1"/>
  <c r="D191" i="15"/>
  <c r="J145" i="15" s="1"/>
  <c r="J104" i="15" s="1"/>
  <c r="J62" i="15" s="1"/>
  <c r="E234" i="15"/>
  <c r="E192" i="15" s="1"/>
  <c r="F234" i="15"/>
  <c r="F192" i="15" s="1"/>
  <c r="D192" i="15"/>
  <c r="E235" i="15"/>
  <c r="E193" i="15" s="1"/>
  <c r="F235" i="15"/>
  <c r="F193" i="15" s="1"/>
  <c r="D193" i="15"/>
  <c r="J147" i="15" s="1"/>
  <c r="J106" i="15" s="1"/>
  <c r="J64" i="15" s="1"/>
  <c r="E236" i="15"/>
  <c r="E194" i="15" s="1"/>
  <c r="F236" i="15"/>
  <c r="F194" i="15" s="1"/>
  <c r="D194" i="15"/>
  <c r="E237" i="15"/>
  <c r="E195" i="15" s="1"/>
  <c r="F237" i="15"/>
  <c r="F195" i="15" s="1"/>
  <c r="D195" i="15"/>
  <c r="J149" i="15" s="1"/>
  <c r="J108" i="15" s="1"/>
  <c r="J66" i="15" s="1"/>
  <c r="E238" i="15"/>
  <c r="E196" i="15" s="1"/>
  <c r="F238" i="15"/>
  <c r="F196" i="15" s="1"/>
  <c r="F150" i="15" s="1"/>
  <c r="F109" i="15" s="1"/>
  <c r="F67" i="15" s="1"/>
  <c r="D196" i="15"/>
  <c r="E239" i="15"/>
  <c r="E197" i="15" s="1"/>
  <c r="F239" i="15"/>
  <c r="F197" i="15" s="1"/>
  <c r="D197" i="15"/>
  <c r="J151" i="15" s="1"/>
  <c r="J110" i="15" s="1"/>
  <c r="J68" i="15" s="1"/>
  <c r="E240" i="15"/>
  <c r="E198" i="15" s="1"/>
  <c r="F240" i="15"/>
  <c r="F198" i="15" s="1"/>
  <c r="F152" i="15" s="1"/>
  <c r="F111" i="15" s="1"/>
  <c r="F69" i="15" s="1"/>
  <c r="D198" i="15"/>
  <c r="E241" i="15"/>
  <c r="E199" i="15" s="1"/>
  <c r="F241" i="15"/>
  <c r="F199" i="15" s="1"/>
  <c r="D199" i="15"/>
  <c r="J153" i="15" s="1"/>
  <c r="J112" i="15" s="1"/>
  <c r="J70" i="15" s="1"/>
  <c r="E242" i="15"/>
  <c r="E200" i="15" s="1"/>
  <c r="F242" i="15"/>
  <c r="F200" i="15" s="1"/>
  <c r="F154" i="15" s="1"/>
  <c r="F113" i="15" s="1"/>
  <c r="F71" i="15" s="1"/>
  <c r="D200" i="15"/>
  <c r="E243" i="15"/>
  <c r="E201" i="15" s="1"/>
  <c r="F243" i="15"/>
  <c r="F201" i="15" s="1"/>
  <c r="D201" i="15"/>
  <c r="J155" i="15" s="1"/>
  <c r="J114" i="15" s="1"/>
  <c r="J72" i="15" s="1"/>
  <c r="E244" i="15"/>
  <c r="E202" i="15" s="1"/>
  <c r="F244" i="15"/>
  <c r="F202" i="15" s="1"/>
  <c r="F156" i="15" s="1"/>
  <c r="F115" i="15" s="1"/>
  <c r="F73" i="15" s="1"/>
  <c r="D202" i="15"/>
  <c r="E245" i="15"/>
  <c r="E203" i="15" s="1"/>
  <c r="F245" i="15"/>
  <c r="F203" i="15" s="1"/>
  <c r="D203" i="15"/>
  <c r="J157" i="15" s="1"/>
  <c r="J116" i="15" s="1"/>
  <c r="J74" i="15" s="1"/>
  <c r="E246" i="15"/>
  <c r="E204" i="15" s="1"/>
  <c r="F246" i="15"/>
  <c r="F204" i="15" s="1"/>
  <c r="F158" i="15" s="1"/>
  <c r="F117" i="15" s="1"/>
  <c r="F75" i="15" s="1"/>
  <c r="D204" i="15"/>
  <c r="E247" i="15"/>
  <c r="E205" i="15" s="1"/>
  <c r="F247" i="15"/>
  <c r="F205" i="15" s="1"/>
  <c r="D205" i="15"/>
  <c r="J159" i="15" s="1"/>
  <c r="J118" i="15" s="1"/>
  <c r="J76" i="15" s="1"/>
  <c r="E248" i="15"/>
  <c r="E206" i="15" s="1"/>
  <c r="F248" i="15"/>
  <c r="F206" i="15" s="1"/>
  <c r="F160" i="15" s="1"/>
  <c r="F119" i="15" s="1"/>
  <c r="F77" i="15" s="1"/>
  <c r="D206" i="15"/>
  <c r="E249" i="15"/>
  <c r="E207" i="15" s="1"/>
  <c r="F249" i="15"/>
  <c r="F207" i="15" s="1"/>
  <c r="D207" i="15"/>
  <c r="J161" i="15" s="1"/>
  <c r="J120" i="15" s="1"/>
  <c r="J78" i="15" s="1"/>
  <c r="E250" i="15"/>
  <c r="E208" i="15" s="1"/>
  <c r="F250" i="15"/>
  <c r="F208" i="15" s="1"/>
  <c r="F162" i="15" s="1"/>
  <c r="F121" i="15" s="1"/>
  <c r="F79" i="15" s="1"/>
  <c r="D208" i="15"/>
  <c r="E251" i="15"/>
  <c r="E209" i="15" s="1"/>
  <c r="F251" i="15"/>
  <c r="F209" i="15" s="1"/>
  <c r="D209" i="15"/>
  <c r="J163" i="15" s="1"/>
  <c r="J122" i="15" s="1"/>
  <c r="J80" i="15" s="1"/>
  <c r="E252" i="15"/>
  <c r="E210" i="15" s="1"/>
  <c r="F252" i="15"/>
  <c r="F210" i="15" s="1"/>
  <c r="F164" i="15" s="1"/>
  <c r="F123" i="15" s="1"/>
  <c r="F81" i="15" s="1"/>
  <c r="D210" i="15"/>
  <c r="E253" i="15"/>
  <c r="E211" i="15" s="1"/>
  <c r="F253" i="15"/>
  <c r="F211" i="15" s="1"/>
  <c r="D211" i="15"/>
  <c r="J165" i="15" s="1"/>
  <c r="J124" i="15" s="1"/>
  <c r="J82" i="15" s="1"/>
  <c r="E254" i="15"/>
  <c r="E212" i="15" s="1"/>
  <c r="F254" i="15"/>
  <c r="F212" i="15" s="1"/>
  <c r="F166" i="15" s="1"/>
  <c r="F125" i="15" s="1"/>
  <c r="F83" i="15" s="1"/>
  <c r="D212" i="15"/>
  <c r="E255" i="15"/>
  <c r="E213" i="15" s="1"/>
  <c r="F255" i="15"/>
  <c r="F213" i="15" s="1"/>
  <c r="D213" i="15"/>
  <c r="J167" i="15" s="1"/>
  <c r="J126" i="15" s="1"/>
  <c r="J84" i="15" s="1"/>
  <c r="E256" i="15"/>
  <c r="E214" i="15" s="1"/>
  <c r="F256" i="15"/>
  <c r="F214" i="15" s="1"/>
  <c r="F168" i="15" s="1"/>
  <c r="F127" i="15" s="1"/>
  <c r="F85" i="15" s="1"/>
  <c r="D214" i="15"/>
  <c r="D215" i="15"/>
  <c r="H215" i="15"/>
  <c r="K215" i="15"/>
  <c r="M215" i="15"/>
  <c r="C186" i="15"/>
  <c r="D257" i="15"/>
  <c r="F219" i="15"/>
  <c r="O43" i="13"/>
  <c r="S43" i="13" s="1"/>
  <c r="A48" i="13"/>
  <c r="B48" i="13"/>
  <c r="A49" i="13"/>
  <c r="B49" i="13"/>
  <c r="A50" i="13"/>
  <c r="B50" i="13"/>
  <c r="A51" i="13"/>
  <c r="B51" i="13"/>
  <c r="A52" i="13"/>
  <c r="B52" i="13"/>
  <c r="A53" i="13"/>
  <c r="B53" i="13"/>
  <c r="A54" i="13"/>
  <c r="B54" i="13"/>
  <c r="A55" i="13"/>
  <c r="B55" i="13"/>
  <c r="A56" i="13"/>
  <c r="B56" i="13"/>
  <c r="A57" i="13"/>
  <c r="B57" i="13"/>
  <c r="A58" i="13"/>
  <c r="B58" i="13"/>
  <c r="A59" i="13"/>
  <c r="B59" i="13"/>
  <c r="A60" i="13"/>
  <c r="B60" i="13"/>
  <c r="A61" i="13"/>
  <c r="B61" i="13"/>
  <c r="A62" i="13"/>
  <c r="B62" i="13"/>
  <c r="A63" i="13"/>
  <c r="B63" i="13"/>
  <c r="A64" i="13"/>
  <c r="B64" i="13"/>
  <c r="A65" i="13"/>
  <c r="B65" i="13"/>
  <c r="A66" i="13"/>
  <c r="B66" i="13"/>
  <c r="A67" i="13"/>
  <c r="B67" i="13"/>
  <c r="A68" i="13"/>
  <c r="B68" i="13"/>
  <c r="A69" i="13"/>
  <c r="B69" i="13"/>
  <c r="A70" i="13"/>
  <c r="B70" i="13"/>
  <c r="A71" i="13"/>
  <c r="B71" i="13"/>
  <c r="A72" i="13"/>
  <c r="B72" i="13"/>
  <c r="A73" i="13"/>
  <c r="B73" i="13"/>
  <c r="A74" i="13"/>
  <c r="B74" i="13"/>
  <c r="A75" i="13"/>
  <c r="B75" i="13"/>
  <c r="A76" i="13"/>
  <c r="B76" i="13"/>
  <c r="A77" i="13"/>
  <c r="B77" i="13"/>
  <c r="A78" i="13"/>
  <c r="B78" i="13"/>
  <c r="A79" i="13"/>
  <c r="B79" i="13"/>
  <c r="A80" i="13"/>
  <c r="B80" i="13"/>
  <c r="A81" i="13"/>
  <c r="B81" i="13"/>
  <c r="A82" i="13"/>
  <c r="B82" i="13"/>
  <c r="A83" i="13"/>
  <c r="B83" i="13"/>
  <c r="A84" i="13"/>
  <c r="B84" i="13"/>
  <c r="A85" i="13"/>
  <c r="B85" i="13"/>
  <c r="A90" i="13"/>
  <c r="B90" i="13"/>
  <c r="A91" i="13"/>
  <c r="A132" i="13" s="1"/>
  <c r="B91" i="13"/>
  <c r="A92" i="13"/>
  <c r="B92" i="13"/>
  <c r="B133" i="13" s="1"/>
  <c r="A93" i="13"/>
  <c r="A134" i="13" s="1"/>
  <c r="B93" i="13"/>
  <c r="A94" i="13"/>
  <c r="B94" i="13"/>
  <c r="A95" i="13"/>
  <c r="A136" i="13" s="1"/>
  <c r="B95" i="13"/>
  <c r="A96" i="13"/>
  <c r="B96" i="13"/>
  <c r="B137" i="13" s="1"/>
  <c r="A97" i="13"/>
  <c r="A138" i="13" s="1"/>
  <c r="B97" i="13"/>
  <c r="A98" i="13"/>
  <c r="B98" i="13"/>
  <c r="A99" i="13"/>
  <c r="A140" i="13" s="1"/>
  <c r="B99" i="13"/>
  <c r="A100" i="13"/>
  <c r="B100" i="13"/>
  <c r="B141" i="13" s="1"/>
  <c r="A101" i="13"/>
  <c r="A142" i="13" s="1"/>
  <c r="B101" i="13"/>
  <c r="A102" i="13"/>
  <c r="B102" i="13"/>
  <c r="A103" i="13"/>
  <c r="A144" i="13" s="1"/>
  <c r="B103" i="13"/>
  <c r="A104" i="13"/>
  <c r="B104" i="13"/>
  <c r="B145" i="13" s="1"/>
  <c r="A105" i="13"/>
  <c r="A146" i="13" s="1"/>
  <c r="B105" i="13"/>
  <c r="A106" i="13"/>
  <c r="B106" i="13"/>
  <c r="A107" i="13"/>
  <c r="A148" i="13" s="1"/>
  <c r="B107" i="13"/>
  <c r="A108" i="13"/>
  <c r="B108" i="13"/>
  <c r="B149" i="13" s="1"/>
  <c r="A109" i="13"/>
  <c r="A150" i="13" s="1"/>
  <c r="B109" i="13"/>
  <c r="A110" i="13"/>
  <c r="B110" i="13"/>
  <c r="A111" i="13"/>
  <c r="A152" i="13" s="1"/>
  <c r="B111" i="13"/>
  <c r="A112" i="13"/>
  <c r="B112" i="13"/>
  <c r="B153" i="13" s="1"/>
  <c r="A113" i="13"/>
  <c r="A154" i="13" s="1"/>
  <c r="B113" i="13"/>
  <c r="A114" i="13"/>
  <c r="B114" i="13"/>
  <c r="A115" i="13"/>
  <c r="A156" i="13" s="1"/>
  <c r="B115" i="13"/>
  <c r="A116" i="13"/>
  <c r="B116" i="13"/>
  <c r="B157" i="13" s="1"/>
  <c r="A117" i="13"/>
  <c r="A158" i="13" s="1"/>
  <c r="B117" i="13"/>
  <c r="A118" i="13"/>
  <c r="B118" i="13"/>
  <c r="A119" i="13"/>
  <c r="A160" i="13" s="1"/>
  <c r="B119" i="13"/>
  <c r="A120" i="13"/>
  <c r="B120" i="13"/>
  <c r="B161" i="13" s="1"/>
  <c r="A121" i="13"/>
  <c r="A162" i="13" s="1"/>
  <c r="B121" i="13"/>
  <c r="A122" i="13"/>
  <c r="B122" i="13"/>
  <c r="A123" i="13"/>
  <c r="A164" i="13" s="1"/>
  <c r="B123" i="13"/>
  <c r="A124" i="13"/>
  <c r="B124" i="13"/>
  <c r="B165" i="13" s="1"/>
  <c r="A125" i="13"/>
  <c r="A166" i="13" s="1"/>
  <c r="B125" i="13"/>
  <c r="A126" i="13"/>
  <c r="B126" i="13"/>
  <c r="A127" i="13"/>
  <c r="A168" i="13" s="1"/>
  <c r="B127" i="13"/>
  <c r="A131" i="13"/>
  <c r="B131" i="13"/>
  <c r="B132" i="13"/>
  <c r="A133" i="13"/>
  <c r="B134" i="13"/>
  <c r="A135" i="13"/>
  <c r="B135" i="13"/>
  <c r="B136" i="13"/>
  <c r="A137" i="13"/>
  <c r="B138" i="13"/>
  <c r="A139" i="13"/>
  <c r="B139" i="13"/>
  <c r="B140" i="13"/>
  <c r="A141" i="13"/>
  <c r="B142" i="13"/>
  <c r="A143" i="13"/>
  <c r="B143" i="13"/>
  <c r="B144" i="13"/>
  <c r="A145" i="13"/>
  <c r="B146" i="13"/>
  <c r="A147" i="13"/>
  <c r="B147" i="13"/>
  <c r="B148" i="13"/>
  <c r="A149" i="13"/>
  <c r="B150" i="13"/>
  <c r="A151" i="13"/>
  <c r="B151" i="13"/>
  <c r="B152" i="13"/>
  <c r="A153" i="13"/>
  <c r="B154" i="13"/>
  <c r="A155" i="13"/>
  <c r="B155" i="13"/>
  <c r="B156" i="13"/>
  <c r="A157" i="13"/>
  <c r="B158" i="13"/>
  <c r="A159" i="13"/>
  <c r="B159" i="13"/>
  <c r="B160" i="13"/>
  <c r="A161" i="13"/>
  <c r="B162" i="13"/>
  <c r="A163" i="13"/>
  <c r="B163" i="13"/>
  <c r="B164" i="13"/>
  <c r="A165" i="13"/>
  <c r="B166" i="13"/>
  <c r="A167" i="13"/>
  <c r="B167" i="13"/>
  <c r="B168" i="13"/>
  <c r="M171" i="13"/>
  <c r="A177" i="13"/>
  <c r="B177" i="13"/>
  <c r="I177" i="13"/>
  <c r="A178" i="13"/>
  <c r="B178" i="13"/>
  <c r="F178" i="13"/>
  <c r="J178" i="13"/>
  <c r="A179" i="13"/>
  <c r="A221" i="13" s="1"/>
  <c r="A263" i="13" s="1"/>
  <c r="A305" i="13" s="1"/>
  <c r="B179" i="13"/>
  <c r="A180" i="13"/>
  <c r="B180" i="13"/>
  <c r="D180" i="13"/>
  <c r="H180" i="13"/>
  <c r="L180" i="13"/>
  <c r="A181" i="13"/>
  <c r="B181" i="13"/>
  <c r="A182" i="13"/>
  <c r="B182" i="13"/>
  <c r="F182" i="13"/>
  <c r="J182" i="13"/>
  <c r="A183" i="13"/>
  <c r="A225" i="13" s="1"/>
  <c r="A267" i="13" s="1"/>
  <c r="A309" i="13" s="1"/>
  <c r="B183" i="13"/>
  <c r="G183" i="13"/>
  <c r="A184" i="13"/>
  <c r="B184" i="13"/>
  <c r="D184" i="13"/>
  <c r="H184" i="13"/>
  <c r="L184" i="13"/>
  <c r="A185" i="13"/>
  <c r="B185" i="13"/>
  <c r="I185" i="13"/>
  <c r="A186" i="13"/>
  <c r="B186" i="13"/>
  <c r="F186" i="13"/>
  <c r="J186" i="13"/>
  <c r="A187" i="13"/>
  <c r="A229" i="13" s="1"/>
  <c r="A271" i="13" s="1"/>
  <c r="A313" i="13" s="1"/>
  <c r="B187" i="13"/>
  <c r="A188" i="13"/>
  <c r="B188" i="13"/>
  <c r="D188" i="13"/>
  <c r="H188" i="13"/>
  <c r="L188" i="13"/>
  <c r="A189" i="13"/>
  <c r="B189" i="13"/>
  <c r="A190" i="13"/>
  <c r="B190" i="13"/>
  <c r="F190" i="13"/>
  <c r="J190" i="13"/>
  <c r="L190" i="13"/>
  <c r="A191" i="13"/>
  <c r="A233" i="13" s="1"/>
  <c r="A275" i="13" s="1"/>
  <c r="A317" i="13" s="1"/>
  <c r="A359" i="13" s="1"/>
  <c r="B191" i="13"/>
  <c r="G191" i="13"/>
  <c r="K191" i="13"/>
  <c r="A192" i="13"/>
  <c r="B192" i="13"/>
  <c r="D192" i="13"/>
  <c r="F192" i="13"/>
  <c r="H192" i="13"/>
  <c r="J192" i="13"/>
  <c r="L192" i="13"/>
  <c r="L146" i="13" s="1"/>
  <c r="L105" i="13" s="1"/>
  <c r="L63" i="13" s="1"/>
  <c r="A193" i="13"/>
  <c r="A235" i="13" s="1"/>
  <c r="B193" i="13"/>
  <c r="A194" i="13"/>
  <c r="B194" i="13"/>
  <c r="D194" i="13"/>
  <c r="F194" i="13"/>
  <c r="H194" i="13"/>
  <c r="J194" i="13"/>
  <c r="L194" i="13"/>
  <c r="A195" i="13"/>
  <c r="A237" i="13" s="1"/>
  <c r="A279" i="13" s="1"/>
  <c r="A321" i="13" s="1"/>
  <c r="B195" i="13"/>
  <c r="G195" i="13"/>
  <c r="K195" i="13"/>
  <c r="A196" i="13"/>
  <c r="B196" i="13"/>
  <c r="D196" i="13"/>
  <c r="F196" i="13"/>
  <c r="H196" i="13"/>
  <c r="J196" i="13"/>
  <c r="L196" i="13"/>
  <c r="L150" i="13" s="1"/>
  <c r="L109" i="13" s="1"/>
  <c r="L67" i="13" s="1"/>
  <c r="A197" i="13"/>
  <c r="A239" i="13" s="1"/>
  <c r="A281" i="13" s="1"/>
  <c r="A323" i="13" s="1"/>
  <c r="B197" i="13"/>
  <c r="A198" i="13"/>
  <c r="B198" i="13"/>
  <c r="D198" i="13"/>
  <c r="F198" i="13"/>
  <c r="H198" i="13"/>
  <c r="J198" i="13"/>
  <c r="L198" i="13"/>
  <c r="A199" i="13"/>
  <c r="A241" i="13" s="1"/>
  <c r="A283" i="13" s="1"/>
  <c r="A325" i="13" s="1"/>
  <c r="B199" i="13"/>
  <c r="G199" i="13"/>
  <c r="K199" i="13"/>
  <c r="A200" i="13"/>
  <c r="B200" i="13"/>
  <c r="D200" i="13"/>
  <c r="F200" i="13"/>
  <c r="H200" i="13"/>
  <c r="J200" i="13"/>
  <c r="L200" i="13"/>
  <c r="L154" i="13" s="1"/>
  <c r="L113" i="13" s="1"/>
  <c r="L71" i="13" s="1"/>
  <c r="A201" i="13"/>
  <c r="A243" i="13" s="1"/>
  <c r="A285" i="13" s="1"/>
  <c r="A327" i="13" s="1"/>
  <c r="B201" i="13"/>
  <c r="A202" i="13"/>
  <c r="B202" i="13"/>
  <c r="D202" i="13"/>
  <c r="F202" i="13"/>
  <c r="H202" i="13"/>
  <c r="J202" i="13"/>
  <c r="L202" i="13"/>
  <c r="A203" i="13"/>
  <c r="A245" i="13" s="1"/>
  <c r="A287" i="13" s="1"/>
  <c r="A329" i="13" s="1"/>
  <c r="B203" i="13"/>
  <c r="A204" i="13"/>
  <c r="B204" i="13"/>
  <c r="D204" i="13"/>
  <c r="F204" i="13"/>
  <c r="H204" i="13"/>
  <c r="J204" i="13"/>
  <c r="L204" i="13"/>
  <c r="A205" i="13"/>
  <c r="A247" i="13" s="1"/>
  <c r="B205" i="13"/>
  <c r="E205" i="13"/>
  <c r="I205" i="13"/>
  <c r="M205" i="13"/>
  <c r="A206" i="13"/>
  <c r="B206" i="13"/>
  <c r="B248" i="13" s="1"/>
  <c r="B290" i="13" s="1"/>
  <c r="B332" i="13" s="1"/>
  <c r="B374" i="13" s="1"/>
  <c r="D206" i="13"/>
  <c r="F206" i="13"/>
  <c r="H206" i="13"/>
  <c r="J206" i="13"/>
  <c r="J160" i="13" s="1"/>
  <c r="J119" i="13" s="1"/>
  <c r="J77" i="13" s="1"/>
  <c r="L206" i="13"/>
  <c r="A207" i="13"/>
  <c r="A249" i="13" s="1"/>
  <c r="A291" i="13" s="1"/>
  <c r="A333" i="13" s="1"/>
  <c r="A375" i="13" s="1"/>
  <c r="B207" i="13"/>
  <c r="A208" i="13"/>
  <c r="B208" i="13"/>
  <c r="D208" i="13"/>
  <c r="F208" i="13"/>
  <c r="H208" i="13"/>
  <c r="J208" i="13"/>
  <c r="L208" i="13"/>
  <c r="A209" i="13"/>
  <c r="A251" i="13" s="1"/>
  <c r="B209" i="13"/>
  <c r="E209" i="13"/>
  <c r="I209" i="13"/>
  <c r="M209" i="13"/>
  <c r="A210" i="13"/>
  <c r="B210" i="13"/>
  <c r="B252" i="13" s="1"/>
  <c r="B294" i="13" s="1"/>
  <c r="B336" i="13" s="1"/>
  <c r="B378" i="13" s="1"/>
  <c r="D210" i="13"/>
  <c r="F210" i="13"/>
  <c r="H210" i="13"/>
  <c r="J210" i="13"/>
  <c r="J164" i="13" s="1"/>
  <c r="J123" i="13" s="1"/>
  <c r="J81" i="13" s="1"/>
  <c r="L210" i="13"/>
  <c r="A211" i="13"/>
  <c r="A253" i="13" s="1"/>
  <c r="A295" i="13" s="1"/>
  <c r="A337" i="13" s="1"/>
  <c r="A379" i="13" s="1"/>
  <c r="B211" i="13"/>
  <c r="A212" i="13"/>
  <c r="B212" i="13"/>
  <c r="D212" i="13"/>
  <c r="F212" i="13"/>
  <c r="H212" i="13"/>
  <c r="J212" i="13"/>
  <c r="L212" i="13"/>
  <c r="A213" i="13"/>
  <c r="A255" i="13" s="1"/>
  <c r="B213" i="13"/>
  <c r="E213" i="13"/>
  <c r="I213" i="13"/>
  <c r="M213" i="13"/>
  <c r="A214" i="13"/>
  <c r="B214" i="13"/>
  <c r="B256" i="13" s="1"/>
  <c r="B298" i="13" s="1"/>
  <c r="B340" i="13" s="1"/>
  <c r="B382" i="13" s="1"/>
  <c r="D214" i="13"/>
  <c r="F214" i="13"/>
  <c r="H214" i="13"/>
  <c r="J214" i="13"/>
  <c r="J168" i="13" s="1"/>
  <c r="J127" i="13" s="1"/>
  <c r="J85" i="13" s="1"/>
  <c r="L214" i="13"/>
  <c r="A219" i="13"/>
  <c r="B219" i="13"/>
  <c r="D219" i="13"/>
  <c r="D177" i="13" s="1"/>
  <c r="E219" i="13"/>
  <c r="E177" i="13" s="1"/>
  <c r="F219" i="13"/>
  <c r="F177" i="13" s="1"/>
  <c r="G219" i="13"/>
  <c r="G177" i="13" s="1"/>
  <c r="H219" i="13"/>
  <c r="H177" i="13" s="1"/>
  <c r="I219" i="13"/>
  <c r="J219" i="13"/>
  <c r="J177" i="13" s="1"/>
  <c r="K219" i="13"/>
  <c r="K177" i="13" s="1"/>
  <c r="L219" i="13"/>
  <c r="L177" i="13" s="1"/>
  <c r="M219" i="13"/>
  <c r="M177" i="13" s="1"/>
  <c r="A220" i="13"/>
  <c r="B220" i="13"/>
  <c r="D220" i="13"/>
  <c r="D178" i="13" s="1"/>
  <c r="E220" i="13"/>
  <c r="E178" i="13" s="1"/>
  <c r="F220" i="13"/>
  <c r="G220" i="13"/>
  <c r="G178" i="13" s="1"/>
  <c r="G132" i="13" s="1"/>
  <c r="G91" i="13" s="1"/>
  <c r="G49" i="13" s="1"/>
  <c r="H220" i="13"/>
  <c r="H178" i="13" s="1"/>
  <c r="I220" i="13"/>
  <c r="I178" i="13" s="1"/>
  <c r="J220" i="13"/>
  <c r="K220" i="13"/>
  <c r="K178" i="13" s="1"/>
  <c r="L220" i="13"/>
  <c r="L178" i="13" s="1"/>
  <c r="L132" i="13" s="1"/>
  <c r="L91" i="13" s="1"/>
  <c r="L49" i="13" s="1"/>
  <c r="M220" i="13"/>
  <c r="M178" i="13" s="1"/>
  <c r="B221" i="13"/>
  <c r="B263" i="13" s="1"/>
  <c r="B305" i="13" s="1"/>
  <c r="B347" i="13" s="1"/>
  <c r="D221" i="13"/>
  <c r="D179" i="13" s="1"/>
  <c r="E221" i="13"/>
  <c r="E179" i="13" s="1"/>
  <c r="F221" i="13"/>
  <c r="F179" i="13" s="1"/>
  <c r="G221" i="13"/>
  <c r="G179" i="13" s="1"/>
  <c r="H221" i="13"/>
  <c r="H179" i="13" s="1"/>
  <c r="I221" i="13"/>
  <c r="I179" i="13" s="1"/>
  <c r="J221" i="13"/>
  <c r="J179" i="13" s="1"/>
  <c r="K221" i="13"/>
  <c r="K179" i="13" s="1"/>
  <c r="L221" i="13"/>
  <c r="L179" i="13" s="1"/>
  <c r="M221" i="13"/>
  <c r="M179" i="13" s="1"/>
  <c r="M133" i="13" s="1"/>
  <c r="M92" i="13" s="1"/>
  <c r="M50" i="13" s="1"/>
  <c r="A222" i="13"/>
  <c r="B222" i="13"/>
  <c r="B264" i="13" s="1"/>
  <c r="B306" i="13" s="1"/>
  <c r="B348" i="13" s="1"/>
  <c r="D222" i="13"/>
  <c r="E222" i="13"/>
  <c r="E180" i="13" s="1"/>
  <c r="E134" i="13" s="1"/>
  <c r="E93" i="13" s="1"/>
  <c r="E51" i="13" s="1"/>
  <c r="F222" i="13"/>
  <c r="F180" i="13" s="1"/>
  <c r="G222" i="13"/>
  <c r="G180" i="13" s="1"/>
  <c r="H222" i="13"/>
  <c r="I222" i="13"/>
  <c r="I180" i="13" s="1"/>
  <c r="I134" i="13" s="1"/>
  <c r="J222" i="13"/>
  <c r="J180" i="13" s="1"/>
  <c r="K222" i="13"/>
  <c r="K180" i="13" s="1"/>
  <c r="L222" i="13"/>
  <c r="M222" i="13"/>
  <c r="M180" i="13" s="1"/>
  <c r="M134" i="13" s="1"/>
  <c r="M93" i="13" s="1"/>
  <c r="M51" i="13" s="1"/>
  <c r="A223" i="13"/>
  <c r="B223" i="13"/>
  <c r="B265" i="13" s="1"/>
  <c r="B307" i="13" s="1"/>
  <c r="B349" i="13" s="1"/>
  <c r="D223" i="13"/>
  <c r="D181" i="13" s="1"/>
  <c r="E223" i="13"/>
  <c r="E181" i="13" s="1"/>
  <c r="F223" i="13"/>
  <c r="F181" i="13" s="1"/>
  <c r="G223" i="13"/>
  <c r="G181" i="13" s="1"/>
  <c r="H223" i="13"/>
  <c r="H181" i="13" s="1"/>
  <c r="I223" i="13"/>
  <c r="I181" i="13" s="1"/>
  <c r="J223" i="13"/>
  <c r="J181" i="13" s="1"/>
  <c r="K223" i="13"/>
  <c r="K181" i="13" s="1"/>
  <c r="L223" i="13"/>
  <c r="L181" i="13" s="1"/>
  <c r="M223" i="13"/>
  <c r="M181" i="13" s="1"/>
  <c r="M135" i="13" s="1"/>
  <c r="M94" i="13" s="1"/>
  <c r="M52" i="13" s="1"/>
  <c r="A224" i="13"/>
  <c r="B224" i="13"/>
  <c r="B266" i="13" s="1"/>
  <c r="B308" i="13" s="1"/>
  <c r="B350" i="13" s="1"/>
  <c r="D224" i="13"/>
  <c r="D182" i="13" s="1"/>
  <c r="E224" i="13"/>
  <c r="E182" i="13" s="1"/>
  <c r="F224" i="13"/>
  <c r="G224" i="13"/>
  <c r="G182" i="13" s="1"/>
  <c r="G136" i="13" s="1"/>
  <c r="G95" i="13" s="1"/>
  <c r="G53" i="13" s="1"/>
  <c r="H224" i="13"/>
  <c r="H182" i="13" s="1"/>
  <c r="I224" i="13"/>
  <c r="I182" i="13" s="1"/>
  <c r="J224" i="13"/>
  <c r="K224" i="13"/>
  <c r="K182" i="13" s="1"/>
  <c r="K136" i="13" s="1"/>
  <c r="K95" i="13" s="1"/>
  <c r="K53" i="13" s="1"/>
  <c r="L224" i="13"/>
  <c r="L182" i="13" s="1"/>
  <c r="M224" i="13"/>
  <c r="M182" i="13" s="1"/>
  <c r="M136" i="13" s="1"/>
  <c r="M95" i="13" s="1"/>
  <c r="M53" i="13" s="1"/>
  <c r="B225" i="13"/>
  <c r="D225" i="13"/>
  <c r="D183" i="13" s="1"/>
  <c r="E225" i="13"/>
  <c r="E183" i="13" s="1"/>
  <c r="F225" i="13"/>
  <c r="F183" i="13" s="1"/>
  <c r="G225" i="13"/>
  <c r="H225" i="13"/>
  <c r="H183" i="13" s="1"/>
  <c r="I225" i="13"/>
  <c r="I183" i="13" s="1"/>
  <c r="J225" i="13"/>
  <c r="J183" i="13" s="1"/>
  <c r="K225" i="13"/>
  <c r="K183" i="13" s="1"/>
  <c r="K137" i="13" s="1"/>
  <c r="K96" i="13" s="1"/>
  <c r="K54" i="13" s="1"/>
  <c r="L225" i="13"/>
  <c r="L183" i="13" s="1"/>
  <c r="M225" i="13"/>
  <c r="M183" i="13" s="1"/>
  <c r="M137" i="13" s="1"/>
  <c r="M96" i="13" s="1"/>
  <c r="M54" i="13" s="1"/>
  <c r="A226" i="13"/>
  <c r="B226" i="13"/>
  <c r="D226" i="13"/>
  <c r="E226" i="13"/>
  <c r="E184" i="13" s="1"/>
  <c r="E138" i="13" s="1"/>
  <c r="E97" i="13" s="1"/>
  <c r="E55" i="13" s="1"/>
  <c r="F226" i="13"/>
  <c r="F184" i="13" s="1"/>
  <c r="G226" i="13"/>
  <c r="G184" i="13" s="1"/>
  <c r="H226" i="13"/>
  <c r="I226" i="13"/>
  <c r="I184" i="13" s="1"/>
  <c r="J226" i="13"/>
  <c r="J184" i="13" s="1"/>
  <c r="J138" i="13" s="1"/>
  <c r="J97" i="13" s="1"/>
  <c r="J55" i="13" s="1"/>
  <c r="K226" i="13"/>
  <c r="K184" i="13" s="1"/>
  <c r="L226" i="13"/>
  <c r="M226" i="13"/>
  <c r="M184" i="13" s="1"/>
  <c r="M138" i="13" s="1"/>
  <c r="M97" i="13" s="1"/>
  <c r="M55" i="13" s="1"/>
  <c r="A227" i="13"/>
  <c r="B227" i="13"/>
  <c r="D227" i="13"/>
  <c r="D185" i="13" s="1"/>
  <c r="E227" i="13"/>
  <c r="E185" i="13" s="1"/>
  <c r="F227" i="13"/>
  <c r="F185" i="13" s="1"/>
  <c r="G227" i="13"/>
  <c r="G185" i="13" s="1"/>
  <c r="H227" i="13"/>
  <c r="H185" i="13" s="1"/>
  <c r="I227" i="13"/>
  <c r="J227" i="13"/>
  <c r="J185" i="13" s="1"/>
  <c r="K227" i="13"/>
  <c r="K185" i="13" s="1"/>
  <c r="L227" i="13"/>
  <c r="L185" i="13" s="1"/>
  <c r="M227" i="13"/>
  <c r="M185" i="13" s="1"/>
  <c r="M139" i="13" s="1"/>
  <c r="M98" i="13" s="1"/>
  <c r="M56" i="13" s="1"/>
  <c r="A228" i="13"/>
  <c r="B228" i="13"/>
  <c r="D228" i="13"/>
  <c r="D186" i="13" s="1"/>
  <c r="E228" i="13"/>
  <c r="E186" i="13" s="1"/>
  <c r="F228" i="13"/>
  <c r="G228" i="13"/>
  <c r="G186" i="13" s="1"/>
  <c r="G140" i="13" s="1"/>
  <c r="G99" i="13" s="1"/>
  <c r="G57" i="13" s="1"/>
  <c r="H228" i="13"/>
  <c r="H186" i="13" s="1"/>
  <c r="I228" i="13"/>
  <c r="I186" i="13" s="1"/>
  <c r="J228" i="13"/>
  <c r="K228" i="13"/>
  <c r="K186" i="13" s="1"/>
  <c r="L228" i="13"/>
  <c r="L186" i="13" s="1"/>
  <c r="L140" i="13" s="1"/>
  <c r="L99" i="13" s="1"/>
  <c r="L57" i="13" s="1"/>
  <c r="M228" i="13"/>
  <c r="M186" i="13" s="1"/>
  <c r="B229" i="13"/>
  <c r="B271" i="13" s="1"/>
  <c r="B313" i="13" s="1"/>
  <c r="B355" i="13" s="1"/>
  <c r="D229" i="13"/>
  <c r="D187" i="13" s="1"/>
  <c r="E229" i="13"/>
  <c r="E187" i="13" s="1"/>
  <c r="F229" i="13"/>
  <c r="F187" i="13" s="1"/>
  <c r="G229" i="13"/>
  <c r="G187" i="13" s="1"/>
  <c r="H229" i="13"/>
  <c r="H187" i="13" s="1"/>
  <c r="I229" i="13"/>
  <c r="I187" i="13" s="1"/>
  <c r="J229" i="13"/>
  <c r="J187" i="13" s="1"/>
  <c r="K229" i="13"/>
  <c r="K187" i="13" s="1"/>
  <c r="K141" i="13" s="1"/>
  <c r="K100" i="13" s="1"/>
  <c r="K58" i="13" s="1"/>
  <c r="L229" i="13"/>
  <c r="L187" i="13" s="1"/>
  <c r="M229" i="13"/>
  <c r="M187" i="13" s="1"/>
  <c r="M141" i="13" s="1"/>
  <c r="M100" i="13" s="1"/>
  <c r="M58" i="13" s="1"/>
  <c r="A230" i="13"/>
  <c r="B230" i="13"/>
  <c r="B272" i="13" s="1"/>
  <c r="B314" i="13" s="1"/>
  <c r="B356" i="13" s="1"/>
  <c r="D230" i="13"/>
  <c r="E230" i="13"/>
  <c r="E188" i="13" s="1"/>
  <c r="E142" i="13" s="1"/>
  <c r="E101" i="13" s="1"/>
  <c r="E59" i="13" s="1"/>
  <c r="F230" i="13"/>
  <c r="F188" i="13" s="1"/>
  <c r="G230" i="13"/>
  <c r="G188" i="13" s="1"/>
  <c r="H230" i="13"/>
  <c r="I230" i="13"/>
  <c r="I188" i="13" s="1"/>
  <c r="I142" i="13" s="1"/>
  <c r="J230" i="13"/>
  <c r="J188" i="13" s="1"/>
  <c r="K230" i="13"/>
  <c r="K188" i="13" s="1"/>
  <c r="L230" i="13"/>
  <c r="M230" i="13"/>
  <c r="M188" i="13" s="1"/>
  <c r="M142" i="13" s="1"/>
  <c r="M101" i="13" s="1"/>
  <c r="M59" i="13" s="1"/>
  <c r="A231" i="13"/>
  <c r="B231" i="13"/>
  <c r="B273" i="13" s="1"/>
  <c r="B315" i="13" s="1"/>
  <c r="B357" i="13" s="1"/>
  <c r="D231" i="13"/>
  <c r="D189" i="13" s="1"/>
  <c r="E231" i="13"/>
  <c r="E189" i="13" s="1"/>
  <c r="F231" i="13"/>
  <c r="F189" i="13" s="1"/>
  <c r="G231" i="13"/>
  <c r="G189" i="13" s="1"/>
  <c r="H231" i="13"/>
  <c r="H189" i="13" s="1"/>
  <c r="I231" i="13"/>
  <c r="I189" i="13" s="1"/>
  <c r="J231" i="13"/>
  <c r="J189" i="13" s="1"/>
  <c r="K231" i="13"/>
  <c r="K189" i="13" s="1"/>
  <c r="L231" i="13"/>
  <c r="L189" i="13" s="1"/>
  <c r="M231" i="13"/>
  <c r="M189" i="13" s="1"/>
  <c r="M143" i="13" s="1"/>
  <c r="M102" i="13" s="1"/>
  <c r="M60" i="13" s="1"/>
  <c r="A232" i="13"/>
  <c r="B232" i="13"/>
  <c r="B274" i="13" s="1"/>
  <c r="B316" i="13" s="1"/>
  <c r="B358" i="13" s="1"/>
  <c r="D232" i="13"/>
  <c r="D190" i="13" s="1"/>
  <c r="E232" i="13"/>
  <c r="E190" i="13" s="1"/>
  <c r="F232" i="13"/>
  <c r="G232" i="13"/>
  <c r="G190" i="13" s="1"/>
  <c r="G144" i="13" s="1"/>
  <c r="G103" i="13" s="1"/>
  <c r="G61" i="13" s="1"/>
  <c r="H232" i="13"/>
  <c r="H190" i="13" s="1"/>
  <c r="I232" i="13"/>
  <c r="I190" i="13" s="1"/>
  <c r="J232" i="13"/>
  <c r="K232" i="13"/>
  <c r="K190" i="13" s="1"/>
  <c r="K144" i="13" s="1"/>
  <c r="K103" i="13" s="1"/>
  <c r="K61" i="13" s="1"/>
  <c r="L232" i="13"/>
  <c r="M232" i="13"/>
  <c r="M190" i="13" s="1"/>
  <c r="M144" i="13" s="1"/>
  <c r="M103" i="13" s="1"/>
  <c r="M61" i="13" s="1"/>
  <c r="B233" i="13"/>
  <c r="B275" i="13" s="1"/>
  <c r="D233" i="13"/>
  <c r="D191" i="13" s="1"/>
  <c r="E233" i="13"/>
  <c r="E191" i="13" s="1"/>
  <c r="F233" i="13"/>
  <c r="F191" i="13" s="1"/>
  <c r="G233" i="13"/>
  <c r="H233" i="13"/>
  <c r="H191" i="13" s="1"/>
  <c r="I233" i="13"/>
  <c r="I191" i="13" s="1"/>
  <c r="J233" i="13"/>
  <c r="J191" i="13" s="1"/>
  <c r="K233" i="13"/>
  <c r="L233" i="13"/>
  <c r="L191" i="13" s="1"/>
  <c r="M233" i="13"/>
  <c r="M191" i="13" s="1"/>
  <c r="M145" i="13" s="1"/>
  <c r="M104" i="13" s="1"/>
  <c r="M62" i="13" s="1"/>
  <c r="A234" i="13"/>
  <c r="B234" i="13"/>
  <c r="B276" i="13" s="1"/>
  <c r="D234" i="13"/>
  <c r="E234" i="13"/>
  <c r="E192" i="13" s="1"/>
  <c r="E146" i="13" s="1"/>
  <c r="E105" i="13" s="1"/>
  <c r="E63" i="13" s="1"/>
  <c r="F234" i="13"/>
  <c r="G234" i="13"/>
  <c r="G192" i="13" s="1"/>
  <c r="H234" i="13"/>
  <c r="I234" i="13"/>
  <c r="I192" i="13" s="1"/>
  <c r="J234" i="13"/>
  <c r="K234" i="13"/>
  <c r="K192" i="13" s="1"/>
  <c r="L234" i="13"/>
  <c r="M234" i="13"/>
  <c r="M192" i="13" s="1"/>
  <c r="M146" i="13" s="1"/>
  <c r="M105" i="13" s="1"/>
  <c r="M63" i="13" s="1"/>
  <c r="B235" i="13"/>
  <c r="B277" i="13" s="1"/>
  <c r="B319" i="13" s="1"/>
  <c r="B361" i="13" s="1"/>
  <c r="D235" i="13"/>
  <c r="D193" i="13" s="1"/>
  <c r="F235" i="13"/>
  <c r="F193" i="13" s="1"/>
  <c r="G235" i="13"/>
  <c r="G193" i="13" s="1"/>
  <c r="H235" i="13"/>
  <c r="H193" i="13" s="1"/>
  <c r="I235" i="13"/>
  <c r="I193" i="13" s="1"/>
  <c r="J235" i="13"/>
  <c r="J193" i="13" s="1"/>
  <c r="K235" i="13"/>
  <c r="K193" i="13" s="1"/>
  <c r="L235" i="13"/>
  <c r="L193" i="13" s="1"/>
  <c r="M235" i="13"/>
  <c r="M193" i="13" s="1"/>
  <c r="A236" i="13"/>
  <c r="B236" i="13"/>
  <c r="D236" i="13"/>
  <c r="E236" i="13"/>
  <c r="E194" i="13" s="1"/>
  <c r="F236" i="13"/>
  <c r="G236" i="13"/>
  <c r="G194" i="13" s="1"/>
  <c r="G148" i="13" s="1"/>
  <c r="G107" i="13" s="1"/>
  <c r="G65" i="13" s="1"/>
  <c r="H236" i="13"/>
  <c r="I236" i="13"/>
  <c r="I194" i="13" s="1"/>
  <c r="J236" i="13"/>
  <c r="K236" i="13"/>
  <c r="K194" i="13" s="1"/>
  <c r="K148" i="13" s="1"/>
  <c r="K107" i="13" s="1"/>
  <c r="K65" i="13" s="1"/>
  <c r="L236" i="13"/>
  <c r="M236" i="13"/>
  <c r="M194" i="13" s="1"/>
  <c r="M148" i="13" s="1"/>
  <c r="M107" i="13" s="1"/>
  <c r="M65" i="13" s="1"/>
  <c r="B237" i="13"/>
  <c r="D237" i="13"/>
  <c r="D195" i="13" s="1"/>
  <c r="E237" i="13"/>
  <c r="E195" i="13" s="1"/>
  <c r="F237" i="13"/>
  <c r="F195" i="13" s="1"/>
  <c r="G237" i="13"/>
  <c r="H237" i="13"/>
  <c r="H195" i="13" s="1"/>
  <c r="I237" i="13"/>
  <c r="I195" i="13" s="1"/>
  <c r="J237" i="13"/>
  <c r="J195" i="13" s="1"/>
  <c r="K237" i="13"/>
  <c r="L237" i="13"/>
  <c r="L195" i="13" s="1"/>
  <c r="M237" i="13"/>
  <c r="M195" i="13" s="1"/>
  <c r="M149" i="13" s="1"/>
  <c r="M108" i="13" s="1"/>
  <c r="M66" i="13" s="1"/>
  <c r="A238" i="13"/>
  <c r="B238" i="13"/>
  <c r="D238" i="13"/>
  <c r="E238" i="13"/>
  <c r="E196" i="13" s="1"/>
  <c r="F238" i="13"/>
  <c r="G238" i="13"/>
  <c r="G196" i="13" s="1"/>
  <c r="H238" i="13"/>
  <c r="I238" i="13"/>
  <c r="I196" i="13" s="1"/>
  <c r="I150" i="13" s="1"/>
  <c r="J238" i="13"/>
  <c r="K238" i="13"/>
  <c r="K196" i="13" s="1"/>
  <c r="L238" i="13"/>
  <c r="M238" i="13"/>
  <c r="M196" i="13" s="1"/>
  <c r="B239" i="13"/>
  <c r="D239" i="13"/>
  <c r="D197" i="13" s="1"/>
  <c r="E239" i="13"/>
  <c r="E197" i="13" s="1"/>
  <c r="F239" i="13"/>
  <c r="F197" i="13" s="1"/>
  <c r="G239" i="13"/>
  <c r="G197" i="13" s="1"/>
  <c r="H239" i="13"/>
  <c r="H197" i="13" s="1"/>
  <c r="I239" i="13"/>
  <c r="I197" i="13" s="1"/>
  <c r="J239" i="13"/>
  <c r="J197" i="13" s="1"/>
  <c r="K239" i="13"/>
  <c r="K197" i="13" s="1"/>
  <c r="L239" i="13"/>
  <c r="L197" i="13" s="1"/>
  <c r="M239" i="13"/>
  <c r="M197" i="13" s="1"/>
  <c r="M151" i="13" s="1"/>
  <c r="M110" i="13" s="1"/>
  <c r="M68" i="13" s="1"/>
  <c r="A240" i="13"/>
  <c r="B240" i="13"/>
  <c r="D240" i="13"/>
  <c r="E240" i="13"/>
  <c r="E198" i="13" s="1"/>
  <c r="F240" i="13"/>
  <c r="G240" i="13"/>
  <c r="G198" i="13" s="1"/>
  <c r="G152" i="13" s="1"/>
  <c r="G111" i="13" s="1"/>
  <c r="G69" i="13" s="1"/>
  <c r="H240" i="13"/>
  <c r="I240" i="13"/>
  <c r="I198" i="13" s="1"/>
  <c r="J240" i="13"/>
  <c r="K240" i="13"/>
  <c r="K198" i="13" s="1"/>
  <c r="K152" i="13" s="1"/>
  <c r="K111" i="13" s="1"/>
  <c r="K69" i="13" s="1"/>
  <c r="L240" i="13"/>
  <c r="M240" i="13"/>
  <c r="M198" i="13" s="1"/>
  <c r="M152" i="13" s="1"/>
  <c r="M111" i="13" s="1"/>
  <c r="M69" i="13" s="1"/>
  <c r="B241" i="13"/>
  <c r="D241" i="13"/>
  <c r="D199" i="13" s="1"/>
  <c r="E241" i="13"/>
  <c r="E199" i="13" s="1"/>
  <c r="F241" i="13"/>
  <c r="F199" i="13" s="1"/>
  <c r="G241" i="13"/>
  <c r="H241" i="13"/>
  <c r="H199" i="13" s="1"/>
  <c r="I241" i="13"/>
  <c r="I199" i="13" s="1"/>
  <c r="J241" i="13"/>
  <c r="J199" i="13" s="1"/>
  <c r="K241" i="13"/>
  <c r="L241" i="13"/>
  <c r="L199" i="13" s="1"/>
  <c r="M241" i="13"/>
  <c r="M199" i="13" s="1"/>
  <c r="M153" i="13" s="1"/>
  <c r="M112" i="13" s="1"/>
  <c r="M70" i="13" s="1"/>
  <c r="A242" i="13"/>
  <c r="B242" i="13"/>
  <c r="D242" i="13"/>
  <c r="E242" i="13"/>
  <c r="E200" i="13" s="1"/>
  <c r="E154" i="13" s="1"/>
  <c r="E113" i="13" s="1"/>
  <c r="E71" i="13" s="1"/>
  <c r="F242" i="13"/>
  <c r="G242" i="13"/>
  <c r="G200" i="13" s="1"/>
  <c r="H242" i="13"/>
  <c r="I242" i="13"/>
  <c r="I200" i="13" s="1"/>
  <c r="J242" i="13"/>
  <c r="K242" i="13"/>
  <c r="K200" i="13" s="1"/>
  <c r="L242" i="13"/>
  <c r="M242" i="13"/>
  <c r="M200" i="13" s="1"/>
  <c r="M154" i="13" s="1"/>
  <c r="M113" i="13" s="1"/>
  <c r="M71" i="13" s="1"/>
  <c r="B243" i="13"/>
  <c r="D243" i="13"/>
  <c r="D201" i="13" s="1"/>
  <c r="E243" i="13"/>
  <c r="E201" i="13" s="1"/>
  <c r="F243" i="13"/>
  <c r="F201" i="13" s="1"/>
  <c r="G243" i="13"/>
  <c r="G201" i="13" s="1"/>
  <c r="H243" i="13"/>
  <c r="H201" i="13" s="1"/>
  <c r="I243" i="13"/>
  <c r="I201" i="13" s="1"/>
  <c r="J243" i="13"/>
  <c r="J201" i="13" s="1"/>
  <c r="K243" i="13"/>
  <c r="K201" i="13" s="1"/>
  <c r="L243" i="13"/>
  <c r="L201" i="13" s="1"/>
  <c r="M243" i="13"/>
  <c r="M201" i="13" s="1"/>
  <c r="M155" i="13" s="1"/>
  <c r="M114" i="13" s="1"/>
  <c r="M72" i="13" s="1"/>
  <c r="A244" i="13"/>
  <c r="B244" i="13"/>
  <c r="D244" i="13"/>
  <c r="E244" i="13"/>
  <c r="E202" i="13" s="1"/>
  <c r="F244" i="13"/>
  <c r="G244" i="13"/>
  <c r="G202" i="13" s="1"/>
  <c r="G156" i="13" s="1"/>
  <c r="G115" i="13" s="1"/>
  <c r="G73" i="13" s="1"/>
  <c r="H244" i="13"/>
  <c r="I244" i="13"/>
  <c r="I202" i="13" s="1"/>
  <c r="J244" i="13"/>
  <c r="K244" i="13"/>
  <c r="K202" i="13" s="1"/>
  <c r="K156" i="13" s="1"/>
  <c r="K115" i="13" s="1"/>
  <c r="K73" i="13" s="1"/>
  <c r="L244" i="13"/>
  <c r="M244" i="13"/>
  <c r="M202" i="13" s="1"/>
  <c r="M156" i="13" s="1"/>
  <c r="M115" i="13" s="1"/>
  <c r="M73" i="13" s="1"/>
  <c r="B245" i="13"/>
  <c r="D245" i="13"/>
  <c r="D203" i="13" s="1"/>
  <c r="E245" i="13"/>
  <c r="E203" i="13" s="1"/>
  <c r="G245" i="13"/>
  <c r="G203" i="13" s="1"/>
  <c r="H245" i="13"/>
  <c r="H203" i="13" s="1"/>
  <c r="I245" i="13"/>
  <c r="I203" i="13" s="1"/>
  <c r="J245" i="13"/>
  <c r="J203" i="13" s="1"/>
  <c r="K245" i="13"/>
  <c r="K203" i="13" s="1"/>
  <c r="L245" i="13"/>
  <c r="L203" i="13" s="1"/>
  <c r="M245" i="13"/>
  <c r="M203" i="13" s="1"/>
  <c r="A246" i="13"/>
  <c r="B246" i="13"/>
  <c r="B288" i="13" s="1"/>
  <c r="B330" i="13" s="1"/>
  <c r="B372" i="13" s="1"/>
  <c r="D246" i="13"/>
  <c r="E246" i="13"/>
  <c r="E204" i="13" s="1"/>
  <c r="E158" i="13" s="1"/>
  <c r="E117" i="13" s="1"/>
  <c r="E75" i="13" s="1"/>
  <c r="F246" i="13"/>
  <c r="G246" i="13"/>
  <c r="G204" i="13" s="1"/>
  <c r="H246" i="13"/>
  <c r="I246" i="13"/>
  <c r="I204" i="13" s="1"/>
  <c r="I158" i="13" s="1"/>
  <c r="J246" i="13"/>
  <c r="K246" i="13"/>
  <c r="K204" i="13" s="1"/>
  <c r="L246" i="13"/>
  <c r="M246" i="13"/>
  <c r="M204" i="13" s="1"/>
  <c r="M158" i="13" s="1"/>
  <c r="M117" i="13" s="1"/>
  <c r="M75" i="13" s="1"/>
  <c r="B247" i="13"/>
  <c r="B289" i="13" s="1"/>
  <c r="D247" i="13"/>
  <c r="D205" i="13" s="1"/>
  <c r="E247" i="13"/>
  <c r="F247" i="13"/>
  <c r="F205" i="13" s="1"/>
  <c r="G247" i="13"/>
  <c r="G205" i="13" s="1"/>
  <c r="H247" i="13"/>
  <c r="H205" i="13" s="1"/>
  <c r="I247" i="13"/>
  <c r="J247" i="13"/>
  <c r="J205" i="13" s="1"/>
  <c r="K247" i="13"/>
  <c r="K205" i="13" s="1"/>
  <c r="K159" i="13" s="1"/>
  <c r="K118" i="13" s="1"/>
  <c r="K76" i="13" s="1"/>
  <c r="L247" i="13"/>
  <c r="L205" i="13" s="1"/>
  <c r="M247" i="13"/>
  <c r="A248" i="13"/>
  <c r="D248" i="13"/>
  <c r="E248" i="13"/>
  <c r="E206" i="13" s="1"/>
  <c r="F248" i="13"/>
  <c r="G248" i="13"/>
  <c r="G206" i="13" s="1"/>
  <c r="H248" i="13"/>
  <c r="I248" i="13"/>
  <c r="I206" i="13" s="1"/>
  <c r="J248" i="13"/>
  <c r="K248" i="13"/>
  <c r="K206" i="13" s="1"/>
  <c r="K160" i="13" s="1"/>
  <c r="K119" i="13" s="1"/>
  <c r="K77" i="13" s="1"/>
  <c r="L248" i="13"/>
  <c r="M248" i="13"/>
  <c r="M206" i="13" s="1"/>
  <c r="B249" i="13"/>
  <c r="B291" i="13" s="1"/>
  <c r="B333" i="13" s="1"/>
  <c r="B375" i="13" s="1"/>
  <c r="D249" i="13"/>
  <c r="D207" i="13" s="1"/>
  <c r="E249" i="13"/>
  <c r="E207" i="13" s="1"/>
  <c r="F249" i="13"/>
  <c r="F207" i="13" s="1"/>
  <c r="G249" i="13"/>
  <c r="G207" i="13" s="1"/>
  <c r="H249" i="13"/>
  <c r="H207" i="13" s="1"/>
  <c r="I249" i="13"/>
  <c r="I207" i="13" s="1"/>
  <c r="J249" i="13"/>
  <c r="J207" i="13" s="1"/>
  <c r="K249" i="13"/>
  <c r="K207" i="13" s="1"/>
  <c r="L249" i="13"/>
  <c r="L207" i="13" s="1"/>
  <c r="M249" i="13"/>
  <c r="M207" i="13" s="1"/>
  <c r="M161" i="13" s="1"/>
  <c r="M120" i="13" s="1"/>
  <c r="M78" i="13" s="1"/>
  <c r="A250" i="13"/>
  <c r="B250" i="13"/>
  <c r="B292" i="13" s="1"/>
  <c r="D250" i="13"/>
  <c r="E250" i="13"/>
  <c r="E208" i="13" s="1"/>
  <c r="E162" i="13" s="1"/>
  <c r="E121" i="13" s="1"/>
  <c r="E79" i="13" s="1"/>
  <c r="F250" i="13"/>
  <c r="G250" i="13"/>
  <c r="G208" i="13" s="1"/>
  <c r="H250" i="13"/>
  <c r="I250" i="13"/>
  <c r="I208" i="13" s="1"/>
  <c r="I162" i="13" s="1"/>
  <c r="J250" i="13"/>
  <c r="K250" i="13"/>
  <c r="K208" i="13" s="1"/>
  <c r="L250" i="13"/>
  <c r="M250" i="13"/>
  <c r="M208" i="13" s="1"/>
  <c r="M162" i="13" s="1"/>
  <c r="M121" i="13" s="1"/>
  <c r="M79" i="13" s="1"/>
  <c r="B251" i="13"/>
  <c r="B293" i="13" s="1"/>
  <c r="D251" i="13"/>
  <c r="D209" i="13" s="1"/>
  <c r="E251" i="13"/>
  <c r="F251" i="13"/>
  <c r="F209" i="13" s="1"/>
  <c r="G251" i="13"/>
  <c r="G209" i="13" s="1"/>
  <c r="H251" i="13"/>
  <c r="H209" i="13" s="1"/>
  <c r="I251" i="13"/>
  <c r="J251" i="13"/>
  <c r="J209" i="13" s="1"/>
  <c r="K251" i="13"/>
  <c r="K209" i="13" s="1"/>
  <c r="K163" i="13" s="1"/>
  <c r="K122" i="13" s="1"/>
  <c r="K80" i="13" s="1"/>
  <c r="L251" i="13"/>
  <c r="L209" i="13" s="1"/>
  <c r="M251" i="13"/>
  <c r="A252" i="13"/>
  <c r="D252" i="13"/>
  <c r="E252" i="13"/>
  <c r="E210" i="13" s="1"/>
  <c r="F252" i="13"/>
  <c r="G252" i="13"/>
  <c r="G210" i="13" s="1"/>
  <c r="G164" i="13" s="1"/>
  <c r="G123" i="13" s="1"/>
  <c r="G81" i="13" s="1"/>
  <c r="H252" i="13"/>
  <c r="I252" i="13"/>
  <c r="I210" i="13" s="1"/>
  <c r="J252" i="13"/>
  <c r="K252" i="13"/>
  <c r="K210" i="13" s="1"/>
  <c r="L252" i="13"/>
  <c r="M252" i="13"/>
  <c r="M210" i="13" s="1"/>
  <c r="B253" i="13"/>
  <c r="B295" i="13" s="1"/>
  <c r="B337" i="13" s="1"/>
  <c r="B379" i="13" s="1"/>
  <c r="D253" i="13"/>
  <c r="D211" i="13" s="1"/>
  <c r="E253" i="13"/>
  <c r="E211" i="13" s="1"/>
  <c r="F253" i="13"/>
  <c r="F211" i="13" s="1"/>
  <c r="G253" i="13"/>
  <c r="G211" i="13" s="1"/>
  <c r="H253" i="13"/>
  <c r="H211" i="13" s="1"/>
  <c r="I253" i="13"/>
  <c r="I211" i="13" s="1"/>
  <c r="J253" i="13"/>
  <c r="J211" i="13" s="1"/>
  <c r="K253" i="13"/>
  <c r="K211" i="13" s="1"/>
  <c r="L253" i="13"/>
  <c r="L211" i="13" s="1"/>
  <c r="M253" i="13"/>
  <c r="M211" i="13" s="1"/>
  <c r="M165" i="13" s="1"/>
  <c r="M124" i="13" s="1"/>
  <c r="M82" i="13" s="1"/>
  <c r="A254" i="13"/>
  <c r="B254" i="13"/>
  <c r="B296" i="13" s="1"/>
  <c r="D254" i="13"/>
  <c r="E254" i="13"/>
  <c r="E212" i="13" s="1"/>
  <c r="E166" i="13" s="1"/>
  <c r="E125" i="13" s="1"/>
  <c r="E83" i="13" s="1"/>
  <c r="F254" i="13"/>
  <c r="G254" i="13"/>
  <c r="G212" i="13" s="1"/>
  <c r="H254" i="13"/>
  <c r="I254" i="13"/>
  <c r="I212" i="13" s="1"/>
  <c r="I166" i="13" s="1"/>
  <c r="J254" i="13"/>
  <c r="K254" i="13"/>
  <c r="K212" i="13" s="1"/>
  <c r="L254" i="13"/>
  <c r="M254" i="13"/>
  <c r="M212" i="13" s="1"/>
  <c r="M166" i="13" s="1"/>
  <c r="M125" i="13" s="1"/>
  <c r="M83" i="13" s="1"/>
  <c r="B255" i="13"/>
  <c r="B297" i="13" s="1"/>
  <c r="D255" i="13"/>
  <c r="D213" i="13" s="1"/>
  <c r="E255" i="13"/>
  <c r="F255" i="13"/>
  <c r="F213" i="13" s="1"/>
  <c r="G255" i="13"/>
  <c r="G213" i="13" s="1"/>
  <c r="H255" i="13"/>
  <c r="H213" i="13" s="1"/>
  <c r="I255" i="13"/>
  <c r="J255" i="13"/>
  <c r="J213" i="13" s="1"/>
  <c r="K255" i="13"/>
  <c r="K213" i="13" s="1"/>
  <c r="K167" i="13" s="1"/>
  <c r="K126" i="13" s="1"/>
  <c r="K84" i="13" s="1"/>
  <c r="L255" i="13"/>
  <c r="L213" i="13" s="1"/>
  <c r="M255" i="13"/>
  <c r="A256" i="13"/>
  <c r="D256" i="13"/>
  <c r="E256" i="13"/>
  <c r="E214" i="13" s="1"/>
  <c r="F256" i="13"/>
  <c r="G256" i="13"/>
  <c r="G214" i="13" s="1"/>
  <c r="H256" i="13"/>
  <c r="I256" i="13"/>
  <c r="I214" i="13" s="1"/>
  <c r="J256" i="13"/>
  <c r="K256" i="13"/>
  <c r="K214" i="13" s="1"/>
  <c r="K168" i="13" s="1"/>
  <c r="K127" i="13" s="1"/>
  <c r="K85" i="13" s="1"/>
  <c r="L256" i="13"/>
  <c r="M256" i="13"/>
  <c r="M214" i="13" s="1"/>
  <c r="D257" i="13"/>
  <c r="G257" i="13"/>
  <c r="H257" i="13"/>
  <c r="I257" i="13"/>
  <c r="J257" i="13"/>
  <c r="K257" i="13"/>
  <c r="L257" i="13"/>
  <c r="M257" i="13"/>
  <c r="A261" i="13"/>
  <c r="B261" i="13"/>
  <c r="B303" i="13" s="1"/>
  <c r="B345" i="13" s="1"/>
  <c r="A262" i="13"/>
  <c r="B262" i="13"/>
  <c r="B304" i="13" s="1"/>
  <c r="B346" i="13" s="1"/>
  <c r="A264" i="13"/>
  <c r="A265" i="13"/>
  <c r="A266" i="13"/>
  <c r="B267" i="13"/>
  <c r="B309" i="13" s="1"/>
  <c r="B351" i="13" s="1"/>
  <c r="A268" i="13"/>
  <c r="B268" i="13"/>
  <c r="B310" i="13" s="1"/>
  <c r="B352" i="13" s="1"/>
  <c r="A269" i="13"/>
  <c r="B269" i="13"/>
  <c r="B311" i="13" s="1"/>
  <c r="B353" i="13" s="1"/>
  <c r="A270" i="13"/>
  <c r="B270" i="13"/>
  <c r="B312" i="13" s="1"/>
  <c r="B354" i="13" s="1"/>
  <c r="A272" i="13"/>
  <c r="A273" i="13"/>
  <c r="A274" i="13"/>
  <c r="E274" i="13"/>
  <c r="A276" i="13"/>
  <c r="A318" i="13" s="1"/>
  <c r="A360" i="13" s="1"/>
  <c r="A277" i="13"/>
  <c r="A319" i="13" s="1"/>
  <c r="E277" i="13"/>
  <c r="E235" i="13" s="1"/>
  <c r="E193" i="13" s="1"/>
  <c r="E147" i="13" s="1"/>
  <c r="E106" i="13" s="1"/>
  <c r="E64" i="13" s="1"/>
  <c r="A278" i="13"/>
  <c r="B278" i="13"/>
  <c r="B320" i="13" s="1"/>
  <c r="B362" i="13" s="1"/>
  <c r="B279" i="13"/>
  <c r="A280" i="13"/>
  <c r="B280" i="13"/>
  <c r="B281" i="13"/>
  <c r="B323" i="13" s="1"/>
  <c r="B365" i="13" s="1"/>
  <c r="A282" i="13"/>
  <c r="B282" i="13"/>
  <c r="B324" i="13" s="1"/>
  <c r="B366" i="13" s="1"/>
  <c r="B283" i="13"/>
  <c r="A284" i="13"/>
  <c r="B284" i="13"/>
  <c r="B285" i="13"/>
  <c r="B327" i="13" s="1"/>
  <c r="B369" i="13" s="1"/>
  <c r="A286" i="13"/>
  <c r="B286" i="13"/>
  <c r="B328" i="13" s="1"/>
  <c r="B370" i="13" s="1"/>
  <c r="B287" i="13"/>
  <c r="A288" i="13"/>
  <c r="E288" i="13"/>
  <c r="A289" i="13"/>
  <c r="A331" i="13" s="1"/>
  <c r="A373" i="13" s="1"/>
  <c r="A290" i="13"/>
  <c r="A332" i="13" s="1"/>
  <c r="A374" i="13" s="1"/>
  <c r="A292" i="13"/>
  <c r="A334" i="13" s="1"/>
  <c r="A376" i="13" s="1"/>
  <c r="A293" i="13"/>
  <c r="A335" i="13" s="1"/>
  <c r="A377" i="13" s="1"/>
  <c r="A294" i="13"/>
  <c r="A336" i="13" s="1"/>
  <c r="A378" i="13" s="1"/>
  <c r="A296" i="13"/>
  <c r="A338" i="13" s="1"/>
  <c r="A380" i="13" s="1"/>
  <c r="A297" i="13"/>
  <c r="A339" i="13" s="1"/>
  <c r="A381" i="13" s="1"/>
  <c r="A298" i="13"/>
  <c r="A340" i="13" s="1"/>
  <c r="A382" i="13" s="1"/>
  <c r="D299" i="13"/>
  <c r="F299" i="13"/>
  <c r="G299" i="13"/>
  <c r="H299" i="13"/>
  <c r="I299" i="13"/>
  <c r="J299" i="13"/>
  <c r="K299" i="13"/>
  <c r="L299" i="13"/>
  <c r="M299" i="13"/>
  <c r="A303" i="13"/>
  <c r="A304" i="13"/>
  <c r="A306" i="13"/>
  <c r="A307" i="13"/>
  <c r="A308" i="13"/>
  <c r="A310" i="13"/>
  <c r="A311" i="13"/>
  <c r="A312" i="13"/>
  <c r="A314" i="13"/>
  <c r="A315" i="13"/>
  <c r="A316" i="13"/>
  <c r="B317" i="13"/>
  <c r="B359" i="13" s="1"/>
  <c r="B318" i="13"/>
  <c r="B360" i="13" s="1"/>
  <c r="A320" i="13"/>
  <c r="B321" i="13"/>
  <c r="B363" i="13" s="1"/>
  <c r="A322" i="13"/>
  <c r="B322" i="13"/>
  <c r="B364" i="13" s="1"/>
  <c r="A324" i="13"/>
  <c r="B325" i="13"/>
  <c r="B367" i="13" s="1"/>
  <c r="A326" i="13"/>
  <c r="B326" i="13"/>
  <c r="B368" i="13" s="1"/>
  <c r="A328" i="13"/>
  <c r="B329" i="13"/>
  <c r="B371" i="13" s="1"/>
  <c r="A330" i="13"/>
  <c r="B331" i="13"/>
  <c r="B334" i="13"/>
  <c r="B376" i="13" s="1"/>
  <c r="B335" i="13"/>
  <c r="B338" i="13"/>
  <c r="B380" i="13" s="1"/>
  <c r="B339" i="13"/>
  <c r="D341" i="13"/>
  <c r="F341" i="13"/>
  <c r="G341" i="13"/>
  <c r="H341" i="13"/>
  <c r="I341" i="13"/>
  <c r="J341" i="13"/>
  <c r="K341" i="13"/>
  <c r="L341" i="13"/>
  <c r="M341" i="13"/>
  <c r="A345" i="13"/>
  <c r="A346" i="13"/>
  <c r="A347" i="13"/>
  <c r="A348" i="13"/>
  <c r="A349" i="13"/>
  <c r="A350" i="13"/>
  <c r="A351" i="13"/>
  <c r="A352" i="13"/>
  <c r="A353" i="13"/>
  <c r="A354" i="13"/>
  <c r="A355" i="13"/>
  <c r="A356" i="13"/>
  <c r="A357" i="13"/>
  <c r="A358" i="13"/>
  <c r="A361" i="13"/>
  <c r="A362" i="13"/>
  <c r="A363" i="13"/>
  <c r="A364" i="13"/>
  <c r="A365" i="13"/>
  <c r="A366" i="13"/>
  <c r="A367" i="13"/>
  <c r="A368" i="13"/>
  <c r="A369" i="13"/>
  <c r="A370" i="13"/>
  <c r="A371" i="13"/>
  <c r="F371" i="13"/>
  <c r="F245" i="13" s="1"/>
  <c r="A372" i="13"/>
  <c r="B373" i="13"/>
  <c r="B377" i="13"/>
  <c r="B381" i="13"/>
  <c r="D383" i="13"/>
  <c r="F383" i="13"/>
  <c r="G383" i="13"/>
  <c r="H383" i="13"/>
  <c r="I383" i="13"/>
  <c r="J383" i="13"/>
  <c r="K383" i="13"/>
  <c r="L383" i="13"/>
  <c r="M383" i="13"/>
  <c r="O43" i="12"/>
  <c r="S43" i="12"/>
  <c r="A48" i="12"/>
  <c r="B48" i="12"/>
  <c r="A49" i="12"/>
  <c r="B49" i="12"/>
  <c r="A50" i="12"/>
  <c r="B50" i="12"/>
  <c r="A51" i="12"/>
  <c r="B51" i="12"/>
  <c r="A52" i="12"/>
  <c r="B52" i="12"/>
  <c r="A53" i="12"/>
  <c r="B53" i="12"/>
  <c r="A54" i="12"/>
  <c r="B54" i="12"/>
  <c r="A55" i="12"/>
  <c r="B55" i="12"/>
  <c r="A56" i="12"/>
  <c r="B56" i="12"/>
  <c r="A57" i="12"/>
  <c r="B57" i="12"/>
  <c r="A58" i="12"/>
  <c r="B58" i="12"/>
  <c r="A59" i="12"/>
  <c r="B59" i="12"/>
  <c r="A60" i="12"/>
  <c r="B60" i="12"/>
  <c r="A61" i="12"/>
  <c r="B61" i="12"/>
  <c r="A62" i="12"/>
  <c r="B62" i="12"/>
  <c r="A63" i="12"/>
  <c r="B63" i="12"/>
  <c r="A64" i="12"/>
  <c r="B64" i="12"/>
  <c r="A65" i="12"/>
  <c r="B65" i="12"/>
  <c r="A66" i="12"/>
  <c r="B66" i="12"/>
  <c r="A67" i="12"/>
  <c r="B67" i="12"/>
  <c r="A68" i="12"/>
  <c r="B68" i="12"/>
  <c r="A69" i="12"/>
  <c r="B69" i="12"/>
  <c r="A70" i="12"/>
  <c r="B70" i="12"/>
  <c r="A71" i="12"/>
  <c r="B71" i="12"/>
  <c r="A72" i="12"/>
  <c r="B72" i="12"/>
  <c r="A73" i="12"/>
  <c r="B73" i="12"/>
  <c r="A74" i="12"/>
  <c r="B74" i="12"/>
  <c r="A75" i="12"/>
  <c r="B75" i="12"/>
  <c r="A76" i="12"/>
  <c r="B76" i="12"/>
  <c r="A77" i="12"/>
  <c r="B77" i="12"/>
  <c r="A78" i="12"/>
  <c r="B78" i="12"/>
  <c r="A79" i="12"/>
  <c r="B79" i="12"/>
  <c r="A80" i="12"/>
  <c r="B80" i="12"/>
  <c r="A81" i="12"/>
  <c r="B81" i="12"/>
  <c r="A82" i="12"/>
  <c r="B82" i="12"/>
  <c r="A83" i="12"/>
  <c r="B83" i="12"/>
  <c r="A84" i="12"/>
  <c r="B84" i="12"/>
  <c r="A85" i="12"/>
  <c r="B85" i="12"/>
  <c r="A90" i="12"/>
  <c r="B90" i="12"/>
  <c r="A91" i="12"/>
  <c r="B91" i="12"/>
  <c r="A92" i="12"/>
  <c r="B92" i="12"/>
  <c r="A93" i="12"/>
  <c r="B93" i="12"/>
  <c r="A94" i="12"/>
  <c r="B94" i="12"/>
  <c r="A95" i="12"/>
  <c r="B95" i="12"/>
  <c r="A96" i="12"/>
  <c r="B96" i="12"/>
  <c r="A97" i="12"/>
  <c r="B97" i="12"/>
  <c r="A98" i="12"/>
  <c r="B98" i="12"/>
  <c r="A99" i="12"/>
  <c r="B99" i="12"/>
  <c r="A100" i="12"/>
  <c r="B100" i="12"/>
  <c r="A101" i="12"/>
  <c r="B101" i="12"/>
  <c r="A102" i="12"/>
  <c r="B102" i="12"/>
  <c r="A103" i="12"/>
  <c r="B103" i="12"/>
  <c r="A104" i="12"/>
  <c r="B104" i="12"/>
  <c r="A105" i="12"/>
  <c r="B105" i="12"/>
  <c r="A106" i="12"/>
  <c r="B106" i="12"/>
  <c r="A107" i="12"/>
  <c r="B107" i="12"/>
  <c r="A108" i="12"/>
  <c r="B108" i="12"/>
  <c r="A109" i="12"/>
  <c r="B109" i="12"/>
  <c r="A110" i="12"/>
  <c r="B110" i="12"/>
  <c r="A111" i="12"/>
  <c r="B111" i="12"/>
  <c r="A112" i="12"/>
  <c r="B112" i="12"/>
  <c r="A113" i="12"/>
  <c r="B113" i="12"/>
  <c r="A114" i="12"/>
  <c r="B114" i="12"/>
  <c r="A115" i="12"/>
  <c r="B115" i="12"/>
  <c r="A116" i="12"/>
  <c r="B116" i="12"/>
  <c r="A117" i="12"/>
  <c r="B117" i="12"/>
  <c r="A118" i="12"/>
  <c r="B118" i="12"/>
  <c r="A119" i="12"/>
  <c r="B119" i="12"/>
  <c r="A120" i="12"/>
  <c r="B120" i="12"/>
  <c r="A121" i="12"/>
  <c r="B121" i="12"/>
  <c r="A122" i="12"/>
  <c r="B122" i="12"/>
  <c r="A123" i="12"/>
  <c r="B123" i="12"/>
  <c r="A124" i="12"/>
  <c r="B124" i="12"/>
  <c r="A125" i="12"/>
  <c r="B125" i="12"/>
  <c r="A126" i="12"/>
  <c r="B126" i="12"/>
  <c r="A127" i="12"/>
  <c r="B127" i="12"/>
  <c r="M150" i="12"/>
  <c r="A156" i="12"/>
  <c r="B156" i="12"/>
  <c r="B198" i="12" s="1"/>
  <c r="B240" i="12" s="1"/>
  <c r="B282" i="12" s="1"/>
  <c r="B324" i="12" s="1"/>
  <c r="A157" i="12"/>
  <c r="B157" i="12"/>
  <c r="G157" i="12"/>
  <c r="I157" i="12"/>
  <c r="K157" i="12"/>
  <c r="K137" i="12" s="1"/>
  <c r="M157" i="12"/>
  <c r="M137" i="12" s="1"/>
  <c r="A158" i="12"/>
  <c r="B158" i="12"/>
  <c r="B200" i="12" s="1"/>
  <c r="B242" i="12" s="1"/>
  <c r="B284" i="12" s="1"/>
  <c r="B326" i="12" s="1"/>
  <c r="A159" i="12"/>
  <c r="B159" i="12"/>
  <c r="G159" i="12"/>
  <c r="I159" i="12"/>
  <c r="K159" i="12"/>
  <c r="M159" i="12"/>
  <c r="A160" i="12"/>
  <c r="B160" i="12"/>
  <c r="B202" i="12" s="1"/>
  <c r="B244" i="12" s="1"/>
  <c r="B286" i="12" s="1"/>
  <c r="B328" i="12" s="1"/>
  <c r="A161" i="12"/>
  <c r="B161" i="12"/>
  <c r="G161" i="12"/>
  <c r="I161" i="12"/>
  <c r="K161" i="12"/>
  <c r="M161" i="12"/>
  <c r="A162" i="12"/>
  <c r="B162" i="12"/>
  <c r="B204" i="12" s="1"/>
  <c r="B246" i="12" s="1"/>
  <c r="B288" i="12" s="1"/>
  <c r="B330" i="12" s="1"/>
  <c r="A163" i="12"/>
  <c r="B163" i="12"/>
  <c r="G163" i="12"/>
  <c r="I163" i="12"/>
  <c r="K163" i="12"/>
  <c r="M163" i="12"/>
  <c r="A164" i="12"/>
  <c r="B164" i="12"/>
  <c r="B206" i="12" s="1"/>
  <c r="B248" i="12" s="1"/>
  <c r="B290" i="12" s="1"/>
  <c r="B332" i="12" s="1"/>
  <c r="A165" i="12"/>
  <c r="B165" i="12"/>
  <c r="G165" i="12"/>
  <c r="I165" i="12"/>
  <c r="K165" i="12"/>
  <c r="M165" i="12"/>
  <c r="A166" i="12"/>
  <c r="B166" i="12"/>
  <c r="B208" i="12" s="1"/>
  <c r="B250" i="12" s="1"/>
  <c r="B292" i="12" s="1"/>
  <c r="B334" i="12" s="1"/>
  <c r="A167" i="12"/>
  <c r="B167" i="12"/>
  <c r="G167" i="12"/>
  <c r="I167" i="12"/>
  <c r="K167" i="12"/>
  <c r="M167" i="12"/>
  <c r="A168" i="12"/>
  <c r="B168" i="12"/>
  <c r="B210" i="12" s="1"/>
  <c r="B252" i="12" s="1"/>
  <c r="B294" i="12" s="1"/>
  <c r="B336" i="12" s="1"/>
  <c r="A169" i="12"/>
  <c r="B169" i="12"/>
  <c r="G169" i="12"/>
  <c r="I169" i="12"/>
  <c r="K169" i="12"/>
  <c r="M169" i="12"/>
  <c r="A170" i="12"/>
  <c r="B170" i="12"/>
  <c r="B212" i="12" s="1"/>
  <c r="B254" i="12" s="1"/>
  <c r="B296" i="12" s="1"/>
  <c r="B338" i="12" s="1"/>
  <c r="A171" i="12"/>
  <c r="B171" i="12"/>
  <c r="G171" i="12"/>
  <c r="I171" i="12"/>
  <c r="K171" i="12"/>
  <c r="M171" i="12"/>
  <c r="A172" i="12"/>
  <c r="B172" i="12"/>
  <c r="B214" i="12" s="1"/>
  <c r="B256" i="12" s="1"/>
  <c r="B298" i="12" s="1"/>
  <c r="B340" i="12" s="1"/>
  <c r="A173" i="12"/>
  <c r="B173" i="12"/>
  <c r="G173" i="12"/>
  <c r="I173" i="12"/>
  <c r="K173" i="12"/>
  <c r="M173" i="12"/>
  <c r="A174" i="12"/>
  <c r="B174" i="12"/>
  <c r="B216" i="12" s="1"/>
  <c r="B258" i="12" s="1"/>
  <c r="B300" i="12" s="1"/>
  <c r="B342" i="12" s="1"/>
  <c r="A175" i="12"/>
  <c r="B175" i="12"/>
  <c r="G175" i="12"/>
  <c r="I175" i="12"/>
  <c r="K175" i="12"/>
  <c r="M175" i="12"/>
  <c r="A176" i="12"/>
  <c r="B176" i="12"/>
  <c r="B218" i="12" s="1"/>
  <c r="B260" i="12" s="1"/>
  <c r="B302" i="12" s="1"/>
  <c r="B344" i="12" s="1"/>
  <c r="A177" i="12"/>
  <c r="B177" i="12"/>
  <c r="G177" i="12"/>
  <c r="I177" i="12"/>
  <c r="K177" i="12"/>
  <c r="M177" i="12"/>
  <c r="A178" i="12"/>
  <c r="B178" i="12"/>
  <c r="B220" i="12" s="1"/>
  <c r="B262" i="12" s="1"/>
  <c r="B304" i="12" s="1"/>
  <c r="B346" i="12" s="1"/>
  <c r="A179" i="12"/>
  <c r="B179" i="12"/>
  <c r="G179" i="12"/>
  <c r="I179" i="12"/>
  <c r="K179" i="12"/>
  <c r="M179" i="12"/>
  <c r="A180" i="12"/>
  <c r="B180" i="12"/>
  <c r="B222" i="12" s="1"/>
  <c r="B264" i="12" s="1"/>
  <c r="B306" i="12" s="1"/>
  <c r="B348" i="12" s="1"/>
  <c r="A181" i="12"/>
  <c r="B181" i="12"/>
  <c r="G181" i="12"/>
  <c r="I181" i="12"/>
  <c r="K181" i="12"/>
  <c r="M181" i="12"/>
  <c r="A182" i="12"/>
  <c r="B182" i="12"/>
  <c r="B224" i="12" s="1"/>
  <c r="B266" i="12" s="1"/>
  <c r="B308" i="12" s="1"/>
  <c r="B350" i="12" s="1"/>
  <c r="A183" i="12"/>
  <c r="B183" i="12"/>
  <c r="G183" i="12"/>
  <c r="I183" i="12"/>
  <c r="K183" i="12"/>
  <c r="M183" i="12"/>
  <c r="A184" i="12"/>
  <c r="B184" i="12"/>
  <c r="B226" i="12" s="1"/>
  <c r="B268" i="12" s="1"/>
  <c r="B310" i="12" s="1"/>
  <c r="B352" i="12" s="1"/>
  <c r="A185" i="12"/>
  <c r="B185" i="12"/>
  <c r="G185" i="12"/>
  <c r="I185" i="12"/>
  <c r="K185" i="12"/>
  <c r="M185" i="12"/>
  <c r="A186" i="12"/>
  <c r="B186" i="12"/>
  <c r="B228" i="12" s="1"/>
  <c r="B270" i="12" s="1"/>
  <c r="B312" i="12" s="1"/>
  <c r="B354" i="12" s="1"/>
  <c r="A187" i="12"/>
  <c r="B187" i="12"/>
  <c r="G187" i="12"/>
  <c r="I187" i="12"/>
  <c r="K187" i="12"/>
  <c r="M187" i="12"/>
  <c r="A188" i="12"/>
  <c r="B188" i="12"/>
  <c r="B230" i="12" s="1"/>
  <c r="B272" i="12" s="1"/>
  <c r="B314" i="12" s="1"/>
  <c r="B356" i="12" s="1"/>
  <c r="A189" i="12"/>
  <c r="B189" i="12"/>
  <c r="G189" i="12"/>
  <c r="I189" i="12"/>
  <c r="K189" i="12"/>
  <c r="M189" i="12"/>
  <c r="A190" i="12"/>
  <c r="B190" i="12"/>
  <c r="B232" i="12" s="1"/>
  <c r="B274" i="12" s="1"/>
  <c r="B316" i="12" s="1"/>
  <c r="B358" i="12" s="1"/>
  <c r="A191" i="12"/>
  <c r="B191" i="12"/>
  <c r="G191" i="12"/>
  <c r="I191" i="12"/>
  <c r="K191" i="12"/>
  <c r="M191" i="12"/>
  <c r="A192" i="12"/>
  <c r="B192" i="12"/>
  <c r="B234" i="12" s="1"/>
  <c r="B276" i="12" s="1"/>
  <c r="B318" i="12" s="1"/>
  <c r="B360" i="12" s="1"/>
  <c r="A193" i="12"/>
  <c r="B193" i="12"/>
  <c r="G193" i="12"/>
  <c r="I193" i="12"/>
  <c r="K193" i="12"/>
  <c r="M193" i="12"/>
  <c r="A198" i="12"/>
  <c r="D198" i="12"/>
  <c r="E198" i="12" s="1"/>
  <c r="F198" i="12"/>
  <c r="F156" i="12" s="1"/>
  <c r="G198" i="12"/>
  <c r="G156" i="12" s="1"/>
  <c r="H198" i="12"/>
  <c r="H156" i="12" s="1"/>
  <c r="I198" i="12"/>
  <c r="I156" i="12" s="1"/>
  <c r="J198" i="12"/>
  <c r="J156" i="12" s="1"/>
  <c r="K198" i="12"/>
  <c r="K156" i="12" s="1"/>
  <c r="L198" i="12"/>
  <c r="L156" i="12" s="1"/>
  <c r="M198" i="12"/>
  <c r="M156" i="12" s="1"/>
  <c r="A199" i="12"/>
  <c r="B199" i="12"/>
  <c r="D199" i="12"/>
  <c r="D157" i="12" s="1"/>
  <c r="F199" i="12"/>
  <c r="F157" i="12" s="1"/>
  <c r="G199" i="12"/>
  <c r="H199" i="12"/>
  <c r="H157" i="12" s="1"/>
  <c r="I199" i="12"/>
  <c r="J199" i="12"/>
  <c r="J157" i="12" s="1"/>
  <c r="K199" i="12"/>
  <c r="L199" i="12"/>
  <c r="L157" i="12" s="1"/>
  <c r="M199" i="12"/>
  <c r="A200" i="12"/>
  <c r="D200" i="12"/>
  <c r="E200" i="12" s="1"/>
  <c r="E158" i="12" s="1"/>
  <c r="F200" i="12"/>
  <c r="F158" i="12" s="1"/>
  <c r="G200" i="12"/>
  <c r="G158" i="12" s="1"/>
  <c r="H200" i="12"/>
  <c r="H158" i="12" s="1"/>
  <c r="I200" i="12"/>
  <c r="I158" i="12" s="1"/>
  <c r="J200" i="12"/>
  <c r="J158" i="12" s="1"/>
  <c r="K200" i="12"/>
  <c r="K158" i="12" s="1"/>
  <c r="L200" i="12"/>
  <c r="L158" i="12" s="1"/>
  <c r="M200" i="12"/>
  <c r="M158" i="12" s="1"/>
  <c r="A201" i="12"/>
  <c r="B201" i="12"/>
  <c r="D201" i="12"/>
  <c r="D159" i="12" s="1"/>
  <c r="F201" i="12"/>
  <c r="F159" i="12" s="1"/>
  <c r="G201" i="12"/>
  <c r="H201" i="12"/>
  <c r="H159" i="12" s="1"/>
  <c r="I201" i="12"/>
  <c r="J201" i="12"/>
  <c r="J159" i="12" s="1"/>
  <c r="K201" i="12"/>
  <c r="L201" i="12"/>
  <c r="L159" i="12" s="1"/>
  <c r="M201" i="12"/>
  <c r="A202" i="12"/>
  <c r="D202" i="12"/>
  <c r="E202" i="12" s="1"/>
  <c r="E160" i="12" s="1"/>
  <c r="F202" i="12"/>
  <c r="F160" i="12" s="1"/>
  <c r="G202" i="12"/>
  <c r="G160" i="12" s="1"/>
  <c r="H202" i="12"/>
  <c r="H160" i="12" s="1"/>
  <c r="I202" i="12"/>
  <c r="I160" i="12" s="1"/>
  <c r="J202" i="12"/>
  <c r="J160" i="12" s="1"/>
  <c r="K202" i="12"/>
  <c r="K160" i="12" s="1"/>
  <c r="L202" i="12"/>
  <c r="L160" i="12" s="1"/>
  <c r="M202" i="12"/>
  <c r="M160" i="12" s="1"/>
  <c r="A203" i="12"/>
  <c r="B203" i="12"/>
  <c r="D203" i="12"/>
  <c r="D161" i="12" s="1"/>
  <c r="F203" i="12"/>
  <c r="F161" i="12" s="1"/>
  <c r="G203" i="12"/>
  <c r="H203" i="12"/>
  <c r="H161" i="12" s="1"/>
  <c r="I203" i="12"/>
  <c r="J203" i="12"/>
  <c r="J161" i="12" s="1"/>
  <c r="K203" i="12"/>
  <c r="L203" i="12"/>
  <c r="L161" i="12" s="1"/>
  <c r="M203" i="12"/>
  <c r="A204" i="12"/>
  <c r="D204" i="12"/>
  <c r="E204" i="12" s="1"/>
  <c r="E162" i="12" s="1"/>
  <c r="F204" i="12"/>
  <c r="F162" i="12" s="1"/>
  <c r="G204" i="12"/>
  <c r="G162" i="12" s="1"/>
  <c r="H204" i="12"/>
  <c r="H162" i="12" s="1"/>
  <c r="I204" i="12"/>
  <c r="I162" i="12" s="1"/>
  <c r="J204" i="12"/>
  <c r="J162" i="12" s="1"/>
  <c r="K204" i="12"/>
  <c r="K162" i="12" s="1"/>
  <c r="L204" i="12"/>
  <c r="L162" i="12" s="1"/>
  <c r="M204" i="12"/>
  <c r="M162" i="12" s="1"/>
  <c r="A205" i="12"/>
  <c r="B205" i="12"/>
  <c r="D205" i="12"/>
  <c r="D163" i="12" s="1"/>
  <c r="F205" i="12"/>
  <c r="F163" i="12" s="1"/>
  <c r="G205" i="12"/>
  <c r="H205" i="12"/>
  <c r="H163" i="12" s="1"/>
  <c r="I205" i="12"/>
  <c r="J205" i="12"/>
  <c r="J163" i="12" s="1"/>
  <c r="K205" i="12"/>
  <c r="L205" i="12"/>
  <c r="L163" i="12" s="1"/>
  <c r="M205" i="12"/>
  <c r="A206" i="12"/>
  <c r="D206" i="12"/>
  <c r="E206" i="12" s="1"/>
  <c r="E164" i="12" s="1"/>
  <c r="F206" i="12"/>
  <c r="F164" i="12" s="1"/>
  <c r="G206" i="12"/>
  <c r="G164" i="12" s="1"/>
  <c r="H206" i="12"/>
  <c r="H164" i="12" s="1"/>
  <c r="I206" i="12"/>
  <c r="I164" i="12" s="1"/>
  <c r="J206" i="12"/>
  <c r="J164" i="12" s="1"/>
  <c r="K206" i="12"/>
  <c r="K164" i="12" s="1"/>
  <c r="L206" i="12"/>
  <c r="L164" i="12" s="1"/>
  <c r="M206" i="12"/>
  <c r="M164" i="12" s="1"/>
  <c r="A207" i="12"/>
  <c r="B207" i="12"/>
  <c r="D207" i="12"/>
  <c r="D165" i="12" s="1"/>
  <c r="F207" i="12"/>
  <c r="F165" i="12" s="1"/>
  <c r="G207" i="12"/>
  <c r="H207" i="12"/>
  <c r="H165" i="12" s="1"/>
  <c r="I207" i="12"/>
  <c r="J207" i="12"/>
  <c r="J165" i="12" s="1"/>
  <c r="K207" i="12"/>
  <c r="L207" i="12"/>
  <c r="L165" i="12" s="1"/>
  <c r="M207" i="12"/>
  <c r="A208" i="12"/>
  <c r="D208" i="12"/>
  <c r="E208" i="12" s="1"/>
  <c r="E166" i="12" s="1"/>
  <c r="F208" i="12"/>
  <c r="F166" i="12" s="1"/>
  <c r="G208" i="12"/>
  <c r="G166" i="12" s="1"/>
  <c r="H208" i="12"/>
  <c r="H166" i="12" s="1"/>
  <c r="I208" i="12"/>
  <c r="I166" i="12" s="1"/>
  <c r="J208" i="12"/>
  <c r="J166" i="12" s="1"/>
  <c r="K208" i="12"/>
  <c r="K166" i="12" s="1"/>
  <c r="L208" i="12"/>
  <c r="L166" i="12" s="1"/>
  <c r="M208" i="12"/>
  <c r="M166" i="12" s="1"/>
  <c r="A209" i="12"/>
  <c r="A251" i="12" s="1"/>
  <c r="A293" i="12" s="1"/>
  <c r="A335" i="12" s="1"/>
  <c r="B209" i="12"/>
  <c r="D209" i="12"/>
  <c r="D167" i="12" s="1"/>
  <c r="F209" i="12"/>
  <c r="F167" i="12" s="1"/>
  <c r="G209" i="12"/>
  <c r="H209" i="12"/>
  <c r="H167" i="12" s="1"/>
  <c r="I209" i="12"/>
  <c r="J209" i="12"/>
  <c r="J167" i="12" s="1"/>
  <c r="K209" i="12"/>
  <c r="L209" i="12"/>
  <c r="L167" i="12" s="1"/>
  <c r="M209" i="12"/>
  <c r="A210" i="12"/>
  <c r="D210" i="12"/>
  <c r="E210" i="12" s="1"/>
  <c r="E168" i="12" s="1"/>
  <c r="F210" i="12"/>
  <c r="F168" i="12" s="1"/>
  <c r="G210" i="12"/>
  <c r="G168" i="12" s="1"/>
  <c r="H210" i="12"/>
  <c r="H168" i="12" s="1"/>
  <c r="I210" i="12"/>
  <c r="I168" i="12" s="1"/>
  <c r="J210" i="12"/>
  <c r="J168" i="12" s="1"/>
  <c r="K210" i="12"/>
  <c r="K168" i="12" s="1"/>
  <c r="L210" i="12"/>
  <c r="L168" i="12" s="1"/>
  <c r="M210" i="12"/>
  <c r="M168" i="12" s="1"/>
  <c r="A211" i="12"/>
  <c r="B211" i="12"/>
  <c r="D211" i="12"/>
  <c r="D169" i="12" s="1"/>
  <c r="F211" i="12"/>
  <c r="F169" i="12" s="1"/>
  <c r="G211" i="12"/>
  <c r="H211" i="12"/>
  <c r="H169" i="12" s="1"/>
  <c r="I211" i="12"/>
  <c r="J211" i="12"/>
  <c r="J169" i="12" s="1"/>
  <c r="K211" i="12"/>
  <c r="L211" i="12"/>
  <c r="L169" i="12" s="1"/>
  <c r="M211" i="12"/>
  <c r="A212" i="12"/>
  <c r="A254" i="12" s="1"/>
  <c r="A296" i="12" s="1"/>
  <c r="A338" i="12" s="1"/>
  <c r="D212" i="12"/>
  <c r="E212" i="12" s="1"/>
  <c r="E170" i="12" s="1"/>
  <c r="F212" i="12"/>
  <c r="F170" i="12" s="1"/>
  <c r="G212" i="12"/>
  <c r="G170" i="12" s="1"/>
  <c r="H212" i="12"/>
  <c r="H170" i="12" s="1"/>
  <c r="I212" i="12"/>
  <c r="I170" i="12" s="1"/>
  <c r="J212" i="12"/>
  <c r="J170" i="12" s="1"/>
  <c r="K212" i="12"/>
  <c r="K170" i="12" s="1"/>
  <c r="L212" i="12"/>
  <c r="L170" i="12" s="1"/>
  <c r="M212" i="12"/>
  <c r="M170" i="12" s="1"/>
  <c r="A213" i="12"/>
  <c r="A255" i="12" s="1"/>
  <c r="A297" i="12" s="1"/>
  <c r="A339" i="12" s="1"/>
  <c r="B213" i="12"/>
  <c r="D213" i="12"/>
  <c r="D171" i="12" s="1"/>
  <c r="F213" i="12"/>
  <c r="F171" i="12" s="1"/>
  <c r="G213" i="12"/>
  <c r="H213" i="12"/>
  <c r="H171" i="12" s="1"/>
  <c r="I213" i="12"/>
  <c r="J213" i="12"/>
  <c r="J171" i="12" s="1"/>
  <c r="K213" i="12"/>
  <c r="L213" i="12"/>
  <c r="L171" i="12" s="1"/>
  <c r="M213" i="12"/>
  <c r="A214" i="12"/>
  <c r="A256" i="12" s="1"/>
  <c r="A298" i="12" s="1"/>
  <c r="A340" i="12" s="1"/>
  <c r="D214" i="12"/>
  <c r="E214" i="12" s="1"/>
  <c r="E172" i="12" s="1"/>
  <c r="F214" i="12"/>
  <c r="F172" i="12" s="1"/>
  <c r="G214" i="12"/>
  <c r="G172" i="12" s="1"/>
  <c r="H214" i="12"/>
  <c r="H172" i="12" s="1"/>
  <c r="I214" i="12"/>
  <c r="I172" i="12" s="1"/>
  <c r="J214" i="12"/>
  <c r="J172" i="12" s="1"/>
  <c r="K214" i="12"/>
  <c r="K172" i="12" s="1"/>
  <c r="L214" i="12"/>
  <c r="L172" i="12" s="1"/>
  <c r="M214" i="12"/>
  <c r="M172" i="12" s="1"/>
  <c r="A215" i="12"/>
  <c r="B215" i="12"/>
  <c r="D215" i="12"/>
  <c r="D173" i="12" s="1"/>
  <c r="F215" i="12"/>
  <c r="F173" i="12" s="1"/>
  <c r="G215" i="12"/>
  <c r="H215" i="12"/>
  <c r="H173" i="12" s="1"/>
  <c r="I215" i="12"/>
  <c r="J215" i="12"/>
  <c r="J173" i="12" s="1"/>
  <c r="K215" i="12"/>
  <c r="L215" i="12"/>
  <c r="L173" i="12" s="1"/>
  <c r="M215" i="12"/>
  <c r="A216" i="12"/>
  <c r="D216" i="12"/>
  <c r="E216" i="12" s="1"/>
  <c r="E174" i="12" s="1"/>
  <c r="F216" i="12"/>
  <c r="F174" i="12" s="1"/>
  <c r="G216" i="12"/>
  <c r="G174" i="12" s="1"/>
  <c r="H216" i="12"/>
  <c r="H174" i="12" s="1"/>
  <c r="I216" i="12"/>
  <c r="I174" i="12" s="1"/>
  <c r="J216" i="12"/>
  <c r="J174" i="12" s="1"/>
  <c r="K216" i="12"/>
  <c r="K174" i="12" s="1"/>
  <c r="L216" i="12"/>
  <c r="L174" i="12" s="1"/>
  <c r="M216" i="12"/>
  <c r="M174" i="12" s="1"/>
  <c r="A217" i="12"/>
  <c r="B217" i="12"/>
  <c r="D217" i="12"/>
  <c r="D175" i="12" s="1"/>
  <c r="F217" i="12"/>
  <c r="F175" i="12" s="1"/>
  <c r="G217" i="12"/>
  <c r="H217" i="12"/>
  <c r="H175" i="12" s="1"/>
  <c r="I217" i="12"/>
  <c r="J217" i="12"/>
  <c r="J175" i="12" s="1"/>
  <c r="K217" i="12"/>
  <c r="L217" i="12"/>
  <c r="L175" i="12" s="1"/>
  <c r="M217" i="12"/>
  <c r="A218" i="12"/>
  <c r="D218" i="12"/>
  <c r="E218" i="12" s="1"/>
  <c r="E176" i="12" s="1"/>
  <c r="F218" i="12"/>
  <c r="F176" i="12" s="1"/>
  <c r="G218" i="12"/>
  <c r="G176" i="12" s="1"/>
  <c r="H218" i="12"/>
  <c r="H176" i="12" s="1"/>
  <c r="I218" i="12"/>
  <c r="I176" i="12" s="1"/>
  <c r="J218" i="12"/>
  <c r="J176" i="12" s="1"/>
  <c r="K218" i="12"/>
  <c r="K176" i="12" s="1"/>
  <c r="L218" i="12"/>
  <c r="L176" i="12" s="1"/>
  <c r="M218" i="12"/>
  <c r="M176" i="12" s="1"/>
  <c r="A219" i="12"/>
  <c r="B219" i="12"/>
  <c r="D219" i="12"/>
  <c r="D177" i="12" s="1"/>
  <c r="F219" i="12"/>
  <c r="F177" i="12" s="1"/>
  <c r="G219" i="12"/>
  <c r="H219" i="12"/>
  <c r="H177" i="12" s="1"/>
  <c r="I219" i="12"/>
  <c r="J219" i="12"/>
  <c r="J177" i="12" s="1"/>
  <c r="K219" i="12"/>
  <c r="L219" i="12"/>
  <c r="L177" i="12" s="1"/>
  <c r="M219" i="12"/>
  <c r="A220" i="12"/>
  <c r="D220" i="12"/>
  <c r="E220" i="12" s="1"/>
  <c r="E178" i="12" s="1"/>
  <c r="F220" i="12"/>
  <c r="F178" i="12" s="1"/>
  <c r="G220" i="12"/>
  <c r="G178" i="12" s="1"/>
  <c r="H220" i="12"/>
  <c r="H178" i="12" s="1"/>
  <c r="I220" i="12"/>
  <c r="I178" i="12" s="1"/>
  <c r="J220" i="12"/>
  <c r="J178" i="12" s="1"/>
  <c r="K220" i="12"/>
  <c r="K178" i="12" s="1"/>
  <c r="L220" i="12"/>
  <c r="L178" i="12" s="1"/>
  <c r="M220" i="12"/>
  <c r="M178" i="12" s="1"/>
  <c r="A221" i="12"/>
  <c r="B221" i="12"/>
  <c r="D221" i="12"/>
  <c r="D179" i="12" s="1"/>
  <c r="F221" i="12"/>
  <c r="F179" i="12" s="1"/>
  <c r="G221" i="12"/>
  <c r="H221" i="12"/>
  <c r="H179" i="12" s="1"/>
  <c r="I221" i="12"/>
  <c r="J221" i="12"/>
  <c r="J179" i="12" s="1"/>
  <c r="K221" i="12"/>
  <c r="L221" i="12"/>
  <c r="L179" i="12" s="1"/>
  <c r="M221" i="12"/>
  <c r="A222" i="12"/>
  <c r="D222" i="12"/>
  <c r="E222" i="12" s="1"/>
  <c r="E180" i="12" s="1"/>
  <c r="F222" i="12"/>
  <c r="F180" i="12" s="1"/>
  <c r="G222" i="12"/>
  <c r="G180" i="12" s="1"/>
  <c r="H222" i="12"/>
  <c r="H180" i="12" s="1"/>
  <c r="I222" i="12"/>
  <c r="I180" i="12" s="1"/>
  <c r="J222" i="12"/>
  <c r="J180" i="12" s="1"/>
  <c r="K222" i="12"/>
  <c r="K180" i="12" s="1"/>
  <c r="L222" i="12"/>
  <c r="L180" i="12" s="1"/>
  <c r="M222" i="12"/>
  <c r="M180" i="12" s="1"/>
  <c r="A223" i="12"/>
  <c r="B223" i="12"/>
  <c r="D223" i="12"/>
  <c r="D181" i="12" s="1"/>
  <c r="F223" i="12"/>
  <c r="F181" i="12" s="1"/>
  <c r="G223" i="12"/>
  <c r="H223" i="12"/>
  <c r="H181" i="12" s="1"/>
  <c r="I223" i="12"/>
  <c r="J223" i="12"/>
  <c r="J181" i="12" s="1"/>
  <c r="K223" i="12"/>
  <c r="L223" i="12"/>
  <c r="L181" i="12" s="1"/>
  <c r="M223" i="12"/>
  <c r="A224" i="12"/>
  <c r="D224" i="12"/>
  <c r="E224" i="12" s="1"/>
  <c r="E182" i="12" s="1"/>
  <c r="F224" i="12"/>
  <c r="F182" i="12" s="1"/>
  <c r="G224" i="12"/>
  <c r="G182" i="12" s="1"/>
  <c r="H224" i="12"/>
  <c r="H182" i="12" s="1"/>
  <c r="I224" i="12"/>
  <c r="I182" i="12" s="1"/>
  <c r="J224" i="12"/>
  <c r="J182" i="12" s="1"/>
  <c r="K224" i="12"/>
  <c r="K182" i="12" s="1"/>
  <c r="L224" i="12"/>
  <c r="L182" i="12" s="1"/>
  <c r="M224" i="12"/>
  <c r="M182" i="12" s="1"/>
  <c r="A225" i="12"/>
  <c r="B225" i="12"/>
  <c r="D225" i="12"/>
  <c r="D183" i="12" s="1"/>
  <c r="F225" i="12"/>
  <c r="F183" i="12" s="1"/>
  <c r="G225" i="12"/>
  <c r="H225" i="12"/>
  <c r="H183" i="12" s="1"/>
  <c r="I225" i="12"/>
  <c r="J225" i="12"/>
  <c r="J183" i="12" s="1"/>
  <c r="K225" i="12"/>
  <c r="L225" i="12"/>
  <c r="L183" i="12" s="1"/>
  <c r="M225" i="12"/>
  <c r="A226" i="12"/>
  <c r="A268" i="12" s="1"/>
  <c r="A310" i="12" s="1"/>
  <c r="A352" i="12" s="1"/>
  <c r="D226" i="12"/>
  <c r="E226" i="12" s="1"/>
  <c r="E184" i="12" s="1"/>
  <c r="F226" i="12"/>
  <c r="F184" i="12" s="1"/>
  <c r="G226" i="12"/>
  <c r="G184" i="12" s="1"/>
  <c r="H226" i="12"/>
  <c r="H184" i="12" s="1"/>
  <c r="I226" i="12"/>
  <c r="I184" i="12" s="1"/>
  <c r="J226" i="12"/>
  <c r="J184" i="12" s="1"/>
  <c r="K226" i="12"/>
  <c r="K184" i="12" s="1"/>
  <c r="L226" i="12"/>
  <c r="L184" i="12" s="1"/>
  <c r="M226" i="12"/>
  <c r="M184" i="12" s="1"/>
  <c r="A227" i="12"/>
  <c r="A269" i="12" s="1"/>
  <c r="A311" i="12" s="1"/>
  <c r="A353" i="12" s="1"/>
  <c r="B227" i="12"/>
  <c r="D227" i="12"/>
  <c r="D185" i="12" s="1"/>
  <c r="F227" i="12"/>
  <c r="F185" i="12" s="1"/>
  <c r="G227" i="12"/>
  <c r="H227" i="12"/>
  <c r="H185" i="12" s="1"/>
  <c r="I227" i="12"/>
  <c r="J227" i="12"/>
  <c r="J185" i="12" s="1"/>
  <c r="K227" i="12"/>
  <c r="L227" i="12"/>
  <c r="L185" i="12" s="1"/>
  <c r="M227" i="12"/>
  <c r="A228" i="12"/>
  <c r="A270" i="12" s="1"/>
  <c r="A312" i="12" s="1"/>
  <c r="A354" i="12" s="1"/>
  <c r="D228" i="12"/>
  <c r="E228" i="12" s="1"/>
  <c r="E186" i="12" s="1"/>
  <c r="F228" i="12"/>
  <c r="F186" i="12" s="1"/>
  <c r="G228" i="12"/>
  <c r="G186" i="12" s="1"/>
  <c r="H228" i="12"/>
  <c r="H186" i="12" s="1"/>
  <c r="I228" i="12"/>
  <c r="I186" i="12" s="1"/>
  <c r="J228" i="12"/>
  <c r="J186" i="12" s="1"/>
  <c r="K228" i="12"/>
  <c r="K186" i="12" s="1"/>
  <c r="L228" i="12"/>
  <c r="L186" i="12" s="1"/>
  <c r="M228" i="12"/>
  <c r="M186" i="12" s="1"/>
  <c r="A229" i="12"/>
  <c r="A271" i="12" s="1"/>
  <c r="A313" i="12" s="1"/>
  <c r="A355" i="12" s="1"/>
  <c r="B229" i="12"/>
  <c r="D229" i="12"/>
  <c r="D187" i="12" s="1"/>
  <c r="F229" i="12"/>
  <c r="F187" i="12" s="1"/>
  <c r="G229" i="12"/>
  <c r="H229" i="12"/>
  <c r="H187" i="12" s="1"/>
  <c r="I229" i="12"/>
  <c r="J229" i="12"/>
  <c r="J187" i="12" s="1"/>
  <c r="K229" i="12"/>
  <c r="L229" i="12"/>
  <c r="L187" i="12" s="1"/>
  <c r="M229" i="12"/>
  <c r="A230" i="12"/>
  <c r="A272" i="12" s="1"/>
  <c r="A314" i="12" s="1"/>
  <c r="A356" i="12" s="1"/>
  <c r="D230" i="12"/>
  <c r="E230" i="12" s="1"/>
  <c r="E188" i="12" s="1"/>
  <c r="F230" i="12"/>
  <c r="F188" i="12" s="1"/>
  <c r="G230" i="12"/>
  <c r="G188" i="12" s="1"/>
  <c r="H230" i="12"/>
  <c r="H188" i="12" s="1"/>
  <c r="I230" i="12"/>
  <c r="I188" i="12" s="1"/>
  <c r="J230" i="12"/>
  <c r="J188" i="12" s="1"/>
  <c r="K230" i="12"/>
  <c r="K188" i="12" s="1"/>
  <c r="L230" i="12"/>
  <c r="L188" i="12" s="1"/>
  <c r="M230" i="12"/>
  <c r="M188" i="12" s="1"/>
  <c r="A231" i="12"/>
  <c r="A273" i="12" s="1"/>
  <c r="A315" i="12" s="1"/>
  <c r="A357" i="12" s="1"/>
  <c r="B231" i="12"/>
  <c r="D231" i="12"/>
  <c r="D189" i="12" s="1"/>
  <c r="F231" i="12"/>
  <c r="F189" i="12" s="1"/>
  <c r="G231" i="12"/>
  <c r="H231" i="12"/>
  <c r="H189" i="12" s="1"/>
  <c r="I231" i="12"/>
  <c r="J231" i="12"/>
  <c r="J189" i="12" s="1"/>
  <c r="K231" i="12"/>
  <c r="L231" i="12"/>
  <c r="L189" i="12" s="1"/>
  <c r="M231" i="12"/>
  <c r="A232" i="12"/>
  <c r="A274" i="12" s="1"/>
  <c r="A316" i="12" s="1"/>
  <c r="A358" i="12" s="1"/>
  <c r="D232" i="12"/>
  <c r="E232" i="12" s="1"/>
  <c r="E190" i="12" s="1"/>
  <c r="F232" i="12"/>
  <c r="F190" i="12" s="1"/>
  <c r="G232" i="12"/>
  <c r="G190" i="12" s="1"/>
  <c r="H232" i="12"/>
  <c r="H190" i="12" s="1"/>
  <c r="I232" i="12"/>
  <c r="I190" i="12" s="1"/>
  <c r="J232" i="12"/>
  <c r="J190" i="12" s="1"/>
  <c r="K232" i="12"/>
  <c r="K190" i="12" s="1"/>
  <c r="L232" i="12"/>
  <c r="L190" i="12" s="1"/>
  <c r="M232" i="12"/>
  <c r="M190" i="12" s="1"/>
  <c r="A233" i="12"/>
  <c r="A275" i="12" s="1"/>
  <c r="A317" i="12" s="1"/>
  <c r="A359" i="12" s="1"/>
  <c r="B233" i="12"/>
  <c r="D233" i="12"/>
  <c r="D191" i="12" s="1"/>
  <c r="F233" i="12"/>
  <c r="F191" i="12" s="1"/>
  <c r="G233" i="12"/>
  <c r="H233" i="12"/>
  <c r="H191" i="12" s="1"/>
  <c r="I233" i="12"/>
  <c r="J233" i="12"/>
  <c r="J191" i="12" s="1"/>
  <c r="K233" i="12"/>
  <c r="L233" i="12"/>
  <c r="L191" i="12" s="1"/>
  <c r="M233" i="12"/>
  <c r="A234" i="12"/>
  <c r="A276" i="12" s="1"/>
  <c r="A318" i="12" s="1"/>
  <c r="A360" i="12" s="1"/>
  <c r="D234" i="12"/>
  <c r="E234" i="12" s="1"/>
  <c r="E192" i="12" s="1"/>
  <c r="F234" i="12"/>
  <c r="F192" i="12" s="1"/>
  <c r="G234" i="12"/>
  <c r="G192" i="12" s="1"/>
  <c r="H234" i="12"/>
  <c r="H192" i="12" s="1"/>
  <c r="I234" i="12"/>
  <c r="I192" i="12" s="1"/>
  <c r="J234" i="12"/>
  <c r="J192" i="12" s="1"/>
  <c r="K234" i="12"/>
  <c r="K192" i="12" s="1"/>
  <c r="L234" i="12"/>
  <c r="L192" i="12" s="1"/>
  <c r="M234" i="12"/>
  <c r="M192" i="12" s="1"/>
  <c r="A235" i="12"/>
  <c r="A277" i="12" s="1"/>
  <c r="A319" i="12" s="1"/>
  <c r="A361" i="12" s="1"/>
  <c r="B235" i="12"/>
  <c r="D235" i="12"/>
  <c r="D193" i="12" s="1"/>
  <c r="F235" i="12"/>
  <c r="F193" i="12" s="1"/>
  <c r="G235" i="12"/>
  <c r="H235" i="12"/>
  <c r="H193" i="12" s="1"/>
  <c r="I235" i="12"/>
  <c r="J235" i="12"/>
  <c r="J193" i="12" s="1"/>
  <c r="K235" i="12"/>
  <c r="L235" i="12"/>
  <c r="L193" i="12" s="1"/>
  <c r="M235" i="12"/>
  <c r="D236" i="12"/>
  <c r="F236" i="12"/>
  <c r="G236" i="12"/>
  <c r="H236" i="12"/>
  <c r="I236" i="12"/>
  <c r="J236" i="12"/>
  <c r="K236" i="12"/>
  <c r="L236" i="12"/>
  <c r="M236" i="12"/>
  <c r="A240" i="12"/>
  <c r="A241" i="12"/>
  <c r="B241" i="12"/>
  <c r="A242" i="12"/>
  <c r="A243" i="12"/>
  <c r="B243" i="12"/>
  <c r="A244" i="12"/>
  <c r="A245" i="12"/>
  <c r="B245" i="12"/>
  <c r="A246" i="12"/>
  <c r="A247" i="12"/>
  <c r="B247" i="12"/>
  <c r="A248" i="12"/>
  <c r="A249" i="12"/>
  <c r="B249" i="12"/>
  <c r="A250" i="12"/>
  <c r="B251" i="12"/>
  <c r="A252" i="12"/>
  <c r="A253" i="12"/>
  <c r="B253" i="12"/>
  <c r="E253" i="12"/>
  <c r="B255" i="12"/>
  <c r="B297" i="12" s="1"/>
  <c r="B339" i="12" s="1"/>
  <c r="E256" i="12"/>
  <c r="A257" i="12"/>
  <c r="B257" i="12"/>
  <c r="A258" i="12"/>
  <c r="A259" i="12"/>
  <c r="B259" i="12"/>
  <c r="A260" i="12"/>
  <c r="A261" i="12"/>
  <c r="B261" i="12"/>
  <c r="A262" i="12"/>
  <c r="A263" i="12"/>
  <c r="B263" i="12"/>
  <c r="A264" i="12"/>
  <c r="A265" i="12"/>
  <c r="B265" i="12"/>
  <c r="A266" i="12"/>
  <c r="A267" i="12"/>
  <c r="B267" i="12"/>
  <c r="E267" i="12"/>
  <c r="B269" i="12"/>
  <c r="B311" i="12" s="1"/>
  <c r="B353" i="12" s="1"/>
  <c r="B271" i="12"/>
  <c r="B313" i="12" s="1"/>
  <c r="B355" i="12" s="1"/>
  <c r="B273" i="12"/>
  <c r="B315" i="12" s="1"/>
  <c r="B357" i="12" s="1"/>
  <c r="B275" i="12"/>
  <c r="B317" i="12" s="1"/>
  <c r="B359" i="12" s="1"/>
  <c r="B277" i="12"/>
  <c r="B319" i="12" s="1"/>
  <c r="B361" i="12" s="1"/>
  <c r="D278" i="12"/>
  <c r="F278" i="12"/>
  <c r="G278" i="12"/>
  <c r="H278" i="12"/>
  <c r="I278" i="12"/>
  <c r="J278" i="12"/>
  <c r="K278" i="12"/>
  <c r="L278" i="12"/>
  <c r="M278" i="12"/>
  <c r="A282" i="12"/>
  <c r="A324" i="12" s="1"/>
  <c r="A283" i="12"/>
  <c r="A325" i="12" s="1"/>
  <c r="B283" i="12"/>
  <c r="A284" i="12"/>
  <c r="A326" i="12" s="1"/>
  <c r="A285" i="12"/>
  <c r="A327" i="12" s="1"/>
  <c r="B285" i="12"/>
  <c r="A286" i="12"/>
  <c r="A328" i="12" s="1"/>
  <c r="A287" i="12"/>
  <c r="A329" i="12" s="1"/>
  <c r="B287" i="12"/>
  <c r="A288" i="12"/>
  <c r="A330" i="12" s="1"/>
  <c r="A289" i="12"/>
  <c r="A331" i="12" s="1"/>
  <c r="B289" i="12"/>
  <c r="A290" i="12"/>
  <c r="A332" i="12" s="1"/>
  <c r="A291" i="12"/>
  <c r="A333" i="12" s="1"/>
  <c r="B291" i="12"/>
  <c r="A292" i="12"/>
  <c r="A334" i="12" s="1"/>
  <c r="B293" i="12"/>
  <c r="A294" i="12"/>
  <c r="A336" i="12" s="1"/>
  <c r="A295" i="12"/>
  <c r="A337" i="12" s="1"/>
  <c r="B295" i="12"/>
  <c r="A299" i="12"/>
  <c r="A341" i="12" s="1"/>
  <c r="B299" i="12"/>
  <c r="A300" i="12"/>
  <c r="A342" i="12" s="1"/>
  <c r="A301" i="12"/>
  <c r="A343" i="12" s="1"/>
  <c r="B301" i="12"/>
  <c r="A302" i="12"/>
  <c r="A344" i="12" s="1"/>
  <c r="A303" i="12"/>
  <c r="A345" i="12" s="1"/>
  <c r="B303" i="12"/>
  <c r="A304" i="12"/>
  <c r="A346" i="12" s="1"/>
  <c r="A305" i="12"/>
  <c r="A347" i="12" s="1"/>
  <c r="B305" i="12"/>
  <c r="A306" i="12"/>
  <c r="A348" i="12" s="1"/>
  <c r="A307" i="12"/>
  <c r="A349" i="12" s="1"/>
  <c r="B307" i="12"/>
  <c r="A308" i="12"/>
  <c r="A350" i="12" s="1"/>
  <c r="A309" i="12"/>
  <c r="B309" i="12"/>
  <c r="D320" i="12"/>
  <c r="F320" i="12"/>
  <c r="G320" i="12"/>
  <c r="H320" i="12"/>
  <c r="I320" i="12"/>
  <c r="J320" i="12"/>
  <c r="K320" i="12"/>
  <c r="L320" i="12"/>
  <c r="M320" i="12"/>
  <c r="B325" i="12"/>
  <c r="B327" i="12"/>
  <c r="B329" i="12"/>
  <c r="B331" i="12"/>
  <c r="B333" i="12"/>
  <c r="B335" i="12"/>
  <c r="B337" i="12"/>
  <c r="B341" i="12"/>
  <c r="B343" i="12"/>
  <c r="B345" i="12"/>
  <c r="B347" i="12"/>
  <c r="B349" i="12"/>
  <c r="F350" i="12"/>
  <c r="A351" i="12"/>
  <c r="B351" i="12"/>
  <c r="D362" i="12"/>
  <c r="F362" i="12"/>
  <c r="G362" i="12"/>
  <c r="H362" i="12"/>
  <c r="I362" i="12"/>
  <c r="J362" i="12"/>
  <c r="K362" i="12"/>
  <c r="L362" i="12"/>
  <c r="M362" i="12"/>
  <c r="O43" i="11"/>
  <c r="S43" i="11"/>
  <c r="A48" i="11"/>
  <c r="B48" i="11"/>
  <c r="A49" i="11"/>
  <c r="B49" i="11"/>
  <c r="A50" i="11"/>
  <c r="B50" i="11"/>
  <c r="A51" i="11"/>
  <c r="B51" i="11"/>
  <c r="A52" i="11"/>
  <c r="B52" i="11"/>
  <c r="A53" i="11"/>
  <c r="B53" i="11"/>
  <c r="A54" i="11"/>
  <c r="B54" i="11"/>
  <c r="A55" i="11"/>
  <c r="B55" i="11"/>
  <c r="A56" i="11"/>
  <c r="B56" i="11"/>
  <c r="A57" i="11"/>
  <c r="B57" i="11"/>
  <c r="A58" i="11"/>
  <c r="B58" i="11"/>
  <c r="A59" i="11"/>
  <c r="B59" i="11"/>
  <c r="A60" i="11"/>
  <c r="B60" i="11"/>
  <c r="A61" i="11"/>
  <c r="B61" i="11"/>
  <c r="A62" i="11"/>
  <c r="B62" i="11"/>
  <c r="A63" i="11"/>
  <c r="B63" i="11"/>
  <c r="A64" i="11"/>
  <c r="B64" i="11"/>
  <c r="A65" i="11"/>
  <c r="B65" i="11"/>
  <c r="A66" i="11"/>
  <c r="B66" i="11"/>
  <c r="A67" i="11"/>
  <c r="B67" i="11"/>
  <c r="A68" i="11"/>
  <c r="B68" i="11"/>
  <c r="A69" i="11"/>
  <c r="B69" i="11"/>
  <c r="A70" i="11"/>
  <c r="B70" i="11"/>
  <c r="A71" i="11"/>
  <c r="B71" i="11"/>
  <c r="A72" i="11"/>
  <c r="B72" i="11"/>
  <c r="A73" i="11"/>
  <c r="B73" i="11"/>
  <c r="A74" i="11"/>
  <c r="B74" i="11"/>
  <c r="A75" i="11"/>
  <c r="B75" i="11"/>
  <c r="A76" i="11"/>
  <c r="B76" i="11"/>
  <c r="A77" i="11"/>
  <c r="B77" i="11"/>
  <c r="A78" i="11"/>
  <c r="B78" i="11"/>
  <c r="A79" i="11"/>
  <c r="B79" i="11"/>
  <c r="A80" i="11"/>
  <c r="B80" i="11"/>
  <c r="A81" i="11"/>
  <c r="B81" i="11"/>
  <c r="A82" i="11"/>
  <c r="B82" i="11"/>
  <c r="A83" i="11"/>
  <c r="B83" i="11"/>
  <c r="A84" i="11"/>
  <c r="B84" i="11"/>
  <c r="A85" i="11"/>
  <c r="B85" i="11"/>
  <c r="A90" i="11"/>
  <c r="A131" i="11" s="1"/>
  <c r="B90" i="11"/>
  <c r="A91" i="11"/>
  <c r="B91" i="11"/>
  <c r="B132" i="11" s="1"/>
  <c r="A92" i="11"/>
  <c r="B92" i="11"/>
  <c r="A93" i="11"/>
  <c r="B93" i="11"/>
  <c r="B134" i="11" s="1"/>
  <c r="A94" i="11"/>
  <c r="A135" i="11" s="1"/>
  <c r="B94" i="11"/>
  <c r="A95" i="11"/>
  <c r="B95" i="11"/>
  <c r="B136" i="11" s="1"/>
  <c r="A96" i="11"/>
  <c r="B96" i="11"/>
  <c r="A97" i="11"/>
  <c r="B97" i="11"/>
  <c r="B138" i="11" s="1"/>
  <c r="A98" i="11"/>
  <c r="A139" i="11" s="1"/>
  <c r="B98" i="11"/>
  <c r="A99" i="11"/>
  <c r="B99" i="11"/>
  <c r="B140" i="11" s="1"/>
  <c r="A100" i="11"/>
  <c r="B100" i="11"/>
  <c r="A101" i="11"/>
  <c r="B101" i="11"/>
  <c r="B142" i="11" s="1"/>
  <c r="A102" i="11"/>
  <c r="A143" i="11" s="1"/>
  <c r="B102" i="11"/>
  <c r="A103" i="11"/>
  <c r="B103" i="11"/>
  <c r="B144" i="11" s="1"/>
  <c r="A104" i="11"/>
  <c r="B104" i="11"/>
  <c r="A105" i="11"/>
  <c r="B105" i="11"/>
  <c r="B146" i="11" s="1"/>
  <c r="A106" i="11"/>
  <c r="A147" i="11" s="1"/>
  <c r="B106" i="11"/>
  <c r="A107" i="11"/>
  <c r="B107" i="11"/>
  <c r="B148" i="11" s="1"/>
  <c r="A108" i="11"/>
  <c r="B108" i="11"/>
  <c r="A109" i="11"/>
  <c r="B109" i="11"/>
  <c r="B150" i="11" s="1"/>
  <c r="A110" i="11"/>
  <c r="A151" i="11" s="1"/>
  <c r="B110" i="11"/>
  <c r="A111" i="11"/>
  <c r="B111" i="11"/>
  <c r="B152" i="11" s="1"/>
  <c r="A112" i="11"/>
  <c r="B112" i="11"/>
  <c r="A113" i="11"/>
  <c r="B113" i="11"/>
  <c r="B154" i="11" s="1"/>
  <c r="A114" i="11"/>
  <c r="A155" i="11" s="1"/>
  <c r="B114" i="11"/>
  <c r="A115" i="11"/>
  <c r="B115" i="11"/>
  <c r="B156" i="11" s="1"/>
  <c r="A116" i="11"/>
  <c r="B116" i="11"/>
  <c r="A117" i="11"/>
  <c r="B117" i="11"/>
  <c r="B158" i="11" s="1"/>
  <c r="A118" i="11"/>
  <c r="A159" i="11" s="1"/>
  <c r="B118" i="11"/>
  <c r="A119" i="11"/>
  <c r="B119" i="11"/>
  <c r="B160" i="11" s="1"/>
  <c r="A120" i="11"/>
  <c r="B120" i="11"/>
  <c r="A121" i="11"/>
  <c r="B121" i="11"/>
  <c r="B162" i="11" s="1"/>
  <c r="A122" i="11"/>
  <c r="A163" i="11" s="1"/>
  <c r="B122" i="11"/>
  <c r="A123" i="11"/>
  <c r="B123" i="11"/>
  <c r="B164" i="11" s="1"/>
  <c r="A124" i="11"/>
  <c r="B124" i="11"/>
  <c r="A125" i="11"/>
  <c r="B125" i="11"/>
  <c r="B166" i="11" s="1"/>
  <c r="A126" i="11"/>
  <c r="A167" i="11" s="1"/>
  <c r="B126" i="11"/>
  <c r="A127" i="11"/>
  <c r="B127" i="11"/>
  <c r="B168" i="11" s="1"/>
  <c r="B131" i="11"/>
  <c r="A132" i="11"/>
  <c r="A133" i="11"/>
  <c r="B133" i="11"/>
  <c r="A134" i="11"/>
  <c r="B135" i="11"/>
  <c r="A136" i="11"/>
  <c r="A137" i="11"/>
  <c r="B137" i="11"/>
  <c r="A138" i="11"/>
  <c r="B139" i="11"/>
  <c r="A140" i="11"/>
  <c r="A141" i="11"/>
  <c r="B141" i="11"/>
  <c r="A142" i="11"/>
  <c r="B143" i="11"/>
  <c r="A144" i="11"/>
  <c r="A145" i="11"/>
  <c r="B145" i="11"/>
  <c r="A146" i="11"/>
  <c r="B147" i="11"/>
  <c r="A148" i="11"/>
  <c r="A149" i="11"/>
  <c r="B149" i="11"/>
  <c r="A150" i="11"/>
  <c r="B151" i="11"/>
  <c r="A152" i="11"/>
  <c r="A153" i="11"/>
  <c r="B153" i="11"/>
  <c r="A154" i="11"/>
  <c r="B155" i="11"/>
  <c r="A156" i="11"/>
  <c r="A157" i="11"/>
  <c r="B157" i="11"/>
  <c r="A158" i="11"/>
  <c r="B159" i="11"/>
  <c r="A160" i="11"/>
  <c r="A161" i="11"/>
  <c r="B161" i="11"/>
  <c r="A162" i="11"/>
  <c r="B163" i="11"/>
  <c r="A164" i="11"/>
  <c r="A165" i="11"/>
  <c r="B165" i="11"/>
  <c r="A166" i="11"/>
  <c r="B167" i="11"/>
  <c r="A168" i="11"/>
  <c r="M171" i="11"/>
  <c r="A177" i="11"/>
  <c r="B177" i="11"/>
  <c r="B219" i="11" s="1"/>
  <c r="B261" i="11" s="1"/>
  <c r="B303" i="11" s="1"/>
  <c r="B345" i="11" s="1"/>
  <c r="J177" i="11"/>
  <c r="A178" i="11"/>
  <c r="B178" i="11"/>
  <c r="G178" i="11"/>
  <c r="K178" i="11"/>
  <c r="A179" i="11"/>
  <c r="B179" i="11"/>
  <c r="L179" i="11"/>
  <c r="A180" i="11"/>
  <c r="B180" i="11"/>
  <c r="I180" i="11"/>
  <c r="M180" i="11"/>
  <c r="A181" i="11"/>
  <c r="B181" i="11"/>
  <c r="B223" i="11" s="1"/>
  <c r="B265" i="11" s="1"/>
  <c r="B307" i="11" s="1"/>
  <c r="A182" i="11"/>
  <c r="B182" i="11"/>
  <c r="G182" i="11"/>
  <c r="K182" i="11"/>
  <c r="A183" i="11"/>
  <c r="B183" i="11"/>
  <c r="A184" i="11"/>
  <c r="B184" i="11"/>
  <c r="I184" i="11"/>
  <c r="M184" i="11"/>
  <c r="A185" i="11"/>
  <c r="B185" i="11"/>
  <c r="B227" i="11" s="1"/>
  <c r="B269" i="11" s="1"/>
  <c r="B311" i="11" s="1"/>
  <c r="B353" i="11" s="1"/>
  <c r="J185" i="11"/>
  <c r="A186" i="11"/>
  <c r="B186" i="11"/>
  <c r="G186" i="11"/>
  <c r="K186" i="11"/>
  <c r="A187" i="11"/>
  <c r="B187" i="11"/>
  <c r="L187" i="11"/>
  <c r="A188" i="11"/>
  <c r="B188" i="11"/>
  <c r="I188" i="11"/>
  <c r="M188" i="11"/>
  <c r="A189" i="11"/>
  <c r="B189" i="11"/>
  <c r="B231" i="11" s="1"/>
  <c r="B273" i="11" s="1"/>
  <c r="B315" i="11" s="1"/>
  <c r="A190" i="11"/>
  <c r="B190" i="11"/>
  <c r="G190" i="11"/>
  <c r="K190" i="11"/>
  <c r="M190" i="11"/>
  <c r="A191" i="11"/>
  <c r="B191" i="11"/>
  <c r="B233" i="11" s="1"/>
  <c r="H191" i="11"/>
  <c r="L191" i="11"/>
  <c r="A192" i="11"/>
  <c r="B192" i="11"/>
  <c r="G192" i="11"/>
  <c r="I192" i="11"/>
  <c r="K192" i="11"/>
  <c r="M192" i="11"/>
  <c r="A193" i="11"/>
  <c r="B193" i="11"/>
  <c r="B235" i="11" s="1"/>
  <c r="B277" i="11" s="1"/>
  <c r="B319" i="11" s="1"/>
  <c r="B361" i="11" s="1"/>
  <c r="A194" i="11"/>
  <c r="B194" i="11"/>
  <c r="G194" i="11"/>
  <c r="I194" i="11"/>
  <c r="K194" i="11"/>
  <c r="M194" i="11"/>
  <c r="A195" i="11"/>
  <c r="B195" i="11"/>
  <c r="B237" i="11" s="1"/>
  <c r="B279" i="11" s="1"/>
  <c r="B321" i="11" s="1"/>
  <c r="H195" i="11"/>
  <c r="L195" i="11"/>
  <c r="A196" i="11"/>
  <c r="B196" i="11"/>
  <c r="G196" i="11"/>
  <c r="I196" i="11"/>
  <c r="K196" i="11"/>
  <c r="M196" i="11"/>
  <c r="A197" i="11"/>
  <c r="B197" i="11"/>
  <c r="B239" i="11" s="1"/>
  <c r="B281" i="11" s="1"/>
  <c r="B323" i="11" s="1"/>
  <c r="B365" i="11" s="1"/>
  <c r="A198" i="11"/>
  <c r="B198" i="11"/>
  <c r="G198" i="11"/>
  <c r="I198" i="11"/>
  <c r="K198" i="11"/>
  <c r="M198" i="11"/>
  <c r="A199" i="11"/>
  <c r="B199" i="11"/>
  <c r="B241" i="11" s="1"/>
  <c r="B283" i="11" s="1"/>
  <c r="B325" i="11" s="1"/>
  <c r="H199" i="11"/>
  <c r="L199" i="11"/>
  <c r="A200" i="11"/>
  <c r="B200" i="11"/>
  <c r="G200" i="11"/>
  <c r="I200" i="11"/>
  <c r="K200" i="11"/>
  <c r="M200" i="11"/>
  <c r="A201" i="11"/>
  <c r="B201" i="11"/>
  <c r="B243" i="11" s="1"/>
  <c r="B285" i="11" s="1"/>
  <c r="B327" i="11" s="1"/>
  <c r="B369" i="11" s="1"/>
  <c r="A202" i="11"/>
  <c r="B202" i="11"/>
  <c r="G202" i="11"/>
  <c r="I202" i="11"/>
  <c r="K202" i="11"/>
  <c r="M202" i="11"/>
  <c r="A203" i="11"/>
  <c r="B203" i="11"/>
  <c r="B245" i="11" s="1"/>
  <c r="B287" i="11" s="1"/>
  <c r="B329" i="11" s="1"/>
  <c r="H203" i="11"/>
  <c r="L203" i="11"/>
  <c r="A204" i="11"/>
  <c r="B204" i="11"/>
  <c r="G204" i="11"/>
  <c r="I204" i="11"/>
  <c r="K204" i="11"/>
  <c r="M204" i="11"/>
  <c r="A205" i="11"/>
  <c r="B205" i="11"/>
  <c r="B247" i="11" s="1"/>
  <c r="B289" i="11" s="1"/>
  <c r="B331" i="11" s="1"/>
  <c r="B373" i="11" s="1"/>
  <c r="A206" i="11"/>
  <c r="B206" i="11"/>
  <c r="G206" i="11"/>
  <c r="I206" i="11"/>
  <c r="K206" i="11"/>
  <c r="M206" i="11"/>
  <c r="A207" i="11"/>
  <c r="B207" i="11"/>
  <c r="B249" i="11" s="1"/>
  <c r="H207" i="11"/>
  <c r="L207" i="11"/>
  <c r="A208" i="11"/>
  <c r="B208" i="11"/>
  <c r="G208" i="11"/>
  <c r="I208" i="11"/>
  <c r="K208" i="11"/>
  <c r="M208" i="11"/>
  <c r="A209" i="11"/>
  <c r="B209" i="11"/>
  <c r="B251" i="11" s="1"/>
  <c r="B293" i="11" s="1"/>
  <c r="B335" i="11" s="1"/>
  <c r="B377" i="11" s="1"/>
  <c r="A210" i="11"/>
  <c r="B210" i="11"/>
  <c r="G210" i="11"/>
  <c r="I210" i="11"/>
  <c r="K210" i="11"/>
  <c r="M210" i="11"/>
  <c r="A211" i="11"/>
  <c r="B211" i="11"/>
  <c r="B253" i="11" s="1"/>
  <c r="H211" i="11"/>
  <c r="L211" i="11"/>
  <c r="A212" i="11"/>
  <c r="B212" i="11"/>
  <c r="G212" i="11"/>
  <c r="I212" i="11"/>
  <c r="K212" i="11"/>
  <c r="M212" i="11"/>
  <c r="A213" i="11"/>
  <c r="B213" i="11"/>
  <c r="B255" i="11" s="1"/>
  <c r="B297" i="11" s="1"/>
  <c r="B339" i="11" s="1"/>
  <c r="B381" i="11" s="1"/>
  <c r="A214" i="11"/>
  <c r="B214" i="11"/>
  <c r="G214" i="11"/>
  <c r="I214" i="11"/>
  <c r="K214" i="11"/>
  <c r="M214" i="11"/>
  <c r="A219" i="11"/>
  <c r="D219" i="11"/>
  <c r="G219" i="11"/>
  <c r="G177" i="11" s="1"/>
  <c r="H219" i="11"/>
  <c r="H177" i="11" s="1"/>
  <c r="I219" i="11"/>
  <c r="I177" i="11" s="1"/>
  <c r="J219" i="11"/>
  <c r="K219" i="11"/>
  <c r="K177" i="11" s="1"/>
  <c r="L219" i="11"/>
  <c r="L177" i="11" s="1"/>
  <c r="M219" i="11"/>
  <c r="M177" i="11" s="1"/>
  <c r="A220" i="11"/>
  <c r="B220" i="11"/>
  <c r="D220" i="11"/>
  <c r="F220" i="11"/>
  <c r="F178" i="11" s="1"/>
  <c r="G220" i="11"/>
  <c r="H220" i="11"/>
  <c r="H178" i="11" s="1"/>
  <c r="I220" i="11"/>
  <c r="I178" i="11" s="1"/>
  <c r="J220" i="11"/>
  <c r="J178" i="11" s="1"/>
  <c r="K220" i="11"/>
  <c r="L220" i="11"/>
  <c r="L178" i="11" s="1"/>
  <c r="M220" i="11"/>
  <c r="M178" i="11" s="1"/>
  <c r="A221" i="11"/>
  <c r="A263" i="11" s="1"/>
  <c r="A305" i="11" s="1"/>
  <c r="A347" i="11" s="1"/>
  <c r="B221" i="11"/>
  <c r="D221" i="11"/>
  <c r="E221" i="11" s="1"/>
  <c r="E179" i="11" s="1"/>
  <c r="G221" i="11"/>
  <c r="G179" i="11" s="1"/>
  <c r="H221" i="11"/>
  <c r="H179" i="11" s="1"/>
  <c r="I221" i="11"/>
  <c r="I179" i="11" s="1"/>
  <c r="J221" i="11"/>
  <c r="J179" i="11" s="1"/>
  <c r="K221" i="11"/>
  <c r="K179" i="11" s="1"/>
  <c r="L221" i="11"/>
  <c r="M221" i="11"/>
  <c r="M179" i="11" s="1"/>
  <c r="A222" i="11"/>
  <c r="B222" i="11"/>
  <c r="D222" i="11"/>
  <c r="F222" i="11"/>
  <c r="F180" i="11" s="1"/>
  <c r="G222" i="11"/>
  <c r="G180" i="11" s="1"/>
  <c r="H222" i="11"/>
  <c r="H180" i="11" s="1"/>
  <c r="I222" i="11"/>
  <c r="J222" i="11"/>
  <c r="J180" i="11" s="1"/>
  <c r="K222" i="11"/>
  <c r="K180" i="11" s="1"/>
  <c r="L222" i="11"/>
  <c r="L180" i="11" s="1"/>
  <c r="M222" i="11"/>
  <c r="A223" i="11"/>
  <c r="A265" i="11" s="1"/>
  <c r="A307" i="11" s="1"/>
  <c r="A349" i="11" s="1"/>
  <c r="D223" i="11"/>
  <c r="F223" i="11"/>
  <c r="F181" i="11" s="1"/>
  <c r="G223" i="11"/>
  <c r="G181" i="11" s="1"/>
  <c r="H223" i="11"/>
  <c r="H181" i="11" s="1"/>
  <c r="I223" i="11"/>
  <c r="I181" i="11" s="1"/>
  <c r="J223" i="11"/>
  <c r="J181" i="11" s="1"/>
  <c r="K223" i="11"/>
  <c r="K181" i="11" s="1"/>
  <c r="L223" i="11"/>
  <c r="L181" i="11" s="1"/>
  <c r="M223" i="11"/>
  <c r="M181" i="11" s="1"/>
  <c r="A224" i="11"/>
  <c r="B224" i="11"/>
  <c r="D224" i="11"/>
  <c r="G224" i="11"/>
  <c r="H224" i="11"/>
  <c r="H182" i="11" s="1"/>
  <c r="I224" i="11"/>
  <c r="I182" i="11" s="1"/>
  <c r="J224" i="11"/>
  <c r="J182" i="11" s="1"/>
  <c r="K224" i="11"/>
  <c r="L224" i="11"/>
  <c r="L182" i="11" s="1"/>
  <c r="M224" i="11"/>
  <c r="M182" i="11" s="1"/>
  <c r="A225" i="11"/>
  <c r="B225" i="11"/>
  <c r="D225" i="11"/>
  <c r="E225" i="11" s="1"/>
  <c r="E183" i="11" s="1"/>
  <c r="F225" i="11"/>
  <c r="F183" i="11" s="1"/>
  <c r="G225" i="11"/>
  <c r="G183" i="11" s="1"/>
  <c r="H225" i="11"/>
  <c r="H183" i="11" s="1"/>
  <c r="I225" i="11"/>
  <c r="I183" i="11" s="1"/>
  <c r="J225" i="11"/>
  <c r="J183" i="11" s="1"/>
  <c r="K225" i="11"/>
  <c r="K183" i="11" s="1"/>
  <c r="L225" i="11"/>
  <c r="L183" i="11" s="1"/>
  <c r="M225" i="11"/>
  <c r="M183" i="11" s="1"/>
  <c r="A226" i="11"/>
  <c r="B226" i="11"/>
  <c r="D226" i="11"/>
  <c r="G226" i="11"/>
  <c r="G184" i="11" s="1"/>
  <c r="H226" i="11"/>
  <c r="H184" i="11" s="1"/>
  <c r="I226" i="11"/>
  <c r="J226" i="11"/>
  <c r="J184" i="11" s="1"/>
  <c r="K226" i="11"/>
  <c r="K184" i="11" s="1"/>
  <c r="L226" i="11"/>
  <c r="L184" i="11" s="1"/>
  <c r="M226" i="11"/>
  <c r="A227" i="11"/>
  <c r="D227" i="11"/>
  <c r="G227" i="11"/>
  <c r="G185" i="11" s="1"/>
  <c r="H227" i="11"/>
  <c r="H185" i="11" s="1"/>
  <c r="I227" i="11"/>
  <c r="I185" i="11" s="1"/>
  <c r="J227" i="11"/>
  <c r="K227" i="11"/>
  <c r="K185" i="11" s="1"/>
  <c r="L227" i="11"/>
  <c r="L185" i="11" s="1"/>
  <c r="M227" i="11"/>
  <c r="M185" i="11" s="1"/>
  <c r="A228" i="11"/>
  <c r="B228" i="11"/>
  <c r="D228" i="11"/>
  <c r="F228" i="11"/>
  <c r="F186" i="11" s="1"/>
  <c r="G228" i="11"/>
  <c r="H228" i="11"/>
  <c r="H186" i="11" s="1"/>
  <c r="I228" i="11"/>
  <c r="I186" i="11" s="1"/>
  <c r="J228" i="11"/>
  <c r="J186" i="11" s="1"/>
  <c r="K228" i="11"/>
  <c r="L228" i="11"/>
  <c r="L186" i="11" s="1"/>
  <c r="M228" i="11"/>
  <c r="M186" i="11" s="1"/>
  <c r="A229" i="11"/>
  <c r="A271" i="11" s="1"/>
  <c r="A313" i="11" s="1"/>
  <c r="A355" i="11" s="1"/>
  <c r="B229" i="11"/>
  <c r="D229" i="11"/>
  <c r="E229" i="11" s="1"/>
  <c r="E187" i="11" s="1"/>
  <c r="G229" i="11"/>
  <c r="G187" i="11" s="1"/>
  <c r="H229" i="11"/>
  <c r="H187" i="11" s="1"/>
  <c r="I229" i="11"/>
  <c r="I187" i="11" s="1"/>
  <c r="J229" i="11"/>
  <c r="J187" i="11" s="1"/>
  <c r="K229" i="11"/>
  <c r="K187" i="11" s="1"/>
  <c r="L229" i="11"/>
  <c r="M229" i="11"/>
  <c r="M187" i="11" s="1"/>
  <c r="A230" i="11"/>
  <c r="B230" i="11"/>
  <c r="D230" i="11"/>
  <c r="F230" i="11"/>
  <c r="F188" i="11" s="1"/>
  <c r="G230" i="11"/>
  <c r="G188" i="11" s="1"/>
  <c r="H230" i="11"/>
  <c r="H188" i="11" s="1"/>
  <c r="I230" i="11"/>
  <c r="J230" i="11"/>
  <c r="J188" i="11" s="1"/>
  <c r="K230" i="11"/>
  <c r="K188" i="11" s="1"/>
  <c r="L230" i="11"/>
  <c r="L188" i="11" s="1"/>
  <c r="M230" i="11"/>
  <c r="A231" i="11"/>
  <c r="A273" i="11" s="1"/>
  <c r="A315" i="11" s="1"/>
  <c r="A357" i="11" s="1"/>
  <c r="D231" i="11"/>
  <c r="F231" i="11"/>
  <c r="F189" i="11" s="1"/>
  <c r="G231" i="11"/>
  <c r="G189" i="11" s="1"/>
  <c r="H231" i="11"/>
  <c r="H189" i="11" s="1"/>
  <c r="I231" i="11"/>
  <c r="I189" i="11" s="1"/>
  <c r="J231" i="11"/>
  <c r="J189" i="11" s="1"/>
  <c r="K231" i="11"/>
  <c r="K189" i="11" s="1"/>
  <c r="L231" i="11"/>
  <c r="L189" i="11" s="1"/>
  <c r="M231" i="11"/>
  <c r="M189" i="11" s="1"/>
  <c r="A232" i="11"/>
  <c r="B232" i="11"/>
  <c r="D232" i="11"/>
  <c r="G232" i="11"/>
  <c r="H232" i="11"/>
  <c r="H190" i="11" s="1"/>
  <c r="I232" i="11"/>
  <c r="I190" i="11" s="1"/>
  <c r="J232" i="11"/>
  <c r="J190" i="11" s="1"/>
  <c r="K232" i="11"/>
  <c r="L232" i="11"/>
  <c r="L190" i="11" s="1"/>
  <c r="M232" i="11"/>
  <c r="A233" i="11"/>
  <c r="A275" i="11" s="1"/>
  <c r="D233" i="11"/>
  <c r="E233" i="11" s="1"/>
  <c r="E191" i="11" s="1"/>
  <c r="G233" i="11"/>
  <c r="G191" i="11" s="1"/>
  <c r="H233" i="11"/>
  <c r="I233" i="11"/>
  <c r="I191" i="11" s="1"/>
  <c r="J233" i="11"/>
  <c r="J191" i="11" s="1"/>
  <c r="K233" i="11"/>
  <c r="K191" i="11" s="1"/>
  <c r="L233" i="11"/>
  <c r="M233" i="11"/>
  <c r="M191" i="11" s="1"/>
  <c r="A234" i="11"/>
  <c r="A276" i="11" s="1"/>
  <c r="B234" i="11"/>
  <c r="D234" i="11"/>
  <c r="F234" i="11"/>
  <c r="F192" i="11" s="1"/>
  <c r="G234" i="11"/>
  <c r="H234" i="11"/>
  <c r="H192" i="11" s="1"/>
  <c r="I234" i="11"/>
  <c r="J234" i="11"/>
  <c r="J192" i="11" s="1"/>
  <c r="K234" i="11"/>
  <c r="L234" i="11"/>
  <c r="L192" i="11" s="1"/>
  <c r="M234" i="11"/>
  <c r="A235" i="11"/>
  <c r="A277" i="11" s="1"/>
  <c r="D235" i="11"/>
  <c r="E235" i="11" s="1"/>
  <c r="E193" i="11" s="1"/>
  <c r="F235" i="11"/>
  <c r="F193" i="11" s="1"/>
  <c r="G235" i="11"/>
  <c r="G193" i="11" s="1"/>
  <c r="H235" i="11"/>
  <c r="H193" i="11" s="1"/>
  <c r="I235" i="11"/>
  <c r="I193" i="11" s="1"/>
  <c r="J235" i="11"/>
  <c r="J193" i="11" s="1"/>
  <c r="K235" i="11"/>
  <c r="K193" i="11" s="1"/>
  <c r="L235" i="11"/>
  <c r="L193" i="11" s="1"/>
  <c r="M235" i="11"/>
  <c r="M193" i="11" s="1"/>
  <c r="A236" i="11"/>
  <c r="A278" i="11" s="1"/>
  <c r="A320" i="11" s="1"/>
  <c r="A362" i="11" s="1"/>
  <c r="B236" i="11"/>
  <c r="D236" i="11"/>
  <c r="G236" i="11"/>
  <c r="H236" i="11"/>
  <c r="H194" i="11" s="1"/>
  <c r="I236" i="11"/>
  <c r="J236" i="11"/>
  <c r="J194" i="11" s="1"/>
  <c r="K236" i="11"/>
  <c r="L236" i="11"/>
  <c r="L194" i="11" s="1"/>
  <c r="M236" i="11"/>
  <c r="A237" i="11"/>
  <c r="D237" i="11"/>
  <c r="E237" i="11" s="1"/>
  <c r="E195" i="11" s="1"/>
  <c r="G237" i="11"/>
  <c r="G195" i="11" s="1"/>
  <c r="H237" i="11"/>
  <c r="I237" i="11"/>
  <c r="I195" i="11" s="1"/>
  <c r="J237" i="11"/>
  <c r="J195" i="11" s="1"/>
  <c r="K237" i="11"/>
  <c r="K195" i="11" s="1"/>
  <c r="L237" i="11"/>
  <c r="M237" i="11"/>
  <c r="M195" i="11" s="1"/>
  <c r="A238" i="11"/>
  <c r="B238" i="11"/>
  <c r="D238" i="11"/>
  <c r="F238" i="11"/>
  <c r="F196" i="11" s="1"/>
  <c r="G238" i="11"/>
  <c r="H238" i="11"/>
  <c r="H196" i="11" s="1"/>
  <c r="I238" i="11"/>
  <c r="J238" i="11"/>
  <c r="J196" i="11" s="1"/>
  <c r="K238" i="11"/>
  <c r="L238" i="11"/>
  <c r="L196" i="11" s="1"/>
  <c r="M238" i="11"/>
  <c r="A239" i="11"/>
  <c r="D239" i="11"/>
  <c r="E239" i="11" s="1"/>
  <c r="E197" i="11" s="1"/>
  <c r="F239" i="11"/>
  <c r="F197" i="11" s="1"/>
  <c r="G239" i="11"/>
  <c r="G197" i="11" s="1"/>
  <c r="H239" i="11"/>
  <c r="H197" i="11" s="1"/>
  <c r="I239" i="11"/>
  <c r="I197" i="11" s="1"/>
  <c r="J239" i="11"/>
  <c r="J197" i="11" s="1"/>
  <c r="K239" i="11"/>
  <c r="K197" i="11" s="1"/>
  <c r="L239" i="11"/>
  <c r="L197" i="11" s="1"/>
  <c r="M239" i="11"/>
  <c r="M197" i="11" s="1"/>
  <c r="A240" i="11"/>
  <c r="A282" i="11" s="1"/>
  <c r="A324" i="11" s="1"/>
  <c r="A366" i="11" s="1"/>
  <c r="B240" i="11"/>
  <c r="D240" i="11"/>
  <c r="G240" i="11"/>
  <c r="H240" i="11"/>
  <c r="H198" i="11" s="1"/>
  <c r="I240" i="11"/>
  <c r="J240" i="11"/>
  <c r="J198" i="11" s="1"/>
  <c r="K240" i="11"/>
  <c r="L240" i="11"/>
  <c r="L198" i="11" s="1"/>
  <c r="M240" i="11"/>
  <c r="A241" i="11"/>
  <c r="D241" i="11"/>
  <c r="E241" i="11" s="1"/>
  <c r="E199" i="11" s="1"/>
  <c r="G241" i="11"/>
  <c r="G199" i="11" s="1"/>
  <c r="H241" i="11"/>
  <c r="I241" i="11"/>
  <c r="I199" i="11" s="1"/>
  <c r="J241" i="11"/>
  <c r="J199" i="11" s="1"/>
  <c r="K241" i="11"/>
  <c r="K199" i="11" s="1"/>
  <c r="L241" i="11"/>
  <c r="M241" i="11"/>
  <c r="M199" i="11" s="1"/>
  <c r="A242" i="11"/>
  <c r="B242" i="11"/>
  <c r="D242" i="11"/>
  <c r="F242" i="11"/>
  <c r="F200" i="11" s="1"/>
  <c r="G242" i="11"/>
  <c r="H242" i="11"/>
  <c r="H200" i="11" s="1"/>
  <c r="I242" i="11"/>
  <c r="J242" i="11"/>
  <c r="J200" i="11" s="1"/>
  <c r="K242" i="11"/>
  <c r="L242" i="11"/>
  <c r="L200" i="11" s="1"/>
  <c r="M242" i="11"/>
  <c r="A243" i="11"/>
  <c r="D243" i="11"/>
  <c r="E243" i="11" s="1"/>
  <c r="E201" i="11" s="1"/>
  <c r="F243" i="11"/>
  <c r="F201" i="11" s="1"/>
  <c r="G243" i="11"/>
  <c r="G201" i="11" s="1"/>
  <c r="H243" i="11"/>
  <c r="H201" i="11" s="1"/>
  <c r="I243" i="11"/>
  <c r="I201" i="11" s="1"/>
  <c r="J243" i="11"/>
  <c r="J201" i="11" s="1"/>
  <c r="K243" i="11"/>
  <c r="K201" i="11" s="1"/>
  <c r="L243" i="11"/>
  <c r="L201" i="11" s="1"/>
  <c r="M243" i="11"/>
  <c r="M201" i="11" s="1"/>
  <c r="A244" i="11"/>
  <c r="A286" i="11" s="1"/>
  <c r="A328" i="11" s="1"/>
  <c r="A370" i="11" s="1"/>
  <c r="B244" i="11"/>
  <c r="D244" i="11"/>
  <c r="G244" i="11"/>
  <c r="H244" i="11"/>
  <c r="H202" i="11" s="1"/>
  <c r="I244" i="11"/>
  <c r="J244" i="11"/>
  <c r="J202" i="11" s="1"/>
  <c r="K244" i="11"/>
  <c r="L244" i="11"/>
  <c r="L202" i="11" s="1"/>
  <c r="M244" i="11"/>
  <c r="A245" i="11"/>
  <c r="D245" i="11"/>
  <c r="E245" i="11" s="1"/>
  <c r="E203" i="11" s="1"/>
  <c r="G245" i="11"/>
  <c r="G203" i="11" s="1"/>
  <c r="H245" i="11"/>
  <c r="I245" i="11"/>
  <c r="I203" i="11" s="1"/>
  <c r="J245" i="11"/>
  <c r="J203" i="11" s="1"/>
  <c r="K245" i="11"/>
  <c r="K203" i="11" s="1"/>
  <c r="L245" i="11"/>
  <c r="M245" i="11"/>
  <c r="M203" i="11" s="1"/>
  <c r="A246" i="11"/>
  <c r="B246" i="11"/>
  <c r="D246" i="11"/>
  <c r="F246" i="11"/>
  <c r="F204" i="11" s="1"/>
  <c r="G246" i="11"/>
  <c r="H246" i="11"/>
  <c r="H204" i="11" s="1"/>
  <c r="I246" i="11"/>
  <c r="J246" i="11"/>
  <c r="J204" i="11" s="1"/>
  <c r="K246" i="11"/>
  <c r="L246" i="11"/>
  <c r="L204" i="11" s="1"/>
  <c r="M246" i="11"/>
  <c r="A247" i="11"/>
  <c r="A289" i="11" s="1"/>
  <c r="D247" i="11"/>
  <c r="E247" i="11" s="1"/>
  <c r="E205" i="11" s="1"/>
  <c r="F247" i="11"/>
  <c r="F205" i="11" s="1"/>
  <c r="G247" i="11"/>
  <c r="G205" i="11" s="1"/>
  <c r="H247" i="11"/>
  <c r="H205" i="11" s="1"/>
  <c r="I247" i="11"/>
  <c r="I205" i="11" s="1"/>
  <c r="J247" i="11"/>
  <c r="J205" i="11" s="1"/>
  <c r="K247" i="11"/>
  <c r="K205" i="11" s="1"/>
  <c r="L247" i="11"/>
  <c r="L205" i="11" s="1"/>
  <c r="M247" i="11"/>
  <c r="M205" i="11" s="1"/>
  <c r="A248" i="11"/>
  <c r="A290" i="11" s="1"/>
  <c r="A332" i="11" s="1"/>
  <c r="A374" i="11" s="1"/>
  <c r="B248" i="11"/>
  <c r="D248" i="11"/>
  <c r="G248" i="11"/>
  <c r="H248" i="11"/>
  <c r="H206" i="11" s="1"/>
  <c r="I248" i="11"/>
  <c r="J248" i="11"/>
  <c r="J206" i="11" s="1"/>
  <c r="K248" i="11"/>
  <c r="L248" i="11"/>
  <c r="L206" i="11" s="1"/>
  <c r="M248" i="11"/>
  <c r="A249" i="11"/>
  <c r="A291" i="11" s="1"/>
  <c r="D249" i="11"/>
  <c r="E249" i="11" s="1"/>
  <c r="E207" i="11" s="1"/>
  <c r="G249" i="11"/>
  <c r="G207" i="11" s="1"/>
  <c r="H249" i="11"/>
  <c r="I249" i="11"/>
  <c r="I207" i="11" s="1"/>
  <c r="J249" i="11"/>
  <c r="J207" i="11" s="1"/>
  <c r="K249" i="11"/>
  <c r="K207" i="11" s="1"/>
  <c r="L249" i="11"/>
  <c r="M249" i="11"/>
  <c r="M207" i="11" s="1"/>
  <c r="A250" i="11"/>
  <c r="A292" i="11" s="1"/>
  <c r="B250" i="11"/>
  <c r="D250" i="11"/>
  <c r="F250" i="11"/>
  <c r="F208" i="11" s="1"/>
  <c r="G250" i="11"/>
  <c r="H250" i="11"/>
  <c r="H208" i="11" s="1"/>
  <c r="I250" i="11"/>
  <c r="J250" i="11"/>
  <c r="J208" i="11" s="1"/>
  <c r="K250" i="11"/>
  <c r="L250" i="11"/>
  <c r="L208" i="11" s="1"/>
  <c r="M250" i="11"/>
  <c r="A251" i="11"/>
  <c r="A293" i="11" s="1"/>
  <c r="D251" i="11"/>
  <c r="E251" i="11" s="1"/>
  <c r="E209" i="11" s="1"/>
  <c r="F251" i="11"/>
  <c r="F209" i="11" s="1"/>
  <c r="G251" i="11"/>
  <c r="G209" i="11" s="1"/>
  <c r="H251" i="11"/>
  <c r="H209" i="11" s="1"/>
  <c r="I251" i="11"/>
  <c r="I209" i="11" s="1"/>
  <c r="J251" i="11"/>
  <c r="J209" i="11" s="1"/>
  <c r="K251" i="11"/>
  <c r="K209" i="11" s="1"/>
  <c r="L251" i="11"/>
  <c r="L209" i="11" s="1"/>
  <c r="M251" i="11"/>
  <c r="M209" i="11" s="1"/>
  <c r="A252" i="11"/>
  <c r="A294" i="11" s="1"/>
  <c r="A336" i="11" s="1"/>
  <c r="A378" i="11" s="1"/>
  <c r="B252" i="11"/>
  <c r="D252" i="11"/>
  <c r="G252" i="11"/>
  <c r="H252" i="11"/>
  <c r="H210" i="11" s="1"/>
  <c r="I252" i="11"/>
  <c r="J252" i="11"/>
  <c r="J210" i="11" s="1"/>
  <c r="K252" i="11"/>
  <c r="L252" i="11"/>
  <c r="L210" i="11" s="1"/>
  <c r="M252" i="11"/>
  <c r="A253" i="11"/>
  <c r="A295" i="11" s="1"/>
  <c r="D253" i="11"/>
  <c r="E253" i="11" s="1"/>
  <c r="E211" i="11" s="1"/>
  <c r="G253" i="11"/>
  <c r="G211" i="11" s="1"/>
  <c r="H253" i="11"/>
  <c r="I253" i="11"/>
  <c r="I211" i="11" s="1"/>
  <c r="J253" i="11"/>
  <c r="J211" i="11" s="1"/>
  <c r="K253" i="11"/>
  <c r="K211" i="11" s="1"/>
  <c r="L253" i="11"/>
  <c r="M253" i="11"/>
  <c r="M211" i="11" s="1"/>
  <c r="A254" i="11"/>
  <c r="A296" i="11" s="1"/>
  <c r="B254" i="11"/>
  <c r="D254" i="11"/>
  <c r="F254" i="11"/>
  <c r="F212" i="11" s="1"/>
  <c r="G254" i="11"/>
  <c r="H254" i="11"/>
  <c r="H212" i="11" s="1"/>
  <c r="I254" i="11"/>
  <c r="J254" i="11"/>
  <c r="J212" i="11" s="1"/>
  <c r="K254" i="11"/>
  <c r="L254" i="11"/>
  <c r="L212" i="11" s="1"/>
  <c r="M254" i="11"/>
  <c r="A255" i="11"/>
  <c r="A297" i="11" s="1"/>
  <c r="D255" i="11"/>
  <c r="E255" i="11" s="1"/>
  <c r="E213" i="11" s="1"/>
  <c r="F255" i="11"/>
  <c r="F213" i="11" s="1"/>
  <c r="G255" i="11"/>
  <c r="G213" i="11" s="1"/>
  <c r="H255" i="11"/>
  <c r="H213" i="11" s="1"/>
  <c r="I255" i="11"/>
  <c r="I213" i="11" s="1"/>
  <c r="J255" i="11"/>
  <c r="J213" i="11" s="1"/>
  <c r="K255" i="11"/>
  <c r="K213" i="11" s="1"/>
  <c r="L255" i="11"/>
  <c r="L213" i="11" s="1"/>
  <c r="M255" i="11"/>
  <c r="M213" i="11" s="1"/>
  <c r="A256" i="11"/>
  <c r="A298" i="11" s="1"/>
  <c r="A340" i="11" s="1"/>
  <c r="A382" i="11" s="1"/>
  <c r="B256" i="11"/>
  <c r="D256" i="11"/>
  <c r="G256" i="11"/>
  <c r="H256" i="11"/>
  <c r="H214" i="11" s="1"/>
  <c r="I256" i="11"/>
  <c r="J256" i="11"/>
  <c r="J214" i="11" s="1"/>
  <c r="K256" i="11"/>
  <c r="L256" i="11"/>
  <c r="L214" i="11" s="1"/>
  <c r="M256" i="11"/>
  <c r="G257" i="11"/>
  <c r="H257" i="11"/>
  <c r="I257" i="11"/>
  <c r="J257" i="11"/>
  <c r="K257" i="11"/>
  <c r="L257" i="11"/>
  <c r="M257" i="11"/>
  <c r="A261" i="11"/>
  <c r="A262" i="11"/>
  <c r="B262" i="11"/>
  <c r="B263" i="11"/>
  <c r="A264" i="11"/>
  <c r="B264" i="11"/>
  <c r="A266" i="11"/>
  <c r="B266" i="11"/>
  <c r="A267" i="11"/>
  <c r="B267" i="11"/>
  <c r="A268" i="11"/>
  <c r="B268" i="11"/>
  <c r="A269" i="11"/>
  <c r="A270" i="11"/>
  <c r="B270" i="11"/>
  <c r="B271" i="11"/>
  <c r="A272" i="11"/>
  <c r="B272" i="11"/>
  <c r="A274" i="11"/>
  <c r="B274" i="11"/>
  <c r="E274" i="11"/>
  <c r="B275" i="11"/>
  <c r="B317" i="11" s="1"/>
  <c r="B276" i="11"/>
  <c r="B318" i="11" s="1"/>
  <c r="E277" i="11"/>
  <c r="B278" i="11"/>
  <c r="A279" i="11"/>
  <c r="A280" i="11"/>
  <c r="B280" i="11"/>
  <c r="A281" i="11"/>
  <c r="B282" i="11"/>
  <c r="A283" i="11"/>
  <c r="A284" i="11"/>
  <c r="B284" i="11"/>
  <c r="A285" i="11"/>
  <c r="B286" i="11"/>
  <c r="A287" i="11"/>
  <c r="A288" i="11"/>
  <c r="B288" i="11"/>
  <c r="E288" i="11"/>
  <c r="B290" i="11"/>
  <c r="B332" i="11" s="1"/>
  <c r="B374" i="11" s="1"/>
  <c r="B291" i="11"/>
  <c r="B333" i="11" s="1"/>
  <c r="B375" i="11" s="1"/>
  <c r="B292" i="11"/>
  <c r="B334" i="11" s="1"/>
  <c r="B376" i="11" s="1"/>
  <c r="B294" i="11"/>
  <c r="B336" i="11" s="1"/>
  <c r="B378" i="11" s="1"/>
  <c r="B295" i="11"/>
  <c r="B337" i="11" s="1"/>
  <c r="B379" i="11" s="1"/>
  <c r="B296" i="11"/>
  <c r="B338" i="11" s="1"/>
  <c r="B380" i="11" s="1"/>
  <c r="B298" i="11"/>
  <c r="B340" i="11" s="1"/>
  <c r="B382" i="11" s="1"/>
  <c r="D299" i="11"/>
  <c r="F299" i="11"/>
  <c r="G299" i="11"/>
  <c r="H299" i="11"/>
  <c r="I299" i="11"/>
  <c r="J299" i="11"/>
  <c r="K299" i="11"/>
  <c r="L299" i="11"/>
  <c r="M299" i="11"/>
  <c r="A303" i="11"/>
  <c r="A345" i="11" s="1"/>
  <c r="A304" i="11"/>
  <c r="A346" i="11" s="1"/>
  <c r="B304" i="11"/>
  <c r="B305" i="11"/>
  <c r="A306" i="11"/>
  <c r="A348" i="11" s="1"/>
  <c r="B306" i="11"/>
  <c r="A308" i="11"/>
  <c r="A350" i="11" s="1"/>
  <c r="B308" i="11"/>
  <c r="A309" i="11"/>
  <c r="A351" i="11" s="1"/>
  <c r="B309" i="11"/>
  <c r="A310" i="11"/>
  <c r="A352" i="11" s="1"/>
  <c r="B310" i="11"/>
  <c r="A311" i="11"/>
  <c r="A353" i="11" s="1"/>
  <c r="A312" i="11"/>
  <c r="A354" i="11" s="1"/>
  <c r="B312" i="11"/>
  <c r="B313" i="11"/>
  <c r="A314" i="11"/>
  <c r="A356" i="11" s="1"/>
  <c r="B314" i="11"/>
  <c r="A316" i="11"/>
  <c r="A358" i="11" s="1"/>
  <c r="B316" i="11"/>
  <c r="A317" i="11"/>
  <c r="A359" i="11" s="1"/>
  <c r="A318" i="11"/>
  <c r="A360" i="11" s="1"/>
  <c r="A319" i="11"/>
  <c r="A361" i="11" s="1"/>
  <c r="B320" i="11"/>
  <c r="A321" i="11"/>
  <c r="A363" i="11" s="1"/>
  <c r="A322" i="11"/>
  <c r="A364" i="11" s="1"/>
  <c r="B322" i="11"/>
  <c r="A323" i="11"/>
  <c r="A365" i="11" s="1"/>
  <c r="B324" i="11"/>
  <c r="A325" i="11"/>
  <c r="A367" i="11" s="1"/>
  <c r="A326" i="11"/>
  <c r="A368" i="11" s="1"/>
  <c r="B326" i="11"/>
  <c r="A327" i="11"/>
  <c r="A369" i="11" s="1"/>
  <c r="B328" i="11"/>
  <c r="A329" i="11"/>
  <c r="A371" i="11" s="1"/>
  <c r="A330" i="11"/>
  <c r="A372" i="11" s="1"/>
  <c r="B330" i="11"/>
  <c r="A331" i="11"/>
  <c r="A373" i="11" s="1"/>
  <c r="A333" i="11"/>
  <c r="A375" i="11" s="1"/>
  <c r="A334" i="11"/>
  <c r="A335" i="11"/>
  <c r="A377" i="11" s="1"/>
  <c r="A337" i="11"/>
  <c r="A379" i="11" s="1"/>
  <c r="A338" i="11"/>
  <c r="A339" i="11"/>
  <c r="A381" i="11" s="1"/>
  <c r="D341" i="11"/>
  <c r="F341" i="11"/>
  <c r="G341" i="11"/>
  <c r="H341" i="11"/>
  <c r="I341" i="11"/>
  <c r="J341" i="11"/>
  <c r="K341" i="11"/>
  <c r="L341" i="11"/>
  <c r="M341" i="11"/>
  <c r="B346" i="11"/>
  <c r="B347" i="11"/>
  <c r="B348" i="11"/>
  <c r="B349" i="11"/>
  <c r="B350" i="11"/>
  <c r="B351" i="11"/>
  <c r="B352" i="11"/>
  <c r="B354" i="11"/>
  <c r="B355" i="11"/>
  <c r="B356" i="11"/>
  <c r="B357" i="11"/>
  <c r="B358" i="11"/>
  <c r="B359" i="11"/>
  <c r="B360" i="11"/>
  <c r="B362" i="11"/>
  <c r="B363" i="11"/>
  <c r="B364" i="11"/>
  <c r="B366" i="11"/>
  <c r="B367" i="11"/>
  <c r="B368" i="11"/>
  <c r="B370" i="11"/>
  <c r="B371" i="11"/>
  <c r="F371" i="11"/>
  <c r="B372" i="11"/>
  <c r="A376" i="11"/>
  <c r="A380" i="11"/>
  <c r="D383" i="11"/>
  <c r="F383" i="11"/>
  <c r="G383" i="11"/>
  <c r="H383" i="11"/>
  <c r="I383" i="11"/>
  <c r="J383" i="11"/>
  <c r="K383" i="11"/>
  <c r="L383" i="11"/>
  <c r="M383" i="11"/>
  <c r="O43" i="10"/>
  <c r="S43" i="10"/>
  <c r="A48" i="10"/>
  <c r="B48" i="10"/>
  <c r="A49" i="10"/>
  <c r="B49" i="10"/>
  <c r="A50" i="10"/>
  <c r="B50" i="10"/>
  <c r="A51" i="10"/>
  <c r="B51" i="10"/>
  <c r="A52" i="10"/>
  <c r="B52" i="10"/>
  <c r="A53" i="10"/>
  <c r="B53" i="10"/>
  <c r="A54" i="10"/>
  <c r="B54" i="10"/>
  <c r="A55" i="10"/>
  <c r="B55" i="10"/>
  <c r="A56" i="10"/>
  <c r="B56" i="10"/>
  <c r="A57" i="10"/>
  <c r="B57" i="10"/>
  <c r="A58" i="10"/>
  <c r="B58" i="10"/>
  <c r="A59" i="10"/>
  <c r="B59" i="10"/>
  <c r="A60" i="10"/>
  <c r="B60" i="10"/>
  <c r="A61" i="10"/>
  <c r="B61" i="10"/>
  <c r="A62" i="10"/>
  <c r="B62" i="10"/>
  <c r="A63" i="10"/>
  <c r="B63" i="10"/>
  <c r="A64" i="10"/>
  <c r="B64" i="10"/>
  <c r="A65" i="10"/>
  <c r="B65" i="10"/>
  <c r="A66" i="10"/>
  <c r="B66" i="10"/>
  <c r="A67" i="10"/>
  <c r="B67" i="10"/>
  <c r="A68" i="10"/>
  <c r="B68" i="10"/>
  <c r="A69" i="10"/>
  <c r="B69" i="10"/>
  <c r="A70" i="10"/>
  <c r="B70" i="10"/>
  <c r="A71" i="10"/>
  <c r="B71" i="10"/>
  <c r="A72" i="10"/>
  <c r="B72" i="10"/>
  <c r="A73" i="10"/>
  <c r="B73" i="10"/>
  <c r="A74" i="10"/>
  <c r="B74" i="10"/>
  <c r="A75" i="10"/>
  <c r="B75" i="10"/>
  <c r="A76" i="10"/>
  <c r="B76" i="10"/>
  <c r="A77" i="10"/>
  <c r="B77" i="10"/>
  <c r="A78" i="10"/>
  <c r="B78" i="10"/>
  <c r="A79" i="10"/>
  <c r="B79" i="10"/>
  <c r="A80" i="10"/>
  <c r="B80" i="10"/>
  <c r="A81" i="10"/>
  <c r="B81" i="10"/>
  <c r="A82" i="10"/>
  <c r="B82" i="10"/>
  <c r="A83" i="10"/>
  <c r="B83" i="10"/>
  <c r="A84" i="10"/>
  <c r="B84" i="10"/>
  <c r="A85" i="10"/>
  <c r="B85" i="10"/>
  <c r="A90" i="10"/>
  <c r="B90" i="10"/>
  <c r="A91" i="10"/>
  <c r="B91" i="10"/>
  <c r="A92" i="10"/>
  <c r="B92" i="10"/>
  <c r="A93" i="10"/>
  <c r="B93" i="10"/>
  <c r="A94" i="10"/>
  <c r="B94" i="10"/>
  <c r="A95" i="10"/>
  <c r="B95" i="10"/>
  <c r="A96" i="10"/>
  <c r="B96" i="10"/>
  <c r="A97" i="10"/>
  <c r="B97" i="10"/>
  <c r="A98" i="10"/>
  <c r="B98" i="10"/>
  <c r="A99" i="10"/>
  <c r="B99" i="10"/>
  <c r="A100" i="10"/>
  <c r="B100" i="10"/>
  <c r="A101" i="10"/>
  <c r="B101" i="10"/>
  <c r="A102" i="10"/>
  <c r="B102" i="10"/>
  <c r="A103" i="10"/>
  <c r="B103" i="10"/>
  <c r="A104" i="10"/>
  <c r="B104" i="10"/>
  <c r="A105" i="10"/>
  <c r="B105" i="10"/>
  <c r="A106" i="10"/>
  <c r="B106" i="10"/>
  <c r="A107" i="10"/>
  <c r="B107" i="10"/>
  <c r="A108" i="10"/>
  <c r="B108" i="10"/>
  <c r="A109" i="10"/>
  <c r="B109" i="10"/>
  <c r="A110" i="10"/>
  <c r="B110" i="10"/>
  <c r="A111" i="10"/>
  <c r="B111" i="10"/>
  <c r="A112" i="10"/>
  <c r="B112" i="10"/>
  <c r="A113" i="10"/>
  <c r="B113" i="10"/>
  <c r="A114" i="10"/>
  <c r="B114" i="10"/>
  <c r="A115" i="10"/>
  <c r="B115" i="10"/>
  <c r="A116" i="10"/>
  <c r="B116" i="10"/>
  <c r="A117" i="10"/>
  <c r="B117" i="10"/>
  <c r="A118" i="10"/>
  <c r="B118" i="10"/>
  <c r="A119" i="10"/>
  <c r="B119" i="10"/>
  <c r="A120" i="10"/>
  <c r="B120" i="10"/>
  <c r="A121" i="10"/>
  <c r="B121" i="10"/>
  <c r="A122" i="10"/>
  <c r="B122" i="10"/>
  <c r="A123" i="10"/>
  <c r="B123" i="10"/>
  <c r="A124" i="10"/>
  <c r="B124" i="10"/>
  <c r="A125" i="10"/>
  <c r="B125" i="10"/>
  <c r="A126" i="10"/>
  <c r="B126" i="10"/>
  <c r="A127" i="10"/>
  <c r="B127" i="10"/>
  <c r="M150" i="10"/>
  <c r="A156" i="10"/>
  <c r="B156" i="10"/>
  <c r="B198" i="10" s="1"/>
  <c r="B240" i="10" s="1"/>
  <c r="B282" i="10" s="1"/>
  <c r="B324" i="10" s="1"/>
  <c r="A157" i="10"/>
  <c r="B157" i="10"/>
  <c r="G157" i="10"/>
  <c r="G137" i="10" s="1"/>
  <c r="I157" i="10"/>
  <c r="K157" i="10"/>
  <c r="K137" i="10" s="1"/>
  <c r="M157" i="10"/>
  <c r="M137" i="10" s="1"/>
  <c r="A158" i="10"/>
  <c r="B158" i="10"/>
  <c r="B200" i="10" s="1"/>
  <c r="B242" i="10" s="1"/>
  <c r="B284" i="10" s="1"/>
  <c r="B326" i="10" s="1"/>
  <c r="A159" i="10"/>
  <c r="B159" i="10"/>
  <c r="G159" i="10"/>
  <c r="I159" i="10"/>
  <c r="K159" i="10"/>
  <c r="M159" i="10"/>
  <c r="A160" i="10"/>
  <c r="B160" i="10"/>
  <c r="B202" i="10" s="1"/>
  <c r="B244" i="10" s="1"/>
  <c r="B286" i="10" s="1"/>
  <c r="B328" i="10" s="1"/>
  <c r="A161" i="10"/>
  <c r="B161" i="10"/>
  <c r="G161" i="10"/>
  <c r="I161" i="10"/>
  <c r="K161" i="10"/>
  <c r="M161" i="10"/>
  <c r="A162" i="10"/>
  <c r="B162" i="10"/>
  <c r="B204" i="10" s="1"/>
  <c r="B246" i="10" s="1"/>
  <c r="B288" i="10" s="1"/>
  <c r="B330" i="10" s="1"/>
  <c r="A163" i="10"/>
  <c r="B163" i="10"/>
  <c r="G163" i="10"/>
  <c r="I163" i="10"/>
  <c r="K163" i="10"/>
  <c r="M163" i="10"/>
  <c r="A164" i="10"/>
  <c r="B164" i="10"/>
  <c r="B206" i="10" s="1"/>
  <c r="B248" i="10" s="1"/>
  <c r="B290" i="10" s="1"/>
  <c r="B332" i="10" s="1"/>
  <c r="A165" i="10"/>
  <c r="B165" i="10"/>
  <c r="G165" i="10"/>
  <c r="I165" i="10"/>
  <c r="K165" i="10"/>
  <c r="M165" i="10"/>
  <c r="A166" i="10"/>
  <c r="B166" i="10"/>
  <c r="B208" i="10" s="1"/>
  <c r="B250" i="10" s="1"/>
  <c r="B292" i="10" s="1"/>
  <c r="B334" i="10" s="1"/>
  <c r="A167" i="10"/>
  <c r="B167" i="10"/>
  <c r="G167" i="10"/>
  <c r="I167" i="10"/>
  <c r="K167" i="10"/>
  <c r="M167" i="10"/>
  <c r="A168" i="10"/>
  <c r="B168" i="10"/>
  <c r="B210" i="10" s="1"/>
  <c r="B252" i="10" s="1"/>
  <c r="B294" i="10" s="1"/>
  <c r="B336" i="10" s="1"/>
  <c r="A169" i="10"/>
  <c r="B169" i="10"/>
  <c r="G169" i="10"/>
  <c r="I169" i="10"/>
  <c r="K169" i="10"/>
  <c r="M169" i="10"/>
  <c r="A170" i="10"/>
  <c r="B170" i="10"/>
  <c r="B212" i="10" s="1"/>
  <c r="B254" i="10" s="1"/>
  <c r="B296" i="10" s="1"/>
  <c r="B338" i="10" s="1"/>
  <c r="A171" i="10"/>
  <c r="B171" i="10"/>
  <c r="G171" i="10"/>
  <c r="I171" i="10"/>
  <c r="K171" i="10"/>
  <c r="M171" i="10"/>
  <c r="A172" i="10"/>
  <c r="B172" i="10"/>
  <c r="B214" i="10" s="1"/>
  <c r="B256" i="10" s="1"/>
  <c r="B298" i="10" s="1"/>
  <c r="B340" i="10" s="1"/>
  <c r="A173" i="10"/>
  <c r="B173" i="10"/>
  <c r="G173" i="10"/>
  <c r="I173" i="10"/>
  <c r="K173" i="10"/>
  <c r="M173" i="10"/>
  <c r="A174" i="10"/>
  <c r="B174" i="10"/>
  <c r="B216" i="10" s="1"/>
  <c r="B258" i="10" s="1"/>
  <c r="B300" i="10" s="1"/>
  <c r="B342" i="10" s="1"/>
  <c r="A175" i="10"/>
  <c r="B175" i="10"/>
  <c r="G175" i="10"/>
  <c r="I175" i="10"/>
  <c r="K175" i="10"/>
  <c r="M175" i="10"/>
  <c r="A176" i="10"/>
  <c r="B176" i="10"/>
  <c r="B218" i="10" s="1"/>
  <c r="B260" i="10" s="1"/>
  <c r="B302" i="10" s="1"/>
  <c r="B344" i="10" s="1"/>
  <c r="A177" i="10"/>
  <c r="B177" i="10"/>
  <c r="G177" i="10"/>
  <c r="I177" i="10"/>
  <c r="K177" i="10"/>
  <c r="M177" i="10"/>
  <c r="A178" i="10"/>
  <c r="B178" i="10"/>
  <c r="B220" i="10" s="1"/>
  <c r="B262" i="10" s="1"/>
  <c r="B304" i="10" s="1"/>
  <c r="B346" i="10" s="1"/>
  <c r="A179" i="10"/>
  <c r="B179" i="10"/>
  <c r="G179" i="10"/>
  <c r="I179" i="10"/>
  <c r="K179" i="10"/>
  <c r="M179" i="10"/>
  <c r="A180" i="10"/>
  <c r="B180" i="10"/>
  <c r="B222" i="10" s="1"/>
  <c r="B264" i="10" s="1"/>
  <c r="B306" i="10" s="1"/>
  <c r="B348" i="10" s="1"/>
  <c r="A181" i="10"/>
  <c r="B181" i="10"/>
  <c r="G181" i="10"/>
  <c r="I181" i="10"/>
  <c r="K181" i="10"/>
  <c r="M181" i="10"/>
  <c r="A182" i="10"/>
  <c r="B182" i="10"/>
  <c r="B224" i="10" s="1"/>
  <c r="B266" i="10" s="1"/>
  <c r="B308" i="10" s="1"/>
  <c r="B350" i="10" s="1"/>
  <c r="A183" i="10"/>
  <c r="B183" i="10"/>
  <c r="G183" i="10"/>
  <c r="I183" i="10"/>
  <c r="K183" i="10"/>
  <c r="M183" i="10"/>
  <c r="A184" i="10"/>
  <c r="B184" i="10"/>
  <c r="B226" i="10" s="1"/>
  <c r="B268" i="10" s="1"/>
  <c r="B310" i="10" s="1"/>
  <c r="B352" i="10" s="1"/>
  <c r="A185" i="10"/>
  <c r="B185" i="10"/>
  <c r="G185" i="10"/>
  <c r="I185" i="10"/>
  <c r="K185" i="10"/>
  <c r="M185" i="10"/>
  <c r="A186" i="10"/>
  <c r="B186" i="10"/>
  <c r="B228" i="10" s="1"/>
  <c r="B270" i="10" s="1"/>
  <c r="B312" i="10" s="1"/>
  <c r="B354" i="10" s="1"/>
  <c r="A187" i="10"/>
  <c r="B187" i="10"/>
  <c r="G187" i="10"/>
  <c r="I187" i="10"/>
  <c r="K187" i="10"/>
  <c r="M187" i="10"/>
  <c r="A188" i="10"/>
  <c r="B188" i="10"/>
  <c r="B230" i="10" s="1"/>
  <c r="B272" i="10" s="1"/>
  <c r="B314" i="10" s="1"/>
  <c r="B356" i="10" s="1"/>
  <c r="A189" i="10"/>
  <c r="B189" i="10"/>
  <c r="G189" i="10"/>
  <c r="I189" i="10"/>
  <c r="K189" i="10"/>
  <c r="M189" i="10"/>
  <c r="A190" i="10"/>
  <c r="B190" i="10"/>
  <c r="B232" i="10" s="1"/>
  <c r="B274" i="10" s="1"/>
  <c r="B316" i="10" s="1"/>
  <c r="B358" i="10" s="1"/>
  <c r="A191" i="10"/>
  <c r="B191" i="10"/>
  <c r="G191" i="10"/>
  <c r="I191" i="10"/>
  <c r="K191" i="10"/>
  <c r="M191" i="10"/>
  <c r="A192" i="10"/>
  <c r="B192" i="10"/>
  <c r="B234" i="10" s="1"/>
  <c r="B276" i="10" s="1"/>
  <c r="B318" i="10" s="1"/>
  <c r="B360" i="10" s="1"/>
  <c r="A193" i="10"/>
  <c r="B193" i="10"/>
  <c r="G193" i="10"/>
  <c r="I193" i="10"/>
  <c r="K193" i="10"/>
  <c r="M193" i="10"/>
  <c r="A198" i="10"/>
  <c r="D198" i="10"/>
  <c r="E198" i="10" s="1"/>
  <c r="F198" i="10"/>
  <c r="F156" i="10" s="1"/>
  <c r="G198" i="10"/>
  <c r="G156" i="10" s="1"/>
  <c r="H198" i="10"/>
  <c r="H156" i="10" s="1"/>
  <c r="I198" i="10"/>
  <c r="I156" i="10" s="1"/>
  <c r="J198" i="10"/>
  <c r="J156" i="10" s="1"/>
  <c r="K198" i="10"/>
  <c r="K156" i="10" s="1"/>
  <c r="L198" i="10"/>
  <c r="L156" i="10" s="1"/>
  <c r="M198" i="10"/>
  <c r="M156" i="10" s="1"/>
  <c r="A199" i="10"/>
  <c r="B199" i="10"/>
  <c r="D199" i="10"/>
  <c r="D157" i="10" s="1"/>
  <c r="F199" i="10"/>
  <c r="F157" i="10" s="1"/>
  <c r="G199" i="10"/>
  <c r="H199" i="10"/>
  <c r="H157" i="10" s="1"/>
  <c r="I199" i="10"/>
  <c r="J199" i="10"/>
  <c r="J157" i="10" s="1"/>
  <c r="K199" i="10"/>
  <c r="L199" i="10"/>
  <c r="L157" i="10" s="1"/>
  <c r="M199" i="10"/>
  <c r="A200" i="10"/>
  <c r="D200" i="10"/>
  <c r="E200" i="10" s="1"/>
  <c r="E158" i="10" s="1"/>
  <c r="F200" i="10"/>
  <c r="F158" i="10" s="1"/>
  <c r="G200" i="10"/>
  <c r="G158" i="10" s="1"/>
  <c r="H200" i="10"/>
  <c r="H158" i="10" s="1"/>
  <c r="I200" i="10"/>
  <c r="I158" i="10" s="1"/>
  <c r="J200" i="10"/>
  <c r="J158" i="10" s="1"/>
  <c r="K200" i="10"/>
  <c r="K158" i="10" s="1"/>
  <c r="L200" i="10"/>
  <c r="L158" i="10" s="1"/>
  <c r="M200" i="10"/>
  <c r="M158" i="10" s="1"/>
  <c r="A201" i="10"/>
  <c r="B201" i="10"/>
  <c r="D201" i="10"/>
  <c r="D159" i="10" s="1"/>
  <c r="F201" i="10"/>
  <c r="F159" i="10" s="1"/>
  <c r="G201" i="10"/>
  <c r="H201" i="10"/>
  <c r="H159" i="10" s="1"/>
  <c r="I201" i="10"/>
  <c r="J201" i="10"/>
  <c r="J159" i="10" s="1"/>
  <c r="K201" i="10"/>
  <c r="L201" i="10"/>
  <c r="L159" i="10" s="1"/>
  <c r="M201" i="10"/>
  <c r="A202" i="10"/>
  <c r="D202" i="10"/>
  <c r="E202" i="10" s="1"/>
  <c r="E160" i="10" s="1"/>
  <c r="F202" i="10"/>
  <c r="F160" i="10" s="1"/>
  <c r="G202" i="10"/>
  <c r="G160" i="10" s="1"/>
  <c r="H202" i="10"/>
  <c r="H160" i="10" s="1"/>
  <c r="I202" i="10"/>
  <c r="I160" i="10" s="1"/>
  <c r="J202" i="10"/>
  <c r="J160" i="10" s="1"/>
  <c r="K202" i="10"/>
  <c r="K160" i="10" s="1"/>
  <c r="L202" i="10"/>
  <c r="L160" i="10" s="1"/>
  <c r="M202" i="10"/>
  <c r="M160" i="10" s="1"/>
  <c r="A203" i="10"/>
  <c r="B203" i="10"/>
  <c r="D203" i="10"/>
  <c r="D161" i="10" s="1"/>
  <c r="F203" i="10"/>
  <c r="F161" i="10" s="1"/>
  <c r="G203" i="10"/>
  <c r="H203" i="10"/>
  <c r="H161" i="10" s="1"/>
  <c r="I203" i="10"/>
  <c r="J203" i="10"/>
  <c r="J161" i="10" s="1"/>
  <c r="K203" i="10"/>
  <c r="L203" i="10"/>
  <c r="L161" i="10" s="1"/>
  <c r="M203" i="10"/>
  <c r="A204" i="10"/>
  <c r="D204" i="10"/>
  <c r="E204" i="10" s="1"/>
  <c r="E162" i="10" s="1"/>
  <c r="F204" i="10"/>
  <c r="F162" i="10" s="1"/>
  <c r="G204" i="10"/>
  <c r="G162" i="10" s="1"/>
  <c r="H204" i="10"/>
  <c r="H162" i="10" s="1"/>
  <c r="I204" i="10"/>
  <c r="I162" i="10" s="1"/>
  <c r="J204" i="10"/>
  <c r="J162" i="10" s="1"/>
  <c r="K204" i="10"/>
  <c r="K162" i="10" s="1"/>
  <c r="L204" i="10"/>
  <c r="L162" i="10" s="1"/>
  <c r="M204" i="10"/>
  <c r="M162" i="10" s="1"/>
  <c r="A205" i="10"/>
  <c r="B205" i="10"/>
  <c r="D205" i="10"/>
  <c r="D163" i="10" s="1"/>
  <c r="F205" i="10"/>
  <c r="F163" i="10" s="1"/>
  <c r="G205" i="10"/>
  <c r="H205" i="10"/>
  <c r="H163" i="10" s="1"/>
  <c r="I205" i="10"/>
  <c r="J205" i="10"/>
  <c r="J163" i="10" s="1"/>
  <c r="K205" i="10"/>
  <c r="L205" i="10"/>
  <c r="L163" i="10" s="1"/>
  <c r="M205" i="10"/>
  <c r="A206" i="10"/>
  <c r="D206" i="10"/>
  <c r="E206" i="10" s="1"/>
  <c r="E164" i="10" s="1"/>
  <c r="F206" i="10"/>
  <c r="F164" i="10" s="1"/>
  <c r="G206" i="10"/>
  <c r="G164" i="10" s="1"/>
  <c r="H206" i="10"/>
  <c r="H164" i="10" s="1"/>
  <c r="I206" i="10"/>
  <c r="I164" i="10" s="1"/>
  <c r="J206" i="10"/>
  <c r="J164" i="10" s="1"/>
  <c r="K206" i="10"/>
  <c r="K164" i="10" s="1"/>
  <c r="L206" i="10"/>
  <c r="L164" i="10" s="1"/>
  <c r="M206" i="10"/>
  <c r="M164" i="10" s="1"/>
  <c r="A207" i="10"/>
  <c r="B207" i="10"/>
  <c r="D207" i="10"/>
  <c r="D165" i="10" s="1"/>
  <c r="F207" i="10"/>
  <c r="F165" i="10" s="1"/>
  <c r="G207" i="10"/>
  <c r="H207" i="10"/>
  <c r="H165" i="10" s="1"/>
  <c r="I207" i="10"/>
  <c r="J207" i="10"/>
  <c r="J165" i="10" s="1"/>
  <c r="K207" i="10"/>
  <c r="L207" i="10"/>
  <c r="L165" i="10" s="1"/>
  <c r="M207" i="10"/>
  <c r="A208" i="10"/>
  <c r="D208" i="10"/>
  <c r="E208" i="10" s="1"/>
  <c r="E166" i="10" s="1"/>
  <c r="F208" i="10"/>
  <c r="F166" i="10" s="1"/>
  <c r="G208" i="10"/>
  <c r="G166" i="10" s="1"/>
  <c r="H208" i="10"/>
  <c r="H166" i="10" s="1"/>
  <c r="I208" i="10"/>
  <c r="I166" i="10" s="1"/>
  <c r="J208" i="10"/>
  <c r="J166" i="10" s="1"/>
  <c r="K208" i="10"/>
  <c r="K166" i="10" s="1"/>
  <c r="L208" i="10"/>
  <c r="L166" i="10" s="1"/>
  <c r="M208" i="10"/>
  <c r="M166" i="10" s="1"/>
  <c r="A209" i="10"/>
  <c r="B209" i="10"/>
  <c r="D209" i="10"/>
  <c r="D167" i="10" s="1"/>
  <c r="F209" i="10"/>
  <c r="F167" i="10" s="1"/>
  <c r="G209" i="10"/>
  <c r="H209" i="10"/>
  <c r="H167" i="10" s="1"/>
  <c r="I209" i="10"/>
  <c r="J209" i="10"/>
  <c r="J167" i="10" s="1"/>
  <c r="K209" i="10"/>
  <c r="L209" i="10"/>
  <c r="L167" i="10" s="1"/>
  <c r="M209" i="10"/>
  <c r="A210" i="10"/>
  <c r="D210" i="10"/>
  <c r="E210" i="10" s="1"/>
  <c r="E168" i="10" s="1"/>
  <c r="F210" i="10"/>
  <c r="F168" i="10" s="1"/>
  <c r="G210" i="10"/>
  <c r="G168" i="10" s="1"/>
  <c r="H210" i="10"/>
  <c r="H168" i="10" s="1"/>
  <c r="I210" i="10"/>
  <c r="I168" i="10" s="1"/>
  <c r="J210" i="10"/>
  <c r="J168" i="10" s="1"/>
  <c r="K210" i="10"/>
  <c r="K168" i="10" s="1"/>
  <c r="L210" i="10"/>
  <c r="L168" i="10" s="1"/>
  <c r="M210" i="10"/>
  <c r="M168" i="10" s="1"/>
  <c r="A211" i="10"/>
  <c r="B211" i="10"/>
  <c r="D211" i="10"/>
  <c r="D169" i="10" s="1"/>
  <c r="F211" i="10"/>
  <c r="F169" i="10" s="1"/>
  <c r="G211" i="10"/>
  <c r="H211" i="10"/>
  <c r="H169" i="10" s="1"/>
  <c r="I211" i="10"/>
  <c r="J211" i="10"/>
  <c r="J169" i="10" s="1"/>
  <c r="K211" i="10"/>
  <c r="L211" i="10"/>
  <c r="L169" i="10" s="1"/>
  <c r="M211" i="10"/>
  <c r="A212" i="10"/>
  <c r="A254" i="10" s="1"/>
  <c r="A296" i="10" s="1"/>
  <c r="A338" i="10" s="1"/>
  <c r="D212" i="10"/>
  <c r="E212" i="10" s="1"/>
  <c r="E170" i="10" s="1"/>
  <c r="F212" i="10"/>
  <c r="F170" i="10" s="1"/>
  <c r="G212" i="10"/>
  <c r="G170" i="10" s="1"/>
  <c r="H212" i="10"/>
  <c r="H170" i="10" s="1"/>
  <c r="I212" i="10"/>
  <c r="I170" i="10" s="1"/>
  <c r="J212" i="10"/>
  <c r="J170" i="10" s="1"/>
  <c r="K212" i="10"/>
  <c r="K170" i="10" s="1"/>
  <c r="L212" i="10"/>
  <c r="L170" i="10" s="1"/>
  <c r="M212" i="10"/>
  <c r="M170" i="10" s="1"/>
  <c r="A213" i="10"/>
  <c r="A255" i="10" s="1"/>
  <c r="A297" i="10" s="1"/>
  <c r="A339" i="10" s="1"/>
  <c r="B213" i="10"/>
  <c r="D213" i="10"/>
  <c r="D171" i="10" s="1"/>
  <c r="F213" i="10"/>
  <c r="F171" i="10" s="1"/>
  <c r="G213" i="10"/>
  <c r="H213" i="10"/>
  <c r="H171" i="10" s="1"/>
  <c r="I213" i="10"/>
  <c r="J213" i="10"/>
  <c r="J171" i="10" s="1"/>
  <c r="K213" i="10"/>
  <c r="L213" i="10"/>
  <c r="L171" i="10" s="1"/>
  <c r="M213" i="10"/>
  <c r="A214" i="10"/>
  <c r="A256" i="10" s="1"/>
  <c r="A298" i="10" s="1"/>
  <c r="A340" i="10" s="1"/>
  <c r="D214" i="10"/>
  <c r="E214" i="10" s="1"/>
  <c r="E172" i="10" s="1"/>
  <c r="F214" i="10"/>
  <c r="F172" i="10" s="1"/>
  <c r="G214" i="10"/>
  <c r="G172" i="10" s="1"/>
  <c r="H214" i="10"/>
  <c r="H172" i="10" s="1"/>
  <c r="I214" i="10"/>
  <c r="I172" i="10" s="1"/>
  <c r="J214" i="10"/>
  <c r="J172" i="10" s="1"/>
  <c r="K214" i="10"/>
  <c r="K172" i="10" s="1"/>
  <c r="L214" i="10"/>
  <c r="L172" i="10" s="1"/>
  <c r="M214" i="10"/>
  <c r="M172" i="10" s="1"/>
  <c r="A215" i="10"/>
  <c r="B215" i="10"/>
  <c r="D215" i="10"/>
  <c r="D173" i="10" s="1"/>
  <c r="F215" i="10"/>
  <c r="F173" i="10" s="1"/>
  <c r="G215" i="10"/>
  <c r="H215" i="10"/>
  <c r="H173" i="10" s="1"/>
  <c r="I215" i="10"/>
  <c r="J215" i="10"/>
  <c r="J173" i="10" s="1"/>
  <c r="K215" i="10"/>
  <c r="L215" i="10"/>
  <c r="L173" i="10" s="1"/>
  <c r="M215" i="10"/>
  <c r="A216" i="10"/>
  <c r="D216" i="10"/>
  <c r="E216" i="10" s="1"/>
  <c r="E174" i="10" s="1"/>
  <c r="F216" i="10"/>
  <c r="F174" i="10" s="1"/>
  <c r="G216" i="10"/>
  <c r="G174" i="10" s="1"/>
  <c r="H216" i="10"/>
  <c r="H174" i="10" s="1"/>
  <c r="I216" i="10"/>
  <c r="I174" i="10" s="1"/>
  <c r="J216" i="10"/>
  <c r="J174" i="10" s="1"/>
  <c r="K216" i="10"/>
  <c r="K174" i="10" s="1"/>
  <c r="L216" i="10"/>
  <c r="L174" i="10" s="1"/>
  <c r="M216" i="10"/>
  <c r="M174" i="10" s="1"/>
  <c r="A217" i="10"/>
  <c r="B217" i="10"/>
  <c r="D217" i="10"/>
  <c r="D175" i="10" s="1"/>
  <c r="F217" i="10"/>
  <c r="F175" i="10" s="1"/>
  <c r="G217" i="10"/>
  <c r="H217" i="10"/>
  <c r="H175" i="10" s="1"/>
  <c r="I217" i="10"/>
  <c r="J217" i="10"/>
  <c r="J175" i="10" s="1"/>
  <c r="K217" i="10"/>
  <c r="L217" i="10"/>
  <c r="L175" i="10" s="1"/>
  <c r="M217" i="10"/>
  <c r="A218" i="10"/>
  <c r="D218" i="10"/>
  <c r="E218" i="10" s="1"/>
  <c r="E176" i="10" s="1"/>
  <c r="F218" i="10"/>
  <c r="F176" i="10" s="1"/>
  <c r="G218" i="10"/>
  <c r="G176" i="10" s="1"/>
  <c r="H218" i="10"/>
  <c r="H176" i="10" s="1"/>
  <c r="I218" i="10"/>
  <c r="I176" i="10" s="1"/>
  <c r="J218" i="10"/>
  <c r="J176" i="10" s="1"/>
  <c r="K218" i="10"/>
  <c r="K176" i="10" s="1"/>
  <c r="L218" i="10"/>
  <c r="L176" i="10" s="1"/>
  <c r="M218" i="10"/>
  <c r="M176" i="10" s="1"/>
  <c r="A219" i="10"/>
  <c r="B219" i="10"/>
  <c r="D219" i="10"/>
  <c r="D177" i="10" s="1"/>
  <c r="F219" i="10"/>
  <c r="F177" i="10" s="1"/>
  <c r="G219" i="10"/>
  <c r="H219" i="10"/>
  <c r="H177" i="10" s="1"/>
  <c r="I219" i="10"/>
  <c r="J219" i="10"/>
  <c r="J177" i="10" s="1"/>
  <c r="K219" i="10"/>
  <c r="L219" i="10"/>
  <c r="L177" i="10" s="1"/>
  <c r="M219" i="10"/>
  <c r="A220" i="10"/>
  <c r="D220" i="10"/>
  <c r="E220" i="10" s="1"/>
  <c r="E178" i="10" s="1"/>
  <c r="F220" i="10"/>
  <c r="F178" i="10" s="1"/>
  <c r="G220" i="10"/>
  <c r="G178" i="10" s="1"/>
  <c r="H220" i="10"/>
  <c r="H178" i="10" s="1"/>
  <c r="I220" i="10"/>
  <c r="I178" i="10" s="1"/>
  <c r="J220" i="10"/>
  <c r="J178" i="10" s="1"/>
  <c r="K220" i="10"/>
  <c r="K178" i="10" s="1"/>
  <c r="L220" i="10"/>
  <c r="L178" i="10" s="1"/>
  <c r="M220" i="10"/>
  <c r="M178" i="10" s="1"/>
  <c r="A221" i="10"/>
  <c r="B221" i="10"/>
  <c r="D221" i="10"/>
  <c r="D179" i="10" s="1"/>
  <c r="F221" i="10"/>
  <c r="F179" i="10" s="1"/>
  <c r="G221" i="10"/>
  <c r="H221" i="10"/>
  <c r="H179" i="10" s="1"/>
  <c r="I221" i="10"/>
  <c r="J221" i="10"/>
  <c r="J179" i="10" s="1"/>
  <c r="K221" i="10"/>
  <c r="L221" i="10"/>
  <c r="L179" i="10" s="1"/>
  <c r="M221" i="10"/>
  <c r="A222" i="10"/>
  <c r="D222" i="10"/>
  <c r="E222" i="10" s="1"/>
  <c r="E180" i="10" s="1"/>
  <c r="F222" i="10"/>
  <c r="F180" i="10" s="1"/>
  <c r="G222" i="10"/>
  <c r="G180" i="10" s="1"/>
  <c r="H222" i="10"/>
  <c r="H180" i="10" s="1"/>
  <c r="I222" i="10"/>
  <c r="I180" i="10" s="1"/>
  <c r="J222" i="10"/>
  <c r="J180" i="10" s="1"/>
  <c r="K222" i="10"/>
  <c r="K180" i="10" s="1"/>
  <c r="L222" i="10"/>
  <c r="L180" i="10" s="1"/>
  <c r="M222" i="10"/>
  <c r="M180" i="10" s="1"/>
  <c r="A223" i="10"/>
  <c r="B223" i="10"/>
  <c r="D223" i="10"/>
  <c r="D181" i="10" s="1"/>
  <c r="F223" i="10"/>
  <c r="F181" i="10" s="1"/>
  <c r="G223" i="10"/>
  <c r="H223" i="10"/>
  <c r="H181" i="10" s="1"/>
  <c r="I223" i="10"/>
  <c r="J223" i="10"/>
  <c r="J181" i="10" s="1"/>
  <c r="K223" i="10"/>
  <c r="L223" i="10"/>
  <c r="L181" i="10" s="1"/>
  <c r="M223" i="10"/>
  <c r="A224" i="10"/>
  <c r="D224" i="10"/>
  <c r="E224" i="10" s="1"/>
  <c r="E182" i="10" s="1"/>
  <c r="F224" i="10"/>
  <c r="F182" i="10" s="1"/>
  <c r="G224" i="10"/>
  <c r="G182" i="10" s="1"/>
  <c r="H224" i="10"/>
  <c r="H182" i="10" s="1"/>
  <c r="I224" i="10"/>
  <c r="I182" i="10" s="1"/>
  <c r="J224" i="10"/>
  <c r="J182" i="10" s="1"/>
  <c r="K224" i="10"/>
  <c r="K182" i="10" s="1"/>
  <c r="L224" i="10"/>
  <c r="L182" i="10" s="1"/>
  <c r="M224" i="10"/>
  <c r="M182" i="10" s="1"/>
  <c r="A225" i="10"/>
  <c r="B225" i="10"/>
  <c r="D225" i="10"/>
  <c r="D183" i="10" s="1"/>
  <c r="F225" i="10"/>
  <c r="F183" i="10" s="1"/>
  <c r="G225" i="10"/>
  <c r="H225" i="10"/>
  <c r="H183" i="10" s="1"/>
  <c r="I225" i="10"/>
  <c r="J225" i="10"/>
  <c r="J183" i="10" s="1"/>
  <c r="K225" i="10"/>
  <c r="L225" i="10"/>
  <c r="L183" i="10" s="1"/>
  <c r="M225" i="10"/>
  <c r="A226" i="10"/>
  <c r="A268" i="10" s="1"/>
  <c r="A310" i="10" s="1"/>
  <c r="A352" i="10" s="1"/>
  <c r="D226" i="10"/>
  <c r="E226" i="10" s="1"/>
  <c r="E184" i="10" s="1"/>
  <c r="F226" i="10"/>
  <c r="F184" i="10" s="1"/>
  <c r="G226" i="10"/>
  <c r="G184" i="10" s="1"/>
  <c r="H226" i="10"/>
  <c r="H184" i="10" s="1"/>
  <c r="I226" i="10"/>
  <c r="I184" i="10" s="1"/>
  <c r="J226" i="10"/>
  <c r="J184" i="10" s="1"/>
  <c r="K226" i="10"/>
  <c r="K184" i="10" s="1"/>
  <c r="L226" i="10"/>
  <c r="L184" i="10" s="1"/>
  <c r="M226" i="10"/>
  <c r="M184" i="10" s="1"/>
  <c r="A227" i="10"/>
  <c r="A269" i="10" s="1"/>
  <c r="A311" i="10" s="1"/>
  <c r="A353" i="10" s="1"/>
  <c r="B227" i="10"/>
  <c r="D227" i="10"/>
  <c r="D185" i="10" s="1"/>
  <c r="F227" i="10"/>
  <c r="F185" i="10" s="1"/>
  <c r="G227" i="10"/>
  <c r="H227" i="10"/>
  <c r="H185" i="10" s="1"/>
  <c r="I227" i="10"/>
  <c r="J227" i="10"/>
  <c r="J185" i="10" s="1"/>
  <c r="K227" i="10"/>
  <c r="L227" i="10"/>
  <c r="L185" i="10" s="1"/>
  <c r="M227" i="10"/>
  <c r="A228" i="10"/>
  <c r="A270" i="10" s="1"/>
  <c r="A312" i="10" s="1"/>
  <c r="A354" i="10" s="1"/>
  <c r="D228" i="10"/>
  <c r="E228" i="10" s="1"/>
  <c r="E186" i="10" s="1"/>
  <c r="F228" i="10"/>
  <c r="F186" i="10" s="1"/>
  <c r="G228" i="10"/>
  <c r="G186" i="10" s="1"/>
  <c r="H228" i="10"/>
  <c r="H186" i="10" s="1"/>
  <c r="I228" i="10"/>
  <c r="I186" i="10" s="1"/>
  <c r="J228" i="10"/>
  <c r="J186" i="10" s="1"/>
  <c r="K228" i="10"/>
  <c r="K186" i="10" s="1"/>
  <c r="L228" i="10"/>
  <c r="L186" i="10" s="1"/>
  <c r="M228" i="10"/>
  <c r="M186" i="10" s="1"/>
  <c r="A229" i="10"/>
  <c r="A271" i="10" s="1"/>
  <c r="A313" i="10" s="1"/>
  <c r="A355" i="10" s="1"/>
  <c r="B229" i="10"/>
  <c r="D229" i="10"/>
  <c r="D187" i="10" s="1"/>
  <c r="F229" i="10"/>
  <c r="F187" i="10" s="1"/>
  <c r="G229" i="10"/>
  <c r="H229" i="10"/>
  <c r="H187" i="10" s="1"/>
  <c r="I229" i="10"/>
  <c r="J229" i="10"/>
  <c r="J187" i="10" s="1"/>
  <c r="K229" i="10"/>
  <c r="L229" i="10"/>
  <c r="L187" i="10" s="1"/>
  <c r="M229" i="10"/>
  <c r="A230" i="10"/>
  <c r="A272" i="10" s="1"/>
  <c r="A314" i="10" s="1"/>
  <c r="A356" i="10" s="1"/>
  <c r="D230" i="10"/>
  <c r="E230" i="10" s="1"/>
  <c r="E188" i="10" s="1"/>
  <c r="F230" i="10"/>
  <c r="F188" i="10" s="1"/>
  <c r="G230" i="10"/>
  <c r="G188" i="10" s="1"/>
  <c r="H230" i="10"/>
  <c r="H188" i="10" s="1"/>
  <c r="I230" i="10"/>
  <c r="I188" i="10" s="1"/>
  <c r="J230" i="10"/>
  <c r="J188" i="10" s="1"/>
  <c r="K230" i="10"/>
  <c r="K188" i="10" s="1"/>
  <c r="L230" i="10"/>
  <c r="L188" i="10" s="1"/>
  <c r="M230" i="10"/>
  <c r="M188" i="10" s="1"/>
  <c r="A231" i="10"/>
  <c r="A273" i="10" s="1"/>
  <c r="A315" i="10" s="1"/>
  <c r="A357" i="10" s="1"/>
  <c r="B231" i="10"/>
  <c r="D231" i="10"/>
  <c r="D189" i="10" s="1"/>
  <c r="F231" i="10"/>
  <c r="F189" i="10" s="1"/>
  <c r="G231" i="10"/>
  <c r="H231" i="10"/>
  <c r="H189" i="10" s="1"/>
  <c r="I231" i="10"/>
  <c r="J231" i="10"/>
  <c r="J189" i="10" s="1"/>
  <c r="K231" i="10"/>
  <c r="L231" i="10"/>
  <c r="L189" i="10" s="1"/>
  <c r="M231" i="10"/>
  <c r="A232" i="10"/>
  <c r="A274" i="10" s="1"/>
  <c r="A316" i="10" s="1"/>
  <c r="A358" i="10" s="1"/>
  <c r="D232" i="10"/>
  <c r="E232" i="10" s="1"/>
  <c r="E190" i="10" s="1"/>
  <c r="F232" i="10"/>
  <c r="F190" i="10" s="1"/>
  <c r="G232" i="10"/>
  <c r="G190" i="10" s="1"/>
  <c r="H232" i="10"/>
  <c r="H190" i="10" s="1"/>
  <c r="I232" i="10"/>
  <c r="I190" i="10" s="1"/>
  <c r="J232" i="10"/>
  <c r="J190" i="10" s="1"/>
  <c r="K232" i="10"/>
  <c r="K190" i="10" s="1"/>
  <c r="L232" i="10"/>
  <c r="L190" i="10" s="1"/>
  <c r="M232" i="10"/>
  <c r="M190" i="10" s="1"/>
  <c r="A233" i="10"/>
  <c r="A275" i="10" s="1"/>
  <c r="A317" i="10" s="1"/>
  <c r="A359" i="10" s="1"/>
  <c r="B233" i="10"/>
  <c r="D233" i="10"/>
  <c r="D191" i="10" s="1"/>
  <c r="F233" i="10"/>
  <c r="F191" i="10" s="1"/>
  <c r="G233" i="10"/>
  <c r="H233" i="10"/>
  <c r="H191" i="10" s="1"/>
  <c r="I233" i="10"/>
  <c r="J233" i="10"/>
  <c r="J191" i="10" s="1"/>
  <c r="K233" i="10"/>
  <c r="L233" i="10"/>
  <c r="L191" i="10" s="1"/>
  <c r="M233" i="10"/>
  <c r="A234" i="10"/>
  <c r="A276" i="10" s="1"/>
  <c r="A318" i="10" s="1"/>
  <c r="A360" i="10" s="1"/>
  <c r="D234" i="10"/>
  <c r="E234" i="10" s="1"/>
  <c r="E192" i="10" s="1"/>
  <c r="F234" i="10"/>
  <c r="F192" i="10" s="1"/>
  <c r="G234" i="10"/>
  <c r="G192" i="10" s="1"/>
  <c r="H234" i="10"/>
  <c r="H192" i="10" s="1"/>
  <c r="I234" i="10"/>
  <c r="I192" i="10" s="1"/>
  <c r="J234" i="10"/>
  <c r="J192" i="10" s="1"/>
  <c r="K234" i="10"/>
  <c r="K192" i="10" s="1"/>
  <c r="L234" i="10"/>
  <c r="L192" i="10" s="1"/>
  <c r="M234" i="10"/>
  <c r="M192" i="10" s="1"/>
  <c r="A235" i="10"/>
  <c r="A277" i="10" s="1"/>
  <c r="A319" i="10" s="1"/>
  <c r="A361" i="10" s="1"/>
  <c r="B235" i="10"/>
  <c r="D235" i="10"/>
  <c r="D193" i="10" s="1"/>
  <c r="F235" i="10"/>
  <c r="F193" i="10" s="1"/>
  <c r="G235" i="10"/>
  <c r="H235" i="10"/>
  <c r="H193" i="10" s="1"/>
  <c r="I235" i="10"/>
  <c r="J235" i="10"/>
  <c r="J193" i="10" s="1"/>
  <c r="K235" i="10"/>
  <c r="L235" i="10"/>
  <c r="L193" i="10" s="1"/>
  <c r="M235" i="10"/>
  <c r="D236" i="10"/>
  <c r="F236" i="10"/>
  <c r="G236" i="10"/>
  <c r="H236" i="10"/>
  <c r="I236" i="10"/>
  <c r="K236" i="10"/>
  <c r="L236" i="10"/>
  <c r="M236" i="10"/>
  <c r="A240" i="10"/>
  <c r="A241" i="10"/>
  <c r="B241" i="10"/>
  <c r="A242" i="10"/>
  <c r="A243" i="10"/>
  <c r="B243" i="10"/>
  <c r="A244" i="10"/>
  <c r="A245" i="10"/>
  <c r="B245" i="10"/>
  <c r="A246" i="10"/>
  <c r="A247" i="10"/>
  <c r="B247" i="10"/>
  <c r="A248" i="10"/>
  <c r="A249" i="10"/>
  <c r="B249" i="10"/>
  <c r="A250" i="10"/>
  <c r="A251" i="10"/>
  <c r="B251" i="10"/>
  <c r="A252" i="10"/>
  <c r="A253" i="10"/>
  <c r="B253" i="10"/>
  <c r="E253" i="10"/>
  <c r="B255" i="10"/>
  <c r="B297" i="10" s="1"/>
  <c r="B339" i="10" s="1"/>
  <c r="E256" i="10"/>
  <c r="A257" i="10"/>
  <c r="B257" i="10"/>
  <c r="A258" i="10"/>
  <c r="A259" i="10"/>
  <c r="B259" i="10"/>
  <c r="A260" i="10"/>
  <c r="A261" i="10"/>
  <c r="B261" i="10"/>
  <c r="A262" i="10"/>
  <c r="A263" i="10"/>
  <c r="B263" i="10"/>
  <c r="A264" i="10"/>
  <c r="A265" i="10"/>
  <c r="B265" i="10"/>
  <c r="A266" i="10"/>
  <c r="A267" i="10"/>
  <c r="B267" i="10"/>
  <c r="E267" i="10"/>
  <c r="B269" i="10"/>
  <c r="B311" i="10" s="1"/>
  <c r="B353" i="10" s="1"/>
  <c r="B271" i="10"/>
  <c r="B313" i="10" s="1"/>
  <c r="B355" i="10" s="1"/>
  <c r="B273" i="10"/>
  <c r="B315" i="10" s="1"/>
  <c r="B357" i="10" s="1"/>
  <c r="B275" i="10"/>
  <c r="B317" i="10" s="1"/>
  <c r="B359" i="10" s="1"/>
  <c r="B277" i="10"/>
  <c r="B319" i="10" s="1"/>
  <c r="B361" i="10" s="1"/>
  <c r="D278" i="10"/>
  <c r="F278" i="10"/>
  <c r="G278" i="10"/>
  <c r="H278" i="10"/>
  <c r="I278" i="10"/>
  <c r="J278" i="10"/>
  <c r="K278" i="10"/>
  <c r="L278" i="10"/>
  <c r="M278" i="10"/>
  <c r="A282" i="10"/>
  <c r="A324" i="10" s="1"/>
  <c r="A283" i="10"/>
  <c r="A325" i="10" s="1"/>
  <c r="B283" i="10"/>
  <c r="A284" i="10"/>
  <c r="A326" i="10" s="1"/>
  <c r="A285" i="10"/>
  <c r="A327" i="10" s="1"/>
  <c r="B285" i="10"/>
  <c r="A286" i="10"/>
  <c r="A328" i="10" s="1"/>
  <c r="A287" i="10"/>
  <c r="A329" i="10" s="1"/>
  <c r="B287" i="10"/>
  <c r="A288" i="10"/>
  <c r="A330" i="10" s="1"/>
  <c r="A289" i="10"/>
  <c r="A331" i="10" s="1"/>
  <c r="B289" i="10"/>
  <c r="A290" i="10"/>
  <c r="A332" i="10" s="1"/>
  <c r="A291" i="10"/>
  <c r="A333" i="10" s="1"/>
  <c r="B291" i="10"/>
  <c r="A292" i="10"/>
  <c r="A334" i="10" s="1"/>
  <c r="A293" i="10"/>
  <c r="A335" i="10" s="1"/>
  <c r="B293" i="10"/>
  <c r="A294" i="10"/>
  <c r="A336" i="10" s="1"/>
  <c r="A295" i="10"/>
  <c r="A337" i="10" s="1"/>
  <c r="B295" i="10"/>
  <c r="A299" i="10"/>
  <c r="A341" i="10" s="1"/>
  <c r="B299" i="10"/>
  <c r="A300" i="10"/>
  <c r="A342" i="10" s="1"/>
  <c r="A301" i="10"/>
  <c r="A343" i="10" s="1"/>
  <c r="B301" i="10"/>
  <c r="A302" i="10"/>
  <c r="A344" i="10" s="1"/>
  <c r="A303" i="10"/>
  <c r="A345" i="10" s="1"/>
  <c r="B303" i="10"/>
  <c r="A304" i="10"/>
  <c r="A346" i="10" s="1"/>
  <c r="A305" i="10"/>
  <c r="A347" i="10" s="1"/>
  <c r="B305" i="10"/>
  <c r="A306" i="10"/>
  <c r="A348" i="10" s="1"/>
  <c r="A307" i="10"/>
  <c r="A349" i="10" s="1"/>
  <c r="B307" i="10"/>
  <c r="A308" i="10"/>
  <c r="A350" i="10" s="1"/>
  <c r="A309" i="10"/>
  <c r="B309" i="10"/>
  <c r="D320" i="10"/>
  <c r="F320" i="10"/>
  <c r="G320" i="10"/>
  <c r="H320" i="10"/>
  <c r="I320" i="10"/>
  <c r="J320" i="10"/>
  <c r="K320" i="10"/>
  <c r="L320" i="10"/>
  <c r="M320" i="10"/>
  <c r="B325" i="10"/>
  <c r="B327" i="10"/>
  <c r="B329" i="10"/>
  <c r="B331" i="10"/>
  <c r="B333" i="10"/>
  <c r="B335" i="10"/>
  <c r="B337" i="10"/>
  <c r="B341" i="10"/>
  <c r="B343" i="10"/>
  <c r="B345" i="10"/>
  <c r="B347" i="10"/>
  <c r="B349" i="10"/>
  <c r="F350" i="10"/>
  <c r="A351" i="10"/>
  <c r="B351" i="10"/>
  <c r="D362" i="10"/>
  <c r="F362" i="10"/>
  <c r="G362" i="10"/>
  <c r="H362" i="10"/>
  <c r="I362" i="10"/>
  <c r="J362" i="10"/>
  <c r="K362" i="10"/>
  <c r="L362" i="10"/>
  <c r="M362" i="10"/>
  <c r="J123" i="14" l="1"/>
  <c r="J81" i="14" s="1"/>
  <c r="J107" i="14"/>
  <c r="J65" i="14" s="1"/>
  <c r="J101" i="14"/>
  <c r="J59" i="14" s="1"/>
  <c r="J118" i="14"/>
  <c r="J76" i="14" s="1"/>
  <c r="J108" i="14"/>
  <c r="J66" i="14" s="1"/>
  <c r="J102" i="14"/>
  <c r="J60" i="14" s="1"/>
  <c r="E139" i="14"/>
  <c r="J145" i="14" s="1"/>
  <c r="J133" i="14" s="1"/>
  <c r="E194" i="14"/>
  <c r="E141" i="14"/>
  <c r="J147" i="14" s="1"/>
  <c r="J135" i="14" s="1"/>
  <c r="E137" i="14"/>
  <c r="N147" i="14"/>
  <c r="N135" i="14" s="1"/>
  <c r="J143" i="14"/>
  <c r="J131" i="14" s="1"/>
  <c r="F148" i="15"/>
  <c r="F107" i="15" s="1"/>
  <c r="F65" i="15" s="1"/>
  <c r="F146" i="15"/>
  <c r="F105" i="15" s="1"/>
  <c r="F63" i="15" s="1"/>
  <c r="F144" i="15"/>
  <c r="F103" i="15" s="1"/>
  <c r="F61" i="15" s="1"/>
  <c r="J168" i="15"/>
  <c r="J127" i="15" s="1"/>
  <c r="J85" i="15" s="1"/>
  <c r="J166" i="15"/>
  <c r="J125" i="15" s="1"/>
  <c r="J83" i="15" s="1"/>
  <c r="J164" i="15"/>
  <c r="J123" i="15" s="1"/>
  <c r="J81" i="15" s="1"/>
  <c r="J162" i="15"/>
  <c r="J121" i="15" s="1"/>
  <c r="J79" i="15" s="1"/>
  <c r="J160" i="15"/>
  <c r="J119" i="15" s="1"/>
  <c r="J77" i="15" s="1"/>
  <c r="J158" i="15"/>
  <c r="J117" i="15" s="1"/>
  <c r="J75" i="15" s="1"/>
  <c r="J156" i="15"/>
  <c r="J115" i="15" s="1"/>
  <c r="J73" i="15" s="1"/>
  <c r="J154" i="15"/>
  <c r="J113" i="15" s="1"/>
  <c r="J71" i="15" s="1"/>
  <c r="J152" i="15"/>
  <c r="J111" i="15" s="1"/>
  <c r="J69" i="15" s="1"/>
  <c r="J150" i="15"/>
  <c r="J109" i="15" s="1"/>
  <c r="J67" i="15" s="1"/>
  <c r="J148" i="15"/>
  <c r="J107" i="15" s="1"/>
  <c r="J65" i="15" s="1"/>
  <c r="J146" i="15"/>
  <c r="J105" i="15" s="1"/>
  <c r="J63" i="15" s="1"/>
  <c r="N142" i="15"/>
  <c r="N101" i="15" s="1"/>
  <c r="N59" i="15" s="1"/>
  <c r="I142" i="15"/>
  <c r="E142" i="15"/>
  <c r="E101" i="15" s="1"/>
  <c r="E59" i="15" s="1"/>
  <c r="L142" i="15"/>
  <c r="L101" i="15" s="1"/>
  <c r="L59" i="15" s="1"/>
  <c r="G142" i="15"/>
  <c r="G101" i="15" s="1"/>
  <c r="G59" i="15" s="1"/>
  <c r="L140" i="15"/>
  <c r="L99" i="15" s="1"/>
  <c r="L57" i="15" s="1"/>
  <c r="G140" i="15"/>
  <c r="G99" i="15" s="1"/>
  <c r="G57" i="15" s="1"/>
  <c r="N140" i="15"/>
  <c r="N99" i="15" s="1"/>
  <c r="N57" i="15" s="1"/>
  <c r="I140" i="15"/>
  <c r="E140" i="15"/>
  <c r="E99" i="15" s="1"/>
  <c r="E57" i="15" s="1"/>
  <c r="L132" i="15"/>
  <c r="L91" i="15" s="1"/>
  <c r="L49" i="15" s="1"/>
  <c r="G132" i="15"/>
  <c r="G91" i="15" s="1"/>
  <c r="G49" i="15" s="1"/>
  <c r="C187" i="15"/>
  <c r="J132" i="15"/>
  <c r="J91" i="15" s="1"/>
  <c r="J49" i="15" s="1"/>
  <c r="G134" i="15"/>
  <c r="G93" i="15" s="1"/>
  <c r="G51" i="15" s="1"/>
  <c r="L134" i="15"/>
  <c r="L93" i="15" s="1"/>
  <c r="L51" i="15" s="1"/>
  <c r="L141" i="15"/>
  <c r="L100" i="15" s="1"/>
  <c r="L58" i="15" s="1"/>
  <c r="G141" i="15"/>
  <c r="G100" i="15" s="1"/>
  <c r="G58" i="15" s="1"/>
  <c r="N141" i="15"/>
  <c r="N100" i="15" s="1"/>
  <c r="N58" i="15" s="1"/>
  <c r="I141" i="15"/>
  <c r="E141" i="15"/>
  <c r="E100" i="15" s="1"/>
  <c r="E58" i="15" s="1"/>
  <c r="L136" i="15"/>
  <c r="L95" i="15" s="1"/>
  <c r="L53" i="15" s="1"/>
  <c r="G136" i="15"/>
  <c r="G95" i="15" s="1"/>
  <c r="G53" i="15" s="1"/>
  <c r="J142" i="15"/>
  <c r="J101" i="15" s="1"/>
  <c r="J59" i="15" s="1"/>
  <c r="F140" i="15"/>
  <c r="F99" i="15" s="1"/>
  <c r="F57" i="15" s="1"/>
  <c r="N138" i="15"/>
  <c r="N97" i="15" s="1"/>
  <c r="N55" i="15" s="1"/>
  <c r="I138" i="15"/>
  <c r="E138" i="15"/>
  <c r="E97" i="15" s="1"/>
  <c r="E55" i="15" s="1"/>
  <c r="L138" i="15"/>
  <c r="L97" i="15" s="1"/>
  <c r="L55" i="15" s="1"/>
  <c r="G138" i="15"/>
  <c r="G97" i="15" s="1"/>
  <c r="G55" i="15" s="1"/>
  <c r="J140" i="15"/>
  <c r="J99" i="15" s="1"/>
  <c r="J57" i="15" s="1"/>
  <c r="F177" i="15"/>
  <c r="J131" i="15" s="1"/>
  <c r="J90" i="15" s="1"/>
  <c r="J48" i="15" s="1"/>
  <c r="F257" i="15"/>
  <c r="M167" i="15"/>
  <c r="M126" i="15" s="1"/>
  <c r="M84" i="15" s="1"/>
  <c r="K167" i="15"/>
  <c r="K126" i="15" s="1"/>
  <c r="K84" i="15" s="1"/>
  <c r="H167" i="15"/>
  <c r="H126" i="15" s="1"/>
  <c r="D167" i="15"/>
  <c r="D126" i="15" s="1"/>
  <c r="N167" i="15"/>
  <c r="N126" i="15" s="1"/>
  <c r="N84" i="15" s="1"/>
  <c r="I167" i="15"/>
  <c r="C213" i="15"/>
  <c r="G167" i="15"/>
  <c r="G126" i="15" s="1"/>
  <c r="G84" i="15" s="1"/>
  <c r="L167" i="15"/>
  <c r="L126" i="15" s="1"/>
  <c r="L84" i="15" s="1"/>
  <c r="E167" i="15"/>
  <c r="E126" i="15" s="1"/>
  <c r="E84" i="15" s="1"/>
  <c r="M165" i="15"/>
  <c r="M124" i="15" s="1"/>
  <c r="M82" i="15" s="1"/>
  <c r="K165" i="15"/>
  <c r="K124" i="15" s="1"/>
  <c r="K82" i="15" s="1"/>
  <c r="H165" i="15"/>
  <c r="H124" i="15" s="1"/>
  <c r="D165" i="15"/>
  <c r="D124" i="15" s="1"/>
  <c r="N165" i="15"/>
  <c r="N124" i="15" s="1"/>
  <c r="N82" i="15" s="1"/>
  <c r="I165" i="15"/>
  <c r="C211" i="15"/>
  <c r="G165" i="15"/>
  <c r="G124" i="15" s="1"/>
  <c r="G82" i="15" s="1"/>
  <c r="L165" i="15"/>
  <c r="L124" i="15" s="1"/>
  <c r="L82" i="15" s="1"/>
  <c r="E165" i="15"/>
  <c r="E124" i="15" s="1"/>
  <c r="E82" i="15" s="1"/>
  <c r="M163" i="15"/>
  <c r="M122" i="15" s="1"/>
  <c r="M80" i="15" s="1"/>
  <c r="K163" i="15"/>
  <c r="K122" i="15" s="1"/>
  <c r="K80" i="15" s="1"/>
  <c r="H163" i="15"/>
  <c r="H122" i="15" s="1"/>
  <c r="D163" i="15"/>
  <c r="D122" i="15" s="1"/>
  <c r="N163" i="15"/>
  <c r="N122" i="15" s="1"/>
  <c r="N80" i="15" s="1"/>
  <c r="I163" i="15"/>
  <c r="C209" i="15"/>
  <c r="G163" i="15"/>
  <c r="G122" i="15" s="1"/>
  <c r="G80" i="15" s="1"/>
  <c r="L163" i="15"/>
  <c r="L122" i="15" s="1"/>
  <c r="L80" i="15" s="1"/>
  <c r="E163" i="15"/>
  <c r="E122" i="15" s="1"/>
  <c r="E80" i="15" s="1"/>
  <c r="M161" i="15"/>
  <c r="M120" i="15" s="1"/>
  <c r="M78" i="15" s="1"/>
  <c r="K161" i="15"/>
  <c r="K120" i="15" s="1"/>
  <c r="K78" i="15" s="1"/>
  <c r="H161" i="15"/>
  <c r="H120" i="15" s="1"/>
  <c r="D161" i="15"/>
  <c r="D120" i="15" s="1"/>
  <c r="N161" i="15"/>
  <c r="N120" i="15" s="1"/>
  <c r="N78" i="15" s="1"/>
  <c r="I161" i="15"/>
  <c r="C207" i="15"/>
  <c r="G161" i="15"/>
  <c r="G120" i="15" s="1"/>
  <c r="G78" i="15" s="1"/>
  <c r="L161" i="15"/>
  <c r="L120" i="15" s="1"/>
  <c r="L78" i="15" s="1"/>
  <c r="E161" i="15"/>
  <c r="E120" i="15" s="1"/>
  <c r="E78" i="15" s="1"/>
  <c r="M159" i="15"/>
  <c r="M118" i="15" s="1"/>
  <c r="M76" i="15" s="1"/>
  <c r="K159" i="15"/>
  <c r="K118" i="15" s="1"/>
  <c r="K76" i="15" s="1"/>
  <c r="H159" i="15"/>
  <c r="H118" i="15" s="1"/>
  <c r="D159" i="15"/>
  <c r="D118" i="15" s="1"/>
  <c r="N159" i="15"/>
  <c r="N118" i="15" s="1"/>
  <c r="N76" i="15" s="1"/>
  <c r="I159" i="15"/>
  <c r="C205" i="15"/>
  <c r="G159" i="15"/>
  <c r="G118" i="15" s="1"/>
  <c r="G76" i="15" s="1"/>
  <c r="L159" i="15"/>
  <c r="L118" i="15" s="1"/>
  <c r="L76" i="15" s="1"/>
  <c r="E159" i="15"/>
  <c r="E118" i="15" s="1"/>
  <c r="E76" i="15" s="1"/>
  <c r="M157" i="15"/>
  <c r="M116" i="15" s="1"/>
  <c r="M74" i="15" s="1"/>
  <c r="K157" i="15"/>
  <c r="K116" i="15" s="1"/>
  <c r="K74" i="15" s="1"/>
  <c r="H157" i="15"/>
  <c r="H116" i="15" s="1"/>
  <c r="D157" i="15"/>
  <c r="D116" i="15" s="1"/>
  <c r="N157" i="15"/>
  <c r="N116" i="15" s="1"/>
  <c r="N74" i="15" s="1"/>
  <c r="I157" i="15"/>
  <c r="C203" i="15"/>
  <c r="G157" i="15"/>
  <c r="G116" i="15" s="1"/>
  <c r="G74" i="15" s="1"/>
  <c r="L157" i="15"/>
  <c r="L116" i="15" s="1"/>
  <c r="L74" i="15" s="1"/>
  <c r="E157" i="15"/>
  <c r="E116" i="15" s="1"/>
  <c r="E74" i="15" s="1"/>
  <c r="M155" i="15"/>
  <c r="M114" i="15" s="1"/>
  <c r="M72" i="15" s="1"/>
  <c r="K155" i="15"/>
  <c r="K114" i="15" s="1"/>
  <c r="K72" i="15" s="1"/>
  <c r="H155" i="15"/>
  <c r="H114" i="15" s="1"/>
  <c r="D155" i="15"/>
  <c r="D114" i="15" s="1"/>
  <c r="N155" i="15"/>
  <c r="N114" i="15" s="1"/>
  <c r="N72" i="15" s="1"/>
  <c r="I155" i="15"/>
  <c r="C201" i="15"/>
  <c r="G155" i="15"/>
  <c r="G114" i="15" s="1"/>
  <c r="G72" i="15" s="1"/>
  <c r="L155" i="15"/>
  <c r="L114" i="15" s="1"/>
  <c r="L72" i="15" s="1"/>
  <c r="E155" i="15"/>
  <c r="E114" i="15" s="1"/>
  <c r="E72" i="15" s="1"/>
  <c r="M153" i="15"/>
  <c r="M112" i="15" s="1"/>
  <c r="M70" i="15" s="1"/>
  <c r="K153" i="15"/>
  <c r="K112" i="15" s="1"/>
  <c r="K70" i="15" s="1"/>
  <c r="H153" i="15"/>
  <c r="H112" i="15" s="1"/>
  <c r="D153" i="15"/>
  <c r="D112" i="15" s="1"/>
  <c r="N153" i="15"/>
  <c r="N112" i="15" s="1"/>
  <c r="N70" i="15" s="1"/>
  <c r="I153" i="15"/>
  <c r="C199" i="15"/>
  <c r="G153" i="15"/>
  <c r="G112" i="15" s="1"/>
  <c r="G70" i="15" s="1"/>
  <c r="L153" i="15"/>
  <c r="L112" i="15" s="1"/>
  <c r="L70" i="15" s="1"/>
  <c r="E153" i="15"/>
  <c r="E112" i="15" s="1"/>
  <c r="E70" i="15" s="1"/>
  <c r="M151" i="15"/>
  <c r="M110" i="15" s="1"/>
  <c r="M68" i="15" s="1"/>
  <c r="K151" i="15"/>
  <c r="K110" i="15" s="1"/>
  <c r="K68" i="15" s="1"/>
  <c r="H151" i="15"/>
  <c r="H110" i="15" s="1"/>
  <c r="D151" i="15"/>
  <c r="D110" i="15" s="1"/>
  <c r="N151" i="15"/>
  <c r="N110" i="15" s="1"/>
  <c r="N68" i="15" s="1"/>
  <c r="I151" i="15"/>
  <c r="C197" i="15"/>
  <c r="G151" i="15"/>
  <c r="G110" i="15" s="1"/>
  <c r="G68" i="15" s="1"/>
  <c r="L151" i="15"/>
  <c r="L110" i="15" s="1"/>
  <c r="L68" i="15" s="1"/>
  <c r="E151" i="15"/>
  <c r="E110" i="15" s="1"/>
  <c r="E68" i="15" s="1"/>
  <c r="M149" i="15"/>
  <c r="M108" i="15" s="1"/>
  <c r="M66" i="15" s="1"/>
  <c r="K149" i="15"/>
  <c r="K108" i="15" s="1"/>
  <c r="K66" i="15" s="1"/>
  <c r="H149" i="15"/>
  <c r="H108" i="15" s="1"/>
  <c r="D149" i="15"/>
  <c r="D108" i="15" s="1"/>
  <c r="N149" i="15"/>
  <c r="N108" i="15" s="1"/>
  <c r="N66" i="15" s="1"/>
  <c r="I149" i="15"/>
  <c r="C195" i="15"/>
  <c r="G149" i="15"/>
  <c r="G108" i="15" s="1"/>
  <c r="G66" i="15" s="1"/>
  <c r="L149" i="15"/>
  <c r="L108" i="15" s="1"/>
  <c r="L66" i="15" s="1"/>
  <c r="E149" i="15"/>
  <c r="E108" i="15" s="1"/>
  <c r="E66" i="15" s="1"/>
  <c r="M147" i="15"/>
  <c r="M106" i="15" s="1"/>
  <c r="M64" i="15" s="1"/>
  <c r="K147" i="15"/>
  <c r="K106" i="15" s="1"/>
  <c r="K64" i="15" s="1"/>
  <c r="H147" i="15"/>
  <c r="H106" i="15" s="1"/>
  <c r="D147" i="15"/>
  <c r="D106" i="15" s="1"/>
  <c r="N147" i="15"/>
  <c r="N106" i="15" s="1"/>
  <c r="N64" i="15" s="1"/>
  <c r="I147" i="15"/>
  <c r="C193" i="15"/>
  <c r="G147" i="15"/>
  <c r="G106" i="15" s="1"/>
  <c r="G64" i="15" s="1"/>
  <c r="L147" i="15"/>
  <c r="L106" i="15" s="1"/>
  <c r="L64" i="15" s="1"/>
  <c r="E147" i="15"/>
  <c r="E106" i="15" s="1"/>
  <c r="E64" i="15" s="1"/>
  <c r="M145" i="15"/>
  <c r="M104" i="15" s="1"/>
  <c r="M62" i="15" s="1"/>
  <c r="K145" i="15"/>
  <c r="K104" i="15" s="1"/>
  <c r="K62" i="15" s="1"/>
  <c r="H145" i="15"/>
  <c r="H104" i="15" s="1"/>
  <c r="D145" i="15"/>
  <c r="D104" i="15" s="1"/>
  <c r="N145" i="15"/>
  <c r="N104" i="15" s="1"/>
  <c r="N62" i="15" s="1"/>
  <c r="I145" i="15"/>
  <c r="C191" i="15"/>
  <c r="G145" i="15"/>
  <c r="G104" i="15" s="1"/>
  <c r="G62" i="15" s="1"/>
  <c r="L145" i="15"/>
  <c r="L104" i="15" s="1"/>
  <c r="L62" i="15" s="1"/>
  <c r="E145" i="15"/>
  <c r="E104" i="15" s="1"/>
  <c r="E62" i="15" s="1"/>
  <c r="D60" i="15"/>
  <c r="I102" i="15"/>
  <c r="I60" i="15" s="1"/>
  <c r="H60" i="15"/>
  <c r="D57" i="15"/>
  <c r="D59" i="15"/>
  <c r="D58" i="15"/>
  <c r="H58" i="15"/>
  <c r="I100" i="15"/>
  <c r="I58" i="15" s="1"/>
  <c r="D55" i="15"/>
  <c r="D53" i="15"/>
  <c r="D51" i="15"/>
  <c r="D49" i="15"/>
  <c r="E215" i="15"/>
  <c r="K168" i="15"/>
  <c r="K127" i="15" s="1"/>
  <c r="K85" i="15" s="1"/>
  <c r="M166" i="15"/>
  <c r="M125" i="15" s="1"/>
  <c r="M83" i="15" s="1"/>
  <c r="H166" i="15"/>
  <c r="H125" i="15" s="1"/>
  <c r="K164" i="15"/>
  <c r="K123" i="15" s="1"/>
  <c r="K81" i="15" s="1"/>
  <c r="M162" i="15"/>
  <c r="M121" i="15" s="1"/>
  <c r="M79" i="15" s="1"/>
  <c r="H162" i="15"/>
  <c r="H121" i="15" s="1"/>
  <c r="K160" i="15"/>
  <c r="K119" i="15" s="1"/>
  <c r="K77" i="15" s="1"/>
  <c r="M158" i="15"/>
  <c r="M117" i="15" s="1"/>
  <c r="M75" i="15" s="1"/>
  <c r="H158" i="15"/>
  <c r="H117" i="15" s="1"/>
  <c r="K156" i="15"/>
  <c r="K115" i="15" s="1"/>
  <c r="K73" i="15" s="1"/>
  <c r="M154" i="15"/>
  <c r="M113" i="15" s="1"/>
  <c r="M71" i="15" s="1"/>
  <c r="H154" i="15"/>
  <c r="H113" i="15" s="1"/>
  <c r="K152" i="15"/>
  <c r="K111" i="15" s="1"/>
  <c r="K69" i="15" s="1"/>
  <c r="M150" i="15"/>
  <c r="M109" i="15" s="1"/>
  <c r="M67" i="15" s="1"/>
  <c r="H150" i="15"/>
  <c r="H109" i="15" s="1"/>
  <c r="K148" i="15"/>
  <c r="K107" i="15" s="1"/>
  <c r="K65" i="15" s="1"/>
  <c r="M146" i="15"/>
  <c r="M105" i="15" s="1"/>
  <c r="M63" i="15" s="1"/>
  <c r="H146" i="15"/>
  <c r="H105" i="15" s="1"/>
  <c r="K144" i="15"/>
  <c r="K103" i="15" s="1"/>
  <c r="K61" i="15" s="1"/>
  <c r="I95" i="15"/>
  <c r="I53" i="15" s="1"/>
  <c r="H53" i="15"/>
  <c r="D52" i="15"/>
  <c r="I94" i="15"/>
  <c r="I52" i="15" s="1"/>
  <c r="H52" i="15"/>
  <c r="I91" i="15"/>
  <c r="I49" i="15" s="1"/>
  <c r="H49" i="15"/>
  <c r="N127" i="14"/>
  <c r="N85" i="14" s="1"/>
  <c r="N121" i="14"/>
  <c r="N79" i="14" s="1"/>
  <c r="N117" i="14"/>
  <c r="N75" i="14" s="1"/>
  <c r="N115" i="14"/>
  <c r="N73" i="14" s="1"/>
  <c r="N113" i="14"/>
  <c r="N71" i="14" s="1"/>
  <c r="N103" i="14"/>
  <c r="N61" i="14" s="1"/>
  <c r="N95" i="14"/>
  <c r="N53" i="14" s="1"/>
  <c r="N126" i="14"/>
  <c r="N84" i="14" s="1"/>
  <c r="N114" i="14"/>
  <c r="N72" i="14" s="1"/>
  <c r="N110" i="14"/>
  <c r="N68" i="14" s="1"/>
  <c r="N106" i="14"/>
  <c r="N64" i="14" s="1"/>
  <c r="N98" i="14"/>
  <c r="N56" i="14" s="1"/>
  <c r="N112" i="14"/>
  <c r="N70" i="14" s="1"/>
  <c r="N100" i="14"/>
  <c r="N58" i="14" s="1"/>
  <c r="N96" i="14"/>
  <c r="N54" i="14" s="1"/>
  <c r="K118" i="14"/>
  <c r="K76" i="14" s="1"/>
  <c r="K108" i="14"/>
  <c r="K66" i="14" s="1"/>
  <c r="K102" i="14"/>
  <c r="K60" i="14" s="1"/>
  <c r="K123" i="14"/>
  <c r="K81" i="14" s="1"/>
  <c r="K107" i="14"/>
  <c r="K65" i="14" s="1"/>
  <c r="K101" i="14"/>
  <c r="K59" i="14" s="1"/>
  <c r="H147" i="14"/>
  <c r="H135" i="14" s="1"/>
  <c r="N143" i="14"/>
  <c r="N131" i="14" s="1"/>
  <c r="H143" i="14"/>
  <c r="H131" i="14" s="1"/>
  <c r="D143" i="14"/>
  <c r="D131" i="14" s="1"/>
  <c r="L143" i="14"/>
  <c r="L131" i="14" s="1"/>
  <c r="F143" i="14"/>
  <c r="F131" i="14" s="1"/>
  <c r="E146" i="14"/>
  <c r="E134" i="14" s="1"/>
  <c r="H145" i="14"/>
  <c r="H133" i="14" s="1"/>
  <c r="M147" i="14"/>
  <c r="M135" i="14" s="1"/>
  <c r="N146" i="14"/>
  <c r="N134" i="14" s="1"/>
  <c r="D146" i="14"/>
  <c r="D134" i="14" s="1"/>
  <c r="G143" i="14"/>
  <c r="G131" i="14" s="1"/>
  <c r="E145" i="14"/>
  <c r="E133" i="14" s="1"/>
  <c r="E143" i="14"/>
  <c r="E131" i="14" s="1"/>
  <c r="E147" i="14"/>
  <c r="E135" i="14" s="1"/>
  <c r="F146" i="14"/>
  <c r="F134" i="14" s="1"/>
  <c r="L146" i="14"/>
  <c r="L134" i="14" s="1"/>
  <c r="L145" i="14"/>
  <c r="L133" i="14" s="1"/>
  <c r="K143" i="14"/>
  <c r="K131" i="14" s="1"/>
  <c r="C214" i="15"/>
  <c r="D168" i="15"/>
  <c r="D127" i="15" s="1"/>
  <c r="N168" i="15"/>
  <c r="N127" i="15" s="1"/>
  <c r="N85" i="15" s="1"/>
  <c r="I168" i="15"/>
  <c r="L168" i="15"/>
  <c r="L127" i="15" s="1"/>
  <c r="L85" i="15" s="1"/>
  <c r="G168" i="15"/>
  <c r="G127" i="15" s="1"/>
  <c r="G85" i="15" s="1"/>
  <c r="E168" i="15"/>
  <c r="E127" i="15" s="1"/>
  <c r="E85" i="15" s="1"/>
  <c r="F167" i="15"/>
  <c r="F126" i="15" s="1"/>
  <c r="F84" i="15" s="1"/>
  <c r="C212" i="15"/>
  <c r="D166" i="15"/>
  <c r="D125" i="15" s="1"/>
  <c r="N166" i="15"/>
  <c r="N125" i="15" s="1"/>
  <c r="N83" i="15" s="1"/>
  <c r="I166" i="15"/>
  <c r="L166" i="15"/>
  <c r="L125" i="15" s="1"/>
  <c r="L83" i="15" s="1"/>
  <c r="G166" i="15"/>
  <c r="G125" i="15" s="1"/>
  <c r="G83" i="15" s="1"/>
  <c r="E166" i="15"/>
  <c r="E125" i="15" s="1"/>
  <c r="E83" i="15" s="1"/>
  <c r="F165" i="15"/>
  <c r="F124" i="15" s="1"/>
  <c r="F82" i="15" s="1"/>
  <c r="C210" i="15"/>
  <c r="D164" i="15"/>
  <c r="D123" i="15" s="1"/>
  <c r="N164" i="15"/>
  <c r="N123" i="15" s="1"/>
  <c r="N81" i="15" s="1"/>
  <c r="I164" i="15"/>
  <c r="L164" i="15"/>
  <c r="L123" i="15" s="1"/>
  <c r="L81" i="15" s="1"/>
  <c r="G164" i="15"/>
  <c r="G123" i="15" s="1"/>
  <c r="G81" i="15" s="1"/>
  <c r="E164" i="15"/>
  <c r="E123" i="15" s="1"/>
  <c r="E81" i="15" s="1"/>
  <c r="F163" i="15"/>
  <c r="F122" i="15" s="1"/>
  <c r="F80" i="15" s="1"/>
  <c r="C208" i="15"/>
  <c r="D162" i="15"/>
  <c r="D121" i="15" s="1"/>
  <c r="N162" i="15"/>
  <c r="N121" i="15" s="1"/>
  <c r="N79" i="15" s="1"/>
  <c r="I162" i="15"/>
  <c r="L162" i="15"/>
  <c r="L121" i="15" s="1"/>
  <c r="L79" i="15" s="1"/>
  <c r="G162" i="15"/>
  <c r="G121" i="15" s="1"/>
  <c r="G79" i="15" s="1"/>
  <c r="E162" i="15"/>
  <c r="E121" i="15" s="1"/>
  <c r="E79" i="15" s="1"/>
  <c r="F161" i="15"/>
  <c r="F120" i="15" s="1"/>
  <c r="F78" i="15" s="1"/>
  <c r="C206" i="15"/>
  <c r="D160" i="15"/>
  <c r="D119" i="15" s="1"/>
  <c r="N160" i="15"/>
  <c r="N119" i="15" s="1"/>
  <c r="N77" i="15" s="1"/>
  <c r="I160" i="15"/>
  <c r="L160" i="15"/>
  <c r="L119" i="15" s="1"/>
  <c r="L77" i="15" s="1"/>
  <c r="G160" i="15"/>
  <c r="G119" i="15" s="1"/>
  <c r="G77" i="15" s="1"/>
  <c r="E160" i="15"/>
  <c r="E119" i="15" s="1"/>
  <c r="E77" i="15" s="1"/>
  <c r="F159" i="15"/>
  <c r="F118" i="15" s="1"/>
  <c r="F76" i="15" s="1"/>
  <c r="C204" i="15"/>
  <c r="D158" i="15"/>
  <c r="D117" i="15" s="1"/>
  <c r="N158" i="15"/>
  <c r="N117" i="15" s="1"/>
  <c r="N75" i="15" s="1"/>
  <c r="I158" i="15"/>
  <c r="L158" i="15"/>
  <c r="L117" i="15" s="1"/>
  <c r="L75" i="15" s="1"/>
  <c r="G158" i="15"/>
  <c r="G117" i="15" s="1"/>
  <c r="G75" i="15" s="1"/>
  <c r="E158" i="15"/>
  <c r="E117" i="15" s="1"/>
  <c r="E75" i="15" s="1"/>
  <c r="F157" i="15"/>
  <c r="F116" i="15" s="1"/>
  <c r="F74" i="15" s="1"/>
  <c r="C202" i="15"/>
  <c r="D156" i="15"/>
  <c r="D115" i="15" s="1"/>
  <c r="N156" i="15"/>
  <c r="N115" i="15" s="1"/>
  <c r="N73" i="15" s="1"/>
  <c r="I156" i="15"/>
  <c r="L156" i="15"/>
  <c r="L115" i="15" s="1"/>
  <c r="L73" i="15" s="1"/>
  <c r="G156" i="15"/>
  <c r="G115" i="15" s="1"/>
  <c r="G73" i="15" s="1"/>
  <c r="E156" i="15"/>
  <c r="E115" i="15" s="1"/>
  <c r="E73" i="15" s="1"/>
  <c r="F155" i="15"/>
  <c r="F114" i="15" s="1"/>
  <c r="F72" i="15" s="1"/>
  <c r="C200" i="15"/>
  <c r="D154" i="15"/>
  <c r="D113" i="15" s="1"/>
  <c r="N154" i="15"/>
  <c r="N113" i="15" s="1"/>
  <c r="N71" i="15" s="1"/>
  <c r="I154" i="15"/>
  <c r="L154" i="15"/>
  <c r="L113" i="15" s="1"/>
  <c r="L71" i="15" s="1"/>
  <c r="G154" i="15"/>
  <c r="G113" i="15" s="1"/>
  <c r="G71" i="15" s="1"/>
  <c r="E154" i="15"/>
  <c r="E113" i="15" s="1"/>
  <c r="E71" i="15" s="1"/>
  <c r="F153" i="15"/>
  <c r="F112" i="15" s="1"/>
  <c r="F70" i="15" s="1"/>
  <c r="C198" i="15"/>
  <c r="D152" i="15"/>
  <c r="D111" i="15" s="1"/>
  <c r="N152" i="15"/>
  <c r="N111" i="15" s="1"/>
  <c r="N69" i="15" s="1"/>
  <c r="I152" i="15"/>
  <c r="L152" i="15"/>
  <c r="L111" i="15" s="1"/>
  <c r="L69" i="15" s="1"/>
  <c r="G152" i="15"/>
  <c r="G111" i="15" s="1"/>
  <c r="G69" i="15" s="1"/>
  <c r="E152" i="15"/>
  <c r="E111" i="15" s="1"/>
  <c r="E69" i="15" s="1"/>
  <c r="F151" i="15"/>
  <c r="F110" i="15" s="1"/>
  <c r="F68" i="15" s="1"/>
  <c r="C196" i="15"/>
  <c r="D150" i="15"/>
  <c r="D109" i="15" s="1"/>
  <c r="N150" i="15"/>
  <c r="N109" i="15" s="1"/>
  <c r="N67" i="15" s="1"/>
  <c r="I150" i="15"/>
  <c r="L150" i="15"/>
  <c r="L109" i="15" s="1"/>
  <c r="L67" i="15" s="1"/>
  <c r="G150" i="15"/>
  <c r="G109" i="15" s="1"/>
  <c r="G67" i="15" s="1"/>
  <c r="E150" i="15"/>
  <c r="E109" i="15" s="1"/>
  <c r="E67" i="15" s="1"/>
  <c r="F149" i="15"/>
  <c r="F108" i="15" s="1"/>
  <c r="F66" i="15" s="1"/>
  <c r="C194" i="15"/>
  <c r="D148" i="15"/>
  <c r="D107" i="15" s="1"/>
  <c r="N148" i="15"/>
  <c r="N107" i="15" s="1"/>
  <c r="N65" i="15" s="1"/>
  <c r="I148" i="15"/>
  <c r="L148" i="15"/>
  <c r="L107" i="15" s="1"/>
  <c r="L65" i="15" s="1"/>
  <c r="G148" i="15"/>
  <c r="G107" i="15" s="1"/>
  <c r="G65" i="15" s="1"/>
  <c r="E148" i="15"/>
  <c r="E107" i="15" s="1"/>
  <c r="E65" i="15" s="1"/>
  <c r="F147" i="15"/>
  <c r="F106" i="15" s="1"/>
  <c r="F64" i="15" s="1"/>
  <c r="C192" i="15"/>
  <c r="D146" i="15"/>
  <c r="D105" i="15" s="1"/>
  <c r="N146" i="15"/>
  <c r="N105" i="15" s="1"/>
  <c r="N63" i="15" s="1"/>
  <c r="I146" i="15"/>
  <c r="L146" i="15"/>
  <c r="L105" i="15" s="1"/>
  <c r="L63" i="15" s="1"/>
  <c r="G146" i="15"/>
  <c r="G105" i="15" s="1"/>
  <c r="G63" i="15" s="1"/>
  <c r="E146" i="15"/>
  <c r="E105" i="15" s="1"/>
  <c r="E63" i="15" s="1"/>
  <c r="F145" i="15"/>
  <c r="F104" i="15" s="1"/>
  <c r="F62" i="15" s="1"/>
  <c r="C190" i="15"/>
  <c r="D144" i="15"/>
  <c r="D103" i="15" s="1"/>
  <c r="N144" i="15"/>
  <c r="N103" i="15" s="1"/>
  <c r="N61" i="15" s="1"/>
  <c r="I144" i="15"/>
  <c r="L144" i="15"/>
  <c r="L103" i="15" s="1"/>
  <c r="L61" i="15" s="1"/>
  <c r="G144" i="15"/>
  <c r="G103" i="15" s="1"/>
  <c r="G61" i="15" s="1"/>
  <c r="E144" i="15"/>
  <c r="E103" i="15" s="1"/>
  <c r="E61" i="15" s="1"/>
  <c r="I99" i="15"/>
  <c r="I57" i="15" s="1"/>
  <c r="H57" i="15"/>
  <c r="D56" i="15"/>
  <c r="I98" i="15"/>
  <c r="I56" i="15" s="1"/>
  <c r="H56" i="15"/>
  <c r="E257" i="15"/>
  <c r="I101" i="15"/>
  <c r="I59" i="15" s="1"/>
  <c r="H59" i="15"/>
  <c r="I97" i="15"/>
  <c r="I55" i="15" s="1"/>
  <c r="H55" i="15"/>
  <c r="M168" i="15"/>
  <c r="M127" i="15" s="1"/>
  <c r="M85" i="15" s="1"/>
  <c r="H168" i="15"/>
  <c r="H127" i="15" s="1"/>
  <c r="K166" i="15"/>
  <c r="K125" i="15" s="1"/>
  <c r="K83" i="15" s="1"/>
  <c r="M164" i="15"/>
  <c r="M123" i="15" s="1"/>
  <c r="M81" i="15" s="1"/>
  <c r="H164" i="15"/>
  <c r="H123" i="15" s="1"/>
  <c r="K162" i="15"/>
  <c r="K121" i="15" s="1"/>
  <c r="K79" i="15" s="1"/>
  <c r="M160" i="15"/>
  <c r="M119" i="15" s="1"/>
  <c r="M77" i="15" s="1"/>
  <c r="H160" i="15"/>
  <c r="H119" i="15" s="1"/>
  <c r="K158" i="15"/>
  <c r="K117" i="15" s="1"/>
  <c r="K75" i="15" s="1"/>
  <c r="M156" i="15"/>
  <c r="M115" i="15" s="1"/>
  <c r="M73" i="15" s="1"/>
  <c r="H156" i="15"/>
  <c r="H115" i="15" s="1"/>
  <c r="K154" i="15"/>
  <c r="K113" i="15" s="1"/>
  <c r="K71" i="15" s="1"/>
  <c r="M152" i="15"/>
  <c r="M111" i="15" s="1"/>
  <c r="M69" i="15" s="1"/>
  <c r="H152" i="15"/>
  <c r="H111" i="15" s="1"/>
  <c r="K150" i="15"/>
  <c r="K109" i="15" s="1"/>
  <c r="K67" i="15" s="1"/>
  <c r="M148" i="15"/>
  <c r="M107" i="15" s="1"/>
  <c r="M65" i="15" s="1"/>
  <c r="H148" i="15"/>
  <c r="H107" i="15" s="1"/>
  <c r="K146" i="15"/>
  <c r="K105" i="15" s="1"/>
  <c r="K63" i="15" s="1"/>
  <c r="M144" i="15"/>
  <c r="M103" i="15" s="1"/>
  <c r="M61" i="15" s="1"/>
  <c r="H144" i="15"/>
  <c r="H103" i="15" s="1"/>
  <c r="D54" i="15"/>
  <c r="H54" i="15"/>
  <c r="I96" i="15"/>
  <c r="I54" i="15" s="1"/>
  <c r="I93" i="15"/>
  <c r="I51" i="15" s="1"/>
  <c r="H51" i="15"/>
  <c r="D50" i="15"/>
  <c r="H50" i="15"/>
  <c r="I92" i="15"/>
  <c r="I50" i="15" s="1"/>
  <c r="F236" i="14"/>
  <c r="F156" i="14"/>
  <c r="G146" i="14"/>
  <c r="G134" i="14" s="1"/>
  <c r="L147" i="14"/>
  <c r="L135" i="14" s="1"/>
  <c r="D147" i="14"/>
  <c r="D135" i="14" s="1"/>
  <c r="F147" i="14"/>
  <c r="F135" i="14" s="1"/>
  <c r="N145" i="14"/>
  <c r="N133" i="14" s="1"/>
  <c r="D145" i="14"/>
  <c r="D133" i="14" s="1"/>
  <c r="M146" i="14"/>
  <c r="M134" i="14" s="1"/>
  <c r="G147" i="14"/>
  <c r="G135" i="14" s="1"/>
  <c r="H146" i="14"/>
  <c r="H134" i="14" s="1"/>
  <c r="K145" i="14"/>
  <c r="K133" i="14" s="1"/>
  <c r="M143" i="14"/>
  <c r="M131" i="14" s="1"/>
  <c r="M145" i="14"/>
  <c r="M133" i="14" s="1"/>
  <c r="K147" i="14"/>
  <c r="K135" i="14" s="1"/>
  <c r="G145" i="14"/>
  <c r="G133" i="14" s="1"/>
  <c r="C191" i="12"/>
  <c r="C183" i="12"/>
  <c r="C175" i="12"/>
  <c r="C163" i="12"/>
  <c r="L141" i="12"/>
  <c r="J141" i="12"/>
  <c r="H141" i="12"/>
  <c r="F141" i="12"/>
  <c r="M139" i="12"/>
  <c r="K139" i="12"/>
  <c r="G139" i="12"/>
  <c r="L137" i="12"/>
  <c r="J137" i="12"/>
  <c r="H137" i="12"/>
  <c r="F137" i="12"/>
  <c r="M138" i="12"/>
  <c r="M194" i="12"/>
  <c r="K138" i="12"/>
  <c r="K194" i="12"/>
  <c r="I194" i="12"/>
  <c r="G138" i="12"/>
  <c r="G194" i="12"/>
  <c r="E156" i="12"/>
  <c r="M141" i="12"/>
  <c r="G167" i="13"/>
  <c r="G126" i="13" s="1"/>
  <c r="G84" i="13" s="1"/>
  <c r="K161" i="13"/>
  <c r="K120" i="13" s="1"/>
  <c r="K78" i="13" s="1"/>
  <c r="I161" i="13"/>
  <c r="G161" i="13"/>
  <c r="G120" i="13" s="1"/>
  <c r="G78" i="13" s="1"/>
  <c r="E161" i="13"/>
  <c r="E120" i="13" s="1"/>
  <c r="E78" i="13" s="1"/>
  <c r="C207" i="13"/>
  <c r="G159" i="13"/>
  <c r="G118" i="13" s="1"/>
  <c r="G76" i="13" s="1"/>
  <c r="I153" i="13"/>
  <c r="E153" i="13"/>
  <c r="E112" i="13" s="1"/>
  <c r="E70" i="13" s="1"/>
  <c r="I149" i="13"/>
  <c r="E149" i="13"/>
  <c r="E108" i="13" s="1"/>
  <c r="E66" i="13" s="1"/>
  <c r="K143" i="13"/>
  <c r="K102" i="13" s="1"/>
  <c r="K60" i="13" s="1"/>
  <c r="I143" i="13"/>
  <c r="G143" i="13"/>
  <c r="G102" i="13" s="1"/>
  <c r="G60" i="13" s="1"/>
  <c r="E143" i="13"/>
  <c r="E102" i="13" s="1"/>
  <c r="E60" i="13" s="1"/>
  <c r="I141" i="13"/>
  <c r="G141" i="13"/>
  <c r="G100" i="13" s="1"/>
  <c r="G58" i="13" s="1"/>
  <c r="E141" i="13"/>
  <c r="E100" i="13" s="1"/>
  <c r="E58" i="13" s="1"/>
  <c r="K135" i="13"/>
  <c r="K94" i="13" s="1"/>
  <c r="K52" i="13" s="1"/>
  <c r="I135" i="13"/>
  <c r="G135" i="13"/>
  <c r="G94" i="13" s="1"/>
  <c r="G52" i="13" s="1"/>
  <c r="E135" i="13"/>
  <c r="E94" i="13" s="1"/>
  <c r="E52" i="13" s="1"/>
  <c r="K133" i="13"/>
  <c r="K92" i="13" s="1"/>
  <c r="K50" i="13" s="1"/>
  <c r="K215" i="13"/>
  <c r="I133" i="13"/>
  <c r="G133" i="13"/>
  <c r="G92" i="13" s="1"/>
  <c r="G50" i="13" s="1"/>
  <c r="G215" i="13"/>
  <c r="E133" i="13"/>
  <c r="E92" i="13" s="1"/>
  <c r="E50" i="13" s="1"/>
  <c r="L140" i="12"/>
  <c r="J140" i="12"/>
  <c r="H140" i="12"/>
  <c r="F140" i="12"/>
  <c r="L139" i="12"/>
  <c r="J139" i="12"/>
  <c r="H139" i="12"/>
  <c r="F139" i="12"/>
  <c r="D137" i="12"/>
  <c r="L138" i="12"/>
  <c r="L194" i="12"/>
  <c r="J138" i="12"/>
  <c r="J194" i="12"/>
  <c r="H138" i="12"/>
  <c r="H194" i="12"/>
  <c r="F138" i="12"/>
  <c r="F194" i="12"/>
  <c r="G140" i="12"/>
  <c r="K141" i="12"/>
  <c r="K165" i="13"/>
  <c r="K124" i="13" s="1"/>
  <c r="K82" i="13" s="1"/>
  <c r="I165" i="13"/>
  <c r="G165" i="13"/>
  <c r="G124" i="13" s="1"/>
  <c r="G82" i="13" s="1"/>
  <c r="E165" i="13"/>
  <c r="E124" i="13" s="1"/>
  <c r="E82" i="13" s="1"/>
  <c r="C211" i="13"/>
  <c r="G163" i="13"/>
  <c r="G122" i="13" s="1"/>
  <c r="G80" i="13" s="1"/>
  <c r="M157" i="13"/>
  <c r="M116" i="13" s="1"/>
  <c r="M74" i="13" s="1"/>
  <c r="I157" i="13"/>
  <c r="K155" i="13"/>
  <c r="K114" i="13" s="1"/>
  <c r="K72" i="13" s="1"/>
  <c r="I155" i="13"/>
  <c r="G155" i="13"/>
  <c r="G114" i="13" s="1"/>
  <c r="G72" i="13" s="1"/>
  <c r="E155" i="13"/>
  <c r="E114" i="13" s="1"/>
  <c r="E72" i="13" s="1"/>
  <c r="K151" i="13"/>
  <c r="K110" i="13" s="1"/>
  <c r="K68" i="13" s="1"/>
  <c r="I151" i="13"/>
  <c r="G151" i="13"/>
  <c r="G110" i="13" s="1"/>
  <c r="G68" i="13" s="1"/>
  <c r="E151" i="13"/>
  <c r="E110" i="13" s="1"/>
  <c r="E68" i="13" s="1"/>
  <c r="M147" i="13"/>
  <c r="M106" i="13" s="1"/>
  <c r="M64" i="13" s="1"/>
  <c r="K147" i="13"/>
  <c r="K106" i="13" s="1"/>
  <c r="K64" i="13" s="1"/>
  <c r="I147" i="13"/>
  <c r="G147" i="13"/>
  <c r="G106" i="13" s="1"/>
  <c r="G64" i="13" s="1"/>
  <c r="I145" i="13"/>
  <c r="E145" i="13"/>
  <c r="E104" i="13" s="1"/>
  <c r="E62" i="13" s="1"/>
  <c r="K139" i="13"/>
  <c r="K98" i="13" s="1"/>
  <c r="K56" i="13" s="1"/>
  <c r="E139" i="13"/>
  <c r="E98" i="13" s="1"/>
  <c r="E56" i="13" s="1"/>
  <c r="G139" i="13"/>
  <c r="G98" i="13" s="1"/>
  <c r="G56" i="13" s="1"/>
  <c r="E137" i="13"/>
  <c r="E96" i="13" s="1"/>
  <c r="E54" i="13" s="1"/>
  <c r="M131" i="13"/>
  <c r="M90" i="13" s="1"/>
  <c r="M48" i="13" s="1"/>
  <c r="M215" i="13"/>
  <c r="K131" i="13"/>
  <c r="K90" i="13" s="1"/>
  <c r="K48" i="13" s="1"/>
  <c r="E131" i="13"/>
  <c r="E90" i="13" s="1"/>
  <c r="E48" i="13" s="1"/>
  <c r="E215" i="13"/>
  <c r="G131" i="13"/>
  <c r="G90" i="13" s="1"/>
  <c r="G48" i="13" s="1"/>
  <c r="D192" i="12"/>
  <c r="C192" i="12" s="1"/>
  <c r="D190" i="12"/>
  <c r="C190" i="12" s="1"/>
  <c r="D188" i="12"/>
  <c r="C188" i="12" s="1"/>
  <c r="D186" i="12"/>
  <c r="C186" i="12" s="1"/>
  <c r="D184" i="12"/>
  <c r="C184" i="12" s="1"/>
  <c r="D182" i="12"/>
  <c r="C182" i="12" s="1"/>
  <c r="D180" i="12"/>
  <c r="C180" i="12" s="1"/>
  <c r="D178" i="12"/>
  <c r="C178" i="12" s="1"/>
  <c r="D176" i="12"/>
  <c r="C176" i="12" s="1"/>
  <c r="D174" i="12"/>
  <c r="C174" i="12" s="1"/>
  <c r="D172" i="12"/>
  <c r="C172" i="12" s="1"/>
  <c r="D170" i="12"/>
  <c r="C170" i="12" s="1"/>
  <c r="D168" i="12"/>
  <c r="C168" i="12" s="1"/>
  <c r="M140" i="12"/>
  <c r="K140" i="12"/>
  <c r="D166" i="12"/>
  <c r="C166" i="12" s="1"/>
  <c r="D164" i="12"/>
  <c r="C164" i="12" s="1"/>
  <c r="D162" i="12"/>
  <c r="C162" i="12" s="1"/>
  <c r="G141" i="12"/>
  <c r="D160" i="12"/>
  <c r="D158" i="12"/>
  <c r="C158" i="12" s="1"/>
  <c r="G137" i="12"/>
  <c r="D156" i="12"/>
  <c r="L167" i="13"/>
  <c r="L126" i="13" s="1"/>
  <c r="L84" i="13" s="1"/>
  <c r="J167" i="13"/>
  <c r="J126" i="13" s="1"/>
  <c r="J84" i="13" s="1"/>
  <c r="H167" i="13"/>
  <c r="H126" i="13" s="1"/>
  <c r="F167" i="13"/>
  <c r="F126" i="13" s="1"/>
  <c r="F84" i="13" s="1"/>
  <c r="D167" i="13"/>
  <c r="D126" i="13" s="1"/>
  <c r="K166" i="13"/>
  <c r="K125" i="13" s="1"/>
  <c r="K83" i="13" s="1"/>
  <c r="G166" i="13"/>
  <c r="G125" i="13" s="1"/>
  <c r="G83" i="13" s="1"/>
  <c r="L163" i="13"/>
  <c r="L122" i="13" s="1"/>
  <c r="L80" i="13" s="1"/>
  <c r="J163" i="13"/>
  <c r="J122" i="13" s="1"/>
  <c r="J80" i="13" s="1"/>
  <c r="H163" i="13"/>
  <c r="H122" i="13" s="1"/>
  <c r="F163" i="13"/>
  <c r="F122" i="13" s="1"/>
  <c r="F80" i="13" s="1"/>
  <c r="D163" i="13"/>
  <c r="D122" i="13" s="1"/>
  <c r="K162" i="13"/>
  <c r="K121" i="13" s="1"/>
  <c r="K79" i="13" s="1"/>
  <c r="G162" i="13"/>
  <c r="G121" i="13" s="1"/>
  <c r="G79" i="13" s="1"/>
  <c r="L159" i="13"/>
  <c r="L118" i="13" s="1"/>
  <c r="L76" i="13" s="1"/>
  <c r="J159" i="13"/>
  <c r="J118" i="13" s="1"/>
  <c r="J76" i="13" s="1"/>
  <c r="H159" i="13"/>
  <c r="H118" i="13" s="1"/>
  <c r="F159" i="13"/>
  <c r="F118" i="13" s="1"/>
  <c r="F76" i="13" s="1"/>
  <c r="D159" i="13"/>
  <c r="D118" i="13" s="1"/>
  <c r="K158" i="13"/>
  <c r="K117" i="13" s="1"/>
  <c r="K75" i="13" s="1"/>
  <c r="G158" i="13"/>
  <c r="G117" i="13" s="1"/>
  <c r="G75" i="13" s="1"/>
  <c r="I156" i="13"/>
  <c r="E156" i="13"/>
  <c r="E115" i="13" s="1"/>
  <c r="E73" i="13" s="1"/>
  <c r="L153" i="13"/>
  <c r="L112" i="13" s="1"/>
  <c r="L70" i="13" s="1"/>
  <c r="J153" i="13"/>
  <c r="J112" i="13" s="1"/>
  <c r="J70" i="13" s="1"/>
  <c r="H153" i="13"/>
  <c r="H112" i="13" s="1"/>
  <c r="F153" i="13"/>
  <c r="F112" i="13" s="1"/>
  <c r="F70" i="13" s="1"/>
  <c r="D153" i="13"/>
  <c r="D112" i="13" s="1"/>
  <c r="I152" i="13"/>
  <c r="E152" i="13"/>
  <c r="E111" i="13" s="1"/>
  <c r="E69" i="13" s="1"/>
  <c r="L149" i="13"/>
  <c r="L108" i="13" s="1"/>
  <c r="L66" i="13" s="1"/>
  <c r="J149" i="13"/>
  <c r="J108" i="13" s="1"/>
  <c r="J66" i="13" s="1"/>
  <c r="H149" i="13"/>
  <c r="H108" i="13" s="1"/>
  <c r="F149" i="13"/>
  <c r="F108" i="13" s="1"/>
  <c r="F66" i="13" s="1"/>
  <c r="D149" i="13"/>
  <c r="D108" i="13" s="1"/>
  <c r="I148" i="13"/>
  <c r="E148" i="13"/>
  <c r="E107" i="13" s="1"/>
  <c r="E65" i="13" s="1"/>
  <c r="L145" i="13"/>
  <c r="L104" i="13" s="1"/>
  <c r="L62" i="13" s="1"/>
  <c r="J145" i="13"/>
  <c r="J104" i="13" s="1"/>
  <c r="J62" i="13" s="1"/>
  <c r="H145" i="13"/>
  <c r="H104" i="13" s="1"/>
  <c r="F145" i="13"/>
  <c r="F104" i="13" s="1"/>
  <c r="F62" i="13" s="1"/>
  <c r="D145" i="13"/>
  <c r="D104" i="13" s="1"/>
  <c r="I144" i="13"/>
  <c r="E144" i="13"/>
  <c r="E103" i="13" s="1"/>
  <c r="E61" i="13" s="1"/>
  <c r="K142" i="13"/>
  <c r="K101" i="13" s="1"/>
  <c r="K59" i="13" s="1"/>
  <c r="G142" i="13"/>
  <c r="G101" i="13" s="1"/>
  <c r="G59" i="13" s="1"/>
  <c r="H140" i="13"/>
  <c r="H99" i="13" s="1"/>
  <c r="D140" i="13"/>
  <c r="D99" i="13" s="1"/>
  <c r="C186" i="13"/>
  <c r="F138" i="13"/>
  <c r="F97" i="13" s="1"/>
  <c r="F55" i="13" s="1"/>
  <c r="I136" i="13"/>
  <c r="E136" i="13"/>
  <c r="E95" i="13" s="1"/>
  <c r="E53" i="13" s="1"/>
  <c r="K134" i="13"/>
  <c r="K93" i="13" s="1"/>
  <c r="K51" i="13" s="1"/>
  <c r="G134" i="13"/>
  <c r="G93" i="13" s="1"/>
  <c r="G51" i="13" s="1"/>
  <c r="H132" i="13"/>
  <c r="H91" i="13" s="1"/>
  <c r="D132" i="13"/>
  <c r="D91" i="13" s="1"/>
  <c r="C178" i="13"/>
  <c r="F168" i="13"/>
  <c r="F127" i="13" s="1"/>
  <c r="F85" i="13" s="1"/>
  <c r="M167" i="13"/>
  <c r="M126" i="13" s="1"/>
  <c r="M84" i="13" s="1"/>
  <c r="I167" i="13"/>
  <c r="E167" i="13"/>
  <c r="E126" i="13" s="1"/>
  <c r="E84" i="13" s="1"/>
  <c r="L166" i="13"/>
  <c r="L125" i="13" s="1"/>
  <c r="L83" i="13" s="1"/>
  <c r="H166" i="13"/>
  <c r="H125" i="13" s="1"/>
  <c r="D166" i="13"/>
  <c r="D125" i="13" s="1"/>
  <c r="C212" i="13"/>
  <c r="F164" i="13"/>
  <c r="F123" i="13" s="1"/>
  <c r="F81" i="13" s="1"/>
  <c r="M163" i="13"/>
  <c r="M122" i="13" s="1"/>
  <c r="M80" i="13" s="1"/>
  <c r="I163" i="13"/>
  <c r="E163" i="13"/>
  <c r="E122" i="13" s="1"/>
  <c r="E80" i="13" s="1"/>
  <c r="L162" i="13"/>
  <c r="L121" i="13" s="1"/>
  <c r="L79" i="13" s="1"/>
  <c r="H162" i="13"/>
  <c r="H121" i="13" s="1"/>
  <c r="D162" i="13"/>
  <c r="D121" i="13" s="1"/>
  <c r="C208" i="13"/>
  <c r="F160" i="13"/>
  <c r="F119" i="13" s="1"/>
  <c r="F77" i="13" s="1"/>
  <c r="M159" i="13"/>
  <c r="M118" i="13" s="1"/>
  <c r="M76" i="13" s="1"/>
  <c r="I159" i="13"/>
  <c r="E159" i="13"/>
  <c r="E118" i="13" s="1"/>
  <c r="E76" i="13" s="1"/>
  <c r="L158" i="13"/>
  <c r="L117" i="13" s="1"/>
  <c r="L75" i="13" s="1"/>
  <c r="H158" i="13"/>
  <c r="H117" i="13" s="1"/>
  <c r="D158" i="13"/>
  <c r="D117" i="13" s="1"/>
  <c r="C204" i="13"/>
  <c r="J156" i="13"/>
  <c r="J115" i="13" s="1"/>
  <c r="J73" i="13" s="1"/>
  <c r="F156" i="13"/>
  <c r="F115" i="13" s="1"/>
  <c r="F73" i="13" s="1"/>
  <c r="H154" i="13"/>
  <c r="H113" i="13" s="1"/>
  <c r="D154" i="13"/>
  <c r="D113" i="13" s="1"/>
  <c r="C200" i="13"/>
  <c r="K153" i="13"/>
  <c r="K112" i="13" s="1"/>
  <c r="K70" i="13" s="1"/>
  <c r="G153" i="13"/>
  <c r="G112" i="13" s="1"/>
  <c r="G70" i="13" s="1"/>
  <c r="C199" i="13"/>
  <c r="J152" i="13"/>
  <c r="J111" i="13" s="1"/>
  <c r="J69" i="13" s="1"/>
  <c r="F152" i="13"/>
  <c r="F111" i="13" s="1"/>
  <c r="F69" i="13" s="1"/>
  <c r="H150" i="13"/>
  <c r="H109" i="13" s="1"/>
  <c r="D150" i="13"/>
  <c r="D109" i="13" s="1"/>
  <c r="C196" i="13"/>
  <c r="K149" i="13"/>
  <c r="K108" i="13" s="1"/>
  <c r="K66" i="13" s="1"/>
  <c r="G149" i="13"/>
  <c r="G108" i="13" s="1"/>
  <c r="G66" i="13" s="1"/>
  <c r="C195" i="13"/>
  <c r="J148" i="13"/>
  <c r="J107" i="13" s="1"/>
  <c r="J65" i="13" s="1"/>
  <c r="F148" i="13"/>
  <c r="F107" i="13" s="1"/>
  <c r="F65" i="13" s="1"/>
  <c r="H146" i="13"/>
  <c r="H105" i="13" s="1"/>
  <c r="D146" i="13"/>
  <c r="D105" i="13" s="1"/>
  <c r="C192" i="13"/>
  <c r="K145" i="13"/>
  <c r="K104" i="13" s="1"/>
  <c r="K62" i="13" s="1"/>
  <c r="G145" i="13"/>
  <c r="G104" i="13" s="1"/>
  <c r="G62" i="13" s="1"/>
  <c r="C191" i="13"/>
  <c r="J144" i="13"/>
  <c r="J103" i="13" s="1"/>
  <c r="J61" i="13" s="1"/>
  <c r="H142" i="13"/>
  <c r="H101" i="13" s="1"/>
  <c r="C187" i="13"/>
  <c r="F140" i="13"/>
  <c r="F99" i="13" s="1"/>
  <c r="F57" i="13" s="1"/>
  <c r="I139" i="13"/>
  <c r="L138" i="13"/>
  <c r="L97" i="13" s="1"/>
  <c r="L55" i="13" s="1"/>
  <c r="D138" i="13"/>
  <c r="D97" i="13" s="1"/>
  <c r="C184" i="13"/>
  <c r="G137" i="13"/>
  <c r="G96" i="13" s="1"/>
  <c r="G54" i="13" s="1"/>
  <c r="J136" i="13"/>
  <c r="J95" i="13" s="1"/>
  <c r="J53" i="13" s="1"/>
  <c r="H134" i="13"/>
  <c r="H93" i="13" s="1"/>
  <c r="C179" i="13"/>
  <c r="F132" i="13"/>
  <c r="F91" i="13" s="1"/>
  <c r="F49" i="13" s="1"/>
  <c r="I131" i="13"/>
  <c r="G168" i="13"/>
  <c r="G127" i="13" s="1"/>
  <c r="G85" i="13" s="1"/>
  <c r="K164" i="13"/>
  <c r="K123" i="13" s="1"/>
  <c r="K81" i="13" s="1"/>
  <c r="G160" i="13"/>
  <c r="G119" i="13" s="1"/>
  <c r="G77" i="13" s="1"/>
  <c r="I154" i="13"/>
  <c r="M150" i="13"/>
  <c r="M109" i="13" s="1"/>
  <c r="M67" i="13" s="1"/>
  <c r="E150" i="13"/>
  <c r="E109" i="13" s="1"/>
  <c r="E67" i="13" s="1"/>
  <c r="I146" i="13"/>
  <c r="K140" i="13"/>
  <c r="K99" i="13" s="1"/>
  <c r="K57" i="13" s="1"/>
  <c r="I138" i="13"/>
  <c r="I137" i="13"/>
  <c r="K132" i="13"/>
  <c r="K91" i="13" s="1"/>
  <c r="K49" i="13" s="1"/>
  <c r="E235" i="12"/>
  <c r="E193" i="12" s="1"/>
  <c r="C193" i="12" s="1"/>
  <c r="E233" i="12"/>
  <c r="E191" i="12" s="1"/>
  <c r="E231" i="12"/>
  <c r="E189" i="12" s="1"/>
  <c r="C189" i="12" s="1"/>
  <c r="E229" i="12"/>
  <c r="E187" i="12" s="1"/>
  <c r="C187" i="12" s="1"/>
  <c r="E227" i="12"/>
  <c r="E185" i="12" s="1"/>
  <c r="C185" i="12" s="1"/>
  <c r="E225" i="12"/>
  <c r="E183" i="12" s="1"/>
  <c r="E223" i="12"/>
  <c r="E181" i="12" s="1"/>
  <c r="C181" i="12" s="1"/>
  <c r="E221" i="12"/>
  <c r="E179" i="12" s="1"/>
  <c r="C179" i="12" s="1"/>
  <c r="E219" i="12"/>
  <c r="E177" i="12" s="1"/>
  <c r="C177" i="12" s="1"/>
  <c r="E217" i="12"/>
  <c r="E175" i="12" s="1"/>
  <c r="E215" i="12"/>
  <c r="E173" i="12" s="1"/>
  <c r="C173" i="12" s="1"/>
  <c r="E213" i="12"/>
  <c r="E171" i="12" s="1"/>
  <c r="C171" i="12" s="1"/>
  <c r="E211" i="12"/>
  <c r="E169" i="12" s="1"/>
  <c r="C169" i="12" s="1"/>
  <c r="E209" i="12"/>
  <c r="E167" i="12" s="1"/>
  <c r="E207" i="12"/>
  <c r="E165" i="12" s="1"/>
  <c r="C165" i="12" s="1"/>
  <c r="E205" i="12"/>
  <c r="E163" i="12" s="1"/>
  <c r="E203" i="12"/>
  <c r="E161" i="12" s="1"/>
  <c r="E141" i="12" s="1"/>
  <c r="E201" i="12"/>
  <c r="E159" i="12" s="1"/>
  <c r="C159" i="12" s="1"/>
  <c r="E199" i="12"/>
  <c r="E157" i="12" s="1"/>
  <c r="E137" i="12" s="1"/>
  <c r="E143" i="12" s="1"/>
  <c r="E131" i="12" s="1"/>
  <c r="F203" i="13"/>
  <c r="F157" i="13" s="1"/>
  <c r="F116" i="13" s="1"/>
  <c r="F74" i="13" s="1"/>
  <c r="F257" i="13"/>
  <c r="E257" i="13"/>
  <c r="M168" i="13"/>
  <c r="M127" i="13" s="1"/>
  <c r="M85" i="13" s="1"/>
  <c r="I168" i="13"/>
  <c r="E168" i="13"/>
  <c r="E127" i="13" s="1"/>
  <c r="E85" i="13" s="1"/>
  <c r="L165" i="13"/>
  <c r="L124" i="13" s="1"/>
  <c r="L82" i="13" s="1"/>
  <c r="J165" i="13"/>
  <c r="J124" i="13" s="1"/>
  <c r="J82" i="13" s="1"/>
  <c r="H165" i="13"/>
  <c r="H124" i="13" s="1"/>
  <c r="F165" i="13"/>
  <c r="F124" i="13" s="1"/>
  <c r="F82" i="13" s="1"/>
  <c r="D165" i="13"/>
  <c r="D124" i="13" s="1"/>
  <c r="M164" i="13"/>
  <c r="M123" i="13" s="1"/>
  <c r="M81" i="13" s="1"/>
  <c r="I164" i="13"/>
  <c r="E164" i="13"/>
  <c r="E123" i="13" s="1"/>
  <c r="E81" i="13" s="1"/>
  <c r="L161" i="13"/>
  <c r="L120" i="13" s="1"/>
  <c r="L78" i="13" s="1"/>
  <c r="J161" i="13"/>
  <c r="J120" i="13" s="1"/>
  <c r="J78" i="13" s="1"/>
  <c r="H161" i="13"/>
  <c r="H120" i="13" s="1"/>
  <c r="F161" i="13"/>
  <c r="F120" i="13" s="1"/>
  <c r="F78" i="13" s="1"/>
  <c r="D161" i="13"/>
  <c r="D120" i="13" s="1"/>
  <c r="M160" i="13"/>
  <c r="M119" i="13" s="1"/>
  <c r="M77" i="13" s="1"/>
  <c r="I160" i="13"/>
  <c r="E160" i="13"/>
  <c r="E119" i="13" s="1"/>
  <c r="E77" i="13" s="1"/>
  <c r="L157" i="13"/>
  <c r="L116" i="13" s="1"/>
  <c r="L74" i="13" s="1"/>
  <c r="J157" i="13"/>
  <c r="J116" i="13" s="1"/>
  <c r="J74" i="13" s="1"/>
  <c r="H157" i="13"/>
  <c r="H116" i="13" s="1"/>
  <c r="L155" i="13"/>
  <c r="L114" i="13" s="1"/>
  <c r="L72" i="13" s="1"/>
  <c r="J155" i="13"/>
  <c r="J114" i="13" s="1"/>
  <c r="J72" i="13" s="1"/>
  <c r="H155" i="13"/>
  <c r="H114" i="13" s="1"/>
  <c r="F155" i="13"/>
  <c r="F114" i="13" s="1"/>
  <c r="F72" i="13" s="1"/>
  <c r="D155" i="13"/>
  <c r="D114" i="13" s="1"/>
  <c r="K154" i="13"/>
  <c r="K113" i="13" s="1"/>
  <c r="K71" i="13" s="1"/>
  <c r="G154" i="13"/>
  <c r="G113" i="13" s="1"/>
  <c r="G71" i="13" s="1"/>
  <c r="L151" i="13"/>
  <c r="L110" i="13" s="1"/>
  <c r="L68" i="13" s="1"/>
  <c r="J151" i="13"/>
  <c r="J110" i="13" s="1"/>
  <c r="J68" i="13" s="1"/>
  <c r="H151" i="13"/>
  <c r="H110" i="13" s="1"/>
  <c r="F151" i="13"/>
  <c r="F110" i="13" s="1"/>
  <c r="F68" i="13" s="1"/>
  <c r="D151" i="13"/>
  <c r="D110" i="13" s="1"/>
  <c r="K150" i="13"/>
  <c r="K109" i="13" s="1"/>
  <c r="K67" i="13" s="1"/>
  <c r="G150" i="13"/>
  <c r="G109" i="13" s="1"/>
  <c r="G67" i="13" s="1"/>
  <c r="L147" i="13"/>
  <c r="L106" i="13" s="1"/>
  <c r="L64" i="13" s="1"/>
  <c r="J147" i="13"/>
  <c r="J106" i="13" s="1"/>
  <c r="J64" i="13" s="1"/>
  <c r="H147" i="13"/>
  <c r="H106" i="13" s="1"/>
  <c r="F147" i="13"/>
  <c r="F106" i="13" s="1"/>
  <c r="F64" i="13" s="1"/>
  <c r="D147" i="13"/>
  <c r="D106" i="13" s="1"/>
  <c r="K146" i="13"/>
  <c r="K105" i="13" s="1"/>
  <c r="K63" i="13" s="1"/>
  <c r="G146" i="13"/>
  <c r="G105" i="13" s="1"/>
  <c r="G63" i="13" s="1"/>
  <c r="H144" i="13"/>
  <c r="H103" i="13" s="1"/>
  <c r="D144" i="13"/>
  <c r="D103" i="13" s="1"/>
  <c r="C190" i="13"/>
  <c r="J142" i="13"/>
  <c r="J101" i="13" s="1"/>
  <c r="J59" i="13" s="1"/>
  <c r="F142" i="13"/>
  <c r="F101" i="13" s="1"/>
  <c r="F59" i="13" s="1"/>
  <c r="M140" i="13"/>
  <c r="M99" i="13" s="1"/>
  <c r="M57" i="13" s="1"/>
  <c r="I140" i="13"/>
  <c r="E140" i="13"/>
  <c r="E99" i="13" s="1"/>
  <c r="E57" i="13" s="1"/>
  <c r="K138" i="13"/>
  <c r="K97" i="13" s="1"/>
  <c r="K55" i="13" s="1"/>
  <c r="G138" i="13"/>
  <c r="G97" i="13" s="1"/>
  <c r="G55" i="13" s="1"/>
  <c r="L136" i="13"/>
  <c r="L95" i="13" s="1"/>
  <c r="L53" i="13" s="1"/>
  <c r="H136" i="13"/>
  <c r="H95" i="13" s="1"/>
  <c r="D136" i="13"/>
  <c r="D95" i="13" s="1"/>
  <c r="C182" i="13"/>
  <c r="J134" i="13"/>
  <c r="J93" i="13" s="1"/>
  <c r="J51" i="13" s="1"/>
  <c r="F134" i="13"/>
  <c r="F93" i="13" s="1"/>
  <c r="F51" i="13" s="1"/>
  <c r="M132" i="13"/>
  <c r="M91" i="13" s="1"/>
  <c r="M49" i="13" s="1"/>
  <c r="I132" i="13"/>
  <c r="E132" i="13"/>
  <c r="E91" i="13" s="1"/>
  <c r="E49" i="13" s="1"/>
  <c r="I215" i="13"/>
  <c r="L168" i="13"/>
  <c r="L127" i="13" s="1"/>
  <c r="L85" i="13" s="1"/>
  <c r="H168" i="13"/>
  <c r="H127" i="13" s="1"/>
  <c r="D168" i="13"/>
  <c r="D127" i="13" s="1"/>
  <c r="C214" i="13"/>
  <c r="C213" i="13"/>
  <c r="J166" i="13"/>
  <c r="J125" i="13" s="1"/>
  <c r="J83" i="13" s="1"/>
  <c r="F166" i="13"/>
  <c r="F125" i="13" s="1"/>
  <c r="F83" i="13" s="1"/>
  <c r="L164" i="13"/>
  <c r="L123" i="13" s="1"/>
  <c r="L81" i="13" s="1"/>
  <c r="H164" i="13"/>
  <c r="H123" i="13" s="1"/>
  <c r="D164" i="13"/>
  <c r="D123" i="13" s="1"/>
  <c r="C210" i="13"/>
  <c r="C209" i="13"/>
  <c r="J162" i="13"/>
  <c r="J121" i="13" s="1"/>
  <c r="J79" i="13" s="1"/>
  <c r="F162" i="13"/>
  <c r="F121" i="13" s="1"/>
  <c r="F79" i="13" s="1"/>
  <c r="L160" i="13"/>
  <c r="L119" i="13" s="1"/>
  <c r="L77" i="13" s="1"/>
  <c r="H160" i="13"/>
  <c r="H119" i="13" s="1"/>
  <c r="D160" i="13"/>
  <c r="D119" i="13" s="1"/>
  <c r="C206" i="13"/>
  <c r="C205" i="13"/>
  <c r="J158" i="13"/>
  <c r="J117" i="13" s="1"/>
  <c r="J75" i="13" s="1"/>
  <c r="F158" i="13"/>
  <c r="F117" i="13" s="1"/>
  <c r="F75" i="13" s="1"/>
  <c r="L156" i="13"/>
  <c r="L115" i="13" s="1"/>
  <c r="L73" i="13" s="1"/>
  <c r="H156" i="13"/>
  <c r="H115" i="13" s="1"/>
  <c r="D156" i="13"/>
  <c r="D115" i="13" s="1"/>
  <c r="C202" i="13"/>
  <c r="C201" i="13"/>
  <c r="J154" i="13"/>
  <c r="J113" i="13" s="1"/>
  <c r="J71" i="13" s="1"/>
  <c r="F154" i="13"/>
  <c r="F113" i="13" s="1"/>
  <c r="F71" i="13" s="1"/>
  <c r="L152" i="13"/>
  <c r="L111" i="13" s="1"/>
  <c r="L69" i="13" s="1"/>
  <c r="H152" i="13"/>
  <c r="H111" i="13" s="1"/>
  <c r="D152" i="13"/>
  <c r="D111" i="13" s="1"/>
  <c r="C198" i="13"/>
  <c r="C197" i="13"/>
  <c r="J150" i="13"/>
  <c r="J109" i="13" s="1"/>
  <c r="J67" i="13" s="1"/>
  <c r="F150" i="13"/>
  <c r="F109" i="13" s="1"/>
  <c r="F67" i="13" s="1"/>
  <c r="L148" i="13"/>
  <c r="L107" i="13" s="1"/>
  <c r="L65" i="13" s="1"/>
  <c r="H148" i="13"/>
  <c r="H107" i="13" s="1"/>
  <c r="D148" i="13"/>
  <c r="D107" i="13" s="1"/>
  <c r="C194" i="13"/>
  <c r="C193" i="13"/>
  <c r="J146" i="13"/>
  <c r="J105" i="13" s="1"/>
  <c r="J63" i="13" s="1"/>
  <c r="F146" i="13"/>
  <c r="F105" i="13" s="1"/>
  <c r="F63" i="13" s="1"/>
  <c r="L144" i="13"/>
  <c r="L103" i="13" s="1"/>
  <c r="L61" i="13" s="1"/>
  <c r="F144" i="13"/>
  <c r="F103" i="13" s="1"/>
  <c r="F61" i="13" s="1"/>
  <c r="L142" i="13"/>
  <c r="L101" i="13" s="1"/>
  <c r="L59" i="13" s="1"/>
  <c r="D142" i="13"/>
  <c r="D101" i="13" s="1"/>
  <c r="C188" i="13"/>
  <c r="J140" i="13"/>
  <c r="J99" i="13" s="1"/>
  <c r="J57" i="13" s="1"/>
  <c r="H138" i="13"/>
  <c r="H97" i="13" s="1"/>
  <c r="C183" i="13"/>
  <c r="F136" i="13"/>
  <c r="F95" i="13" s="1"/>
  <c r="F53" i="13" s="1"/>
  <c r="L134" i="13"/>
  <c r="L93" i="13" s="1"/>
  <c r="L51" i="13" s="1"/>
  <c r="D134" i="13"/>
  <c r="D93" i="13" s="1"/>
  <c r="C180" i="13"/>
  <c r="J132" i="13"/>
  <c r="J91" i="13" s="1"/>
  <c r="J49" i="13" s="1"/>
  <c r="L143" i="13"/>
  <c r="L102" i="13" s="1"/>
  <c r="L60" i="13" s="1"/>
  <c r="J143" i="13"/>
  <c r="J102" i="13" s="1"/>
  <c r="J60" i="13" s="1"/>
  <c r="H143" i="13"/>
  <c r="H102" i="13" s="1"/>
  <c r="F143" i="13"/>
  <c r="F102" i="13" s="1"/>
  <c r="F60" i="13" s="1"/>
  <c r="D143" i="13"/>
  <c r="D102" i="13" s="1"/>
  <c r="L141" i="13"/>
  <c r="L100" i="13" s="1"/>
  <c r="L58" i="13" s="1"/>
  <c r="J141" i="13"/>
  <c r="J100" i="13" s="1"/>
  <c r="J58" i="13" s="1"/>
  <c r="H141" i="13"/>
  <c r="H100" i="13" s="1"/>
  <c r="F141" i="13"/>
  <c r="F100" i="13" s="1"/>
  <c r="F58" i="13" s="1"/>
  <c r="D141" i="13"/>
  <c r="D100" i="13" s="1"/>
  <c r="L139" i="13"/>
  <c r="L98" i="13" s="1"/>
  <c r="L56" i="13" s="1"/>
  <c r="J139" i="13"/>
  <c r="J98" i="13" s="1"/>
  <c r="J56" i="13" s="1"/>
  <c r="H139" i="13"/>
  <c r="H98" i="13" s="1"/>
  <c r="F139" i="13"/>
  <c r="F98" i="13" s="1"/>
  <c r="F56" i="13" s="1"/>
  <c r="D139" i="13"/>
  <c r="D98" i="13" s="1"/>
  <c r="L137" i="13"/>
  <c r="L96" i="13" s="1"/>
  <c r="L54" i="13" s="1"/>
  <c r="J137" i="13"/>
  <c r="J96" i="13" s="1"/>
  <c r="J54" i="13" s="1"/>
  <c r="H137" i="13"/>
  <c r="H96" i="13" s="1"/>
  <c r="F137" i="13"/>
  <c r="F96" i="13" s="1"/>
  <c r="F54" i="13" s="1"/>
  <c r="D137" i="13"/>
  <c r="D96" i="13" s="1"/>
  <c r="L135" i="13"/>
  <c r="L94" i="13" s="1"/>
  <c r="L52" i="13" s="1"/>
  <c r="J135" i="13"/>
  <c r="J94" i="13" s="1"/>
  <c r="J52" i="13" s="1"/>
  <c r="H135" i="13"/>
  <c r="H94" i="13" s="1"/>
  <c r="F135" i="13"/>
  <c r="F94" i="13" s="1"/>
  <c r="F52" i="13" s="1"/>
  <c r="D135" i="13"/>
  <c r="D94" i="13" s="1"/>
  <c r="L133" i="13"/>
  <c r="L92" i="13" s="1"/>
  <c r="L50" i="13" s="1"/>
  <c r="J133" i="13"/>
  <c r="J92" i="13" s="1"/>
  <c r="J50" i="13" s="1"/>
  <c r="H133" i="13"/>
  <c r="H92" i="13" s="1"/>
  <c r="F133" i="13"/>
  <c r="F92" i="13" s="1"/>
  <c r="F50" i="13" s="1"/>
  <c r="D133" i="13"/>
  <c r="D92" i="13" s="1"/>
  <c r="L131" i="13"/>
  <c r="L90" i="13" s="1"/>
  <c r="L48" i="13" s="1"/>
  <c r="J131" i="13"/>
  <c r="J90" i="13" s="1"/>
  <c r="J48" i="13" s="1"/>
  <c r="H131" i="13"/>
  <c r="H90" i="13" s="1"/>
  <c r="F131" i="13"/>
  <c r="F90" i="13" s="1"/>
  <c r="F48" i="13" s="1"/>
  <c r="D131" i="13"/>
  <c r="D90" i="13" s="1"/>
  <c r="L215" i="13"/>
  <c r="J215" i="13"/>
  <c r="H215" i="13"/>
  <c r="F215" i="13"/>
  <c r="D215" i="13"/>
  <c r="C189" i="13"/>
  <c r="C185" i="13"/>
  <c r="C181" i="13"/>
  <c r="C177" i="13"/>
  <c r="C189" i="10"/>
  <c r="C181" i="10"/>
  <c r="C173" i="10"/>
  <c r="L140" i="10"/>
  <c r="J140" i="10"/>
  <c r="H140" i="10"/>
  <c r="F140" i="10"/>
  <c r="C165" i="10"/>
  <c r="C161" i="10"/>
  <c r="L139" i="10"/>
  <c r="J139" i="10"/>
  <c r="H139" i="10"/>
  <c r="F139" i="10"/>
  <c r="D137" i="10"/>
  <c r="C157" i="10"/>
  <c r="L138" i="10"/>
  <c r="L194" i="10"/>
  <c r="J138" i="10"/>
  <c r="J194" i="10"/>
  <c r="H138" i="10"/>
  <c r="H194" i="10"/>
  <c r="F138" i="10"/>
  <c r="F194" i="10"/>
  <c r="K140" i="10"/>
  <c r="G140" i="10"/>
  <c r="K141" i="10"/>
  <c r="G141" i="10"/>
  <c r="L141" i="10"/>
  <c r="J141" i="10"/>
  <c r="H141" i="10"/>
  <c r="F141" i="10"/>
  <c r="M139" i="10"/>
  <c r="K139" i="10"/>
  <c r="G139" i="10"/>
  <c r="L137" i="10"/>
  <c r="J137" i="10"/>
  <c r="H137" i="10"/>
  <c r="H143" i="10" s="1"/>
  <c r="H131" i="10" s="1"/>
  <c r="F137" i="10"/>
  <c r="M138" i="10"/>
  <c r="M194" i="10"/>
  <c r="K138" i="10"/>
  <c r="K194" i="10"/>
  <c r="I194" i="10"/>
  <c r="G194" i="10"/>
  <c r="G138" i="10"/>
  <c r="E156" i="10"/>
  <c r="M140" i="10"/>
  <c r="M141" i="10"/>
  <c r="J167" i="11"/>
  <c r="J126" i="11" s="1"/>
  <c r="J84" i="11" s="1"/>
  <c r="F167" i="11"/>
  <c r="F126" i="11" s="1"/>
  <c r="F84" i="11" s="1"/>
  <c r="L159" i="11"/>
  <c r="L118" i="11" s="1"/>
  <c r="L76" i="11" s="1"/>
  <c r="H159" i="11"/>
  <c r="H118" i="11" s="1"/>
  <c r="J151" i="11"/>
  <c r="J110" i="11" s="1"/>
  <c r="J68" i="11" s="1"/>
  <c r="F151" i="11"/>
  <c r="F110" i="11" s="1"/>
  <c r="F68" i="11" s="1"/>
  <c r="J236" i="10"/>
  <c r="D192" i="10"/>
  <c r="C192" i="10" s="1"/>
  <c r="D190" i="10"/>
  <c r="C190" i="10" s="1"/>
  <c r="D188" i="10"/>
  <c r="C188" i="10" s="1"/>
  <c r="D186" i="10"/>
  <c r="C186" i="10" s="1"/>
  <c r="D184" i="10"/>
  <c r="C184" i="10" s="1"/>
  <c r="D182" i="10"/>
  <c r="C182" i="10" s="1"/>
  <c r="D180" i="10"/>
  <c r="C180" i="10" s="1"/>
  <c r="D178" i="10"/>
  <c r="C178" i="10" s="1"/>
  <c r="D176" i="10"/>
  <c r="C176" i="10" s="1"/>
  <c r="D174" i="10"/>
  <c r="C174" i="10" s="1"/>
  <c r="D172" i="10"/>
  <c r="C172" i="10" s="1"/>
  <c r="D170" i="10"/>
  <c r="C170" i="10" s="1"/>
  <c r="D168" i="10"/>
  <c r="C168" i="10" s="1"/>
  <c r="D166" i="10"/>
  <c r="C166" i="10" s="1"/>
  <c r="D164" i="10"/>
  <c r="C164" i="10" s="1"/>
  <c r="D162" i="10"/>
  <c r="C162" i="10" s="1"/>
  <c r="D160" i="10"/>
  <c r="D158" i="10"/>
  <c r="C158" i="10" s="1"/>
  <c r="D156" i="10"/>
  <c r="D214" i="11"/>
  <c r="E256" i="11"/>
  <c r="E214" i="11" s="1"/>
  <c r="E168" i="11" s="1"/>
  <c r="E127" i="11" s="1"/>
  <c r="E85" i="11" s="1"/>
  <c r="D210" i="11"/>
  <c r="E252" i="11"/>
  <c r="E210" i="11" s="1"/>
  <c r="D206" i="11"/>
  <c r="E248" i="11"/>
  <c r="E206" i="11" s="1"/>
  <c r="E160" i="11" s="1"/>
  <c r="E119" i="11" s="1"/>
  <c r="E77" i="11" s="1"/>
  <c r="D202" i="11"/>
  <c r="E244" i="11"/>
  <c r="E202" i="11" s="1"/>
  <c r="D198" i="11"/>
  <c r="E240" i="11"/>
  <c r="E198" i="11" s="1"/>
  <c r="E152" i="11" s="1"/>
  <c r="E111" i="11" s="1"/>
  <c r="E69" i="11" s="1"/>
  <c r="D194" i="11"/>
  <c r="E236" i="11"/>
  <c r="E194" i="11" s="1"/>
  <c r="D190" i="11"/>
  <c r="E232" i="11"/>
  <c r="E190" i="11" s="1"/>
  <c r="D185" i="11"/>
  <c r="E227" i="11"/>
  <c r="E185" i="11" s="1"/>
  <c r="D184" i="11"/>
  <c r="E226" i="11"/>
  <c r="E184" i="11" s="1"/>
  <c r="D182" i="11"/>
  <c r="E224" i="11"/>
  <c r="E182" i="11" s="1"/>
  <c r="D177" i="11"/>
  <c r="E219" i="11"/>
  <c r="L215" i="11"/>
  <c r="H215" i="11"/>
  <c r="K168" i="11"/>
  <c r="K127" i="11" s="1"/>
  <c r="K85" i="11" s="1"/>
  <c r="D211" i="11"/>
  <c r="D207" i="11"/>
  <c r="K160" i="11"/>
  <c r="K119" i="11" s="1"/>
  <c r="K77" i="11" s="1"/>
  <c r="D203" i="11"/>
  <c r="D199" i="11"/>
  <c r="K152" i="11"/>
  <c r="K111" i="11" s="1"/>
  <c r="K69" i="11" s="1"/>
  <c r="D195" i="11"/>
  <c r="D191" i="11"/>
  <c r="K144" i="11"/>
  <c r="K103" i="11" s="1"/>
  <c r="K61" i="11" s="1"/>
  <c r="D187" i="11"/>
  <c r="D179" i="11"/>
  <c r="E235" i="10"/>
  <c r="E193" i="10" s="1"/>
  <c r="C193" i="10" s="1"/>
  <c r="E233" i="10"/>
  <c r="E191" i="10" s="1"/>
  <c r="C191" i="10" s="1"/>
  <c r="E231" i="10"/>
  <c r="E189" i="10" s="1"/>
  <c r="E229" i="10"/>
  <c r="E187" i="10" s="1"/>
  <c r="C187" i="10" s="1"/>
  <c r="E227" i="10"/>
  <c r="E185" i="10" s="1"/>
  <c r="C185" i="10" s="1"/>
  <c r="E225" i="10"/>
  <c r="E183" i="10" s="1"/>
  <c r="C183" i="10" s="1"/>
  <c r="E223" i="10"/>
  <c r="E181" i="10" s="1"/>
  <c r="E221" i="10"/>
  <c r="E179" i="10" s="1"/>
  <c r="C179" i="10" s="1"/>
  <c r="E219" i="10"/>
  <c r="E177" i="10" s="1"/>
  <c r="C177" i="10" s="1"/>
  <c r="E217" i="10"/>
  <c r="E175" i="10" s="1"/>
  <c r="C175" i="10" s="1"/>
  <c r="E215" i="10"/>
  <c r="E173" i="10" s="1"/>
  <c r="E213" i="10"/>
  <c r="E171" i="10" s="1"/>
  <c r="C171" i="10" s="1"/>
  <c r="E211" i="10"/>
  <c r="E169" i="10" s="1"/>
  <c r="C169" i="10" s="1"/>
  <c r="E209" i="10"/>
  <c r="E167" i="10" s="1"/>
  <c r="E140" i="10" s="1"/>
  <c r="E207" i="10"/>
  <c r="E165" i="10" s="1"/>
  <c r="E205" i="10"/>
  <c r="E163" i="10" s="1"/>
  <c r="C163" i="10" s="1"/>
  <c r="E203" i="10"/>
  <c r="E161" i="10" s="1"/>
  <c r="E201" i="10"/>
  <c r="E159" i="10" s="1"/>
  <c r="C159" i="10" s="1"/>
  <c r="E199" i="10"/>
  <c r="E157" i="10" s="1"/>
  <c r="E137" i="10" s="1"/>
  <c r="D257" i="11"/>
  <c r="H168" i="11"/>
  <c r="H127" i="11" s="1"/>
  <c r="F256" i="11"/>
  <c r="F214" i="11" s="1"/>
  <c r="M167" i="11"/>
  <c r="M126" i="11" s="1"/>
  <c r="M84" i="11" s="1"/>
  <c r="I167" i="11"/>
  <c r="E167" i="11"/>
  <c r="E126" i="11" s="1"/>
  <c r="E84" i="11" s="1"/>
  <c r="D212" i="11"/>
  <c r="E254" i="11"/>
  <c r="E212" i="11" s="1"/>
  <c r="E166" i="11" s="1"/>
  <c r="E125" i="11" s="1"/>
  <c r="E83" i="11" s="1"/>
  <c r="F253" i="11"/>
  <c r="F211" i="11" s="1"/>
  <c r="F252" i="11"/>
  <c r="F210" i="11" s="1"/>
  <c r="F164" i="11" s="1"/>
  <c r="F123" i="11" s="1"/>
  <c r="F81" i="11" s="1"/>
  <c r="D208" i="11"/>
  <c r="E250" i="11"/>
  <c r="E208" i="11" s="1"/>
  <c r="F249" i="11"/>
  <c r="F207" i="11" s="1"/>
  <c r="F161" i="11" s="1"/>
  <c r="F120" i="11" s="1"/>
  <c r="F78" i="11" s="1"/>
  <c r="H160" i="11"/>
  <c r="H119" i="11" s="1"/>
  <c r="F248" i="11"/>
  <c r="F206" i="11" s="1"/>
  <c r="M159" i="11"/>
  <c r="M118" i="11" s="1"/>
  <c r="M76" i="11" s="1"/>
  <c r="I159" i="11"/>
  <c r="E159" i="11"/>
  <c r="E118" i="11" s="1"/>
  <c r="E76" i="11" s="1"/>
  <c r="D204" i="11"/>
  <c r="E246" i="11"/>
  <c r="E204" i="11" s="1"/>
  <c r="E158" i="11" s="1"/>
  <c r="E117" i="11" s="1"/>
  <c r="E75" i="11" s="1"/>
  <c r="F245" i="11"/>
  <c r="F203" i="11" s="1"/>
  <c r="F244" i="11"/>
  <c r="F202" i="11" s="1"/>
  <c r="F156" i="11" s="1"/>
  <c r="F115" i="11" s="1"/>
  <c r="F73" i="11" s="1"/>
  <c r="D200" i="11"/>
  <c r="E242" i="11"/>
  <c r="E200" i="11" s="1"/>
  <c r="F241" i="11"/>
  <c r="F199" i="11" s="1"/>
  <c r="F153" i="11" s="1"/>
  <c r="F112" i="11" s="1"/>
  <c r="F70" i="11" s="1"/>
  <c r="H152" i="11"/>
  <c r="H111" i="11" s="1"/>
  <c r="F240" i="11"/>
  <c r="F198" i="11" s="1"/>
  <c r="M151" i="11"/>
  <c r="M110" i="11" s="1"/>
  <c r="M68" i="11" s="1"/>
  <c r="I151" i="11"/>
  <c r="E151" i="11"/>
  <c r="E110" i="11" s="1"/>
  <c r="E68" i="11" s="1"/>
  <c r="D196" i="11"/>
  <c r="E238" i="11"/>
  <c r="E196" i="11" s="1"/>
  <c r="E150" i="11" s="1"/>
  <c r="E109" i="11" s="1"/>
  <c r="E67" i="11" s="1"/>
  <c r="F237" i="11"/>
  <c r="F195" i="11" s="1"/>
  <c r="F236" i="11"/>
  <c r="F194" i="11" s="1"/>
  <c r="F148" i="11" s="1"/>
  <c r="F107" i="11" s="1"/>
  <c r="F65" i="11" s="1"/>
  <c r="D192" i="11"/>
  <c r="E234" i="11"/>
  <c r="E192" i="11" s="1"/>
  <c r="F233" i="11"/>
  <c r="F191" i="11" s="1"/>
  <c r="F145" i="11" s="1"/>
  <c r="F104" i="11" s="1"/>
  <c r="F62" i="11" s="1"/>
  <c r="H144" i="11"/>
  <c r="H103" i="11" s="1"/>
  <c r="F232" i="11"/>
  <c r="F190" i="11" s="1"/>
  <c r="D189" i="11"/>
  <c r="E231" i="11"/>
  <c r="E189" i="11" s="1"/>
  <c r="D188" i="11"/>
  <c r="E230" i="11"/>
  <c r="E188" i="11" s="1"/>
  <c r="J141" i="11"/>
  <c r="J100" i="11" s="1"/>
  <c r="J58" i="11" s="1"/>
  <c r="F229" i="11"/>
  <c r="F187" i="11" s="1"/>
  <c r="D186" i="11"/>
  <c r="E228" i="11"/>
  <c r="E186" i="11" s="1"/>
  <c r="F227" i="11"/>
  <c r="F185" i="11" s="1"/>
  <c r="F139" i="11" s="1"/>
  <c r="F98" i="11" s="1"/>
  <c r="F56" i="11" s="1"/>
  <c r="F226" i="11"/>
  <c r="F184" i="11" s="1"/>
  <c r="F138" i="11" s="1"/>
  <c r="F97" i="11" s="1"/>
  <c r="F55" i="11" s="1"/>
  <c r="F224" i="11"/>
  <c r="F182" i="11" s="1"/>
  <c r="F136" i="11" s="1"/>
  <c r="F95" i="11" s="1"/>
  <c r="F53" i="11" s="1"/>
  <c r="D181" i="11"/>
  <c r="E223" i="11"/>
  <c r="E181" i="11" s="1"/>
  <c r="E135" i="11" s="1"/>
  <c r="E94" i="11" s="1"/>
  <c r="E52" i="11" s="1"/>
  <c r="D180" i="11"/>
  <c r="E222" i="11"/>
  <c r="E180" i="11" s="1"/>
  <c r="E134" i="11" s="1"/>
  <c r="E93" i="11" s="1"/>
  <c r="E51" i="11" s="1"/>
  <c r="F221" i="11"/>
  <c r="F179" i="11" s="1"/>
  <c r="F133" i="11" s="1"/>
  <c r="F92" i="11" s="1"/>
  <c r="F50" i="11" s="1"/>
  <c r="D178" i="11"/>
  <c r="E220" i="11"/>
  <c r="E178" i="11" s="1"/>
  <c r="E132" i="11" s="1"/>
  <c r="E91" i="11" s="1"/>
  <c r="E49" i="11" s="1"/>
  <c r="F219" i="11"/>
  <c r="J215" i="11"/>
  <c r="I168" i="11"/>
  <c r="D213" i="11"/>
  <c r="K166" i="11"/>
  <c r="K125" i="11" s="1"/>
  <c r="K83" i="11" s="1"/>
  <c r="M164" i="11"/>
  <c r="M123" i="11" s="1"/>
  <c r="M81" i="11" s="1"/>
  <c r="D209" i="11"/>
  <c r="G162" i="11"/>
  <c r="G121" i="11" s="1"/>
  <c r="G79" i="11" s="1"/>
  <c r="I160" i="11"/>
  <c r="D205" i="11"/>
  <c r="K158" i="11"/>
  <c r="K117" i="11" s="1"/>
  <c r="K75" i="11" s="1"/>
  <c r="M156" i="11"/>
  <c r="M115" i="11" s="1"/>
  <c r="M73" i="11" s="1"/>
  <c r="D201" i="11"/>
  <c r="G154" i="11"/>
  <c r="G113" i="11" s="1"/>
  <c r="G71" i="11" s="1"/>
  <c r="I152" i="11"/>
  <c r="D197" i="11"/>
  <c r="K150" i="11"/>
  <c r="K109" i="11" s="1"/>
  <c r="K67" i="11" s="1"/>
  <c r="M148" i="11"/>
  <c r="M107" i="11" s="1"/>
  <c r="M65" i="11" s="1"/>
  <c r="D193" i="11"/>
  <c r="G146" i="11"/>
  <c r="G105" i="11" s="1"/>
  <c r="G63" i="11" s="1"/>
  <c r="G144" i="11"/>
  <c r="G103" i="11" s="1"/>
  <c r="G61" i="11" s="1"/>
  <c r="K140" i="11"/>
  <c r="K99" i="11" s="1"/>
  <c r="K57" i="11" s="1"/>
  <c r="D183" i="11"/>
  <c r="M134" i="11"/>
  <c r="M93" i="11" s="1"/>
  <c r="M51" i="11" s="1"/>
  <c r="M143" i="11"/>
  <c r="M102" i="11" s="1"/>
  <c r="M60" i="11" s="1"/>
  <c r="I143" i="11"/>
  <c r="M141" i="11"/>
  <c r="M100" i="11" s="1"/>
  <c r="M58" i="11" s="1"/>
  <c r="I141" i="11"/>
  <c r="M139" i="11"/>
  <c r="M98" i="11" s="1"/>
  <c r="M56" i="11" s="1"/>
  <c r="I139" i="11"/>
  <c r="M137" i="11"/>
  <c r="M96" i="11" s="1"/>
  <c r="M54" i="11" s="1"/>
  <c r="I137" i="11"/>
  <c r="M135" i="11"/>
  <c r="M94" i="11" s="1"/>
  <c r="M52" i="11" s="1"/>
  <c r="I135" i="11"/>
  <c r="M133" i="11"/>
  <c r="M92" i="11" s="1"/>
  <c r="M50" i="11" s="1"/>
  <c r="I133" i="11"/>
  <c r="M215" i="11"/>
  <c r="K215" i="11"/>
  <c r="I215" i="11"/>
  <c r="G215" i="11"/>
  <c r="J127" i="14" l="1"/>
  <c r="J85" i="14" s="1"/>
  <c r="J121" i="14"/>
  <c r="J79" i="14" s="1"/>
  <c r="J117" i="14"/>
  <c r="J75" i="14" s="1"/>
  <c r="J115" i="14"/>
  <c r="J73" i="14" s="1"/>
  <c r="J113" i="14"/>
  <c r="J71" i="14" s="1"/>
  <c r="J103" i="14"/>
  <c r="J61" i="14" s="1"/>
  <c r="J95" i="14"/>
  <c r="J53" i="14" s="1"/>
  <c r="J126" i="14"/>
  <c r="J84" i="14" s="1"/>
  <c r="J114" i="14"/>
  <c r="J72" i="14" s="1"/>
  <c r="J112" i="14"/>
  <c r="J70" i="14" s="1"/>
  <c r="J110" i="14"/>
  <c r="J68" i="14" s="1"/>
  <c r="J106" i="14"/>
  <c r="J64" i="14" s="1"/>
  <c r="J100" i="14"/>
  <c r="J58" i="14" s="1"/>
  <c r="J98" i="14"/>
  <c r="J56" i="14" s="1"/>
  <c r="J96" i="14"/>
  <c r="J54" i="14" s="1"/>
  <c r="J119" i="14"/>
  <c r="J77" i="14" s="1"/>
  <c r="J109" i="14"/>
  <c r="J67" i="14" s="1"/>
  <c r="J105" i="14"/>
  <c r="J63" i="14" s="1"/>
  <c r="J124" i="14"/>
  <c r="J82" i="14" s="1"/>
  <c r="J122" i="14"/>
  <c r="J80" i="14" s="1"/>
  <c r="J104" i="14"/>
  <c r="J62" i="14" s="1"/>
  <c r="J94" i="14"/>
  <c r="J52" i="14" s="1"/>
  <c r="F145" i="14"/>
  <c r="F133" i="14" s="1"/>
  <c r="J99" i="14"/>
  <c r="J57" i="14" s="1"/>
  <c r="J91" i="14"/>
  <c r="J49" i="14" s="1"/>
  <c r="C100" i="15"/>
  <c r="C94" i="15"/>
  <c r="J86" i="15"/>
  <c r="K126" i="14"/>
  <c r="K84" i="14" s="1"/>
  <c r="K114" i="14"/>
  <c r="K72" i="14" s="1"/>
  <c r="K112" i="14"/>
  <c r="K70" i="14" s="1"/>
  <c r="K110" i="14"/>
  <c r="K68" i="14" s="1"/>
  <c r="K106" i="14"/>
  <c r="K64" i="14" s="1"/>
  <c r="K100" i="14"/>
  <c r="K58" i="14" s="1"/>
  <c r="K98" i="14"/>
  <c r="K56" i="14" s="1"/>
  <c r="K96" i="14"/>
  <c r="K54" i="14" s="1"/>
  <c r="K127" i="14"/>
  <c r="K85" i="14" s="1"/>
  <c r="K115" i="14"/>
  <c r="K73" i="14" s="1"/>
  <c r="K103" i="14"/>
  <c r="K61" i="14" s="1"/>
  <c r="K95" i="14"/>
  <c r="K53" i="14" s="1"/>
  <c r="K121" i="14"/>
  <c r="K79" i="14" s="1"/>
  <c r="K117" i="14"/>
  <c r="K75" i="14" s="1"/>
  <c r="K113" i="14"/>
  <c r="K71" i="14" s="1"/>
  <c r="K124" i="14"/>
  <c r="K82" i="14" s="1"/>
  <c r="K122" i="14"/>
  <c r="K80" i="14" s="1"/>
  <c r="K104" i="14"/>
  <c r="K62" i="14" s="1"/>
  <c r="K94" i="14"/>
  <c r="K52" i="14" s="1"/>
  <c r="K119" i="14"/>
  <c r="K77" i="14" s="1"/>
  <c r="K109" i="14"/>
  <c r="K67" i="14" s="1"/>
  <c r="K105" i="14"/>
  <c r="K63" i="14" s="1"/>
  <c r="G127" i="14"/>
  <c r="G85" i="14" s="1"/>
  <c r="G121" i="14"/>
  <c r="G79" i="14" s="1"/>
  <c r="G117" i="14"/>
  <c r="G75" i="14" s="1"/>
  <c r="G115" i="14"/>
  <c r="G73" i="14" s="1"/>
  <c r="G113" i="14"/>
  <c r="G71" i="14" s="1"/>
  <c r="G103" i="14"/>
  <c r="G61" i="14" s="1"/>
  <c r="G95" i="14"/>
  <c r="G53" i="14" s="1"/>
  <c r="G112" i="14"/>
  <c r="G70" i="14" s="1"/>
  <c r="G100" i="14"/>
  <c r="G58" i="14" s="1"/>
  <c r="G96" i="14"/>
  <c r="G54" i="14" s="1"/>
  <c r="G126" i="14"/>
  <c r="G84" i="14" s="1"/>
  <c r="G114" i="14"/>
  <c r="G72" i="14" s="1"/>
  <c r="G110" i="14"/>
  <c r="G68" i="14" s="1"/>
  <c r="G106" i="14"/>
  <c r="G64" i="14" s="1"/>
  <c r="G98" i="14"/>
  <c r="G56" i="14" s="1"/>
  <c r="D124" i="14"/>
  <c r="D122" i="14"/>
  <c r="D104" i="14"/>
  <c r="D94" i="14"/>
  <c r="D109" i="14"/>
  <c r="D105" i="14"/>
  <c r="D119" i="14"/>
  <c r="F126" i="14"/>
  <c r="F84" i="14" s="1"/>
  <c r="F114" i="14"/>
  <c r="F72" i="14" s="1"/>
  <c r="F112" i="14"/>
  <c r="F70" i="14" s="1"/>
  <c r="F110" i="14"/>
  <c r="F68" i="14" s="1"/>
  <c r="F106" i="14"/>
  <c r="F64" i="14" s="1"/>
  <c r="F100" i="14"/>
  <c r="F58" i="14" s="1"/>
  <c r="F98" i="14"/>
  <c r="F56" i="14" s="1"/>
  <c r="F96" i="14"/>
  <c r="F54" i="14" s="1"/>
  <c r="F127" i="14"/>
  <c r="F85" i="14" s="1"/>
  <c r="F115" i="14"/>
  <c r="F73" i="14" s="1"/>
  <c r="F103" i="14"/>
  <c r="F61" i="14" s="1"/>
  <c r="F95" i="14"/>
  <c r="F53" i="14" s="1"/>
  <c r="F121" i="14"/>
  <c r="F79" i="14" s="1"/>
  <c r="F117" i="14"/>
  <c r="F75" i="14" s="1"/>
  <c r="F113" i="14"/>
  <c r="F71" i="14" s="1"/>
  <c r="L127" i="14"/>
  <c r="L85" i="14" s="1"/>
  <c r="L121" i="14"/>
  <c r="L79" i="14" s="1"/>
  <c r="L117" i="14"/>
  <c r="L75" i="14" s="1"/>
  <c r="L115" i="14"/>
  <c r="L73" i="14" s="1"/>
  <c r="L113" i="14"/>
  <c r="L71" i="14" s="1"/>
  <c r="L103" i="14"/>
  <c r="L61" i="14" s="1"/>
  <c r="L95" i="14"/>
  <c r="L53" i="14" s="1"/>
  <c r="L112" i="14"/>
  <c r="L70" i="14" s="1"/>
  <c r="L100" i="14"/>
  <c r="L58" i="14" s="1"/>
  <c r="L96" i="14"/>
  <c r="L54" i="14" s="1"/>
  <c r="L126" i="14"/>
  <c r="L84" i="14" s="1"/>
  <c r="L114" i="14"/>
  <c r="L72" i="14" s="1"/>
  <c r="L110" i="14"/>
  <c r="L68" i="14" s="1"/>
  <c r="L106" i="14"/>
  <c r="L64" i="14" s="1"/>
  <c r="L98" i="14"/>
  <c r="L56" i="14" s="1"/>
  <c r="F194" i="14"/>
  <c r="F138" i="14"/>
  <c r="J144" i="14" s="1"/>
  <c r="J132" i="14" s="1"/>
  <c r="C156" i="14"/>
  <c r="C194" i="14" s="1"/>
  <c r="C50" i="15"/>
  <c r="C54" i="15"/>
  <c r="I103" i="15"/>
  <c r="I61" i="15" s="1"/>
  <c r="H61" i="15"/>
  <c r="I111" i="15"/>
  <c r="I69" i="15" s="1"/>
  <c r="H69" i="15"/>
  <c r="I119" i="15"/>
  <c r="I77" i="15" s="1"/>
  <c r="H77" i="15"/>
  <c r="I127" i="15"/>
  <c r="I85" i="15" s="1"/>
  <c r="H85" i="15"/>
  <c r="C56" i="15"/>
  <c r="C103" i="15"/>
  <c r="D61" i="15"/>
  <c r="D63" i="15"/>
  <c r="D65" i="15"/>
  <c r="D67" i="15"/>
  <c r="C111" i="15"/>
  <c r="D69" i="15"/>
  <c r="D71" i="15"/>
  <c r="D73" i="15"/>
  <c r="D75" i="15"/>
  <c r="D77" i="15"/>
  <c r="C119" i="15"/>
  <c r="D79" i="15"/>
  <c r="D81" i="15"/>
  <c r="D83" i="15"/>
  <c r="D85" i="15"/>
  <c r="C127" i="15"/>
  <c r="K99" i="14"/>
  <c r="K57" i="14" s="1"/>
  <c r="K91" i="14"/>
  <c r="K49" i="14" s="1"/>
  <c r="L119" i="14"/>
  <c r="L77" i="14" s="1"/>
  <c r="L109" i="14"/>
  <c r="L67" i="14" s="1"/>
  <c r="L105" i="14"/>
  <c r="L63" i="14" s="1"/>
  <c r="L124" i="14"/>
  <c r="L82" i="14" s="1"/>
  <c r="L104" i="14"/>
  <c r="L62" i="14" s="1"/>
  <c r="L122" i="14"/>
  <c r="L80" i="14" s="1"/>
  <c r="L94" i="14"/>
  <c r="L52" i="14" s="1"/>
  <c r="F118" i="14"/>
  <c r="F76" i="14" s="1"/>
  <c r="F108" i="14"/>
  <c r="F66" i="14" s="1"/>
  <c r="F102" i="14"/>
  <c r="F60" i="14" s="1"/>
  <c r="F123" i="14"/>
  <c r="F81" i="14" s="1"/>
  <c r="F107" i="14"/>
  <c r="F65" i="14" s="1"/>
  <c r="F101" i="14"/>
  <c r="F59" i="14" s="1"/>
  <c r="E99" i="14"/>
  <c r="E57" i="14" s="1"/>
  <c r="E91" i="14"/>
  <c r="E49" i="14" s="1"/>
  <c r="G99" i="14"/>
  <c r="G57" i="14" s="1"/>
  <c r="G91" i="14"/>
  <c r="G49" i="14" s="1"/>
  <c r="D118" i="14"/>
  <c r="D108" i="14"/>
  <c r="D102" i="14"/>
  <c r="D101" i="14"/>
  <c r="D123" i="14"/>
  <c r="D107" i="14"/>
  <c r="M126" i="14"/>
  <c r="M84" i="14" s="1"/>
  <c r="M114" i="14"/>
  <c r="M72" i="14" s="1"/>
  <c r="M112" i="14"/>
  <c r="M70" i="14" s="1"/>
  <c r="M110" i="14"/>
  <c r="M68" i="14" s="1"/>
  <c r="M106" i="14"/>
  <c r="M64" i="14" s="1"/>
  <c r="M100" i="14"/>
  <c r="M58" i="14" s="1"/>
  <c r="M98" i="14"/>
  <c r="M56" i="14" s="1"/>
  <c r="M96" i="14"/>
  <c r="M54" i="14" s="1"/>
  <c r="M121" i="14"/>
  <c r="M79" i="14" s="1"/>
  <c r="M117" i="14"/>
  <c r="M75" i="14" s="1"/>
  <c r="M113" i="14"/>
  <c r="M71" i="14" s="1"/>
  <c r="M127" i="14"/>
  <c r="M85" i="14" s="1"/>
  <c r="M115" i="14"/>
  <c r="M73" i="14" s="1"/>
  <c r="M103" i="14"/>
  <c r="M61" i="14" s="1"/>
  <c r="M95" i="14"/>
  <c r="M53" i="14" s="1"/>
  <c r="E123" i="14"/>
  <c r="E81" i="14" s="1"/>
  <c r="E107" i="14"/>
  <c r="E65" i="14" s="1"/>
  <c r="E101" i="14"/>
  <c r="E59" i="14" s="1"/>
  <c r="E118" i="14"/>
  <c r="E76" i="14" s="1"/>
  <c r="E102" i="14"/>
  <c r="E60" i="14" s="1"/>
  <c r="E108" i="14"/>
  <c r="E66" i="14" s="1"/>
  <c r="F99" i="14"/>
  <c r="F57" i="14" s="1"/>
  <c r="F91" i="14"/>
  <c r="F49" i="14" s="1"/>
  <c r="D99" i="14"/>
  <c r="D91" i="14"/>
  <c r="N99" i="14"/>
  <c r="N57" i="14" s="1"/>
  <c r="N91" i="14"/>
  <c r="N49" i="14" s="1"/>
  <c r="I109" i="15"/>
  <c r="I67" i="15" s="1"/>
  <c r="H67" i="15"/>
  <c r="H75" i="15"/>
  <c r="I117" i="15"/>
  <c r="I75" i="15" s="1"/>
  <c r="H83" i="15"/>
  <c r="I125" i="15"/>
  <c r="I83" i="15" s="1"/>
  <c r="C49" i="15"/>
  <c r="C51" i="15"/>
  <c r="C53" i="15"/>
  <c r="C97" i="15"/>
  <c r="C59" i="15"/>
  <c r="C57" i="15"/>
  <c r="C102" i="15"/>
  <c r="D62" i="15"/>
  <c r="I106" i="15"/>
  <c r="I64" i="15" s="1"/>
  <c r="H64" i="15"/>
  <c r="D66" i="15"/>
  <c r="I110" i="15"/>
  <c r="I68" i="15" s="1"/>
  <c r="H68" i="15"/>
  <c r="D70" i="15"/>
  <c r="I114" i="15"/>
  <c r="I72" i="15" s="1"/>
  <c r="H72" i="15"/>
  <c r="D74" i="15"/>
  <c r="I118" i="15"/>
  <c r="I76" i="15" s="1"/>
  <c r="H76" i="15"/>
  <c r="D78" i="15"/>
  <c r="I122" i="15"/>
  <c r="I80" i="15" s="1"/>
  <c r="H80" i="15"/>
  <c r="D82" i="15"/>
  <c r="I126" i="15"/>
  <c r="I84" i="15" s="1"/>
  <c r="H84" i="15"/>
  <c r="G119" i="14"/>
  <c r="G77" i="14" s="1"/>
  <c r="G109" i="14"/>
  <c r="G67" i="14" s="1"/>
  <c r="G105" i="14"/>
  <c r="G63" i="14" s="1"/>
  <c r="G124" i="14"/>
  <c r="G82" i="14" s="1"/>
  <c r="G104" i="14"/>
  <c r="G62" i="14" s="1"/>
  <c r="G122" i="14"/>
  <c r="G80" i="14" s="1"/>
  <c r="G94" i="14"/>
  <c r="G52" i="14" s="1"/>
  <c r="M124" i="14"/>
  <c r="M82" i="14" s="1"/>
  <c r="M122" i="14"/>
  <c r="M80" i="14" s="1"/>
  <c r="M104" i="14"/>
  <c r="M62" i="14" s="1"/>
  <c r="M94" i="14"/>
  <c r="M52" i="14" s="1"/>
  <c r="M109" i="14"/>
  <c r="M67" i="14" s="1"/>
  <c r="M105" i="14"/>
  <c r="M63" i="14" s="1"/>
  <c r="M119" i="14"/>
  <c r="M77" i="14" s="1"/>
  <c r="M99" i="14"/>
  <c r="M57" i="14" s="1"/>
  <c r="M91" i="14"/>
  <c r="M49" i="14" s="1"/>
  <c r="I134" i="14"/>
  <c r="H118" i="14"/>
  <c r="H76" i="14" s="1"/>
  <c r="H108" i="14"/>
  <c r="H66" i="14" s="1"/>
  <c r="H102" i="14"/>
  <c r="H60" i="14" s="1"/>
  <c r="H101" i="14"/>
  <c r="H59" i="14" s="1"/>
  <c r="H123" i="14"/>
  <c r="H81" i="14" s="1"/>
  <c r="H107" i="14"/>
  <c r="H65" i="14" s="1"/>
  <c r="M118" i="14"/>
  <c r="M76" i="14" s="1"/>
  <c r="M108" i="14"/>
  <c r="M66" i="14" s="1"/>
  <c r="M102" i="14"/>
  <c r="M60" i="14" s="1"/>
  <c r="M101" i="14"/>
  <c r="M59" i="14" s="1"/>
  <c r="M123" i="14"/>
  <c r="M81" i="14" s="1"/>
  <c r="M107" i="14"/>
  <c r="M65" i="14" s="1"/>
  <c r="N119" i="14"/>
  <c r="N77" i="14" s="1"/>
  <c r="N109" i="14"/>
  <c r="N67" i="14" s="1"/>
  <c r="N105" i="14"/>
  <c r="N63" i="14" s="1"/>
  <c r="N122" i="14"/>
  <c r="N80" i="14" s="1"/>
  <c r="N94" i="14"/>
  <c r="N52" i="14" s="1"/>
  <c r="N124" i="14"/>
  <c r="N82" i="14" s="1"/>
  <c r="N104" i="14"/>
  <c r="N62" i="14" s="1"/>
  <c r="D126" i="14"/>
  <c r="D114" i="14"/>
  <c r="D112" i="14"/>
  <c r="D110" i="14"/>
  <c r="D106" i="14"/>
  <c r="D100" i="14"/>
  <c r="D98" i="14"/>
  <c r="D96" i="14"/>
  <c r="D121" i="14"/>
  <c r="D117" i="14"/>
  <c r="D113" i="14"/>
  <c r="D127" i="14"/>
  <c r="D115" i="14"/>
  <c r="D103" i="14"/>
  <c r="D95" i="14"/>
  <c r="G123" i="14"/>
  <c r="G81" i="14" s="1"/>
  <c r="G107" i="14"/>
  <c r="G65" i="14" s="1"/>
  <c r="G101" i="14"/>
  <c r="G59" i="14" s="1"/>
  <c r="G108" i="14"/>
  <c r="G66" i="14" s="1"/>
  <c r="G118" i="14"/>
  <c r="G76" i="14" s="1"/>
  <c r="G102" i="14"/>
  <c r="G60" i="14" s="1"/>
  <c r="C92" i="15"/>
  <c r="C96" i="15"/>
  <c r="I107" i="15"/>
  <c r="I65" i="15" s="1"/>
  <c r="H65" i="15"/>
  <c r="I115" i="15"/>
  <c r="I73" i="15" s="1"/>
  <c r="H73" i="15"/>
  <c r="I123" i="15"/>
  <c r="I81" i="15" s="1"/>
  <c r="H81" i="15"/>
  <c r="C98" i="15"/>
  <c r="L123" i="14"/>
  <c r="L81" i="14" s="1"/>
  <c r="L107" i="14"/>
  <c r="L65" i="14" s="1"/>
  <c r="L101" i="14"/>
  <c r="L59" i="14" s="1"/>
  <c r="L108" i="14"/>
  <c r="L66" i="14" s="1"/>
  <c r="L118" i="14"/>
  <c r="L76" i="14" s="1"/>
  <c r="L102" i="14"/>
  <c r="L60" i="14" s="1"/>
  <c r="E127" i="14"/>
  <c r="E85" i="14" s="1"/>
  <c r="E121" i="14"/>
  <c r="E79" i="14" s="1"/>
  <c r="E117" i="14"/>
  <c r="E75" i="14" s="1"/>
  <c r="E115" i="14"/>
  <c r="E73" i="14" s="1"/>
  <c r="E113" i="14"/>
  <c r="E71" i="14" s="1"/>
  <c r="E103" i="14"/>
  <c r="E61" i="14" s="1"/>
  <c r="E95" i="14"/>
  <c r="E53" i="14" s="1"/>
  <c r="E126" i="14"/>
  <c r="E84" i="14" s="1"/>
  <c r="E114" i="14"/>
  <c r="E72" i="14" s="1"/>
  <c r="E110" i="14"/>
  <c r="E68" i="14" s="1"/>
  <c r="E106" i="14"/>
  <c r="E64" i="14" s="1"/>
  <c r="E98" i="14"/>
  <c r="E56" i="14" s="1"/>
  <c r="E112" i="14"/>
  <c r="E70" i="14" s="1"/>
  <c r="E100" i="14"/>
  <c r="E58" i="14" s="1"/>
  <c r="E96" i="14"/>
  <c r="E54" i="14" s="1"/>
  <c r="E119" i="14"/>
  <c r="E77" i="14" s="1"/>
  <c r="E109" i="14"/>
  <c r="E67" i="14" s="1"/>
  <c r="E105" i="14"/>
  <c r="E63" i="14" s="1"/>
  <c r="E122" i="14"/>
  <c r="E80" i="14" s="1"/>
  <c r="E94" i="14"/>
  <c r="E52" i="14" s="1"/>
  <c r="E124" i="14"/>
  <c r="E82" i="14" s="1"/>
  <c r="E104" i="14"/>
  <c r="E62" i="14" s="1"/>
  <c r="N123" i="14"/>
  <c r="N81" i="14" s="1"/>
  <c r="N107" i="14"/>
  <c r="N65" i="14" s="1"/>
  <c r="N101" i="14"/>
  <c r="N59" i="14" s="1"/>
  <c r="N118" i="14"/>
  <c r="N76" i="14" s="1"/>
  <c r="N102" i="14"/>
  <c r="N60" i="14" s="1"/>
  <c r="N108" i="14"/>
  <c r="N66" i="14" s="1"/>
  <c r="H124" i="14"/>
  <c r="H82" i="14" s="1"/>
  <c r="H122" i="14"/>
  <c r="H80" i="14" s="1"/>
  <c r="H104" i="14"/>
  <c r="H62" i="14" s="1"/>
  <c r="H94" i="14"/>
  <c r="H52" i="14" s="1"/>
  <c r="I133" i="14"/>
  <c r="H109" i="14"/>
  <c r="H67" i="14" s="1"/>
  <c r="H105" i="14"/>
  <c r="H63" i="14" s="1"/>
  <c r="H119" i="14"/>
  <c r="H77" i="14" s="1"/>
  <c r="L99" i="14"/>
  <c r="L57" i="14" s="1"/>
  <c r="L91" i="14"/>
  <c r="L49" i="14" s="1"/>
  <c r="I131" i="14"/>
  <c r="H99" i="14"/>
  <c r="H57" i="14" s="1"/>
  <c r="H91" i="14"/>
  <c r="H49" i="14" s="1"/>
  <c r="H126" i="14"/>
  <c r="H84" i="14" s="1"/>
  <c r="H114" i="14"/>
  <c r="H72" i="14" s="1"/>
  <c r="H112" i="14"/>
  <c r="H70" i="14" s="1"/>
  <c r="H110" i="14"/>
  <c r="H68" i="14" s="1"/>
  <c r="H106" i="14"/>
  <c r="H64" i="14" s="1"/>
  <c r="H100" i="14"/>
  <c r="H58" i="14" s="1"/>
  <c r="H98" i="14"/>
  <c r="H56" i="14" s="1"/>
  <c r="H96" i="14"/>
  <c r="H54" i="14" s="1"/>
  <c r="H121" i="14"/>
  <c r="H79" i="14" s="1"/>
  <c r="H117" i="14"/>
  <c r="H75" i="14" s="1"/>
  <c r="H113" i="14"/>
  <c r="H71" i="14" s="1"/>
  <c r="I135" i="14"/>
  <c r="H127" i="14"/>
  <c r="H85" i="14" s="1"/>
  <c r="H115" i="14"/>
  <c r="H73" i="14" s="1"/>
  <c r="H103" i="14"/>
  <c r="H61" i="14" s="1"/>
  <c r="H95" i="14"/>
  <c r="H53" i="14" s="1"/>
  <c r="C52" i="15"/>
  <c r="I105" i="15"/>
  <c r="I63" i="15" s="1"/>
  <c r="H63" i="15"/>
  <c r="I113" i="15"/>
  <c r="I71" i="15" s="1"/>
  <c r="H71" i="15"/>
  <c r="H79" i="15"/>
  <c r="I121" i="15"/>
  <c r="I79" i="15" s="1"/>
  <c r="C91" i="15"/>
  <c r="C93" i="15"/>
  <c r="C95" i="15"/>
  <c r="C55" i="15"/>
  <c r="C58" i="15"/>
  <c r="C101" i="15"/>
  <c r="C99" i="15"/>
  <c r="C60" i="15"/>
  <c r="H62" i="15"/>
  <c r="I104" i="15"/>
  <c r="I62" i="15" s="1"/>
  <c r="D64" i="15"/>
  <c r="C106" i="15"/>
  <c r="H66" i="15"/>
  <c r="I108" i="15"/>
  <c r="I66" i="15" s="1"/>
  <c r="C110" i="15"/>
  <c r="D68" i="15"/>
  <c r="H70" i="15"/>
  <c r="I112" i="15"/>
  <c r="I70" i="15" s="1"/>
  <c r="D72" i="15"/>
  <c r="C114" i="15"/>
  <c r="H74" i="15"/>
  <c r="I116" i="15"/>
  <c r="I74" i="15" s="1"/>
  <c r="C118" i="15"/>
  <c r="D76" i="15"/>
  <c r="I120" i="15"/>
  <c r="I78" i="15" s="1"/>
  <c r="H78" i="15"/>
  <c r="C122" i="15"/>
  <c r="D80" i="15"/>
  <c r="I124" i="15"/>
  <c r="I82" i="15" s="1"/>
  <c r="H82" i="15"/>
  <c r="C126" i="15"/>
  <c r="D84" i="15"/>
  <c r="F215" i="15"/>
  <c r="F131" i="15"/>
  <c r="F90" i="15" s="1"/>
  <c r="F48" i="15" s="1"/>
  <c r="C177" i="15"/>
  <c r="C215" i="15" s="1"/>
  <c r="E131" i="15"/>
  <c r="E90" i="15" s="1"/>
  <c r="E48" i="15" s="1"/>
  <c r="G131" i="15"/>
  <c r="G90" i="15" s="1"/>
  <c r="G48" i="15" s="1"/>
  <c r="L131" i="15"/>
  <c r="L90" i="15" s="1"/>
  <c r="L48" i="15" s="1"/>
  <c r="I131" i="15"/>
  <c r="N131" i="15"/>
  <c r="N90" i="15" s="1"/>
  <c r="N48" i="15" s="1"/>
  <c r="M131" i="15"/>
  <c r="M90" i="15" s="1"/>
  <c r="M48" i="15" s="1"/>
  <c r="H131" i="15"/>
  <c r="H90" i="15" s="1"/>
  <c r="K131" i="15"/>
  <c r="K90" i="15" s="1"/>
  <c r="K48" i="15" s="1"/>
  <c r="D131" i="15"/>
  <c r="D90" i="15" s="1"/>
  <c r="D48" i="15" s="1"/>
  <c r="D48" i="13"/>
  <c r="I90" i="13"/>
  <c r="I48" i="13" s="1"/>
  <c r="H48" i="13"/>
  <c r="L86" i="13"/>
  <c r="D52" i="13"/>
  <c r="I94" i="13"/>
  <c r="I52" i="13" s="1"/>
  <c r="H52" i="13"/>
  <c r="D56" i="13"/>
  <c r="I98" i="13"/>
  <c r="I56" i="13" s="1"/>
  <c r="H56" i="13"/>
  <c r="D60" i="13"/>
  <c r="I102" i="13"/>
  <c r="I60" i="13" s="1"/>
  <c r="H60" i="13"/>
  <c r="D59" i="13"/>
  <c r="D65" i="13"/>
  <c r="C107" i="13"/>
  <c r="H69" i="13"/>
  <c r="I111" i="13"/>
  <c r="I69" i="13" s="1"/>
  <c r="D73" i="13"/>
  <c r="H77" i="13"/>
  <c r="I119" i="13"/>
  <c r="I77" i="13" s="1"/>
  <c r="D81" i="13"/>
  <c r="C123" i="13"/>
  <c r="H85" i="13"/>
  <c r="I127" i="13"/>
  <c r="I85" i="13" s="1"/>
  <c r="H53" i="13"/>
  <c r="I95" i="13"/>
  <c r="I53" i="13" s="1"/>
  <c r="D61" i="13"/>
  <c r="D64" i="13"/>
  <c r="I106" i="13"/>
  <c r="I64" i="13" s="1"/>
  <c r="H64" i="13"/>
  <c r="D72" i="13"/>
  <c r="I114" i="13"/>
  <c r="I72" i="13" s="1"/>
  <c r="H72" i="13"/>
  <c r="E91" i="12"/>
  <c r="E49" i="12" s="1"/>
  <c r="E99" i="12"/>
  <c r="E57" i="12" s="1"/>
  <c r="H59" i="13"/>
  <c r="I101" i="13"/>
  <c r="I59" i="13" s="1"/>
  <c r="D63" i="13"/>
  <c r="H67" i="13"/>
  <c r="I109" i="13"/>
  <c r="I67" i="13" s="1"/>
  <c r="D71" i="13"/>
  <c r="H75" i="13"/>
  <c r="I117" i="13"/>
  <c r="I75" i="13" s="1"/>
  <c r="D79" i="13"/>
  <c r="H83" i="13"/>
  <c r="I125" i="13"/>
  <c r="I83" i="13" s="1"/>
  <c r="H49" i="13"/>
  <c r="I91" i="13"/>
  <c r="I49" i="13" s="1"/>
  <c r="H57" i="13"/>
  <c r="I99" i="13"/>
  <c r="I57" i="13" s="1"/>
  <c r="D62" i="13"/>
  <c r="H62" i="13"/>
  <c r="I104" i="13"/>
  <c r="I62" i="13" s="1"/>
  <c r="D70" i="13"/>
  <c r="H70" i="13"/>
  <c r="I112" i="13"/>
  <c r="I70" i="13" s="1"/>
  <c r="D76" i="13"/>
  <c r="I118" i="13"/>
  <c r="I76" i="13" s="1"/>
  <c r="H76" i="13"/>
  <c r="D84" i="13"/>
  <c r="H84" i="13"/>
  <c r="I126" i="13"/>
  <c r="I84" i="13" s="1"/>
  <c r="G143" i="12"/>
  <c r="G131" i="12" s="1"/>
  <c r="C160" i="12"/>
  <c r="D139" i="12"/>
  <c r="C157" i="12"/>
  <c r="C161" i="12"/>
  <c r="M143" i="12"/>
  <c r="M131" i="12" s="1"/>
  <c r="E236" i="12"/>
  <c r="K144" i="12"/>
  <c r="K132" i="12" s="1"/>
  <c r="H143" i="12"/>
  <c r="H131" i="12" s="1"/>
  <c r="L143" i="12"/>
  <c r="L131" i="12" s="1"/>
  <c r="E139" i="12"/>
  <c r="E145" i="12" s="1"/>
  <c r="E133" i="12" s="1"/>
  <c r="D140" i="12"/>
  <c r="F86" i="13"/>
  <c r="J86" i="13"/>
  <c r="D50" i="13"/>
  <c r="H50" i="13"/>
  <c r="I92" i="13"/>
  <c r="I50" i="13" s="1"/>
  <c r="D54" i="13"/>
  <c r="H54" i="13"/>
  <c r="I96" i="13"/>
  <c r="I54" i="13" s="1"/>
  <c r="D58" i="13"/>
  <c r="H58" i="13"/>
  <c r="I100" i="13"/>
  <c r="I58" i="13" s="1"/>
  <c r="D51" i="13"/>
  <c r="H55" i="13"/>
  <c r="I97" i="13"/>
  <c r="I55" i="13" s="1"/>
  <c r="H65" i="13"/>
  <c r="I107" i="13"/>
  <c r="I65" i="13" s="1"/>
  <c r="D69" i="13"/>
  <c r="C111" i="13"/>
  <c r="H73" i="13"/>
  <c r="I115" i="13"/>
  <c r="I73" i="13" s="1"/>
  <c r="D77" i="13"/>
  <c r="C119" i="13"/>
  <c r="H81" i="13"/>
  <c r="I123" i="13"/>
  <c r="I81" i="13" s="1"/>
  <c r="D85" i="13"/>
  <c r="C127" i="13"/>
  <c r="D53" i="13"/>
  <c r="C95" i="13"/>
  <c r="H61" i="13"/>
  <c r="I103" i="13"/>
  <c r="I61" i="13" s="1"/>
  <c r="D68" i="13"/>
  <c r="I110" i="13"/>
  <c r="I68" i="13" s="1"/>
  <c r="H68" i="13"/>
  <c r="H74" i="13"/>
  <c r="I116" i="13"/>
  <c r="I74" i="13" s="1"/>
  <c r="D78" i="13"/>
  <c r="H78" i="13"/>
  <c r="I120" i="13"/>
  <c r="I78" i="13" s="1"/>
  <c r="D82" i="13"/>
  <c r="H82" i="13"/>
  <c r="I124" i="13"/>
  <c r="I82" i="13" s="1"/>
  <c r="E140" i="12"/>
  <c r="E146" i="12" s="1"/>
  <c r="E134" i="12" s="1"/>
  <c r="H51" i="13"/>
  <c r="I93" i="13"/>
  <c r="I51" i="13" s="1"/>
  <c r="D55" i="13"/>
  <c r="C97" i="13"/>
  <c r="H63" i="13"/>
  <c r="I105" i="13"/>
  <c r="I63" i="13" s="1"/>
  <c r="D67" i="13"/>
  <c r="C109" i="13"/>
  <c r="H71" i="13"/>
  <c r="I113" i="13"/>
  <c r="I71" i="13" s="1"/>
  <c r="C203" i="13"/>
  <c r="C215" i="13" s="1"/>
  <c r="D75" i="13"/>
  <c r="C117" i="13"/>
  <c r="H79" i="13"/>
  <c r="I121" i="13"/>
  <c r="I79" i="13" s="1"/>
  <c r="D83" i="13"/>
  <c r="C125" i="13"/>
  <c r="D49" i="13"/>
  <c r="C91" i="13"/>
  <c r="D57" i="13"/>
  <c r="C99" i="13"/>
  <c r="D66" i="13"/>
  <c r="H66" i="13"/>
  <c r="I108" i="13"/>
  <c r="I66" i="13" s="1"/>
  <c r="D157" i="13"/>
  <c r="D116" i="13" s="1"/>
  <c r="D80" i="13"/>
  <c r="I122" i="13"/>
  <c r="I80" i="13" s="1"/>
  <c r="H80" i="13"/>
  <c r="D138" i="12"/>
  <c r="C156" i="12"/>
  <c r="C194" i="12" s="1"/>
  <c r="D194" i="12"/>
  <c r="M86" i="13"/>
  <c r="G157" i="13"/>
  <c r="G116" i="13" s="1"/>
  <c r="G74" i="13" s="1"/>
  <c r="K157" i="13"/>
  <c r="K116" i="13" s="1"/>
  <c r="K74" i="13" s="1"/>
  <c r="K143" i="12"/>
  <c r="K131" i="12" s="1"/>
  <c r="G146" i="12"/>
  <c r="G134" i="12" s="1"/>
  <c r="H144" i="12"/>
  <c r="H132" i="12" s="1"/>
  <c r="L144" i="12"/>
  <c r="L132" i="12" s="1"/>
  <c r="D143" i="12"/>
  <c r="D131" i="12" s="1"/>
  <c r="H145" i="12"/>
  <c r="H133" i="12" s="1"/>
  <c r="D141" i="12"/>
  <c r="D147" i="12" s="1"/>
  <c r="D135" i="12" s="1"/>
  <c r="J146" i="12"/>
  <c r="J134" i="12" s="1"/>
  <c r="E157" i="13"/>
  <c r="E116" i="13" s="1"/>
  <c r="E74" i="13" s="1"/>
  <c r="E194" i="12"/>
  <c r="E138" i="12"/>
  <c r="E144" i="12" s="1"/>
  <c r="E132" i="12" s="1"/>
  <c r="G144" i="12"/>
  <c r="G132" i="12" s="1"/>
  <c r="F143" i="12"/>
  <c r="F131" i="12" s="1"/>
  <c r="J143" i="12"/>
  <c r="J131" i="12" s="1"/>
  <c r="M145" i="12"/>
  <c r="M133" i="12" s="1"/>
  <c r="L147" i="12"/>
  <c r="L135" i="12" s="1"/>
  <c r="C167" i="12"/>
  <c r="C183" i="11"/>
  <c r="D137" i="11"/>
  <c r="D96" i="11" s="1"/>
  <c r="D147" i="11"/>
  <c r="D106" i="11" s="1"/>
  <c r="C193" i="11"/>
  <c r="D155" i="11"/>
  <c r="D114" i="11" s="1"/>
  <c r="C201" i="11"/>
  <c r="D163" i="11"/>
  <c r="D122" i="11" s="1"/>
  <c r="C209" i="11"/>
  <c r="I132" i="11"/>
  <c r="G134" i="11"/>
  <c r="G93" i="11" s="1"/>
  <c r="G51" i="11" s="1"/>
  <c r="L136" i="11"/>
  <c r="L95" i="11" s="1"/>
  <c r="L53" i="11" s="1"/>
  <c r="L139" i="11"/>
  <c r="L98" i="11" s="1"/>
  <c r="L56" i="11" s="1"/>
  <c r="D140" i="11"/>
  <c r="D99" i="11" s="1"/>
  <c r="C186" i="11"/>
  <c r="M140" i="11"/>
  <c r="M99" i="11" s="1"/>
  <c r="M57" i="11" s="1"/>
  <c r="C188" i="11"/>
  <c r="D142" i="11"/>
  <c r="D101" i="11" s="1"/>
  <c r="K142" i="11"/>
  <c r="K101" i="11" s="1"/>
  <c r="K59" i="11" s="1"/>
  <c r="C189" i="11"/>
  <c r="D143" i="11"/>
  <c r="D102" i="11" s="1"/>
  <c r="I103" i="11"/>
  <c r="I61" i="11" s="1"/>
  <c r="H61" i="11"/>
  <c r="C192" i="11"/>
  <c r="D146" i="11"/>
  <c r="D105" i="11" s="1"/>
  <c r="G147" i="11"/>
  <c r="G106" i="11" s="1"/>
  <c r="G64" i="11" s="1"/>
  <c r="K147" i="11"/>
  <c r="K106" i="11" s="1"/>
  <c r="K64" i="11" s="1"/>
  <c r="L148" i="11"/>
  <c r="L107" i="11" s="1"/>
  <c r="L65" i="11" s="1"/>
  <c r="I111" i="11"/>
  <c r="I69" i="11" s="1"/>
  <c r="H69" i="11"/>
  <c r="C200" i="11"/>
  <c r="D154" i="11"/>
  <c r="D113" i="11" s="1"/>
  <c r="G155" i="11"/>
  <c r="G114" i="11" s="1"/>
  <c r="G72" i="11" s="1"/>
  <c r="K155" i="11"/>
  <c r="K114" i="11" s="1"/>
  <c r="K72" i="11" s="1"/>
  <c r="L156" i="11"/>
  <c r="L115" i="11" s="1"/>
  <c r="L73" i="11" s="1"/>
  <c r="I119" i="11"/>
  <c r="I77" i="11" s="1"/>
  <c r="H77" i="11"/>
  <c r="C208" i="11"/>
  <c r="D162" i="11"/>
  <c r="D121" i="11" s="1"/>
  <c r="G163" i="11"/>
  <c r="G122" i="11" s="1"/>
  <c r="G80" i="11" s="1"/>
  <c r="K163" i="11"/>
  <c r="K122" i="11" s="1"/>
  <c r="K80" i="11" s="1"/>
  <c r="L164" i="11"/>
  <c r="L123" i="11" s="1"/>
  <c r="L81" i="11" s="1"/>
  <c r="H85" i="11"/>
  <c r="I127" i="11"/>
  <c r="I85" i="11" s="1"/>
  <c r="G132" i="11"/>
  <c r="G91" i="11" s="1"/>
  <c r="G49" i="11" s="1"/>
  <c r="I134" i="11"/>
  <c r="M138" i="11"/>
  <c r="M97" i="11" s="1"/>
  <c r="M55" i="11" s="1"/>
  <c r="C187" i="11"/>
  <c r="D141" i="11"/>
  <c r="D100" i="11" s="1"/>
  <c r="I146" i="11"/>
  <c r="G148" i="11"/>
  <c r="G107" i="11" s="1"/>
  <c r="G65" i="11" s="1"/>
  <c r="C195" i="11"/>
  <c r="D149" i="11"/>
  <c r="D108" i="11" s="1"/>
  <c r="M150" i="11"/>
  <c r="M109" i="11" s="1"/>
  <c r="M67" i="11" s="1"/>
  <c r="I154" i="11"/>
  <c r="G156" i="11"/>
  <c r="G115" i="11" s="1"/>
  <c r="G73" i="11" s="1"/>
  <c r="C203" i="11"/>
  <c r="D157" i="11"/>
  <c r="D116" i="11" s="1"/>
  <c r="M158" i="11"/>
  <c r="M117" i="11" s="1"/>
  <c r="M75" i="11" s="1"/>
  <c r="I162" i="11"/>
  <c r="G164" i="11"/>
  <c r="G123" i="11" s="1"/>
  <c r="G81" i="11" s="1"/>
  <c r="C211" i="11"/>
  <c r="D165" i="11"/>
  <c r="D124" i="11" s="1"/>
  <c r="M166" i="11"/>
  <c r="M125" i="11" s="1"/>
  <c r="M83" i="11" s="1"/>
  <c r="D215" i="11"/>
  <c r="L132" i="11"/>
  <c r="L91" i="11" s="1"/>
  <c r="L49" i="11" s="1"/>
  <c r="F134" i="11"/>
  <c r="F93" i="11" s="1"/>
  <c r="F51" i="11" s="1"/>
  <c r="H135" i="11"/>
  <c r="H94" i="11" s="1"/>
  <c r="E136" i="11"/>
  <c r="E95" i="11" s="1"/>
  <c r="E53" i="11" s="1"/>
  <c r="I136" i="11"/>
  <c r="F137" i="11"/>
  <c r="F96" i="11" s="1"/>
  <c r="F54" i="11" s="1"/>
  <c r="E138" i="11"/>
  <c r="E97" i="11" s="1"/>
  <c r="E55" i="11" s="1"/>
  <c r="G138" i="11"/>
  <c r="G97" i="11" s="1"/>
  <c r="G55" i="11" s="1"/>
  <c r="E139" i="11"/>
  <c r="E98" i="11" s="1"/>
  <c r="E56" i="11" s="1"/>
  <c r="H140" i="11"/>
  <c r="H99" i="11" s="1"/>
  <c r="E141" i="11"/>
  <c r="E100" i="11" s="1"/>
  <c r="E58" i="11" s="1"/>
  <c r="J142" i="11"/>
  <c r="J101" i="11" s="1"/>
  <c r="J59" i="11" s="1"/>
  <c r="L143" i="11"/>
  <c r="L102" i="11" s="1"/>
  <c r="L60" i="11" s="1"/>
  <c r="D144" i="11"/>
  <c r="D103" i="11" s="1"/>
  <c r="C190" i="11"/>
  <c r="E145" i="11"/>
  <c r="E104" i="11" s="1"/>
  <c r="E62" i="11" s="1"/>
  <c r="I145" i="11"/>
  <c r="M145" i="11"/>
  <c r="M104" i="11" s="1"/>
  <c r="M62" i="11" s="1"/>
  <c r="J146" i="11"/>
  <c r="J105" i="11" s="1"/>
  <c r="J63" i="11" s="1"/>
  <c r="D148" i="11"/>
  <c r="D107" i="11" s="1"/>
  <c r="J148" i="11"/>
  <c r="J107" i="11" s="1"/>
  <c r="J65" i="11" s="1"/>
  <c r="C194" i="11"/>
  <c r="G149" i="11"/>
  <c r="G108" i="11" s="1"/>
  <c r="G66" i="11" s="1"/>
  <c r="K149" i="11"/>
  <c r="K108" i="11" s="1"/>
  <c r="K66" i="11" s="1"/>
  <c r="F150" i="11"/>
  <c r="F109" i="11" s="1"/>
  <c r="F67" i="11" s="1"/>
  <c r="E153" i="11"/>
  <c r="E112" i="11" s="1"/>
  <c r="E70" i="11" s="1"/>
  <c r="I153" i="11"/>
  <c r="M153" i="11"/>
  <c r="M112" i="11" s="1"/>
  <c r="M70" i="11" s="1"/>
  <c r="J154" i="11"/>
  <c r="J113" i="11" s="1"/>
  <c r="J71" i="11" s="1"/>
  <c r="D156" i="11"/>
  <c r="D115" i="11" s="1"/>
  <c r="J156" i="11"/>
  <c r="J115" i="11" s="1"/>
  <c r="J73" i="11" s="1"/>
  <c r="C202" i="11"/>
  <c r="G157" i="11"/>
  <c r="G116" i="11" s="1"/>
  <c r="G74" i="11" s="1"/>
  <c r="K157" i="11"/>
  <c r="K116" i="11" s="1"/>
  <c r="K74" i="11" s="1"/>
  <c r="F158" i="11"/>
  <c r="F117" i="11" s="1"/>
  <c r="F75" i="11" s="1"/>
  <c r="E161" i="11"/>
  <c r="E120" i="11" s="1"/>
  <c r="E78" i="11" s="1"/>
  <c r="I161" i="11"/>
  <c r="M161" i="11"/>
  <c r="M120" i="11" s="1"/>
  <c r="M78" i="11" s="1"/>
  <c r="J162" i="11"/>
  <c r="J121" i="11" s="1"/>
  <c r="J79" i="11" s="1"/>
  <c r="D164" i="11"/>
  <c r="D123" i="11" s="1"/>
  <c r="J164" i="11"/>
  <c r="J123" i="11" s="1"/>
  <c r="J81" i="11" s="1"/>
  <c r="C210" i="11"/>
  <c r="G165" i="11"/>
  <c r="G124" i="11" s="1"/>
  <c r="G82" i="11" s="1"/>
  <c r="K165" i="11"/>
  <c r="K124" i="11" s="1"/>
  <c r="K82" i="11" s="1"/>
  <c r="F166" i="11"/>
  <c r="F125" i="11" s="1"/>
  <c r="F83" i="11" s="1"/>
  <c r="D138" i="10"/>
  <c r="C156" i="10"/>
  <c r="D194" i="10"/>
  <c r="C160" i="10"/>
  <c r="D139" i="10"/>
  <c r="L145" i="11"/>
  <c r="L104" i="11" s="1"/>
  <c r="L62" i="11" s="1"/>
  <c r="L153" i="11"/>
  <c r="L112" i="11" s="1"/>
  <c r="L70" i="11" s="1"/>
  <c r="L161" i="11"/>
  <c r="L120" i="11" s="1"/>
  <c r="L78" i="11" s="1"/>
  <c r="H134" i="11"/>
  <c r="H93" i="11" s="1"/>
  <c r="F135" i="11"/>
  <c r="F94" i="11" s="1"/>
  <c r="F52" i="11" s="1"/>
  <c r="J136" i="11"/>
  <c r="J95" i="11" s="1"/>
  <c r="J53" i="11" s="1"/>
  <c r="L142" i="11"/>
  <c r="L101" i="11" s="1"/>
  <c r="L59" i="11" s="1"/>
  <c r="J143" i="11"/>
  <c r="J102" i="11" s="1"/>
  <c r="J60" i="11" s="1"/>
  <c r="H146" i="11"/>
  <c r="H105" i="11" s="1"/>
  <c r="F147" i="11"/>
  <c r="F106" i="11" s="1"/>
  <c r="F64" i="11" s="1"/>
  <c r="J147" i="11"/>
  <c r="J106" i="11" s="1"/>
  <c r="J64" i="11" s="1"/>
  <c r="H150" i="11"/>
  <c r="H109" i="11" s="1"/>
  <c r="J152" i="11"/>
  <c r="J111" i="11" s="1"/>
  <c r="J69" i="11" s="1"/>
  <c r="L154" i="11"/>
  <c r="L113" i="11" s="1"/>
  <c r="L71" i="11" s="1"/>
  <c r="H155" i="11"/>
  <c r="H114" i="11" s="1"/>
  <c r="L155" i="11"/>
  <c r="L114" i="11" s="1"/>
  <c r="L72" i="11" s="1"/>
  <c r="L158" i="11"/>
  <c r="L117" i="11" s="1"/>
  <c r="L75" i="11" s="1"/>
  <c r="H76" i="11"/>
  <c r="I118" i="11"/>
  <c r="I76" i="11" s="1"/>
  <c r="H162" i="11"/>
  <c r="H121" i="11" s="1"/>
  <c r="F163" i="11"/>
  <c r="F122" i="11" s="1"/>
  <c r="F80" i="11" s="1"/>
  <c r="J163" i="11"/>
  <c r="J122" i="11" s="1"/>
  <c r="J80" i="11" s="1"/>
  <c r="H166" i="11"/>
  <c r="H125" i="11" s="1"/>
  <c r="J168" i="11"/>
  <c r="J127" i="11" s="1"/>
  <c r="J85" i="11" s="1"/>
  <c r="E236" i="10"/>
  <c r="H91" i="10"/>
  <c r="H49" i="10" s="1"/>
  <c r="H99" i="10"/>
  <c r="H57" i="10" s="1"/>
  <c r="I131" i="10"/>
  <c r="L143" i="10"/>
  <c r="L131" i="10" s="1"/>
  <c r="E139" i="10"/>
  <c r="E145" i="10" s="1"/>
  <c r="E133" i="10" s="1"/>
  <c r="K145" i="10"/>
  <c r="K133" i="10" s="1"/>
  <c r="D140" i="10"/>
  <c r="D146" i="10" s="1"/>
  <c r="D134" i="10" s="1"/>
  <c r="L141" i="11"/>
  <c r="L100" i="11" s="1"/>
  <c r="L58" i="11" s="1"/>
  <c r="H149" i="11"/>
  <c r="H108" i="11" s="1"/>
  <c r="H157" i="11"/>
  <c r="H116" i="11" s="1"/>
  <c r="H165" i="11"/>
  <c r="H124" i="11" s="1"/>
  <c r="J132" i="11"/>
  <c r="J91" i="11" s="1"/>
  <c r="J49" i="11" s="1"/>
  <c r="H137" i="11"/>
  <c r="H96" i="11" s="1"/>
  <c r="H138" i="11"/>
  <c r="H97" i="11" s="1"/>
  <c r="J140" i="11"/>
  <c r="J99" i="11" s="1"/>
  <c r="J57" i="11" s="1"/>
  <c r="J145" i="11"/>
  <c r="J104" i="11" s="1"/>
  <c r="J62" i="11" s="1"/>
  <c r="J153" i="11"/>
  <c r="J112" i="11" s="1"/>
  <c r="J70" i="11" s="1"/>
  <c r="J161" i="11"/>
  <c r="J120" i="11" s="1"/>
  <c r="J78" i="11" s="1"/>
  <c r="G143" i="10"/>
  <c r="G131" i="10" s="1"/>
  <c r="G146" i="10"/>
  <c r="G134" i="10" s="1"/>
  <c r="F145" i="10"/>
  <c r="F133" i="10" s="1"/>
  <c r="J145" i="10"/>
  <c r="J133" i="10" s="1"/>
  <c r="H146" i="10"/>
  <c r="H134" i="10" s="1"/>
  <c r="L146" i="10"/>
  <c r="L134" i="10" s="1"/>
  <c r="G133" i="11"/>
  <c r="G92" i="11" s="1"/>
  <c r="G50" i="11" s="1"/>
  <c r="K133" i="11"/>
  <c r="K92" i="11" s="1"/>
  <c r="K50" i="11" s="1"/>
  <c r="G135" i="11"/>
  <c r="G94" i="11" s="1"/>
  <c r="G52" i="11" s="1"/>
  <c r="K135" i="11"/>
  <c r="K94" i="11" s="1"/>
  <c r="K52" i="11" s="1"/>
  <c r="G137" i="11"/>
  <c r="G96" i="11" s="1"/>
  <c r="G54" i="11" s="1"/>
  <c r="K137" i="11"/>
  <c r="K96" i="11" s="1"/>
  <c r="K54" i="11" s="1"/>
  <c r="G139" i="11"/>
  <c r="G98" i="11" s="1"/>
  <c r="G56" i="11" s="1"/>
  <c r="K139" i="11"/>
  <c r="K98" i="11" s="1"/>
  <c r="K56" i="11" s="1"/>
  <c r="G141" i="11"/>
  <c r="G100" i="11" s="1"/>
  <c r="G58" i="11" s="1"/>
  <c r="K141" i="11"/>
  <c r="K100" i="11" s="1"/>
  <c r="K58" i="11" s="1"/>
  <c r="G143" i="11"/>
  <c r="G102" i="11" s="1"/>
  <c r="G60" i="11" s="1"/>
  <c r="K143" i="11"/>
  <c r="K102" i="11" s="1"/>
  <c r="K60" i="11" s="1"/>
  <c r="K132" i="11"/>
  <c r="K91" i="11" s="1"/>
  <c r="K49" i="11" s="1"/>
  <c r="G136" i="11"/>
  <c r="G95" i="11" s="1"/>
  <c r="G53" i="11" s="1"/>
  <c r="I138" i="11"/>
  <c r="M142" i="11"/>
  <c r="M101" i="11" s="1"/>
  <c r="M59" i="11" s="1"/>
  <c r="M144" i="11"/>
  <c r="M103" i="11" s="1"/>
  <c r="M61" i="11" s="1"/>
  <c r="K146" i="11"/>
  <c r="K105" i="11" s="1"/>
  <c r="K63" i="11" s="1"/>
  <c r="I148" i="11"/>
  <c r="G150" i="11"/>
  <c r="G109" i="11" s="1"/>
  <c r="G67" i="11" s="1"/>
  <c r="D151" i="11"/>
  <c r="D110" i="11" s="1"/>
  <c r="C197" i="11"/>
  <c r="M152" i="11"/>
  <c r="M111" i="11" s="1"/>
  <c r="M69" i="11" s="1"/>
  <c r="K154" i="11"/>
  <c r="K113" i="11" s="1"/>
  <c r="K71" i="11" s="1"/>
  <c r="I156" i="11"/>
  <c r="G158" i="11"/>
  <c r="G117" i="11" s="1"/>
  <c r="G75" i="11" s="1"/>
  <c r="D159" i="11"/>
  <c r="D118" i="11" s="1"/>
  <c r="C205" i="11"/>
  <c r="M160" i="11"/>
  <c r="M119" i="11" s="1"/>
  <c r="M77" i="11" s="1"/>
  <c r="K162" i="11"/>
  <c r="K121" i="11" s="1"/>
  <c r="K79" i="11" s="1"/>
  <c r="I164" i="11"/>
  <c r="G166" i="11"/>
  <c r="G125" i="11" s="1"/>
  <c r="G83" i="11" s="1"/>
  <c r="D167" i="11"/>
  <c r="D126" i="11" s="1"/>
  <c r="C213" i="11"/>
  <c r="M168" i="11"/>
  <c r="M127" i="11" s="1"/>
  <c r="M85" i="11" s="1"/>
  <c r="F177" i="11"/>
  <c r="F257" i="11"/>
  <c r="D132" i="11"/>
  <c r="D91" i="11" s="1"/>
  <c r="C178" i="11"/>
  <c r="M132" i="11"/>
  <c r="M91" i="11" s="1"/>
  <c r="M49" i="11" s="1"/>
  <c r="J133" i="11"/>
  <c r="J92" i="11" s="1"/>
  <c r="J50" i="11" s="1"/>
  <c r="C180" i="11"/>
  <c r="D134" i="11"/>
  <c r="D93" i="11" s="1"/>
  <c r="K134" i="11"/>
  <c r="K93" i="11" s="1"/>
  <c r="K51" i="11" s="1"/>
  <c r="C181" i="11"/>
  <c r="D135" i="11"/>
  <c r="D94" i="11" s="1"/>
  <c r="H136" i="11"/>
  <c r="H95" i="11" s="1"/>
  <c r="E137" i="11"/>
  <c r="E96" i="11" s="1"/>
  <c r="E54" i="11" s="1"/>
  <c r="J138" i="11"/>
  <c r="J97" i="11" s="1"/>
  <c r="J55" i="11" s="1"/>
  <c r="H139" i="11"/>
  <c r="H98" i="11" s="1"/>
  <c r="E140" i="11"/>
  <c r="E99" i="11" s="1"/>
  <c r="E57" i="11" s="1"/>
  <c r="I140" i="11"/>
  <c r="F141" i="11"/>
  <c r="F100" i="11" s="1"/>
  <c r="F58" i="11" s="1"/>
  <c r="E142" i="11"/>
  <c r="E101" i="11" s="1"/>
  <c r="E59" i="11" s="1"/>
  <c r="G142" i="11"/>
  <c r="G101" i="11" s="1"/>
  <c r="G59" i="11" s="1"/>
  <c r="E143" i="11"/>
  <c r="E102" i="11" s="1"/>
  <c r="E60" i="11" s="1"/>
  <c r="F144" i="11"/>
  <c r="F103" i="11" s="1"/>
  <c r="F61" i="11" s="1"/>
  <c r="L144" i="11"/>
  <c r="L103" i="11" s="1"/>
  <c r="L61" i="11" s="1"/>
  <c r="E146" i="11"/>
  <c r="E105" i="11" s="1"/>
  <c r="E63" i="11" s="1"/>
  <c r="E147" i="11"/>
  <c r="E106" i="11" s="1"/>
  <c r="E64" i="11" s="1"/>
  <c r="I147" i="11"/>
  <c r="M147" i="11"/>
  <c r="M106" i="11" s="1"/>
  <c r="M64" i="11" s="1"/>
  <c r="H148" i="11"/>
  <c r="H107" i="11" s="1"/>
  <c r="F149" i="11"/>
  <c r="F108" i="11" s="1"/>
  <c r="F66" i="11" s="1"/>
  <c r="D150" i="11"/>
  <c r="D109" i="11" s="1"/>
  <c r="C196" i="11"/>
  <c r="G151" i="11"/>
  <c r="G110" i="11" s="1"/>
  <c r="G68" i="11" s="1"/>
  <c r="K151" i="11"/>
  <c r="K110" i="11" s="1"/>
  <c r="K68" i="11" s="1"/>
  <c r="F152" i="11"/>
  <c r="F111" i="11" s="1"/>
  <c r="F69" i="11" s="1"/>
  <c r="L152" i="11"/>
  <c r="L111" i="11" s="1"/>
  <c r="L69" i="11" s="1"/>
  <c r="E154" i="11"/>
  <c r="E113" i="11" s="1"/>
  <c r="E71" i="11" s="1"/>
  <c r="E155" i="11"/>
  <c r="E114" i="11" s="1"/>
  <c r="E72" i="11" s="1"/>
  <c r="I155" i="11"/>
  <c r="M155" i="11"/>
  <c r="M114" i="11" s="1"/>
  <c r="M72" i="11" s="1"/>
  <c r="H156" i="11"/>
  <c r="H115" i="11" s="1"/>
  <c r="F157" i="11"/>
  <c r="F116" i="11" s="1"/>
  <c r="F74" i="11" s="1"/>
  <c r="D158" i="11"/>
  <c r="D117" i="11" s="1"/>
  <c r="C204" i="11"/>
  <c r="G159" i="11"/>
  <c r="G118" i="11" s="1"/>
  <c r="G76" i="11" s="1"/>
  <c r="K159" i="11"/>
  <c r="K118" i="11" s="1"/>
  <c r="K76" i="11" s="1"/>
  <c r="F160" i="11"/>
  <c r="F119" i="11" s="1"/>
  <c r="F77" i="11" s="1"/>
  <c r="L160" i="11"/>
  <c r="L119" i="11" s="1"/>
  <c r="L77" i="11" s="1"/>
  <c r="E162" i="11"/>
  <c r="E121" i="11" s="1"/>
  <c r="E79" i="11" s="1"/>
  <c r="E163" i="11"/>
  <c r="E122" i="11" s="1"/>
  <c r="E80" i="11" s="1"/>
  <c r="I163" i="11"/>
  <c r="M163" i="11"/>
  <c r="M122" i="11" s="1"/>
  <c r="M80" i="11" s="1"/>
  <c r="H164" i="11"/>
  <c r="H123" i="11" s="1"/>
  <c r="F165" i="11"/>
  <c r="F124" i="11" s="1"/>
  <c r="F82" i="11" s="1"/>
  <c r="D166" i="11"/>
  <c r="D125" i="11" s="1"/>
  <c r="C212" i="11"/>
  <c r="G167" i="11"/>
  <c r="G126" i="11" s="1"/>
  <c r="G84" i="11" s="1"/>
  <c r="K167" i="11"/>
  <c r="K126" i="11" s="1"/>
  <c r="K84" i="11" s="1"/>
  <c r="F168" i="11"/>
  <c r="F127" i="11" s="1"/>
  <c r="F85" i="11" s="1"/>
  <c r="L168" i="11"/>
  <c r="L127" i="11" s="1"/>
  <c r="L85" i="11" s="1"/>
  <c r="E143" i="10"/>
  <c r="E131" i="10" s="1"/>
  <c r="E141" i="10"/>
  <c r="C179" i="11"/>
  <c r="D133" i="11"/>
  <c r="D92" i="11" s="1"/>
  <c r="K136" i="11"/>
  <c r="K95" i="11" s="1"/>
  <c r="K53" i="11" s="1"/>
  <c r="G140" i="11"/>
  <c r="G99" i="11" s="1"/>
  <c r="G57" i="11" s="1"/>
  <c r="I142" i="11"/>
  <c r="C191" i="11"/>
  <c r="D145" i="11"/>
  <c r="D104" i="11" s="1"/>
  <c r="M146" i="11"/>
  <c r="M105" i="11" s="1"/>
  <c r="M63" i="11" s="1"/>
  <c r="K148" i="11"/>
  <c r="K107" i="11" s="1"/>
  <c r="K65" i="11" s="1"/>
  <c r="I150" i="11"/>
  <c r="G152" i="11"/>
  <c r="G111" i="11" s="1"/>
  <c r="G69" i="11" s="1"/>
  <c r="C199" i="11"/>
  <c r="D153" i="11"/>
  <c r="D112" i="11" s="1"/>
  <c r="M154" i="11"/>
  <c r="M113" i="11" s="1"/>
  <c r="M71" i="11" s="1"/>
  <c r="K156" i="11"/>
  <c r="K115" i="11" s="1"/>
  <c r="K73" i="11" s="1"/>
  <c r="I158" i="11"/>
  <c r="G160" i="11"/>
  <c r="G119" i="11" s="1"/>
  <c r="G77" i="11" s="1"/>
  <c r="C207" i="11"/>
  <c r="D161" i="11"/>
  <c r="D120" i="11" s="1"/>
  <c r="M162" i="11"/>
  <c r="M121" i="11" s="1"/>
  <c r="M79" i="11" s="1"/>
  <c r="K164" i="11"/>
  <c r="K123" i="11" s="1"/>
  <c r="K81" i="11" s="1"/>
  <c r="I166" i="11"/>
  <c r="G168" i="11"/>
  <c r="G127" i="11" s="1"/>
  <c r="G85" i="11" s="1"/>
  <c r="E177" i="11"/>
  <c r="E257" i="11"/>
  <c r="H132" i="11"/>
  <c r="H91" i="11" s="1"/>
  <c r="E133" i="11"/>
  <c r="E92" i="11" s="1"/>
  <c r="E50" i="11" s="1"/>
  <c r="J134" i="11"/>
  <c r="J93" i="11" s="1"/>
  <c r="J51" i="11" s="1"/>
  <c r="L135" i="11"/>
  <c r="L94" i="11" s="1"/>
  <c r="L52" i="11" s="1"/>
  <c r="D136" i="11"/>
  <c r="D95" i="11" s="1"/>
  <c r="C182" i="11"/>
  <c r="M136" i="11"/>
  <c r="M95" i="11" s="1"/>
  <c r="M53" i="11" s="1"/>
  <c r="J137" i="11"/>
  <c r="J96" i="11" s="1"/>
  <c r="J54" i="11" s="1"/>
  <c r="C184" i="11"/>
  <c r="D138" i="11"/>
  <c r="D97" i="11" s="1"/>
  <c r="L138" i="11"/>
  <c r="L97" i="11" s="1"/>
  <c r="L55" i="11" s="1"/>
  <c r="K138" i="11"/>
  <c r="K97" i="11" s="1"/>
  <c r="K55" i="11" s="1"/>
  <c r="C185" i="11"/>
  <c r="D139" i="11"/>
  <c r="D98" i="11" s="1"/>
  <c r="L140" i="11"/>
  <c r="L99" i="11" s="1"/>
  <c r="L57" i="11" s="1"/>
  <c r="F142" i="11"/>
  <c r="F101" i="11" s="1"/>
  <c r="F59" i="11" s="1"/>
  <c r="H143" i="11"/>
  <c r="H102" i="11" s="1"/>
  <c r="E144" i="11"/>
  <c r="E103" i="11" s="1"/>
  <c r="E61" i="11" s="1"/>
  <c r="I144" i="11"/>
  <c r="G145" i="11"/>
  <c r="G104" i="11" s="1"/>
  <c r="G62" i="11" s="1"/>
  <c r="K145" i="11"/>
  <c r="K104" i="11" s="1"/>
  <c r="K62" i="11" s="1"/>
  <c r="F146" i="11"/>
  <c r="F105" i="11" s="1"/>
  <c r="F63" i="11" s="1"/>
  <c r="E148" i="11"/>
  <c r="E107" i="11" s="1"/>
  <c r="E65" i="11" s="1"/>
  <c r="E149" i="11"/>
  <c r="E108" i="11" s="1"/>
  <c r="E66" i="11" s="1"/>
  <c r="I149" i="11"/>
  <c r="M149" i="11"/>
  <c r="M108" i="11" s="1"/>
  <c r="M66" i="11" s="1"/>
  <c r="J150" i="11"/>
  <c r="J109" i="11" s="1"/>
  <c r="J67" i="11" s="1"/>
  <c r="D152" i="11"/>
  <c r="D111" i="11" s="1"/>
  <c r="C198" i="11"/>
  <c r="G153" i="11"/>
  <c r="G112" i="11" s="1"/>
  <c r="G70" i="11" s="1"/>
  <c r="K153" i="11"/>
  <c r="K112" i="11" s="1"/>
  <c r="K70" i="11" s="1"/>
  <c r="F154" i="11"/>
  <c r="F113" i="11" s="1"/>
  <c r="F71" i="11" s="1"/>
  <c r="E156" i="11"/>
  <c r="E115" i="11" s="1"/>
  <c r="E73" i="11" s="1"/>
  <c r="E157" i="11"/>
  <c r="E116" i="11" s="1"/>
  <c r="E74" i="11" s="1"/>
  <c r="I157" i="11"/>
  <c r="M157" i="11"/>
  <c r="M116" i="11" s="1"/>
  <c r="M74" i="11" s="1"/>
  <c r="J158" i="11"/>
  <c r="J117" i="11" s="1"/>
  <c r="J75" i="11" s="1"/>
  <c r="D160" i="11"/>
  <c r="D119" i="11" s="1"/>
  <c r="C206" i="11"/>
  <c r="G161" i="11"/>
  <c r="G120" i="11" s="1"/>
  <c r="G78" i="11" s="1"/>
  <c r="K161" i="11"/>
  <c r="K120" i="11" s="1"/>
  <c r="K78" i="11" s="1"/>
  <c r="F162" i="11"/>
  <c r="F121" i="11" s="1"/>
  <c r="F79" i="11" s="1"/>
  <c r="E164" i="11"/>
  <c r="E123" i="11" s="1"/>
  <c r="E81" i="11" s="1"/>
  <c r="E165" i="11"/>
  <c r="E124" i="11" s="1"/>
  <c r="E82" i="11" s="1"/>
  <c r="I165" i="11"/>
  <c r="M165" i="11"/>
  <c r="M124" i="11" s="1"/>
  <c r="M82" i="11" s="1"/>
  <c r="J166" i="11"/>
  <c r="J125" i="11" s="1"/>
  <c r="J83" i="11" s="1"/>
  <c r="D168" i="11"/>
  <c r="D127" i="11" s="1"/>
  <c r="C214" i="11"/>
  <c r="J139" i="11"/>
  <c r="J98" i="11" s="1"/>
  <c r="J56" i="11" s="1"/>
  <c r="L149" i="11"/>
  <c r="L108" i="11" s="1"/>
  <c r="L66" i="11" s="1"/>
  <c r="L157" i="11"/>
  <c r="L116" i="11" s="1"/>
  <c r="L74" i="11" s="1"/>
  <c r="L165" i="11"/>
  <c r="L124" i="11" s="1"/>
  <c r="L82" i="11" s="1"/>
  <c r="L134" i="11"/>
  <c r="L93" i="11" s="1"/>
  <c r="L51" i="11" s="1"/>
  <c r="J135" i="11"/>
  <c r="J94" i="11" s="1"/>
  <c r="J52" i="11" s="1"/>
  <c r="H142" i="11"/>
  <c r="H101" i="11" s="1"/>
  <c r="F143" i="11"/>
  <c r="F102" i="11" s="1"/>
  <c r="F60" i="11" s="1"/>
  <c r="J144" i="11"/>
  <c r="J103" i="11" s="1"/>
  <c r="J61" i="11" s="1"/>
  <c r="L146" i="11"/>
  <c r="L105" i="11" s="1"/>
  <c r="L63" i="11" s="1"/>
  <c r="H147" i="11"/>
  <c r="H106" i="11" s="1"/>
  <c r="L147" i="11"/>
  <c r="L106" i="11" s="1"/>
  <c r="L64" i="11" s="1"/>
  <c r="L150" i="11"/>
  <c r="L109" i="11" s="1"/>
  <c r="L67" i="11" s="1"/>
  <c r="H151" i="11"/>
  <c r="H110" i="11" s="1"/>
  <c r="L151" i="11"/>
  <c r="L110" i="11" s="1"/>
  <c r="L68" i="11" s="1"/>
  <c r="H154" i="11"/>
  <c r="H113" i="11" s="1"/>
  <c r="F155" i="11"/>
  <c r="F114" i="11" s="1"/>
  <c r="F72" i="11" s="1"/>
  <c r="J155" i="11"/>
  <c r="J114" i="11" s="1"/>
  <c r="J72" i="11" s="1"/>
  <c r="H158" i="11"/>
  <c r="H117" i="11" s="1"/>
  <c r="F159" i="11"/>
  <c r="F118" i="11" s="1"/>
  <c r="F76" i="11" s="1"/>
  <c r="J159" i="11"/>
  <c r="J118" i="11" s="1"/>
  <c r="J76" i="11" s="1"/>
  <c r="J160" i="11"/>
  <c r="J119" i="11" s="1"/>
  <c r="J77" i="11" s="1"/>
  <c r="L162" i="11"/>
  <c r="L121" i="11" s="1"/>
  <c r="L79" i="11" s="1"/>
  <c r="H163" i="11"/>
  <c r="H122" i="11" s="1"/>
  <c r="L163" i="11"/>
  <c r="L122" i="11" s="1"/>
  <c r="L80" i="11" s="1"/>
  <c r="L166" i="11"/>
  <c r="L125" i="11" s="1"/>
  <c r="L83" i="11" s="1"/>
  <c r="H167" i="11"/>
  <c r="H126" i="11" s="1"/>
  <c r="L167" i="11"/>
  <c r="L126" i="11" s="1"/>
  <c r="L84" i="11" s="1"/>
  <c r="M143" i="10"/>
  <c r="M131" i="10" s="1"/>
  <c r="M146" i="10"/>
  <c r="M134" i="10" s="1"/>
  <c r="E194" i="10"/>
  <c r="E138" i="10"/>
  <c r="E144" i="10" s="1"/>
  <c r="E132" i="10" s="1"/>
  <c r="F143" i="10"/>
  <c r="F131" i="10" s="1"/>
  <c r="J143" i="10"/>
  <c r="J131" i="10" s="1"/>
  <c r="G145" i="10"/>
  <c r="G133" i="10" s="1"/>
  <c r="M145" i="10"/>
  <c r="M133" i="10" s="1"/>
  <c r="C167" i="10"/>
  <c r="L133" i="11"/>
  <c r="L92" i="11" s="1"/>
  <c r="L50" i="11" s="1"/>
  <c r="H145" i="11"/>
  <c r="H104" i="11" s="1"/>
  <c r="H153" i="11"/>
  <c r="H112" i="11" s="1"/>
  <c r="H161" i="11"/>
  <c r="H120" i="11" s="1"/>
  <c r="F132" i="11"/>
  <c r="F91" i="11" s="1"/>
  <c r="F49" i="11" s="1"/>
  <c r="H133" i="11"/>
  <c r="H92" i="11" s="1"/>
  <c r="L137" i="11"/>
  <c r="L96" i="11" s="1"/>
  <c r="L54" i="11" s="1"/>
  <c r="F140" i="11"/>
  <c r="F99" i="11" s="1"/>
  <c r="F57" i="11" s="1"/>
  <c r="H141" i="11"/>
  <c r="H100" i="11" s="1"/>
  <c r="J149" i="11"/>
  <c r="J108" i="11" s="1"/>
  <c r="J66" i="11" s="1"/>
  <c r="J157" i="11"/>
  <c r="J116" i="11" s="1"/>
  <c r="J74" i="11" s="1"/>
  <c r="J165" i="11"/>
  <c r="J124" i="11" s="1"/>
  <c r="J82" i="11" s="1"/>
  <c r="K143" i="10"/>
  <c r="K131" i="10" s="1"/>
  <c r="K146" i="10"/>
  <c r="K134" i="10" s="1"/>
  <c r="H144" i="10"/>
  <c r="H132" i="10" s="1"/>
  <c r="L144" i="10"/>
  <c r="L132" i="10" s="1"/>
  <c r="D143" i="10"/>
  <c r="D131" i="10" s="1"/>
  <c r="H145" i="10"/>
  <c r="H133" i="10" s="1"/>
  <c r="L145" i="10"/>
  <c r="L133" i="10" s="1"/>
  <c r="D141" i="10"/>
  <c r="D147" i="10" s="1"/>
  <c r="D135" i="10" s="1"/>
  <c r="F146" i="10"/>
  <c r="F134" i="10" s="1"/>
  <c r="J146" i="10"/>
  <c r="J134" i="10" s="1"/>
  <c r="J125" i="14" l="1"/>
  <c r="J83" i="14" s="1"/>
  <c r="J111" i="14"/>
  <c r="J69" i="14" s="1"/>
  <c r="J97" i="14"/>
  <c r="J55" i="14" s="1"/>
  <c r="J93" i="14"/>
  <c r="J51" i="14" s="1"/>
  <c r="J120" i="14"/>
  <c r="J78" i="14" s="1"/>
  <c r="J116" i="14"/>
  <c r="J74" i="14" s="1"/>
  <c r="J92" i="14"/>
  <c r="J50" i="14" s="1"/>
  <c r="J90" i="14"/>
  <c r="J48" i="14" s="1"/>
  <c r="F124" i="14"/>
  <c r="F82" i="14" s="1"/>
  <c r="F104" i="14"/>
  <c r="F62" i="14" s="1"/>
  <c r="F119" i="14"/>
  <c r="F77" i="14" s="1"/>
  <c r="F105" i="14"/>
  <c r="F63" i="14" s="1"/>
  <c r="F122" i="14"/>
  <c r="F80" i="14" s="1"/>
  <c r="F94" i="14"/>
  <c r="F52" i="14" s="1"/>
  <c r="F109" i="14"/>
  <c r="F67" i="14" s="1"/>
  <c r="C116" i="15"/>
  <c r="C112" i="15"/>
  <c r="C108" i="15"/>
  <c r="C104" i="15"/>
  <c r="C115" i="15"/>
  <c r="C113" i="15"/>
  <c r="C109" i="15"/>
  <c r="C107" i="15"/>
  <c r="C105" i="15"/>
  <c r="K86" i="15"/>
  <c r="M86" i="15"/>
  <c r="G86" i="15"/>
  <c r="C84" i="15"/>
  <c r="C80" i="15"/>
  <c r="C76" i="15"/>
  <c r="C68" i="15"/>
  <c r="D53" i="14"/>
  <c r="D73" i="14"/>
  <c r="D71" i="14"/>
  <c r="D79" i="14"/>
  <c r="D56" i="14"/>
  <c r="D64" i="14"/>
  <c r="D70" i="14"/>
  <c r="D84" i="14"/>
  <c r="C134" i="14"/>
  <c r="I123" i="14"/>
  <c r="I81" i="14" s="1"/>
  <c r="I107" i="14"/>
  <c r="I65" i="14" s="1"/>
  <c r="I101" i="14"/>
  <c r="I59" i="14" s="1"/>
  <c r="I118" i="14"/>
  <c r="I76" i="14" s="1"/>
  <c r="I102" i="14"/>
  <c r="I60" i="14" s="1"/>
  <c r="I108" i="14"/>
  <c r="I66" i="14" s="1"/>
  <c r="C124" i="15"/>
  <c r="C120" i="15"/>
  <c r="D57" i="14"/>
  <c r="D65" i="14"/>
  <c r="C101" i="14"/>
  <c r="D59" i="14"/>
  <c r="D66" i="14"/>
  <c r="C85" i="15"/>
  <c r="C125" i="15"/>
  <c r="C81" i="15"/>
  <c r="C121" i="15"/>
  <c r="C77" i="15"/>
  <c r="C117" i="15"/>
  <c r="F144" i="14"/>
  <c r="F132" i="14" s="1"/>
  <c r="D144" i="14"/>
  <c r="D132" i="14" s="1"/>
  <c r="L144" i="14"/>
  <c r="L132" i="14" s="1"/>
  <c r="M144" i="14"/>
  <c r="M132" i="14" s="1"/>
  <c r="K144" i="14"/>
  <c r="K132" i="14" s="1"/>
  <c r="G144" i="14"/>
  <c r="G132" i="14" s="1"/>
  <c r="N144" i="14"/>
  <c r="N132" i="14" s="1"/>
  <c r="E144" i="14"/>
  <c r="E132" i="14" s="1"/>
  <c r="H144" i="14"/>
  <c r="H132" i="14" s="1"/>
  <c r="D77" i="14"/>
  <c r="D67" i="14"/>
  <c r="D62" i="14"/>
  <c r="D82" i="14"/>
  <c r="D86" i="15"/>
  <c r="I90" i="15"/>
  <c r="H48" i="15"/>
  <c r="N86" i="15"/>
  <c r="L86" i="15"/>
  <c r="E86" i="15"/>
  <c r="F86" i="15"/>
  <c r="C72" i="15"/>
  <c r="C64" i="15"/>
  <c r="I127" i="14"/>
  <c r="I85" i="14" s="1"/>
  <c r="I121" i="14"/>
  <c r="I79" i="14" s="1"/>
  <c r="I117" i="14"/>
  <c r="I75" i="14" s="1"/>
  <c r="I115" i="14"/>
  <c r="I73" i="14" s="1"/>
  <c r="I113" i="14"/>
  <c r="I71" i="14" s="1"/>
  <c r="I103" i="14"/>
  <c r="I61" i="14" s="1"/>
  <c r="I95" i="14"/>
  <c r="I53" i="14" s="1"/>
  <c r="C135" i="14"/>
  <c r="I126" i="14"/>
  <c r="I84" i="14" s="1"/>
  <c r="I114" i="14"/>
  <c r="I72" i="14" s="1"/>
  <c r="I110" i="14"/>
  <c r="I68" i="14" s="1"/>
  <c r="I106" i="14"/>
  <c r="I64" i="14" s="1"/>
  <c r="I98" i="14"/>
  <c r="I56" i="14" s="1"/>
  <c r="I112" i="14"/>
  <c r="I70" i="14" s="1"/>
  <c r="I100" i="14"/>
  <c r="I58" i="14" s="1"/>
  <c r="I96" i="14"/>
  <c r="I54" i="14" s="1"/>
  <c r="I99" i="14"/>
  <c r="I57" i="14" s="1"/>
  <c r="I91" i="14"/>
  <c r="I49" i="14" s="1"/>
  <c r="C131" i="14"/>
  <c r="I119" i="14"/>
  <c r="I77" i="14" s="1"/>
  <c r="I109" i="14"/>
  <c r="I67" i="14" s="1"/>
  <c r="I105" i="14"/>
  <c r="I63" i="14" s="1"/>
  <c r="I122" i="14"/>
  <c r="I80" i="14" s="1"/>
  <c r="I94" i="14"/>
  <c r="I52" i="14" s="1"/>
  <c r="C133" i="14"/>
  <c r="I124" i="14"/>
  <c r="I82" i="14" s="1"/>
  <c r="I104" i="14"/>
  <c r="I62" i="14" s="1"/>
  <c r="D61" i="14"/>
  <c r="C127" i="14"/>
  <c r="D85" i="14"/>
  <c r="C117" i="14"/>
  <c r="D75" i="14"/>
  <c r="D54" i="14"/>
  <c r="C100" i="14"/>
  <c r="D58" i="14"/>
  <c r="C110" i="14"/>
  <c r="D68" i="14"/>
  <c r="D72" i="14"/>
  <c r="C82" i="15"/>
  <c r="C78" i="15"/>
  <c r="C74" i="15"/>
  <c r="C70" i="15"/>
  <c r="C66" i="15"/>
  <c r="C62" i="15"/>
  <c r="D49" i="14"/>
  <c r="C123" i="14"/>
  <c r="D81" i="14"/>
  <c r="C102" i="14"/>
  <c r="D60" i="14"/>
  <c r="D76" i="14"/>
  <c r="C83" i="15"/>
  <c r="C123" i="15"/>
  <c r="C79" i="15"/>
  <c r="C75" i="15"/>
  <c r="C73" i="15"/>
  <c r="C71" i="15"/>
  <c r="C69" i="15"/>
  <c r="C67" i="15"/>
  <c r="C65" i="15"/>
  <c r="C63" i="15"/>
  <c r="C61" i="15"/>
  <c r="C105" i="14"/>
  <c r="D63" i="14"/>
  <c r="C94" i="14"/>
  <c r="D52" i="14"/>
  <c r="C122" i="14"/>
  <c r="D80" i="14"/>
  <c r="L95" i="12"/>
  <c r="L53" i="12" s="1"/>
  <c r="L103" i="12"/>
  <c r="L61" i="12" s="1"/>
  <c r="L113" i="12"/>
  <c r="L71" i="12" s="1"/>
  <c r="L115" i="12"/>
  <c r="L73" i="12" s="1"/>
  <c r="L117" i="12"/>
  <c r="L75" i="12" s="1"/>
  <c r="L121" i="12"/>
  <c r="L79" i="12" s="1"/>
  <c r="L127" i="12"/>
  <c r="L85" i="12" s="1"/>
  <c r="L98" i="12"/>
  <c r="L56" i="12" s="1"/>
  <c r="L106" i="12"/>
  <c r="L64" i="12" s="1"/>
  <c r="L110" i="12"/>
  <c r="L68" i="12" s="1"/>
  <c r="L114" i="12"/>
  <c r="L72" i="12" s="1"/>
  <c r="L126" i="12"/>
  <c r="L84" i="12" s="1"/>
  <c r="L96" i="12"/>
  <c r="L54" i="12" s="1"/>
  <c r="L100" i="12"/>
  <c r="L58" i="12" s="1"/>
  <c r="L112" i="12"/>
  <c r="L70" i="12" s="1"/>
  <c r="M94" i="12"/>
  <c r="M52" i="12" s="1"/>
  <c r="M104" i="12"/>
  <c r="M62" i="12" s="1"/>
  <c r="M122" i="12"/>
  <c r="M80" i="12" s="1"/>
  <c r="M124" i="12"/>
  <c r="M82" i="12" s="1"/>
  <c r="M119" i="12"/>
  <c r="M77" i="12" s="1"/>
  <c r="M105" i="12"/>
  <c r="M63" i="12" s="1"/>
  <c r="M109" i="12"/>
  <c r="M67" i="12" s="1"/>
  <c r="J91" i="12"/>
  <c r="J49" i="12" s="1"/>
  <c r="J99" i="12"/>
  <c r="J57" i="12" s="1"/>
  <c r="G90" i="12"/>
  <c r="G48" i="12" s="1"/>
  <c r="G92" i="12"/>
  <c r="G50" i="12" s="1"/>
  <c r="G116" i="12"/>
  <c r="G74" i="12" s="1"/>
  <c r="G120" i="12"/>
  <c r="G78" i="12" s="1"/>
  <c r="G93" i="12"/>
  <c r="G51" i="12" s="1"/>
  <c r="G97" i="12"/>
  <c r="G55" i="12" s="1"/>
  <c r="G125" i="12"/>
  <c r="G83" i="12" s="1"/>
  <c r="G111" i="12"/>
  <c r="G69" i="12" s="1"/>
  <c r="J101" i="12"/>
  <c r="J59" i="12" s="1"/>
  <c r="J107" i="12"/>
  <c r="J65" i="12" s="1"/>
  <c r="J123" i="12"/>
  <c r="J81" i="12" s="1"/>
  <c r="J108" i="12"/>
  <c r="J66" i="12" s="1"/>
  <c r="J102" i="12"/>
  <c r="J60" i="12" s="1"/>
  <c r="J118" i="12"/>
  <c r="J76" i="12" s="1"/>
  <c r="D95" i="12"/>
  <c r="D103" i="12"/>
  <c r="D113" i="12"/>
  <c r="D115" i="12"/>
  <c r="D117" i="12"/>
  <c r="D121" i="12"/>
  <c r="D127" i="12"/>
  <c r="D98" i="12"/>
  <c r="D106" i="12"/>
  <c r="D110" i="12"/>
  <c r="D114" i="12"/>
  <c r="D126" i="12"/>
  <c r="D96" i="12"/>
  <c r="D100" i="12"/>
  <c r="D112" i="12"/>
  <c r="H105" i="12"/>
  <c r="H63" i="12" s="1"/>
  <c r="H109" i="12"/>
  <c r="H67" i="12" s="1"/>
  <c r="H119" i="12"/>
  <c r="H77" i="12" s="1"/>
  <c r="I133" i="12"/>
  <c r="H94" i="12"/>
  <c r="H52" i="12" s="1"/>
  <c r="H122" i="12"/>
  <c r="H80" i="12" s="1"/>
  <c r="H104" i="12"/>
  <c r="H62" i="12" s="1"/>
  <c r="H124" i="12"/>
  <c r="H82" i="12" s="1"/>
  <c r="L93" i="12"/>
  <c r="L51" i="12" s="1"/>
  <c r="L97" i="12"/>
  <c r="L55" i="12" s="1"/>
  <c r="L111" i="12"/>
  <c r="L69" i="12" s="1"/>
  <c r="L125" i="12"/>
  <c r="L83" i="12" s="1"/>
  <c r="L90" i="12"/>
  <c r="L48" i="12" s="1"/>
  <c r="L92" i="12"/>
  <c r="L50" i="12" s="1"/>
  <c r="L116" i="12"/>
  <c r="L74" i="12" s="1"/>
  <c r="L120" i="12"/>
  <c r="L78" i="12" s="1"/>
  <c r="H93" i="12"/>
  <c r="H51" i="12" s="1"/>
  <c r="H97" i="12"/>
  <c r="H55" i="12" s="1"/>
  <c r="H111" i="12"/>
  <c r="H69" i="12" s="1"/>
  <c r="H125" i="12"/>
  <c r="H83" i="12" s="1"/>
  <c r="H90" i="12"/>
  <c r="H48" i="12" s="1"/>
  <c r="H92" i="12"/>
  <c r="H50" i="12" s="1"/>
  <c r="H116" i="12"/>
  <c r="H74" i="12" s="1"/>
  <c r="H120" i="12"/>
  <c r="H78" i="12" s="1"/>
  <c r="I132" i="12"/>
  <c r="G102" i="12"/>
  <c r="G60" i="12" s="1"/>
  <c r="G108" i="12"/>
  <c r="G66" i="12" s="1"/>
  <c r="G118" i="12"/>
  <c r="G76" i="12" s="1"/>
  <c r="G101" i="12"/>
  <c r="G59" i="12" s="1"/>
  <c r="G107" i="12"/>
  <c r="G65" i="12" s="1"/>
  <c r="G123" i="12"/>
  <c r="G81" i="12" s="1"/>
  <c r="G147" i="12"/>
  <c r="G135" i="12" s="1"/>
  <c r="C80" i="13"/>
  <c r="D74" i="13"/>
  <c r="C116" i="13"/>
  <c r="C66" i="13"/>
  <c r="C57" i="13"/>
  <c r="E102" i="12"/>
  <c r="E60" i="12" s="1"/>
  <c r="E108" i="12"/>
  <c r="E66" i="12" s="1"/>
  <c r="E118" i="12"/>
  <c r="E76" i="12" s="1"/>
  <c r="E107" i="12"/>
  <c r="E65" i="12" s="1"/>
  <c r="E123" i="12"/>
  <c r="E81" i="12" s="1"/>
  <c r="E101" i="12"/>
  <c r="E59" i="12" s="1"/>
  <c r="C82" i="13"/>
  <c r="C120" i="13"/>
  <c r="C110" i="13"/>
  <c r="C77" i="13"/>
  <c r="C51" i="13"/>
  <c r="C58" i="13"/>
  <c r="C96" i="13"/>
  <c r="C50" i="13"/>
  <c r="D146" i="12"/>
  <c r="D134" i="12" s="1"/>
  <c r="F147" i="12"/>
  <c r="F135" i="12" s="1"/>
  <c r="E94" i="12"/>
  <c r="E52" i="12" s="1"/>
  <c r="E104" i="12"/>
  <c r="E62" i="12" s="1"/>
  <c r="E122" i="12"/>
  <c r="E80" i="12" s="1"/>
  <c r="E124" i="12"/>
  <c r="E82" i="12" s="1"/>
  <c r="E119" i="12"/>
  <c r="E77" i="12" s="1"/>
  <c r="E105" i="12"/>
  <c r="E63" i="12" s="1"/>
  <c r="E109" i="12"/>
  <c r="E67" i="12" s="1"/>
  <c r="H91" i="12"/>
  <c r="H49" i="12" s="1"/>
  <c r="H99" i="12"/>
  <c r="H57" i="12" s="1"/>
  <c r="I131" i="12"/>
  <c r="K90" i="12"/>
  <c r="K48" i="12" s="1"/>
  <c r="K92" i="12"/>
  <c r="K50" i="12" s="1"/>
  <c r="K116" i="12"/>
  <c r="K74" i="12" s="1"/>
  <c r="K120" i="12"/>
  <c r="K78" i="12" s="1"/>
  <c r="K93" i="12"/>
  <c r="K51" i="12" s="1"/>
  <c r="K97" i="12"/>
  <c r="K55" i="12" s="1"/>
  <c r="K125" i="12"/>
  <c r="K83" i="12" s="1"/>
  <c r="K111" i="12"/>
  <c r="K69" i="12" s="1"/>
  <c r="M91" i="12"/>
  <c r="M49" i="12" s="1"/>
  <c r="M99" i="12"/>
  <c r="M57" i="12" s="1"/>
  <c r="L146" i="12"/>
  <c r="L134" i="12" s="1"/>
  <c r="F145" i="12"/>
  <c r="F133" i="12" s="1"/>
  <c r="K147" i="12"/>
  <c r="K135" i="12" s="1"/>
  <c r="D145" i="12"/>
  <c r="D133" i="12" s="1"/>
  <c r="G91" i="12"/>
  <c r="G49" i="12" s="1"/>
  <c r="G99" i="12"/>
  <c r="G57" i="12" s="1"/>
  <c r="C126" i="13"/>
  <c r="C118" i="13"/>
  <c r="C70" i="13"/>
  <c r="C62" i="13"/>
  <c r="C121" i="13"/>
  <c r="C71" i="13"/>
  <c r="C63" i="13"/>
  <c r="E147" i="12"/>
  <c r="E135" i="12" s="1"/>
  <c r="C114" i="13"/>
  <c r="C64" i="13"/>
  <c r="C61" i="13"/>
  <c r="C73" i="13"/>
  <c r="C101" i="13"/>
  <c r="C102" i="13"/>
  <c r="C56" i="13"/>
  <c r="C94" i="13"/>
  <c r="I86" i="13"/>
  <c r="C90" i="13"/>
  <c r="H147" i="12"/>
  <c r="H135" i="12" s="1"/>
  <c r="G145" i="12"/>
  <c r="G133" i="12" s="1"/>
  <c r="F91" i="12"/>
  <c r="F49" i="12" s="1"/>
  <c r="F99" i="12"/>
  <c r="F57" i="12" s="1"/>
  <c r="E90" i="12"/>
  <c r="E48" i="12" s="1"/>
  <c r="E92" i="12"/>
  <c r="E50" i="12" s="1"/>
  <c r="E116" i="12"/>
  <c r="E74" i="12" s="1"/>
  <c r="E120" i="12"/>
  <c r="E78" i="12" s="1"/>
  <c r="E111" i="12"/>
  <c r="E69" i="12" s="1"/>
  <c r="E93" i="12"/>
  <c r="E51" i="12" s="1"/>
  <c r="E97" i="12"/>
  <c r="E55" i="12" s="1"/>
  <c r="E125" i="12"/>
  <c r="E83" i="12" s="1"/>
  <c r="M147" i="12"/>
  <c r="M135" i="12" s="1"/>
  <c r="F146" i="12"/>
  <c r="F134" i="12" s="1"/>
  <c r="L145" i="12"/>
  <c r="L133" i="12" s="1"/>
  <c r="D91" i="12"/>
  <c r="D99" i="12"/>
  <c r="J144" i="12"/>
  <c r="J132" i="12" s="1"/>
  <c r="F144" i="12"/>
  <c r="F132" i="12" s="1"/>
  <c r="K91" i="12"/>
  <c r="K49" i="12" s="1"/>
  <c r="K99" i="12"/>
  <c r="K57" i="12" s="1"/>
  <c r="K86" i="13"/>
  <c r="K146" i="12"/>
  <c r="K134" i="12" s="1"/>
  <c r="D144" i="12"/>
  <c r="D132" i="12" s="1"/>
  <c r="C122" i="13"/>
  <c r="C108" i="13"/>
  <c r="C49" i="13"/>
  <c r="C83" i="13"/>
  <c r="C75" i="13"/>
  <c r="C67" i="13"/>
  <c r="C55" i="13"/>
  <c r="C124" i="13"/>
  <c r="C78" i="13"/>
  <c r="C68" i="13"/>
  <c r="C53" i="13"/>
  <c r="C85" i="13"/>
  <c r="C69" i="13"/>
  <c r="C93" i="13"/>
  <c r="C100" i="13"/>
  <c r="C54" i="13"/>
  <c r="C92" i="13"/>
  <c r="J147" i="12"/>
  <c r="J135" i="12" s="1"/>
  <c r="K145" i="12"/>
  <c r="K133" i="12" s="1"/>
  <c r="L91" i="12"/>
  <c r="L49" i="12" s="1"/>
  <c r="L99" i="12"/>
  <c r="L57" i="12" s="1"/>
  <c r="M144" i="12"/>
  <c r="M132" i="12" s="1"/>
  <c r="H146" i="12"/>
  <c r="H134" i="12" s="1"/>
  <c r="J145" i="12"/>
  <c r="J133" i="12" s="1"/>
  <c r="E86" i="13"/>
  <c r="G86" i="13"/>
  <c r="M146" i="12"/>
  <c r="M134" i="12" s="1"/>
  <c r="C84" i="13"/>
  <c r="C76" i="13"/>
  <c r="C112" i="13"/>
  <c r="C104" i="13"/>
  <c r="C79" i="13"/>
  <c r="C113" i="13"/>
  <c r="C105" i="13"/>
  <c r="C72" i="13"/>
  <c r="C106" i="13"/>
  <c r="C103" i="13"/>
  <c r="C81" i="13"/>
  <c r="C115" i="13"/>
  <c r="C65" i="13"/>
  <c r="C59" i="13"/>
  <c r="C60" i="13"/>
  <c r="C98" i="13"/>
  <c r="C52" i="13"/>
  <c r="H86" i="13"/>
  <c r="C48" i="13"/>
  <c r="D86" i="13"/>
  <c r="J102" i="10"/>
  <c r="J60" i="10" s="1"/>
  <c r="J108" i="10"/>
  <c r="J66" i="10" s="1"/>
  <c r="J118" i="10"/>
  <c r="J76" i="10" s="1"/>
  <c r="J101" i="10"/>
  <c r="J59" i="10" s="1"/>
  <c r="J107" i="10"/>
  <c r="J65" i="10" s="1"/>
  <c r="J123" i="10"/>
  <c r="J81" i="10" s="1"/>
  <c r="D96" i="10"/>
  <c r="D98" i="10"/>
  <c r="D100" i="10"/>
  <c r="D106" i="10"/>
  <c r="D110" i="10"/>
  <c r="D112" i="10"/>
  <c r="D114" i="10"/>
  <c r="D126" i="10"/>
  <c r="D95" i="10"/>
  <c r="D103" i="10"/>
  <c r="D115" i="10"/>
  <c r="D127" i="10"/>
  <c r="D113" i="10"/>
  <c r="D117" i="10"/>
  <c r="D121" i="10"/>
  <c r="H94" i="10"/>
  <c r="H52" i="10" s="1"/>
  <c r="H104" i="10"/>
  <c r="H62" i="10" s="1"/>
  <c r="H122" i="10"/>
  <c r="H80" i="10" s="1"/>
  <c r="H124" i="10"/>
  <c r="H82" i="10" s="1"/>
  <c r="H119" i="10"/>
  <c r="H77" i="10" s="1"/>
  <c r="H105" i="10"/>
  <c r="H63" i="10" s="1"/>
  <c r="H109" i="10"/>
  <c r="H67" i="10" s="1"/>
  <c r="I133" i="10"/>
  <c r="L90" i="10"/>
  <c r="L48" i="10" s="1"/>
  <c r="L92" i="10"/>
  <c r="L50" i="10" s="1"/>
  <c r="L116" i="10"/>
  <c r="L74" i="10" s="1"/>
  <c r="L120" i="10"/>
  <c r="L78" i="10" s="1"/>
  <c r="L111" i="10"/>
  <c r="L69" i="10" s="1"/>
  <c r="L93" i="10"/>
  <c r="L51" i="10" s="1"/>
  <c r="L97" i="10"/>
  <c r="L55" i="10" s="1"/>
  <c r="L125" i="10"/>
  <c r="L83" i="10" s="1"/>
  <c r="H90" i="10"/>
  <c r="H48" i="10" s="1"/>
  <c r="H92" i="10"/>
  <c r="H50" i="10" s="1"/>
  <c r="H116" i="10"/>
  <c r="H74" i="10" s="1"/>
  <c r="H120" i="10"/>
  <c r="H78" i="10" s="1"/>
  <c r="I132" i="10"/>
  <c r="H111" i="10"/>
  <c r="H69" i="10" s="1"/>
  <c r="H93" i="10"/>
  <c r="H51" i="10" s="1"/>
  <c r="H97" i="10"/>
  <c r="H55" i="10" s="1"/>
  <c r="H125" i="10"/>
  <c r="H83" i="10" s="1"/>
  <c r="K101" i="10"/>
  <c r="K59" i="10" s="1"/>
  <c r="K107" i="10"/>
  <c r="K65" i="10" s="1"/>
  <c r="K123" i="10"/>
  <c r="K81" i="10" s="1"/>
  <c r="K102" i="10"/>
  <c r="K60" i="10" s="1"/>
  <c r="K118" i="10"/>
  <c r="K76" i="10" s="1"/>
  <c r="K108" i="10"/>
  <c r="K66" i="10" s="1"/>
  <c r="K91" i="10"/>
  <c r="K49" i="10" s="1"/>
  <c r="K99" i="10"/>
  <c r="K57" i="10" s="1"/>
  <c r="H58" i="11"/>
  <c r="I100" i="11"/>
  <c r="I58" i="11" s="1"/>
  <c r="H70" i="11"/>
  <c r="I112" i="11"/>
  <c r="I70" i="11" s="1"/>
  <c r="L147" i="10"/>
  <c r="L135" i="10" s="1"/>
  <c r="M105" i="10"/>
  <c r="M63" i="10" s="1"/>
  <c r="M109" i="10"/>
  <c r="M67" i="10" s="1"/>
  <c r="M119" i="10"/>
  <c r="M77" i="10" s="1"/>
  <c r="M104" i="10"/>
  <c r="M62" i="10" s="1"/>
  <c r="M124" i="10"/>
  <c r="M82" i="10" s="1"/>
  <c r="M94" i="10"/>
  <c r="M52" i="10" s="1"/>
  <c r="M122" i="10"/>
  <c r="M80" i="10" s="1"/>
  <c r="J91" i="10"/>
  <c r="J49" i="10" s="1"/>
  <c r="J99" i="10"/>
  <c r="J57" i="10" s="1"/>
  <c r="E93" i="10"/>
  <c r="E51" i="10" s="1"/>
  <c r="E97" i="10"/>
  <c r="E55" i="10" s="1"/>
  <c r="E111" i="10"/>
  <c r="E69" i="10" s="1"/>
  <c r="E125" i="10"/>
  <c r="E83" i="10" s="1"/>
  <c r="E92" i="10"/>
  <c r="E50" i="10" s="1"/>
  <c r="E116" i="10"/>
  <c r="E74" i="10" s="1"/>
  <c r="E120" i="10"/>
  <c r="E78" i="10" s="1"/>
  <c r="E90" i="10"/>
  <c r="E48" i="10" s="1"/>
  <c r="M101" i="10"/>
  <c r="M59" i="10" s="1"/>
  <c r="M107" i="10"/>
  <c r="M65" i="10" s="1"/>
  <c r="M123" i="10"/>
  <c r="M81" i="10" s="1"/>
  <c r="M108" i="10"/>
  <c r="M66" i="10" s="1"/>
  <c r="M102" i="10"/>
  <c r="M60" i="10" s="1"/>
  <c r="M118" i="10"/>
  <c r="M76" i="10" s="1"/>
  <c r="H80" i="11"/>
  <c r="I122" i="11"/>
  <c r="I80" i="11" s="1"/>
  <c r="H71" i="11"/>
  <c r="I113" i="11"/>
  <c r="I71" i="11" s="1"/>
  <c r="H68" i="11"/>
  <c r="I110" i="11"/>
  <c r="I68" i="11" s="1"/>
  <c r="H60" i="11"/>
  <c r="I102" i="11"/>
  <c r="I60" i="11" s="1"/>
  <c r="D53" i="11"/>
  <c r="I91" i="11"/>
  <c r="I49" i="11" s="1"/>
  <c r="H49" i="11"/>
  <c r="E131" i="11"/>
  <c r="E90" i="11" s="1"/>
  <c r="E48" i="11" s="1"/>
  <c r="E215" i="11"/>
  <c r="H131" i="11"/>
  <c r="H90" i="11" s="1"/>
  <c r="M131" i="11"/>
  <c r="M90" i="11" s="1"/>
  <c r="M48" i="11" s="1"/>
  <c r="I131" i="11"/>
  <c r="D50" i="11"/>
  <c r="E147" i="10"/>
  <c r="E135" i="10" s="1"/>
  <c r="H56" i="11"/>
  <c r="I98" i="11"/>
  <c r="I56" i="11" s="1"/>
  <c r="D52" i="11"/>
  <c r="C94" i="11"/>
  <c r="D49" i="11"/>
  <c r="C126" i="11"/>
  <c r="D84" i="11"/>
  <c r="D76" i="11"/>
  <c r="C118" i="11"/>
  <c r="D68" i="11"/>
  <c r="G131" i="11"/>
  <c r="G90" i="11" s="1"/>
  <c r="G48" i="11" s="1"/>
  <c r="H102" i="10"/>
  <c r="H60" i="10" s="1"/>
  <c r="H108" i="10"/>
  <c r="H66" i="10" s="1"/>
  <c r="H118" i="10"/>
  <c r="H76" i="10" s="1"/>
  <c r="I134" i="10"/>
  <c r="H107" i="10"/>
  <c r="H65" i="10" s="1"/>
  <c r="H123" i="10"/>
  <c r="H81" i="10" s="1"/>
  <c r="H101" i="10"/>
  <c r="H59" i="10" s="1"/>
  <c r="F94" i="10"/>
  <c r="F52" i="10" s="1"/>
  <c r="F104" i="10"/>
  <c r="F62" i="10" s="1"/>
  <c r="F122" i="10"/>
  <c r="F80" i="10" s="1"/>
  <c r="F124" i="10"/>
  <c r="F82" i="10" s="1"/>
  <c r="F105" i="10"/>
  <c r="F63" i="10" s="1"/>
  <c r="F109" i="10"/>
  <c r="F67" i="10" s="1"/>
  <c r="F119" i="10"/>
  <c r="F77" i="10" s="1"/>
  <c r="G147" i="10"/>
  <c r="G135" i="10" s="1"/>
  <c r="H55" i="11"/>
  <c r="I97" i="11"/>
  <c r="I55" i="11" s="1"/>
  <c r="H74" i="11"/>
  <c r="I116" i="11"/>
  <c r="I74" i="11" s="1"/>
  <c r="J147" i="10"/>
  <c r="J135" i="10" s="1"/>
  <c r="K105" i="10"/>
  <c r="K63" i="10" s="1"/>
  <c r="K109" i="10"/>
  <c r="K67" i="10" s="1"/>
  <c r="K119" i="10"/>
  <c r="K77" i="10" s="1"/>
  <c r="K94" i="10"/>
  <c r="K52" i="10" s="1"/>
  <c r="K122" i="10"/>
  <c r="K80" i="10" s="1"/>
  <c r="K104" i="10"/>
  <c r="K62" i="10" s="1"/>
  <c r="K124" i="10"/>
  <c r="K82" i="10" s="1"/>
  <c r="L91" i="10"/>
  <c r="L49" i="10" s="1"/>
  <c r="L99" i="10"/>
  <c r="L57" i="10" s="1"/>
  <c r="M144" i="10"/>
  <c r="M132" i="10" s="1"/>
  <c r="G144" i="10"/>
  <c r="G132" i="10" s="1"/>
  <c r="M147" i="10"/>
  <c r="M135" i="10" s="1"/>
  <c r="H83" i="11"/>
  <c r="I125" i="11"/>
  <c r="I83" i="11" s="1"/>
  <c r="H67" i="11"/>
  <c r="I109" i="11"/>
  <c r="I67" i="11" s="1"/>
  <c r="H51" i="11"/>
  <c r="I93" i="11"/>
  <c r="I51" i="11" s="1"/>
  <c r="J131" i="11"/>
  <c r="J90" i="11" s="1"/>
  <c r="J48" i="11" s="1"/>
  <c r="C194" i="10"/>
  <c r="D81" i="11"/>
  <c r="D65" i="11"/>
  <c r="C103" i="11"/>
  <c r="D61" i="11"/>
  <c r="I99" i="11"/>
  <c r="I57" i="11" s="1"/>
  <c r="H57" i="11"/>
  <c r="C177" i="11"/>
  <c r="C215" i="11" s="1"/>
  <c r="D58" i="11"/>
  <c r="C100" i="11"/>
  <c r="D60" i="11"/>
  <c r="C102" i="11"/>
  <c r="C99" i="11"/>
  <c r="D57" i="11"/>
  <c r="D72" i="11"/>
  <c r="F102" i="10"/>
  <c r="F60" i="10" s="1"/>
  <c r="F108" i="10"/>
  <c r="F66" i="10" s="1"/>
  <c r="F118" i="10"/>
  <c r="F76" i="10" s="1"/>
  <c r="F101" i="10"/>
  <c r="F59" i="10" s="1"/>
  <c r="F107" i="10"/>
  <c r="F65" i="10" s="1"/>
  <c r="F123" i="10"/>
  <c r="F81" i="10" s="1"/>
  <c r="L94" i="10"/>
  <c r="L52" i="10" s="1"/>
  <c r="L104" i="10"/>
  <c r="L62" i="10" s="1"/>
  <c r="L122" i="10"/>
  <c r="L80" i="10" s="1"/>
  <c r="L124" i="10"/>
  <c r="L82" i="10" s="1"/>
  <c r="L119" i="10"/>
  <c r="L77" i="10" s="1"/>
  <c r="L105" i="10"/>
  <c r="L63" i="10" s="1"/>
  <c r="L109" i="10"/>
  <c r="L67" i="10" s="1"/>
  <c r="D91" i="10"/>
  <c r="D99" i="10"/>
  <c r="C131" i="10"/>
  <c r="J144" i="10"/>
  <c r="J132" i="10" s="1"/>
  <c r="F144" i="10"/>
  <c r="F132" i="10" s="1"/>
  <c r="K147" i="10"/>
  <c r="K135" i="10" s="1"/>
  <c r="H50" i="11"/>
  <c r="I92" i="11"/>
  <c r="I50" i="11" s="1"/>
  <c r="H78" i="11"/>
  <c r="I120" i="11"/>
  <c r="I78" i="11" s="1"/>
  <c r="H62" i="11"/>
  <c r="I104" i="11"/>
  <c r="I62" i="11" s="1"/>
  <c r="H147" i="10"/>
  <c r="H135" i="10" s="1"/>
  <c r="G105" i="10"/>
  <c r="G63" i="10" s="1"/>
  <c r="G109" i="10"/>
  <c r="G67" i="10" s="1"/>
  <c r="G119" i="10"/>
  <c r="G77" i="10" s="1"/>
  <c r="G94" i="10"/>
  <c r="G52" i="10" s="1"/>
  <c r="G122" i="10"/>
  <c r="G80" i="10" s="1"/>
  <c r="G104" i="10"/>
  <c r="G62" i="10" s="1"/>
  <c r="G124" i="10"/>
  <c r="G82" i="10" s="1"/>
  <c r="F91" i="10"/>
  <c r="F49" i="10" s="1"/>
  <c r="F99" i="10"/>
  <c r="F57" i="10" s="1"/>
  <c r="M91" i="10"/>
  <c r="M49" i="10" s="1"/>
  <c r="M99" i="10"/>
  <c r="M57" i="10" s="1"/>
  <c r="I126" i="11"/>
  <c r="I84" i="11" s="1"/>
  <c r="H84" i="11"/>
  <c r="H75" i="11"/>
  <c r="I117" i="11"/>
  <c r="I75" i="11" s="1"/>
  <c r="H64" i="11"/>
  <c r="I106" i="11"/>
  <c r="I64" i="11" s="1"/>
  <c r="H59" i="11"/>
  <c r="I101" i="11"/>
  <c r="I59" i="11" s="1"/>
  <c r="D85" i="11"/>
  <c r="C127" i="11"/>
  <c r="C119" i="11"/>
  <c r="D77" i="11"/>
  <c r="C111" i="11"/>
  <c r="D69" i="11"/>
  <c r="D56" i="11"/>
  <c r="C98" i="11"/>
  <c r="D55" i="11"/>
  <c r="C97" i="11"/>
  <c r="D78" i="11"/>
  <c r="C120" i="11"/>
  <c r="D70" i="11"/>
  <c r="C112" i="11"/>
  <c r="D62" i="11"/>
  <c r="C104" i="11"/>
  <c r="E91" i="10"/>
  <c r="E49" i="10" s="1"/>
  <c r="E99" i="10"/>
  <c r="E57" i="10" s="1"/>
  <c r="D83" i="11"/>
  <c r="C125" i="11"/>
  <c r="I123" i="11"/>
  <c r="I81" i="11" s="1"/>
  <c r="H81" i="11"/>
  <c r="D75" i="11"/>
  <c r="C117" i="11"/>
  <c r="I115" i="11"/>
  <c r="I73" i="11" s="1"/>
  <c r="H73" i="11"/>
  <c r="D67" i="11"/>
  <c r="C109" i="11"/>
  <c r="I107" i="11"/>
  <c r="I65" i="11" s="1"/>
  <c r="H65" i="11"/>
  <c r="I95" i="11"/>
  <c r="I53" i="11" s="1"/>
  <c r="H53" i="11"/>
  <c r="D51" i="11"/>
  <c r="L131" i="11"/>
  <c r="L90" i="11" s="1"/>
  <c r="L48" i="11" s="1"/>
  <c r="F215" i="11"/>
  <c r="F131" i="11"/>
  <c r="F90" i="11" s="1"/>
  <c r="F48" i="11" s="1"/>
  <c r="K131" i="11"/>
  <c r="K90" i="11" s="1"/>
  <c r="K48" i="11" s="1"/>
  <c r="L102" i="10"/>
  <c r="L60" i="10" s="1"/>
  <c r="L108" i="10"/>
  <c r="L66" i="10" s="1"/>
  <c r="L118" i="10"/>
  <c r="L76" i="10" s="1"/>
  <c r="L107" i="10"/>
  <c r="L65" i="10" s="1"/>
  <c r="L123" i="10"/>
  <c r="L81" i="10" s="1"/>
  <c r="L101" i="10"/>
  <c r="L59" i="10" s="1"/>
  <c r="J94" i="10"/>
  <c r="J52" i="10" s="1"/>
  <c r="J104" i="10"/>
  <c r="J62" i="10" s="1"/>
  <c r="J122" i="10"/>
  <c r="J80" i="10" s="1"/>
  <c r="J124" i="10"/>
  <c r="J82" i="10" s="1"/>
  <c r="J105" i="10"/>
  <c r="J63" i="10" s="1"/>
  <c r="J109" i="10"/>
  <c r="J67" i="10" s="1"/>
  <c r="J119" i="10"/>
  <c r="J77" i="10" s="1"/>
  <c r="G101" i="10"/>
  <c r="G59" i="10" s="1"/>
  <c r="G107" i="10"/>
  <c r="G65" i="10" s="1"/>
  <c r="G123" i="10"/>
  <c r="G81" i="10" s="1"/>
  <c r="G102" i="10"/>
  <c r="G60" i="10" s="1"/>
  <c r="G118" i="10"/>
  <c r="G76" i="10" s="1"/>
  <c r="G108" i="10"/>
  <c r="G66" i="10" s="1"/>
  <c r="G91" i="10"/>
  <c r="G49" i="10" s="1"/>
  <c r="G99" i="10"/>
  <c r="G57" i="10" s="1"/>
  <c r="H54" i="11"/>
  <c r="I96" i="11"/>
  <c r="I54" i="11" s="1"/>
  <c r="H82" i="11"/>
  <c r="I124" i="11"/>
  <c r="I82" i="11" s="1"/>
  <c r="H66" i="11"/>
  <c r="I108" i="11"/>
  <c r="I66" i="11" s="1"/>
  <c r="D102" i="10"/>
  <c r="D108" i="10"/>
  <c r="D118" i="10"/>
  <c r="D107" i="10"/>
  <c r="D123" i="10"/>
  <c r="D101" i="10"/>
  <c r="F147" i="10"/>
  <c r="F135" i="10" s="1"/>
  <c r="E105" i="10"/>
  <c r="E63" i="10" s="1"/>
  <c r="E109" i="10"/>
  <c r="E67" i="10" s="1"/>
  <c r="E119" i="10"/>
  <c r="E77" i="10" s="1"/>
  <c r="E104" i="10"/>
  <c r="E62" i="10" s="1"/>
  <c r="E124" i="10"/>
  <c r="E82" i="10" s="1"/>
  <c r="E94" i="10"/>
  <c r="E52" i="10" s="1"/>
  <c r="E122" i="10"/>
  <c r="E80" i="10" s="1"/>
  <c r="I91" i="10"/>
  <c r="I49" i="10" s="1"/>
  <c r="I99" i="10"/>
  <c r="I57" i="10" s="1"/>
  <c r="K144" i="10"/>
  <c r="K132" i="10" s="1"/>
  <c r="H79" i="11"/>
  <c r="I121" i="11"/>
  <c r="I79" i="11" s="1"/>
  <c r="H72" i="11"/>
  <c r="I114" i="11"/>
  <c r="I72" i="11" s="1"/>
  <c r="H63" i="11"/>
  <c r="I105" i="11"/>
  <c r="I63" i="11" s="1"/>
  <c r="D145" i="10"/>
  <c r="D133" i="10" s="1"/>
  <c r="D144" i="10"/>
  <c r="D132" i="10" s="1"/>
  <c r="C115" i="11"/>
  <c r="D73" i="11"/>
  <c r="H52" i="11"/>
  <c r="I94" i="11"/>
  <c r="I52" i="11" s="1"/>
  <c r="D131" i="11"/>
  <c r="D90" i="11" s="1"/>
  <c r="D82" i="11"/>
  <c r="C124" i="11"/>
  <c r="D74" i="11"/>
  <c r="C116" i="11"/>
  <c r="D66" i="11"/>
  <c r="C108" i="11"/>
  <c r="E146" i="10"/>
  <c r="E134" i="10" s="1"/>
  <c r="D79" i="11"/>
  <c r="C121" i="11"/>
  <c r="D71" i="11"/>
  <c r="D63" i="11"/>
  <c r="C105" i="11"/>
  <c r="D59" i="11"/>
  <c r="C101" i="11"/>
  <c r="D80" i="11"/>
  <c r="C122" i="11"/>
  <c r="D64" i="11"/>
  <c r="D54" i="11"/>
  <c r="C96" i="11"/>
  <c r="J86" i="14" l="1"/>
  <c r="C99" i="14"/>
  <c r="C76" i="14"/>
  <c r="C60" i="14"/>
  <c r="C81" i="14"/>
  <c r="C49" i="14"/>
  <c r="C72" i="14"/>
  <c r="C68" i="14"/>
  <c r="C58" i="14"/>
  <c r="C54" i="14"/>
  <c r="C75" i="14"/>
  <c r="C85" i="14"/>
  <c r="C61" i="14"/>
  <c r="I48" i="15"/>
  <c r="C90" i="15"/>
  <c r="C82" i="14"/>
  <c r="C62" i="14"/>
  <c r="C67" i="14"/>
  <c r="C77" i="14"/>
  <c r="E125" i="14"/>
  <c r="E83" i="14" s="1"/>
  <c r="E111" i="14"/>
  <c r="E69" i="14" s="1"/>
  <c r="E97" i="14"/>
  <c r="E55" i="14" s="1"/>
  <c r="E93" i="14"/>
  <c r="E51" i="14" s="1"/>
  <c r="E90" i="14"/>
  <c r="E48" i="14" s="1"/>
  <c r="E120" i="14"/>
  <c r="E78" i="14" s="1"/>
  <c r="E116" i="14"/>
  <c r="E74" i="14" s="1"/>
  <c r="E92" i="14"/>
  <c r="E50" i="14" s="1"/>
  <c r="G125" i="14"/>
  <c r="G83" i="14" s="1"/>
  <c r="G111" i="14"/>
  <c r="G69" i="14" s="1"/>
  <c r="G97" i="14"/>
  <c r="G55" i="14" s="1"/>
  <c r="G93" i="14"/>
  <c r="G51" i="14" s="1"/>
  <c r="G120" i="14"/>
  <c r="G78" i="14" s="1"/>
  <c r="G116" i="14"/>
  <c r="G74" i="14" s="1"/>
  <c r="G92" i="14"/>
  <c r="G50" i="14" s="1"/>
  <c r="G90" i="14"/>
  <c r="G48" i="14" s="1"/>
  <c r="M120" i="14"/>
  <c r="M78" i="14" s="1"/>
  <c r="M116" i="14"/>
  <c r="M74" i="14" s="1"/>
  <c r="M92" i="14"/>
  <c r="M50" i="14" s="1"/>
  <c r="M90" i="14"/>
  <c r="M48" i="14" s="1"/>
  <c r="M125" i="14"/>
  <c r="M83" i="14" s="1"/>
  <c r="M97" i="14"/>
  <c r="M55" i="14" s="1"/>
  <c r="M93" i="14"/>
  <c r="M51" i="14" s="1"/>
  <c r="M111" i="14"/>
  <c r="M69" i="14" s="1"/>
  <c r="D120" i="14"/>
  <c r="D116" i="14"/>
  <c r="D92" i="14"/>
  <c r="D90" i="14"/>
  <c r="D125" i="14"/>
  <c r="D97" i="14"/>
  <c r="D93" i="14"/>
  <c r="D111" i="14"/>
  <c r="C66" i="14"/>
  <c r="C59" i="14"/>
  <c r="C65" i="14"/>
  <c r="C84" i="14"/>
  <c r="C70" i="14"/>
  <c r="C64" i="14"/>
  <c r="C56" i="14"/>
  <c r="C79" i="14"/>
  <c r="C71" i="14"/>
  <c r="C73" i="14"/>
  <c r="C53" i="14"/>
  <c r="C80" i="14"/>
  <c r="C52" i="14"/>
  <c r="C63" i="14"/>
  <c r="C118" i="14"/>
  <c r="C91" i="14"/>
  <c r="C114" i="14"/>
  <c r="C96" i="14"/>
  <c r="C103" i="14"/>
  <c r="H86" i="15"/>
  <c r="C124" i="14"/>
  <c r="C104" i="14"/>
  <c r="C109" i="14"/>
  <c r="C119" i="14"/>
  <c r="I132" i="14"/>
  <c r="H120" i="14"/>
  <c r="H78" i="14" s="1"/>
  <c r="H116" i="14"/>
  <c r="H74" i="14" s="1"/>
  <c r="H92" i="14"/>
  <c r="H50" i="14" s="1"/>
  <c r="H90" i="14"/>
  <c r="H48" i="14" s="1"/>
  <c r="H125" i="14"/>
  <c r="H83" i="14" s="1"/>
  <c r="H97" i="14"/>
  <c r="H55" i="14" s="1"/>
  <c r="H93" i="14"/>
  <c r="H51" i="14" s="1"/>
  <c r="H111" i="14"/>
  <c r="H69" i="14" s="1"/>
  <c r="N125" i="14"/>
  <c r="N83" i="14" s="1"/>
  <c r="N111" i="14"/>
  <c r="N69" i="14" s="1"/>
  <c r="N97" i="14"/>
  <c r="N55" i="14" s="1"/>
  <c r="N93" i="14"/>
  <c r="N51" i="14" s="1"/>
  <c r="N90" i="14"/>
  <c r="N48" i="14" s="1"/>
  <c r="N120" i="14"/>
  <c r="N78" i="14" s="1"/>
  <c r="N116" i="14"/>
  <c r="N74" i="14" s="1"/>
  <c r="N92" i="14"/>
  <c r="N50" i="14" s="1"/>
  <c r="K120" i="14"/>
  <c r="K78" i="14" s="1"/>
  <c r="K116" i="14"/>
  <c r="K74" i="14" s="1"/>
  <c r="K92" i="14"/>
  <c r="K50" i="14" s="1"/>
  <c r="K90" i="14"/>
  <c r="K48" i="14" s="1"/>
  <c r="K111" i="14"/>
  <c r="K69" i="14" s="1"/>
  <c r="K125" i="14"/>
  <c r="K83" i="14" s="1"/>
  <c r="K97" i="14"/>
  <c r="K55" i="14" s="1"/>
  <c r="K93" i="14"/>
  <c r="K51" i="14" s="1"/>
  <c r="L125" i="14"/>
  <c r="L83" i="14" s="1"/>
  <c r="L111" i="14"/>
  <c r="L69" i="14" s="1"/>
  <c r="L97" i="14"/>
  <c r="L55" i="14" s="1"/>
  <c r="L93" i="14"/>
  <c r="L51" i="14" s="1"/>
  <c r="L120" i="14"/>
  <c r="L78" i="14" s="1"/>
  <c r="L116" i="14"/>
  <c r="L74" i="14" s="1"/>
  <c r="L92" i="14"/>
  <c r="L50" i="14" s="1"/>
  <c r="L90" i="14"/>
  <c r="L48" i="14" s="1"/>
  <c r="F120" i="14"/>
  <c r="F78" i="14" s="1"/>
  <c r="F116" i="14"/>
  <c r="F74" i="14" s="1"/>
  <c r="F92" i="14"/>
  <c r="F50" i="14" s="1"/>
  <c r="F90" i="14"/>
  <c r="F48" i="14" s="1"/>
  <c r="F111" i="14"/>
  <c r="F69" i="14" s="1"/>
  <c r="F125" i="14"/>
  <c r="F83" i="14" s="1"/>
  <c r="F97" i="14"/>
  <c r="F55" i="14" s="1"/>
  <c r="F93" i="14"/>
  <c r="F51" i="14" s="1"/>
  <c r="C108" i="14"/>
  <c r="C107" i="14"/>
  <c r="C57" i="14"/>
  <c r="C126" i="14"/>
  <c r="C112" i="14"/>
  <c r="C106" i="14"/>
  <c r="C98" i="14"/>
  <c r="C121" i="14"/>
  <c r="C113" i="14"/>
  <c r="C115" i="14"/>
  <c r="C95" i="14"/>
  <c r="J105" i="12"/>
  <c r="J63" i="12" s="1"/>
  <c r="J109" i="12"/>
  <c r="J67" i="12" s="1"/>
  <c r="J119" i="12"/>
  <c r="J77" i="12" s="1"/>
  <c r="J104" i="12"/>
  <c r="J62" i="12" s="1"/>
  <c r="J124" i="12"/>
  <c r="J82" i="12" s="1"/>
  <c r="J94" i="12"/>
  <c r="J52" i="12" s="1"/>
  <c r="J122" i="12"/>
  <c r="J80" i="12" s="1"/>
  <c r="M90" i="12"/>
  <c r="M48" i="12" s="1"/>
  <c r="M92" i="12"/>
  <c r="M50" i="12" s="1"/>
  <c r="M116" i="12"/>
  <c r="M74" i="12" s="1"/>
  <c r="M120" i="12"/>
  <c r="M78" i="12" s="1"/>
  <c r="M111" i="12"/>
  <c r="M69" i="12" s="1"/>
  <c r="M93" i="12"/>
  <c r="M51" i="12" s="1"/>
  <c r="M97" i="12"/>
  <c r="M55" i="12" s="1"/>
  <c r="M125" i="12"/>
  <c r="M83" i="12" s="1"/>
  <c r="J95" i="12"/>
  <c r="J53" i="12" s="1"/>
  <c r="J103" i="12"/>
  <c r="J61" i="12" s="1"/>
  <c r="J113" i="12"/>
  <c r="J71" i="12" s="1"/>
  <c r="J115" i="12"/>
  <c r="J73" i="12" s="1"/>
  <c r="J117" i="12"/>
  <c r="J75" i="12" s="1"/>
  <c r="J121" i="12"/>
  <c r="J79" i="12" s="1"/>
  <c r="J127" i="12"/>
  <c r="J85" i="12" s="1"/>
  <c r="J96" i="12"/>
  <c r="J54" i="12" s="1"/>
  <c r="J100" i="12"/>
  <c r="J58" i="12" s="1"/>
  <c r="J112" i="12"/>
  <c r="J70" i="12" s="1"/>
  <c r="J98" i="12"/>
  <c r="J56" i="12" s="1"/>
  <c r="J106" i="12"/>
  <c r="J64" i="12" s="1"/>
  <c r="J110" i="12"/>
  <c r="J68" i="12" s="1"/>
  <c r="J114" i="12"/>
  <c r="J72" i="12" s="1"/>
  <c r="J126" i="12"/>
  <c r="J84" i="12" s="1"/>
  <c r="K102" i="12"/>
  <c r="K60" i="12" s="1"/>
  <c r="K108" i="12"/>
  <c r="K66" i="12" s="1"/>
  <c r="K118" i="12"/>
  <c r="K76" i="12" s="1"/>
  <c r="K101" i="12"/>
  <c r="K59" i="12" s="1"/>
  <c r="K107" i="12"/>
  <c r="K65" i="12" s="1"/>
  <c r="K123" i="12"/>
  <c r="K81" i="12" s="1"/>
  <c r="J93" i="12"/>
  <c r="J51" i="12" s="1"/>
  <c r="J97" i="12"/>
  <c r="J55" i="12" s="1"/>
  <c r="J111" i="12"/>
  <c r="J69" i="12" s="1"/>
  <c r="J125" i="12"/>
  <c r="J83" i="12" s="1"/>
  <c r="J92" i="12"/>
  <c r="J50" i="12" s="1"/>
  <c r="J116" i="12"/>
  <c r="J74" i="12" s="1"/>
  <c r="J120" i="12"/>
  <c r="J78" i="12" s="1"/>
  <c r="J90" i="12"/>
  <c r="J48" i="12" s="1"/>
  <c r="D57" i="12"/>
  <c r="L105" i="12"/>
  <c r="L63" i="12" s="1"/>
  <c r="L109" i="12"/>
  <c r="L67" i="12" s="1"/>
  <c r="L119" i="12"/>
  <c r="L77" i="12" s="1"/>
  <c r="L94" i="12"/>
  <c r="L52" i="12" s="1"/>
  <c r="L122" i="12"/>
  <c r="L80" i="12" s="1"/>
  <c r="L104" i="12"/>
  <c r="L62" i="12" s="1"/>
  <c r="L124" i="12"/>
  <c r="L82" i="12" s="1"/>
  <c r="M96" i="12"/>
  <c r="M54" i="12" s="1"/>
  <c r="M98" i="12"/>
  <c r="M56" i="12" s="1"/>
  <c r="M100" i="12"/>
  <c r="M58" i="12" s="1"/>
  <c r="M106" i="12"/>
  <c r="M64" i="12" s="1"/>
  <c r="M110" i="12"/>
  <c r="M68" i="12" s="1"/>
  <c r="M112" i="12"/>
  <c r="M70" i="12" s="1"/>
  <c r="M114" i="12"/>
  <c r="M72" i="12" s="1"/>
  <c r="M126" i="12"/>
  <c r="M84" i="12" s="1"/>
  <c r="M95" i="12"/>
  <c r="M53" i="12" s="1"/>
  <c r="M103" i="12"/>
  <c r="M61" i="12" s="1"/>
  <c r="M115" i="12"/>
  <c r="M73" i="12" s="1"/>
  <c r="M127" i="12"/>
  <c r="M85" i="12" s="1"/>
  <c r="M113" i="12"/>
  <c r="M71" i="12" s="1"/>
  <c r="M117" i="12"/>
  <c r="M75" i="12" s="1"/>
  <c r="M121" i="12"/>
  <c r="M79" i="12" s="1"/>
  <c r="H95" i="12"/>
  <c r="H53" i="12" s="1"/>
  <c r="H103" i="12"/>
  <c r="H61" i="12" s="1"/>
  <c r="H113" i="12"/>
  <c r="H71" i="12" s="1"/>
  <c r="H115" i="12"/>
  <c r="H73" i="12" s="1"/>
  <c r="H117" i="12"/>
  <c r="H75" i="12" s="1"/>
  <c r="H121" i="12"/>
  <c r="H79" i="12" s="1"/>
  <c r="H127" i="12"/>
  <c r="H85" i="12" s="1"/>
  <c r="I135" i="12"/>
  <c r="H98" i="12"/>
  <c r="H56" i="12" s="1"/>
  <c r="H106" i="12"/>
  <c r="H64" i="12" s="1"/>
  <c r="H110" i="12"/>
  <c r="H68" i="12" s="1"/>
  <c r="H114" i="12"/>
  <c r="H72" i="12" s="1"/>
  <c r="H126" i="12"/>
  <c r="H84" i="12" s="1"/>
  <c r="H96" i="12"/>
  <c r="H54" i="12" s="1"/>
  <c r="H100" i="12"/>
  <c r="H58" i="12" s="1"/>
  <c r="H112" i="12"/>
  <c r="H70" i="12" s="1"/>
  <c r="E96" i="12"/>
  <c r="E54" i="12" s="1"/>
  <c r="E98" i="12"/>
  <c r="E56" i="12" s="1"/>
  <c r="E100" i="12"/>
  <c r="E58" i="12" s="1"/>
  <c r="E106" i="12"/>
  <c r="E64" i="12" s="1"/>
  <c r="E110" i="12"/>
  <c r="E68" i="12" s="1"/>
  <c r="E112" i="12"/>
  <c r="E70" i="12" s="1"/>
  <c r="E114" i="12"/>
  <c r="E72" i="12" s="1"/>
  <c r="E126" i="12"/>
  <c r="E84" i="12" s="1"/>
  <c r="E95" i="12"/>
  <c r="E53" i="12" s="1"/>
  <c r="E103" i="12"/>
  <c r="E61" i="12" s="1"/>
  <c r="E115" i="12"/>
  <c r="E73" i="12" s="1"/>
  <c r="E127" i="12"/>
  <c r="E85" i="12" s="1"/>
  <c r="E113" i="12"/>
  <c r="E71" i="12" s="1"/>
  <c r="E117" i="12"/>
  <c r="E75" i="12" s="1"/>
  <c r="E121" i="12"/>
  <c r="E79" i="12" s="1"/>
  <c r="D105" i="12"/>
  <c r="D109" i="12"/>
  <c r="D119" i="12"/>
  <c r="C133" i="12"/>
  <c r="D94" i="12"/>
  <c r="D122" i="12"/>
  <c r="D104" i="12"/>
  <c r="D124" i="12"/>
  <c r="F105" i="12"/>
  <c r="F63" i="12" s="1"/>
  <c r="F109" i="12"/>
  <c r="F67" i="12" s="1"/>
  <c r="F119" i="12"/>
  <c r="F77" i="12" s="1"/>
  <c r="F104" i="12"/>
  <c r="F62" i="12" s="1"/>
  <c r="F124" i="12"/>
  <c r="F82" i="12" s="1"/>
  <c r="F94" i="12"/>
  <c r="F52" i="12" s="1"/>
  <c r="F122" i="12"/>
  <c r="F80" i="12" s="1"/>
  <c r="I91" i="12"/>
  <c r="I49" i="12" s="1"/>
  <c r="I99" i="12"/>
  <c r="I57" i="12" s="1"/>
  <c r="F95" i="12"/>
  <c r="F53" i="12" s="1"/>
  <c r="F103" i="12"/>
  <c r="F61" i="12" s="1"/>
  <c r="F113" i="12"/>
  <c r="F71" i="12" s="1"/>
  <c r="F115" i="12"/>
  <c r="F73" i="12" s="1"/>
  <c r="F117" i="12"/>
  <c r="F75" i="12" s="1"/>
  <c r="F121" i="12"/>
  <c r="F79" i="12" s="1"/>
  <c r="F127" i="12"/>
  <c r="F85" i="12" s="1"/>
  <c r="F96" i="12"/>
  <c r="F54" i="12" s="1"/>
  <c r="F100" i="12"/>
  <c r="F58" i="12" s="1"/>
  <c r="F112" i="12"/>
  <c r="F70" i="12" s="1"/>
  <c r="F98" i="12"/>
  <c r="F56" i="12" s="1"/>
  <c r="F106" i="12"/>
  <c r="F64" i="12" s="1"/>
  <c r="F110" i="12"/>
  <c r="F68" i="12" s="1"/>
  <c r="F114" i="12"/>
  <c r="F72" i="12" s="1"/>
  <c r="F126" i="12"/>
  <c r="F84" i="12" s="1"/>
  <c r="I94" i="12"/>
  <c r="I52" i="12" s="1"/>
  <c r="I104" i="12"/>
  <c r="I62" i="12" s="1"/>
  <c r="I122" i="12"/>
  <c r="I80" i="12" s="1"/>
  <c r="I124" i="12"/>
  <c r="I82" i="12" s="1"/>
  <c r="I119" i="12"/>
  <c r="I77" i="12" s="1"/>
  <c r="I105" i="12"/>
  <c r="I63" i="12" s="1"/>
  <c r="I109" i="12"/>
  <c r="I67" i="12" s="1"/>
  <c r="D70" i="12"/>
  <c r="D54" i="12"/>
  <c r="D72" i="12"/>
  <c r="D64" i="12"/>
  <c r="C135" i="12"/>
  <c r="D79" i="12"/>
  <c r="D73" i="12"/>
  <c r="D61" i="12"/>
  <c r="M102" i="12"/>
  <c r="M60" i="12" s="1"/>
  <c r="M108" i="12"/>
  <c r="M66" i="12" s="1"/>
  <c r="M118" i="12"/>
  <c r="M76" i="12" s="1"/>
  <c r="M107" i="12"/>
  <c r="M65" i="12" s="1"/>
  <c r="M123" i="12"/>
  <c r="M81" i="12" s="1"/>
  <c r="M101" i="12"/>
  <c r="M59" i="12" s="1"/>
  <c r="H101" i="12"/>
  <c r="H59" i="12" s="1"/>
  <c r="H107" i="12"/>
  <c r="H65" i="12" s="1"/>
  <c r="H123" i="12"/>
  <c r="H81" i="12" s="1"/>
  <c r="H102" i="12"/>
  <c r="H60" i="12" s="1"/>
  <c r="H118" i="12"/>
  <c r="H76" i="12" s="1"/>
  <c r="I134" i="12"/>
  <c r="H108" i="12"/>
  <c r="H66" i="12" s="1"/>
  <c r="K94" i="12"/>
  <c r="K52" i="12" s="1"/>
  <c r="K104" i="12"/>
  <c r="K62" i="12" s="1"/>
  <c r="K122" i="12"/>
  <c r="K80" i="12" s="1"/>
  <c r="K124" i="12"/>
  <c r="K82" i="12" s="1"/>
  <c r="K105" i="12"/>
  <c r="K63" i="12" s="1"/>
  <c r="K109" i="12"/>
  <c r="K67" i="12" s="1"/>
  <c r="K119" i="12"/>
  <c r="K77" i="12" s="1"/>
  <c r="D93" i="12"/>
  <c r="D97" i="12"/>
  <c r="D111" i="12"/>
  <c r="D125" i="12"/>
  <c r="D90" i="12"/>
  <c r="C132" i="12"/>
  <c r="D92" i="12"/>
  <c r="D116" i="12"/>
  <c r="D120" i="12"/>
  <c r="F93" i="12"/>
  <c r="F51" i="12" s="1"/>
  <c r="F97" i="12"/>
  <c r="F55" i="12" s="1"/>
  <c r="F111" i="12"/>
  <c r="F69" i="12" s="1"/>
  <c r="F125" i="12"/>
  <c r="F83" i="12" s="1"/>
  <c r="F92" i="12"/>
  <c r="F50" i="12" s="1"/>
  <c r="F116" i="12"/>
  <c r="F74" i="12" s="1"/>
  <c r="F120" i="12"/>
  <c r="F78" i="12" s="1"/>
  <c r="F90" i="12"/>
  <c r="F48" i="12" s="1"/>
  <c r="C131" i="12"/>
  <c r="D49" i="12"/>
  <c r="C91" i="12"/>
  <c r="F101" i="12"/>
  <c r="F59" i="12" s="1"/>
  <c r="F107" i="12"/>
  <c r="F65" i="12" s="1"/>
  <c r="F123" i="12"/>
  <c r="F81" i="12" s="1"/>
  <c r="F108" i="12"/>
  <c r="F66" i="12" s="1"/>
  <c r="F102" i="12"/>
  <c r="F60" i="12" s="1"/>
  <c r="F118" i="12"/>
  <c r="F76" i="12" s="1"/>
  <c r="G94" i="12"/>
  <c r="G52" i="12" s="1"/>
  <c r="G104" i="12"/>
  <c r="G62" i="12" s="1"/>
  <c r="G122" i="12"/>
  <c r="G80" i="12" s="1"/>
  <c r="G124" i="12"/>
  <c r="G82" i="12" s="1"/>
  <c r="G105" i="12"/>
  <c r="G63" i="12" s="1"/>
  <c r="G109" i="12"/>
  <c r="G67" i="12" s="1"/>
  <c r="G119" i="12"/>
  <c r="G77" i="12" s="1"/>
  <c r="K96" i="12"/>
  <c r="K54" i="12" s="1"/>
  <c r="K98" i="12"/>
  <c r="K56" i="12" s="1"/>
  <c r="K100" i="12"/>
  <c r="K58" i="12" s="1"/>
  <c r="K106" i="12"/>
  <c r="K64" i="12" s="1"/>
  <c r="K110" i="12"/>
  <c r="K68" i="12" s="1"/>
  <c r="K112" i="12"/>
  <c r="K70" i="12" s="1"/>
  <c r="K114" i="12"/>
  <c r="K72" i="12" s="1"/>
  <c r="K126" i="12"/>
  <c r="K84" i="12" s="1"/>
  <c r="K113" i="12"/>
  <c r="K71" i="12" s="1"/>
  <c r="K117" i="12"/>
  <c r="K75" i="12" s="1"/>
  <c r="K121" i="12"/>
  <c r="K79" i="12" s="1"/>
  <c r="K95" i="12"/>
  <c r="K53" i="12" s="1"/>
  <c r="K103" i="12"/>
  <c r="K61" i="12" s="1"/>
  <c r="K115" i="12"/>
  <c r="K73" i="12" s="1"/>
  <c r="K127" i="12"/>
  <c r="K85" i="12" s="1"/>
  <c r="L101" i="12"/>
  <c r="L59" i="12" s="1"/>
  <c r="L107" i="12"/>
  <c r="L65" i="12" s="1"/>
  <c r="L123" i="12"/>
  <c r="L81" i="12" s="1"/>
  <c r="L102" i="12"/>
  <c r="L60" i="12" s="1"/>
  <c r="L118" i="12"/>
  <c r="L76" i="12" s="1"/>
  <c r="L108" i="12"/>
  <c r="L66" i="12" s="1"/>
  <c r="K86" i="12"/>
  <c r="D101" i="12"/>
  <c r="D107" i="12"/>
  <c r="D123" i="12"/>
  <c r="D102" i="12"/>
  <c r="D118" i="12"/>
  <c r="D108" i="12"/>
  <c r="C134" i="12"/>
  <c r="C74" i="13"/>
  <c r="G96" i="12"/>
  <c r="G54" i="12" s="1"/>
  <c r="G98" i="12"/>
  <c r="G56" i="12" s="1"/>
  <c r="G100" i="12"/>
  <c r="G58" i="12" s="1"/>
  <c r="G106" i="12"/>
  <c r="G64" i="12" s="1"/>
  <c r="G110" i="12"/>
  <c r="G68" i="12" s="1"/>
  <c r="G112" i="12"/>
  <c r="G70" i="12" s="1"/>
  <c r="G114" i="12"/>
  <c r="G72" i="12" s="1"/>
  <c r="G126" i="12"/>
  <c r="G84" i="12" s="1"/>
  <c r="G113" i="12"/>
  <c r="G71" i="12" s="1"/>
  <c r="G117" i="12"/>
  <c r="G75" i="12" s="1"/>
  <c r="G121" i="12"/>
  <c r="G79" i="12" s="1"/>
  <c r="G95" i="12"/>
  <c r="G53" i="12" s="1"/>
  <c r="G103" i="12"/>
  <c r="G61" i="12" s="1"/>
  <c r="G115" i="12"/>
  <c r="G73" i="12" s="1"/>
  <c r="G127" i="12"/>
  <c r="G85" i="12" s="1"/>
  <c r="I90" i="12"/>
  <c r="I48" i="12" s="1"/>
  <c r="I92" i="12"/>
  <c r="I50" i="12" s="1"/>
  <c r="I116" i="12"/>
  <c r="I74" i="12" s="1"/>
  <c r="I120" i="12"/>
  <c r="I78" i="12" s="1"/>
  <c r="I111" i="12"/>
  <c r="I69" i="12" s="1"/>
  <c r="I93" i="12"/>
  <c r="I51" i="12" s="1"/>
  <c r="I97" i="12"/>
  <c r="I55" i="12" s="1"/>
  <c r="I125" i="12"/>
  <c r="I83" i="12" s="1"/>
  <c r="L86" i="12"/>
  <c r="D58" i="12"/>
  <c r="D84" i="12"/>
  <c r="D68" i="12"/>
  <c r="D56" i="12"/>
  <c r="D85" i="12"/>
  <c r="D75" i="12"/>
  <c r="D71" i="12"/>
  <c r="D53" i="12"/>
  <c r="C54" i="11"/>
  <c r="C64" i="11"/>
  <c r="C80" i="11"/>
  <c r="C59" i="11"/>
  <c r="C71" i="11"/>
  <c r="C66" i="11"/>
  <c r="C82" i="11"/>
  <c r="D90" i="10"/>
  <c r="D92" i="10"/>
  <c r="D116" i="10"/>
  <c r="D120" i="10"/>
  <c r="C132" i="10"/>
  <c r="D111" i="10"/>
  <c r="D93" i="10"/>
  <c r="D97" i="10"/>
  <c r="D125" i="10"/>
  <c r="K93" i="10"/>
  <c r="K51" i="10" s="1"/>
  <c r="K97" i="10"/>
  <c r="K55" i="10" s="1"/>
  <c r="K111" i="10"/>
  <c r="K69" i="10" s="1"/>
  <c r="K125" i="10"/>
  <c r="K83" i="10" s="1"/>
  <c r="K90" i="10"/>
  <c r="K48" i="10" s="1"/>
  <c r="K92" i="10"/>
  <c r="K50" i="10" s="1"/>
  <c r="K116" i="10"/>
  <c r="K74" i="10" s="1"/>
  <c r="K120" i="10"/>
  <c r="K78" i="10" s="1"/>
  <c r="D59" i="10"/>
  <c r="D65" i="10"/>
  <c r="D76" i="10"/>
  <c r="D60" i="10"/>
  <c r="K86" i="11"/>
  <c r="C51" i="11"/>
  <c r="C67" i="11"/>
  <c r="C83" i="11"/>
  <c r="C55" i="11"/>
  <c r="C69" i="11"/>
  <c r="C77" i="11"/>
  <c r="F90" i="10"/>
  <c r="F48" i="10" s="1"/>
  <c r="F92" i="10"/>
  <c r="F50" i="10" s="1"/>
  <c r="F116" i="10"/>
  <c r="F74" i="10" s="1"/>
  <c r="F120" i="10"/>
  <c r="F78" i="10" s="1"/>
  <c r="F93" i="10"/>
  <c r="F51" i="10" s="1"/>
  <c r="F97" i="10"/>
  <c r="F55" i="10" s="1"/>
  <c r="F125" i="10"/>
  <c r="F83" i="10" s="1"/>
  <c r="F111" i="10"/>
  <c r="F69" i="10" s="1"/>
  <c r="D49" i="10"/>
  <c r="C91" i="10"/>
  <c r="C114" i="11"/>
  <c r="C60" i="11"/>
  <c r="C107" i="11"/>
  <c r="C81" i="11"/>
  <c r="J86" i="11"/>
  <c r="G93" i="10"/>
  <c r="G51" i="10" s="1"/>
  <c r="G97" i="10"/>
  <c r="G55" i="10" s="1"/>
  <c r="G111" i="10"/>
  <c r="G69" i="10" s="1"/>
  <c r="G125" i="10"/>
  <c r="G83" i="10" s="1"/>
  <c r="G90" i="10"/>
  <c r="G48" i="10" s="1"/>
  <c r="G92" i="10"/>
  <c r="G50" i="10" s="1"/>
  <c r="G116" i="10"/>
  <c r="G74" i="10" s="1"/>
  <c r="G120" i="10"/>
  <c r="G78" i="10" s="1"/>
  <c r="J96" i="10"/>
  <c r="J54" i="10" s="1"/>
  <c r="J98" i="10"/>
  <c r="J56" i="10" s="1"/>
  <c r="J100" i="10"/>
  <c r="J58" i="10" s="1"/>
  <c r="J106" i="10"/>
  <c r="J64" i="10" s="1"/>
  <c r="J110" i="10"/>
  <c r="J68" i="10" s="1"/>
  <c r="J112" i="10"/>
  <c r="J70" i="10" s="1"/>
  <c r="J114" i="10"/>
  <c r="J72" i="10" s="1"/>
  <c r="J126" i="10"/>
  <c r="J84" i="10" s="1"/>
  <c r="J113" i="10"/>
  <c r="J71" i="10" s="1"/>
  <c r="J117" i="10"/>
  <c r="J75" i="10" s="1"/>
  <c r="J121" i="10"/>
  <c r="J79" i="10" s="1"/>
  <c r="J95" i="10"/>
  <c r="J53" i="10" s="1"/>
  <c r="J103" i="10"/>
  <c r="J61" i="10" s="1"/>
  <c r="J115" i="10"/>
  <c r="J73" i="10" s="1"/>
  <c r="J127" i="10"/>
  <c r="J85" i="10" s="1"/>
  <c r="I101" i="10"/>
  <c r="I59" i="10" s="1"/>
  <c r="I107" i="10"/>
  <c r="I65" i="10" s="1"/>
  <c r="I123" i="10"/>
  <c r="I81" i="10" s="1"/>
  <c r="I108" i="10"/>
  <c r="I66" i="10" s="1"/>
  <c r="I102" i="10"/>
  <c r="I60" i="10" s="1"/>
  <c r="I118" i="10"/>
  <c r="I76" i="10" s="1"/>
  <c r="G86" i="11"/>
  <c r="C68" i="11"/>
  <c r="C49" i="11"/>
  <c r="C92" i="11"/>
  <c r="H48" i="11"/>
  <c r="I90" i="11"/>
  <c r="I48" i="11" s="1"/>
  <c r="E86" i="11"/>
  <c r="C53" i="11"/>
  <c r="L96" i="10"/>
  <c r="L54" i="10" s="1"/>
  <c r="L98" i="10"/>
  <c r="L56" i="10" s="1"/>
  <c r="L100" i="10"/>
  <c r="L58" i="10" s="1"/>
  <c r="L106" i="10"/>
  <c r="L64" i="10" s="1"/>
  <c r="L110" i="10"/>
  <c r="L68" i="10" s="1"/>
  <c r="L112" i="10"/>
  <c r="L70" i="10" s="1"/>
  <c r="L114" i="10"/>
  <c r="L72" i="10" s="1"/>
  <c r="L126" i="10"/>
  <c r="L84" i="10" s="1"/>
  <c r="L95" i="10"/>
  <c r="L53" i="10" s="1"/>
  <c r="L103" i="10"/>
  <c r="L61" i="10" s="1"/>
  <c r="L115" i="10"/>
  <c r="L73" i="10" s="1"/>
  <c r="L127" i="10"/>
  <c r="L85" i="10" s="1"/>
  <c r="L113" i="10"/>
  <c r="L71" i="10" s="1"/>
  <c r="L117" i="10"/>
  <c r="L75" i="10" s="1"/>
  <c r="L121" i="10"/>
  <c r="L79" i="10" s="1"/>
  <c r="I105" i="10"/>
  <c r="I63" i="10" s="1"/>
  <c r="I109" i="10"/>
  <c r="I67" i="10" s="1"/>
  <c r="I119" i="10"/>
  <c r="I77" i="10" s="1"/>
  <c r="I104" i="10"/>
  <c r="I62" i="10" s="1"/>
  <c r="I124" i="10"/>
  <c r="I82" i="10" s="1"/>
  <c r="I94" i="10"/>
  <c r="I52" i="10" s="1"/>
  <c r="I122" i="10"/>
  <c r="I80" i="10" s="1"/>
  <c r="D75" i="10"/>
  <c r="D85" i="10"/>
  <c r="D61" i="10"/>
  <c r="D84" i="10"/>
  <c r="D70" i="10"/>
  <c r="D64" i="10"/>
  <c r="D56" i="10"/>
  <c r="C106" i="11"/>
  <c r="C63" i="11"/>
  <c r="C113" i="11"/>
  <c r="C79" i="11"/>
  <c r="E101" i="10"/>
  <c r="E59" i="10" s="1"/>
  <c r="E107" i="10"/>
  <c r="E65" i="10" s="1"/>
  <c r="E123" i="10"/>
  <c r="E81" i="10" s="1"/>
  <c r="E108" i="10"/>
  <c r="E66" i="10" s="1"/>
  <c r="E102" i="10"/>
  <c r="E60" i="10" s="1"/>
  <c r="E118" i="10"/>
  <c r="E76" i="10" s="1"/>
  <c r="C74" i="11"/>
  <c r="D48" i="11"/>
  <c r="C90" i="11"/>
  <c r="C73" i="11"/>
  <c r="D94" i="10"/>
  <c r="D104" i="10"/>
  <c r="D122" i="10"/>
  <c r="D124" i="10"/>
  <c r="D119" i="10"/>
  <c r="C133" i="10"/>
  <c r="D105" i="10"/>
  <c r="D109" i="10"/>
  <c r="F96" i="10"/>
  <c r="F54" i="10" s="1"/>
  <c r="F98" i="10"/>
  <c r="F56" i="10" s="1"/>
  <c r="F100" i="10"/>
  <c r="F58" i="10" s="1"/>
  <c r="F106" i="10"/>
  <c r="F64" i="10" s="1"/>
  <c r="F110" i="10"/>
  <c r="F68" i="10" s="1"/>
  <c r="F112" i="10"/>
  <c r="F70" i="10" s="1"/>
  <c r="F114" i="10"/>
  <c r="F72" i="10" s="1"/>
  <c r="F126" i="10"/>
  <c r="F84" i="10" s="1"/>
  <c r="F113" i="10"/>
  <c r="F71" i="10" s="1"/>
  <c r="F117" i="10"/>
  <c r="F75" i="10" s="1"/>
  <c r="F121" i="10"/>
  <c r="F79" i="10" s="1"/>
  <c r="F95" i="10"/>
  <c r="F53" i="10" s="1"/>
  <c r="F103" i="10"/>
  <c r="F61" i="10" s="1"/>
  <c r="F115" i="10"/>
  <c r="F73" i="10" s="1"/>
  <c r="F127" i="10"/>
  <c r="F85" i="10" s="1"/>
  <c r="D81" i="10"/>
  <c r="C134" i="10"/>
  <c r="D66" i="10"/>
  <c r="C108" i="10"/>
  <c r="F86" i="11"/>
  <c r="L86" i="11"/>
  <c r="C93" i="11"/>
  <c r="C75" i="11"/>
  <c r="C62" i="11"/>
  <c r="C70" i="11"/>
  <c r="C78" i="11"/>
  <c r="C56" i="11"/>
  <c r="C85" i="11"/>
  <c r="H96" i="10"/>
  <c r="H54" i="10" s="1"/>
  <c r="H98" i="10"/>
  <c r="H56" i="10" s="1"/>
  <c r="H100" i="10"/>
  <c r="H58" i="10" s="1"/>
  <c r="H106" i="10"/>
  <c r="H64" i="10" s="1"/>
  <c r="H110" i="10"/>
  <c r="H68" i="10" s="1"/>
  <c r="H112" i="10"/>
  <c r="H70" i="10" s="1"/>
  <c r="H114" i="10"/>
  <c r="H72" i="10" s="1"/>
  <c r="H126" i="10"/>
  <c r="H84" i="10" s="1"/>
  <c r="H95" i="10"/>
  <c r="H53" i="10" s="1"/>
  <c r="H103" i="10"/>
  <c r="H61" i="10" s="1"/>
  <c r="H115" i="10"/>
  <c r="H73" i="10" s="1"/>
  <c r="H127" i="10"/>
  <c r="H85" i="10" s="1"/>
  <c r="I135" i="10"/>
  <c r="H113" i="10"/>
  <c r="H71" i="10" s="1"/>
  <c r="H117" i="10"/>
  <c r="H75" i="10" s="1"/>
  <c r="H121" i="10"/>
  <c r="H79" i="10" s="1"/>
  <c r="K95" i="10"/>
  <c r="K53" i="10" s="1"/>
  <c r="K103" i="10"/>
  <c r="K61" i="10" s="1"/>
  <c r="K113" i="10"/>
  <c r="K71" i="10" s="1"/>
  <c r="K115" i="10"/>
  <c r="K73" i="10" s="1"/>
  <c r="K117" i="10"/>
  <c r="K75" i="10" s="1"/>
  <c r="K121" i="10"/>
  <c r="K79" i="10" s="1"/>
  <c r="K127" i="10"/>
  <c r="K85" i="10" s="1"/>
  <c r="K98" i="10"/>
  <c r="K56" i="10" s="1"/>
  <c r="K106" i="10"/>
  <c r="K64" i="10" s="1"/>
  <c r="K110" i="10"/>
  <c r="K68" i="10" s="1"/>
  <c r="K114" i="10"/>
  <c r="K72" i="10" s="1"/>
  <c r="K126" i="10"/>
  <c r="K84" i="10" s="1"/>
  <c r="K96" i="10"/>
  <c r="K54" i="10" s="1"/>
  <c r="K100" i="10"/>
  <c r="K58" i="10" s="1"/>
  <c r="K112" i="10"/>
  <c r="K70" i="10" s="1"/>
  <c r="J90" i="10"/>
  <c r="J48" i="10" s="1"/>
  <c r="J92" i="10"/>
  <c r="J50" i="10" s="1"/>
  <c r="J116" i="10"/>
  <c r="J74" i="10" s="1"/>
  <c r="J120" i="10"/>
  <c r="J78" i="10" s="1"/>
  <c r="J93" i="10"/>
  <c r="J51" i="10" s="1"/>
  <c r="J97" i="10"/>
  <c r="J55" i="10" s="1"/>
  <c r="J125" i="10"/>
  <c r="J83" i="10" s="1"/>
  <c r="J111" i="10"/>
  <c r="J69" i="10" s="1"/>
  <c r="D57" i="10"/>
  <c r="C99" i="10"/>
  <c r="C72" i="11"/>
  <c r="C57" i="11"/>
  <c r="C58" i="11"/>
  <c r="C61" i="11"/>
  <c r="C65" i="11"/>
  <c r="C123" i="11"/>
  <c r="M95" i="10"/>
  <c r="M53" i="10" s="1"/>
  <c r="M103" i="10"/>
  <c r="M61" i="10" s="1"/>
  <c r="M113" i="10"/>
  <c r="M71" i="10" s="1"/>
  <c r="M115" i="10"/>
  <c r="M73" i="10" s="1"/>
  <c r="M117" i="10"/>
  <c r="M75" i="10" s="1"/>
  <c r="M121" i="10"/>
  <c r="M79" i="10" s="1"/>
  <c r="M127" i="10"/>
  <c r="M85" i="10" s="1"/>
  <c r="M96" i="10"/>
  <c r="M54" i="10" s="1"/>
  <c r="M100" i="10"/>
  <c r="M58" i="10" s="1"/>
  <c r="M112" i="10"/>
  <c r="M70" i="10" s="1"/>
  <c r="M98" i="10"/>
  <c r="M56" i="10" s="1"/>
  <c r="M106" i="10"/>
  <c r="M64" i="10" s="1"/>
  <c r="M110" i="10"/>
  <c r="M68" i="10" s="1"/>
  <c r="M114" i="10"/>
  <c r="M72" i="10" s="1"/>
  <c r="M126" i="10"/>
  <c r="M84" i="10" s="1"/>
  <c r="M93" i="10"/>
  <c r="M51" i="10" s="1"/>
  <c r="M97" i="10"/>
  <c r="M55" i="10" s="1"/>
  <c r="M111" i="10"/>
  <c r="M69" i="10" s="1"/>
  <c r="M125" i="10"/>
  <c r="M83" i="10" s="1"/>
  <c r="M92" i="10"/>
  <c r="M50" i="10" s="1"/>
  <c r="M116" i="10"/>
  <c r="M74" i="10" s="1"/>
  <c r="M120" i="10"/>
  <c r="M78" i="10" s="1"/>
  <c r="M90" i="10"/>
  <c r="M48" i="10" s="1"/>
  <c r="G95" i="10"/>
  <c r="G53" i="10" s="1"/>
  <c r="G103" i="10"/>
  <c r="G61" i="10" s="1"/>
  <c r="G113" i="10"/>
  <c r="G71" i="10" s="1"/>
  <c r="G115" i="10"/>
  <c r="G73" i="10" s="1"/>
  <c r="G117" i="10"/>
  <c r="G75" i="10" s="1"/>
  <c r="G121" i="10"/>
  <c r="G79" i="10" s="1"/>
  <c r="G127" i="10"/>
  <c r="G85" i="10" s="1"/>
  <c r="G98" i="10"/>
  <c r="G56" i="10" s="1"/>
  <c r="G106" i="10"/>
  <c r="G64" i="10" s="1"/>
  <c r="G110" i="10"/>
  <c r="G68" i="10" s="1"/>
  <c r="G114" i="10"/>
  <c r="G72" i="10" s="1"/>
  <c r="G126" i="10"/>
  <c r="G84" i="10" s="1"/>
  <c r="G96" i="10"/>
  <c r="G54" i="10" s="1"/>
  <c r="G100" i="10"/>
  <c r="G58" i="10" s="1"/>
  <c r="G112" i="10"/>
  <c r="G70" i="10" s="1"/>
  <c r="C110" i="11"/>
  <c r="C76" i="11"/>
  <c r="C84" i="11"/>
  <c r="C91" i="11"/>
  <c r="C52" i="11"/>
  <c r="E95" i="10"/>
  <c r="E53" i="10" s="1"/>
  <c r="E103" i="10"/>
  <c r="E61" i="10" s="1"/>
  <c r="E113" i="10"/>
  <c r="E71" i="10" s="1"/>
  <c r="E115" i="10"/>
  <c r="E73" i="10" s="1"/>
  <c r="E117" i="10"/>
  <c r="E75" i="10" s="1"/>
  <c r="E121" i="10"/>
  <c r="E79" i="10" s="1"/>
  <c r="E127" i="10"/>
  <c r="E85" i="10" s="1"/>
  <c r="E96" i="10"/>
  <c r="E54" i="10" s="1"/>
  <c r="E100" i="10"/>
  <c r="E58" i="10" s="1"/>
  <c r="E112" i="10"/>
  <c r="E70" i="10" s="1"/>
  <c r="E98" i="10"/>
  <c r="E56" i="10" s="1"/>
  <c r="E106" i="10"/>
  <c r="E64" i="10" s="1"/>
  <c r="E110" i="10"/>
  <c r="E68" i="10" s="1"/>
  <c r="E114" i="10"/>
  <c r="E72" i="10" s="1"/>
  <c r="E126" i="10"/>
  <c r="E84" i="10" s="1"/>
  <c r="C50" i="11"/>
  <c r="M86" i="11"/>
  <c r="C95" i="11"/>
  <c r="E86" i="10"/>
  <c r="I93" i="10"/>
  <c r="I51" i="10" s="1"/>
  <c r="I97" i="10"/>
  <c r="I55" i="10" s="1"/>
  <c r="I111" i="10"/>
  <c r="I69" i="10" s="1"/>
  <c r="I125" i="10"/>
  <c r="I83" i="10" s="1"/>
  <c r="I92" i="10"/>
  <c r="I50" i="10" s="1"/>
  <c r="I116" i="10"/>
  <c r="I74" i="10" s="1"/>
  <c r="I120" i="10"/>
  <c r="I78" i="10" s="1"/>
  <c r="I90" i="10"/>
  <c r="I48" i="10" s="1"/>
  <c r="L86" i="10"/>
  <c r="D79" i="10"/>
  <c r="D71" i="10"/>
  <c r="D73" i="10"/>
  <c r="D53" i="10"/>
  <c r="D72" i="10"/>
  <c r="D68" i="10"/>
  <c r="D58" i="10"/>
  <c r="D54" i="10"/>
  <c r="F86" i="14" l="1"/>
  <c r="L86" i="14"/>
  <c r="K86" i="14"/>
  <c r="H86" i="14"/>
  <c r="C132" i="14"/>
  <c r="I125" i="14"/>
  <c r="I83" i="14" s="1"/>
  <c r="I111" i="14"/>
  <c r="I69" i="14" s="1"/>
  <c r="I97" i="14"/>
  <c r="I55" i="14" s="1"/>
  <c r="I93" i="14"/>
  <c r="I51" i="14" s="1"/>
  <c r="I90" i="14"/>
  <c r="I48" i="14" s="1"/>
  <c r="I120" i="14"/>
  <c r="I78" i="14" s="1"/>
  <c r="I116" i="14"/>
  <c r="I74" i="14" s="1"/>
  <c r="I92" i="14"/>
  <c r="I50" i="14" s="1"/>
  <c r="C93" i="14"/>
  <c r="D51" i="14"/>
  <c r="C125" i="14"/>
  <c r="D83" i="14"/>
  <c r="D50" i="14"/>
  <c r="C120" i="14"/>
  <c r="D78" i="14"/>
  <c r="E86" i="14"/>
  <c r="I86" i="15"/>
  <c r="N86" i="14"/>
  <c r="C48" i="15"/>
  <c r="C111" i="14"/>
  <c r="D69" i="14"/>
  <c r="D55" i="14"/>
  <c r="D48" i="14"/>
  <c r="D74" i="14"/>
  <c r="M86" i="14"/>
  <c r="G86" i="14"/>
  <c r="D76" i="12"/>
  <c r="D81" i="12"/>
  <c r="D59" i="12"/>
  <c r="D78" i="12"/>
  <c r="C120" i="12"/>
  <c r="D50" i="12"/>
  <c r="C92" i="12"/>
  <c r="D48" i="12"/>
  <c r="C90" i="12"/>
  <c r="D69" i="12"/>
  <c r="C111" i="12"/>
  <c r="D51" i="12"/>
  <c r="C93" i="12"/>
  <c r="I102" i="12"/>
  <c r="I60" i="12" s="1"/>
  <c r="I108" i="12"/>
  <c r="I66" i="12" s="1"/>
  <c r="I118" i="12"/>
  <c r="I76" i="12" s="1"/>
  <c r="I107" i="12"/>
  <c r="I65" i="12" s="1"/>
  <c r="I123" i="12"/>
  <c r="I81" i="12" s="1"/>
  <c r="I101" i="12"/>
  <c r="I59" i="12" s="1"/>
  <c r="C86" i="13"/>
  <c r="G86" i="12"/>
  <c r="C115" i="12"/>
  <c r="C72" i="12"/>
  <c r="C54" i="12"/>
  <c r="D62" i="12"/>
  <c r="C104" i="12"/>
  <c r="D52" i="12"/>
  <c r="C94" i="12"/>
  <c r="D77" i="12"/>
  <c r="C119" i="12"/>
  <c r="D63" i="12"/>
  <c r="C105" i="12"/>
  <c r="E86" i="12"/>
  <c r="C57" i="12"/>
  <c r="M86" i="12"/>
  <c r="H86" i="12"/>
  <c r="D66" i="12"/>
  <c r="D60" i="12"/>
  <c r="C102" i="12"/>
  <c r="D65" i="12"/>
  <c r="C49" i="12"/>
  <c r="F86" i="12"/>
  <c r="D74" i="12"/>
  <c r="C116" i="12"/>
  <c r="D83" i="12"/>
  <c r="C125" i="12"/>
  <c r="D55" i="12"/>
  <c r="C97" i="12"/>
  <c r="C96" i="12"/>
  <c r="D82" i="12"/>
  <c r="C124" i="12"/>
  <c r="D80" i="12"/>
  <c r="C122" i="12"/>
  <c r="D67" i="12"/>
  <c r="C109" i="12"/>
  <c r="I96" i="12"/>
  <c r="I54" i="12" s="1"/>
  <c r="I98" i="12"/>
  <c r="I100" i="12"/>
  <c r="I106" i="12"/>
  <c r="I64" i="12" s="1"/>
  <c r="I110" i="12"/>
  <c r="I112" i="12"/>
  <c r="I70" i="12" s="1"/>
  <c r="I114" i="12"/>
  <c r="I72" i="12" s="1"/>
  <c r="I126" i="12"/>
  <c r="I95" i="12"/>
  <c r="I103" i="12"/>
  <c r="I115" i="12"/>
  <c r="I73" i="12" s="1"/>
  <c r="I127" i="12"/>
  <c r="I113" i="12"/>
  <c r="I117" i="12"/>
  <c r="I121" i="12"/>
  <c r="C99" i="12"/>
  <c r="J86" i="12"/>
  <c r="M86" i="10"/>
  <c r="C57" i="10"/>
  <c r="J86" i="10"/>
  <c r="I95" i="10"/>
  <c r="I103" i="10"/>
  <c r="I61" i="10" s="1"/>
  <c r="I113" i="10"/>
  <c r="I115" i="10"/>
  <c r="I117" i="10"/>
  <c r="I75" i="10" s="1"/>
  <c r="I121" i="10"/>
  <c r="I127" i="10"/>
  <c r="I85" i="10" s="1"/>
  <c r="I96" i="10"/>
  <c r="I100" i="10"/>
  <c r="I112" i="10"/>
  <c r="I70" i="10" s="1"/>
  <c r="I98" i="10"/>
  <c r="I56" i="10" s="1"/>
  <c r="I106" i="10"/>
  <c r="I64" i="10" s="1"/>
  <c r="I110" i="10"/>
  <c r="I114" i="10"/>
  <c r="I126" i="10"/>
  <c r="I84" i="10" s="1"/>
  <c r="C135" i="10"/>
  <c r="C81" i="10"/>
  <c r="D63" i="10"/>
  <c r="C105" i="10"/>
  <c r="D77" i="10"/>
  <c r="C119" i="10"/>
  <c r="D80" i="10"/>
  <c r="C122" i="10"/>
  <c r="D52" i="10"/>
  <c r="C94" i="10"/>
  <c r="C56" i="10"/>
  <c r="C84" i="10"/>
  <c r="C61" i="10"/>
  <c r="C85" i="10"/>
  <c r="C75" i="10"/>
  <c r="I86" i="11"/>
  <c r="G86" i="10"/>
  <c r="C49" i="10"/>
  <c r="F86" i="10"/>
  <c r="C102" i="10"/>
  <c r="C118" i="10"/>
  <c r="C107" i="10"/>
  <c r="C101" i="10"/>
  <c r="K86" i="10"/>
  <c r="D83" i="10"/>
  <c r="C125" i="10"/>
  <c r="D51" i="10"/>
  <c r="C93" i="10"/>
  <c r="D74" i="10"/>
  <c r="C116" i="10"/>
  <c r="D48" i="10"/>
  <c r="C90" i="10"/>
  <c r="H86" i="10"/>
  <c r="C66" i="10"/>
  <c r="C123" i="10"/>
  <c r="D67" i="10"/>
  <c r="C109" i="10"/>
  <c r="D82" i="10"/>
  <c r="C124" i="10"/>
  <c r="D62" i="10"/>
  <c r="C104" i="10"/>
  <c r="D86" i="11"/>
  <c r="C48" i="11"/>
  <c r="C98" i="10"/>
  <c r="C106" i="10"/>
  <c r="C126" i="10"/>
  <c r="C127" i="10"/>
  <c r="C117" i="10"/>
  <c r="H86" i="11"/>
  <c r="C60" i="10"/>
  <c r="C76" i="10"/>
  <c r="C65" i="10"/>
  <c r="C59" i="10"/>
  <c r="D55" i="10"/>
  <c r="C97" i="10"/>
  <c r="D69" i="10"/>
  <c r="C111" i="10"/>
  <c r="D78" i="10"/>
  <c r="C120" i="10"/>
  <c r="D50" i="10"/>
  <c r="C92" i="10"/>
  <c r="C92" i="14" l="1"/>
  <c r="C74" i="14"/>
  <c r="C48" i="14"/>
  <c r="D86" i="14"/>
  <c r="C55" i="14"/>
  <c r="C69" i="14"/>
  <c r="C86" i="15"/>
  <c r="I86" i="14"/>
  <c r="C116" i="14"/>
  <c r="C90" i="14"/>
  <c r="C97" i="14"/>
  <c r="C78" i="14"/>
  <c r="C50" i="14"/>
  <c r="C83" i="14"/>
  <c r="C51" i="14"/>
  <c r="I75" i="12"/>
  <c r="C117" i="12"/>
  <c r="I85" i="12"/>
  <c r="C127" i="12"/>
  <c r="I61" i="12"/>
  <c r="C103" i="12"/>
  <c r="I84" i="12"/>
  <c r="C126" i="12"/>
  <c r="I56" i="12"/>
  <c r="C98" i="12"/>
  <c r="C67" i="12"/>
  <c r="C80" i="12"/>
  <c r="C82" i="12"/>
  <c r="C106" i="12"/>
  <c r="C65" i="12"/>
  <c r="C60" i="12"/>
  <c r="C66" i="12"/>
  <c r="C63" i="12"/>
  <c r="C77" i="12"/>
  <c r="C52" i="12"/>
  <c r="C62" i="12"/>
  <c r="C70" i="12"/>
  <c r="C64" i="12"/>
  <c r="P29" i="13"/>
  <c r="P33" i="13"/>
  <c r="P12" i="13"/>
  <c r="P18" i="13"/>
  <c r="P20" i="13"/>
  <c r="P7" i="13"/>
  <c r="P5" i="13"/>
  <c r="P9" i="13"/>
  <c r="P22" i="13"/>
  <c r="P26" i="13"/>
  <c r="P25" i="13"/>
  <c r="P24" i="13"/>
  <c r="P6" i="13"/>
  <c r="P30" i="13"/>
  <c r="P28" i="13"/>
  <c r="P15" i="13"/>
  <c r="P39" i="13"/>
  <c r="P14" i="13"/>
  <c r="P17" i="13"/>
  <c r="P36" i="13"/>
  <c r="P41" i="13"/>
  <c r="P42" i="13"/>
  <c r="P32" i="13"/>
  <c r="P13" i="13"/>
  <c r="P27" i="13"/>
  <c r="P8" i="13"/>
  <c r="P23" i="13"/>
  <c r="P16" i="13"/>
  <c r="P38" i="13"/>
  <c r="P11" i="13"/>
  <c r="P10" i="13"/>
  <c r="P35" i="13"/>
  <c r="P40" i="13"/>
  <c r="P21" i="13"/>
  <c r="P19" i="13"/>
  <c r="P34" i="13"/>
  <c r="P37" i="13"/>
  <c r="C51" i="12"/>
  <c r="C69" i="12"/>
  <c r="D86" i="12"/>
  <c r="C48" i="12"/>
  <c r="C50" i="12"/>
  <c r="C78" i="12"/>
  <c r="C59" i="12"/>
  <c r="C81" i="12"/>
  <c r="C76" i="12"/>
  <c r="I79" i="12"/>
  <c r="C121" i="12"/>
  <c r="I71" i="12"/>
  <c r="C113" i="12"/>
  <c r="I53" i="12"/>
  <c r="C95" i="12"/>
  <c r="I68" i="12"/>
  <c r="C110" i="12"/>
  <c r="I58" i="12"/>
  <c r="C100" i="12"/>
  <c r="C112" i="12"/>
  <c r="C114" i="12"/>
  <c r="C73" i="12"/>
  <c r="C55" i="12"/>
  <c r="C83" i="12"/>
  <c r="C74" i="12"/>
  <c r="C107" i="12"/>
  <c r="C108" i="12"/>
  <c r="C101" i="12"/>
  <c r="C123" i="12"/>
  <c r="C118" i="12"/>
  <c r="P31" i="13"/>
  <c r="C86" i="11"/>
  <c r="C52" i="10"/>
  <c r="C80" i="10"/>
  <c r="C77" i="10"/>
  <c r="C63" i="10"/>
  <c r="I72" i="10"/>
  <c r="C114" i="10"/>
  <c r="I54" i="10"/>
  <c r="C96" i="10"/>
  <c r="I79" i="10"/>
  <c r="C121" i="10"/>
  <c r="I73" i="10"/>
  <c r="C115" i="10"/>
  <c r="C50" i="10"/>
  <c r="C78" i="10"/>
  <c r="C69" i="10"/>
  <c r="C55" i="10"/>
  <c r="C103" i="10"/>
  <c r="C112" i="10"/>
  <c r="C62" i="10"/>
  <c r="C82" i="10"/>
  <c r="C67" i="10"/>
  <c r="C48" i="10"/>
  <c r="D86" i="10"/>
  <c r="C74" i="10"/>
  <c r="C51" i="10"/>
  <c r="C83" i="10"/>
  <c r="C70" i="10"/>
  <c r="C64" i="10"/>
  <c r="I68" i="10"/>
  <c r="C110" i="10"/>
  <c r="I58" i="10"/>
  <c r="C100" i="10"/>
  <c r="I71" i="10"/>
  <c r="C113" i="10"/>
  <c r="I53" i="10"/>
  <c r="C95" i="10"/>
  <c r="Q17" i="15" l="1"/>
  <c r="Q9" i="15"/>
  <c r="Q14" i="15"/>
  <c r="Q6" i="15"/>
  <c r="Q12" i="15"/>
  <c r="Q16" i="15"/>
  <c r="Q11" i="15"/>
  <c r="Q10" i="15"/>
  <c r="Q13" i="15"/>
  <c r="Q15" i="15"/>
  <c r="Q8" i="15"/>
  <c r="Q7" i="15"/>
  <c r="Q20" i="15"/>
  <c r="Q36" i="15"/>
  <c r="Q23" i="15"/>
  <c r="Q39" i="15"/>
  <c r="Q18" i="15"/>
  <c r="Q24" i="15"/>
  <c r="Q30" i="15"/>
  <c r="Q19" i="15"/>
  <c r="Q35" i="15"/>
  <c r="Q21" i="15"/>
  <c r="Q34" i="15"/>
  <c r="Q33" i="15"/>
  <c r="Q28" i="15"/>
  <c r="Q40" i="15"/>
  <c r="Q31" i="15"/>
  <c r="Q38" i="15"/>
  <c r="Q37" i="15"/>
  <c r="Q22" i="15"/>
  <c r="Q26" i="15"/>
  <c r="Q32" i="15"/>
  <c r="Q27" i="15"/>
  <c r="Q29" i="15"/>
  <c r="Q42" i="15"/>
  <c r="Q25" i="15"/>
  <c r="Q41" i="15"/>
  <c r="Q5" i="15"/>
  <c r="C86" i="14"/>
  <c r="Q31" i="14" s="1"/>
  <c r="C58" i="12"/>
  <c r="C68" i="12"/>
  <c r="C71" i="12"/>
  <c r="C79" i="12"/>
  <c r="P43" i="13"/>
  <c r="C43" i="13" s="1"/>
  <c r="C56" i="12"/>
  <c r="C84" i="12"/>
  <c r="C61" i="12"/>
  <c r="C85" i="12"/>
  <c r="C75" i="12"/>
  <c r="C53" i="12"/>
  <c r="I86" i="12"/>
  <c r="C86" i="12"/>
  <c r="P39" i="12"/>
  <c r="P24" i="12"/>
  <c r="C68" i="10"/>
  <c r="C73" i="10"/>
  <c r="C79" i="10"/>
  <c r="C54" i="10"/>
  <c r="C72" i="10"/>
  <c r="P41" i="11"/>
  <c r="P29" i="11"/>
  <c r="P42" i="11"/>
  <c r="P35" i="11"/>
  <c r="P19" i="11"/>
  <c r="P25" i="11"/>
  <c r="P17" i="11"/>
  <c r="P34" i="11"/>
  <c r="P12" i="11"/>
  <c r="P39" i="11"/>
  <c r="P28" i="11"/>
  <c r="P37" i="11"/>
  <c r="P11" i="11"/>
  <c r="P7" i="11"/>
  <c r="P22" i="11"/>
  <c r="P14" i="11"/>
  <c r="P30" i="11"/>
  <c r="P6" i="11"/>
  <c r="P24" i="11"/>
  <c r="P33" i="11"/>
  <c r="P15" i="11"/>
  <c r="P13" i="11"/>
  <c r="P27" i="11"/>
  <c r="P32" i="11"/>
  <c r="P31" i="11"/>
  <c r="P36" i="11"/>
  <c r="P10" i="11"/>
  <c r="P38" i="11"/>
  <c r="P26" i="11"/>
  <c r="P23" i="11"/>
  <c r="P16" i="11"/>
  <c r="P21" i="11"/>
  <c r="P9" i="11"/>
  <c r="P18" i="11"/>
  <c r="P20" i="11"/>
  <c r="P40" i="11"/>
  <c r="P8" i="11"/>
  <c r="C53" i="10"/>
  <c r="I86" i="10"/>
  <c r="C71" i="10"/>
  <c r="C58" i="10"/>
  <c r="P5" i="11"/>
  <c r="Q26" i="14" l="1"/>
  <c r="Q35" i="14"/>
  <c r="Q5" i="14"/>
  <c r="Q40" i="14"/>
  <c r="Q43" i="15"/>
  <c r="C43" i="15" s="1"/>
  <c r="N17" i="15" s="1"/>
  <c r="J38" i="15"/>
  <c r="J40" i="15"/>
  <c r="J24" i="15"/>
  <c r="J9" i="15"/>
  <c r="J25" i="15"/>
  <c r="J33" i="15"/>
  <c r="J41" i="15"/>
  <c r="J10" i="15"/>
  <c r="J11" i="15"/>
  <c r="J23" i="15"/>
  <c r="J31" i="15"/>
  <c r="J39" i="15"/>
  <c r="J18" i="15"/>
  <c r="J13" i="15"/>
  <c r="J34" i="15"/>
  <c r="J6" i="15"/>
  <c r="J36" i="15"/>
  <c r="J20" i="15"/>
  <c r="J30" i="15"/>
  <c r="J16" i="15"/>
  <c r="J32" i="15"/>
  <c r="J5" i="15"/>
  <c r="J21" i="15"/>
  <c r="J29" i="15"/>
  <c r="J37" i="15"/>
  <c r="J8" i="15"/>
  <c r="J7" i="15"/>
  <c r="J19" i="15"/>
  <c r="J27" i="15"/>
  <c r="J35" i="15"/>
  <c r="J12" i="15"/>
  <c r="J15" i="15"/>
  <c r="J17" i="15"/>
  <c r="I34" i="15"/>
  <c r="D22" i="15"/>
  <c r="D26" i="15"/>
  <c r="D32" i="15"/>
  <c r="I21" i="15"/>
  <c r="I29" i="15"/>
  <c r="I37" i="15"/>
  <c r="I20" i="15"/>
  <c r="I23" i="15"/>
  <c r="I31" i="15"/>
  <c r="F5" i="15"/>
  <c r="H34" i="15"/>
  <c r="D34" i="15"/>
  <c r="H24" i="15"/>
  <c r="H29" i="15"/>
  <c r="H20" i="15"/>
  <c r="H19" i="15"/>
  <c r="H27" i="15"/>
  <c r="I35" i="15"/>
  <c r="G5" i="15"/>
  <c r="I42" i="15"/>
  <c r="D28" i="15"/>
  <c r="D40" i="15"/>
  <c r="H40" i="15"/>
  <c r="D23" i="15"/>
  <c r="D31" i="15"/>
  <c r="D39" i="15"/>
  <c r="I22" i="15"/>
  <c r="I28" i="15"/>
  <c r="I19" i="15"/>
  <c r="H35" i="15"/>
  <c r="L5" i="15"/>
  <c r="D5" i="15"/>
  <c r="H42" i="15"/>
  <c r="I32" i="15"/>
  <c r="H33" i="15"/>
  <c r="H41" i="15"/>
  <c r="H38" i="15"/>
  <c r="H28" i="15"/>
  <c r="H23" i="15"/>
  <c r="D37" i="15"/>
  <c r="K5" i="15"/>
  <c r="M39" i="15"/>
  <c r="G37" i="15"/>
  <c r="L35" i="15"/>
  <c r="M31" i="15"/>
  <c r="G29" i="15"/>
  <c r="L27" i="15"/>
  <c r="M23" i="15"/>
  <c r="G21" i="15"/>
  <c r="L19" i="15"/>
  <c r="I15" i="15"/>
  <c r="M40" i="15"/>
  <c r="M24" i="15"/>
  <c r="H6" i="15"/>
  <c r="E42" i="15"/>
  <c r="N38" i="15"/>
  <c r="L36" i="15"/>
  <c r="E34" i="15"/>
  <c r="N30" i="15"/>
  <c r="L28" i="15"/>
  <c r="E26" i="15"/>
  <c r="N22" i="15"/>
  <c r="L20" i="15"/>
  <c r="E18" i="15"/>
  <c r="M42" i="15"/>
  <c r="M26" i="15"/>
  <c r="H11" i="15"/>
  <c r="K39" i="15"/>
  <c r="N37" i="15"/>
  <c r="E35" i="15"/>
  <c r="K31" i="15"/>
  <c r="N29" i="15"/>
  <c r="E27" i="15"/>
  <c r="K23" i="15"/>
  <c r="N21" i="15"/>
  <c r="E19" i="15"/>
  <c r="D16" i="15"/>
  <c r="M36" i="15"/>
  <c r="M20" i="15"/>
  <c r="I6" i="15"/>
  <c r="F39" i="15"/>
  <c r="F35" i="15"/>
  <c r="F31" i="15"/>
  <c r="F27" i="15"/>
  <c r="F23" i="15"/>
  <c r="F19" i="15"/>
  <c r="I16" i="15"/>
  <c r="M30" i="15"/>
  <c r="D11" i="15"/>
  <c r="D7" i="15"/>
  <c r="K41" i="15"/>
  <c r="N39" i="15"/>
  <c r="E37" i="15"/>
  <c r="K33" i="15"/>
  <c r="N31" i="15"/>
  <c r="E29" i="15"/>
  <c r="K25" i="15"/>
  <c r="N23" i="15"/>
  <c r="E21" i="15"/>
  <c r="D17" i="15"/>
  <c r="K38" i="15"/>
  <c r="K22" i="15"/>
  <c r="I9" i="15"/>
  <c r="N40" i="15"/>
  <c r="L38" i="15"/>
  <c r="E36" i="15"/>
  <c r="N32" i="15"/>
  <c r="L30" i="15"/>
  <c r="E28" i="15"/>
  <c r="N24" i="15"/>
  <c r="L22" i="15"/>
  <c r="E20" i="15"/>
  <c r="H14" i="15"/>
  <c r="H12" i="15"/>
  <c r="K32" i="15"/>
  <c r="H8" i="15"/>
  <c r="M41" i="15"/>
  <c r="G39" i="15"/>
  <c r="L37" i="15"/>
  <c r="M33" i="15"/>
  <c r="G31" i="15"/>
  <c r="L29" i="15"/>
  <c r="M25" i="15"/>
  <c r="G23" i="15"/>
  <c r="L21" i="15"/>
  <c r="D14" i="15"/>
  <c r="D10" i="15"/>
  <c r="K42" i="15"/>
  <c r="K26" i="15"/>
  <c r="H9" i="15"/>
  <c r="G40" i="15"/>
  <c r="G36" i="15"/>
  <c r="G32" i="15"/>
  <c r="G28" i="15"/>
  <c r="G24" i="15"/>
  <c r="G20" i="15"/>
  <c r="D13" i="15"/>
  <c r="I12" i="15"/>
  <c r="K28" i="15"/>
  <c r="I8" i="15"/>
  <c r="K6" i="15"/>
  <c r="K9" i="15"/>
  <c r="N10" i="15"/>
  <c r="F12" i="15"/>
  <c r="F16" i="15"/>
  <c r="F17" i="15"/>
  <c r="K7" i="15"/>
  <c r="N8" i="15"/>
  <c r="F10" i="15"/>
  <c r="E11" i="15"/>
  <c r="M15" i="15"/>
  <c r="F13" i="15"/>
  <c r="F20" i="15"/>
  <c r="F28" i="15"/>
  <c r="F36" i="15"/>
  <c r="E6" i="15"/>
  <c r="M8" i="15"/>
  <c r="N9" i="15"/>
  <c r="M11" i="15"/>
  <c r="F15" i="15"/>
  <c r="M6" i="15"/>
  <c r="N7" i="15"/>
  <c r="M9" i="15"/>
  <c r="F11" i="15"/>
  <c r="M12" i="15"/>
  <c r="K13" i="15"/>
  <c r="F18" i="15"/>
  <c r="F26" i="15"/>
  <c r="F34" i="15"/>
  <c r="F42" i="15"/>
  <c r="L16" i="15"/>
  <c r="N15" i="15"/>
  <c r="G8" i="15"/>
  <c r="G7" i="15"/>
  <c r="G9" i="15"/>
  <c r="G11" i="15"/>
  <c r="E12" i="15"/>
  <c r="G13" i="15"/>
  <c r="E14" i="15"/>
  <c r="G15" i="15"/>
  <c r="E16" i="15"/>
  <c r="G17" i="15"/>
  <c r="G6" i="15"/>
  <c r="G10" i="15"/>
  <c r="L12" i="15"/>
  <c r="N13" i="15"/>
  <c r="L14" i="15"/>
  <c r="E17" i="15"/>
  <c r="Q30" i="14"/>
  <c r="Q36" i="14"/>
  <c r="Q21" i="14"/>
  <c r="Q41" i="14"/>
  <c r="Q34" i="14"/>
  <c r="Q19" i="14"/>
  <c r="Q18" i="14"/>
  <c r="Q32" i="14"/>
  <c r="Q15" i="14"/>
  <c r="Q29" i="14"/>
  <c r="Q20" i="14"/>
  <c r="Q37" i="14"/>
  <c r="Q16" i="14"/>
  <c r="Q6" i="14"/>
  <c r="Q17" i="14"/>
  <c r="Q10" i="14"/>
  <c r="Q28" i="14"/>
  <c r="Q13" i="14"/>
  <c r="Q27" i="14"/>
  <c r="Q24" i="14"/>
  <c r="Q39" i="14"/>
  <c r="Q42" i="14"/>
  <c r="Q11" i="14"/>
  <c r="Q25" i="14"/>
  <c r="Q14" i="14"/>
  <c r="Q9" i="14"/>
  <c r="Q22" i="14"/>
  <c r="Q23" i="14"/>
  <c r="Q38" i="14"/>
  <c r="Q33" i="14"/>
  <c r="Q12" i="14"/>
  <c r="I5" i="15"/>
  <c r="H5" i="15"/>
  <c r="I18" i="15"/>
  <c r="D18" i="15"/>
  <c r="D24" i="15"/>
  <c r="D30" i="15"/>
  <c r="H32" i="15"/>
  <c r="D19" i="15"/>
  <c r="D27" i="15"/>
  <c r="D35" i="15"/>
  <c r="I30" i="15"/>
  <c r="H36" i="15"/>
  <c r="D21" i="15"/>
  <c r="D29" i="15"/>
  <c r="H39" i="15"/>
  <c r="H18" i="15"/>
  <c r="D42" i="15"/>
  <c r="I40" i="15"/>
  <c r="H21" i="15"/>
  <c r="H30" i="15"/>
  <c r="I36" i="15"/>
  <c r="D25" i="15"/>
  <c r="D33" i="15"/>
  <c r="D41" i="15"/>
  <c r="M5" i="15"/>
  <c r="I26" i="15"/>
  <c r="D20" i="15"/>
  <c r="D36" i="15"/>
  <c r="I24" i="15"/>
  <c r="I25" i="15"/>
  <c r="I33" i="15"/>
  <c r="I41" i="15"/>
  <c r="I38" i="15"/>
  <c r="I27" i="15"/>
  <c r="E5" i="15"/>
  <c r="N5" i="15"/>
  <c r="H26" i="15"/>
  <c r="D38" i="15"/>
  <c r="H25" i="15"/>
  <c r="H37" i="15"/>
  <c r="H22" i="15"/>
  <c r="H31" i="15"/>
  <c r="I39" i="15"/>
  <c r="G41" i="15"/>
  <c r="L39" i="15"/>
  <c r="M35" i="15"/>
  <c r="G33" i="15"/>
  <c r="L31" i="15"/>
  <c r="M27" i="15"/>
  <c r="G25" i="15"/>
  <c r="L23" i="15"/>
  <c r="M19" i="15"/>
  <c r="D15" i="15"/>
  <c r="D12" i="15"/>
  <c r="M32" i="15"/>
  <c r="H10" i="15"/>
  <c r="N42" i="15"/>
  <c r="L40" i="15"/>
  <c r="E38" i="15"/>
  <c r="N34" i="15"/>
  <c r="L32" i="15"/>
  <c r="E30" i="15"/>
  <c r="N26" i="15"/>
  <c r="L24" i="15"/>
  <c r="E22" i="15"/>
  <c r="N18" i="15"/>
  <c r="H16" i="15"/>
  <c r="M34" i="15"/>
  <c r="M18" i="15"/>
  <c r="N41" i="15"/>
  <c r="E39" i="15"/>
  <c r="K35" i="15"/>
  <c r="N33" i="15"/>
  <c r="E31" i="15"/>
  <c r="K27" i="15"/>
  <c r="N25" i="15"/>
  <c r="E23" i="15"/>
  <c r="K19" i="15"/>
  <c r="I17" i="15"/>
  <c r="D8" i="15"/>
  <c r="M28" i="15"/>
  <c r="I10" i="15"/>
  <c r="F41" i="15"/>
  <c r="F37" i="15"/>
  <c r="F33" i="15"/>
  <c r="F29" i="15"/>
  <c r="F25" i="15"/>
  <c r="F21" i="15"/>
  <c r="I14" i="15"/>
  <c r="M38" i="15"/>
  <c r="M22" i="15"/>
  <c r="I11" i="15"/>
  <c r="I7" i="15"/>
  <c r="E41" i="15"/>
  <c r="K37" i="15"/>
  <c r="N35" i="15"/>
  <c r="E33" i="15"/>
  <c r="K29" i="15"/>
  <c r="N27" i="15"/>
  <c r="E25" i="15"/>
  <c r="K21" i="15"/>
  <c r="N19" i="15"/>
  <c r="H17" i="15"/>
  <c r="K30" i="15"/>
  <c r="D9" i="15"/>
  <c r="L42" i="15"/>
  <c r="E40" i="15"/>
  <c r="N36" i="15"/>
  <c r="L34" i="15"/>
  <c r="E32" i="15"/>
  <c r="N28" i="15"/>
  <c r="L26" i="15"/>
  <c r="E24" i="15"/>
  <c r="N20" i="15"/>
  <c r="L18" i="15"/>
  <c r="H13" i="15"/>
  <c r="K40" i="15"/>
  <c r="K24" i="15"/>
  <c r="H7" i="15"/>
  <c r="L41" i="15"/>
  <c r="M37" i="15"/>
  <c r="G35" i="15"/>
  <c r="L33" i="15"/>
  <c r="M29" i="15"/>
  <c r="G27" i="15"/>
  <c r="L25" i="15"/>
  <c r="M21" i="15"/>
  <c r="G19" i="15"/>
  <c r="H15" i="15"/>
  <c r="D6" i="15"/>
  <c r="K34" i="15"/>
  <c r="K18" i="15"/>
  <c r="G42" i="15"/>
  <c r="G38" i="15"/>
  <c r="G34" i="15"/>
  <c r="G30" i="15"/>
  <c r="G26" i="15"/>
  <c r="G22" i="15"/>
  <c r="G18" i="15"/>
  <c r="I13" i="15"/>
  <c r="K36" i="15"/>
  <c r="K20" i="15"/>
  <c r="N6" i="15"/>
  <c r="F8" i="15"/>
  <c r="E9" i="15"/>
  <c r="K10" i="15"/>
  <c r="K15" i="15"/>
  <c r="M13" i="15"/>
  <c r="F6" i="15"/>
  <c r="E7" i="15"/>
  <c r="K8" i="15"/>
  <c r="K11" i="15"/>
  <c r="K12" i="15"/>
  <c r="M16" i="15"/>
  <c r="M17" i="15"/>
  <c r="F24" i="15"/>
  <c r="F32" i="15"/>
  <c r="F40" i="15"/>
  <c r="M7" i="15"/>
  <c r="F9" i="15"/>
  <c r="E10" i="15"/>
  <c r="K14" i="15"/>
  <c r="K17" i="15"/>
  <c r="F7" i="15"/>
  <c r="E8" i="15"/>
  <c r="M10" i="15"/>
  <c r="N11" i="15"/>
  <c r="K16" i="15"/>
  <c r="M14" i="15"/>
  <c r="F22" i="15"/>
  <c r="F30" i="15"/>
  <c r="F38" i="15"/>
  <c r="F14" i="15"/>
  <c r="E15" i="15"/>
  <c r="L8" i="15"/>
  <c r="G12" i="15"/>
  <c r="L7" i="15"/>
  <c r="L9" i="15"/>
  <c r="L11" i="15"/>
  <c r="N12" i="15"/>
  <c r="L13" i="15"/>
  <c r="N14" i="15"/>
  <c r="L15" i="15"/>
  <c r="N16" i="15"/>
  <c r="L17" i="15"/>
  <c r="L6" i="15"/>
  <c r="L10" i="15"/>
  <c r="E13" i="15"/>
  <c r="G14" i="15"/>
  <c r="G16" i="15"/>
  <c r="Q7" i="14"/>
  <c r="Q8" i="14"/>
  <c r="P29" i="12"/>
  <c r="P14" i="12"/>
  <c r="P11" i="12"/>
  <c r="P6" i="12"/>
  <c r="P7" i="12"/>
  <c r="P16" i="12"/>
  <c r="P33" i="12"/>
  <c r="P10" i="12"/>
  <c r="P30" i="12"/>
  <c r="P40" i="12"/>
  <c r="P32" i="12"/>
  <c r="P42" i="12"/>
  <c r="P18" i="12"/>
  <c r="P41" i="12"/>
  <c r="P13" i="12"/>
  <c r="P22" i="12"/>
  <c r="P23" i="12"/>
  <c r="P34" i="12"/>
  <c r="P19" i="12"/>
  <c r="E21" i="13"/>
  <c r="M35" i="13"/>
  <c r="E28" i="13"/>
  <c r="K18" i="13"/>
  <c r="E16" i="13"/>
  <c r="M10" i="13"/>
  <c r="M8" i="13"/>
  <c r="M40" i="13"/>
  <c r="K37" i="13"/>
  <c r="E32" i="13"/>
  <c r="M29" i="13"/>
  <c r="M25" i="13"/>
  <c r="M20" i="13"/>
  <c r="M13" i="13"/>
  <c r="M11" i="13"/>
  <c r="J12" i="13"/>
  <c r="J38" i="13"/>
  <c r="K41" i="13"/>
  <c r="E36" i="13"/>
  <c r="M27" i="13"/>
  <c r="G18" i="13"/>
  <c r="M15" i="13"/>
  <c r="M9" i="13"/>
  <c r="J42" i="13"/>
  <c r="E40" i="13"/>
  <c r="M30" i="13"/>
  <c r="M26" i="13"/>
  <c r="M22" i="13"/>
  <c r="E20" i="13"/>
  <c r="E12" i="13"/>
  <c r="G6" i="13"/>
  <c r="L28" i="13"/>
  <c r="J7" i="13"/>
  <c r="L13" i="13"/>
  <c r="L8" i="13"/>
  <c r="L22" i="13"/>
  <c r="J32" i="13"/>
  <c r="F8" i="13"/>
  <c r="J16" i="13"/>
  <c r="F25" i="13"/>
  <c r="J31" i="13"/>
  <c r="J35" i="13"/>
  <c r="J39" i="13"/>
  <c r="K14" i="13"/>
  <c r="L12" i="13"/>
  <c r="G23" i="13"/>
  <c r="E33" i="13"/>
  <c r="E41" i="13"/>
  <c r="F12" i="13"/>
  <c r="F23" i="13"/>
  <c r="G32" i="13"/>
  <c r="J37" i="13"/>
  <c r="K13" i="13"/>
  <c r="K25" i="13"/>
  <c r="G37" i="13"/>
  <c r="K7" i="13"/>
  <c r="K17" i="13"/>
  <c r="K35" i="13"/>
  <c r="L11" i="13"/>
  <c r="F17" i="13"/>
  <c r="L16" i="13"/>
  <c r="L26" i="13"/>
  <c r="J36" i="13"/>
  <c r="M6" i="13"/>
  <c r="F16" i="13"/>
  <c r="G24" i="13"/>
  <c r="J29" i="13"/>
  <c r="F31" i="13"/>
  <c r="G34" i="13"/>
  <c r="J18" i="13"/>
  <c r="J26" i="13"/>
  <c r="L32" i="13"/>
  <c r="L40" i="13"/>
  <c r="F19" i="13"/>
  <c r="F27" i="13"/>
  <c r="K32" i="13"/>
  <c r="L37" i="13"/>
  <c r="E13" i="13"/>
  <c r="E29" i="13"/>
  <c r="G9" i="13"/>
  <c r="E23" i="13"/>
  <c r="L5" i="13"/>
  <c r="L9" i="13"/>
  <c r="F15" i="13"/>
  <c r="J14" i="13"/>
  <c r="J24" i="13"/>
  <c r="F36" i="13"/>
  <c r="G12" i="13"/>
  <c r="G20" i="13"/>
  <c r="J25" i="13"/>
  <c r="E34" i="13"/>
  <c r="E38" i="13"/>
  <c r="E42" i="13"/>
  <c r="J10" i="13"/>
  <c r="J22" i="13"/>
  <c r="J30" i="13"/>
  <c r="F38" i="13"/>
  <c r="E10" i="13"/>
  <c r="L19" i="13"/>
  <c r="L27" i="13"/>
  <c r="F37" i="13"/>
  <c r="G5" i="13"/>
  <c r="G13" i="13"/>
  <c r="G25" i="13"/>
  <c r="M31" i="13"/>
  <c r="E9" i="13"/>
  <c r="E27" i="13"/>
  <c r="F5" i="13"/>
  <c r="L7" i="13"/>
  <c r="F13" i="13"/>
  <c r="J17" i="13"/>
  <c r="L18" i="13"/>
  <c r="J28" i="13"/>
  <c r="F40" i="13"/>
  <c r="J8" i="13"/>
  <c r="K20" i="13"/>
  <c r="L25" i="13"/>
  <c r="L31" i="13"/>
  <c r="M24" i="13"/>
  <c r="G11" i="13"/>
  <c r="K23" i="13"/>
  <c r="F34" i="13"/>
  <c r="F42" i="13"/>
  <c r="J19" i="13"/>
  <c r="J27" i="13"/>
  <c r="G36" i="13"/>
  <c r="J41" i="13"/>
  <c r="M5" i="13"/>
  <c r="E19" i="13"/>
  <c r="E39" i="13"/>
  <c r="K9" i="13"/>
  <c r="G41" i="13"/>
  <c r="D23" i="13"/>
  <c r="H8" i="13"/>
  <c r="H31" i="13"/>
  <c r="H22" i="13"/>
  <c r="H15" i="13"/>
  <c r="I41" i="13"/>
  <c r="H27" i="13"/>
  <c r="H14" i="13"/>
  <c r="I32" i="13"/>
  <c r="I16" i="13"/>
  <c r="H10" i="13"/>
  <c r="D13" i="13"/>
  <c r="I5" i="13"/>
  <c r="H28" i="13"/>
  <c r="I8" i="13"/>
  <c r="I18" i="13"/>
  <c r="H30" i="13"/>
  <c r="I15" i="13"/>
  <c r="D41" i="13"/>
  <c r="D33" i="13"/>
  <c r="D36" i="13"/>
  <c r="I24" i="13"/>
  <c r="H29" i="13"/>
  <c r="I10" i="13"/>
  <c r="H26" i="13"/>
  <c r="I13" i="13"/>
  <c r="E31" i="13"/>
  <c r="H37" i="13"/>
  <c r="D14" i="13"/>
  <c r="I20" i="13"/>
  <c r="D39" i="13"/>
  <c r="H18" i="13"/>
  <c r="I30" i="13"/>
  <c r="D15" i="13"/>
  <c r="H7" i="13"/>
  <c r="D19" i="13"/>
  <c r="D28" i="13"/>
  <c r="I29" i="13"/>
  <c r="D21" i="13"/>
  <c r="D30" i="13"/>
  <c r="I17" i="13"/>
  <c r="K31" i="13"/>
  <c r="I23" i="13"/>
  <c r="D40" i="13"/>
  <c r="D24" i="13"/>
  <c r="I39" i="13"/>
  <c r="D35" i="13"/>
  <c r="D25" i="13"/>
  <c r="C25" i="13" s="1"/>
  <c r="Q25" i="13" s="1"/>
  <c r="S25" i="13" s="1"/>
  <c r="I38" i="13"/>
  <c r="I22" i="13"/>
  <c r="I7" i="13"/>
  <c r="I27" i="13"/>
  <c r="I14" i="13"/>
  <c r="I21" i="13"/>
  <c r="D38" i="13"/>
  <c r="D16" i="13"/>
  <c r="D9" i="13"/>
  <c r="D5" i="13"/>
  <c r="M36" i="13"/>
  <c r="K33" i="13"/>
  <c r="M23" i="13"/>
  <c r="M17" i="13"/>
  <c r="K15" i="13"/>
  <c r="G10" i="13"/>
  <c r="M7" i="13"/>
  <c r="M39" i="13"/>
  <c r="K34" i="13"/>
  <c r="K30" i="13"/>
  <c r="K26" i="13"/>
  <c r="K22" i="13"/>
  <c r="M19" i="13"/>
  <c r="M12" i="13"/>
  <c r="L14" i="13"/>
  <c r="L6" i="13"/>
  <c r="L24" i="13"/>
  <c r="G38" i="13"/>
  <c r="M28" i="13"/>
  <c r="M18" i="13"/>
  <c r="M16" i="13"/>
  <c r="K10" i="13"/>
  <c r="E8" i="13"/>
  <c r="K42" i="13"/>
  <c r="M32" i="13"/>
  <c r="G30" i="13"/>
  <c r="G26" i="13"/>
  <c r="G22" i="13"/>
  <c r="G14" i="13"/>
  <c r="K11" i="13"/>
  <c r="J34" i="13"/>
  <c r="L20" i="13"/>
  <c r="F11" i="13"/>
  <c r="J15" i="13"/>
  <c r="F18" i="13"/>
  <c r="F28" i="13"/>
  <c r="L38" i="13"/>
  <c r="E14" i="13"/>
  <c r="L21" i="13"/>
  <c r="G28" i="13"/>
  <c r="M34" i="13"/>
  <c r="M38" i="13"/>
  <c r="M42" i="13"/>
  <c r="K38" i="13"/>
  <c r="K19" i="13"/>
  <c r="K27" i="13"/>
  <c r="L36" i="13"/>
  <c r="G8" i="13"/>
  <c r="E18" i="13"/>
  <c r="E26" i="13"/>
  <c r="K36" i="13"/>
  <c r="L41" i="13"/>
  <c r="K21" i="13"/>
  <c r="K29" i="13"/>
  <c r="K39" i="13"/>
  <c r="E15" i="13"/>
  <c r="G33" i="13"/>
  <c r="F9" i="13"/>
  <c r="J13" i="13"/>
  <c r="J6" i="13"/>
  <c r="J20" i="13"/>
  <c r="F32" i="13"/>
  <c r="L42" i="13"/>
  <c r="L10" i="13"/>
  <c r="F21" i="13"/>
  <c r="K28" i="13"/>
  <c r="L35" i="13"/>
  <c r="K6" i="13"/>
  <c r="F6" i="13"/>
  <c r="F22" i="13"/>
  <c r="F30" i="13"/>
  <c r="E37" i="13"/>
  <c r="K8" i="13"/>
  <c r="E22" i="13"/>
  <c r="E30" i="13"/>
  <c r="J33" i="13"/>
  <c r="F41" i="13"/>
  <c r="M21" i="13"/>
  <c r="E7" i="13"/>
  <c r="G15" i="13"/>
  <c r="E35" i="13"/>
  <c r="F7" i="13"/>
  <c r="J11" i="13"/>
  <c r="L17" i="13"/>
  <c r="F20" i="13"/>
  <c r="L30" i="13"/>
  <c r="J40" i="13"/>
  <c r="M14" i="13"/>
  <c r="K24" i="13"/>
  <c r="L29" i="13"/>
  <c r="F35" i="13"/>
  <c r="F39" i="13"/>
  <c r="E24" i="13"/>
  <c r="F14" i="13"/>
  <c r="F26" i="13"/>
  <c r="M33" i="13"/>
  <c r="M41" i="13"/>
  <c r="G16" i="13"/>
  <c r="J23" i="13"/>
  <c r="L33" i="13"/>
  <c r="G40" i="13"/>
  <c r="E5" i="13"/>
  <c r="G21" i="13"/>
  <c r="G29" i="13"/>
  <c r="G39" i="13"/>
  <c r="G17" i="13"/>
  <c r="G35" i="13"/>
  <c r="J5" i="13"/>
  <c r="J9" i="13"/>
  <c r="L15" i="13"/>
  <c r="F10" i="13"/>
  <c r="F24" i="13"/>
  <c r="L34" i="13"/>
  <c r="E6" i="13"/>
  <c r="K12" i="13"/>
  <c r="J21" i="13"/>
  <c r="F29" i="13"/>
  <c r="L39" i="13"/>
  <c r="G42" i="13"/>
  <c r="G19" i="13"/>
  <c r="G27" i="13"/>
  <c r="M37" i="13"/>
  <c r="K16" i="13"/>
  <c r="L23" i="13"/>
  <c r="F33" i="13"/>
  <c r="K40" i="13"/>
  <c r="K5" i="13"/>
  <c r="E11" i="13"/>
  <c r="E25" i="13"/>
  <c r="G7" i="13"/>
  <c r="E17" i="13"/>
  <c r="H23" i="13"/>
  <c r="I28" i="13"/>
  <c r="I35" i="13"/>
  <c r="H38" i="13"/>
  <c r="D8" i="13"/>
  <c r="C8" i="13" s="1"/>
  <c r="Q8" i="13" s="1"/>
  <c r="S8" i="13" s="1"/>
  <c r="D7" i="13"/>
  <c r="I33" i="13"/>
  <c r="D27" i="13"/>
  <c r="I40" i="13"/>
  <c r="D20" i="13"/>
  <c r="D18" i="13"/>
  <c r="C18" i="13" s="1"/>
  <c r="Q18" i="13" s="1"/>
  <c r="S18" i="13" s="1"/>
  <c r="H34" i="13"/>
  <c r="I9" i="13"/>
  <c r="D32" i="13"/>
  <c r="D12" i="13"/>
  <c r="C12" i="13" s="1"/>
  <c r="Q12" i="13" s="1"/>
  <c r="S12" i="13" s="1"/>
  <c r="I31" i="13"/>
  <c r="D42" i="13"/>
  <c r="H12" i="13"/>
  <c r="H11" i="13"/>
  <c r="H33" i="13"/>
  <c r="H6" i="13"/>
  <c r="H32" i="13"/>
  <c r="H16" i="13"/>
  <c r="D29" i="13"/>
  <c r="I34" i="13"/>
  <c r="D17" i="13"/>
  <c r="H9" i="13"/>
  <c r="G31" i="13"/>
  <c r="D37" i="13"/>
  <c r="I36" i="13"/>
  <c r="H39" i="13"/>
  <c r="I25" i="13"/>
  <c r="D34" i="13"/>
  <c r="C34" i="13" s="1"/>
  <c r="Q34" i="13" s="1"/>
  <c r="S34" i="13" s="1"/>
  <c r="I12" i="13"/>
  <c r="I11" i="13"/>
  <c r="H19" i="13"/>
  <c r="I6" i="13"/>
  <c r="H24" i="13"/>
  <c r="H21" i="13"/>
  <c r="I42" i="13"/>
  <c r="I26" i="13"/>
  <c r="H13" i="13"/>
  <c r="I37" i="13"/>
  <c r="D6" i="13"/>
  <c r="H36" i="13"/>
  <c r="H20" i="13"/>
  <c r="H35" i="13"/>
  <c r="H25" i="13"/>
  <c r="D10" i="13"/>
  <c r="C10" i="13" s="1"/>
  <c r="Q10" i="13" s="1"/>
  <c r="S10" i="13" s="1"/>
  <c r="D26" i="13"/>
  <c r="D11" i="13"/>
  <c r="C11" i="13" s="1"/>
  <c r="Q11" i="13" s="1"/>
  <c r="S11" i="13" s="1"/>
  <c r="H41" i="13"/>
  <c r="I19" i="13"/>
  <c r="H40" i="13"/>
  <c r="H42" i="13"/>
  <c r="D22" i="13"/>
  <c r="H17" i="13"/>
  <c r="H5" i="13"/>
  <c r="D31" i="13"/>
  <c r="C31" i="13" s="1"/>
  <c r="Q31" i="13" s="1"/>
  <c r="S31" i="13" s="1"/>
  <c r="P26" i="12"/>
  <c r="P37" i="12"/>
  <c r="P27" i="12"/>
  <c r="P5" i="12"/>
  <c r="P35" i="12"/>
  <c r="P38" i="12"/>
  <c r="P12" i="12"/>
  <c r="P31" i="12"/>
  <c r="P17" i="12"/>
  <c r="P20" i="12"/>
  <c r="P9" i="12"/>
  <c r="P21" i="12"/>
  <c r="P8" i="12"/>
  <c r="P36" i="12"/>
  <c r="P28" i="12"/>
  <c r="P25" i="12"/>
  <c r="P15" i="12"/>
  <c r="P43" i="11"/>
  <c r="C43" i="11" s="1"/>
  <c r="C86" i="10"/>
  <c r="P28" i="10"/>
  <c r="P11" i="10"/>
  <c r="P30" i="10"/>
  <c r="Q43" i="14" l="1"/>
  <c r="C43" i="14" s="1"/>
  <c r="F19" i="14" s="1"/>
  <c r="J22" i="15"/>
  <c r="J28" i="15"/>
  <c r="J14" i="15"/>
  <c r="J26" i="15"/>
  <c r="J42" i="15"/>
  <c r="C20" i="15"/>
  <c r="R20" i="15" s="1"/>
  <c r="T20" i="15" s="1"/>
  <c r="J43" i="15"/>
  <c r="K38" i="14"/>
  <c r="K33" i="14"/>
  <c r="N11" i="14"/>
  <c r="N10" i="14"/>
  <c r="H42" i="14"/>
  <c r="H21" i="14"/>
  <c r="L6" i="14"/>
  <c r="H37" i="14"/>
  <c r="E19" i="14"/>
  <c r="E15" i="14"/>
  <c r="E18" i="14"/>
  <c r="L23" i="14"/>
  <c r="N39" i="14"/>
  <c r="M16" i="14"/>
  <c r="H23" i="14"/>
  <c r="M9" i="14"/>
  <c r="G20" i="14"/>
  <c r="E17" i="14"/>
  <c r="M42" i="14"/>
  <c r="M25" i="14"/>
  <c r="F16" i="14"/>
  <c r="L19" i="14"/>
  <c r="L25" i="14"/>
  <c r="L28" i="14"/>
  <c r="F10" i="14"/>
  <c r="F25" i="14"/>
  <c r="G11" i="14"/>
  <c r="G36" i="14"/>
  <c r="K39" i="14"/>
  <c r="K11" i="14"/>
  <c r="H10" i="14"/>
  <c r="H15" i="14"/>
  <c r="H20" i="14"/>
  <c r="N16" i="14"/>
  <c r="E24" i="14"/>
  <c r="E29" i="14"/>
  <c r="E42" i="14"/>
  <c r="G16" i="14"/>
  <c r="N20" i="14"/>
  <c r="M33" i="14"/>
  <c r="M6" i="14"/>
  <c r="M39" i="14"/>
  <c r="F6" i="14"/>
  <c r="M10" i="14"/>
  <c r="M13" i="14"/>
  <c r="G14" i="14"/>
  <c r="F33" i="14"/>
  <c r="K6" i="14"/>
  <c r="L11" i="14"/>
  <c r="L36" i="14"/>
  <c r="F42" i="14"/>
  <c r="F41" i="14"/>
  <c r="G15" i="14"/>
  <c r="G42" i="14"/>
  <c r="K28" i="14"/>
  <c r="K13" i="14"/>
  <c r="H18" i="14"/>
  <c r="H13" i="14"/>
  <c r="H14" i="14"/>
  <c r="H9" i="14"/>
  <c r="N22" i="14"/>
  <c r="E34" i="14"/>
  <c r="E41" i="14"/>
  <c r="L17" i="14"/>
  <c r="G17" i="14"/>
  <c r="N37" i="14"/>
  <c r="M23" i="14"/>
  <c r="M20" i="14"/>
  <c r="G19" i="14"/>
  <c r="F14" i="14"/>
  <c r="M18" i="14"/>
  <c r="M15" i="14"/>
  <c r="E6" i="14"/>
  <c r="L9" i="14"/>
  <c r="K14" i="14"/>
  <c r="L41" i="14"/>
  <c r="L32" i="14"/>
  <c r="F30" i="14"/>
  <c r="F29" i="14"/>
  <c r="G27" i="14"/>
  <c r="K20" i="14"/>
  <c r="K32" i="14"/>
  <c r="K15" i="14"/>
  <c r="H30" i="14"/>
  <c r="H25" i="14"/>
  <c r="L14" i="14"/>
  <c r="N17" i="14"/>
  <c r="E37" i="14"/>
  <c r="E21" i="14"/>
  <c r="E32" i="14"/>
  <c r="L38" i="14"/>
  <c r="G38" i="14"/>
  <c r="N34" i="14"/>
  <c r="H38" i="14"/>
  <c r="M34" i="14"/>
  <c r="G37" i="14"/>
  <c r="N6" i="14"/>
  <c r="E22" i="14"/>
  <c r="M36" i="14"/>
  <c r="M41" i="14"/>
  <c r="F17" i="14"/>
  <c r="L24" i="14"/>
  <c r="L27" i="14"/>
  <c r="F28" i="14"/>
  <c r="F13" i="14"/>
  <c r="G13" i="14"/>
  <c r="G10" i="14"/>
  <c r="K24" i="14"/>
  <c r="K36" i="14"/>
  <c r="K21" i="14"/>
  <c r="D29" i="14"/>
  <c r="D15" i="14"/>
  <c r="D32" i="14"/>
  <c r="D18" i="14"/>
  <c r="I34" i="14"/>
  <c r="I21" i="14"/>
  <c r="I36" i="14"/>
  <c r="D19" i="14"/>
  <c r="D34" i="14"/>
  <c r="I22" i="14"/>
  <c r="D27" i="14"/>
  <c r="D13" i="14"/>
  <c r="D28" i="14"/>
  <c r="D10" i="14"/>
  <c r="I24" i="14"/>
  <c r="I25" i="14"/>
  <c r="I32" i="14"/>
  <c r="I38" i="14"/>
  <c r="D17" i="14"/>
  <c r="D6" i="14"/>
  <c r="I20" i="14"/>
  <c r="I27" i="14"/>
  <c r="I30" i="14"/>
  <c r="D16" i="14"/>
  <c r="I33" i="14"/>
  <c r="D9" i="14"/>
  <c r="I37" i="14"/>
  <c r="I13" i="14"/>
  <c r="I28" i="14"/>
  <c r="D14" i="14"/>
  <c r="F8" i="14"/>
  <c r="L5" i="14"/>
  <c r="K8" i="14"/>
  <c r="N35" i="14"/>
  <c r="H12" i="14"/>
  <c r="M40" i="14"/>
  <c r="G35" i="14"/>
  <c r="E12" i="14"/>
  <c r="F7" i="14"/>
  <c r="L12" i="14"/>
  <c r="K7" i="14"/>
  <c r="N5" i="14"/>
  <c r="H40" i="14"/>
  <c r="M31" i="14"/>
  <c r="G8" i="14"/>
  <c r="E8" i="14"/>
  <c r="F5" i="14"/>
  <c r="L26" i="14"/>
  <c r="K5" i="14"/>
  <c r="N8" i="14"/>
  <c r="H31" i="14"/>
  <c r="M7" i="14"/>
  <c r="G12" i="14"/>
  <c r="E5" i="14"/>
  <c r="F26" i="14"/>
  <c r="L35" i="14"/>
  <c r="K26" i="14"/>
  <c r="N12" i="14"/>
  <c r="H7" i="14"/>
  <c r="M12" i="14"/>
  <c r="G31" i="14"/>
  <c r="E35" i="14"/>
  <c r="D5" i="14"/>
  <c r="D26" i="14"/>
  <c r="D35" i="14"/>
  <c r="D40" i="14"/>
  <c r="I35" i="14"/>
  <c r="D31" i="14"/>
  <c r="I5" i="14"/>
  <c r="I7" i="14"/>
  <c r="F20" i="14"/>
  <c r="N15" i="14"/>
  <c r="N18" i="14"/>
  <c r="K17" i="14"/>
  <c r="F37" i="14"/>
  <c r="N29" i="14"/>
  <c r="N42" i="14"/>
  <c r="K23" i="14"/>
  <c r="F39" i="14"/>
  <c r="N41" i="14"/>
  <c r="K22" i="14"/>
  <c r="F9" i="14"/>
  <c r="N21" i="14"/>
  <c r="N32" i="14"/>
  <c r="H36" i="14"/>
  <c r="H41" i="14"/>
  <c r="H24" i="14"/>
  <c r="N33" i="14"/>
  <c r="E20" i="14"/>
  <c r="E25" i="14"/>
  <c r="E36" i="14"/>
  <c r="G23" i="14"/>
  <c r="N24" i="14"/>
  <c r="H22" i="14"/>
  <c r="M14" i="14"/>
  <c r="G9" i="14"/>
  <c r="N14" i="14"/>
  <c r="E38" i="14"/>
  <c r="M11" i="14"/>
  <c r="G6" i="14"/>
  <c r="F23" i="14"/>
  <c r="L34" i="14"/>
  <c r="L15" i="14"/>
  <c r="L42" i="14"/>
  <c r="F11" i="14"/>
  <c r="G21" i="14"/>
  <c r="G18" i="14"/>
  <c r="K34" i="14"/>
  <c r="K10" i="14"/>
  <c r="K25" i="14"/>
  <c r="H32" i="14"/>
  <c r="H29" i="14"/>
  <c r="H39" i="14"/>
  <c r="E39" i="14"/>
  <c r="E27" i="14"/>
  <c r="E28" i="14"/>
  <c r="L16" i="14"/>
  <c r="N19" i="14"/>
  <c r="M38" i="14"/>
  <c r="H17" i="14"/>
  <c r="M24" i="14"/>
  <c r="G39" i="14"/>
  <c r="E33" i="14"/>
  <c r="M28" i="14"/>
  <c r="M27" i="14"/>
  <c r="F22" i="14"/>
  <c r="L39" i="14"/>
  <c r="L21" i="14"/>
  <c r="L18" i="14"/>
  <c r="F36" i="14"/>
  <c r="F21" i="14"/>
  <c r="G25" i="14"/>
  <c r="G28" i="14"/>
  <c r="K9" i="14"/>
  <c r="K18" i="14"/>
  <c r="K27" i="14"/>
  <c r="H28" i="14"/>
  <c r="H27" i="14"/>
  <c r="H34" i="14"/>
  <c r="N23" i="14"/>
  <c r="E9" i="14"/>
  <c r="E13" i="14"/>
  <c r="E30" i="14"/>
  <c r="L22" i="14"/>
  <c r="G22" i="14"/>
  <c r="M22" i="14"/>
  <c r="H16" i="14"/>
  <c r="M37" i="14"/>
  <c r="G34" i="14"/>
  <c r="E16" i="14"/>
  <c r="M32" i="14"/>
  <c r="M29" i="14"/>
  <c r="F38" i="14"/>
  <c r="L20" i="14"/>
  <c r="L13" i="14"/>
  <c r="L10" i="14"/>
  <c r="F32" i="14"/>
  <c r="F15" i="14"/>
  <c r="G29" i="14"/>
  <c r="G30" i="14"/>
  <c r="K19" i="14"/>
  <c r="K30" i="14"/>
  <c r="K29" i="14"/>
  <c r="H11" i="14"/>
  <c r="H6" i="14"/>
  <c r="H19" i="14"/>
  <c r="N38" i="14"/>
  <c r="E11" i="14"/>
  <c r="E10" i="14"/>
  <c r="L33" i="14"/>
  <c r="G33" i="14"/>
  <c r="N9" i="14"/>
  <c r="M17" i="14"/>
  <c r="H33" i="14"/>
  <c r="M19" i="14"/>
  <c r="G24" i="14"/>
  <c r="E23" i="14"/>
  <c r="M30" i="14"/>
  <c r="M21" i="14"/>
  <c r="E14" i="14"/>
  <c r="L37" i="14"/>
  <c r="L29" i="14"/>
  <c r="L30" i="14"/>
  <c r="F18" i="14"/>
  <c r="F27" i="14"/>
  <c r="G41" i="14"/>
  <c r="G32" i="14"/>
  <c r="K37" i="14"/>
  <c r="K42" i="14"/>
  <c r="K41" i="14"/>
  <c r="D25" i="14"/>
  <c r="D11" i="14"/>
  <c r="D42" i="14"/>
  <c r="I9" i="14"/>
  <c r="I11" i="14"/>
  <c r="I18" i="14"/>
  <c r="D39" i="14"/>
  <c r="D24" i="14"/>
  <c r="I23" i="14"/>
  <c r="D41" i="14"/>
  <c r="D21" i="14"/>
  <c r="D36" i="14"/>
  <c r="D30" i="14"/>
  <c r="I19" i="14"/>
  <c r="I15" i="14"/>
  <c r="I10" i="14"/>
  <c r="I17" i="14"/>
  <c r="D33" i="14"/>
  <c r="D38" i="14"/>
  <c r="I39" i="14"/>
  <c r="I6" i="14"/>
  <c r="I29" i="14"/>
  <c r="D23" i="14"/>
  <c r="D22" i="14"/>
  <c r="D37" i="14"/>
  <c r="D20" i="14"/>
  <c r="I14" i="14"/>
  <c r="I41" i="14"/>
  <c r="I42" i="14"/>
  <c r="I16" i="14"/>
  <c r="F31" i="14"/>
  <c r="L8" i="14"/>
  <c r="K31" i="14"/>
  <c r="N26" i="14"/>
  <c r="H5" i="14"/>
  <c r="M35" i="14"/>
  <c r="G40" i="14"/>
  <c r="F12" i="14"/>
  <c r="L7" i="14"/>
  <c r="K12" i="14"/>
  <c r="N31" i="14"/>
  <c r="N40" i="14"/>
  <c r="H35" i="14"/>
  <c r="M26" i="14"/>
  <c r="G5" i="14"/>
  <c r="E7" i="14"/>
  <c r="F40" i="14"/>
  <c r="L31" i="14"/>
  <c r="K40" i="14"/>
  <c r="N7" i="14"/>
  <c r="H26" i="14"/>
  <c r="M8" i="14"/>
  <c r="G7" i="14"/>
  <c r="E31" i="14"/>
  <c r="E40" i="14"/>
  <c r="F35" i="14"/>
  <c r="L40" i="14"/>
  <c r="K35" i="14"/>
  <c r="H8" i="14"/>
  <c r="M5" i="14"/>
  <c r="M43" i="14" s="1"/>
  <c r="G26" i="14"/>
  <c r="E26" i="14"/>
  <c r="D12" i="14"/>
  <c r="I12" i="14"/>
  <c r="D7" i="14"/>
  <c r="D8" i="14"/>
  <c r="I26" i="14"/>
  <c r="I31" i="14"/>
  <c r="I40" i="14"/>
  <c r="I8" i="14"/>
  <c r="C9" i="15"/>
  <c r="R9" i="15" s="1"/>
  <c r="T9" i="15" s="1"/>
  <c r="C15" i="15"/>
  <c r="R15" i="15" s="1"/>
  <c r="T15" i="15" s="1"/>
  <c r="E43" i="15"/>
  <c r="M43" i="15"/>
  <c r="C33" i="15"/>
  <c r="R33" i="15" s="1"/>
  <c r="T33" i="15" s="1"/>
  <c r="C42" i="15"/>
  <c r="R42" i="15" s="1"/>
  <c r="T42" i="15" s="1"/>
  <c r="C21" i="15"/>
  <c r="R21" i="15" s="1"/>
  <c r="T21" i="15" s="1"/>
  <c r="C27" i="15"/>
  <c r="R27" i="15" s="1"/>
  <c r="T27" i="15" s="1"/>
  <c r="C24" i="15"/>
  <c r="R24" i="15" s="1"/>
  <c r="T24" i="15" s="1"/>
  <c r="I43" i="15"/>
  <c r="C14" i="15"/>
  <c r="R14" i="15" s="1"/>
  <c r="T14" i="15" s="1"/>
  <c r="C17" i="15"/>
  <c r="R17" i="15" s="1"/>
  <c r="T17" i="15" s="1"/>
  <c r="C7" i="15"/>
  <c r="R7" i="15" s="1"/>
  <c r="T7" i="15" s="1"/>
  <c r="C37" i="15"/>
  <c r="R37" i="15" s="1"/>
  <c r="T37" i="15" s="1"/>
  <c r="D43" i="15"/>
  <c r="C5" i="15"/>
  <c r="R5" i="15" s="1"/>
  <c r="T5" i="15" s="1"/>
  <c r="C39" i="15"/>
  <c r="R39" i="15" s="1"/>
  <c r="T39" i="15" s="1"/>
  <c r="C23" i="15"/>
  <c r="R23" i="15" s="1"/>
  <c r="T23" i="15" s="1"/>
  <c r="C40" i="15"/>
  <c r="R40" i="15" s="1"/>
  <c r="T40" i="15" s="1"/>
  <c r="C34" i="15"/>
  <c r="R34" i="15" s="1"/>
  <c r="T34" i="15" s="1"/>
  <c r="F43" i="15"/>
  <c r="C26" i="15"/>
  <c r="R26" i="15" s="1"/>
  <c r="T26" i="15" s="1"/>
  <c r="C6" i="15"/>
  <c r="R6" i="15" s="1"/>
  <c r="T6" i="15" s="1"/>
  <c r="C8" i="15"/>
  <c r="R8" i="15" s="1"/>
  <c r="T8" i="15" s="1"/>
  <c r="C12" i="15"/>
  <c r="R12" i="15" s="1"/>
  <c r="T12" i="15" s="1"/>
  <c r="C38" i="15"/>
  <c r="R38" i="15" s="1"/>
  <c r="T38" i="15" s="1"/>
  <c r="N43" i="15"/>
  <c r="C36" i="15"/>
  <c r="R36" i="15" s="1"/>
  <c r="T36" i="15" s="1"/>
  <c r="C41" i="15"/>
  <c r="R41" i="15" s="1"/>
  <c r="T41" i="15" s="1"/>
  <c r="C25" i="15"/>
  <c r="R25" i="15" s="1"/>
  <c r="T25" i="15" s="1"/>
  <c r="C29" i="15"/>
  <c r="R29" i="15" s="1"/>
  <c r="T29" i="15" s="1"/>
  <c r="C35" i="15"/>
  <c r="R35" i="15" s="1"/>
  <c r="T35" i="15" s="1"/>
  <c r="C19" i="15"/>
  <c r="R19" i="15" s="1"/>
  <c r="T19" i="15" s="1"/>
  <c r="C30" i="15"/>
  <c r="R30" i="15" s="1"/>
  <c r="T30" i="15" s="1"/>
  <c r="C18" i="15"/>
  <c r="R18" i="15" s="1"/>
  <c r="T18" i="15" s="1"/>
  <c r="H43" i="15"/>
  <c r="C13" i="15"/>
  <c r="R13" i="15" s="1"/>
  <c r="T13" i="15" s="1"/>
  <c r="C10" i="15"/>
  <c r="R10" i="15" s="1"/>
  <c r="T10" i="15" s="1"/>
  <c r="C11" i="15"/>
  <c r="R11" i="15" s="1"/>
  <c r="T11" i="15" s="1"/>
  <c r="C16" i="15"/>
  <c r="R16" i="15" s="1"/>
  <c r="T16" i="15" s="1"/>
  <c r="K43" i="15"/>
  <c r="L43" i="15"/>
  <c r="C31" i="15"/>
  <c r="R31" i="15" s="1"/>
  <c r="T31" i="15" s="1"/>
  <c r="C28" i="15"/>
  <c r="R28" i="15" s="1"/>
  <c r="T28" i="15" s="1"/>
  <c r="G43" i="15"/>
  <c r="C32" i="15"/>
  <c r="R32" i="15" s="1"/>
  <c r="T32" i="15" s="1"/>
  <c r="C22" i="15"/>
  <c r="R22" i="15" s="1"/>
  <c r="T22" i="15" s="1"/>
  <c r="P43" i="12"/>
  <c r="C43" i="12" s="1"/>
  <c r="C37" i="13"/>
  <c r="Q37" i="13" s="1"/>
  <c r="S37" i="13" s="1"/>
  <c r="C42" i="13"/>
  <c r="Q42" i="13" s="1"/>
  <c r="S42" i="13" s="1"/>
  <c r="J43" i="13"/>
  <c r="E43" i="13"/>
  <c r="D43" i="13"/>
  <c r="C5" i="13"/>
  <c r="Q5" i="13" s="1"/>
  <c r="S5" i="13" s="1"/>
  <c r="C16" i="13"/>
  <c r="Q16" i="13" s="1"/>
  <c r="S16" i="13" s="1"/>
  <c r="C40" i="13"/>
  <c r="Q40" i="13" s="1"/>
  <c r="S40" i="13" s="1"/>
  <c r="C30" i="13"/>
  <c r="Q30" i="13" s="1"/>
  <c r="S30" i="13" s="1"/>
  <c r="C19" i="13"/>
  <c r="Q19" i="13" s="1"/>
  <c r="S19" i="13" s="1"/>
  <c r="C15" i="13"/>
  <c r="Q15" i="13" s="1"/>
  <c r="S15" i="13" s="1"/>
  <c r="C33" i="13"/>
  <c r="Q33" i="13" s="1"/>
  <c r="S33" i="13" s="1"/>
  <c r="C13" i="13"/>
  <c r="Q13" i="13" s="1"/>
  <c r="S13" i="13" s="1"/>
  <c r="M43" i="13"/>
  <c r="F43" i="13"/>
  <c r="G43" i="13"/>
  <c r="L43" i="13"/>
  <c r="H43" i="13"/>
  <c r="C22" i="13"/>
  <c r="Q22" i="13" s="1"/>
  <c r="S22" i="13" s="1"/>
  <c r="C26" i="13"/>
  <c r="Q26" i="13" s="1"/>
  <c r="S26" i="13" s="1"/>
  <c r="C6" i="13"/>
  <c r="Q6" i="13" s="1"/>
  <c r="S6" i="13" s="1"/>
  <c r="C17" i="13"/>
  <c r="Q17" i="13" s="1"/>
  <c r="S17" i="13" s="1"/>
  <c r="C29" i="13"/>
  <c r="Q29" i="13" s="1"/>
  <c r="S29" i="13" s="1"/>
  <c r="C32" i="13"/>
  <c r="Q32" i="13" s="1"/>
  <c r="S32" i="13" s="1"/>
  <c r="C20" i="13"/>
  <c r="Q20" i="13" s="1"/>
  <c r="S20" i="13" s="1"/>
  <c r="C27" i="13"/>
  <c r="Q27" i="13" s="1"/>
  <c r="S27" i="13" s="1"/>
  <c r="C7" i="13"/>
  <c r="Q7" i="13" s="1"/>
  <c r="S7" i="13" s="1"/>
  <c r="K43" i="13"/>
  <c r="C9" i="13"/>
  <c r="Q9" i="13" s="1"/>
  <c r="S9" i="13" s="1"/>
  <c r="C38" i="13"/>
  <c r="Q38" i="13" s="1"/>
  <c r="S38" i="13" s="1"/>
  <c r="C35" i="13"/>
  <c r="Q35" i="13" s="1"/>
  <c r="S35" i="13" s="1"/>
  <c r="C24" i="13"/>
  <c r="Q24" i="13" s="1"/>
  <c r="S24" i="13" s="1"/>
  <c r="C21" i="13"/>
  <c r="Q21" i="13" s="1"/>
  <c r="S21" i="13" s="1"/>
  <c r="C28" i="13"/>
  <c r="Q28" i="13" s="1"/>
  <c r="S28" i="13" s="1"/>
  <c r="C39" i="13"/>
  <c r="Q39" i="13" s="1"/>
  <c r="S39" i="13" s="1"/>
  <c r="C14" i="13"/>
  <c r="Q14" i="13" s="1"/>
  <c r="S14" i="13" s="1"/>
  <c r="C36" i="13"/>
  <c r="Q36" i="13" s="1"/>
  <c r="S36" i="13" s="1"/>
  <c r="C41" i="13"/>
  <c r="Q41" i="13" s="1"/>
  <c r="S41" i="13" s="1"/>
  <c r="I43" i="13"/>
  <c r="C23" i="13"/>
  <c r="Q23" i="13" s="1"/>
  <c r="S23" i="13" s="1"/>
  <c r="P16" i="10"/>
  <c r="P23" i="10"/>
  <c r="P42" i="10"/>
  <c r="P38" i="10"/>
  <c r="P33" i="10"/>
  <c r="P41" i="10"/>
  <c r="P14" i="10"/>
  <c r="P22" i="10"/>
  <c r="P32" i="10"/>
  <c r="P18" i="10"/>
  <c r="P17" i="10"/>
  <c r="P6" i="10"/>
  <c r="P13" i="10"/>
  <c r="P27" i="10"/>
  <c r="P24" i="10"/>
  <c r="P26" i="10"/>
  <c r="P34" i="10"/>
  <c r="P40" i="10"/>
  <c r="P39" i="10"/>
  <c r="P35" i="10"/>
  <c r="P37" i="10"/>
  <c r="P31" i="10"/>
  <c r="P12" i="10"/>
  <c r="P20" i="10"/>
  <c r="P21" i="10"/>
  <c r="P8" i="10"/>
  <c r="P5" i="10"/>
  <c r="P19" i="10"/>
  <c r="P7" i="10"/>
  <c r="P9" i="10"/>
  <c r="P25" i="10"/>
  <c r="P36" i="10"/>
  <c r="P29" i="10"/>
  <c r="P15" i="10"/>
  <c r="M11" i="11"/>
  <c r="M8" i="11"/>
  <c r="M22" i="11"/>
  <c r="K32" i="11"/>
  <c r="E6" i="11"/>
  <c r="F10" i="11"/>
  <c r="J15" i="11"/>
  <c r="E25" i="11"/>
  <c r="E33" i="11"/>
  <c r="E41" i="11"/>
  <c r="K26" i="11"/>
  <c r="K42" i="11"/>
  <c r="F25" i="11"/>
  <c r="M9" i="11"/>
  <c r="M17" i="11"/>
  <c r="G20" i="11"/>
  <c r="M30" i="11"/>
  <c r="K40" i="11"/>
  <c r="E9" i="11"/>
  <c r="F22" i="11"/>
  <c r="M25" i="11"/>
  <c r="E32" i="11"/>
  <c r="F38" i="11"/>
  <c r="M41" i="11"/>
  <c r="E42" i="11"/>
  <c r="L33" i="11"/>
  <c r="L11" i="11"/>
  <c r="L40" i="11"/>
  <c r="L21" i="11"/>
  <c r="L39" i="11"/>
  <c r="K35" i="11"/>
  <c r="J24" i="11"/>
  <c r="L12" i="11"/>
  <c r="M36" i="11"/>
  <c r="K41" i="11"/>
  <c r="L34" i="11"/>
  <c r="E29" i="11"/>
  <c r="M21" i="11"/>
  <c r="E16" i="11"/>
  <c r="M42" i="11"/>
  <c r="K6" i="11"/>
  <c r="G11" i="11"/>
  <c r="J19" i="11"/>
  <c r="H33" i="11"/>
  <c r="J17" i="11"/>
  <c r="M35" i="11"/>
  <c r="J30" i="11"/>
  <c r="E19" i="11"/>
  <c r="E10" i="11"/>
  <c r="M12" i="11"/>
  <c r="H34" i="11"/>
  <c r="H18" i="11"/>
  <c r="J23" i="11"/>
  <c r="J33" i="11"/>
  <c r="J18" i="11"/>
  <c r="M39" i="11"/>
  <c r="M31" i="11"/>
  <c r="M23" i="11"/>
  <c r="E18" i="11"/>
  <c r="L9" i="11"/>
  <c r="G34" i="11"/>
  <c r="K10" i="11"/>
  <c r="F34" i="11"/>
  <c r="G25" i="11"/>
  <c r="F15" i="11"/>
  <c r="K36" i="11"/>
  <c r="K20" i="11"/>
  <c r="K15" i="11"/>
  <c r="K7" i="11"/>
  <c r="J42" i="11"/>
  <c r="J26" i="11"/>
  <c r="L35" i="11"/>
  <c r="J38" i="11"/>
  <c r="E27" i="11"/>
  <c r="J20" i="11"/>
  <c r="E12" i="11"/>
  <c r="L38" i="11"/>
  <c r="K29" i="11"/>
  <c r="I18" i="11"/>
  <c r="J31" i="11"/>
  <c r="L41" i="11"/>
  <c r="J29" i="11"/>
  <c r="J9" i="11"/>
  <c r="E38" i="11"/>
  <c r="K27" i="11"/>
  <c r="L14" i="11"/>
  <c r="M28" i="11"/>
  <c r="L42" i="11"/>
  <c r="E37" i="11"/>
  <c r="M29" i="11"/>
  <c r="F23" i="11"/>
  <c r="E17" i="11"/>
  <c r="M6" i="11"/>
  <c r="M18" i="11"/>
  <c r="G13" i="11"/>
  <c r="J35" i="11"/>
  <c r="F37" i="11"/>
  <c r="F21" i="11"/>
  <c r="K39" i="11"/>
  <c r="G31" i="11"/>
  <c r="M19" i="11"/>
  <c r="F11" i="11"/>
  <c r="M40" i="11"/>
  <c r="G6" i="11"/>
  <c r="G29" i="11"/>
  <c r="K16" i="11"/>
  <c r="J39" i="11"/>
  <c r="L36" i="11"/>
  <c r="L24" i="11"/>
  <c r="J13" i="11"/>
  <c r="G35" i="11"/>
  <c r="G27" i="11"/>
  <c r="G19" i="11"/>
  <c r="J11" i="11"/>
  <c r="K38" i="11"/>
  <c r="K22" i="11"/>
  <c r="E36" i="11"/>
  <c r="F26" i="11"/>
  <c r="G16" i="11"/>
  <c r="J7" i="11"/>
  <c r="G32" i="11"/>
  <c r="M16" i="11"/>
  <c r="K13" i="11"/>
  <c r="J27" i="11"/>
  <c r="L32" i="11"/>
  <c r="F9" i="11"/>
  <c r="G39" i="11"/>
  <c r="M27" i="11"/>
  <c r="J22" i="11"/>
  <c r="E13" i="11"/>
  <c r="G38" i="11"/>
  <c r="H42" i="11"/>
  <c r="L30" i="11"/>
  <c r="K21" i="11"/>
  <c r="D11" i="11"/>
  <c r="D37" i="11"/>
  <c r="D28" i="11"/>
  <c r="D39" i="11"/>
  <c r="C39" i="11" s="1"/>
  <c r="Q39" i="11" s="1"/>
  <c r="S39" i="11" s="1"/>
  <c r="I20" i="11"/>
  <c r="H23" i="11"/>
  <c r="I22" i="11"/>
  <c r="D12" i="11"/>
  <c r="D34" i="11"/>
  <c r="H32" i="11"/>
  <c r="I7" i="11"/>
  <c r="H14" i="11"/>
  <c r="J5" i="11"/>
  <c r="H40" i="11"/>
  <c r="G5" i="11"/>
  <c r="H13" i="11"/>
  <c r="I6" i="11"/>
  <c r="I25" i="11"/>
  <c r="I15" i="11"/>
  <c r="D31" i="11"/>
  <c r="H29" i="11"/>
  <c r="I11" i="11"/>
  <c r="L5" i="11"/>
  <c r="D32" i="11"/>
  <c r="D19" i="11"/>
  <c r="D35" i="11"/>
  <c r="D42" i="11"/>
  <c r="I32" i="11"/>
  <c r="D29" i="11"/>
  <c r="I14" i="11"/>
  <c r="I40" i="11"/>
  <c r="D33" i="11"/>
  <c r="H25" i="11"/>
  <c r="H27" i="11"/>
  <c r="H39" i="11"/>
  <c r="D8" i="11"/>
  <c r="D24" i="11"/>
  <c r="D40" i="11"/>
  <c r="H41" i="11"/>
  <c r="H24" i="11"/>
  <c r="D6" i="11"/>
  <c r="I28" i="11"/>
  <c r="D20" i="11"/>
  <c r="H20" i="11"/>
  <c r="I39" i="11"/>
  <c r="I30" i="11"/>
  <c r="I41" i="11"/>
  <c r="H7" i="11"/>
  <c r="D18" i="11"/>
  <c r="I24" i="11"/>
  <c r="D9" i="11"/>
  <c r="D7" i="11"/>
  <c r="H6" i="11"/>
  <c r="H28" i="11"/>
  <c r="H5" i="11"/>
  <c r="D5" i="11"/>
  <c r="M7" i="11"/>
  <c r="M15" i="11"/>
  <c r="G18" i="11"/>
  <c r="G28" i="11"/>
  <c r="M38" i="11"/>
  <c r="F7" i="11"/>
  <c r="F12" i="11"/>
  <c r="F19" i="11"/>
  <c r="F27" i="11"/>
  <c r="F35" i="11"/>
  <c r="K18" i="11"/>
  <c r="K34" i="11"/>
  <c r="E34" i="11"/>
  <c r="F41" i="11"/>
  <c r="M13" i="11"/>
  <c r="K14" i="11"/>
  <c r="K24" i="11"/>
  <c r="G36" i="11"/>
  <c r="E8" i="11"/>
  <c r="F13" i="11"/>
  <c r="E24" i="11"/>
  <c r="F30" i="11"/>
  <c r="M33" i="11"/>
  <c r="E40" i="11"/>
  <c r="E26" i="11"/>
  <c r="J25" i="11"/>
  <c r="J41" i="11"/>
  <c r="L7" i="11"/>
  <c r="F33" i="11"/>
  <c r="F17" i="11"/>
  <c r="J40" i="11"/>
  <c r="E30" i="11"/>
  <c r="K19" i="11"/>
  <c r="J8" i="11"/>
  <c r="M20" i="11"/>
  <c r="M37" i="11"/>
  <c r="F31" i="11"/>
  <c r="K25" i="11"/>
  <c r="L18" i="11"/>
  <c r="K8" i="11"/>
  <c r="M26" i="11"/>
  <c r="G15" i="11"/>
  <c r="G7" i="11"/>
  <c r="L15" i="11"/>
  <c r="L28" i="11"/>
  <c r="L27" i="11"/>
  <c r="F32" i="11"/>
  <c r="K23" i="11"/>
  <c r="G12" i="11"/>
  <c r="M32" i="11"/>
  <c r="I42" i="11"/>
  <c r="H26" i="11"/>
  <c r="M14" i="11"/>
  <c r="L37" i="11"/>
  <c r="L25" i="11"/>
  <c r="L31" i="11"/>
  <c r="F36" i="11"/>
  <c r="F28" i="11"/>
  <c r="F20" i="11"/>
  <c r="K12" i="11"/>
  <c r="G42" i="11"/>
  <c r="G26" i="11"/>
  <c r="G41" i="11"/>
  <c r="E28" i="11"/>
  <c r="F18" i="11"/>
  <c r="J12" i="11"/>
  <c r="K28" i="11"/>
  <c r="G10" i="11"/>
  <c r="K11" i="11"/>
  <c r="J14" i="11"/>
  <c r="I33" i="11"/>
  <c r="L16" i="11"/>
  <c r="F40" i="11"/>
  <c r="K31" i="11"/>
  <c r="G23" i="11"/>
  <c r="E15" i="11"/>
  <c r="G30" i="11"/>
  <c r="I34" i="11"/>
  <c r="L22" i="11"/>
  <c r="G8" i="11"/>
  <c r="F6" i="11"/>
  <c r="J34" i="11"/>
  <c r="L20" i="11"/>
  <c r="L23" i="11"/>
  <c r="J32" i="11"/>
  <c r="E22" i="11"/>
  <c r="M10" i="11"/>
  <c r="G14" i="11"/>
  <c r="F39" i="11"/>
  <c r="K33" i="11"/>
  <c r="L26" i="11"/>
  <c r="E21" i="11"/>
  <c r="E11" i="11"/>
  <c r="M34" i="11"/>
  <c r="G17" i="11"/>
  <c r="G9" i="11"/>
  <c r="J6" i="11"/>
  <c r="L29" i="11"/>
  <c r="J10" i="11"/>
  <c r="E35" i="11"/>
  <c r="J28" i="11"/>
  <c r="J16" i="11"/>
  <c r="F8" i="11"/>
  <c r="M24" i="11"/>
  <c r="G37" i="11"/>
  <c r="G21" i="11"/>
  <c r="L10" i="11"/>
  <c r="F14" i="11"/>
  <c r="F29" i="11"/>
  <c r="L8" i="11"/>
  <c r="E39" i="11"/>
  <c r="E31" i="11"/>
  <c r="E23" i="11"/>
  <c r="F16" i="11"/>
  <c r="E7" i="11"/>
  <c r="K30" i="11"/>
  <c r="F42" i="11"/>
  <c r="G33" i="11"/>
  <c r="E20" i="11"/>
  <c r="E14" i="11"/>
  <c r="G40" i="11"/>
  <c r="G24" i="11"/>
  <c r="K17" i="11"/>
  <c r="K9" i="11"/>
  <c r="J37" i="11"/>
  <c r="J21" i="11"/>
  <c r="L19" i="11"/>
  <c r="J36" i="11"/>
  <c r="F24" i="11"/>
  <c r="L17" i="11"/>
  <c r="L6" i="11"/>
  <c r="G22" i="11"/>
  <c r="K37" i="11"/>
  <c r="I26" i="11"/>
  <c r="L13" i="11"/>
  <c r="D21" i="11"/>
  <c r="C21" i="11" s="1"/>
  <c r="Q21" i="11" s="1"/>
  <c r="S21" i="11" s="1"/>
  <c r="D16" i="11"/>
  <c r="D23" i="11"/>
  <c r="H9" i="11"/>
  <c r="I36" i="11"/>
  <c r="H11" i="11"/>
  <c r="I38" i="11"/>
  <c r="D26" i="11"/>
  <c r="H16" i="11"/>
  <c r="I19" i="11"/>
  <c r="D17" i="11"/>
  <c r="D38" i="11"/>
  <c r="I8" i="11"/>
  <c r="I31" i="11"/>
  <c r="D25" i="11"/>
  <c r="C25" i="11" s="1"/>
  <c r="Q25" i="11" s="1"/>
  <c r="S25" i="11" s="1"/>
  <c r="E5" i="11"/>
  <c r="D10" i="11"/>
  <c r="H37" i="11"/>
  <c r="D36" i="11"/>
  <c r="C36" i="11" s="1"/>
  <c r="Q36" i="11" s="1"/>
  <c r="S36" i="11" s="1"/>
  <c r="I9" i="11"/>
  <c r="I23" i="11"/>
  <c r="F5" i="11"/>
  <c r="H22" i="11"/>
  <c r="H38" i="11"/>
  <c r="D27" i="11"/>
  <c r="C27" i="11" s="1"/>
  <c r="Q27" i="11" s="1"/>
  <c r="S27" i="11" s="1"/>
  <c r="D13" i="11"/>
  <c r="I16" i="11"/>
  <c r="H35" i="11"/>
  <c r="D15" i="11"/>
  <c r="C15" i="11" s="1"/>
  <c r="Q15" i="11" s="1"/>
  <c r="S15" i="11" s="1"/>
  <c r="H8" i="11"/>
  <c r="I12" i="11"/>
  <c r="D41" i="11"/>
  <c r="I37" i="11"/>
  <c r="I29" i="11"/>
  <c r="K5" i="11"/>
  <c r="K43" i="11" s="1"/>
  <c r="I10" i="11"/>
  <c r="H30" i="11"/>
  <c r="I21" i="11"/>
  <c r="I35" i="11"/>
  <c r="H12" i="11"/>
  <c r="H17" i="11"/>
  <c r="I27" i="11"/>
  <c r="D30" i="11"/>
  <c r="C30" i="11" s="1"/>
  <c r="Q30" i="11" s="1"/>
  <c r="S30" i="11" s="1"/>
  <c r="H36" i="11"/>
  <c r="H10" i="11"/>
  <c r="H21" i="11"/>
  <c r="H19" i="11"/>
  <c r="D14" i="11"/>
  <c r="D22" i="11"/>
  <c r="C22" i="11" s="1"/>
  <c r="Q22" i="11" s="1"/>
  <c r="S22" i="11" s="1"/>
  <c r="H31" i="11"/>
  <c r="I13" i="11"/>
  <c r="M5" i="11"/>
  <c r="I17" i="11"/>
  <c r="H15" i="11"/>
  <c r="I5" i="11"/>
  <c r="I43" i="11" s="1"/>
  <c r="P10" i="10"/>
  <c r="N30" i="14" l="1"/>
  <c r="N13" i="14"/>
  <c r="K16" i="14"/>
  <c r="N27" i="14"/>
  <c r="F34" i="14"/>
  <c r="N28" i="14"/>
  <c r="N36" i="14"/>
  <c r="F24" i="14"/>
  <c r="N25" i="14"/>
  <c r="J33" i="14"/>
  <c r="C33" i="14" s="1"/>
  <c r="R33" i="14" s="1"/>
  <c r="T33" i="14" s="1"/>
  <c r="J38" i="14"/>
  <c r="J22" i="14"/>
  <c r="C22" i="14" s="1"/>
  <c r="R22" i="14" s="1"/>
  <c r="T22" i="14" s="1"/>
  <c r="J6" i="14"/>
  <c r="J34" i="14"/>
  <c r="J41" i="14"/>
  <c r="J14" i="14"/>
  <c r="J24" i="14"/>
  <c r="C24" i="14" s="1"/>
  <c r="R24" i="14" s="1"/>
  <c r="T24" i="14" s="1"/>
  <c r="J29" i="14"/>
  <c r="J42" i="14"/>
  <c r="J20" i="14"/>
  <c r="C20" i="14" s="1"/>
  <c r="R20" i="14" s="1"/>
  <c r="T20" i="14" s="1"/>
  <c r="J27" i="14"/>
  <c r="J36" i="14"/>
  <c r="C36" i="14" s="1"/>
  <c r="R36" i="14" s="1"/>
  <c r="T36" i="14" s="1"/>
  <c r="J11" i="14"/>
  <c r="C11" i="14" s="1"/>
  <c r="R11" i="14" s="1"/>
  <c r="T11" i="14" s="1"/>
  <c r="J10" i="14"/>
  <c r="J31" i="14"/>
  <c r="J7" i="14"/>
  <c r="J5" i="14"/>
  <c r="J35" i="14"/>
  <c r="J23" i="14"/>
  <c r="J17" i="14"/>
  <c r="J16" i="14"/>
  <c r="J37" i="14"/>
  <c r="J21" i="14"/>
  <c r="J30" i="14"/>
  <c r="J19" i="14"/>
  <c r="J15" i="14"/>
  <c r="J28" i="14"/>
  <c r="J9" i="14"/>
  <c r="J13" i="14"/>
  <c r="J18" i="14"/>
  <c r="J39" i="14"/>
  <c r="J25" i="14"/>
  <c r="J32" i="14"/>
  <c r="J26" i="14"/>
  <c r="J12" i="14"/>
  <c r="J8" i="14"/>
  <c r="J40" i="14"/>
  <c r="C8" i="14"/>
  <c r="R8" i="14" s="1"/>
  <c r="T8" i="14" s="1"/>
  <c r="C41" i="14"/>
  <c r="R41" i="14" s="1"/>
  <c r="T41" i="14" s="1"/>
  <c r="C31" i="14"/>
  <c r="R31" i="14" s="1"/>
  <c r="T31" i="14" s="1"/>
  <c r="C40" i="14"/>
  <c r="R40" i="14" s="1"/>
  <c r="T40" i="14" s="1"/>
  <c r="C26" i="14"/>
  <c r="R26" i="14" s="1"/>
  <c r="T26" i="14" s="1"/>
  <c r="E43" i="14"/>
  <c r="N43" i="14"/>
  <c r="L43" i="14"/>
  <c r="C14" i="14"/>
  <c r="R14" i="14" s="1"/>
  <c r="T14" i="14" s="1"/>
  <c r="C9" i="14"/>
  <c r="R9" i="14" s="1"/>
  <c r="T9" i="14" s="1"/>
  <c r="C16" i="14"/>
  <c r="R16" i="14" s="1"/>
  <c r="T16" i="14" s="1"/>
  <c r="C6" i="14"/>
  <c r="R6" i="14" s="1"/>
  <c r="T6" i="14" s="1"/>
  <c r="C10" i="14"/>
  <c r="R10" i="14" s="1"/>
  <c r="T10" i="14" s="1"/>
  <c r="C13" i="14"/>
  <c r="R13" i="14" s="1"/>
  <c r="T13" i="14" s="1"/>
  <c r="C19" i="14"/>
  <c r="R19" i="14" s="1"/>
  <c r="T19" i="14" s="1"/>
  <c r="C18" i="14"/>
  <c r="R18" i="14" s="1"/>
  <c r="T18" i="14" s="1"/>
  <c r="C15" i="14"/>
  <c r="R15" i="14" s="1"/>
  <c r="T15" i="14" s="1"/>
  <c r="C7" i="14"/>
  <c r="R7" i="14" s="1"/>
  <c r="T7" i="14" s="1"/>
  <c r="C12" i="14"/>
  <c r="R12" i="14" s="1"/>
  <c r="T12" i="14" s="1"/>
  <c r="G43" i="14"/>
  <c r="H43" i="14"/>
  <c r="C37" i="14"/>
  <c r="R37" i="14" s="1"/>
  <c r="T37" i="14" s="1"/>
  <c r="C23" i="14"/>
  <c r="R23" i="14" s="1"/>
  <c r="T23" i="14" s="1"/>
  <c r="C38" i="14"/>
  <c r="R38" i="14" s="1"/>
  <c r="T38" i="14" s="1"/>
  <c r="C30" i="14"/>
  <c r="R30" i="14" s="1"/>
  <c r="T30" i="14" s="1"/>
  <c r="C21" i="14"/>
  <c r="R21" i="14" s="1"/>
  <c r="T21" i="14" s="1"/>
  <c r="C39" i="14"/>
  <c r="R39" i="14" s="1"/>
  <c r="T39" i="14" s="1"/>
  <c r="C42" i="14"/>
  <c r="R42" i="14" s="1"/>
  <c r="T42" i="14" s="1"/>
  <c r="C25" i="14"/>
  <c r="R25" i="14" s="1"/>
  <c r="T25" i="14" s="1"/>
  <c r="I43" i="14"/>
  <c r="C35" i="14"/>
  <c r="R35" i="14" s="1"/>
  <c r="T35" i="14" s="1"/>
  <c r="D43" i="14"/>
  <c r="C5" i="14"/>
  <c r="R5" i="14" s="1"/>
  <c r="T5" i="14" s="1"/>
  <c r="K43" i="14"/>
  <c r="F43" i="14"/>
  <c r="C17" i="14"/>
  <c r="R17" i="14" s="1"/>
  <c r="T17" i="14" s="1"/>
  <c r="C28" i="14"/>
  <c r="R28" i="14" s="1"/>
  <c r="T28" i="14" s="1"/>
  <c r="C27" i="14"/>
  <c r="R27" i="14" s="1"/>
  <c r="T27" i="14" s="1"/>
  <c r="C34" i="14"/>
  <c r="R34" i="14" s="1"/>
  <c r="T34" i="14" s="1"/>
  <c r="C32" i="14"/>
  <c r="R32" i="14" s="1"/>
  <c r="T32" i="14" s="1"/>
  <c r="C29" i="14"/>
  <c r="R29" i="14" s="1"/>
  <c r="T29" i="14" s="1"/>
  <c r="E14" i="12"/>
  <c r="E26" i="12"/>
  <c r="F6" i="12"/>
  <c r="M14" i="12"/>
  <c r="K7" i="12"/>
  <c r="E19" i="12"/>
  <c r="E17" i="12"/>
  <c r="G17" i="12"/>
  <c r="H12" i="12"/>
  <c r="L12" i="12"/>
  <c r="H24" i="12"/>
  <c r="J22" i="12"/>
  <c r="G5" i="12"/>
  <c r="M39" i="12"/>
  <c r="L29" i="12"/>
  <c r="L28" i="12"/>
  <c r="E40" i="12"/>
  <c r="F14" i="12"/>
  <c r="M6" i="12"/>
  <c r="K5" i="12"/>
  <c r="E34" i="12"/>
  <c r="E22" i="12"/>
  <c r="H31" i="12"/>
  <c r="L5" i="12"/>
  <c r="H19" i="12"/>
  <c r="J17" i="12"/>
  <c r="G12" i="12"/>
  <c r="M24" i="12"/>
  <c r="L15" i="12"/>
  <c r="L36" i="12"/>
  <c r="L6" i="12"/>
  <c r="E31" i="12"/>
  <c r="K35" i="12"/>
  <c r="E39" i="12"/>
  <c r="G33" i="12"/>
  <c r="H40" i="12"/>
  <c r="L40" i="12"/>
  <c r="J23" i="12"/>
  <c r="G31" i="12"/>
  <c r="M19" i="12"/>
  <c r="L21" i="12"/>
  <c r="L10" i="12"/>
  <c r="E8" i="12"/>
  <c r="K40" i="12"/>
  <c r="E24" i="12"/>
  <c r="E16" i="12"/>
  <c r="G38" i="12"/>
  <c r="H5" i="12"/>
  <c r="L31" i="12"/>
  <c r="H9" i="12"/>
  <c r="J38" i="12"/>
  <c r="G35" i="12"/>
  <c r="M34" i="12"/>
  <c r="L41" i="12"/>
  <c r="L30" i="12"/>
  <c r="I7" i="12"/>
  <c r="G41" i="12"/>
  <c r="L17" i="12"/>
  <c r="K36" i="12"/>
  <c r="K15" i="12"/>
  <c r="G37" i="12"/>
  <c r="F22" i="12"/>
  <c r="F8" i="12"/>
  <c r="H17" i="12"/>
  <c r="M23" i="12"/>
  <c r="D29" i="12"/>
  <c r="D27" i="12"/>
  <c r="I37" i="12"/>
  <c r="F13" i="12"/>
  <c r="F28" i="12"/>
  <c r="F39" i="12"/>
  <c r="E28" i="12"/>
  <c r="E25" i="12"/>
  <c r="H41" i="12"/>
  <c r="H32" i="12"/>
  <c r="M32" i="12"/>
  <c r="M27" i="12"/>
  <c r="L37" i="12"/>
  <c r="J7" i="12"/>
  <c r="K16" i="12"/>
  <c r="J27" i="12"/>
  <c r="J18" i="12"/>
  <c r="M5" i="12"/>
  <c r="J24" i="12"/>
  <c r="I31" i="12"/>
  <c r="G28" i="12"/>
  <c r="G11" i="12"/>
  <c r="K30" i="12"/>
  <c r="K27" i="12"/>
  <c r="G39" i="12"/>
  <c r="F16" i="12"/>
  <c r="K34" i="12"/>
  <c r="H23" i="12"/>
  <c r="M38" i="12"/>
  <c r="I39" i="12"/>
  <c r="F27" i="12"/>
  <c r="F18" i="12"/>
  <c r="F24" i="12"/>
  <c r="E41" i="12"/>
  <c r="H27" i="12"/>
  <c r="H30" i="12"/>
  <c r="M30" i="12"/>
  <c r="M15" i="12"/>
  <c r="L24" i="12"/>
  <c r="J31" i="12"/>
  <c r="K33" i="12"/>
  <c r="J13" i="12"/>
  <c r="J28" i="12"/>
  <c r="M35" i="12"/>
  <c r="J34" i="12"/>
  <c r="I35" i="12"/>
  <c r="G32" i="12"/>
  <c r="G13" i="12"/>
  <c r="L22" i="12"/>
  <c r="K28" i="12"/>
  <c r="K11" i="12"/>
  <c r="G9" i="12"/>
  <c r="F35" i="12"/>
  <c r="K24" i="12"/>
  <c r="H22" i="12"/>
  <c r="I34" i="12"/>
  <c r="F25" i="12"/>
  <c r="F32" i="12"/>
  <c r="F37" i="12"/>
  <c r="E36" i="12"/>
  <c r="E29" i="12"/>
  <c r="H15" i="12"/>
  <c r="H42" i="12"/>
  <c r="M42" i="12"/>
  <c r="M21" i="12"/>
  <c r="L34" i="12"/>
  <c r="J35" i="12"/>
  <c r="K38" i="12"/>
  <c r="J21" i="12"/>
  <c r="J30" i="12"/>
  <c r="M31" i="12"/>
  <c r="D10" i="12"/>
  <c r="D32" i="12"/>
  <c r="D13" i="12"/>
  <c r="D41" i="12"/>
  <c r="I26" i="12"/>
  <c r="G42" i="12"/>
  <c r="G29" i="12"/>
  <c r="L33" i="12"/>
  <c r="K10" i="12"/>
  <c r="K21" i="12"/>
  <c r="G19" i="12"/>
  <c r="D6" i="12"/>
  <c r="F31" i="12"/>
  <c r="K20" i="12"/>
  <c r="H33" i="12"/>
  <c r="M33" i="12"/>
  <c r="D30" i="12"/>
  <c r="I20" i="12"/>
  <c r="F21" i="12"/>
  <c r="F30" i="12"/>
  <c r="F19" i="12"/>
  <c r="E18" i="12"/>
  <c r="E13" i="12"/>
  <c r="H21" i="12"/>
  <c r="H18" i="12"/>
  <c r="M10" i="12"/>
  <c r="M11" i="12"/>
  <c r="J40" i="12"/>
  <c r="K17" i="12"/>
  <c r="J15" i="12"/>
  <c r="J10" i="12"/>
  <c r="M7" i="12"/>
  <c r="J20" i="12"/>
  <c r="D22" i="12"/>
  <c r="D23" i="12"/>
  <c r="D34" i="12"/>
  <c r="D19" i="12"/>
  <c r="I22" i="12"/>
  <c r="D26" i="12"/>
  <c r="I29" i="12"/>
  <c r="I33" i="12"/>
  <c r="D24" i="12"/>
  <c r="D39" i="12"/>
  <c r="I16" i="12"/>
  <c r="D7" i="12"/>
  <c r="D16" i="12"/>
  <c r="D33" i="12"/>
  <c r="I11" i="12"/>
  <c r="D40" i="12"/>
  <c r="I17" i="12"/>
  <c r="I28" i="12"/>
  <c r="I15" i="12"/>
  <c r="I10" i="12"/>
  <c r="I42" i="12"/>
  <c r="I41" i="12"/>
  <c r="E6" i="12"/>
  <c r="K6" i="12"/>
  <c r="E5" i="12"/>
  <c r="G14" i="12"/>
  <c r="K12" i="12"/>
  <c r="E20" i="12"/>
  <c r="E38" i="12"/>
  <c r="G22" i="12"/>
  <c r="H7" i="12"/>
  <c r="L7" i="12"/>
  <c r="H37" i="12"/>
  <c r="J33" i="12"/>
  <c r="G8" i="12"/>
  <c r="J6" i="12"/>
  <c r="L27" i="12"/>
  <c r="L42" i="12"/>
  <c r="K14" i="12"/>
  <c r="E35" i="12"/>
  <c r="G6" i="12"/>
  <c r="K8" i="12"/>
  <c r="H14" i="12"/>
  <c r="E9" i="12"/>
  <c r="G16" i="12"/>
  <c r="H8" i="12"/>
  <c r="L26" i="12"/>
  <c r="H34" i="12"/>
  <c r="J16" i="12"/>
  <c r="G7" i="12"/>
  <c r="M37" i="12"/>
  <c r="L25" i="12"/>
  <c r="L18" i="12"/>
  <c r="E12" i="12"/>
  <c r="K26" i="12"/>
  <c r="H6" i="12"/>
  <c r="E33" i="12"/>
  <c r="H35" i="12"/>
  <c r="L35" i="12"/>
  <c r="H39" i="12"/>
  <c r="G40" i="12"/>
  <c r="M20" i="12"/>
  <c r="L11" i="12"/>
  <c r="L32" i="12"/>
  <c r="L14" i="12"/>
  <c r="E7" i="12"/>
  <c r="K31" i="12"/>
  <c r="E37" i="12"/>
  <c r="E23" i="12"/>
  <c r="G23" i="12"/>
  <c r="H26" i="12"/>
  <c r="L8" i="12"/>
  <c r="H20" i="12"/>
  <c r="G26" i="12"/>
  <c r="J14" i="12"/>
  <c r="M9" i="12"/>
  <c r="L13" i="12"/>
  <c r="I8" i="12"/>
  <c r="G10" i="12"/>
  <c r="G21" i="12"/>
  <c r="K42" i="12"/>
  <c r="K29" i="12"/>
  <c r="G34" i="12"/>
  <c r="F33" i="12"/>
  <c r="F7" i="12"/>
  <c r="K39" i="12"/>
  <c r="M16" i="12"/>
  <c r="D21" i="12"/>
  <c r="D11" i="12"/>
  <c r="I24" i="12"/>
  <c r="F41" i="12"/>
  <c r="F42" i="12"/>
  <c r="I6" i="12"/>
  <c r="F20" i="12"/>
  <c r="E10" i="12"/>
  <c r="E11" i="12"/>
  <c r="H13" i="12"/>
  <c r="H10" i="12"/>
  <c r="M18" i="12"/>
  <c r="M13" i="12"/>
  <c r="L20" i="12"/>
  <c r="J8" i="12"/>
  <c r="J29" i="12"/>
  <c r="J36" i="12"/>
  <c r="M26" i="12"/>
  <c r="J9" i="12"/>
  <c r="I12" i="12"/>
  <c r="G18" i="12"/>
  <c r="G25" i="12"/>
  <c r="L38" i="12"/>
  <c r="K32" i="12"/>
  <c r="K13" i="12"/>
  <c r="F17" i="12"/>
  <c r="F40" i="12"/>
  <c r="K37" i="12"/>
  <c r="H38" i="12"/>
  <c r="M17" i="12"/>
  <c r="F29" i="12"/>
  <c r="F36" i="12"/>
  <c r="F9" i="12"/>
  <c r="E42" i="12"/>
  <c r="E21" i="12"/>
  <c r="H29" i="12"/>
  <c r="M36" i="12"/>
  <c r="M29" i="12"/>
  <c r="L19" i="12"/>
  <c r="J5" i="12"/>
  <c r="J12" i="12"/>
  <c r="J41" i="12"/>
  <c r="J42" i="12"/>
  <c r="M40" i="12"/>
  <c r="J37" i="12"/>
  <c r="I40" i="12"/>
  <c r="G30" i="12"/>
  <c r="G27" i="12"/>
  <c r="L23" i="12"/>
  <c r="K18" i="12"/>
  <c r="K25" i="12"/>
  <c r="G20" i="12"/>
  <c r="F23" i="12"/>
  <c r="F26" i="12"/>
  <c r="K19" i="12"/>
  <c r="M22" i="12"/>
  <c r="I9" i="12"/>
  <c r="F15" i="12"/>
  <c r="F10" i="12"/>
  <c r="F34" i="12"/>
  <c r="E30" i="12"/>
  <c r="E15" i="12"/>
  <c r="H25" i="12"/>
  <c r="H28" i="12"/>
  <c r="M41" i="12"/>
  <c r="L39" i="12"/>
  <c r="D14" i="12"/>
  <c r="C14" i="12" s="1"/>
  <c r="Q14" i="12" s="1"/>
  <c r="S14" i="12" s="1"/>
  <c r="J26" i="12"/>
  <c r="K23" i="12"/>
  <c r="J11" i="12"/>
  <c r="M12" i="12"/>
  <c r="J19" i="12"/>
  <c r="D28" i="12"/>
  <c r="D42" i="12"/>
  <c r="D25" i="12"/>
  <c r="D15" i="12"/>
  <c r="I5" i="12"/>
  <c r="G36" i="12"/>
  <c r="G15" i="12"/>
  <c r="L16" i="12"/>
  <c r="K41" i="12"/>
  <c r="G24" i="12"/>
  <c r="F38" i="12"/>
  <c r="F5" i="12"/>
  <c r="F12" i="12"/>
  <c r="K9" i="12"/>
  <c r="H16" i="12"/>
  <c r="D18" i="12"/>
  <c r="D36" i="12"/>
  <c r="C36" i="12" s="1"/>
  <c r="Q36" i="12" s="1"/>
  <c r="S36" i="12" s="1"/>
  <c r="I19" i="12"/>
  <c r="F11" i="12"/>
  <c r="I14" i="12"/>
  <c r="E32" i="12"/>
  <c r="E27" i="12"/>
  <c r="H11" i="12"/>
  <c r="H36" i="12"/>
  <c r="M28" i="12"/>
  <c r="M25" i="12"/>
  <c r="L9" i="12"/>
  <c r="K22" i="12"/>
  <c r="J25" i="12"/>
  <c r="J32" i="12"/>
  <c r="M8" i="12"/>
  <c r="J39" i="12"/>
  <c r="I21" i="12"/>
  <c r="D17" i="12"/>
  <c r="D20" i="12"/>
  <c r="C20" i="12" s="1"/>
  <c r="Q20" i="12" s="1"/>
  <c r="S20" i="12" s="1"/>
  <c r="D9" i="12"/>
  <c r="D8" i="12"/>
  <c r="C8" i="12" s="1"/>
  <c r="Q8" i="12" s="1"/>
  <c r="S8" i="12" s="1"/>
  <c r="D5" i="12"/>
  <c r="I27" i="12"/>
  <c r="D37" i="12"/>
  <c r="I23" i="12"/>
  <c r="D35" i="12"/>
  <c r="D38" i="12"/>
  <c r="I30" i="12"/>
  <c r="D12" i="12"/>
  <c r="C12" i="12" s="1"/>
  <c r="Q12" i="12" s="1"/>
  <c r="S12" i="12" s="1"/>
  <c r="D31" i="12"/>
  <c r="I38" i="12"/>
  <c r="I36" i="12"/>
  <c r="I25" i="12"/>
  <c r="I32" i="12"/>
  <c r="I18" i="12"/>
  <c r="I13" i="12"/>
  <c r="C10" i="11"/>
  <c r="Q10" i="11" s="1"/>
  <c r="S10" i="11" s="1"/>
  <c r="C17" i="11"/>
  <c r="Q17" i="11" s="1"/>
  <c r="S17" i="11" s="1"/>
  <c r="C23" i="11"/>
  <c r="Q23" i="11" s="1"/>
  <c r="S23" i="11" s="1"/>
  <c r="C5" i="11"/>
  <c r="Q5" i="11" s="1"/>
  <c r="S5" i="11" s="1"/>
  <c r="D43" i="11"/>
  <c r="C7" i="11"/>
  <c r="Q7" i="11" s="1"/>
  <c r="S7" i="11" s="1"/>
  <c r="C40" i="11"/>
  <c r="Q40" i="11" s="1"/>
  <c r="S40" i="11" s="1"/>
  <c r="C8" i="11"/>
  <c r="Q8" i="11" s="1"/>
  <c r="S8" i="11" s="1"/>
  <c r="C33" i="11"/>
  <c r="Q33" i="11" s="1"/>
  <c r="S33" i="11" s="1"/>
  <c r="C35" i="11"/>
  <c r="Q35" i="11" s="1"/>
  <c r="S35" i="11" s="1"/>
  <c r="C32" i="11"/>
  <c r="Q32" i="11" s="1"/>
  <c r="S32" i="11" s="1"/>
  <c r="C31" i="11"/>
  <c r="Q31" i="11" s="1"/>
  <c r="S31" i="11" s="1"/>
  <c r="C12" i="11"/>
  <c r="Q12" i="11" s="1"/>
  <c r="S12" i="11" s="1"/>
  <c r="C37" i="11"/>
  <c r="Q37" i="11" s="1"/>
  <c r="S37" i="11" s="1"/>
  <c r="M43" i="11"/>
  <c r="C14" i="11"/>
  <c r="Q14" i="11" s="1"/>
  <c r="S14" i="11" s="1"/>
  <c r="C41" i="11"/>
  <c r="Q41" i="11" s="1"/>
  <c r="S41" i="11" s="1"/>
  <c r="C13" i="11"/>
  <c r="Q13" i="11" s="1"/>
  <c r="S13" i="11" s="1"/>
  <c r="F43" i="11"/>
  <c r="E43" i="11"/>
  <c r="C38" i="11"/>
  <c r="Q38" i="11" s="1"/>
  <c r="S38" i="11" s="1"/>
  <c r="C26" i="11"/>
  <c r="Q26" i="11" s="1"/>
  <c r="S26" i="11" s="1"/>
  <c r="C16" i="11"/>
  <c r="Q16" i="11" s="1"/>
  <c r="S16" i="11" s="1"/>
  <c r="H43" i="11"/>
  <c r="C9" i="11"/>
  <c r="Q9" i="11" s="1"/>
  <c r="S9" i="11" s="1"/>
  <c r="C18" i="11"/>
  <c r="Q18" i="11" s="1"/>
  <c r="S18" i="11" s="1"/>
  <c r="C20" i="11"/>
  <c r="Q20" i="11" s="1"/>
  <c r="S20" i="11" s="1"/>
  <c r="C6" i="11"/>
  <c r="Q6" i="11" s="1"/>
  <c r="S6" i="11" s="1"/>
  <c r="C24" i="11"/>
  <c r="Q24" i="11" s="1"/>
  <c r="S24" i="11" s="1"/>
  <c r="C29" i="11"/>
  <c r="Q29" i="11" s="1"/>
  <c r="S29" i="11" s="1"/>
  <c r="C42" i="11"/>
  <c r="Q42" i="11" s="1"/>
  <c r="S42" i="11" s="1"/>
  <c r="C19" i="11"/>
  <c r="Q19" i="11" s="1"/>
  <c r="S19" i="11" s="1"/>
  <c r="L43" i="11"/>
  <c r="G43" i="11"/>
  <c r="J43" i="11"/>
  <c r="C34" i="11"/>
  <c r="Q34" i="11" s="1"/>
  <c r="S34" i="11" s="1"/>
  <c r="C28" i="11"/>
  <c r="Q28" i="11" s="1"/>
  <c r="S28" i="11" s="1"/>
  <c r="C11" i="11"/>
  <c r="Q11" i="11" s="1"/>
  <c r="S11" i="11" s="1"/>
  <c r="P43" i="10"/>
  <c r="C43" i="10" s="1"/>
  <c r="J43" i="14" l="1"/>
  <c r="C38" i="12"/>
  <c r="Q38" i="12" s="1"/>
  <c r="S38" i="12" s="1"/>
  <c r="I43" i="12"/>
  <c r="C25" i="12"/>
  <c r="Q25" i="12" s="1"/>
  <c r="S25" i="12" s="1"/>
  <c r="C28" i="12"/>
  <c r="Q28" i="12" s="1"/>
  <c r="S28" i="12" s="1"/>
  <c r="C21" i="12"/>
  <c r="Q21" i="12" s="1"/>
  <c r="S21" i="12" s="1"/>
  <c r="C40" i="12"/>
  <c r="Q40" i="12" s="1"/>
  <c r="S40" i="12" s="1"/>
  <c r="C33" i="12"/>
  <c r="Q33" i="12" s="1"/>
  <c r="S33" i="12" s="1"/>
  <c r="C7" i="12"/>
  <c r="Q7" i="12" s="1"/>
  <c r="S7" i="12" s="1"/>
  <c r="C39" i="12"/>
  <c r="Q39" i="12" s="1"/>
  <c r="S39" i="12" s="1"/>
  <c r="C26" i="12"/>
  <c r="Q26" i="12" s="1"/>
  <c r="S26" i="12" s="1"/>
  <c r="C19" i="12"/>
  <c r="Q19" i="12" s="1"/>
  <c r="S19" i="12" s="1"/>
  <c r="C23" i="12"/>
  <c r="Q23" i="12" s="1"/>
  <c r="S23" i="12" s="1"/>
  <c r="C30" i="12"/>
  <c r="Q30" i="12" s="1"/>
  <c r="S30" i="12" s="1"/>
  <c r="C13" i="12"/>
  <c r="Q13" i="12" s="1"/>
  <c r="S13" i="12" s="1"/>
  <c r="C10" i="12"/>
  <c r="Q10" i="12" s="1"/>
  <c r="S10" i="12" s="1"/>
  <c r="M43" i="12"/>
  <c r="C27" i="12"/>
  <c r="Q27" i="12" s="1"/>
  <c r="S27" i="12" s="1"/>
  <c r="G43" i="12"/>
  <c r="C31" i="12"/>
  <c r="Q31" i="12" s="1"/>
  <c r="S31" i="12" s="1"/>
  <c r="C35" i="12"/>
  <c r="Q35" i="12" s="1"/>
  <c r="S35" i="12" s="1"/>
  <c r="C37" i="12"/>
  <c r="Q37" i="12" s="1"/>
  <c r="S37" i="12" s="1"/>
  <c r="D43" i="12"/>
  <c r="C5" i="12"/>
  <c r="Q5" i="12" s="1"/>
  <c r="S5" i="12" s="1"/>
  <c r="C9" i="12"/>
  <c r="Q9" i="12" s="1"/>
  <c r="S9" i="12" s="1"/>
  <c r="C17" i="12"/>
  <c r="Q17" i="12" s="1"/>
  <c r="S17" i="12" s="1"/>
  <c r="C18" i="12"/>
  <c r="Q18" i="12" s="1"/>
  <c r="S18" i="12" s="1"/>
  <c r="F43" i="12"/>
  <c r="C15" i="12"/>
  <c r="Q15" i="12" s="1"/>
  <c r="S15" i="12" s="1"/>
  <c r="C42" i="12"/>
  <c r="Q42" i="12" s="1"/>
  <c r="S42" i="12" s="1"/>
  <c r="J43" i="12"/>
  <c r="C11" i="12"/>
  <c r="Q11" i="12" s="1"/>
  <c r="S11" i="12" s="1"/>
  <c r="E43" i="12"/>
  <c r="C16" i="12"/>
  <c r="Q16" i="12" s="1"/>
  <c r="S16" i="12" s="1"/>
  <c r="C24" i="12"/>
  <c r="Q24" i="12" s="1"/>
  <c r="S24" i="12" s="1"/>
  <c r="C34" i="12"/>
  <c r="Q34" i="12" s="1"/>
  <c r="S34" i="12" s="1"/>
  <c r="C22" i="12"/>
  <c r="Q22" i="12" s="1"/>
  <c r="S22" i="12" s="1"/>
  <c r="C6" i="12"/>
  <c r="Q6" i="12" s="1"/>
  <c r="S6" i="12" s="1"/>
  <c r="C41" i="12"/>
  <c r="Q41" i="12" s="1"/>
  <c r="S41" i="12" s="1"/>
  <c r="C32" i="12"/>
  <c r="Q32" i="12" s="1"/>
  <c r="S32" i="12" s="1"/>
  <c r="C29" i="12"/>
  <c r="Q29" i="12" s="1"/>
  <c r="S29" i="12" s="1"/>
  <c r="H43" i="12"/>
  <c r="L43" i="12"/>
  <c r="K43" i="12"/>
  <c r="H6" i="10"/>
  <c r="E37" i="10"/>
  <c r="G33" i="10"/>
  <c r="J39" i="10"/>
  <c r="L23" i="10"/>
  <c r="G39" i="10"/>
  <c r="L39" i="10"/>
  <c r="F23" i="10"/>
  <c r="K24" i="10"/>
  <c r="F37" i="10"/>
  <c r="M38" i="10"/>
  <c r="E26" i="10"/>
  <c r="M19" i="10"/>
  <c r="K16" i="10"/>
  <c r="H7" i="10"/>
  <c r="L7" i="10"/>
  <c r="H19" i="10"/>
  <c r="I6" i="10"/>
  <c r="G23" i="10"/>
  <c r="J20" i="10"/>
  <c r="L33" i="10"/>
  <c r="G19" i="10"/>
  <c r="L34" i="10"/>
  <c r="F33" i="10"/>
  <c r="K37" i="10"/>
  <c r="F24" i="10"/>
  <c r="H22" i="10"/>
  <c r="M23" i="10"/>
  <c r="E31" i="10"/>
  <c r="M37" i="10"/>
  <c r="K14" i="10"/>
  <c r="H40" i="10"/>
  <c r="L26" i="10"/>
  <c r="H24" i="10"/>
  <c r="J22" i="10"/>
  <c r="I14" i="10"/>
  <c r="E20" i="10"/>
  <c r="G38" i="10"/>
  <c r="J19" i="10"/>
  <c r="E6" i="10"/>
  <c r="G37" i="10"/>
  <c r="L20" i="10"/>
  <c r="F16" i="10"/>
  <c r="K9" i="10"/>
  <c r="F9" i="10"/>
  <c r="M17" i="10"/>
  <c r="E7" i="10"/>
  <c r="M9" i="10"/>
  <c r="K6" i="10"/>
  <c r="H12" i="10"/>
  <c r="L40" i="10"/>
  <c r="H39" i="10"/>
  <c r="J23" i="10"/>
  <c r="E24" i="10"/>
  <c r="G17" i="10"/>
  <c r="J37" i="10"/>
  <c r="L17" i="10"/>
  <c r="F6" i="10"/>
  <c r="L24" i="10"/>
  <c r="F22" i="10"/>
  <c r="K39" i="10"/>
  <c r="F39" i="10"/>
  <c r="H33" i="10"/>
  <c r="M22" i="10"/>
  <c r="J14" i="10"/>
  <c r="M20" i="10"/>
  <c r="K22" i="10"/>
  <c r="H5" i="10"/>
  <c r="L31" i="10"/>
  <c r="H9" i="10"/>
  <c r="I5" i="10"/>
  <c r="I12" i="10"/>
  <c r="E11" i="10"/>
  <c r="G27" i="10"/>
  <c r="G42" i="10"/>
  <c r="M5" i="10"/>
  <c r="M12" i="10"/>
  <c r="M15" i="10"/>
  <c r="M10" i="10"/>
  <c r="J5" i="10"/>
  <c r="K25" i="10"/>
  <c r="K18" i="10"/>
  <c r="H29" i="10"/>
  <c r="D38" i="10"/>
  <c r="F32" i="10"/>
  <c r="F13" i="10"/>
  <c r="E22" i="10"/>
  <c r="D42" i="10"/>
  <c r="I37" i="10"/>
  <c r="L32" i="10"/>
  <c r="L27" i="10"/>
  <c r="I38" i="10"/>
  <c r="J36" i="10"/>
  <c r="J15" i="10"/>
  <c r="G8" i="10"/>
  <c r="F5" i="10"/>
  <c r="K26" i="10"/>
  <c r="D15" i="10"/>
  <c r="D29" i="10"/>
  <c r="I26" i="10"/>
  <c r="E15" i="10"/>
  <c r="E10" i="10"/>
  <c r="G25" i="10"/>
  <c r="G18" i="10"/>
  <c r="M8" i="10"/>
  <c r="M11" i="10"/>
  <c r="J12" i="10"/>
  <c r="K11" i="10"/>
  <c r="K32" i="10"/>
  <c r="H28" i="10"/>
  <c r="H27" i="10"/>
  <c r="D23" i="10"/>
  <c r="F36" i="10"/>
  <c r="F15" i="10"/>
  <c r="E16" i="10"/>
  <c r="L36" i="10"/>
  <c r="L29" i="10"/>
  <c r="I23" i="10"/>
  <c r="J32" i="10"/>
  <c r="J13" i="10"/>
  <c r="G12" i="10"/>
  <c r="F7" i="10"/>
  <c r="D16" i="10"/>
  <c r="K40" i="10"/>
  <c r="E29" i="10"/>
  <c r="E36" i="10"/>
  <c r="G11" i="10"/>
  <c r="G32" i="10"/>
  <c r="M40" i="10"/>
  <c r="M13" i="10"/>
  <c r="M28" i="10"/>
  <c r="J40" i="10"/>
  <c r="K41" i="10"/>
  <c r="K30" i="10"/>
  <c r="H10" i="10"/>
  <c r="H11" i="10"/>
  <c r="F41" i="10"/>
  <c r="E23" i="10"/>
  <c r="D21" i="10"/>
  <c r="D41" i="10"/>
  <c r="I20" i="10"/>
  <c r="L41" i="10"/>
  <c r="I17" i="10"/>
  <c r="J18" i="10"/>
  <c r="J25" i="10"/>
  <c r="G5" i="10"/>
  <c r="D6" i="10"/>
  <c r="F31" i="10"/>
  <c r="K8" i="10"/>
  <c r="D30" i="10"/>
  <c r="D36" i="10"/>
  <c r="I8" i="10"/>
  <c r="E13" i="10"/>
  <c r="E28" i="10"/>
  <c r="G13" i="10"/>
  <c r="M35" i="10"/>
  <c r="M29" i="10"/>
  <c r="M36" i="10"/>
  <c r="J26" i="10"/>
  <c r="K27" i="10"/>
  <c r="K42" i="10"/>
  <c r="H36" i="10"/>
  <c r="H41" i="10"/>
  <c r="F18" i="10"/>
  <c r="F25" i="10"/>
  <c r="E38" i="10"/>
  <c r="I24" i="10"/>
  <c r="L10" i="10"/>
  <c r="L11" i="10"/>
  <c r="I22" i="10"/>
  <c r="J41" i="10"/>
  <c r="G35" i="10"/>
  <c r="F26" i="10"/>
  <c r="D17" i="10"/>
  <c r="K7" i="10"/>
  <c r="D20" i="10"/>
  <c r="I27" i="10"/>
  <c r="D12" i="10"/>
  <c r="D24" i="10"/>
  <c r="I42" i="10"/>
  <c r="D37" i="10"/>
  <c r="I18" i="10"/>
  <c r="D35" i="10"/>
  <c r="D19" i="10"/>
  <c r="D5" i="10"/>
  <c r="D40" i="10"/>
  <c r="I32" i="10"/>
  <c r="I10" i="10"/>
  <c r="I36" i="10"/>
  <c r="I29" i="10"/>
  <c r="I28" i="10"/>
  <c r="H14" i="10"/>
  <c r="E34" i="10"/>
  <c r="G16" i="10"/>
  <c r="L16" i="10"/>
  <c r="M14" i="10"/>
  <c r="G34" i="10"/>
  <c r="F38" i="10"/>
  <c r="K19" i="10"/>
  <c r="F34" i="10"/>
  <c r="H38" i="10"/>
  <c r="E35" i="10"/>
  <c r="J6" i="10"/>
  <c r="K33" i="10"/>
  <c r="H26" i="10"/>
  <c r="L8" i="10"/>
  <c r="H20" i="10"/>
  <c r="J16" i="10"/>
  <c r="E19" i="10"/>
  <c r="G22" i="10"/>
  <c r="J9" i="10"/>
  <c r="M6" i="10"/>
  <c r="G24" i="10"/>
  <c r="L9" i="10"/>
  <c r="L14" i="10"/>
  <c r="K20" i="10"/>
  <c r="F19" i="10"/>
  <c r="H17" i="10"/>
  <c r="E5" i="10"/>
  <c r="E12" i="10"/>
  <c r="M34" i="10"/>
  <c r="K17" i="10"/>
  <c r="H31" i="10"/>
  <c r="L5" i="10"/>
  <c r="H37" i="10"/>
  <c r="J17" i="10"/>
  <c r="E39" i="10"/>
  <c r="G6" i="10"/>
  <c r="J24" i="10"/>
  <c r="L22" i="10"/>
  <c r="F14" i="10"/>
  <c r="G20" i="10"/>
  <c r="L19" i="10"/>
  <c r="L6" i="10"/>
  <c r="F20" i="10"/>
  <c r="H23" i="10"/>
  <c r="M16" i="10"/>
  <c r="E8" i="10"/>
  <c r="M24" i="10"/>
  <c r="K38" i="10"/>
  <c r="H35" i="10"/>
  <c r="L35" i="10"/>
  <c r="J38" i="10"/>
  <c r="E9" i="10"/>
  <c r="G14" i="10"/>
  <c r="J34" i="10"/>
  <c r="L38" i="10"/>
  <c r="E14" i="10"/>
  <c r="G9" i="10"/>
  <c r="L37" i="10"/>
  <c r="F17" i="10"/>
  <c r="K34" i="10"/>
  <c r="H16" i="10"/>
  <c r="M33" i="10"/>
  <c r="E40" i="10"/>
  <c r="M39" i="10"/>
  <c r="K23" i="10"/>
  <c r="H8" i="10"/>
  <c r="L12" i="10"/>
  <c r="H34" i="10"/>
  <c r="J33" i="10"/>
  <c r="I31" i="10"/>
  <c r="E21" i="10"/>
  <c r="E30" i="10"/>
  <c r="G29" i="10"/>
  <c r="G28" i="10"/>
  <c r="M31" i="10"/>
  <c r="M25" i="10"/>
  <c r="M32" i="10"/>
  <c r="J8" i="10"/>
  <c r="K15" i="10"/>
  <c r="K36" i="10"/>
  <c r="H30" i="10"/>
  <c r="H15" i="10"/>
  <c r="F30" i="10"/>
  <c r="F27" i="10"/>
  <c r="E33" i="10"/>
  <c r="D18" i="10"/>
  <c r="C18" i="10" s="1"/>
  <c r="Q18" i="10" s="1"/>
  <c r="S18" i="10" s="1"/>
  <c r="D32" i="10"/>
  <c r="I34" i="10"/>
  <c r="L18" i="10"/>
  <c r="L13" i="10"/>
  <c r="J42" i="10"/>
  <c r="J29" i="10"/>
  <c r="G31" i="10"/>
  <c r="F8" i="10"/>
  <c r="K5" i="10"/>
  <c r="D11" i="10"/>
  <c r="D25" i="10"/>
  <c r="I35" i="10"/>
  <c r="E25" i="10"/>
  <c r="E32" i="10"/>
  <c r="G15" i="10"/>
  <c r="G36" i="10"/>
  <c r="M7" i="10"/>
  <c r="M21" i="10"/>
  <c r="M30" i="10"/>
  <c r="J7" i="10"/>
  <c r="K21" i="10"/>
  <c r="K10" i="10"/>
  <c r="H18" i="10"/>
  <c r="H13" i="10"/>
  <c r="F42" i="10"/>
  <c r="F29" i="10"/>
  <c r="E17" i="10"/>
  <c r="I19" i="10"/>
  <c r="L30" i="10"/>
  <c r="L15" i="10"/>
  <c r="J30" i="10"/>
  <c r="J27" i="10"/>
  <c r="G7" i="10"/>
  <c r="F12" i="10"/>
  <c r="D22" i="10"/>
  <c r="K35" i="10"/>
  <c r="I40" i="10"/>
  <c r="E27" i="10"/>
  <c r="E18" i="10"/>
  <c r="G21" i="10"/>
  <c r="G10" i="10"/>
  <c r="M41" i="10"/>
  <c r="M42" i="10"/>
  <c r="D14" i="10"/>
  <c r="C14" i="10" s="1"/>
  <c r="Q14" i="10" s="1"/>
  <c r="S14" i="10" s="1"/>
  <c r="J31" i="10"/>
  <c r="K13" i="10"/>
  <c r="H32" i="10"/>
  <c r="H25" i="10"/>
  <c r="F10" i="10"/>
  <c r="F21" i="10"/>
  <c r="D13" i="10"/>
  <c r="D27" i="10"/>
  <c r="I39" i="10"/>
  <c r="L42" i="10"/>
  <c r="L21" i="10"/>
  <c r="I16" i="10"/>
  <c r="J28" i="10"/>
  <c r="J11" i="10"/>
  <c r="G26" i="10"/>
  <c r="F40" i="10"/>
  <c r="K31" i="10"/>
  <c r="D10" i="10"/>
  <c r="C10" i="10" s="1"/>
  <c r="Q10" i="10" s="1"/>
  <c r="S10" i="10" s="1"/>
  <c r="D28" i="10"/>
  <c r="I7" i="10"/>
  <c r="E41" i="10"/>
  <c r="E42" i="10"/>
  <c r="G41" i="10"/>
  <c r="G30" i="10"/>
  <c r="M26" i="10"/>
  <c r="M27" i="10"/>
  <c r="M18" i="10"/>
  <c r="J35" i="10"/>
  <c r="K29" i="10"/>
  <c r="K28" i="10"/>
  <c r="H42" i="10"/>
  <c r="H21" i="10"/>
  <c r="F28" i="10"/>
  <c r="F11" i="10"/>
  <c r="I9" i="10"/>
  <c r="L28" i="10"/>
  <c r="L25" i="10"/>
  <c r="I33" i="10"/>
  <c r="J10" i="10"/>
  <c r="J21" i="10"/>
  <c r="G40" i="10"/>
  <c r="F35" i="10"/>
  <c r="D33" i="10"/>
  <c r="K12" i="10"/>
  <c r="D34" i="10"/>
  <c r="D26" i="10"/>
  <c r="C26" i="10" s="1"/>
  <c r="Q26" i="10" s="1"/>
  <c r="S26" i="10" s="1"/>
  <c r="D31" i="10"/>
  <c r="I41" i="10"/>
  <c r="D9" i="10"/>
  <c r="I21" i="10"/>
  <c r="D7" i="10"/>
  <c r="D39" i="10"/>
  <c r="C39" i="10" s="1"/>
  <c r="Q39" i="10" s="1"/>
  <c r="S39" i="10" s="1"/>
  <c r="D8" i="10"/>
  <c r="I13" i="10"/>
  <c r="I25" i="10"/>
  <c r="I30" i="10"/>
  <c r="I11" i="10"/>
  <c r="I15" i="10"/>
  <c r="C27" i="10" l="1"/>
  <c r="Q27" i="10" s="1"/>
  <c r="S27" i="10" s="1"/>
  <c r="C11" i="10"/>
  <c r="Q11" i="10" s="1"/>
  <c r="S11" i="10" s="1"/>
  <c r="L43" i="10"/>
  <c r="C40" i="10"/>
  <c r="Q40" i="10" s="1"/>
  <c r="S40" i="10" s="1"/>
  <c r="C19" i="10"/>
  <c r="Q19" i="10" s="1"/>
  <c r="S19" i="10" s="1"/>
  <c r="C12" i="10"/>
  <c r="Q12" i="10" s="1"/>
  <c r="S12" i="10" s="1"/>
  <c r="C20" i="10"/>
  <c r="Q20" i="10" s="1"/>
  <c r="S20" i="10" s="1"/>
  <c r="C17" i="10"/>
  <c r="Q17" i="10" s="1"/>
  <c r="S17" i="10" s="1"/>
  <c r="C30" i="10"/>
  <c r="Q30" i="10" s="1"/>
  <c r="S30" i="10" s="1"/>
  <c r="G43" i="10"/>
  <c r="C41" i="10"/>
  <c r="Q41" i="10" s="1"/>
  <c r="S41" i="10" s="1"/>
  <c r="C23" i="10"/>
  <c r="Q23" i="10" s="1"/>
  <c r="S23" i="10" s="1"/>
  <c r="C15" i="10"/>
  <c r="Q15" i="10" s="1"/>
  <c r="S15" i="10" s="1"/>
  <c r="F43" i="10"/>
  <c r="C42" i="10"/>
  <c r="Q42" i="10" s="1"/>
  <c r="S42" i="10" s="1"/>
  <c r="C38" i="10"/>
  <c r="Q38" i="10" s="1"/>
  <c r="S38" i="10" s="1"/>
  <c r="J43" i="10"/>
  <c r="M43" i="10"/>
  <c r="H43" i="10"/>
  <c r="C8" i="10"/>
  <c r="Q8" i="10" s="1"/>
  <c r="S8" i="10" s="1"/>
  <c r="C7" i="10"/>
  <c r="Q7" i="10" s="1"/>
  <c r="S7" i="10" s="1"/>
  <c r="C9" i="10"/>
  <c r="Q9" i="10" s="1"/>
  <c r="S9" i="10" s="1"/>
  <c r="C31" i="10"/>
  <c r="Q31" i="10" s="1"/>
  <c r="S31" i="10" s="1"/>
  <c r="C34" i="10"/>
  <c r="Q34" i="10" s="1"/>
  <c r="S34" i="10" s="1"/>
  <c r="C33" i="10"/>
  <c r="Q33" i="10" s="1"/>
  <c r="S33" i="10" s="1"/>
  <c r="C28" i="10"/>
  <c r="Q28" i="10" s="1"/>
  <c r="S28" i="10" s="1"/>
  <c r="C13" i="10"/>
  <c r="Q13" i="10" s="1"/>
  <c r="S13" i="10" s="1"/>
  <c r="C22" i="10"/>
  <c r="Q22" i="10" s="1"/>
  <c r="S22" i="10" s="1"/>
  <c r="C25" i="10"/>
  <c r="Q25" i="10" s="1"/>
  <c r="S25" i="10" s="1"/>
  <c r="K43" i="10"/>
  <c r="C32" i="10"/>
  <c r="Q32" i="10" s="1"/>
  <c r="S32" i="10" s="1"/>
  <c r="E43" i="10"/>
  <c r="C5" i="10"/>
  <c r="Q5" i="10" s="1"/>
  <c r="S5" i="10" s="1"/>
  <c r="D43" i="10"/>
  <c r="C35" i="10"/>
  <c r="Q35" i="10" s="1"/>
  <c r="S35" i="10" s="1"/>
  <c r="C37" i="10"/>
  <c r="Q37" i="10" s="1"/>
  <c r="S37" i="10" s="1"/>
  <c r="C24" i="10"/>
  <c r="Q24" i="10" s="1"/>
  <c r="S24" i="10" s="1"/>
  <c r="C36" i="10"/>
  <c r="Q36" i="10" s="1"/>
  <c r="S36" i="10" s="1"/>
  <c r="C6" i="10"/>
  <c r="Q6" i="10" s="1"/>
  <c r="S6" i="10" s="1"/>
  <c r="C21" i="10"/>
  <c r="Q21" i="10" s="1"/>
  <c r="S21" i="10" s="1"/>
  <c r="C16" i="10"/>
  <c r="Q16" i="10" s="1"/>
  <c r="S16" i="10" s="1"/>
  <c r="C29" i="10"/>
  <c r="Q29" i="10" s="1"/>
  <c r="S29" i="10" s="1"/>
  <c r="I43" i="10"/>
  <c r="M150" i="8" l="1"/>
  <c r="S43" i="9" l="1"/>
  <c r="M383" i="9" l="1"/>
  <c r="L383" i="9"/>
  <c r="K383" i="9"/>
  <c r="J383" i="9"/>
  <c r="I383" i="9"/>
  <c r="H383" i="9"/>
  <c r="G383" i="9"/>
  <c r="D383" i="9"/>
  <c r="F371" i="9"/>
  <c r="F383" i="9" s="1"/>
  <c r="M341" i="9"/>
  <c r="L341" i="9"/>
  <c r="K341" i="9"/>
  <c r="J341" i="9"/>
  <c r="I341" i="9"/>
  <c r="H341" i="9"/>
  <c r="G341" i="9"/>
  <c r="F341" i="9"/>
  <c r="D341" i="9"/>
  <c r="M299" i="9"/>
  <c r="L299" i="9"/>
  <c r="K299" i="9"/>
  <c r="J299" i="9"/>
  <c r="I299" i="9"/>
  <c r="H299" i="9"/>
  <c r="G299" i="9"/>
  <c r="F299" i="9"/>
  <c r="D299" i="9"/>
  <c r="E288" i="9"/>
  <c r="E277" i="9"/>
  <c r="E274" i="9"/>
  <c r="M256" i="9"/>
  <c r="M214" i="9" s="1"/>
  <c r="L256" i="9"/>
  <c r="K256" i="9"/>
  <c r="K214" i="9" s="1"/>
  <c r="J256" i="9"/>
  <c r="I256" i="9"/>
  <c r="I214" i="9" s="1"/>
  <c r="H256" i="9"/>
  <c r="G256" i="9"/>
  <c r="G214" i="9" s="1"/>
  <c r="D256" i="9"/>
  <c r="M255" i="9"/>
  <c r="L255" i="9"/>
  <c r="K255" i="9"/>
  <c r="J255" i="9"/>
  <c r="I255" i="9"/>
  <c r="H255" i="9"/>
  <c r="G255" i="9"/>
  <c r="D255" i="9"/>
  <c r="M254" i="9"/>
  <c r="L254" i="9"/>
  <c r="K254" i="9"/>
  <c r="J254" i="9"/>
  <c r="I254" i="9"/>
  <c r="H254" i="9"/>
  <c r="G254" i="9"/>
  <c r="D254" i="9"/>
  <c r="M253" i="9"/>
  <c r="M211" i="9" s="1"/>
  <c r="L253" i="9"/>
  <c r="K253" i="9"/>
  <c r="K211" i="9" s="1"/>
  <c r="J253" i="9"/>
  <c r="I253" i="9"/>
  <c r="I211" i="9" s="1"/>
  <c r="H253" i="9"/>
  <c r="G253" i="9"/>
  <c r="G211" i="9" s="1"/>
  <c r="D253" i="9"/>
  <c r="M252" i="9"/>
  <c r="M210" i="9" s="1"/>
  <c r="L252" i="9"/>
  <c r="K252" i="9"/>
  <c r="K210" i="9" s="1"/>
  <c r="J252" i="9"/>
  <c r="I252" i="9"/>
  <c r="I210" i="9" s="1"/>
  <c r="H252" i="9"/>
  <c r="G252" i="9"/>
  <c r="G210" i="9" s="1"/>
  <c r="D252" i="9"/>
  <c r="M251" i="9"/>
  <c r="L251" i="9"/>
  <c r="K251" i="9"/>
  <c r="J251" i="9"/>
  <c r="I251" i="9"/>
  <c r="H251" i="9"/>
  <c r="G251" i="9"/>
  <c r="D251" i="9"/>
  <c r="M250" i="9"/>
  <c r="L250" i="9"/>
  <c r="K250" i="9"/>
  <c r="J250" i="9"/>
  <c r="I250" i="9"/>
  <c r="H250" i="9"/>
  <c r="G250" i="9"/>
  <c r="D250" i="9"/>
  <c r="M249" i="9"/>
  <c r="M207" i="9" s="1"/>
  <c r="L249" i="9"/>
  <c r="K249" i="9"/>
  <c r="K207" i="9" s="1"/>
  <c r="J249" i="9"/>
  <c r="I249" i="9"/>
  <c r="I207" i="9" s="1"/>
  <c r="H249" i="9"/>
  <c r="G249" i="9"/>
  <c r="G207" i="9" s="1"/>
  <c r="D249" i="9"/>
  <c r="M248" i="9"/>
  <c r="M206" i="9" s="1"/>
  <c r="L248" i="9"/>
  <c r="K248" i="9"/>
  <c r="K206" i="9" s="1"/>
  <c r="J248" i="9"/>
  <c r="I248" i="9"/>
  <c r="I206" i="9" s="1"/>
  <c r="H248" i="9"/>
  <c r="G248" i="9"/>
  <c r="G206" i="9" s="1"/>
  <c r="D248" i="9"/>
  <c r="M247" i="9"/>
  <c r="L247" i="9"/>
  <c r="K247" i="9"/>
  <c r="J247" i="9"/>
  <c r="I247" i="9"/>
  <c r="H247" i="9"/>
  <c r="G247" i="9"/>
  <c r="D247" i="9"/>
  <c r="M246" i="9"/>
  <c r="L246" i="9"/>
  <c r="K246" i="9"/>
  <c r="J246" i="9"/>
  <c r="I246" i="9"/>
  <c r="H246" i="9"/>
  <c r="G246" i="9"/>
  <c r="D246" i="9"/>
  <c r="M245" i="9"/>
  <c r="M203" i="9" s="1"/>
  <c r="L245" i="9"/>
  <c r="K245" i="9"/>
  <c r="K203" i="9" s="1"/>
  <c r="J245" i="9"/>
  <c r="I245" i="9"/>
  <c r="I203" i="9" s="1"/>
  <c r="H245" i="9"/>
  <c r="G245" i="9"/>
  <c r="G203" i="9" s="1"/>
  <c r="D245" i="9"/>
  <c r="M244" i="9"/>
  <c r="M202" i="9" s="1"/>
  <c r="L244" i="9"/>
  <c r="K244" i="9"/>
  <c r="K202" i="9" s="1"/>
  <c r="J244" i="9"/>
  <c r="I244" i="9"/>
  <c r="I202" i="9" s="1"/>
  <c r="H244" i="9"/>
  <c r="G244" i="9"/>
  <c r="G202" i="9" s="1"/>
  <c r="D244" i="9"/>
  <c r="M243" i="9"/>
  <c r="L243" i="9"/>
  <c r="K243" i="9"/>
  <c r="J243" i="9"/>
  <c r="I243" i="9"/>
  <c r="H243" i="9"/>
  <c r="G243" i="9"/>
  <c r="D243" i="9"/>
  <c r="M242" i="9"/>
  <c r="L242" i="9"/>
  <c r="K242" i="9"/>
  <c r="J242" i="9"/>
  <c r="I242" i="9"/>
  <c r="H242" i="9"/>
  <c r="G242" i="9"/>
  <c r="D242" i="9"/>
  <c r="M241" i="9"/>
  <c r="M199" i="9" s="1"/>
  <c r="L241" i="9"/>
  <c r="K241" i="9"/>
  <c r="K199" i="9" s="1"/>
  <c r="J241" i="9"/>
  <c r="I241" i="9"/>
  <c r="I199" i="9" s="1"/>
  <c r="H241" i="9"/>
  <c r="G241" i="9"/>
  <c r="G199" i="9" s="1"/>
  <c r="D241" i="9"/>
  <c r="M240" i="9"/>
  <c r="M198" i="9" s="1"/>
  <c r="L240" i="9"/>
  <c r="K240" i="9"/>
  <c r="K198" i="9" s="1"/>
  <c r="J240" i="9"/>
  <c r="I240" i="9"/>
  <c r="I198" i="9" s="1"/>
  <c r="H240" i="9"/>
  <c r="G240" i="9"/>
  <c r="G198" i="9" s="1"/>
  <c r="D240" i="9"/>
  <c r="M239" i="9"/>
  <c r="L239" i="9"/>
  <c r="K239" i="9"/>
  <c r="J239" i="9"/>
  <c r="I239" i="9"/>
  <c r="H239" i="9"/>
  <c r="G239" i="9"/>
  <c r="D239" i="9"/>
  <c r="M238" i="9"/>
  <c r="L238" i="9"/>
  <c r="K238" i="9"/>
  <c r="J238" i="9"/>
  <c r="I238" i="9"/>
  <c r="H238" i="9"/>
  <c r="G238" i="9"/>
  <c r="D238" i="9"/>
  <c r="M237" i="9"/>
  <c r="M195" i="9" s="1"/>
  <c r="L237" i="9"/>
  <c r="K237" i="9"/>
  <c r="K195" i="9" s="1"/>
  <c r="J237" i="9"/>
  <c r="I237" i="9"/>
  <c r="I195" i="9" s="1"/>
  <c r="H237" i="9"/>
  <c r="G237" i="9"/>
  <c r="G195" i="9" s="1"/>
  <c r="D237" i="9"/>
  <c r="M236" i="9"/>
  <c r="M194" i="9" s="1"/>
  <c r="L236" i="9"/>
  <c r="K236" i="9"/>
  <c r="K194" i="9" s="1"/>
  <c r="J236" i="9"/>
  <c r="I236" i="9"/>
  <c r="I194" i="9" s="1"/>
  <c r="H236" i="9"/>
  <c r="G236" i="9"/>
  <c r="G194" i="9" s="1"/>
  <c r="D236" i="9"/>
  <c r="M235" i="9"/>
  <c r="L235" i="9"/>
  <c r="K235" i="9"/>
  <c r="J235" i="9"/>
  <c r="I235" i="9"/>
  <c r="H235" i="9"/>
  <c r="G235" i="9"/>
  <c r="D235" i="9"/>
  <c r="M234" i="9"/>
  <c r="L234" i="9"/>
  <c r="K234" i="9"/>
  <c r="J234" i="9"/>
  <c r="I234" i="9"/>
  <c r="H234" i="9"/>
  <c r="G234" i="9"/>
  <c r="D234" i="9"/>
  <c r="M233" i="9"/>
  <c r="M191" i="9" s="1"/>
  <c r="L233" i="9"/>
  <c r="K233" i="9"/>
  <c r="K191" i="9" s="1"/>
  <c r="J233" i="9"/>
  <c r="I233" i="9"/>
  <c r="I191" i="9" s="1"/>
  <c r="H233" i="9"/>
  <c r="G233" i="9"/>
  <c r="G191" i="9" s="1"/>
  <c r="D233" i="9"/>
  <c r="M232" i="9"/>
  <c r="M190" i="9" s="1"/>
  <c r="L232" i="9"/>
  <c r="K232" i="9"/>
  <c r="K190" i="9" s="1"/>
  <c r="J232" i="9"/>
  <c r="I232" i="9"/>
  <c r="I190" i="9" s="1"/>
  <c r="H232" i="9"/>
  <c r="G232" i="9"/>
  <c r="G190" i="9" s="1"/>
  <c r="D232" i="9"/>
  <c r="M231" i="9"/>
  <c r="L231" i="9"/>
  <c r="K231" i="9"/>
  <c r="J231" i="9"/>
  <c r="I231" i="9"/>
  <c r="H231" i="9"/>
  <c r="G231" i="9"/>
  <c r="D231" i="9"/>
  <c r="M230" i="9"/>
  <c r="L230" i="9"/>
  <c r="L188" i="9" s="1"/>
  <c r="K230" i="9"/>
  <c r="K188" i="9" s="1"/>
  <c r="J230" i="9"/>
  <c r="J188" i="9" s="1"/>
  <c r="I230" i="9"/>
  <c r="H230" i="9"/>
  <c r="H188" i="9" s="1"/>
  <c r="G230" i="9"/>
  <c r="G188" i="9" s="1"/>
  <c r="D230" i="9"/>
  <c r="F230" i="9" s="1"/>
  <c r="F188" i="9" s="1"/>
  <c r="M229" i="9"/>
  <c r="L229" i="9"/>
  <c r="L187" i="9" s="1"/>
  <c r="K229" i="9"/>
  <c r="K187" i="9" s="1"/>
  <c r="J229" i="9"/>
  <c r="J187" i="9" s="1"/>
  <c r="I229" i="9"/>
  <c r="H229" i="9"/>
  <c r="H187" i="9" s="1"/>
  <c r="G229" i="9"/>
  <c r="G187" i="9" s="1"/>
  <c r="D229" i="9"/>
  <c r="E229" i="9" s="1"/>
  <c r="E187" i="9" s="1"/>
  <c r="M228" i="9"/>
  <c r="L228" i="9"/>
  <c r="L186" i="9" s="1"/>
  <c r="K228" i="9"/>
  <c r="J228" i="9"/>
  <c r="J186" i="9" s="1"/>
  <c r="I228" i="9"/>
  <c r="H228" i="9"/>
  <c r="H186" i="9" s="1"/>
  <c r="G228" i="9"/>
  <c r="F228" i="9"/>
  <c r="F186" i="9" s="1"/>
  <c r="D228" i="9"/>
  <c r="M227" i="9"/>
  <c r="M185" i="9" s="1"/>
  <c r="L227" i="9"/>
  <c r="K227" i="9"/>
  <c r="K185" i="9" s="1"/>
  <c r="J227" i="9"/>
  <c r="I227" i="9"/>
  <c r="I185" i="9" s="1"/>
  <c r="H227" i="9"/>
  <c r="G227" i="9"/>
  <c r="G185" i="9" s="1"/>
  <c r="D227" i="9"/>
  <c r="E227" i="9" s="1"/>
  <c r="E185" i="9" s="1"/>
  <c r="M226" i="9"/>
  <c r="M184" i="9" s="1"/>
  <c r="L226" i="9"/>
  <c r="L184" i="9" s="1"/>
  <c r="K226" i="9"/>
  <c r="J226" i="9"/>
  <c r="J184" i="9" s="1"/>
  <c r="I226" i="9"/>
  <c r="I184" i="9" s="1"/>
  <c r="H226" i="9"/>
  <c r="H184" i="9" s="1"/>
  <c r="G226" i="9"/>
  <c r="D226" i="9"/>
  <c r="F226" i="9" s="1"/>
  <c r="F184" i="9" s="1"/>
  <c r="M225" i="9"/>
  <c r="M183" i="9" s="1"/>
  <c r="L225" i="9"/>
  <c r="L183" i="9" s="1"/>
  <c r="K225" i="9"/>
  <c r="K183" i="9" s="1"/>
  <c r="J225" i="9"/>
  <c r="J183" i="9" s="1"/>
  <c r="I225" i="9"/>
  <c r="I183" i="9" s="1"/>
  <c r="H225" i="9"/>
  <c r="H183" i="9" s="1"/>
  <c r="G225" i="9"/>
  <c r="D225" i="9"/>
  <c r="E225" i="9" s="1"/>
  <c r="E183" i="9" s="1"/>
  <c r="M224" i="9"/>
  <c r="M182" i="9" s="1"/>
  <c r="L224" i="9"/>
  <c r="L182" i="9" s="1"/>
  <c r="K224" i="9"/>
  <c r="J224" i="9"/>
  <c r="J182" i="9" s="1"/>
  <c r="I224" i="9"/>
  <c r="I182" i="9" s="1"/>
  <c r="H224" i="9"/>
  <c r="H182" i="9" s="1"/>
  <c r="G224" i="9"/>
  <c r="D224" i="9"/>
  <c r="F224" i="9" s="1"/>
  <c r="F182" i="9" s="1"/>
  <c r="M223" i="9"/>
  <c r="L223" i="9"/>
  <c r="K223" i="9"/>
  <c r="J223" i="9"/>
  <c r="I223" i="9"/>
  <c r="H223" i="9"/>
  <c r="G223" i="9"/>
  <c r="D223" i="9"/>
  <c r="E223" i="9" s="1"/>
  <c r="E181" i="9" s="1"/>
  <c r="M222" i="9"/>
  <c r="M180" i="9" s="1"/>
  <c r="L222" i="9"/>
  <c r="L180" i="9" s="1"/>
  <c r="K222" i="9"/>
  <c r="J222" i="9"/>
  <c r="J180" i="9" s="1"/>
  <c r="I222" i="9"/>
  <c r="I180" i="9" s="1"/>
  <c r="H222" i="9"/>
  <c r="H180" i="9" s="1"/>
  <c r="G222" i="9"/>
  <c r="D222" i="9"/>
  <c r="F222" i="9" s="1"/>
  <c r="F180" i="9" s="1"/>
  <c r="M221" i="9"/>
  <c r="M179" i="9" s="1"/>
  <c r="L221" i="9"/>
  <c r="L179" i="9" s="1"/>
  <c r="K221" i="9"/>
  <c r="J221" i="9"/>
  <c r="J179" i="9" s="1"/>
  <c r="I221" i="9"/>
  <c r="I179" i="9" s="1"/>
  <c r="H221" i="9"/>
  <c r="H179" i="9" s="1"/>
  <c r="G221" i="9"/>
  <c r="D221" i="9"/>
  <c r="E221" i="9" s="1"/>
  <c r="E179" i="9" s="1"/>
  <c r="M220" i="9"/>
  <c r="L220" i="9"/>
  <c r="L178" i="9" s="1"/>
  <c r="K220" i="9"/>
  <c r="K178" i="9" s="1"/>
  <c r="J220" i="9"/>
  <c r="J178" i="9" s="1"/>
  <c r="I220" i="9"/>
  <c r="H220" i="9"/>
  <c r="H178" i="9" s="1"/>
  <c r="G220" i="9"/>
  <c r="G178" i="9" s="1"/>
  <c r="D220" i="9"/>
  <c r="F220" i="9" s="1"/>
  <c r="F178" i="9" s="1"/>
  <c r="M219" i="9"/>
  <c r="L219" i="9"/>
  <c r="L257" i="9" s="1"/>
  <c r="K219" i="9"/>
  <c r="J219" i="9"/>
  <c r="J257" i="9" s="1"/>
  <c r="I219" i="9"/>
  <c r="H219" i="9"/>
  <c r="H257" i="9" s="1"/>
  <c r="G219" i="9"/>
  <c r="D219" i="9"/>
  <c r="F219" i="9" s="1"/>
  <c r="F177" i="9" s="1"/>
  <c r="L214" i="9"/>
  <c r="J214" i="9"/>
  <c r="H214" i="9"/>
  <c r="B214" i="9"/>
  <c r="B256" i="9" s="1"/>
  <c r="B298" i="9" s="1"/>
  <c r="B340" i="9" s="1"/>
  <c r="B382" i="9" s="1"/>
  <c r="A214" i="9"/>
  <c r="A256" i="9" s="1"/>
  <c r="A298" i="9" s="1"/>
  <c r="A340" i="9" s="1"/>
  <c r="A382" i="9" s="1"/>
  <c r="M213" i="9"/>
  <c r="L213" i="9"/>
  <c r="K213" i="9"/>
  <c r="J213" i="9"/>
  <c r="I213" i="9"/>
  <c r="H213" i="9"/>
  <c r="G213" i="9"/>
  <c r="D213" i="9"/>
  <c r="B213" i="9"/>
  <c r="B255" i="9" s="1"/>
  <c r="B297" i="9" s="1"/>
  <c r="B339" i="9" s="1"/>
  <c r="B381" i="9" s="1"/>
  <c r="A213" i="9"/>
  <c r="A255" i="9" s="1"/>
  <c r="A297" i="9" s="1"/>
  <c r="A339" i="9" s="1"/>
  <c r="A381" i="9" s="1"/>
  <c r="M212" i="9"/>
  <c r="L212" i="9"/>
  <c r="K212" i="9"/>
  <c r="J212" i="9"/>
  <c r="I212" i="9"/>
  <c r="H212" i="9"/>
  <c r="G212" i="9"/>
  <c r="B212" i="9"/>
  <c r="B254" i="9" s="1"/>
  <c r="B296" i="9" s="1"/>
  <c r="B338" i="9" s="1"/>
  <c r="B380" i="9" s="1"/>
  <c r="A212" i="9"/>
  <c r="A254" i="9" s="1"/>
  <c r="A296" i="9" s="1"/>
  <c r="A338" i="9" s="1"/>
  <c r="A380" i="9" s="1"/>
  <c r="L211" i="9"/>
  <c r="J211" i="9"/>
  <c r="H211" i="9"/>
  <c r="D211" i="9"/>
  <c r="B211" i="9"/>
  <c r="B253" i="9" s="1"/>
  <c r="B295" i="9" s="1"/>
  <c r="B337" i="9" s="1"/>
  <c r="B379" i="9" s="1"/>
  <c r="A211" i="9"/>
  <c r="A253" i="9" s="1"/>
  <c r="A295" i="9" s="1"/>
  <c r="A337" i="9" s="1"/>
  <c r="A379" i="9" s="1"/>
  <c r="L210" i="9"/>
  <c r="J210" i="9"/>
  <c r="H210" i="9"/>
  <c r="B210" i="9"/>
  <c r="B252" i="9" s="1"/>
  <c r="B294" i="9" s="1"/>
  <c r="B336" i="9" s="1"/>
  <c r="B378" i="9" s="1"/>
  <c r="A210" i="9"/>
  <c r="A252" i="9" s="1"/>
  <c r="A294" i="9" s="1"/>
  <c r="A336" i="9" s="1"/>
  <c r="A378" i="9" s="1"/>
  <c r="M209" i="9"/>
  <c r="L209" i="9"/>
  <c r="K209" i="9"/>
  <c r="J209" i="9"/>
  <c r="I209" i="9"/>
  <c r="H209" i="9"/>
  <c r="G209" i="9"/>
  <c r="D209" i="9"/>
  <c r="B209" i="9"/>
  <c r="B251" i="9" s="1"/>
  <c r="B293" i="9" s="1"/>
  <c r="B335" i="9" s="1"/>
  <c r="B377" i="9" s="1"/>
  <c r="A209" i="9"/>
  <c r="A251" i="9" s="1"/>
  <c r="A293" i="9" s="1"/>
  <c r="A335" i="9" s="1"/>
  <c r="A377" i="9" s="1"/>
  <c r="M208" i="9"/>
  <c r="L208" i="9"/>
  <c r="K208" i="9"/>
  <c r="J208" i="9"/>
  <c r="I208" i="9"/>
  <c r="H208" i="9"/>
  <c r="G208" i="9"/>
  <c r="B208" i="9"/>
  <c r="B250" i="9" s="1"/>
  <c r="B292" i="9" s="1"/>
  <c r="B334" i="9" s="1"/>
  <c r="B376" i="9" s="1"/>
  <c r="A208" i="9"/>
  <c r="A250" i="9" s="1"/>
  <c r="A292" i="9" s="1"/>
  <c r="A334" i="9" s="1"/>
  <c r="A376" i="9" s="1"/>
  <c r="L207" i="9"/>
  <c r="J207" i="9"/>
  <c r="H207" i="9"/>
  <c r="D207" i="9"/>
  <c r="B207" i="9"/>
  <c r="B249" i="9" s="1"/>
  <c r="B291" i="9" s="1"/>
  <c r="B333" i="9" s="1"/>
  <c r="B375" i="9" s="1"/>
  <c r="A207" i="9"/>
  <c r="A249" i="9" s="1"/>
  <c r="A291" i="9" s="1"/>
  <c r="A333" i="9" s="1"/>
  <c r="A375" i="9" s="1"/>
  <c r="L206" i="9"/>
  <c r="J206" i="9"/>
  <c r="H206" i="9"/>
  <c r="B206" i="9"/>
  <c r="B248" i="9" s="1"/>
  <c r="B290" i="9" s="1"/>
  <c r="B332" i="9" s="1"/>
  <c r="B374" i="9" s="1"/>
  <c r="A206" i="9"/>
  <c r="A248" i="9" s="1"/>
  <c r="A290" i="9" s="1"/>
  <c r="A332" i="9" s="1"/>
  <c r="A374" i="9" s="1"/>
  <c r="M205" i="9"/>
  <c r="L205" i="9"/>
  <c r="K205" i="9"/>
  <c r="J205" i="9"/>
  <c r="I205" i="9"/>
  <c r="H205" i="9"/>
  <c r="G205" i="9"/>
  <c r="D205" i="9"/>
  <c r="B205" i="9"/>
  <c r="B247" i="9" s="1"/>
  <c r="B289" i="9" s="1"/>
  <c r="B331" i="9" s="1"/>
  <c r="B373" i="9" s="1"/>
  <c r="A205" i="9"/>
  <c r="A247" i="9" s="1"/>
  <c r="A289" i="9" s="1"/>
  <c r="A331" i="9" s="1"/>
  <c r="A373" i="9" s="1"/>
  <c r="M204" i="9"/>
  <c r="L204" i="9"/>
  <c r="K204" i="9"/>
  <c r="J204" i="9"/>
  <c r="I204" i="9"/>
  <c r="H204" i="9"/>
  <c r="G204" i="9"/>
  <c r="B204" i="9"/>
  <c r="B246" i="9" s="1"/>
  <c r="B288" i="9" s="1"/>
  <c r="B330" i="9" s="1"/>
  <c r="B372" i="9" s="1"/>
  <c r="A204" i="9"/>
  <c r="A246" i="9" s="1"/>
  <c r="A288" i="9" s="1"/>
  <c r="A330" i="9" s="1"/>
  <c r="A372" i="9" s="1"/>
  <c r="L203" i="9"/>
  <c r="J203" i="9"/>
  <c r="H203" i="9"/>
  <c r="D203" i="9"/>
  <c r="B203" i="9"/>
  <c r="B245" i="9" s="1"/>
  <c r="B287" i="9" s="1"/>
  <c r="B329" i="9" s="1"/>
  <c r="B371" i="9" s="1"/>
  <c r="A203" i="9"/>
  <c r="A245" i="9" s="1"/>
  <c r="A287" i="9" s="1"/>
  <c r="A329" i="9" s="1"/>
  <c r="A371" i="9" s="1"/>
  <c r="L202" i="9"/>
  <c r="J202" i="9"/>
  <c r="H202" i="9"/>
  <c r="B202" i="9"/>
  <c r="B244" i="9" s="1"/>
  <c r="B286" i="9" s="1"/>
  <c r="B328" i="9" s="1"/>
  <c r="B370" i="9" s="1"/>
  <c r="A202" i="9"/>
  <c r="A244" i="9" s="1"/>
  <c r="A286" i="9" s="1"/>
  <c r="A328" i="9" s="1"/>
  <c r="A370" i="9" s="1"/>
  <c r="M201" i="9"/>
  <c r="L201" i="9"/>
  <c r="K201" i="9"/>
  <c r="J201" i="9"/>
  <c r="I201" i="9"/>
  <c r="H201" i="9"/>
  <c r="G201" i="9"/>
  <c r="D201" i="9"/>
  <c r="B201" i="9"/>
  <c r="B243" i="9" s="1"/>
  <c r="B285" i="9" s="1"/>
  <c r="B327" i="9" s="1"/>
  <c r="B369" i="9" s="1"/>
  <c r="A201" i="9"/>
  <c r="A243" i="9" s="1"/>
  <c r="A285" i="9" s="1"/>
  <c r="A327" i="9" s="1"/>
  <c r="A369" i="9" s="1"/>
  <c r="M200" i="9"/>
  <c r="L200" i="9"/>
  <c r="K200" i="9"/>
  <c r="J200" i="9"/>
  <c r="I200" i="9"/>
  <c r="H200" i="9"/>
  <c r="G200" i="9"/>
  <c r="B200" i="9"/>
  <c r="B242" i="9" s="1"/>
  <c r="B284" i="9" s="1"/>
  <c r="B326" i="9" s="1"/>
  <c r="B368" i="9" s="1"/>
  <c r="A200" i="9"/>
  <c r="A242" i="9" s="1"/>
  <c r="A284" i="9" s="1"/>
  <c r="A326" i="9" s="1"/>
  <c r="A368" i="9" s="1"/>
  <c r="L199" i="9"/>
  <c r="J199" i="9"/>
  <c r="H199" i="9"/>
  <c r="D199" i="9"/>
  <c r="B199" i="9"/>
  <c r="B241" i="9" s="1"/>
  <c r="B283" i="9" s="1"/>
  <c r="B325" i="9" s="1"/>
  <c r="B367" i="9" s="1"/>
  <c r="A199" i="9"/>
  <c r="A241" i="9" s="1"/>
  <c r="A283" i="9" s="1"/>
  <c r="A325" i="9" s="1"/>
  <c r="A367" i="9" s="1"/>
  <c r="L198" i="9"/>
  <c r="J198" i="9"/>
  <c r="H198" i="9"/>
  <c r="B198" i="9"/>
  <c r="B240" i="9" s="1"/>
  <c r="B282" i="9" s="1"/>
  <c r="B324" i="9" s="1"/>
  <c r="B366" i="9" s="1"/>
  <c r="A198" i="9"/>
  <c r="A240" i="9" s="1"/>
  <c r="A282" i="9" s="1"/>
  <c r="A324" i="9" s="1"/>
  <c r="A366" i="9" s="1"/>
  <c r="M197" i="9"/>
  <c r="L197" i="9"/>
  <c r="K197" i="9"/>
  <c r="J197" i="9"/>
  <c r="I197" i="9"/>
  <c r="H197" i="9"/>
  <c r="G197" i="9"/>
  <c r="D197" i="9"/>
  <c r="B197" i="9"/>
  <c r="B239" i="9" s="1"/>
  <c r="B281" i="9" s="1"/>
  <c r="B323" i="9" s="1"/>
  <c r="B365" i="9" s="1"/>
  <c r="A197" i="9"/>
  <c r="A239" i="9" s="1"/>
  <c r="A281" i="9" s="1"/>
  <c r="A323" i="9" s="1"/>
  <c r="A365" i="9" s="1"/>
  <c r="M196" i="9"/>
  <c r="L196" i="9"/>
  <c r="K196" i="9"/>
  <c r="J196" i="9"/>
  <c r="I196" i="9"/>
  <c r="H196" i="9"/>
  <c r="G196" i="9"/>
  <c r="B196" i="9"/>
  <c r="B238" i="9" s="1"/>
  <c r="B280" i="9" s="1"/>
  <c r="B322" i="9" s="1"/>
  <c r="B364" i="9" s="1"/>
  <c r="A196" i="9"/>
  <c r="A238" i="9" s="1"/>
  <c r="A280" i="9" s="1"/>
  <c r="A322" i="9" s="1"/>
  <c r="A364" i="9" s="1"/>
  <c r="L195" i="9"/>
  <c r="J195" i="9"/>
  <c r="H195" i="9"/>
  <c r="D195" i="9"/>
  <c r="B195" i="9"/>
  <c r="B237" i="9" s="1"/>
  <c r="B279" i="9" s="1"/>
  <c r="B321" i="9" s="1"/>
  <c r="B363" i="9" s="1"/>
  <c r="A195" i="9"/>
  <c r="A237" i="9" s="1"/>
  <c r="A279" i="9" s="1"/>
  <c r="A321" i="9" s="1"/>
  <c r="A363" i="9" s="1"/>
  <c r="L194" i="9"/>
  <c r="J194" i="9"/>
  <c r="H194" i="9"/>
  <c r="B194" i="9"/>
  <c r="B236" i="9" s="1"/>
  <c r="B278" i="9" s="1"/>
  <c r="B320" i="9" s="1"/>
  <c r="B362" i="9" s="1"/>
  <c r="A194" i="9"/>
  <c r="A236" i="9" s="1"/>
  <c r="A278" i="9" s="1"/>
  <c r="A320" i="9" s="1"/>
  <c r="A362" i="9" s="1"/>
  <c r="M193" i="9"/>
  <c r="L193" i="9"/>
  <c r="K193" i="9"/>
  <c r="J193" i="9"/>
  <c r="I193" i="9"/>
  <c r="H193" i="9"/>
  <c r="G193" i="9"/>
  <c r="D193" i="9"/>
  <c r="B193" i="9"/>
  <c r="B235" i="9" s="1"/>
  <c r="B277" i="9" s="1"/>
  <c r="B319" i="9" s="1"/>
  <c r="B361" i="9" s="1"/>
  <c r="A193" i="9"/>
  <c r="A235" i="9" s="1"/>
  <c r="A277" i="9" s="1"/>
  <c r="A319" i="9" s="1"/>
  <c r="A361" i="9" s="1"/>
  <c r="M192" i="9"/>
  <c r="L192" i="9"/>
  <c r="K192" i="9"/>
  <c r="J192" i="9"/>
  <c r="I192" i="9"/>
  <c r="H192" i="9"/>
  <c r="G192" i="9"/>
  <c r="B192" i="9"/>
  <c r="B234" i="9" s="1"/>
  <c r="B276" i="9" s="1"/>
  <c r="B318" i="9" s="1"/>
  <c r="B360" i="9" s="1"/>
  <c r="A192" i="9"/>
  <c r="A234" i="9" s="1"/>
  <c r="A276" i="9" s="1"/>
  <c r="A318" i="9" s="1"/>
  <c r="A360" i="9" s="1"/>
  <c r="L191" i="9"/>
  <c r="J191" i="9"/>
  <c r="H191" i="9"/>
  <c r="D191" i="9"/>
  <c r="B191" i="9"/>
  <c r="B233" i="9" s="1"/>
  <c r="B275" i="9" s="1"/>
  <c r="B317" i="9" s="1"/>
  <c r="B359" i="9" s="1"/>
  <c r="A191" i="9"/>
  <c r="A233" i="9" s="1"/>
  <c r="A275" i="9" s="1"/>
  <c r="A317" i="9" s="1"/>
  <c r="A359" i="9" s="1"/>
  <c r="L190" i="9"/>
  <c r="J190" i="9"/>
  <c r="H190" i="9"/>
  <c r="B190" i="9"/>
  <c r="B232" i="9" s="1"/>
  <c r="B274" i="9" s="1"/>
  <c r="B316" i="9" s="1"/>
  <c r="B358" i="9" s="1"/>
  <c r="A190" i="9"/>
  <c r="A232" i="9" s="1"/>
  <c r="A274" i="9" s="1"/>
  <c r="A316" i="9" s="1"/>
  <c r="A358" i="9" s="1"/>
  <c r="M189" i="9"/>
  <c r="L189" i="9"/>
  <c r="K189" i="9"/>
  <c r="J189" i="9"/>
  <c r="I189" i="9"/>
  <c r="H189" i="9"/>
  <c r="G189" i="9"/>
  <c r="D189" i="9"/>
  <c r="B189" i="9"/>
  <c r="B231" i="9" s="1"/>
  <c r="B273" i="9" s="1"/>
  <c r="B315" i="9" s="1"/>
  <c r="B357" i="9" s="1"/>
  <c r="A189" i="9"/>
  <c r="A231" i="9" s="1"/>
  <c r="A273" i="9" s="1"/>
  <c r="A315" i="9" s="1"/>
  <c r="A357" i="9" s="1"/>
  <c r="M188" i="9"/>
  <c r="I188" i="9"/>
  <c r="B188" i="9"/>
  <c r="B230" i="9" s="1"/>
  <c r="B272" i="9" s="1"/>
  <c r="B314" i="9" s="1"/>
  <c r="B356" i="9" s="1"/>
  <c r="A188" i="9"/>
  <c r="A230" i="9" s="1"/>
  <c r="A272" i="9" s="1"/>
  <c r="A314" i="9" s="1"/>
  <c r="A356" i="9" s="1"/>
  <c r="M187" i="9"/>
  <c r="I187" i="9"/>
  <c r="D187" i="9"/>
  <c r="B187" i="9"/>
  <c r="B229" i="9" s="1"/>
  <c r="B271" i="9" s="1"/>
  <c r="B313" i="9" s="1"/>
  <c r="B355" i="9" s="1"/>
  <c r="A187" i="9"/>
  <c r="A229" i="9" s="1"/>
  <c r="A271" i="9" s="1"/>
  <c r="A313" i="9" s="1"/>
  <c r="A355" i="9" s="1"/>
  <c r="M186" i="9"/>
  <c r="K186" i="9"/>
  <c r="I186" i="9"/>
  <c r="G186" i="9"/>
  <c r="B186" i="9"/>
  <c r="B228" i="9" s="1"/>
  <c r="B270" i="9" s="1"/>
  <c r="B312" i="9" s="1"/>
  <c r="B354" i="9" s="1"/>
  <c r="A186" i="9"/>
  <c r="A228" i="9" s="1"/>
  <c r="A270" i="9" s="1"/>
  <c r="A312" i="9" s="1"/>
  <c r="A354" i="9" s="1"/>
  <c r="L185" i="9"/>
  <c r="J185" i="9"/>
  <c r="H185" i="9"/>
  <c r="D185" i="9"/>
  <c r="B185" i="9"/>
  <c r="B227" i="9" s="1"/>
  <c r="B269" i="9" s="1"/>
  <c r="B311" i="9" s="1"/>
  <c r="B353" i="9" s="1"/>
  <c r="A185" i="9"/>
  <c r="A227" i="9" s="1"/>
  <c r="A269" i="9" s="1"/>
  <c r="A311" i="9" s="1"/>
  <c r="A353" i="9" s="1"/>
  <c r="K184" i="9"/>
  <c r="G184" i="9"/>
  <c r="B184" i="9"/>
  <c r="B226" i="9" s="1"/>
  <c r="B268" i="9" s="1"/>
  <c r="B310" i="9" s="1"/>
  <c r="B352" i="9" s="1"/>
  <c r="A184" i="9"/>
  <c r="A226" i="9" s="1"/>
  <c r="A268" i="9" s="1"/>
  <c r="A310" i="9" s="1"/>
  <c r="A352" i="9" s="1"/>
  <c r="G183" i="9"/>
  <c r="B183" i="9"/>
  <c r="B225" i="9" s="1"/>
  <c r="B267" i="9" s="1"/>
  <c r="B309" i="9" s="1"/>
  <c r="B351" i="9" s="1"/>
  <c r="A183" i="9"/>
  <c r="A225" i="9" s="1"/>
  <c r="A267" i="9" s="1"/>
  <c r="A309" i="9" s="1"/>
  <c r="A351" i="9" s="1"/>
  <c r="K182" i="9"/>
  <c r="G182" i="9"/>
  <c r="B182" i="9"/>
  <c r="B224" i="9" s="1"/>
  <c r="B266" i="9" s="1"/>
  <c r="B308" i="9" s="1"/>
  <c r="B350" i="9" s="1"/>
  <c r="A182" i="9"/>
  <c r="A224" i="9" s="1"/>
  <c r="A266" i="9" s="1"/>
  <c r="A308" i="9" s="1"/>
  <c r="A350" i="9" s="1"/>
  <c r="M181" i="9"/>
  <c r="L181" i="9"/>
  <c r="K181" i="9"/>
  <c r="J181" i="9"/>
  <c r="I181" i="9"/>
  <c r="H181" i="9"/>
  <c r="G181" i="9"/>
  <c r="D181" i="9"/>
  <c r="B181" i="9"/>
  <c r="B223" i="9" s="1"/>
  <c r="B265" i="9" s="1"/>
  <c r="B307" i="9" s="1"/>
  <c r="B349" i="9" s="1"/>
  <c r="A181" i="9"/>
  <c r="A223" i="9" s="1"/>
  <c r="A265" i="9" s="1"/>
  <c r="A307" i="9" s="1"/>
  <c r="A349" i="9" s="1"/>
  <c r="K180" i="9"/>
  <c r="G180" i="9"/>
  <c r="B180" i="9"/>
  <c r="B222" i="9" s="1"/>
  <c r="B264" i="9" s="1"/>
  <c r="B306" i="9" s="1"/>
  <c r="B348" i="9" s="1"/>
  <c r="A180" i="9"/>
  <c r="A222" i="9" s="1"/>
  <c r="A264" i="9" s="1"/>
  <c r="A306" i="9" s="1"/>
  <c r="A348" i="9" s="1"/>
  <c r="K179" i="9"/>
  <c r="G179" i="9"/>
  <c r="B179" i="9"/>
  <c r="B221" i="9" s="1"/>
  <c r="B263" i="9" s="1"/>
  <c r="B305" i="9" s="1"/>
  <c r="B347" i="9" s="1"/>
  <c r="A179" i="9"/>
  <c r="A221" i="9" s="1"/>
  <c r="A263" i="9" s="1"/>
  <c r="A305" i="9" s="1"/>
  <c r="A347" i="9" s="1"/>
  <c r="M178" i="9"/>
  <c r="I178" i="9"/>
  <c r="B178" i="9"/>
  <c r="B220" i="9" s="1"/>
  <c r="B262" i="9" s="1"/>
  <c r="B304" i="9" s="1"/>
  <c r="B346" i="9" s="1"/>
  <c r="A178" i="9"/>
  <c r="A220" i="9" s="1"/>
  <c r="A262" i="9" s="1"/>
  <c r="A304" i="9" s="1"/>
  <c r="A346" i="9" s="1"/>
  <c r="M177" i="9"/>
  <c r="K177" i="9"/>
  <c r="I177" i="9"/>
  <c r="G177" i="9"/>
  <c r="B177" i="9"/>
  <c r="B219" i="9" s="1"/>
  <c r="B261" i="9" s="1"/>
  <c r="B303" i="9" s="1"/>
  <c r="B345" i="9" s="1"/>
  <c r="A177" i="9"/>
  <c r="A219" i="9" s="1"/>
  <c r="A261" i="9" s="1"/>
  <c r="A303" i="9" s="1"/>
  <c r="A345" i="9" s="1"/>
  <c r="M171" i="9"/>
  <c r="B127" i="9"/>
  <c r="B168" i="9" s="1"/>
  <c r="A127" i="9"/>
  <c r="A168" i="9" s="1"/>
  <c r="B126" i="9"/>
  <c r="B167" i="9" s="1"/>
  <c r="A126" i="9"/>
  <c r="A167" i="9" s="1"/>
  <c r="B125" i="9"/>
  <c r="B166" i="9" s="1"/>
  <c r="A125" i="9"/>
  <c r="A166" i="9" s="1"/>
  <c r="B124" i="9"/>
  <c r="B165" i="9" s="1"/>
  <c r="A124" i="9"/>
  <c r="A165" i="9" s="1"/>
  <c r="B123" i="9"/>
  <c r="B164" i="9" s="1"/>
  <c r="A123" i="9"/>
  <c r="A164" i="9" s="1"/>
  <c r="B122" i="9"/>
  <c r="B163" i="9" s="1"/>
  <c r="A122" i="9"/>
  <c r="A163" i="9" s="1"/>
  <c r="B121" i="9"/>
  <c r="B162" i="9" s="1"/>
  <c r="A121" i="9"/>
  <c r="A162" i="9" s="1"/>
  <c r="B120" i="9"/>
  <c r="B161" i="9" s="1"/>
  <c r="A120" i="9"/>
  <c r="A161" i="9" s="1"/>
  <c r="B119" i="9"/>
  <c r="B160" i="9" s="1"/>
  <c r="A119" i="9"/>
  <c r="A160" i="9" s="1"/>
  <c r="B118" i="9"/>
  <c r="B159" i="9" s="1"/>
  <c r="A118" i="9"/>
  <c r="A159" i="9" s="1"/>
  <c r="B117" i="9"/>
  <c r="B158" i="9" s="1"/>
  <c r="A117" i="9"/>
  <c r="A158" i="9" s="1"/>
  <c r="B116" i="9"/>
  <c r="B157" i="9" s="1"/>
  <c r="A116" i="9"/>
  <c r="A157" i="9" s="1"/>
  <c r="B115" i="9"/>
  <c r="B156" i="9" s="1"/>
  <c r="A115" i="9"/>
  <c r="A156" i="9" s="1"/>
  <c r="B114" i="9"/>
  <c r="B155" i="9" s="1"/>
  <c r="A114" i="9"/>
  <c r="A155" i="9" s="1"/>
  <c r="B113" i="9"/>
  <c r="B154" i="9" s="1"/>
  <c r="A113" i="9"/>
  <c r="A154" i="9" s="1"/>
  <c r="B112" i="9"/>
  <c r="B153" i="9" s="1"/>
  <c r="A112" i="9"/>
  <c r="A153" i="9" s="1"/>
  <c r="B111" i="9"/>
  <c r="B152" i="9" s="1"/>
  <c r="A111" i="9"/>
  <c r="A152" i="9" s="1"/>
  <c r="B110" i="9"/>
  <c r="B151" i="9" s="1"/>
  <c r="A110" i="9"/>
  <c r="A151" i="9" s="1"/>
  <c r="B109" i="9"/>
  <c r="B150" i="9" s="1"/>
  <c r="A109" i="9"/>
  <c r="A150" i="9" s="1"/>
  <c r="B108" i="9"/>
  <c r="B149" i="9" s="1"/>
  <c r="A108" i="9"/>
  <c r="A149" i="9" s="1"/>
  <c r="B107" i="9"/>
  <c r="B148" i="9" s="1"/>
  <c r="A107" i="9"/>
  <c r="A148" i="9" s="1"/>
  <c r="B106" i="9"/>
  <c r="B147" i="9" s="1"/>
  <c r="A106" i="9"/>
  <c r="A147" i="9" s="1"/>
  <c r="B105" i="9"/>
  <c r="B146" i="9" s="1"/>
  <c r="A105" i="9"/>
  <c r="A146" i="9" s="1"/>
  <c r="B104" i="9"/>
  <c r="B145" i="9" s="1"/>
  <c r="A104" i="9"/>
  <c r="A145" i="9" s="1"/>
  <c r="B103" i="9"/>
  <c r="B144" i="9" s="1"/>
  <c r="A103" i="9"/>
  <c r="A144" i="9" s="1"/>
  <c r="B102" i="9"/>
  <c r="B143" i="9" s="1"/>
  <c r="A102" i="9"/>
  <c r="A143" i="9" s="1"/>
  <c r="B101" i="9"/>
  <c r="B142" i="9" s="1"/>
  <c r="A101" i="9"/>
  <c r="A142" i="9" s="1"/>
  <c r="B100" i="9"/>
  <c r="B141" i="9" s="1"/>
  <c r="A100" i="9"/>
  <c r="A141" i="9" s="1"/>
  <c r="B99" i="9"/>
  <c r="B140" i="9" s="1"/>
  <c r="A99" i="9"/>
  <c r="A140" i="9" s="1"/>
  <c r="B98" i="9"/>
  <c r="B139" i="9" s="1"/>
  <c r="A98" i="9"/>
  <c r="A139" i="9" s="1"/>
  <c r="B97" i="9"/>
  <c r="B138" i="9" s="1"/>
  <c r="A97" i="9"/>
  <c r="A138" i="9" s="1"/>
  <c r="B96" i="9"/>
  <c r="B137" i="9" s="1"/>
  <c r="A96" i="9"/>
  <c r="A137" i="9" s="1"/>
  <c r="B95" i="9"/>
  <c r="B136" i="9" s="1"/>
  <c r="A95" i="9"/>
  <c r="A136" i="9" s="1"/>
  <c r="B94" i="9"/>
  <c r="B135" i="9" s="1"/>
  <c r="A94" i="9"/>
  <c r="A135" i="9" s="1"/>
  <c r="B93" i="9"/>
  <c r="B134" i="9" s="1"/>
  <c r="A93" i="9"/>
  <c r="A134" i="9" s="1"/>
  <c r="B92" i="9"/>
  <c r="B133" i="9" s="1"/>
  <c r="A92" i="9"/>
  <c r="A133" i="9" s="1"/>
  <c r="B91" i="9"/>
  <c r="B132" i="9" s="1"/>
  <c r="A91" i="9"/>
  <c r="A132" i="9" s="1"/>
  <c r="B90" i="9"/>
  <c r="B131" i="9" s="1"/>
  <c r="A90" i="9"/>
  <c r="A131" i="9" s="1"/>
  <c r="B85" i="9"/>
  <c r="A85" i="9"/>
  <c r="B84" i="9"/>
  <c r="A84" i="9"/>
  <c r="B83" i="9"/>
  <c r="A83" i="9"/>
  <c r="B82" i="9"/>
  <c r="A82" i="9"/>
  <c r="B81" i="9"/>
  <c r="A81" i="9"/>
  <c r="B80" i="9"/>
  <c r="A80" i="9"/>
  <c r="B79" i="9"/>
  <c r="A79" i="9"/>
  <c r="B78" i="9"/>
  <c r="A78" i="9"/>
  <c r="B77" i="9"/>
  <c r="A77" i="9"/>
  <c r="B76" i="9"/>
  <c r="A76" i="9"/>
  <c r="B75" i="9"/>
  <c r="A75" i="9"/>
  <c r="B74" i="9"/>
  <c r="A74" i="9"/>
  <c r="B73" i="9"/>
  <c r="A73" i="9"/>
  <c r="B72" i="9"/>
  <c r="A72" i="9"/>
  <c r="B71" i="9"/>
  <c r="A71" i="9"/>
  <c r="B70" i="9"/>
  <c r="A70" i="9"/>
  <c r="B69" i="9"/>
  <c r="A69" i="9"/>
  <c r="B68" i="9"/>
  <c r="A68" i="9"/>
  <c r="B67" i="9"/>
  <c r="A67" i="9"/>
  <c r="B66" i="9"/>
  <c r="A66" i="9"/>
  <c r="B65" i="9"/>
  <c r="A65" i="9"/>
  <c r="B64" i="9"/>
  <c r="A64" i="9"/>
  <c r="B63" i="9"/>
  <c r="A63" i="9"/>
  <c r="B62" i="9"/>
  <c r="A62" i="9"/>
  <c r="B61" i="9"/>
  <c r="A61" i="9"/>
  <c r="B60" i="9"/>
  <c r="A60" i="9"/>
  <c r="B59" i="9"/>
  <c r="A59" i="9"/>
  <c r="B58" i="9"/>
  <c r="A58" i="9"/>
  <c r="B57" i="9"/>
  <c r="A57" i="9"/>
  <c r="B56" i="9"/>
  <c r="A56" i="9"/>
  <c r="B55" i="9"/>
  <c r="A55" i="9"/>
  <c r="B54" i="9"/>
  <c r="A54" i="9"/>
  <c r="B53" i="9"/>
  <c r="A53" i="9"/>
  <c r="B52" i="9"/>
  <c r="A52" i="9"/>
  <c r="B51" i="9"/>
  <c r="A51" i="9"/>
  <c r="B50" i="9"/>
  <c r="A50" i="9"/>
  <c r="B49" i="9"/>
  <c r="A49" i="9"/>
  <c r="B48" i="9"/>
  <c r="A48" i="9"/>
  <c r="O43" i="9"/>
  <c r="S43" i="8"/>
  <c r="D177" i="9" l="1"/>
  <c r="F229" i="9"/>
  <c r="F187" i="9" s="1"/>
  <c r="D141" i="9" s="1"/>
  <c r="D100" i="9" s="1"/>
  <c r="D58" i="9" s="1"/>
  <c r="G141" i="9"/>
  <c r="G100" i="9" s="1"/>
  <c r="G58" i="9" s="1"/>
  <c r="H141" i="9"/>
  <c r="H100" i="9" s="1"/>
  <c r="L141" i="9"/>
  <c r="L100" i="9" s="1"/>
  <c r="L58" i="9" s="1"/>
  <c r="H177" i="9"/>
  <c r="J177" i="9"/>
  <c r="L177" i="9"/>
  <c r="L215" i="9" s="1"/>
  <c r="D179" i="9"/>
  <c r="D183" i="9"/>
  <c r="M141" i="9"/>
  <c r="M100" i="9" s="1"/>
  <c r="M58" i="9" s="1"/>
  <c r="G257" i="9"/>
  <c r="I257" i="9"/>
  <c r="K257" i="9"/>
  <c r="M257" i="9"/>
  <c r="F221" i="9"/>
  <c r="F179" i="9" s="1"/>
  <c r="F223" i="9"/>
  <c r="F181" i="9" s="1"/>
  <c r="F135" i="9" s="1"/>
  <c r="F94" i="9" s="1"/>
  <c r="F225" i="9"/>
  <c r="F183" i="9" s="1"/>
  <c r="F227" i="9"/>
  <c r="F185" i="9" s="1"/>
  <c r="F139" i="9" s="1"/>
  <c r="F98" i="9" s="1"/>
  <c r="H215" i="9"/>
  <c r="C187" i="9"/>
  <c r="G215" i="9"/>
  <c r="I215" i="9"/>
  <c r="K215" i="9"/>
  <c r="M215" i="9"/>
  <c r="D257" i="9"/>
  <c r="E219" i="9"/>
  <c r="E220" i="9"/>
  <c r="E178" i="9" s="1"/>
  <c r="D178" i="9"/>
  <c r="E222" i="9"/>
  <c r="E180" i="9" s="1"/>
  <c r="D180" i="9"/>
  <c r="E224" i="9"/>
  <c r="E182" i="9" s="1"/>
  <c r="D182" i="9"/>
  <c r="E226" i="9"/>
  <c r="E184" i="9" s="1"/>
  <c r="D184" i="9"/>
  <c r="E228" i="9"/>
  <c r="E186" i="9" s="1"/>
  <c r="D186" i="9"/>
  <c r="E230" i="9"/>
  <c r="E188" i="9" s="1"/>
  <c r="D188" i="9"/>
  <c r="E231" i="9"/>
  <c r="E189" i="9" s="1"/>
  <c r="F231" i="9"/>
  <c r="F189" i="9" s="1"/>
  <c r="E232" i="9"/>
  <c r="E190" i="9" s="1"/>
  <c r="F232" i="9"/>
  <c r="F190" i="9" s="1"/>
  <c r="D190" i="9"/>
  <c r="E233" i="9"/>
  <c r="E191" i="9" s="1"/>
  <c r="F233" i="9"/>
  <c r="F191" i="9" s="1"/>
  <c r="E234" i="9"/>
  <c r="E192" i="9" s="1"/>
  <c r="F234" i="9"/>
  <c r="F192" i="9" s="1"/>
  <c r="D192" i="9"/>
  <c r="E235" i="9"/>
  <c r="E193" i="9" s="1"/>
  <c r="F235" i="9"/>
  <c r="F193" i="9" s="1"/>
  <c r="E236" i="9"/>
  <c r="E194" i="9" s="1"/>
  <c r="F236" i="9"/>
  <c r="F194" i="9" s="1"/>
  <c r="D194" i="9"/>
  <c r="E237" i="9"/>
  <c r="E195" i="9" s="1"/>
  <c r="F237" i="9"/>
  <c r="F195" i="9" s="1"/>
  <c r="E238" i="9"/>
  <c r="E196" i="9" s="1"/>
  <c r="F238" i="9"/>
  <c r="F196" i="9" s="1"/>
  <c r="D196" i="9"/>
  <c r="E239" i="9"/>
  <c r="E197" i="9" s="1"/>
  <c r="F239" i="9"/>
  <c r="F197" i="9" s="1"/>
  <c r="E240" i="9"/>
  <c r="E198" i="9" s="1"/>
  <c r="F240" i="9"/>
  <c r="F198" i="9" s="1"/>
  <c r="D198" i="9"/>
  <c r="E241" i="9"/>
  <c r="E199" i="9" s="1"/>
  <c r="F241" i="9"/>
  <c r="F199" i="9" s="1"/>
  <c r="E242" i="9"/>
  <c r="E200" i="9" s="1"/>
  <c r="F242" i="9"/>
  <c r="F200" i="9" s="1"/>
  <c r="D200" i="9"/>
  <c r="E243" i="9"/>
  <c r="E201" i="9" s="1"/>
  <c r="F243" i="9"/>
  <c r="F201" i="9" s="1"/>
  <c r="E244" i="9"/>
  <c r="E202" i="9" s="1"/>
  <c r="F244" i="9"/>
  <c r="F202" i="9" s="1"/>
  <c r="D202" i="9"/>
  <c r="E245" i="9"/>
  <c r="E203" i="9" s="1"/>
  <c r="F245" i="9"/>
  <c r="F203" i="9" s="1"/>
  <c r="E246" i="9"/>
  <c r="E204" i="9" s="1"/>
  <c r="F246" i="9"/>
  <c r="F204" i="9" s="1"/>
  <c r="D204" i="9"/>
  <c r="E247" i="9"/>
  <c r="E205" i="9" s="1"/>
  <c r="F247" i="9"/>
  <c r="F205" i="9" s="1"/>
  <c r="E248" i="9"/>
  <c r="E206" i="9" s="1"/>
  <c r="F248" i="9"/>
  <c r="F206" i="9" s="1"/>
  <c r="D206" i="9"/>
  <c r="E249" i="9"/>
  <c r="E207" i="9" s="1"/>
  <c r="F249" i="9"/>
  <c r="F207" i="9" s="1"/>
  <c r="E250" i="9"/>
  <c r="E208" i="9" s="1"/>
  <c r="F250" i="9"/>
  <c r="F208" i="9" s="1"/>
  <c r="D208" i="9"/>
  <c r="E251" i="9"/>
  <c r="E209" i="9" s="1"/>
  <c r="F251" i="9"/>
  <c r="F209" i="9" s="1"/>
  <c r="E252" i="9"/>
  <c r="E210" i="9" s="1"/>
  <c r="F252" i="9"/>
  <c r="F210" i="9" s="1"/>
  <c r="D210" i="9"/>
  <c r="E253" i="9"/>
  <c r="E211" i="9" s="1"/>
  <c r="F253" i="9"/>
  <c r="F211" i="9" s="1"/>
  <c r="E254" i="9"/>
  <c r="E212" i="9" s="1"/>
  <c r="F254" i="9"/>
  <c r="F212" i="9" s="1"/>
  <c r="D212" i="9"/>
  <c r="E255" i="9"/>
  <c r="E213" i="9" s="1"/>
  <c r="F255" i="9"/>
  <c r="F213" i="9" s="1"/>
  <c r="E256" i="9"/>
  <c r="E214" i="9" s="1"/>
  <c r="F256" i="9"/>
  <c r="F214" i="9" s="1"/>
  <c r="D214" i="9"/>
  <c r="O43" i="8"/>
  <c r="E141" i="9" l="1"/>
  <c r="E100" i="9" s="1"/>
  <c r="E58" i="9" s="1"/>
  <c r="I141" i="9"/>
  <c r="K141" i="9"/>
  <c r="K100" i="9" s="1"/>
  <c r="K58" i="9" s="1"/>
  <c r="J141" i="9"/>
  <c r="J100" i="9" s="1"/>
  <c r="J58" i="9" s="1"/>
  <c r="F141" i="9"/>
  <c r="F100" i="9" s="1"/>
  <c r="F58" i="9" s="1"/>
  <c r="C185" i="9"/>
  <c r="C179" i="9"/>
  <c r="M137" i="9"/>
  <c r="M96" i="9" s="1"/>
  <c r="F168" i="9"/>
  <c r="F127" i="9" s="1"/>
  <c r="F164" i="9"/>
  <c r="F123" i="9" s="1"/>
  <c r="F160" i="9"/>
  <c r="F119" i="9" s="1"/>
  <c r="F156" i="9"/>
  <c r="F115" i="9" s="1"/>
  <c r="F152" i="9"/>
  <c r="F111" i="9" s="1"/>
  <c r="F148" i="9"/>
  <c r="F107" i="9" s="1"/>
  <c r="C183" i="9"/>
  <c r="F137" i="9"/>
  <c r="F96" i="9" s="1"/>
  <c r="I100" i="9"/>
  <c r="I58" i="9" s="1"/>
  <c r="H58" i="9"/>
  <c r="G137" i="9"/>
  <c r="G96" i="9" s="1"/>
  <c r="D146" i="9"/>
  <c r="D105" i="9" s="1"/>
  <c r="F144" i="9"/>
  <c r="F103" i="9" s="1"/>
  <c r="F143" i="9"/>
  <c r="F102" i="9" s="1"/>
  <c r="D136" i="9"/>
  <c r="D95" i="9" s="1"/>
  <c r="E137" i="9"/>
  <c r="E96" i="9" s="1"/>
  <c r="H137" i="9"/>
  <c r="H96" i="9" s="1"/>
  <c r="I96" i="9" s="1"/>
  <c r="C213" i="9"/>
  <c r="F167" i="9"/>
  <c r="F126" i="9" s="1"/>
  <c r="C212" i="9"/>
  <c r="D166" i="9"/>
  <c r="D125" i="9" s="1"/>
  <c r="I166" i="9"/>
  <c r="E166" i="9"/>
  <c r="E125" i="9" s="1"/>
  <c r="C211" i="9"/>
  <c r="E165" i="9"/>
  <c r="E124" i="9" s="1"/>
  <c r="C209" i="9"/>
  <c r="F163" i="9"/>
  <c r="F122" i="9" s="1"/>
  <c r="C208" i="9"/>
  <c r="D162" i="9"/>
  <c r="D121" i="9" s="1"/>
  <c r="I162" i="9"/>
  <c r="E162" i="9"/>
  <c r="E121" i="9" s="1"/>
  <c r="C207" i="9"/>
  <c r="E161" i="9"/>
  <c r="E120" i="9" s="1"/>
  <c r="C205" i="9"/>
  <c r="F159" i="9"/>
  <c r="F118" i="9" s="1"/>
  <c r="C204" i="9"/>
  <c r="D158" i="9"/>
  <c r="D117" i="9" s="1"/>
  <c r="I158" i="9"/>
  <c r="E158" i="9"/>
  <c r="E117" i="9" s="1"/>
  <c r="C203" i="9"/>
  <c r="E157" i="9"/>
  <c r="E116" i="9" s="1"/>
  <c r="C201" i="9"/>
  <c r="F155" i="9"/>
  <c r="F114" i="9" s="1"/>
  <c r="C200" i="9"/>
  <c r="D154" i="9"/>
  <c r="D113" i="9" s="1"/>
  <c r="E154" i="9"/>
  <c r="E113" i="9" s="1"/>
  <c r="C199" i="9"/>
  <c r="E153" i="9"/>
  <c r="E112" i="9" s="1"/>
  <c r="J153" i="9"/>
  <c r="J112" i="9" s="1"/>
  <c r="C197" i="9"/>
  <c r="F151" i="9"/>
  <c r="F110" i="9" s="1"/>
  <c r="C196" i="9"/>
  <c r="D150" i="9"/>
  <c r="D109" i="9" s="1"/>
  <c r="E150" i="9"/>
  <c r="E109" i="9" s="1"/>
  <c r="C195" i="9"/>
  <c r="E149" i="9"/>
  <c r="E108" i="9" s="1"/>
  <c r="J149" i="9"/>
  <c r="J108" i="9" s="1"/>
  <c r="C193" i="9"/>
  <c r="F147" i="9"/>
  <c r="F106" i="9" s="1"/>
  <c r="E146" i="9"/>
  <c r="E105" i="9" s="1"/>
  <c r="C191" i="9"/>
  <c r="E145" i="9"/>
  <c r="E104" i="9" s="1"/>
  <c r="J145" i="9"/>
  <c r="J104" i="9" s="1"/>
  <c r="J142" i="9"/>
  <c r="J101" i="9" s="1"/>
  <c r="L142" i="9"/>
  <c r="L101" i="9" s="1"/>
  <c r="H142" i="9"/>
  <c r="H101" i="9" s="1"/>
  <c r="I101" i="9" s="1"/>
  <c r="D142" i="9"/>
  <c r="D101" i="9" s="1"/>
  <c r="C186" i="9"/>
  <c r="D140" i="9"/>
  <c r="D99" i="9" s="1"/>
  <c r="C184" i="9"/>
  <c r="D138" i="9"/>
  <c r="D97" i="9" s="1"/>
  <c r="L134" i="9"/>
  <c r="L93" i="9" s="1"/>
  <c r="H134" i="9"/>
  <c r="H93" i="9" s="1"/>
  <c r="I93" i="9" s="1"/>
  <c r="D134" i="9"/>
  <c r="D93" i="9" s="1"/>
  <c r="L132" i="9"/>
  <c r="L91" i="9" s="1"/>
  <c r="H132" i="9"/>
  <c r="H91" i="9" s="1"/>
  <c r="I91" i="9" s="1"/>
  <c r="D132" i="9"/>
  <c r="D91" i="9" s="1"/>
  <c r="L168" i="9"/>
  <c r="L127" i="9" s="1"/>
  <c r="M167" i="9"/>
  <c r="M126" i="9" s="1"/>
  <c r="K166" i="9"/>
  <c r="K125" i="9" s="1"/>
  <c r="L165" i="9"/>
  <c r="L124" i="9" s="1"/>
  <c r="H165" i="9"/>
  <c r="H124" i="9" s="1"/>
  <c r="I124" i="9" s="1"/>
  <c r="L164" i="9"/>
  <c r="L123" i="9" s="1"/>
  <c r="H164" i="9"/>
  <c r="H123" i="9" s="1"/>
  <c r="I123" i="9" s="1"/>
  <c r="I163" i="9"/>
  <c r="G162" i="9"/>
  <c r="G121" i="9" s="1"/>
  <c r="J161" i="9"/>
  <c r="J120" i="9" s="1"/>
  <c r="D161" i="9"/>
  <c r="D120" i="9" s="1"/>
  <c r="J160" i="9"/>
  <c r="J119" i="9" s="1"/>
  <c r="M159" i="9"/>
  <c r="M118" i="9" s="1"/>
  <c r="K158" i="9"/>
  <c r="K117" i="9" s="1"/>
  <c r="L157" i="9"/>
  <c r="L116" i="9" s="1"/>
  <c r="H157" i="9"/>
  <c r="H116" i="9" s="1"/>
  <c r="I116" i="9" s="1"/>
  <c r="L156" i="9"/>
  <c r="L115" i="9" s="1"/>
  <c r="H156" i="9"/>
  <c r="H115" i="9" s="1"/>
  <c r="I115" i="9" s="1"/>
  <c r="K155" i="9"/>
  <c r="K114" i="9" s="1"/>
  <c r="G155" i="9"/>
  <c r="G114" i="9" s="1"/>
  <c r="K154" i="9"/>
  <c r="K113" i="9" s="1"/>
  <c r="G154" i="9"/>
  <c r="G113" i="9" s="1"/>
  <c r="K151" i="9"/>
  <c r="K110" i="9" s="1"/>
  <c r="G151" i="9"/>
  <c r="G110" i="9" s="1"/>
  <c r="K150" i="9"/>
  <c r="K109" i="9" s="1"/>
  <c r="G150" i="9"/>
  <c r="G109" i="9" s="1"/>
  <c r="K147" i="9"/>
  <c r="K106" i="9" s="1"/>
  <c r="G147" i="9"/>
  <c r="G106" i="9" s="1"/>
  <c r="K146" i="9"/>
  <c r="K105" i="9" s="1"/>
  <c r="G146" i="9"/>
  <c r="G105" i="9" s="1"/>
  <c r="K143" i="9"/>
  <c r="K102" i="9" s="1"/>
  <c r="G143" i="9"/>
  <c r="G102" i="9" s="1"/>
  <c r="I142" i="9"/>
  <c r="G140" i="9"/>
  <c r="G99" i="9" s="1"/>
  <c r="I138" i="9"/>
  <c r="K136" i="9"/>
  <c r="K95" i="9" s="1"/>
  <c r="D133" i="9"/>
  <c r="D92" i="9" s="1"/>
  <c r="J133" i="9"/>
  <c r="J92" i="9" s="1"/>
  <c r="J215" i="9"/>
  <c r="G167" i="9"/>
  <c r="G126" i="9" s="1"/>
  <c r="G159" i="9"/>
  <c r="G118" i="9" s="1"/>
  <c r="E133" i="9"/>
  <c r="E92" i="9" s="1"/>
  <c r="K168" i="9"/>
  <c r="K127" i="9" s="1"/>
  <c r="G168" i="9"/>
  <c r="G127" i="9" s="1"/>
  <c r="J167" i="9"/>
  <c r="J126" i="9" s="1"/>
  <c r="D167" i="9"/>
  <c r="D126" i="9" s="1"/>
  <c r="J166" i="9"/>
  <c r="J125" i="9" s="1"/>
  <c r="M165" i="9"/>
  <c r="M124" i="9" s="1"/>
  <c r="K164" i="9"/>
  <c r="K123" i="9" s="1"/>
  <c r="L163" i="9"/>
  <c r="L122" i="9" s="1"/>
  <c r="H163" i="9"/>
  <c r="H122" i="9" s="1"/>
  <c r="I122" i="9" s="1"/>
  <c r="L162" i="9"/>
  <c r="L121" i="9" s="1"/>
  <c r="H162" i="9"/>
  <c r="H121" i="9" s="1"/>
  <c r="I121" i="9" s="1"/>
  <c r="I161" i="9"/>
  <c r="G160" i="9"/>
  <c r="G119" i="9" s="1"/>
  <c r="J159" i="9"/>
  <c r="J118" i="9" s="1"/>
  <c r="D159" i="9"/>
  <c r="D118" i="9" s="1"/>
  <c r="J158" i="9"/>
  <c r="J117" i="9" s="1"/>
  <c r="M157" i="9"/>
  <c r="M116" i="9" s="1"/>
  <c r="K156" i="9"/>
  <c r="K115" i="9" s="1"/>
  <c r="M153" i="9"/>
  <c r="M112" i="9" s="1"/>
  <c r="I153" i="9"/>
  <c r="M152" i="9"/>
  <c r="M111" i="9" s="1"/>
  <c r="I152" i="9"/>
  <c r="M149" i="9"/>
  <c r="M108" i="9" s="1"/>
  <c r="I149" i="9"/>
  <c r="M148" i="9"/>
  <c r="M107" i="9" s="1"/>
  <c r="I148" i="9"/>
  <c r="M145" i="9"/>
  <c r="M104" i="9" s="1"/>
  <c r="I145" i="9"/>
  <c r="M144" i="9"/>
  <c r="M103" i="9" s="1"/>
  <c r="I144" i="9"/>
  <c r="K142" i="9"/>
  <c r="K101" i="9" s="1"/>
  <c r="I140" i="9"/>
  <c r="F142" i="9"/>
  <c r="F101" i="9" s="1"/>
  <c r="J140" i="9"/>
  <c r="J99" i="9" s="1"/>
  <c r="F140" i="9"/>
  <c r="F99" i="9" s="1"/>
  <c r="J136" i="9"/>
  <c r="J95" i="9" s="1"/>
  <c r="F136" i="9"/>
  <c r="F95" i="9" s="1"/>
  <c r="I134" i="9"/>
  <c r="I133" i="9"/>
  <c r="G132" i="9"/>
  <c r="G91" i="9" s="1"/>
  <c r="K167" i="9"/>
  <c r="K126" i="9" s="1"/>
  <c r="K163" i="9"/>
  <c r="K122" i="9" s="1"/>
  <c r="K159" i="9"/>
  <c r="K118" i="9" s="1"/>
  <c r="L153" i="9"/>
  <c r="L112" i="9" s="1"/>
  <c r="D153" i="9"/>
  <c r="D112" i="9" s="1"/>
  <c r="L149" i="9"/>
  <c r="L108" i="9" s="1"/>
  <c r="D149" i="9"/>
  <c r="D108" i="9" s="1"/>
  <c r="L145" i="9"/>
  <c r="L104" i="9" s="1"/>
  <c r="D145" i="9"/>
  <c r="D104" i="9" s="1"/>
  <c r="L139" i="9"/>
  <c r="L98" i="9" s="1"/>
  <c r="J139" i="9"/>
  <c r="J98" i="9" s="1"/>
  <c r="K138" i="9"/>
  <c r="K97" i="9" s="1"/>
  <c r="H135" i="9"/>
  <c r="H94" i="9" s="1"/>
  <c r="I94" i="9" s="1"/>
  <c r="D135" i="9"/>
  <c r="D94" i="9" s="1"/>
  <c r="G133" i="9"/>
  <c r="G92" i="9" s="1"/>
  <c r="L138" i="9"/>
  <c r="L97" i="9" s="1"/>
  <c r="H138" i="9"/>
  <c r="H97" i="9" s="1"/>
  <c r="I97" i="9" s="1"/>
  <c r="J134" i="9"/>
  <c r="J93" i="9" s="1"/>
  <c r="L133" i="9"/>
  <c r="L92" i="9" s="1"/>
  <c r="J132" i="9"/>
  <c r="J91" i="9" s="1"/>
  <c r="G165" i="9"/>
  <c r="G124" i="9" s="1"/>
  <c r="I164" i="9"/>
  <c r="G161" i="9"/>
  <c r="G120" i="9" s="1"/>
  <c r="I160" i="9"/>
  <c r="G157" i="9"/>
  <c r="G116" i="9" s="1"/>
  <c r="I156" i="9"/>
  <c r="J155" i="9"/>
  <c r="J114" i="9" s="1"/>
  <c r="D155" i="9"/>
  <c r="D114" i="9" s="1"/>
  <c r="J154" i="9"/>
  <c r="J113" i="9" s="1"/>
  <c r="L151" i="9"/>
  <c r="L110" i="9" s="1"/>
  <c r="H151" i="9"/>
  <c r="H110" i="9" s="1"/>
  <c r="I110" i="9" s="1"/>
  <c r="L150" i="9"/>
  <c r="L109" i="9" s="1"/>
  <c r="H150" i="9"/>
  <c r="H109" i="9" s="1"/>
  <c r="I109" i="9" s="1"/>
  <c r="J147" i="9"/>
  <c r="J106" i="9" s="1"/>
  <c r="D147" i="9"/>
  <c r="D106" i="9" s="1"/>
  <c r="J146" i="9"/>
  <c r="J105" i="9" s="1"/>
  <c r="L143" i="9"/>
  <c r="L102" i="9" s="1"/>
  <c r="H143" i="9"/>
  <c r="H102" i="9" s="1"/>
  <c r="I102" i="9" s="1"/>
  <c r="K139" i="9"/>
  <c r="K98" i="9" s="1"/>
  <c r="G139" i="9"/>
  <c r="G98" i="9" s="1"/>
  <c r="M136" i="9"/>
  <c r="M95" i="9" s="1"/>
  <c r="M135" i="9"/>
  <c r="M94" i="9" s="1"/>
  <c r="I135" i="9"/>
  <c r="K134" i="9"/>
  <c r="K93" i="9" s="1"/>
  <c r="M132" i="9"/>
  <c r="M91" i="9" s="1"/>
  <c r="D168" i="9"/>
  <c r="D127" i="9" s="1"/>
  <c r="E168" i="9"/>
  <c r="E127" i="9" s="1"/>
  <c r="E167" i="9"/>
  <c r="E126" i="9" s="1"/>
  <c r="F166" i="9"/>
  <c r="F125" i="9" s="1"/>
  <c r="F165" i="9"/>
  <c r="F124" i="9" s="1"/>
  <c r="D164" i="9"/>
  <c r="D123" i="9" s="1"/>
  <c r="E164" i="9"/>
  <c r="E123" i="9" s="1"/>
  <c r="E163" i="9"/>
  <c r="E122" i="9" s="1"/>
  <c r="F162" i="9"/>
  <c r="F121" i="9" s="1"/>
  <c r="F161" i="9"/>
  <c r="F120" i="9" s="1"/>
  <c r="D160" i="9"/>
  <c r="D119" i="9" s="1"/>
  <c r="E160" i="9"/>
  <c r="E119" i="9" s="1"/>
  <c r="E159" i="9"/>
  <c r="E118" i="9" s="1"/>
  <c r="F158" i="9"/>
  <c r="F117" i="9" s="1"/>
  <c r="F157" i="9"/>
  <c r="F116" i="9" s="1"/>
  <c r="D156" i="9"/>
  <c r="D115" i="9" s="1"/>
  <c r="E156" i="9"/>
  <c r="E115" i="9" s="1"/>
  <c r="E155" i="9"/>
  <c r="E114" i="9" s="1"/>
  <c r="F154" i="9"/>
  <c r="F113" i="9" s="1"/>
  <c r="F153" i="9"/>
  <c r="F112" i="9" s="1"/>
  <c r="L152" i="9"/>
  <c r="L111" i="9" s="1"/>
  <c r="H152" i="9"/>
  <c r="H111" i="9" s="1"/>
  <c r="I111" i="9" s="1"/>
  <c r="D152" i="9"/>
  <c r="D111" i="9" s="1"/>
  <c r="E152" i="9"/>
  <c r="E111" i="9" s="1"/>
  <c r="E151" i="9"/>
  <c r="E110" i="9" s="1"/>
  <c r="F150" i="9"/>
  <c r="F109" i="9" s="1"/>
  <c r="F149" i="9"/>
  <c r="F108" i="9" s="1"/>
  <c r="L148" i="9"/>
  <c r="L107" i="9" s="1"/>
  <c r="H148" i="9"/>
  <c r="H107" i="9" s="1"/>
  <c r="I107" i="9" s="1"/>
  <c r="D148" i="9"/>
  <c r="D107" i="9" s="1"/>
  <c r="E148" i="9"/>
  <c r="E107" i="9" s="1"/>
  <c r="E147" i="9"/>
  <c r="E106" i="9" s="1"/>
  <c r="F146" i="9"/>
  <c r="F105" i="9" s="1"/>
  <c r="F145" i="9"/>
  <c r="F104" i="9" s="1"/>
  <c r="L144" i="9"/>
  <c r="L103" i="9" s="1"/>
  <c r="H144" i="9"/>
  <c r="H103" i="9" s="1"/>
  <c r="I103" i="9" s="1"/>
  <c r="D144" i="9"/>
  <c r="D103" i="9" s="1"/>
  <c r="E144" i="9"/>
  <c r="E103" i="9" s="1"/>
  <c r="E143" i="9"/>
  <c r="E102" i="9" s="1"/>
  <c r="E142" i="9"/>
  <c r="E101" i="9" s="1"/>
  <c r="E140" i="9"/>
  <c r="E99" i="9" s="1"/>
  <c r="E138" i="9"/>
  <c r="E97" i="9" s="1"/>
  <c r="E136" i="9"/>
  <c r="E95" i="9" s="1"/>
  <c r="E134" i="9"/>
  <c r="E93" i="9" s="1"/>
  <c r="E132" i="9"/>
  <c r="E91" i="9" s="1"/>
  <c r="C181" i="9"/>
  <c r="F133" i="9"/>
  <c r="F92" i="9" s="1"/>
  <c r="H168" i="9"/>
  <c r="H127" i="9" s="1"/>
  <c r="I127" i="9" s="1"/>
  <c r="I167" i="9"/>
  <c r="G166" i="9"/>
  <c r="G125" i="9" s="1"/>
  <c r="J165" i="9"/>
  <c r="J124" i="9" s="1"/>
  <c r="D165" i="9"/>
  <c r="D124" i="9" s="1"/>
  <c r="J164" i="9"/>
  <c r="J123" i="9" s="1"/>
  <c r="M163" i="9"/>
  <c r="M122" i="9" s="1"/>
  <c r="K162" i="9"/>
  <c r="K121" i="9" s="1"/>
  <c r="L161" i="9"/>
  <c r="L120" i="9" s="1"/>
  <c r="H161" i="9"/>
  <c r="H120" i="9" s="1"/>
  <c r="I120" i="9" s="1"/>
  <c r="L160" i="9"/>
  <c r="L119" i="9" s="1"/>
  <c r="H160" i="9"/>
  <c r="H119" i="9" s="1"/>
  <c r="I119" i="9" s="1"/>
  <c r="I159" i="9"/>
  <c r="G158" i="9"/>
  <c r="G117" i="9" s="1"/>
  <c r="J157" i="9"/>
  <c r="J116" i="9" s="1"/>
  <c r="D157" i="9"/>
  <c r="D116" i="9" s="1"/>
  <c r="J156" i="9"/>
  <c r="J115" i="9" s="1"/>
  <c r="M155" i="9"/>
  <c r="M114" i="9" s="1"/>
  <c r="I155" i="9"/>
  <c r="M154" i="9"/>
  <c r="M113" i="9" s="1"/>
  <c r="I154" i="9"/>
  <c r="M151" i="9"/>
  <c r="M110" i="9" s="1"/>
  <c r="I151" i="9"/>
  <c r="M150" i="9"/>
  <c r="M109" i="9" s="1"/>
  <c r="I150" i="9"/>
  <c r="M147" i="9"/>
  <c r="M106" i="9" s="1"/>
  <c r="I147" i="9"/>
  <c r="M146" i="9"/>
  <c r="M105" i="9" s="1"/>
  <c r="I146" i="9"/>
  <c r="M143" i="9"/>
  <c r="M102" i="9" s="1"/>
  <c r="I143" i="9"/>
  <c r="M142" i="9"/>
  <c r="M101" i="9" s="1"/>
  <c r="K140" i="9"/>
  <c r="K99" i="9" s="1"/>
  <c r="M138" i="9"/>
  <c r="M97" i="9" s="1"/>
  <c r="D137" i="9"/>
  <c r="D96" i="9" s="1"/>
  <c r="J137" i="9"/>
  <c r="J96" i="9" s="1"/>
  <c r="G136" i="9"/>
  <c r="G95" i="9" s="1"/>
  <c r="G163" i="9"/>
  <c r="G122" i="9" s="1"/>
  <c r="E139" i="9"/>
  <c r="E98" i="9" s="1"/>
  <c r="E135" i="9"/>
  <c r="E94" i="9" s="1"/>
  <c r="M168" i="9"/>
  <c r="M127" i="9" s="1"/>
  <c r="I168" i="9"/>
  <c r="L167" i="9"/>
  <c r="L126" i="9" s="1"/>
  <c r="H167" i="9"/>
  <c r="H126" i="9" s="1"/>
  <c r="I126" i="9" s="1"/>
  <c r="L166" i="9"/>
  <c r="L125" i="9" s="1"/>
  <c r="H166" i="9"/>
  <c r="H125" i="9" s="1"/>
  <c r="I125" i="9" s="1"/>
  <c r="I165" i="9"/>
  <c r="G164" i="9"/>
  <c r="G123" i="9" s="1"/>
  <c r="J163" i="9"/>
  <c r="J122" i="9" s="1"/>
  <c r="D163" i="9"/>
  <c r="D122" i="9" s="1"/>
  <c r="J162" i="9"/>
  <c r="J121" i="9" s="1"/>
  <c r="M161" i="9"/>
  <c r="M120" i="9" s="1"/>
  <c r="K160" i="9"/>
  <c r="K119" i="9" s="1"/>
  <c r="L159" i="9"/>
  <c r="L118" i="9" s="1"/>
  <c r="H159" i="9"/>
  <c r="H118" i="9" s="1"/>
  <c r="I118" i="9" s="1"/>
  <c r="L158" i="9"/>
  <c r="L117" i="9" s="1"/>
  <c r="H158" i="9"/>
  <c r="H117" i="9" s="1"/>
  <c r="I117" i="9" s="1"/>
  <c r="I157" i="9"/>
  <c r="G156" i="9"/>
  <c r="G115" i="9" s="1"/>
  <c r="K153" i="9"/>
  <c r="K112" i="9" s="1"/>
  <c r="G153" i="9"/>
  <c r="G112" i="9" s="1"/>
  <c r="K152" i="9"/>
  <c r="K111" i="9" s="1"/>
  <c r="G152" i="9"/>
  <c r="G111" i="9" s="1"/>
  <c r="K149" i="9"/>
  <c r="K108" i="9" s="1"/>
  <c r="G149" i="9"/>
  <c r="G108" i="9" s="1"/>
  <c r="K148" i="9"/>
  <c r="K107" i="9" s="1"/>
  <c r="G148" i="9"/>
  <c r="G107" i="9" s="1"/>
  <c r="K145" i="9"/>
  <c r="K104" i="9" s="1"/>
  <c r="G145" i="9"/>
  <c r="G104" i="9" s="1"/>
  <c r="K144" i="9"/>
  <c r="K103" i="9" s="1"/>
  <c r="G144" i="9"/>
  <c r="G103" i="9" s="1"/>
  <c r="G142" i="9"/>
  <c r="G101" i="9" s="1"/>
  <c r="M140" i="9"/>
  <c r="M99" i="9" s="1"/>
  <c r="M139" i="9"/>
  <c r="M98" i="9" s="1"/>
  <c r="L140" i="9"/>
  <c r="L99" i="9" s="1"/>
  <c r="H140" i="9"/>
  <c r="H99" i="9" s="1"/>
  <c r="I99" i="9" s="1"/>
  <c r="L137" i="9"/>
  <c r="L96" i="9" s="1"/>
  <c r="L136" i="9"/>
  <c r="L95" i="9" s="1"/>
  <c r="H136" i="9"/>
  <c r="H95" i="9" s="1"/>
  <c r="I95" i="9" s="1"/>
  <c r="M134" i="9"/>
  <c r="M93" i="9" s="1"/>
  <c r="M133" i="9"/>
  <c r="M92" i="9" s="1"/>
  <c r="K132" i="9"/>
  <c r="K91" i="9" s="1"/>
  <c r="J168" i="9"/>
  <c r="J127" i="9" s="1"/>
  <c r="M166" i="9"/>
  <c r="M125" i="9" s="1"/>
  <c r="M162" i="9"/>
  <c r="M121" i="9" s="1"/>
  <c r="M158" i="9"/>
  <c r="M117" i="9" s="1"/>
  <c r="H153" i="9"/>
  <c r="H112" i="9" s="1"/>
  <c r="I112" i="9" s="1"/>
  <c r="J152" i="9"/>
  <c r="J111" i="9" s="1"/>
  <c r="H149" i="9"/>
  <c r="H108" i="9" s="1"/>
  <c r="I108" i="9" s="1"/>
  <c r="J148" i="9"/>
  <c r="J107" i="9" s="1"/>
  <c r="H145" i="9"/>
  <c r="H104" i="9" s="1"/>
  <c r="I104" i="9" s="1"/>
  <c r="J144" i="9"/>
  <c r="J103" i="9" s="1"/>
  <c r="H139" i="9"/>
  <c r="H98" i="9" s="1"/>
  <c r="I98" i="9" s="1"/>
  <c r="D139" i="9"/>
  <c r="D98" i="9" s="1"/>
  <c r="G138" i="9"/>
  <c r="G97" i="9" s="1"/>
  <c r="L135" i="9"/>
  <c r="L94" i="9" s="1"/>
  <c r="J135" i="9"/>
  <c r="J94" i="9" s="1"/>
  <c r="G134" i="9"/>
  <c r="G93" i="9" s="1"/>
  <c r="I132" i="9"/>
  <c r="J138" i="9"/>
  <c r="J97" i="9" s="1"/>
  <c r="F138" i="9"/>
  <c r="F97" i="9" s="1"/>
  <c r="I137" i="9"/>
  <c r="F134" i="9"/>
  <c r="F93" i="9" s="1"/>
  <c r="H133" i="9"/>
  <c r="H92" i="9" s="1"/>
  <c r="I92" i="9" s="1"/>
  <c r="F132" i="9"/>
  <c r="F91" i="9" s="1"/>
  <c r="K165" i="9"/>
  <c r="K124" i="9" s="1"/>
  <c r="M164" i="9"/>
  <c r="M123" i="9" s="1"/>
  <c r="K161" i="9"/>
  <c r="K120" i="9" s="1"/>
  <c r="M160" i="9"/>
  <c r="M119" i="9" s="1"/>
  <c r="K157" i="9"/>
  <c r="K116" i="9" s="1"/>
  <c r="M156" i="9"/>
  <c r="M115" i="9" s="1"/>
  <c r="L155" i="9"/>
  <c r="L114" i="9" s="1"/>
  <c r="H155" i="9"/>
  <c r="H114" i="9" s="1"/>
  <c r="I114" i="9" s="1"/>
  <c r="L154" i="9"/>
  <c r="L113" i="9" s="1"/>
  <c r="H154" i="9"/>
  <c r="H113" i="9" s="1"/>
  <c r="I113" i="9" s="1"/>
  <c r="J151" i="9"/>
  <c r="J110" i="9" s="1"/>
  <c r="D151" i="9"/>
  <c r="D110" i="9" s="1"/>
  <c r="J150" i="9"/>
  <c r="J109" i="9" s="1"/>
  <c r="L147" i="9"/>
  <c r="L106" i="9" s="1"/>
  <c r="H147" i="9"/>
  <c r="H106" i="9" s="1"/>
  <c r="I106" i="9" s="1"/>
  <c r="L146" i="9"/>
  <c r="L105" i="9" s="1"/>
  <c r="H146" i="9"/>
  <c r="H105" i="9" s="1"/>
  <c r="I105" i="9" s="1"/>
  <c r="J143" i="9"/>
  <c r="J102" i="9" s="1"/>
  <c r="D143" i="9"/>
  <c r="D102" i="9" s="1"/>
  <c r="I139" i="9"/>
  <c r="K137" i="9"/>
  <c r="K96" i="9" s="1"/>
  <c r="I136" i="9"/>
  <c r="K135" i="9"/>
  <c r="K94" i="9" s="1"/>
  <c r="G135" i="9"/>
  <c r="G94" i="9" s="1"/>
  <c r="K133" i="9"/>
  <c r="K92" i="9" s="1"/>
  <c r="C192" i="9"/>
  <c r="C188" i="9"/>
  <c r="C182" i="9"/>
  <c r="C189" i="9"/>
  <c r="F215" i="9"/>
  <c r="C214" i="9"/>
  <c r="C210" i="9"/>
  <c r="C206" i="9"/>
  <c r="C202" i="9"/>
  <c r="C198" i="9"/>
  <c r="C194" i="9"/>
  <c r="C190" i="9"/>
  <c r="C180" i="9"/>
  <c r="C178" i="9"/>
  <c r="E257" i="9"/>
  <c r="E177" i="9"/>
  <c r="J131" i="9" s="1"/>
  <c r="J90" i="9" s="1"/>
  <c r="D215" i="9"/>
  <c r="F257" i="9"/>
  <c r="M362" i="8"/>
  <c r="L362" i="8"/>
  <c r="K362" i="8"/>
  <c r="J362" i="8"/>
  <c r="I362" i="8"/>
  <c r="H362" i="8"/>
  <c r="G362" i="8"/>
  <c r="D362" i="8"/>
  <c r="F350" i="8"/>
  <c r="F362" i="8" s="1"/>
  <c r="M320" i="8"/>
  <c r="L320" i="8"/>
  <c r="K320" i="8"/>
  <c r="J320" i="8"/>
  <c r="I320" i="8"/>
  <c r="H320" i="8"/>
  <c r="G320" i="8"/>
  <c r="F320" i="8"/>
  <c r="D320" i="8"/>
  <c r="M278" i="8"/>
  <c r="L278" i="8"/>
  <c r="K278" i="8"/>
  <c r="J278" i="8"/>
  <c r="I278" i="8"/>
  <c r="H278" i="8"/>
  <c r="G278" i="8"/>
  <c r="F278" i="8"/>
  <c r="D278" i="8"/>
  <c r="E267" i="8"/>
  <c r="E256" i="8"/>
  <c r="E253" i="8"/>
  <c r="M235" i="8"/>
  <c r="L235" i="8"/>
  <c r="K235" i="8"/>
  <c r="J235" i="8"/>
  <c r="I235" i="8"/>
  <c r="H235" i="8"/>
  <c r="G235" i="8"/>
  <c r="D235" i="8"/>
  <c r="E235" i="8" s="1"/>
  <c r="M234" i="8"/>
  <c r="L234" i="8"/>
  <c r="K234" i="8"/>
  <c r="J234" i="8"/>
  <c r="I234" i="8"/>
  <c r="H234" i="8"/>
  <c r="G234" i="8"/>
  <c r="D234" i="8"/>
  <c r="E234" i="8" s="1"/>
  <c r="M233" i="8"/>
  <c r="L233" i="8"/>
  <c r="K233" i="8"/>
  <c r="J233" i="8"/>
  <c r="I233" i="8"/>
  <c r="H233" i="8"/>
  <c r="G233" i="8"/>
  <c r="D233" i="8"/>
  <c r="E233" i="8" s="1"/>
  <c r="M232" i="8"/>
  <c r="L232" i="8"/>
  <c r="K232" i="8"/>
  <c r="J232" i="8"/>
  <c r="I232" i="8"/>
  <c r="H232" i="8"/>
  <c r="G232" i="8"/>
  <c r="D232" i="8"/>
  <c r="E232" i="8" s="1"/>
  <c r="M231" i="8"/>
  <c r="L231" i="8"/>
  <c r="K231" i="8"/>
  <c r="J231" i="8"/>
  <c r="I231" i="8"/>
  <c r="H231" i="8"/>
  <c r="G231" i="8"/>
  <c r="E231" i="8"/>
  <c r="D231" i="8"/>
  <c r="F231" i="8" s="1"/>
  <c r="M230" i="8"/>
  <c r="L230" i="8"/>
  <c r="K230" i="8"/>
  <c r="J230" i="8"/>
  <c r="I230" i="8"/>
  <c r="H230" i="8"/>
  <c r="G230" i="8"/>
  <c r="D230" i="8"/>
  <c r="F230" i="8" s="1"/>
  <c r="M229" i="8"/>
  <c r="L229" i="8"/>
  <c r="K229" i="8"/>
  <c r="J229" i="8"/>
  <c r="I229" i="8"/>
  <c r="H229" i="8"/>
  <c r="G229" i="8"/>
  <c r="D229" i="8"/>
  <c r="F229" i="8" s="1"/>
  <c r="M228" i="8"/>
  <c r="L228" i="8"/>
  <c r="K228" i="8"/>
  <c r="J228" i="8"/>
  <c r="I228" i="8"/>
  <c r="H228" i="8"/>
  <c r="G228" i="8"/>
  <c r="D228" i="8"/>
  <c r="F228" i="8" s="1"/>
  <c r="M227" i="8"/>
  <c r="L227" i="8"/>
  <c r="K227" i="8"/>
  <c r="J227" i="8"/>
  <c r="I227" i="8"/>
  <c r="H227" i="8"/>
  <c r="G227" i="8"/>
  <c r="E227" i="8"/>
  <c r="D227" i="8"/>
  <c r="F227" i="8" s="1"/>
  <c r="M226" i="8"/>
  <c r="L226" i="8"/>
  <c r="K226" i="8"/>
  <c r="J226" i="8"/>
  <c r="I226" i="8"/>
  <c r="H226" i="8"/>
  <c r="G226" i="8"/>
  <c r="D226" i="8"/>
  <c r="F226" i="8" s="1"/>
  <c r="M225" i="8"/>
  <c r="L225" i="8"/>
  <c r="K225" i="8"/>
  <c r="J225" i="8"/>
  <c r="I225" i="8"/>
  <c r="H225" i="8"/>
  <c r="G225" i="8"/>
  <c r="D225" i="8"/>
  <c r="F225" i="8" s="1"/>
  <c r="M224" i="8"/>
  <c r="L224" i="8"/>
  <c r="K224" i="8"/>
  <c r="J224" i="8"/>
  <c r="I224" i="8"/>
  <c r="H224" i="8"/>
  <c r="G224" i="8"/>
  <c r="D224" i="8"/>
  <c r="F224" i="8" s="1"/>
  <c r="M223" i="8"/>
  <c r="L223" i="8"/>
  <c r="K223" i="8"/>
  <c r="J223" i="8"/>
  <c r="I223" i="8"/>
  <c r="H223" i="8"/>
  <c r="G223" i="8"/>
  <c r="E223" i="8"/>
  <c r="D223" i="8"/>
  <c r="F223" i="8" s="1"/>
  <c r="M222" i="8"/>
  <c r="L222" i="8"/>
  <c r="K222" i="8"/>
  <c r="J222" i="8"/>
  <c r="I222" i="8"/>
  <c r="H222" i="8"/>
  <c r="G222" i="8"/>
  <c r="D222" i="8"/>
  <c r="F222" i="8" s="1"/>
  <c r="M221" i="8"/>
  <c r="L221" i="8"/>
  <c r="K221" i="8"/>
  <c r="J221" i="8"/>
  <c r="I221" i="8"/>
  <c r="H221" i="8"/>
  <c r="G221" i="8"/>
  <c r="D221" i="8"/>
  <c r="F221" i="8" s="1"/>
  <c r="M220" i="8"/>
  <c r="L220" i="8"/>
  <c r="K220" i="8"/>
  <c r="J220" i="8"/>
  <c r="I220" i="8"/>
  <c r="H220" i="8"/>
  <c r="G220" i="8"/>
  <c r="D220" i="8"/>
  <c r="F220" i="8" s="1"/>
  <c r="M219" i="8"/>
  <c r="L219" i="8"/>
  <c r="K219" i="8"/>
  <c r="J219" i="8"/>
  <c r="I219" i="8"/>
  <c r="H219" i="8"/>
  <c r="G219" i="8"/>
  <c r="E219" i="8"/>
  <c r="D219" i="8"/>
  <c r="F219" i="8" s="1"/>
  <c r="M218" i="8"/>
  <c r="L218" i="8"/>
  <c r="K218" i="8"/>
  <c r="J218" i="8"/>
  <c r="I218" i="8"/>
  <c r="H218" i="8"/>
  <c r="G218" i="8"/>
  <c r="D218" i="8"/>
  <c r="F218" i="8" s="1"/>
  <c r="M217" i="8"/>
  <c r="L217" i="8"/>
  <c r="K217" i="8"/>
  <c r="J217" i="8"/>
  <c r="I217" i="8"/>
  <c r="H217" i="8"/>
  <c r="G217" i="8"/>
  <c r="D217" i="8"/>
  <c r="F217" i="8" s="1"/>
  <c r="M216" i="8"/>
  <c r="L216" i="8"/>
  <c r="K216" i="8"/>
  <c r="J216" i="8"/>
  <c r="I216" i="8"/>
  <c r="H216" i="8"/>
  <c r="G216" i="8"/>
  <c r="D216" i="8"/>
  <c r="F216" i="8" s="1"/>
  <c r="M215" i="8"/>
  <c r="L215" i="8"/>
  <c r="K215" i="8"/>
  <c r="J215" i="8"/>
  <c r="I215" i="8"/>
  <c r="H215" i="8"/>
  <c r="G215" i="8"/>
  <c r="E215" i="8"/>
  <c r="D215" i="8"/>
  <c r="F215" i="8" s="1"/>
  <c r="M214" i="8"/>
  <c r="L214" i="8"/>
  <c r="K214" i="8"/>
  <c r="J214" i="8"/>
  <c r="I214" i="8"/>
  <c r="H214" i="8"/>
  <c r="G214" i="8"/>
  <c r="D214" i="8"/>
  <c r="F214" i="8" s="1"/>
  <c r="M213" i="8"/>
  <c r="L213" i="8"/>
  <c r="K213" i="8"/>
  <c r="J213" i="8"/>
  <c r="I213" i="8"/>
  <c r="H213" i="8"/>
  <c r="G213" i="8"/>
  <c r="D213" i="8"/>
  <c r="F213" i="8" s="1"/>
  <c r="M212" i="8"/>
  <c r="L212" i="8"/>
  <c r="K212" i="8"/>
  <c r="J212" i="8"/>
  <c r="I212" i="8"/>
  <c r="H212" i="8"/>
  <c r="G212" i="8"/>
  <c r="D212" i="8"/>
  <c r="F212" i="8" s="1"/>
  <c r="M211" i="8"/>
  <c r="L211" i="8"/>
  <c r="K211" i="8"/>
  <c r="J211" i="8"/>
  <c r="I211" i="8"/>
  <c r="H211" i="8"/>
  <c r="G211" i="8"/>
  <c r="E211" i="8"/>
  <c r="D211" i="8"/>
  <c r="F211" i="8" s="1"/>
  <c r="M210" i="8"/>
  <c r="L210" i="8"/>
  <c r="K210" i="8"/>
  <c r="J210" i="8"/>
  <c r="I210" i="8"/>
  <c r="H210" i="8"/>
  <c r="G210" i="8"/>
  <c r="D210" i="8"/>
  <c r="F210" i="8" s="1"/>
  <c r="M209" i="8"/>
  <c r="L209" i="8"/>
  <c r="K209" i="8"/>
  <c r="J209" i="8"/>
  <c r="I209" i="8"/>
  <c r="H209" i="8"/>
  <c r="G209" i="8"/>
  <c r="D209" i="8"/>
  <c r="F209" i="8" s="1"/>
  <c r="M208" i="8"/>
  <c r="L208" i="8"/>
  <c r="K208" i="8"/>
  <c r="J208" i="8"/>
  <c r="I208" i="8"/>
  <c r="H208" i="8"/>
  <c r="G208" i="8"/>
  <c r="D208" i="8"/>
  <c r="F208" i="8" s="1"/>
  <c r="M207" i="8"/>
  <c r="L207" i="8"/>
  <c r="K207" i="8"/>
  <c r="J207" i="8"/>
  <c r="I207" i="8"/>
  <c r="H207" i="8"/>
  <c r="G207" i="8"/>
  <c r="E207" i="8"/>
  <c r="D207" i="8"/>
  <c r="F207" i="8" s="1"/>
  <c r="M206" i="8"/>
  <c r="L206" i="8"/>
  <c r="K206" i="8"/>
  <c r="J206" i="8"/>
  <c r="I206" i="8"/>
  <c r="H206" i="8"/>
  <c r="G206" i="8"/>
  <c r="D206" i="8"/>
  <c r="F206" i="8" s="1"/>
  <c r="M205" i="8"/>
  <c r="L205" i="8"/>
  <c r="K205" i="8"/>
  <c r="J205" i="8"/>
  <c r="I205" i="8"/>
  <c r="H205" i="8"/>
  <c r="G205" i="8"/>
  <c r="D205" i="8"/>
  <c r="F205" i="8" s="1"/>
  <c r="M204" i="8"/>
  <c r="L204" i="8"/>
  <c r="K204" i="8"/>
  <c r="J204" i="8"/>
  <c r="I204" i="8"/>
  <c r="H204" i="8"/>
  <c r="G204" i="8"/>
  <c r="D204" i="8"/>
  <c r="F204" i="8" s="1"/>
  <c r="M203" i="8"/>
  <c r="L203" i="8"/>
  <c r="K203" i="8"/>
  <c r="J203" i="8"/>
  <c r="I203" i="8"/>
  <c r="H203" i="8"/>
  <c r="G203" i="8"/>
  <c r="E203" i="8"/>
  <c r="D203" i="8"/>
  <c r="F203" i="8" s="1"/>
  <c r="M202" i="8"/>
  <c r="L202" i="8"/>
  <c r="K202" i="8"/>
  <c r="J202" i="8"/>
  <c r="I202" i="8"/>
  <c r="H202" i="8"/>
  <c r="G202" i="8"/>
  <c r="D202" i="8"/>
  <c r="F202" i="8" s="1"/>
  <c r="M201" i="8"/>
  <c r="L201" i="8"/>
  <c r="K201" i="8"/>
  <c r="J201" i="8"/>
  <c r="I201" i="8"/>
  <c r="H201" i="8"/>
  <c r="G201" i="8"/>
  <c r="D201" i="8"/>
  <c r="F201" i="8" s="1"/>
  <c r="M200" i="8"/>
  <c r="L200" i="8"/>
  <c r="K200" i="8"/>
  <c r="J200" i="8"/>
  <c r="I200" i="8"/>
  <c r="H200" i="8"/>
  <c r="G200" i="8"/>
  <c r="D200" i="8"/>
  <c r="F200" i="8" s="1"/>
  <c r="M199" i="8"/>
  <c r="L199" i="8"/>
  <c r="K199" i="8"/>
  <c r="J199" i="8"/>
  <c r="I199" i="8"/>
  <c r="H199" i="8"/>
  <c r="G199" i="8"/>
  <c r="E199" i="8"/>
  <c r="D199" i="8"/>
  <c r="F199" i="8" s="1"/>
  <c r="M198" i="8"/>
  <c r="M236" i="8" s="1"/>
  <c r="L198" i="8"/>
  <c r="K198" i="8"/>
  <c r="K236" i="8" s="1"/>
  <c r="J198" i="8"/>
  <c r="I198" i="8"/>
  <c r="I236" i="8" s="1"/>
  <c r="H198" i="8"/>
  <c r="G198" i="8"/>
  <c r="G236" i="8" s="1"/>
  <c r="D198" i="8"/>
  <c r="B193" i="8"/>
  <c r="B235" i="8" s="1"/>
  <c r="B277" i="8" s="1"/>
  <c r="B319" i="8" s="1"/>
  <c r="B361" i="8" s="1"/>
  <c r="A193" i="8"/>
  <c r="A235" i="8" s="1"/>
  <c r="A277" i="8" s="1"/>
  <c r="A319" i="8" s="1"/>
  <c r="A361" i="8" s="1"/>
  <c r="B192" i="8"/>
  <c r="B234" i="8" s="1"/>
  <c r="B276" i="8" s="1"/>
  <c r="B318" i="8" s="1"/>
  <c r="B360" i="8" s="1"/>
  <c r="A192" i="8"/>
  <c r="A234" i="8" s="1"/>
  <c r="A276" i="8" s="1"/>
  <c r="A318" i="8" s="1"/>
  <c r="A360" i="8" s="1"/>
  <c r="B191" i="8"/>
  <c r="B233" i="8" s="1"/>
  <c r="B275" i="8" s="1"/>
  <c r="B317" i="8" s="1"/>
  <c r="B359" i="8" s="1"/>
  <c r="A191" i="8"/>
  <c r="A233" i="8" s="1"/>
  <c r="A275" i="8" s="1"/>
  <c r="A317" i="8" s="1"/>
  <c r="A359" i="8" s="1"/>
  <c r="B190" i="8"/>
  <c r="B232" i="8" s="1"/>
  <c r="B274" i="8" s="1"/>
  <c r="B316" i="8" s="1"/>
  <c r="B358" i="8" s="1"/>
  <c r="A190" i="8"/>
  <c r="A232" i="8" s="1"/>
  <c r="A274" i="8" s="1"/>
  <c r="A316" i="8" s="1"/>
  <c r="A358" i="8" s="1"/>
  <c r="B189" i="8"/>
  <c r="B231" i="8" s="1"/>
  <c r="B273" i="8" s="1"/>
  <c r="B315" i="8" s="1"/>
  <c r="B357" i="8" s="1"/>
  <c r="A189" i="8"/>
  <c r="A231" i="8" s="1"/>
  <c r="A273" i="8" s="1"/>
  <c r="A315" i="8" s="1"/>
  <c r="A357" i="8" s="1"/>
  <c r="B188" i="8"/>
  <c r="B230" i="8" s="1"/>
  <c r="B272" i="8" s="1"/>
  <c r="B314" i="8" s="1"/>
  <c r="B356" i="8" s="1"/>
  <c r="A188" i="8"/>
  <c r="A230" i="8" s="1"/>
  <c r="A272" i="8" s="1"/>
  <c r="A314" i="8" s="1"/>
  <c r="A356" i="8" s="1"/>
  <c r="B187" i="8"/>
  <c r="B229" i="8" s="1"/>
  <c r="B271" i="8" s="1"/>
  <c r="B313" i="8" s="1"/>
  <c r="B355" i="8" s="1"/>
  <c r="A187" i="8"/>
  <c r="A229" i="8" s="1"/>
  <c r="A271" i="8" s="1"/>
  <c r="A313" i="8" s="1"/>
  <c r="A355" i="8" s="1"/>
  <c r="B186" i="8"/>
  <c r="B228" i="8" s="1"/>
  <c r="B270" i="8" s="1"/>
  <c r="B312" i="8" s="1"/>
  <c r="B354" i="8" s="1"/>
  <c r="A186" i="8"/>
  <c r="A228" i="8" s="1"/>
  <c r="A270" i="8" s="1"/>
  <c r="A312" i="8" s="1"/>
  <c r="A354" i="8" s="1"/>
  <c r="B185" i="8"/>
  <c r="B227" i="8" s="1"/>
  <c r="B269" i="8" s="1"/>
  <c r="B311" i="8" s="1"/>
  <c r="B353" i="8" s="1"/>
  <c r="A185" i="8"/>
  <c r="A227" i="8" s="1"/>
  <c r="A269" i="8" s="1"/>
  <c r="A311" i="8" s="1"/>
  <c r="A353" i="8" s="1"/>
  <c r="B184" i="8"/>
  <c r="B226" i="8" s="1"/>
  <c r="B268" i="8" s="1"/>
  <c r="B310" i="8" s="1"/>
  <c r="B352" i="8" s="1"/>
  <c r="A184" i="8"/>
  <c r="A226" i="8" s="1"/>
  <c r="A268" i="8" s="1"/>
  <c r="A310" i="8" s="1"/>
  <c r="A352" i="8" s="1"/>
  <c r="B183" i="8"/>
  <c r="B225" i="8" s="1"/>
  <c r="B267" i="8" s="1"/>
  <c r="B309" i="8" s="1"/>
  <c r="B351" i="8" s="1"/>
  <c r="A183" i="8"/>
  <c r="A225" i="8" s="1"/>
  <c r="A267" i="8" s="1"/>
  <c r="A309" i="8" s="1"/>
  <c r="A351" i="8" s="1"/>
  <c r="B182" i="8"/>
  <c r="B224" i="8" s="1"/>
  <c r="B266" i="8" s="1"/>
  <c r="B308" i="8" s="1"/>
  <c r="B350" i="8" s="1"/>
  <c r="A182" i="8"/>
  <c r="A224" i="8" s="1"/>
  <c r="A266" i="8" s="1"/>
  <c r="A308" i="8" s="1"/>
  <c r="A350" i="8" s="1"/>
  <c r="B181" i="8"/>
  <c r="B223" i="8" s="1"/>
  <c r="B265" i="8" s="1"/>
  <c r="B307" i="8" s="1"/>
  <c r="B349" i="8" s="1"/>
  <c r="A181" i="8"/>
  <c r="A223" i="8" s="1"/>
  <c r="A265" i="8" s="1"/>
  <c r="A307" i="8" s="1"/>
  <c r="A349" i="8" s="1"/>
  <c r="B180" i="8"/>
  <c r="B222" i="8" s="1"/>
  <c r="B264" i="8" s="1"/>
  <c r="B306" i="8" s="1"/>
  <c r="B348" i="8" s="1"/>
  <c r="A180" i="8"/>
  <c r="A222" i="8" s="1"/>
  <c r="A264" i="8" s="1"/>
  <c r="A306" i="8" s="1"/>
  <c r="A348" i="8" s="1"/>
  <c r="B179" i="8"/>
  <c r="B221" i="8" s="1"/>
  <c r="B263" i="8" s="1"/>
  <c r="B305" i="8" s="1"/>
  <c r="B347" i="8" s="1"/>
  <c r="A179" i="8"/>
  <c r="A221" i="8" s="1"/>
  <c r="A263" i="8" s="1"/>
  <c r="A305" i="8" s="1"/>
  <c r="A347" i="8" s="1"/>
  <c r="B178" i="8"/>
  <c r="B220" i="8" s="1"/>
  <c r="B262" i="8" s="1"/>
  <c r="B304" i="8" s="1"/>
  <c r="B346" i="8" s="1"/>
  <c r="A178" i="8"/>
  <c r="A220" i="8" s="1"/>
  <c r="A262" i="8" s="1"/>
  <c r="A304" i="8" s="1"/>
  <c r="A346" i="8" s="1"/>
  <c r="B177" i="8"/>
  <c r="B219" i="8" s="1"/>
  <c r="B261" i="8" s="1"/>
  <c r="B303" i="8" s="1"/>
  <c r="B345" i="8" s="1"/>
  <c r="A177" i="8"/>
  <c r="A219" i="8" s="1"/>
  <c r="A261" i="8" s="1"/>
  <c r="A303" i="8" s="1"/>
  <c r="A345" i="8" s="1"/>
  <c r="B176" i="8"/>
  <c r="B218" i="8" s="1"/>
  <c r="B260" i="8" s="1"/>
  <c r="B302" i="8" s="1"/>
  <c r="B344" i="8" s="1"/>
  <c r="A176" i="8"/>
  <c r="A218" i="8" s="1"/>
  <c r="A260" i="8" s="1"/>
  <c r="A302" i="8" s="1"/>
  <c r="A344" i="8" s="1"/>
  <c r="B175" i="8"/>
  <c r="B217" i="8" s="1"/>
  <c r="B259" i="8" s="1"/>
  <c r="B301" i="8" s="1"/>
  <c r="B343" i="8" s="1"/>
  <c r="A175" i="8"/>
  <c r="A217" i="8" s="1"/>
  <c r="A259" i="8" s="1"/>
  <c r="A301" i="8" s="1"/>
  <c r="A343" i="8" s="1"/>
  <c r="B174" i="8"/>
  <c r="B216" i="8" s="1"/>
  <c r="B258" i="8" s="1"/>
  <c r="B300" i="8" s="1"/>
  <c r="B342" i="8" s="1"/>
  <c r="A174" i="8"/>
  <c r="A216" i="8" s="1"/>
  <c r="A258" i="8" s="1"/>
  <c r="A300" i="8" s="1"/>
  <c r="A342" i="8" s="1"/>
  <c r="B173" i="8"/>
  <c r="B215" i="8" s="1"/>
  <c r="B257" i="8" s="1"/>
  <c r="B299" i="8" s="1"/>
  <c r="B341" i="8" s="1"/>
  <c r="A173" i="8"/>
  <c r="A215" i="8" s="1"/>
  <c r="A257" i="8" s="1"/>
  <c r="A299" i="8" s="1"/>
  <c r="A341" i="8" s="1"/>
  <c r="B172" i="8"/>
  <c r="B214" i="8" s="1"/>
  <c r="B256" i="8" s="1"/>
  <c r="B298" i="8" s="1"/>
  <c r="B340" i="8" s="1"/>
  <c r="A172" i="8"/>
  <c r="A214" i="8" s="1"/>
  <c r="A256" i="8" s="1"/>
  <c r="A298" i="8" s="1"/>
  <c r="A340" i="8" s="1"/>
  <c r="B171" i="8"/>
  <c r="B213" i="8" s="1"/>
  <c r="B255" i="8" s="1"/>
  <c r="B297" i="8" s="1"/>
  <c r="B339" i="8" s="1"/>
  <c r="A171" i="8"/>
  <c r="A213" i="8" s="1"/>
  <c r="A255" i="8" s="1"/>
  <c r="A297" i="8" s="1"/>
  <c r="A339" i="8" s="1"/>
  <c r="B170" i="8"/>
  <c r="B212" i="8" s="1"/>
  <c r="B254" i="8" s="1"/>
  <c r="B296" i="8" s="1"/>
  <c r="B338" i="8" s="1"/>
  <c r="A170" i="8"/>
  <c r="A212" i="8" s="1"/>
  <c r="A254" i="8" s="1"/>
  <c r="A296" i="8" s="1"/>
  <c r="A338" i="8" s="1"/>
  <c r="B169" i="8"/>
  <c r="B211" i="8" s="1"/>
  <c r="B253" i="8" s="1"/>
  <c r="B295" i="8" s="1"/>
  <c r="B337" i="8" s="1"/>
  <c r="A169" i="8"/>
  <c r="A211" i="8" s="1"/>
  <c r="A253" i="8" s="1"/>
  <c r="A295" i="8" s="1"/>
  <c r="A337" i="8" s="1"/>
  <c r="B168" i="8"/>
  <c r="B210" i="8" s="1"/>
  <c r="B252" i="8" s="1"/>
  <c r="B294" i="8" s="1"/>
  <c r="B336" i="8" s="1"/>
  <c r="A168" i="8"/>
  <c r="A210" i="8" s="1"/>
  <c r="A252" i="8" s="1"/>
  <c r="A294" i="8" s="1"/>
  <c r="A336" i="8" s="1"/>
  <c r="B167" i="8"/>
  <c r="B209" i="8" s="1"/>
  <c r="B251" i="8" s="1"/>
  <c r="B293" i="8" s="1"/>
  <c r="B335" i="8" s="1"/>
  <c r="A167" i="8"/>
  <c r="A209" i="8" s="1"/>
  <c r="A251" i="8" s="1"/>
  <c r="A293" i="8" s="1"/>
  <c r="A335" i="8" s="1"/>
  <c r="B166" i="8"/>
  <c r="B208" i="8" s="1"/>
  <c r="B250" i="8" s="1"/>
  <c r="B292" i="8" s="1"/>
  <c r="B334" i="8" s="1"/>
  <c r="A166" i="8"/>
  <c r="A208" i="8" s="1"/>
  <c r="A250" i="8" s="1"/>
  <c r="A292" i="8" s="1"/>
  <c r="A334" i="8" s="1"/>
  <c r="B165" i="8"/>
  <c r="B207" i="8" s="1"/>
  <c r="B249" i="8" s="1"/>
  <c r="B291" i="8" s="1"/>
  <c r="B333" i="8" s="1"/>
  <c r="A165" i="8"/>
  <c r="A207" i="8" s="1"/>
  <c r="A249" i="8" s="1"/>
  <c r="A291" i="8" s="1"/>
  <c r="A333" i="8" s="1"/>
  <c r="B164" i="8"/>
  <c r="B206" i="8" s="1"/>
  <c r="B248" i="8" s="1"/>
  <c r="B290" i="8" s="1"/>
  <c r="B332" i="8" s="1"/>
  <c r="A164" i="8"/>
  <c r="A206" i="8" s="1"/>
  <c r="A248" i="8" s="1"/>
  <c r="A290" i="8" s="1"/>
  <c r="A332" i="8" s="1"/>
  <c r="B163" i="8"/>
  <c r="B205" i="8" s="1"/>
  <c r="B247" i="8" s="1"/>
  <c r="B289" i="8" s="1"/>
  <c r="B331" i="8" s="1"/>
  <c r="A163" i="8"/>
  <c r="A205" i="8" s="1"/>
  <c r="A247" i="8" s="1"/>
  <c r="A289" i="8" s="1"/>
  <c r="A331" i="8" s="1"/>
  <c r="B162" i="8"/>
  <c r="B204" i="8" s="1"/>
  <c r="B246" i="8" s="1"/>
  <c r="B288" i="8" s="1"/>
  <c r="B330" i="8" s="1"/>
  <c r="A162" i="8"/>
  <c r="A204" i="8" s="1"/>
  <c r="A246" i="8" s="1"/>
  <c r="A288" i="8" s="1"/>
  <c r="A330" i="8" s="1"/>
  <c r="B161" i="8"/>
  <c r="B203" i="8" s="1"/>
  <c r="B245" i="8" s="1"/>
  <c r="B287" i="8" s="1"/>
  <c r="B329" i="8" s="1"/>
  <c r="A161" i="8"/>
  <c r="A203" i="8" s="1"/>
  <c r="A245" i="8" s="1"/>
  <c r="A287" i="8" s="1"/>
  <c r="A329" i="8" s="1"/>
  <c r="B160" i="8"/>
  <c r="B202" i="8" s="1"/>
  <c r="B244" i="8" s="1"/>
  <c r="B286" i="8" s="1"/>
  <c r="B328" i="8" s="1"/>
  <c r="A160" i="8"/>
  <c r="A202" i="8" s="1"/>
  <c r="A244" i="8" s="1"/>
  <c r="A286" i="8" s="1"/>
  <c r="A328" i="8" s="1"/>
  <c r="B159" i="8"/>
  <c r="B201" i="8" s="1"/>
  <c r="B243" i="8" s="1"/>
  <c r="B285" i="8" s="1"/>
  <c r="B327" i="8" s="1"/>
  <c r="A159" i="8"/>
  <c r="A201" i="8" s="1"/>
  <c r="A243" i="8" s="1"/>
  <c r="A285" i="8" s="1"/>
  <c r="A327" i="8" s="1"/>
  <c r="B158" i="8"/>
  <c r="B200" i="8" s="1"/>
  <c r="B242" i="8" s="1"/>
  <c r="B284" i="8" s="1"/>
  <c r="B326" i="8" s="1"/>
  <c r="A158" i="8"/>
  <c r="A200" i="8" s="1"/>
  <c r="A242" i="8" s="1"/>
  <c r="A284" i="8" s="1"/>
  <c r="A326" i="8" s="1"/>
  <c r="B157" i="8"/>
  <c r="B199" i="8" s="1"/>
  <c r="B241" i="8" s="1"/>
  <c r="B283" i="8" s="1"/>
  <c r="B325" i="8" s="1"/>
  <c r="A157" i="8"/>
  <c r="A199" i="8" s="1"/>
  <c r="A241" i="8" s="1"/>
  <c r="A283" i="8" s="1"/>
  <c r="A325" i="8" s="1"/>
  <c r="B156" i="8"/>
  <c r="B198" i="8" s="1"/>
  <c r="B240" i="8" s="1"/>
  <c r="B282" i="8" s="1"/>
  <c r="B324" i="8" s="1"/>
  <c r="A156" i="8"/>
  <c r="A198" i="8" s="1"/>
  <c r="A240" i="8" s="1"/>
  <c r="A282" i="8" s="1"/>
  <c r="A324" i="8" s="1"/>
  <c r="H131" i="9" l="1"/>
  <c r="H90" i="9" s="1"/>
  <c r="I90" i="9" s="1"/>
  <c r="E131" i="9"/>
  <c r="E90" i="9" s="1"/>
  <c r="D131" i="9"/>
  <c r="D90" i="9" s="1"/>
  <c r="M131" i="9"/>
  <c r="M90" i="9" s="1"/>
  <c r="G131" i="9"/>
  <c r="G90" i="9" s="1"/>
  <c r="I131" i="9"/>
  <c r="F131" i="9"/>
  <c r="F90" i="9" s="1"/>
  <c r="K131" i="9"/>
  <c r="K90" i="9" s="1"/>
  <c r="L131" i="9"/>
  <c r="L90" i="9" s="1"/>
  <c r="J60" i="9"/>
  <c r="J59" i="9"/>
  <c r="E63" i="9"/>
  <c r="E62" i="9"/>
  <c r="E52" i="9"/>
  <c r="E215" i="9"/>
  <c r="C177" i="9"/>
  <c r="C215" i="9" s="1"/>
  <c r="D236" i="8"/>
  <c r="E201" i="8"/>
  <c r="E205" i="8"/>
  <c r="E209" i="8"/>
  <c r="E213" i="8"/>
  <c r="E217" i="8"/>
  <c r="E221" i="8"/>
  <c r="E225" i="8"/>
  <c r="E229" i="8"/>
  <c r="E198" i="8"/>
  <c r="H236" i="8"/>
  <c r="J236" i="8"/>
  <c r="L236" i="8"/>
  <c r="E200" i="8"/>
  <c r="E202" i="8"/>
  <c r="E204" i="8"/>
  <c r="E206" i="8"/>
  <c r="E208" i="8"/>
  <c r="E210" i="8"/>
  <c r="E212" i="8"/>
  <c r="E214" i="8"/>
  <c r="E216" i="8"/>
  <c r="E218" i="8"/>
  <c r="E220" i="8"/>
  <c r="E222" i="8"/>
  <c r="E224" i="8"/>
  <c r="E226" i="8"/>
  <c r="E228" i="8"/>
  <c r="E230" i="8"/>
  <c r="F198" i="8"/>
  <c r="F232" i="8"/>
  <c r="F233" i="8"/>
  <c r="F234" i="8"/>
  <c r="F235" i="8"/>
  <c r="C90" i="9" l="1"/>
  <c r="E64" i="9"/>
  <c r="E72" i="9"/>
  <c r="E53" i="9"/>
  <c r="E75" i="9"/>
  <c r="E85" i="9"/>
  <c r="E56" i="9"/>
  <c r="E54" i="9"/>
  <c r="E70" i="9"/>
  <c r="E61" i="9"/>
  <c r="E55" i="9"/>
  <c r="E80" i="9"/>
  <c r="E77" i="9"/>
  <c r="E71" i="9"/>
  <c r="J65" i="9"/>
  <c r="J76" i="9"/>
  <c r="E67" i="9"/>
  <c r="E82" i="9"/>
  <c r="E68" i="9"/>
  <c r="E73" i="9"/>
  <c r="E79" i="9"/>
  <c r="E84" i="9"/>
  <c r="J66" i="9"/>
  <c r="J81" i="9"/>
  <c r="F60" i="9"/>
  <c r="F59" i="9"/>
  <c r="H62" i="9"/>
  <c r="H52" i="9"/>
  <c r="H63" i="9"/>
  <c r="J62" i="9"/>
  <c r="J52" i="9"/>
  <c r="J63" i="9"/>
  <c r="G63" i="9"/>
  <c r="G52" i="9"/>
  <c r="G62" i="9"/>
  <c r="E57" i="9"/>
  <c r="E49" i="9"/>
  <c r="G61" i="9"/>
  <c r="G53" i="9"/>
  <c r="G56" i="9"/>
  <c r="G54" i="9"/>
  <c r="H56" i="9"/>
  <c r="H54" i="9"/>
  <c r="H61" i="9"/>
  <c r="H53" i="9"/>
  <c r="E59" i="9"/>
  <c r="E60" i="9"/>
  <c r="E51" i="9"/>
  <c r="E50" i="9"/>
  <c r="K59" i="9"/>
  <c r="K60" i="9"/>
  <c r="J56" i="9"/>
  <c r="J54" i="9"/>
  <c r="J61" i="9"/>
  <c r="J53" i="9"/>
  <c r="F62" i="9"/>
  <c r="F52" i="9"/>
  <c r="F63" i="9"/>
  <c r="M59" i="9"/>
  <c r="M60" i="9"/>
  <c r="L60" i="9"/>
  <c r="L59" i="9"/>
  <c r="K61" i="9"/>
  <c r="K53" i="9"/>
  <c r="K56" i="9"/>
  <c r="K54" i="9"/>
  <c r="H57" i="9"/>
  <c r="H49" i="9"/>
  <c r="M57" i="9"/>
  <c r="M49" i="9"/>
  <c r="K57" i="9"/>
  <c r="K49" i="9"/>
  <c r="M63" i="9"/>
  <c r="M62" i="9"/>
  <c r="M52" i="9"/>
  <c r="K63" i="9"/>
  <c r="K52" i="9"/>
  <c r="K62" i="9"/>
  <c r="L62" i="9"/>
  <c r="L52" i="9"/>
  <c r="L63" i="9"/>
  <c r="H60" i="9"/>
  <c r="H59" i="9"/>
  <c r="M61" i="9"/>
  <c r="M53" i="9"/>
  <c r="M54" i="9"/>
  <c r="M56" i="9"/>
  <c r="F56" i="9"/>
  <c r="F54" i="9"/>
  <c r="F61" i="9"/>
  <c r="F53" i="9"/>
  <c r="G59" i="9"/>
  <c r="G60" i="9"/>
  <c r="L56" i="9"/>
  <c r="L54" i="9"/>
  <c r="L61" i="9"/>
  <c r="L53" i="9"/>
  <c r="G57" i="9"/>
  <c r="G49" i="9"/>
  <c r="F57" i="9"/>
  <c r="F49" i="9"/>
  <c r="L57" i="9"/>
  <c r="L49" i="9"/>
  <c r="J57" i="9"/>
  <c r="J49" i="9"/>
  <c r="E236" i="8"/>
  <c r="F236" i="8"/>
  <c r="E48" i="9" l="1"/>
  <c r="L71" i="9"/>
  <c r="L79" i="9"/>
  <c r="L68" i="9"/>
  <c r="L72" i="9"/>
  <c r="L85" i="9"/>
  <c r="G81" i="9"/>
  <c r="G76" i="9"/>
  <c r="G65" i="9"/>
  <c r="F84" i="9"/>
  <c r="F75" i="9"/>
  <c r="F68" i="9"/>
  <c r="F72" i="9"/>
  <c r="M64" i="9"/>
  <c r="M72" i="9"/>
  <c r="M71" i="9"/>
  <c r="M75" i="9"/>
  <c r="M85" i="9"/>
  <c r="H65" i="9"/>
  <c r="H66" i="9"/>
  <c r="L82" i="9"/>
  <c r="L80" i="9"/>
  <c r="K67" i="9"/>
  <c r="K80" i="9"/>
  <c r="M77" i="9"/>
  <c r="M82" i="9"/>
  <c r="K85" i="9"/>
  <c r="K64" i="9"/>
  <c r="K72" i="9"/>
  <c r="K73" i="9"/>
  <c r="K79" i="9"/>
  <c r="L76" i="9"/>
  <c r="M66" i="9"/>
  <c r="M65" i="9"/>
  <c r="F77" i="9"/>
  <c r="F67" i="9"/>
  <c r="F82" i="9"/>
  <c r="J71" i="9"/>
  <c r="J79" i="9"/>
  <c r="J68" i="9"/>
  <c r="J72" i="9"/>
  <c r="K66" i="9"/>
  <c r="K76" i="9"/>
  <c r="E74" i="9"/>
  <c r="E83" i="9"/>
  <c r="E66" i="9"/>
  <c r="E65" i="9"/>
  <c r="H71" i="9"/>
  <c r="H79" i="9"/>
  <c r="H68" i="9"/>
  <c r="H72" i="9"/>
  <c r="H85" i="9"/>
  <c r="G70" i="9"/>
  <c r="G64" i="9"/>
  <c r="G72" i="9"/>
  <c r="G71" i="9"/>
  <c r="G75" i="9"/>
  <c r="G84" i="9"/>
  <c r="G77" i="9"/>
  <c r="J77" i="9"/>
  <c r="J82" i="9"/>
  <c r="H67" i="9"/>
  <c r="H82" i="9"/>
  <c r="F66" i="9"/>
  <c r="F81" i="9"/>
  <c r="L75" i="9"/>
  <c r="L73" i="9"/>
  <c r="L64" i="9"/>
  <c r="L70" i="9"/>
  <c r="L84" i="9"/>
  <c r="G66" i="9"/>
  <c r="F73" i="9"/>
  <c r="F71" i="9"/>
  <c r="F79" i="9"/>
  <c r="F64" i="9"/>
  <c r="F70" i="9"/>
  <c r="F85" i="9"/>
  <c r="M68" i="9"/>
  <c r="M70" i="9"/>
  <c r="M73" i="9"/>
  <c r="M79" i="9"/>
  <c r="M84" i="9"/>
  <c r="H76" i="9"/>
  <c r="H81" i="9"/>
  <c r="L67" i="9"/>
  <c r="L77" i="9"/>
  <c r="K77" i="9"/>
  <c r="K82" i="9"/>
  <c r="M67" i="9"/>
  <c r="M80" i="9"/>
  <c r="K70" i="9"/>
  <c r="K68" i="9"/>
  <c r="K71" i="9"/>
  <c r="K75" i="9"/>
  <c r="K84" i="9"/>
  <c r="L65" i="9"/>
  <c r="L66" i="9"/>
  <c r="L81" i="9"/>
  <c r="M76" i="9"/>
  <c r="M81" i="9"/>
  <c r="F80" i="9"/>
  <c r="J73" i="9"/>
  <c r="J75" i="9"/>
  <c r="J84" i="9"/>
  <c r="J64" i="9"/>
  <c r="J70" i="9"/>
  <c r="J85" i="9"/>
  <c r="K81" i="9"/>
  <c r="K65" i="9"/>
  <c r="E78" i="9"/>
  <c r="E69" i="9"/>
  <c r="E76" i="9"/>
  <c r="E81" i="9"/>
  <c r="H75" i="9"/>
  <c r="H73" i="9"/>
  <c r="H64" i="9"/>
  <c r="H70" i="9"/>
  <c r="H84" i="9"/>
  <c r="G68" i="9"/>
  <c r="G85" i="9"/>
  <c r="G73" i="9"/>
  <c r="G79" i="9"/>
  <c r="G80" i="9"/>
  <c r="G67" i="9"/>
  <c r="G82" i="9"/>
  <c r="J80" i="9"/>
  <c r="J67" i="9"/>
  <c r="H77" i="9"/>
  <c r="H80" i="9"/>
  <c r="F65" i="9"/>
  <c r="F76" i="9"/>
  <c r="M55" i="9"/>
  <c r="M51" i="9"/>
  <c r="M50" i="9"/>
  <c r="M48" i="9"/>
  <c r="D75" i="9"/>
  <c r="D53" i="9"/>
  <c r="D73" i="9"/>
  <c r="D56" i="9"/>
  <c r="D64" i="9"/>
  <c r="D70" i="9"/>
  <c r="D84" i="9"/>
  <c r="D59" i="9"/>
  <c r="D60" i="9"/>
  <c r="D76" i="9"/>
  <c r="D63" i="9"/>
  <c r="D82" i="9"/>
  <c r="D52" i="9"/>
  <c r="D80" i="9"/>
  <c r="F50" i="9"/>
  <c r="F48" i="9"/>
  <c r="F55" i="9"/>
  <c r="F51" i="9"/>
  <c r="D57" i="9"/>
  <c r="J50" i="9"/>
  <c r="J48" i="9"/>
  <c r="J55" i="9"/>
  <c r="J51" i="9"/>
  <c r="I82" i="9"/>
  <c r="I77" i="9"/>
  <c r="I67" i="9"/>
  <c r="I63" i="9"/>
  <c r="I62" i="9"/>
  <c r="I52" i="9"/>
  <c r="G55" i="9"/>
  <c r="G51" i="9"/>
  <c r="G48" i="9"/>
  <c r="G50" i="9"/>
  <c r="D71" i="9"/>
  <c r="D79" i="9"/>
  <c r="D61" i="9"/>
  <c r="D54" i="9"/>
  <c r="D68" i="9"/>
  <c r="D72" i="9"/>
  <c r="D85" i="9"/>
  <c r="D65" i="9"/>
  <c r="D66" i="9"/>
  <c r="D81" i="9"/>
  <c r="L50" i="9"/>
  <c r="L48" i="9"/>
  <c r="L55" i="9"/>
  <c r="L51" i="9"/>
  <c r="H50" i="9"/>
  <c r="H48" i="9"/>
  <c r="H55" i="9"/>
  <c r="H51" i="9"/>
  <c r="I81" i="9"/>
  <c r="I65" i="9"/>
  <c r="I59" i="9"/>
  <c r="I66" i="9"/>
  <c r="I76" i="9"/>
  <c r="I60" i="9"/>
  <c r="K55" i="9"/>
  <c r="K51" i="9"/>
  <c r="K48" i="9"/>
  <c r="K50" i="9"/>
  <c r="D67" i="9"/>
  <c r="D77" i="9"/>
  <c r="D62" i="9"/>
  <c r="D49" i="9"/>
  <c r="I57" i="9"/>
  <c r="I49" i="9"/>
  <c r="I84" i="9"/>
  <c r="I85" i="9"/>
  <c r="I79" i="9"/>
  <c r="I75" i="9"/>
  <c r="C115" i="9"/>
  <c r="I71" i="9"/>
  <c r="I61" i="9"/>
  <c r="I53" i="9"/>
  <c r="I70" i="9"/>
  <c r="I54" i="9"/>
  <c r="I72" i="9"/>
  <c r="I68" i="9"/>
  <c r="I64" i="9"/>
  <c r="I56" i="9"/>
  <c r="C105" i="9" l="1"/>
  <c r="C107" i="9"/>
  <c r="C103" i="9"/>
  <c r="E86" i="9"/>
  <c r="C110" i="9"/>
  <c r="K78" i="9"/>
  <c r="K69" i="9"/>
  <c r="H78" i="9"/>
  <c r="L69" i="9"/>
  <c r="L78" i="9"/>
  <c r="G74" i="9"/>
  <c r="G83" i="9"/>
  <c r="I80" i="9"/>
  <c r="C80" i="9" s="1"/>
  <c r="J69" i="9"/>
  <c r="J78" i="9"/>
  <c r="F74" i="9"/>
  <c r="F83" i="9"/>
  <c r="M78" i="9"/>
  <c r="M69" i="9"/>
  <c r="C101" i="9"/>
  <c r="C95" i="9"/>
  <c r="C99" i="9"/>
  <c r="C104" i="9"/>
  <c r="C109" i="9"/>
  <c r="C123" i="9"/>
  <c r="C108" i="9"/>
  <c r="C127" i="9"/>
  <c r="C114" i="9"/>
  <c r="C100" i="9"/>
  <c r="C113" i="9"/>
  <c r="I73" i="9"/>
  <c r="C73" i="9" s="1"/>
  <c r="K74" i="9"/>
  <c r="K83" i="9"/>
  <c r="H69" i="9"/>
  <c r="H74" i="9"/>
  <c r="H83" i="9"/>
  <c r="L74" i="9"/>
  <c r="L83" i="9"/>
  <c r="G78" i="9"/>
  <c r="G69" i="9"/>
  <c r="J74" i="9"/>
  <c r="J83" i="9"/>
  <c r="F69" i="9"/>
  <c r="F78" i="9"/>
  <c r="M74" i="9"/>
  <c r="M83" i="9"/>
  <c r="C91" i="9"/>
  <c r="C122" i="9"/>
  <c r="C94" i="9"/>
  <c r="C124" i="9"/>
  <c r="C118" i="9"/>
  <c r="C102" i="9"/>
  <c r="C126" i="9"/>
  <c r="C112" i="9"/>
  <c r="C106" i="9"/>
  <c r="C98" i="9"/>
  <c r="C117" i="9"/>
  <c r="C119" i="9"/>
  <c r="C96" i="9"/>
  <c r="C121" i="9"/>
  <c r="C62" i="9"/>
  <c r="C77" i="9"/>
  <c r="C67" i="9"/>
  <c r="I69" i="9"/>
  <c r="I55" i="9"/>
  <c r="I51" i="9"/>
  <c r="I78" i="9"/>
  <c r="I74" i="9"/>
  <c r="I50" i="9"/>
  <c r="I83" i="9"/>
  <c r="I48" i="9"/>
  <c r="C81" i="9"/>
  <c r="C85" i="9"/>
  <c r="C57" i="9"/>
  <c r="D51" i="9"/>
  <c r="D69" i="9"/>
  <c r="D50" i="9"/>
  <c r="D78" i="9"/>
  <c r="C52" i="9"/>
  <c r="C82" i="9"/>
  <c r="C63" i="9"/>
  <c r="C49" i="9"/>
  <c r="C66" i="9"/>
  <c r="C65" i="9"/>
  <c r="C72" i="9"/>
  <c r="C68" i="9"/>
  <c r="C58" i="9"/>
  <c r="C54" i="9"/>
  <c r="C61" i="9"/>
  <c r="C79" i="9"/>
  <c r="C71" i="9"/>
  <c r="D55" i="9"/>
  <c r="D48" i="9"/>
  <c r="D74" i="9"/>
  <c r="D83" i="9"/>
  <c r="C76" i="9"/>
  <c r="C60" i="9"/>
  <c r="C59" i="9"/>
  <c r="C84" i="9"/>
  <c r="C70" i="9"/>
  <c r="C64" i="9"/>
  <c r="C56" i="9"/>
  <c r="C53" i="9"/>
  <c r="C75" i="9"/>
  <c r="K193" i="8"/>
  <c r="K191" i="8"/>
  <c r="K189" i="8"/>
  <c r="K187" i="8"/>
  <c r="K185" i="8"/>
  <c r="K183" i="8"/>
  <c r="K181" i="8"/>
  <c r="K179" i="8"/>
  <c r="K177" i="8"/>
  <c r="K175" i="8"/>
  <c r="K173" i="8"/>
  <c r="K171" i="8"/>
  <c r="K169" i="8"/>
  <c r="K192" i="8"/>
  <c r="K190" i="8"/>
  <c r="K188" i="8"/>
  <c r="K186" i="8"/>
  <c r="K184" i="8"/>
  <c r="K182" i="8"/>
  <c r="K180" i="8"/>
  <c r="K178" i="8"/>
  <c r="K176" i="8"/>
  <c r="K174" i="8"/>
  <c r="K170" i="8"/>
  <c r="K167" i="8"/>
  <c r="K165" i="8"/>
  <c r="K163" i="8"/>
  <c r="K161" i="8"/>
  <c r="K159" i="8"/>
  <c r="K157" i="8"/>
  <c r="K172" i="8"/>
  <c r="K168" i="8"/>
  <c r="K166" i="8"/>
  <c r="K164" i="8"/>
  <c r="K162" i="8"/>
  <c r="K160" i="8"/>
  <c r="K158" i="8"/>
  <c r="K156" i="8"/>
  <c r="D192" i="8"/>
  <c r="D190" i="8"/>
  <c r="D188" i="8"/>
  <c r="D186" i="8"/>
  <c r="D184" i="8"/>
  <c r="D182" i="8"/>
  <c r="D180" i="8"/>
  <c r="D178" i="8"/>
  <c r="D176" i="8"/>
  <c r="D174" i="8"/>
  <c r="D172" i="8"/>
  <c r="D170" i="8"/>
  <c r="D193" i="8"/>
  <c r="D191" i="8"/>
  <c r="D189" i="8"/>
  <c r="D187" i="8"/>
  <c r="D185" i="8"/>
  <c r="D183" i="8"/>
  <c r="D181" i="8"/>
  <c r="D179" i="8"/>
  <c r="D177" i="8"/>
  <c r="D175" i="8"/>
  <c r="D171" i="8"/>
  <c r="D168" i="8"/>
  <c r="D166" i="8"/>
  <c r="D164" i="8"/>
  <c r="D162" i="8"/>
  <c r="D160" i="8"/>
  <c r="D158" i="8"/>
  <c r="D173" i="8"/>
  <c r="D169" i="8"/>
  <c r="D167" i="8"/>
  <c r="D165" i="8"/>
  <c r="D163" i="8"/>
  <c r="D161" i="8"/>
  <c r="D159" i="8"/>
  <c r="D157" i="8"/>
  <c r="D156" i="8"/>
  <c r="H192" i="8"/>
  <c r="H190" i="8"/>
  <c r="H188" i="8"/>
  <c r="H186" i="8"/>
  <c r="H184" i="8"/>
  <c r="H182" i="8"/>
  <c r="H180" i="8"/>
  <c r="H178" i="8"/>
  <c r="H176" i="8"/>
  <c r="H174" i="8"/>
  <c r="H172" i="8"/>
  <c r="H170" i="8"/>
  <c r="H193" i="8"/>
  <c r="H191" i="8"/>
  <c r="H189" i="8"/>
  <c r="H187" i="8"/>
  <c r="H185" i="8"/>
  <c r="H183" i="8"/>
  <c r="H181" i="8"/>
  <c r="H179" i="8"/>
  <c r="H177" i="8"/>
  <c r="H175" i="8"/>
  <c r="H173" i="8"/>
  <c r="H171" i="8"/>
  <c r="H168" i="8"/>
  <c r="H166" i="8"/>
  <c r="H164" i="8"/>
  <c r="H162" i="8"/>
  <c r="H160" i="8"/>
  <c r="H158" i="8"/>
  <c r="H156" i="8"/>
  <c r="H169" i="8"/>
  <c r="H167" i="8"/>
  <c r="H165" i="8"/>
  <c r="H163" i="8"/>
  <c r="H161" i="8"/>
  <c r="H159" i="8"/>
  <c r="H157" i="8"/>
  <c r="L192" i="8"/>
  <c r="L190" i="8"/>
  <c r="L188" i="8"/>
  <c r="L186" i="8"/>
  <c r="L184" i="8"/>
  <c r="L182" i="8"/>
  <c r="L180" i="8"/>
  <c r="L178" i="8"/>
  <c r="L176" i="8"/>
  <c r="L174" i="8"/>
  <c r="L172" i="8"/>
  <c r="L170" i="8"/>
  <c r="L193" i="8"/>
  <c r="L191" i="8"/>
  <c r="L189" i="8"/>
  <c r="L187" i="8"/>
  <c r="L185" i="8"/>
  <c r="L183" i="8"/>
  <c r="L181" i="8"/>
  <c r="L179" i="8"/>
  <c r="L177" i="8"/>
  <c r="L175" i="8"/>
  <c r="L173" i="8"/>
  <c r="L171" i="8"/>
  <c r="L168" i="8"/>
  <c r="L166" i="8"/>
  <c r="L164" i="8"/>
  <c r="L162" i="8"/>
  <c r="L160" i="8"/>
  <c r="L158" i="8"/>
  <c r="L156" i="8"/>
  <c r="L169" i="8"/>
  <c r="L167" i="8"/>
  <c r="L165" i="8"/>
  <c r="L163" i="8"/>
  <c r="L161" i="8"/>
  <c r="L159" i="8"/>
  <c r="L157" i="8"/>
  <c r="L137" i="8" s="1"/>
  <c r="G193" i="8"/>
  <c r="G191" i="8"/>
  <c r="G189" i="8"/>
  <c r="G187" i="8"/>
  <c r="G185" i="8"/>
  <c r="G183" i="8"/>
  <c r="G181" i="8"/>
  <c r="G179" i="8"/>
  <c r="G177" i="8"/>
  <c r="G175" i="8"/>
  <c r="G173" i="8"/>
  <c r="G171" i="8"/>
  <c r="G192" i="8"/>
  <c r="G190" i="8"/>
  <c r="G188" i="8"/>
  <c r="G186" i="8"/>
  <c r="G184" i="8"/>
  <c r="G182" i="8"/>
  <c r="G180" i="8"/>
  <c r="G178" i="8"/>
  <c r="G176" i="8"/>
  <c r="G174" i="8"/>
  <c r="G170" i="8"/>
  <c r="G169" i="8"/>
  <c r="G167" i="8"/>
  <c r="G165" i="8"/>
  <c r="G163" i="8"/>
  <c r="G161" i="8"/>
  <c r="G159" i="8"/>
  <c r="G157" i="8"/>
  <c r="G137" i="8" s="1"/>
  <c r="G172" i="8"/>
  <c r="G168" i="8"/>
  <c r="G166" i="8"/>
  <c r="G164" i="8"/>
  <c r="G162" i="8"/>
  <c r="G160" i="8"/>
  <c r="G158" i="8"/>
  <c r="G156" i="8"/>
  <c r="M193" i="8"/>
  <c r="M191" i="8"/>
  <c r="M189" i="8"/>
  <c r="M187" i="8"/>
  <c r="M185" i="8"/>
  <c r="M183" i="8"/>
  <c r="M181" i="8"/>
  <c r="M179" i="8"/>
  <c r="M177" i="8"/>
  <c r="M175" i="8"/>
  <c r="M173" i="8"/>
  <c r="M171" i="8"/>
  <c r="M169" i="8"/>
  <c r="M192" i="8"/>
  <c r="M190" i="8"/>
  <c r="M188" i="8"/>
  <c r="M186" i="8"/>
  <c r="M184" i="8"/>
  <c r="M182" i="8"/>
  <c r="M180" i="8"/>
  <c r="M178" i="8"/>
  <c r="M176" i="8"/>
  <c r="M174" i="8"/>
  <c r="M172" i="8"/>
  <c r="M167" i="8"/>
  <c r="M165" i="8"/>
  <c r="M163" i="8"/>
  <c r="M161" i="8"/>
  <c r="M159" i="8"/>
  <c r="M157" i="8"/>
  <c r="M170" i="8"/>
  <c r="M168" i="8"/>
  <c r="M166" i="8"/>
  <c r="M164" i="8"/>
  <c r="M162" i="8"/>
  <c r="M160" i="8"/>
  <c r="M158" i="8"/>
  <c r="M156" i="8"/>
  <c r="F188" i="8"/>
  <c r="F186" i="8"/>
  <c r="F184" i="8"/>
  <c r="F182" i="8"/>
  <c r="F180" i="8"/>
  <c r="F178" i="8"/>
  <c r="F176" i="8"/>
  <c r="F174" i="8"/>
  <c r="F172" i="8"/>
  <c r="F170" i="8"/>
  <c r="F189" i="8"/>
  <c r="F187" i="8"/>
  <c r="F185" i="8"/>
  <c r="F183" i="8"/>
  <c r="F181" i="8"/>
  <c r="F179" i="8"/>
  <c r="F177" i="8"/>
  <c r="F175" i="8"/>
  <c r="F173" i="8"/>
  <c r="F168" i="8"/>
  <c r="F166" i="8"/>
  <c r="F164" i="8"/>
  <c r="F162" i="8"/>
  <c r="F160" i="8"/>
  <c r="F158" i="8"/>
  <c r="F171" i="8"/>
  <c r="F169" i="8"/>
  <c r="F167" i="8"/>
  <c r="F165" i="8"/>
  <c r="F163" i="8"/>
  <c r="F161" i="8"/>
  <c r="F159" i="8"/>
  <c r="F157" i="8"/>
  <c r="F137" i="8" s="1"/>
  <c r="F192" i="8"/>
  <c r="F193" i="8"/>
  <c r="F190" i="8"/>
  <c r="F191" i="8"/>
  <c r="F156" i="8"/>
  <c r="J192" i="8"/>
  <c r="J190" i="8"/>
  <c r="J188" i="8"/>
  <c r="J186" i="8"/>
  <c r="J184" i="8"/>
  <c r="J182" i="8"/>
  <c r="J180" i="8"/>
  <c r="J178" i="8"/>
  <c r="J176" i="8"/>
  <c r="J174" i="8"/>
  <c r="J172" i="8"/>
  <c r="J170" i="8"/>
  <c r="J193" i="8"/>
  <c r="J191" i="8"/>
  <c r="J189" i="8"/>
  <c r="J187" i="8"/>
  <c r="J185" i="8"/>
  <c r="J183" i="8"/>
  <c r="J181" i="8"/>
  <c r="J179" i="8"/>
  <c r="J177" i="8"/>
  <c r="J175" i="8"/>
  <c r="J173" i="8"/>
  <c r="J169" i="8"/>
  <c r="J168" i="8"/>
  <c r="J166" i="8"/>
  <c r="J164" i="8"/>
  <c r="J162" i="8"/>
  <c r="J160" i="8"/>
  <c r="J158" i="8"/>
  <c r="J156" i="8"/>
  <c r="J171" i="8"/>
  <c r="J167" i="8"/>
  <c r="J165" i="8"/>
  <c r="J163" i="8"/>
  <c r="J161" i="8"/>
  <c r="J159" i="8"/>
  <c r="J157" i="8"/>
  <c r="E193" i="8"/>
  <c r="E191" i="8"/>
  <c r="E189" i="8"/>
  <c r="E187" i="8"/>
  <c r="E185" i="8"/>
  <c r="E183" i="8"/>
  <c r="E181" i="8"/>
  <c r="E179" i="8"/>
  <c r="E177" i="8"/>
  <c r="E175" i="8"/>
  <c r="E173" i="8"/>
  <c r="E171" i="8"/>
  <c r="E192" i="8"/>
  <c r="E190" i="8"/>
  <c r="E188" i="8"/>
  <c r="E186" i="8"/>
  <c r="E184" i="8"/>
  <c r="E182" i="8"/>
  <c r="E180" i="8"/>
  <c r="E178" i="8"/>
  <c r="E176" i="8"/>
  <c r="E174" i="8"/>
  <c r="E172" i="8"/>
  <c r="E169" i="8"/>
  <c r="E167" i="8"/>
  <c r="E165" i="8"/>
  <c r="E163" i="8"/>
  <c r="E161" i="8"/>
  <c r="E159" i="8"/>
  <c r="E157" i="8"/>
  <c r="E170" i="8"/>
  <c r="E168" i="8"/>
  <c r="E166" i="8"/>
  <c r="E164" i="8"/>
  <c r="E162" i="8"/>
  <c r="E160" i="8"/>
  <c r="E158" i="8"/>
  <c r="E156" i="8"/>
  <c r="K140" i="8"/>
  <c r="M137" i="8"/>
  <c r="K137" i="8"/>
  <c r="J137" i="8"/>
  <c r="E137" i="8"/>
  <c r="B127" i="8"/>
  <c r="A127" i="8"/>
  <c r="B126" i="8"/>
  <c r="A126" i="8"/>
  <c r="B125" i="8"/>
  <c r="A125" i="8"/>
  <c r="B124" i="8"/>
  <c r="A124" i="8"/>
  <c r="B123" i="8"/>
  <c r="A123" i="8"/>
  <c r="B122" i="8"/>
  <c r="A122" i="8"/>
  <c r="B121" i="8"/>
  <c r="A121" i="8"/>
  <c r="B120" i="8"/>
  <c r="A120" i="8"/>
  <c r="B119" i="8"/>
  <c r="A119" i="8"/>
  <c r="B118" i="8"/>
  <c r="A118" i="8"/>
  <c r="B117" i="8"/>
  <c r="A117" i="8"/>
  <c r="B116" i="8"/>
  <c r="A116" i="8"/>
  <c r="B115" i="8"/>
  <c r="A115" i="8"/>
  <c r="B114" i="8"/>
  <c r="A114" i="8"/>
  <c r="B113" i="8"/>
  <c r="A113" i="8"/>
  <c r="B112" i="8"/>
  <c r="A112" i="8"/>
  <c r="B111" i="8"/>
  <c r="A111" i="8"/>
  <c r="B110" i="8"/>
  <c r="A110" i="8"/>
  <c r="B109" i="8"/>
  <c r="A109" i="8"/>
  <c r="B108" i="8"/>
  <c r="A108" i="8"/>
  <c r="B107" i="8"/>
  <c r="A107" i="8"/>
  <c r="B106" i="8"/>
  <c r="A106" i="8"/>
  <c r="B105" i="8"/>
  <c r="A105" i="8"/>
  <c r="B104" i="8"/>
  <c r="A104" i="8"/>
  <c r="B103" i="8"/>
  <c r="A103" i="8"/>
  <c r="B102" i="8"/>
  <c r="A102" i="8"/>
  <c r="B101" i="8"/>
  <c r="A101" i="8"/>
  <c r="B100" i="8"/>
  <c r="A100" i="8"/>
  <c r="B99" i="8"/>
  <c r="A99" i="8"/>
  <c r="B98" i="8"/>
  <c r="A98" i="8"/>
  <c r="B97" i="8"/>
  <c r="A97" i="8"/>
  <c r="B96" i="8"/>
  <c r="A96" i="8"/>
  <c r="B95" i="8"/>
  <c r="A95" i="8"/>
  <c r="B94" i="8"/>
  <c r="A94" i="8"/>
  <c r="B93" i="8"/>
  <c r="A93" i="8"/>
  <c r="B92" i="8"/>
  <c r="A92" i="8"/>
  <c r="B91" i="8"/>
  <c r="A91" i="8"/>
  <c r="B90" i="8"/>
  <c r="A90" i="8"/>
  <c r="B85" i="8"/>
  <c r="A85" i="8"/>
  <c r="B84" i="8"/>
  <c r="A84" i="8"/>
  <c r="B83" i="8"/>
  <c r="A83" i="8"/>
  <c r="B82" i="8"/>
  <c r="A82" i="8"/>
  <c r="B81" i="8"/>
  <c r="A81" i="8"/>
  <c r="B80" i="8"/>
  <c r="A80" i="8"/>
  <c r="B79" i="8"/>
  <c r="A79" i="8"/>
  <c r="B78" i="8"/>
  <c r="A78" i="8"/>
  <c r="B77" i="8"/>
  <c r="A77" i="8"/>
  <c r="B76" i="8"/>
  <c r="A76" i="8"/>
  <c r="B75" i="8"/>
  <c r="A75" i="8"/>
  <c r="B74" i="8"/>
  <c r="A74" i="8"/>
  <c r="B73" i="8"/>
  <c r="A73" i="8"/>
  <c r="B72" i="8"/>
  <c r="A72" i="8"/>
  <c r="B71" i="8"/>
  <c r="A71" i="8"/>
  <c r="B70" i="8"/>
  <c r="A70" i="8"/>
  <c r="B69" i="8"/>
  <c r="A69" i="8"/>
  <c r="B68" i="8"/>
  <c r="A68" i="8"/>
  <c r="B67" i="8"/>
  <c r="A67" i="8"/>
  <c r="B66" i="8"/>
  <c r="A66" i="8"/>
  <c r="B65" i="8"/>
  <c r="A65" i="8"/>
  <c r="B64" i="8"/>
  <c r="A64" i="8"/>
  <c r="B63" i="8"/>
  <c r="A63" i="8"/>
  <c r="B62" i="8"/>
  <c r="A62" i="8"/>
  <c r="B61" i="8"/>
  <c r="A61" i="8"/>
  <c r="B60" i="8"/>
  <c r="A60" i="8"/>
  <c r="B59" i="8"/>
  <c r="A59" i="8"/>
  <c r="B58" i="8"/>
  <c r="A58" i="8"/>
  <c r="B57" i="8"/>
  <c r="A57" i="8"/>
  <c r="B56" i="8"/>
  <c r="A56" i="8"/>
  <c r="B55" i="8"/>
  <c r="A55" i="8"/>
  <c r="B54" i="8"/>
  <c r="A54" i="8"/>
  <c r="B53" i="8"/>
  <c r="A53" i="8"/>
  <c r="B52" i="8"/>
  <c r="A52" i="8"/>
  <c r="B51" i="8"/>
  <c r="A51" i="8"/>
  <c r="B50" i="8"/>
  <c r="A50" i="8"/>
  <c r="B49" i="8"/>
  <c r="A49" i="8"/>
  <c r="B48" i="8"/>
  <c r="A48" i="8"/>
  <c r="J86" i="9" l="1"/>
  <c r="L86" i="9"/>
  <c r="F86" i="9"/>
  <c r="H86" i="9"/>
  <c r="C92" i="9"/>
  <c r="M86" i="9"/>
  <c r="C97" i="9"/>
  <c r="G86" i="9"/>
  <c r="K86" i="9"/>
  <c r="C120" i="9"/>
  <c r="C111" i="9"/>
  <c r="C93" i="9"/>
  <c r="C125" i="9"/>
  <c r="C116" i="9"/>
  <c r="C83" i="9"/>
  <c r="C74" i="9"/>
  <c r="C48" i="9"/>
  <c r="D86" i="9"/>
  <c r="C55" i="9"/>
  <c r="C78" i="9"/>
  <c r="C50" i="9"/>
  <c r="C69" i="9"/>
  <c r="C51" i="9"/>
  <c r="I86" i="9"/>
  <c r="F139" i="8"/>
  <c r="L140" i="8"/>
  <c r="L139" i="8"/>
  <c r="L141" i="8"/>
  <c r="G141" i="8"/>
  <c r="G140" i="8"/>
  <c r="G139" i="8"/>
  <c r="J140" i="8"/>
  <c r="J139" i="8"/>
  <c r="J141" i="8"/>
  <c r="M140" i="8"/>
  <c r="D140" i="8"/>
  <c r="K139" i="8"/>
  <c r="E139" i="8"/>
  <c r="E140" i="8"/>
  <c r="F140" i="8"/>
  <c r="M139" i="8"/>
  <c r="E194" i="8"/>
  <c r="F194" i="8"/>
  <c r="M194" i="8"/>
  <c r="G194" i="8"/>
  <c r="J194" i="8"/>
  <c r="L194" i="8"/>
  <c r="D194" i="8"/>
  <c r="K194" i="8"/>
  <c r="I193" i="8"/>
  <c r="I191" i="8"/>
  <c r="C191" i="8" s="1"/>
  <c r="I189" i="8"/>
  <c r="I187" i="8"/>
  <c r="C187" i="8" s="1"/>
  <c r="I185" i="8"/>
  <c r="I183" i="8"/>
  <c r="C183" i="8" s="1"/>
  <c r="I181" i="8"/>
  <c r="I179" i="8"/>
  <c r="C179" i="8" s="1"/>
  <c r="I177" i="8"/>
  <c r="I175" i="8"/>
  <c r="C175" i="8" s="1"/>
  <c r="I173" i="8"/>
  <c r="C173" i="8" s="1"/>
  <c r="I171" i="8"/>
  <c r="C171" i="8" s="1"/>
  <c r="I169" i="8"/>
  <c r="I192" i="8"/>
  <c r="C192" i="8" s="1"/>
  <c r="I190" i="8"/>
  <c r="C190" i="8" s="1"/>
  <c r="I188" i="8"/>
  <c r="C188" i="8" s="1"/>
  <c r="I186" i="8"/>
  <c r="C186" i="8" s="1"/>
  <c r="I184" i="8"/>
  <c r="I182" i="8"/>
  <c r="C182" i="8" s="1"/>
  <c r="I180" i="8"/>
  <c r="C180" i="8" s="1"/>
  <c r="I178" i="8"/>
  <c r="C178" i="8" s="1"/>
  <c r="I176" i="8"/>
  <c r="C176" i="8" s="1"/>
  <c r="I174" i="8"/>
  <c r="C174" i="8" s="1"/>
  <c r="I172" i="8"/>
  <c r="C172" i="8" s="1"/>
  <c r="I167" i="8"/>
  <c r="I165" i="8"/>
  <c r="C165" i="8" s="1"/>
  <c r="I163" i="8"/>
  <c r="C163" i="8" s="1"/>
  <c r="I161" i="8"/>
  <c r="C161" i="8" s="1"/>
  <c r="I159" i="8"/>
  <c r="C159" i="8" s="1"/>
  <c r="I157" i="8"/>
  <c r="H137" i="8" s="1"/>
  <c r="I170" i="8"/>
  <c r="C170" i="8" s="1"/>
  <c r="I168" i="8"/>
  <c r="C168" i="8" s="1"/>
  <c r="I166" i="8"/>
  <c r="C166" i="8" s="1"/>
  <c r="I164" i="8"/>
  <c r="C164" i="8" s="1"/>
  <c r="I162" i="8"/>
  <c r="I160" i="8"/>
  <c r="I158" i="8"/>
  <c r="C158" i="8" s="1"/>
  <c r="I156" i="8"/>
  <c r="H194" i="8"/>
  <c r="C157" i="8"/>
  <c r="C169" i="8"/>
  <c r="C162" i="8"/>
  <c r="C177" i="8"/>
  <c r="C181" i="8"/>
  <c r="C185" i="8"/>
  <c r="C189" i="8"/>
  <c r="C193" i="8"/>
  <c r="C184" i="8"/>
  <c r="E138" i="8"/>
  <c r="G138" i="8"/>
  <c r="K138" i="8"/>
  <c r="M138" i="8"/>
  <c r="D139" i="8"/>
  <c r="D138" i="8"/>
  <c r="F138" i="8"/>
  <c r="J138" i="8"/>
  <c r="L138" i="8"/>
  <c r="D137" i="8"/>
  <c r="K141" i="8"/>
  <c r="M141" i="8"/>
  <c r="F141" i="8"/>
  <c r="C86" i="9" l="1"/>
  <c r="P35" i="9" s="1"/>
  <c r="H140" i="8"/>
  <c r="H138" i="8"/>
  <c r="H144" i="8" s="1"/>
  <c r="H132" i="8" s="1"/>
  <c r="J146" i="8"/>
  <c r="J134" i="8" s="1"/>
  <c r="J123" i="8" s="1"/>
  <c r="J81" i="8" s="1"/>
  <c r="L144" i="8"/>
  <c r="L132" i="8" s="1"/>
  <c r="L125" i="8" s="1"/>
  <c r="L83" i="8" s="1"/>
  <c r="H143" i="8"/>
  <c r="H131" i="8" s="1"/>
  <c r="I131" i="8" s="1"/>
  <c r="I194" i="8"/>
  <c r="H139" i="8"/>
  <c r="K145" i="8" s="1"/>
  <c r="K133" i="8" s="1"/>
  <c r="H141" i="8"/>
  <c r="C160" i="8"/>
  <c r="C167" i="8"/>
  <c r="C156" i="8"/>
  <c r="L143" i="8"/>
  <c r="L131" i="8" s="1"/>
  <c r="D143" i="8"/>
  <c r="D131" i="8" s="1"/>
  <c r="D141" i="8"/>
  <c r="M143" i="8"/>
  <c r="M131" i="8" s="1"/>
  <c r="G143" i="8"/>
  <c r="G131" i="8" s="1"/>
  <c r="E144" i="8"/>
  <c r="E132" i="8" s="1"/>
  <c r="E141" i="8"/>
  <c r="E145" i="8"/>
  <c r="E133" i="8" s="1"/>
  <c r="J143" i="8"/>
  <c r="J131" i="8" s="1"/>
  <c r="F143" i="8"/>
  <c r="F131" i="8" s="1"/>
  <c r="F145" i="8"/>
  <c r="F133" i="8" s="1"/>
  <c r="K143" i="8"/>
  <c r="K131" i="8" s="1"/>
  <c r="E143" i="8"/>
  <c r="E131" i="8" s="1"/>
  <c r="J101" i="8" l="1"/>
  <c r="J59" i="8" s="1"/>
  <c r="P26" i="9"/>
  <c r="P31" i="9"/>
  <c r="P8" i="9"/>
  <c r="P12" i="9"/>
  <c r="P40" i="9"/>
  <c r="P5" i="9"/>
  <c r="P28" i="9"/>
  <c r="P18" i="9"/>
  <c r="P15" i="9"/>
  <c r="P29" i="9"/>
  <c r="P23" i="9"/>
  <c r="P39" i="9"/>
  <c r="P37" i="9"/>
  <c r="P42" i="9"/>
  <c r="P24" i="9"/>
  <c r="P32" i="9"/>
  <c r="P13" i="9"/>
  <c r="P27" i="9"/>
  <c r="P16" i="9"/>
  <c r="P33" i="9"/>
  <c r="P6" i="9"/>
  <c r="P34" i="9"/>
  <c r="P30" i="9"/>
  <c r="P36" i="9"/>
  <c r="P11" i="9"/>
  <c r="P25" i="9"/>
  <c r="P22" i="9"/>
  <c r="P20" i="9"/>
  <c r="P9" i="9"/>
  <c r="P14" i="9"/>
  <c r="P38" i="9"/>
  <c r="P19" i="9"/>
  <c r="P10" i="9"/>
  <c r="P21" i="9"/>
  <c r="P41" i="9"/>
  <c r="P17" i="9"/>
  <c r="P7" i="9"/>
  <c r="K144" i="8"/>
  <c r="K132" i="8" s="1"/>
  <c r="K125" i="8" s="1"/>
  <c r="K83" i="8" s="1"/>
  <c r="F144" i="8"/>
  <c r="F132" i="8" s="1"/>
  <c r="F120" i="8" s="1"/>
  <c r="F78" i="8" s="1"/>
  <c r="J145" i="8"/>
  <c r="J133" i="8" s="1"/>
  <c r="J122" i="8" s="1"/>
  <c r="J80" i="8" s="1"/>
  <c r="J144" i="8"/>
  <c r="J132" i="8" s="1"/>
  <c r="J120" i="8" s="1"/>
  <c r="J78" i="8" s="1"/>
  <c r="G144" i="8"/>
  <c r="G132" i="8" s="1"/>
  <c r="G120" i="8" s="1"/>
  <c r="G78" i="8" s="1"/>
  <c r="M144" i="8"/>
  <c r="M132" i="8" s="1"/>
  <c r="M125" i="8" s="1"/>
  <c r="M83" i="8" s="1"/>
  <c r="D144" i="8"/>
  <c r="D132" i="8" s="1"/>
  <c r="D120" i="8" s="1"/>
  <c r="J118" i="8"/>
  <c r="J76" i="8" s="1"/>
  <c r="H99" i="8"/>
  <c r="H57" i="8" s="1"/>
  <c r="L90" i="8"/>
  <c r="L48" i="8" s="1"/>
  <c r="J107" i="8"/>
  <c r="J65" i="8" s="1"/>
  <c r="H91" i="8"/>
  <c r="H49" i="8" s="1"/>
  <c r="L111" i="8"/>
  <c r="L69" i="8" s="1"/>
  <c r="D146" i="8"/>
  <c r="D134" i="8" s="1"/>
  <c r="L146" i="8"/>
  <c r="L134" i="8" s="1"/>
  <c r="G146" i="8"/>
  <c r="G134" i="8" s="1"/>
  <c r="M146" i="8"/>
  <c r="M134" i="8" s="1"/>
  <c r="H146" i="8"/>
  <c r="H134" i="8" s="1"/>
  <c r="E146" i="8"/>
  <c r="E134" i="8" s="1"/>
  <c r="K146" i="8"/>
  <c r="K134" i="8" s="1"/>
  <c r="J102" i="8"/>
  <c r="J60" i="8" s="1"/>
  <c r="J108" i="8"/>
  <c r="J66" i="8" s="1"/>
  <c r="L93" i="8"/>
  <c r="L51" i="8" s="1"/>
  <c r="L120" i="8"/>
  <c r="L78" i="8" s="1"/>
  <c r="F146" i="8"/>
  <c r="F134" i="8" s="1"/>
  <c r="C194" i="8"/>
  <c r="L92" i="8"/>
  <c r="L50" i="8" s="1"/>
  <c r="L97" i="8"/>
  <c r="L55" i="8" s="1"/>
  <c r="L116" i="8"/>
  <c r="L74" i="8" s="1"/>
  <c r="E147" i="8"/>
  <c r="E135" i="8" s="1"/>
  <c r="K99" i="8"/>
  <c r="K57" i="8" s="1"/>
  <c r="K91" i="8"/>
  <c r="K49" i="8" s="1"/>
  <c r="J124" i="8"/>
  <c r="J82" i="8" s="1"/>
  <c r="F99" i="8"/>
  <c r="F57" i="8" s="1"/>
  <c r="F91" i="8"/>
  <c r="F49" i="8" s="1"/>
  <c r="E124" i="8"/>
  <c r="E82" i="8" s="1"/>
  <c r="E122" i="8"/>
  <c r="E80" i="8" s="1"/>
  <c r="E119" i="8"/>
  <c r="E77" i="8" s="1"/>
  <c r="E109" i="8"/>
  <c r="E67" i="8" s="1"/>
  <c r="E105" i="8"/>
  <c r="E63" i="8" s="1"/>
  <c r="E104" i="8"/>
  <c r="E62" i="8" s="1"/>
  <c r="E94" i="8"/>
  <c r="E52" i="8" s="1"/>
  <c r="M99" i="8"/>
  <c r="M57" i="8" s="1"/>
  <c r="M91" i="8"/>
  <c r="M49" i="8" s="1"/>
  <c r="I132" i="8"/>
  <c r="H125" i="8"/>
  <c r="H83" i="8" s="1"/>
  <c r="H120" i="8"/>
  <c r="H78" i="8" s="1"/>
  <c r="H116" i="8"/>
  <c r="H74" i="8" s="1"/>
  <c r="H111" i="8"/>
  <c r="H69" i="8" s="1"/>
  <c r="H97" i="8"/>
  <c r="H55" i="8" s="1"/>
  <c r="H93" i="8"/>
  <c r="H51" i="8" s="1"/>
  <c r="H92" i="8"/>
  <c r="H50" i="8" s="1"/>
  <c r="H90" i="8"/>
  <c r="H48" i="8" s="1"/>
  <c r="L99" i="8"/>
  <c r="L57" i="8" s="1"/>
  <c r="L91" i="8"/>
  <c r="L49" i="8" s="1"/>
  <c r="E99" i="8"/>
  <c r="E57" i="8" s="1"/>
  <c r="E91" i="8"/>
  <c r="E49" i="8" s="1"/>
  <c r="F124" i="8"/>
  <c r="F82" i="8" s="1"/>
  <c r="F122" i="8"/>
  <c r="F80" i="8" s="1"/>
  <c r="F119" i="8"/>
  <c r="F77" i="8" s="1"/>
  <c r="F109" i="8"/>
  <c r="F67" i="8" s="1"/>
  <c r="F105" i="8"/>
  <c r="F63" i="8" s="1"/>
  <c r="F104" i="8"/>
  <c r="F62" i="8" s="1"/>
  <c r="F94" i="8"/>
  <c r="F52" i="8" s="1"/>
  <c r="J99" i="8"/>
  <c r="J57" i="8" s="1"/>
  <c r="J91" i="8"/>
  <c r="J49" i="8" s="1"/>
  <c r="K124" i="8"/>
  <c r="K82" i="8" s="1"/>
  <c r="K122" i="8"/>
  <c r="K80" i="8" s="1"/>
  <c r="K119" i="8"/>
  <c r="K77" i="8" s="1"/>
  <c r="K109" i="8"/>
  <c r="K67" i="8" s="1"/>
  <c r="K105" i="8"/>
  <c r="K63" i="8" s="1"/>
  <c r="K104" i="8"/>
  <c r="K62" i="8" s="1"/>
  <c r="K94" i="8"/>
  <c r="K52" i="8" s="1"/>
  <c r="E125" i="8"/>
  <c r="E83" i="8" s="1"/>
  <c r="E120" i="8"/>
  <c r="E78" i="8" s="1"/>
  <c r="E116" i="8"/>
  <c r="E74" i="8" s="1"/>
  <c r="E111" i="8"/>
  <c r="E69" i="8" s="1"/>
  <c r="E97" i="8"/>
  <c r="E55" i="8" s="1"/>
  <c r="E93" i="8"/>
  <c r="E51" i="8" s="1"/>
  <c r="E92" i="8"/>
  <c r="E50" i="8" s="1"/>
  <c r="E90" i="8"/>
  <c r="E48" i="8" s="1"/>
  <c r="G99" i="8"/>
  <c r="G57" i="8" s="1"/>
  <c r="G91" i="8"/>
  <c r="G49" i="8" s="1"/>
  <c r="F125" i="8"/>
  <c r="F83" i="8" s="1"/>
  <c r="D99" i="8"/>
  <c r="D91" i="8"/>
  <c r="H145" i="8"/>
  <c r="H133" i="8" s="1"/>
  <c r="G145" i="8"/>
  <c r="G133" i="8" s="1"/>
  <c r="L145" i="8"/>
  <c r="L133" i="8" s="1"/>
  <c r="M145" i="8"/>
  <c r="M133" i="8" s="1"/>
  <c r="D145" i="8"/>
  <c r="D133" i="8" s="1"/>
  <c r="C131" i="8"/>
  <c r="I99" i="8"/>
  <c r="I57" i="8" s="1"/>
  <c r="I91" i="8"/>
  <c r="I49" i="8" s="1"/>
  <c r="K147" i="8"/>
  <c r="K135" i="8" s="1"/>
  <c r="K100" i="8" s="1"/>
  <c r="K58" i="8" s="1"/>
  <c r="D147" i="8"/>
  <c r="D135" i="8" s="1"/>
  <c r="D100" i="8" s="1"/>
  <c r="D58" i="8" s="1"/>
  <c r="H147" i="8"/>
  <c r="H135" i="8" s="1"/>
  <c r="H100" i="8" s="1"/>
  <c r="H58" i="8" s="1"/>
  <c r="L147" i="8"/>
  <c r="L135" i="8" s="1"/>
  <c r="L100" i="8" s="1"/>
  <c r="L58" i="8" s="1"/>
  <c r="J147" i="8"/>
  <c r="J135" i="8" s="1"/>
  <c r="J100" i="8" s="1"/>
  <c r="J58" i="8" s="1"/>
  <c r="G147" i="8"/>
  <c r="G135" i="8" s="1"/>
  <c r="G100" i="8" s="1"/>
  <c r="G58" i="8" s="1"/>
  <c r="M147" i="8"/>
  <c r="M135" i="8" s="1"/>
  <c r="M100" i="8" s="1"/>
  <c r="M58" i="8" s="1"/>
  <c r="F147" i="8"/>
  <c r="F135" i="8" s="1"/>
  <c r="F100" i="8" s="1"/>
  <c r="F58" i="8" s="1"/>
  <c r="E127" i="8" l="1"/>
  <c r="E85" i="8" s="1"/>
  <c r="E100" i="8"/>
  <c r="E58" i="8" s="1"/>
  <c r="C99" i="8"/>
  <c r="C91" i="8"/>
  <c r="P43" i="9"/>
  <c r="C43" i="9" s="1"/>
  <c r="J33" i="9" s="1"/>
  <c r="K90" i="8"/>
  <c r="K48" i="8" s="1"/>
  <c r="K111" i="8"/>
  <c r="K69" i="8" s="1"/>
  <c r="K93" i="8"/>
  <c r="K51" i="8" s="1"/>
  <c r="K120" i="8"/>
  <c r="K78" i="8" s="1"/>
  <c r="K92" i="8"/>
  <c r="K50" i="8" s="1"/>
  <c r="K97" i="8"/>
  <c r="K55" i="8" s="1"/>
  <c r="K116" i="8"/>
  <c r="K74" i="8" s="1"/>
  <c r="F97" i="8"/>
  <c r="F55" i="8" s="1"/>
  <c r="F92" i="8"/>
  <c r="F50" i="8" s="1"/>
  <c r="F116" i="8"/>
  <c r="F74" i="8" s="1"/>
  <c r="F90" i="8"/>
  <c r="F48" i="8" s="1"/>
  <c r="F93" i="8"/>
  <c r="F51" i="8" s="1"/>
  <c r="F111" i="8"/>
  <c r="F69" i="8" s="1"/>
  <c r="J92" i="8"/>
  <c r="J50" i="8" s="1"/>
  <c r="M93" i="8"/>
  <c r="M51" i="8" s="1"/>
  <c r="D97" i="8"/>
  <c r="G97" i="8"/>
  <c r="G55" i="8" s="1"/>
  <c r="J105" i="8"/>
  <c r="J63" i="8" s="1"/>
  <c r="J116" i="8"/>
  <c r="J74" i="8" s="1"/>
  <c r="M120" i="8"/>
  <c r="M78" i="8" s="1"/>
  <c r="D125" i="8"/>
  <c r="G125" i="8"/>
  <c r="G83" i="8" s="1"/>
  <c r="J94" i="8"/>
  <c r="J52" i="8" s="1"/>
  <c r="J119" i="8"/>
  <c r="J77" i="8" s="1"/>
  <c r="J97" i="8"/>
  <c r="J55" i="8" s="1"/>
  <c r="J125" i="8"/>
  <c r="J83" i="8" s="1"/>
  <c r="M90" i="8"/>
  <c r="M48" i="8" s="1"/>
  <c r="M111" i="8"/>
  <c r="M69" i="8" s="1"/>
  <c r="D92" i="8"/>
  <c r="D116" i="8"/>
  <c r="G92" i="8"/>
  <c r="G50" i="8" s="1"/>
  <c r="G116" i="8"/>
  <c r="G74" i="8" s="1"/>
  <c r="J104" i="8"/>
  <c r="J62" i="8" s="1"/>
  <c r="J109" i="8"/>
  <c r="J67" i="8" s="1"/>
  <c r="J90" i="8"/>
  <c r="J48" i="8" s="1"/>
  <c r="J93" i="8"/>
  <c r="J51" i="8" s="1"/>
  <c r="J111" i="8"/>
  <c r="J69" i="8" s="1"/>
  <c r="M92" i="8"/>
  <c r="M50" i="8" s="1"/>
  <c r="M97" i="8"/>
  <c r="M55" i="8" s="1"/>
  <c r="M116" i="8"/>
  <c r="M74" i="8" s="1"/>
  <c r="D90" i="8"/>
  <c r="D93" i="8"/>
  <c r="D111" i="8"/>
  <c r="G90" i="8"/>
  <c r="G48" i="8" s="1"/>
  <c r="G93" i="8"/>
  <c r="G51" i="8" s="1"/>
  <c r="G111" i="8"/>
  <c r="G69" i="8" s="1"/>
  <c r="E112" i="8"/>
  <c r="E70" i="8" s="1"/>
  <c r="E117" i="8"/>
  <c r="E75" i="8" s="1"/>
  <c r="E96" i="8"/>
  <c r="E54" i="8" s="1"/>
  <c r="E106" i="8"/>
  <c r="E64" i="8" s="1"/>
  <c r="E114" i="8"/>
  <c r="E72" i="8" s="1"/>
  <c r="E126" i="8"/>
  <c r="E84" i="8" s="1"/>
  <c r="E95" i="8"/>
  <c r="E53" i="8" s="1"/>
  <c r="E98" i="8"/>
  <c r="E56" i="8" s="1"/>
  <c r="E103" i="8"/>
  <c r="E61" i="8" s="1"/>
  <c r="E110" i="8"/>
  <c r="E68" i="8" s="1"/>
  <c r="E113" i="8"/>
  <c r="E71" i="8" s="1"/>
  <c r="E115" i="8"/>
  <c r="E73" i="8" s="1"/>
  <c r="E121" i="8"/>
  <c r="E79" i="8" s="1"/>
  <c r="F123" i="8"/>
  <c r="F81" i="8" s="1"/>
  <c r="F108" i="8"/>
  <c r="F66" i="8" s="1"/>
  <c r="F102" i="8"/>
  <c r="F60" i="8" s="1"/>
  <c r="F118" i="8"/>
  <c r="F76" i="8" s="1"/>
  <c r="F107" i="8"/>
  <c r="F65" i="8" s="1"/>
  <c r="F101" i="8"/>
  <c r="F59" i="8" s="1"/>
  <c r="E123" i="8"/>
  <c r="E81" i="8" s="1"/>
  <c r="E108" i="8"/>
  <c r="E66" i="8" s="1"/>
  <c r="E102" i="8"/>
  <c r="E60" i="8" s="1"/>
  <c r="E118" i="8"/>
  <c r="E76" i="8" s="1"/>
  <c r="E107" i="8"/>
  <c r="E65" i="8" s="1"/>
  <c r="E101" i="8"/>
  <c r="E59" i="8" s="1"/>
  <c r="M118" i="8"/>
  <c r="M76" i="8" s="1"/>
  <c r="M107" i="8"/>
  <c r="M65" i="8" s="1"/>
  <c r="M101" i="8"/>
  <c r="M59" i="8" s="1"/>
  <c r="M123" i="8"/>
  <c r="M81" i="8" s="1"/>
  <c r="M108" i="8"/>
  <c r="M66" i="8" s="1"/>
  <c r="M102" i="8"/>
  <c r="M60" i="8" s="1"/>
  <c r="L123" i="8"/>
  <c r="L81" i="8" s="1"/>
  <c r="L108" i="8"/>
  <c r="L66" i="8" s="1"/>
  <c r="L102" i="8"/>
  <c r="L60" i="8" s="1"/>
  <c r="L118" i="8"/>
  <c r="L76" i="8" s="1"/>
  <c r="L107" i="8"/>
  <c r="L65" i="8" s="1"/>
  <c r="L101" i="8"/>
  <c r="L59" i="8" s="1"/>
  <c r="K123" i="8"/>
  <c r="K81" i="8" s="1"/>
  <c r="K108" i="8"/>
  <c r="K66" i="8" s="1"/>
  <c r="K102" i="8"/>
  <c r="K60" i="8" s="1"/>
  <c r="K118" i="8"/>
  <c r="K76" i="8" s="1"/>
  <c r="K107" i="8"/>
  <c r="K65" i="8" s="1"/>
  <c r="K101" i="8"/>
  <c r="K59" i="8" s="1"/>
  <c r="I134" i="8"/>
  <c r="H118" i="8"/>
  <c r="H76" i="8" s="1"/>
  <c r="H107" i="8"/>
  <c r="H65" i="8" s="1"/>
  <c r="H101" i="8"/>
  <c r="H59" i="8" s="1"/>
  <c r="H123" i="8"/>
  <c r="H81" i="8" s="1"/>
  <c r="H108" i="8"/>
  <c r="H66" i="8" s="1"/>
  <c r="H102" i="8"/>
  <c r="H60" i="8" s="1"/>
  <c r="G118" i="8"/>
  <c r="G76" i="8" s="1"/>
  <c r="G107" i="8"/>
  <c r="G65" i="8" s="1"/>
  <c r="G101" i="8"/>
  <c r="G59" i="8" s="1"/>
  <c r="G123" i="8"/>
  <c r="G81" i="8" s="1"/>
  <c r="G108" i="8"/>
  <c r="G66" i="8" s="1"/>
  <c r="G102" i="8"/>
  <c r="G60" i="8" s="1"/>
  <c r="D118" i="8"/>
  <c r="D107" i="8"/>
  <c r="D101" i="8"/>
  <c r="D123" i="8"/>
  <c r="D108" i="8"/>
  <c r="D102" i="8"/>
  <c r="M127" i="8"/>
  <c r="M85" i="8" s="1"/>
  <c r="M126" i="8"/>
  <c r="M84" i="8" s="1"/>
  <c r="M121" i="8"/>
  <c r="M79" i="8" s="1"/>
  <c r="M117" i="8"/>
  <c r="M75" i="8" s="1"/>
  <c r="M115" i="8"/>
  <c r="M73" i="8" s="1"/>
  <c r="M114" i="8"/>
  <c r="M72" i="8" s="1"/>
  <c r="M113" i="8"/>
  <c r="M71" i="8" s="1"/>
  <c r="M112" i="8"/>
  <c r="M70" i="8" s="1"/>
  <c r="M110" i="8"/>
  <c r="M68" i="8" s="1"/>
  <c r="M106" i="8"/>
  <c r="M64" i="8" s="1"/>
  <c r="M103" i="8"/>
  <c r="M61" i="8" s="1"/>
  <c r="M96" i="8"/>
  <c r="M54" i="8" s="1"/>
  <c r="M95" i="8"/>
  <c r="M53" i="8" s="1"/>
  <c r="M98" i="8"/>
  <c r="M56" i="8" s="1"/>
  <c r="J127" i="8"/>
  <c r="J85" i="8" s="1"/>
  <c r="J126" i="8"/>
  <c r="J84" i="8" s="1"/>
  <c r="J121" i="8"/>
  <c r="J79" i="8" s="1"/>
  <c r="J117" i="8"/>
  <c r="J75" i="8" s="1"/>
  <c r="J115" i="8"/>
  <c r="J73" i="8" s="1"/>
  <c r="J114" i="8"/>
  <c r="J72" i="8" s="1"/>
  <c r="J113" i="8"/>
  <c r="J71" i="8" s="1"/>
  <c r="J112" i="8"/>
  <c r="J70" i="8" s="1"/>
  <c r="J110" i="8"/>
  <c r="J68" i="8" s="1"/>
  <c r="J106" i="8"/>
  <c r="J64" i="8" s="1"/>
  <c r="J103" i="8"/>
  <c r="J61" i="8" s="1"/>
  <c r="J98" i="8"/>
  <c r="J56" i="8" s="1"/>
  <c r="J96" i="8"/>
  <c r="J54" i="8" s="1"/>
  <c r="J95" i="8"/>
  <c r="J53" i="8" s="1"/>
  <c r="I135" i="8"/>
  <c r="I100" i="8" s="1"/>
  <c r="I58" i="8" s="1"/>
  <c r="H127" i="8"/>
  <c r="H85" i="8" s="1"/>
  <c r="H126" i="8"/>
  <c r="H84" i="8" s="1"/>
  <c r="H121" i="8"/>
  <c r="H79" i="8" s="1"/>
  <c r="H117" i="8"/>
  <c r="H75" i="8" s="1"/>
  <c r="H115" i="8"/>
  <c r="H73" i="8" s="1"/>
  <c r="H114" i="8"/>
  <c r="H72" i="8" s="1"/>
  <c r="H113" i="8"/>
  <c r="H71" i="8" s="1"/>
  <c r="H112" i="8"/>
  <c r="H70" i="8" s="1"/>
  <c r="H110" i="8"/>
  <c r="H68" i="8" s="1"/>
  <c r="H106" i="8"/>
  <c r="H64" i="8" s="1"/>
  <c r="H103" i="8"/>
  <c r="H61" i="8" s="1"/>
  <c r="H98" i="8"/>
  <c r="H56" i="8" s="1"/>
  <c r="H96" i="8"/>
  <c r="H54" i="8" s="1"/>
  <c r="H95" i="8"/>
  <c r="H53" i="8" s="1"/>
  <c r="K127" i="8"/>
  <c r="K85" i="8" s="1"/>
  <c r="K126" i="8"/>
  <c r="K84" i="8" s="1"/>
  <c r="K121" i="8"/>
  <c r="K79" i="8" s="1"/>
  <c r="K117" i="8"/>
  <c r="K75" i="8" s="1"/>
  <c r="K115" i="8"/>
  <c r="K73" i="8" s="1"/>
  <c r="K114" i="8"/>
  <c r="K72" i="8" s="1"/>
  <c r="K113" i="8"/>
  <c r="K71" i="8" s="1"/>
  <c r="K112" i="8"/>
  <c r="K70" i="8" s="1"/>
  <c r="K110" i="8"/>
  <c r="K68" i="8" s="1"/>
  <c r="K106" i="8"/>
  <c r="K64" i="8" s="1"/>
  <c r="K103" i="8"/>
  <c r="K61" i="8" s="1"/>
  <c r="K98" i="8"/>
  <c r="K56" i="8" s="1"/>
  <c r="K96" i="8"/>
  <c r="K54" i="8" s="1"/>
  <c r="K95" i="8"/>
  <c r="K53" i="8" s="1"/>
  <c r="M124" i="8"/>
  <c r="M82" i="8" s="1"/>
  <c r="M122" i="8"/>
  <c r="M80" i="8" s="1"/>
  <c r="M119" i="8"/>
  <c r="M77" i="8" s="1"/>
  <c r="M109" i="8"/>
  <c r="M67" i="8" s="1"/>
  <c r="M105" i="8"/>
  <c r="M63" i="8" s="1"/>
  <c r="M104" i="8"/>
  <c r="M62" i="8" s="1"/>
  <c r="M94" i="8"/>
  <c r="M52" i="8" s="1"/>
  <c r="G124" i="8"/>
  <c r="G82" i="8" s="1"/>
  <c r="G122" i="8"/>
  <c r="G80" i="8" s="1"/>
  <c r="G119" i="8"/>
  <c r="G77" i="8" s="1"/>
  <c r="G109" i="8"/>
  <c r="G67" i="8" s="1"/>
  <c r="G105" i="8"/>
  <c r="G63" i="8" s="1"/>
  <c r="G104" i="8"/>
  <c r="G62" i="8" s="1"/>
  <c r="G94" i="8"/>
  <c r="G52" i="8" s="1"/>
  <c r="D49" i="8"/>
  <c r="C49" i="8" s="1"/>
  <c r="C132" i="8"/>
  <c r="I125" i="8"/>
  <c r="I83" i="8" s="1"/>
  <c r="I120" i="8"/>
  <c r="I78" i="8" s="1"/>
  <c r="I116" i="8"/>
  <c r="I74" i="8" s="1"/>
  <c r="I111" i="8"/>
  <c r="I69" i="8" s="1"/>
  <c r="I97" i="8"/>
  <c r="I55" i="8" s="1"/>
  <c r="I93" i="8"/>
  <c r="I51" i="8" s="1"/>
  <c r="I92" i="8"/>
  <c r="I50" i="8" s="1"/>
  <c r="I90" i="8"/>
  <c r="I48" i="8" s="1"/>
  <c r="F127" i="8"/>
  <c r="F85" i="8" s="1"/>
  <c r="F126" i="8"/>
  <c r="F84" i="8" s="1"/>
  <c r="F121" i="8"/>
  <c r="F79" i="8" s="1"/>
  <c r="F117" i="8"/>
  <c r="F75" i="8" s="1"/>
  <c r="F115" i="8"/>
  <c r="F73" i="8" s="1"/>
  <c r="F114" i="8"/>
  <c r="F72" i="8" s="1"/>
  <c r="F113" i="8"/>
  <c r="F71" i="8" s="1"/>
  <c r="F112" i="8"/>
  <c r="F70" i="8" s="1"/>
  <c r="F110" i="8"/>
  <c r="F68" i="8" s="1"/>
  <c r="F106" i="8"/>
  <c r="F64" i="8" s="1"/>
  <c r="F103" i="8"/>
  <c r="F61" i="8" s="1"/>
  <c r="F98" i="8"/>
  <c r="F56" i="8" s="1"/>
  <c r="F96" i="8"/>
  <c r="F54" i="8" s="1"/>
  <c r="F95" i="8"/>
  <c r="F53" i="8" s="1"/>
  <c r="G127" i="8"/>
  <c r="G85" i="8" s="1"/>
  <c r="G126" i="8"/>
  <c r="G84" i="8" s="1"/>
  <c r="G121" i="8"/>
  <c r="G79" i="8" s="1"/>
  <c r="G117" i="8"/>
  <c r="G75" i="8" s="1"/>
  <c r="G115" i="8"/>
  <c r="G73" i="8" s="1"/>
  <c r="G114" i="8"/>
  <c r="G72" i="8" s="1"/>
  <c r="G113" i="8"/>
  <c r="G71" i="8" s="1"/>
  <c r="G112" i="8"/>
  <c r="G70" i="8" s="1"/>
  <c r="G110" i="8"/>
  <c r="G68" i="8" s="1"/>
  <c r="G106" i="8"/>
  <c r="G64" i="8" s="1"/>
  <c r="G103" i="8"/>
  <c r="G61" i="8" s="1"/>
  <c r="G98" i="8"/>
  <c r="G56" i="8" s="1"/>
  <c r="G96" i="8"/>
  <c r="G54" i="8" s="1"/>
  <c r="G95" i="8"/>
  <c r="G53" i="8" s="1"/>
  <c r="L127" i="8"/>
  <c r="L85" i="8" s="1"/>
  <c r="L126" i="8"/>
  <c r="L84" i="8" s="1"/>
  <c r="L121" i="8"/>
  <c r="L79" i="8" s="1"/>
  <c r="L117" i="8"/>
  <c r="L75" i="8" s="1"/>
  <c r="L115" i="8"/>
  <c r="L73" i="8" s="1"/>
  <c r="L114" i="8"/>
  <c r="L72" i="8" s="1"/>
  <c r="L113" i="8"/>
  <c r="L71" i="8" s="1"/>
  <c r="L112" i="8"/>
  <c r="L70" i="8" s="1"/>
  <c r="L110" i="8"/>
  <c r="L68" i="8" s="1"/>
  <c r="L106" i="8"/>
  <c r="L64" i="8" s="1"/>
  <c r="L103" i="8"/>
  <c r="L61" i="8" s="1"/>
  <c r="L98" i="8"/>
  <c r="L56" i="8" s="1"/>
  <c r="L96" i="8"/>
  <c r="L54" i="8" s="1"/>
  <c r="L95" i="8"/>
  <c r="L53" i="8" s="1"/>
  <c r="D127" i="8"/>
  <c r="D126" i="8"/>
  <c r="D121" i="8"/>
  <c r="D117" i="8"/>
  <c r="D115" i="8"/>
  <c r="D114" i="8"/>
  <c r="D113" i="8"/>
  <c r="D112" i="8"/>
  <c r="D110" i="8"/>
  <c r="D106" i="8"/>
  <c r="D103" i="8"/>
  <c r="D98" i="8"/>
  <c r="D96" i="8"/>
  <c r="D95" i="8"/>
  <c r="D124" i="8"/>
  <c r="D122" i="8"/>
  <c r="D119" i="8"/>
  <c r="D109" i="8"/>
  <c r="D105" i="8"/>
  <c r="D104" i="8"/>
  <c r="D94" i="8"/>
  <c r="L124" i="8"/>
  <c r="L82" i="8" s="1"/>
  <c r="L122" i="8"/>
  <c r="L80" i="8" s="1"/>
  <c r="L119" i="8"/>
  <c r="L77" i="8" s="1"/>
  <c r="L109" i="8"/>
  <c r="L67" i="8" s="1"/>
  <c r="L105" i="8"/>
  <c r="L63" i="8" s="1"/>
  <c r="L104" i="8"/>
  <c r="L62" i="8" s="1"/>
  <c r="L94" i="8"/>
  <c r="L52" i="8" s="1"/>
  <c r="I133" i="8"/>
  <c r="H124" i="8"/>
  <c r="H82" i="8" s="1"/>
  <c r="H122" i="8"/>
  <c r="H80" i="8" s="1"/>
  <c r="H119" i="8"/>
  <c r="H77" i="8" s="1"/>
  <c r="H109" i="8"/>
  <c r="H67" i="8" s="1"/>
  <c r="H105" i="8"/>
  <c r="H63" i="8" s="1"/>
  <c r="H104" i="8"/>
  <c r="H62" i="8" s="1"/>
  <c r="H94" i="8"/>
  <c r="H52" i="8" s="1"/>
  <c r="D57" i="8"/>
  <c r="C57" i="8" s="1"/>
  <c r="D78" i="8"/>
  <c r="C97" i="8" l="1"/>
  <c r="D51" i="8"/>
  <c r="C51" i="8" s="1"/>
  <c r="C93" i="8"/>
  <c r="D74" i="8"/>
  <c r="C74" i="8" s="1"/>
  <c r="C116" i="8"/>
  <c r="C120" i="8"/>
  <c r="D55" i="8"/>
  <c r="C55" i="8" s="1"/>
  <c r="D69" i="8"/>
  <c r="C111" i="8"/>
  <c r="C90" i="8"/>
  <c r="D50" i="8"/>
  <c r="C50" i="8" s="1"/>
  <c r="C92" i="8"/>
  <c r="D83" i="8"/>
  <c r="C83" i="8" s="1"/>
  <c r="C125" i="8"/>
  <c r="D42" i="9"/>
  <c r="G8" i="9"/>
  <c r="H20" i="9"/>
  <c r="E36" i="9"/>
  <c r="K35" i="9"/>
  <c r="D5" i="9"/>
  <c r="I42" i="9"/>
  <c r="L13" i="9"/>
  <c r="H18" i="9"/>
  <c r="I16" i="9"/>
  <c r="J39" i="9"/>
  <c r="G13" i="9"/>
  <c r="D32" i="9"/>
  <c r="F7" i="9"/>
  <c r="D29" i="9"/>
  <c r="K38" i="9"/>
  <c r="L17" i="9"/>
  <c r="K37" i="9"/>
  <c r="F13" i="9"/>
  <c r="F8" i="9"/>
  <c r="H26" i="9"/>
  <c r="M16" i="9"/>
  <c r="M19" i="9"/>
  <c r="M29" i="9"/>
  <c r="J15" i="9"/>
  <c r="D35" i="9"/>
  <c r="D33" i="9"/>
  <c r="D6" i="9"/>
  <c r="L12" i="9"/>
  <c r="J35" i="9"/>
  <c r="M26" i="9"/>
  <c r="H34" i="9"/>
  <c r="M34" i="9"/>
  <c r="H25" i="9"/>
  <c r="M25" i="9"/>
  <c r="K17" i="9"/>
  <c r="L32" i="9"/>
  <c r="K29" i="9"/>
  <c r="J23" i="9"/>
  <c r="D40" i="9"/>
  <c r="I18" i="9"/>
  <c r="I20" i="9"/>
  <c r="F12" i="9"/>
  <c r="G25" i="9"/>
  <c r="M28" i="9"/>
  <c r="K16" i="9"/>
  <c r="L29" i="9"/>
  <c r="M33" i="9"/>
  <c r="J34" i="9"/>
  <c r="L36" i="9"/>
  <c r="L19" i="9"/>
  <c r="E19" i="9"/>
  <c r="E13" i="9"/>
  <c r="E15" i="9"/>
  <c r="E27" i="9"/>
  <c r="E32" i="9"/>
  <c r="G17" i="9"/>
  <c r="M36" i="9"/>
  <c r="K14" i="9"/>
  <c r="F34" i="9"/>
  <c r="E12" i="9"/>
  <c r="G10" i="9"/>
  <c r="F23" i="9"/>
  <c r="F18" i="9"/>
  <c r="L20" i="9"/>
  <c r="K25" i="9"/>
  <c r="J32" i="9"/>
  <c r="H32" i="9"/>
  <c r="G37" i="9"/>
  <c r="F14" i="9"/>
  <c r="F36" i="9"/>
  <c r="H38" i="9"/>
  <c r="K21" i="9"/>
  <c r="J28" i="9"/>
  <c r="E22" i="9"/>
  <c r="G41" i="9"/>
  <c r="L6" i="9"/>
  <c r="F11" i="9"/>
  <c r="L37" i="9"/>
  <c r="K10" i="9"/>
  <c r="J41" i="9"/>
  <c r="H10" i="9"/>
  <c r="G24" i="9"/>
  <c r="I32" i="9"/>
  <c r="H35" i="9"/>
  <c r="J8" i="9"/>
  <c r="D39" i="9"/>
  <c r="K31" i="9"/>
  <c r="L35" i="9"/>
  <c r="D36" i="9"/>
  <c r="F31" i="9"/>
  <c r="D34" i="9"/>
  <c r="L5" i="9"/>
  <c r="M7" i="9"/>
  <c r="K12" i="9"/>
  <c r="I9" i="9"/>
  <c r="D17" i="9"/>
  <c r="M5" i="9"/>
  <c r="I5" i="9"/>
  <c r="E39" i="9"/>
  <c r="E21" i="9"/>
  <c r="E25" i="9"/>
  <c r="E10" i="9"/>
  <c r="L42" i="9"/>
  <c r="M18" i="9"/>
  <c r="M24" i="9"/>
  <c r="M23" i="9"/>
  <c r="E31" i="9"/>
  <c r="G21" i="9"/>
  <c r="H19" i="9"/>
  <c r="G33" i="9"/>
  <c r="H23" i="9"/>
  <c r="K27" i="9"/>
  <c r="J10" i="9"/>
  <c r="E16" i="9"/>
  <c r="E6" i="9"/>
  <c r="J14" i="9"/>
  <c r="F30" i="9"/>
  <c r="H17" i="9"/>
  <c r="K15" i="9"/>
  <c r="F39" i="9"/>
  <c r="E17" i="9"/>
  <c r="G28" i="9"/>
  <c r="F38" i="9"/>
  <c r="F41" i="9"/>
  <c r="L39" i="9"/>
  <c r="K13" i="9"/>
  <c r="J30" i="9"/>
  <c r="E38" i="9"/>
  <c r="G19" i="9"/>
  <c r="I10" i="9"/>
  <c r="I38" i="9"/>
  <c r="I24" i="9"/>
  <c r="D9" i="9"/>
  <c r="I41" i="9"/>
  <c r="L26" i="9"/>
  <c r="D18" i="9"/>
  <c r="I12" i="9"/>
  <c r="I35" i="9"/>
  <c r="I8" i="9"/>
  <c r="D27" i="9"/>
  <c r="J7" i="9"/>
  <c r="H31" i="9"/>
  <c r="I11" i="9"/>
  <c r="I19" i="9"/>
  <c r="I17" i="9"/>
  <c r="M12" i="9"/>
  <c r="G26" i="9"/>
  <c r="I22" i="9"/>
  <c r="D14" i="9"/>
  <c r="D24" i="9"/>
  <c r="G15" i="9"/>
  <c r="L38" i="9"/>
  <c r="M15" i="9"/>
  <c r="J20" i="9"/>
  <c r="K23" i="9"/>
  <c r="K34" i="9"/>
  <c r="L15" i="9"/>
  <c r="H41" i="9"/>
  <c r="L23" i="9"/>
  <c r="F29" i="9"/>
  <c r="G20" i="9"/>
  <c r="J36" i="9"/>
  <c r="L24" i="9"/>
  <c r="G14" i="9"/>
  <c r="J22" i="9"/>
  <c r="D12" i="9"/>
  <c r="D21" i="9"/>
  <c r="L8" i="9"/>
  <c r="I37" i="9"/>
  <c r="I21" i="9"/>
  <c r="D25" i="9"/>
  <c r="I25" i="9"/>
  <c r="G31" i="9"/>
  <c r="H37" i="9"/>
  <c r="E7" i="9"/>
  <c r="K6" i="9"/>
  <c r="L27" i="9"/>
  <c r="H42" i="9"/>
  <c r="M17" i="9"/>
  <c r="M27" i="9"/>
  <c r="H9" i="9"/>
  <c r="K22" i="9"/>
  <c r="M20" i="9"/>
  <c r="L30" i="9"/>
  <c r="H15" i="9"/>
  <c r="K30" i="9"/>
  <c r="F27" i="9"/>
  <c r="E37" i="9"/>
  <c r="J16" i="9"/>
  <c r="D26" i="9"/>
  <c r="I26" i="9"/>
  <c r="D8" i="9"/>
  <c r="D31" i="9"/>
  <c r="M40" i="9"/>
  <c r="D13" i="9"/>
  <c r="D16" i="9"/>
  <c r="F5" i="9"/>
  <c r="I34" i="9"/>
  <c r="L7" i="9"/>
  <c r="I33" i="9"/>
  <c r="I36" i="9"/>
  <c r="M8" i="9"/>
  <c r="J31" i="9"/>
  <c r="L40" i="9"/>
  <c r="H12" i="9"/>
  <c r="K7" i="9"/>
  <c r="I15" i="9"/>
  <c r="D30" i="9"/>
  <c r="I39" i="9"/>
  <c r="D28" i="9"/>
  <c r="D15" i="9"/>
  <c r="D23" i="9"/>
  <c r="H5" i="9"/>
  <c r="K5" i="9"/>
  <c r="I27" i="9"/>
  <c r="D20" i="9"/>
  <c r="F35" i="9"/>
  <c r="J5" i="9"/>
  <c r="G5" i="9"/>
  <c r="L31" i="9"/>
  <c r="K26" i="9"/>
  <c r="I14" i="9"/>
  <c r="F17" i="9"/>
  <c r="J37" i="9"/>
  <c r="G18" i="9"/>
  <c r="H13" i="9"/>
  <c r="E8" i="9"/>
  <c r="J21" i="9"/>
  <c r="F20" i="9"/>
  <c r="K32" i="9"/>
  <c r="H6" i="9"/>
  <c r="K24" i="9"/>
  <c r="M42" i="9"/>
  <c r="F25" i="9"/>
  <c r="G38" i="9"/>
  <c r="G6" i="9"/>
  <c r="H39" i="9"/>
  <c r="G9" i="9"/>
  <c r="G27" i="9"/>
  <c r="H36" i="9"/>
  <c r="E5" i="9"/>
  <c r="J11" i="9"/>
  <c r="M22" i="9"/>
  <c r="K18" i="9"/>
  <c r="M37" i="9"/>
  <c r="L34" i="9"/>
  <c r="M30" i="9"/>
  <c r="F21" i="9"/>
  <c r="G23" i="9"/>
  <c r="L28" i="9"/>
  <c r="F22" i="9"/>
  <c r="G39" i="9"/>
  <c r="G42" i="9"/>
  <c r="H30" i="9"/>
  <c r="E35" i="9"/>
  <c r="J13" i="9"/>
  <c r="M38" i="9"/>
  <c r="K28" i="9"/>
  <c r="M39" i="9"/>
  <c r="L9" i="9"/>
  <c r="M10" i="9"/>
  <c r="F32" i="9"/>
  <c r="L21" i="9"/>
  <c r="J6" i="9"/>
  <c r="J9" i="9"/>
  <c r="G32" i="9"/>
  <c r="H29" i="9"/>
  <c r="E23" i="9"/>
  <c r="J29" i="9"/>
  <c r="F19" i="9"/>
  <c r="L16" i="9"/>
  <c r="H14" i="9"/>
  <c r="K20" i="9"/>
  <c r="H16" i="9"/>
  <c r="M13" i="9"/>
  <c r="F10" i="9"/>
  <c r="L11" i="9"/>
  <c r="J17" i="9"/>
  <c r="E34" i="9"/>
  <c r="E30" i="9"/>
  <c r="E9" i="9"/>
  <c r="E28" i="9"/>
  <c r="J38" i="9"/>
  <c r="E11" i="9"/>
  <c r="I7" i="9"/>
  <c r="I31" i="9"/>
  <c r="D7" i="9"/>
  <c r="I40" i="9"/>
  <c r="D10" i="9"/>
  <c r="D41" i="9"/>
  <c r="F40" i="9"/>
  <c r="J26" i="9"/>
  <c r="G7" i="9"/>
  <c r="H8" i="9"/>
  <c r="I6" i="9"/>
  <c r="I13" i="9"/>
  <c r="F26" i="9"/>
  <c r="G12" i="9"/>
  <c r="H7" i="9"/>
  <c r="K8" i="9"/>
  <c r="I28" i="9"/>
  <c r="M31" i="9"/>
  <c r="J12" i="9"/>
  <c r="G35" i="9"/>
  <c r="D11" i="9"/>
  <c r="D22" i="9"/>
  <c r="H40" i="9"/>
  <c r="K40" i="9"/>
  <c r="I30" i="9"/>
  <c r="M35" i="9"/>
  <c r="D37" i="9"/>
  <c r="J40" i="9"/>
  <c r="G40" i="9"/>
  <c r="D38" i="9"/>
  <c r="I23" i="9"/>
  <c r="D19" i="9"/>
  <c r="I29" i="9"/>
  <c r="J19" i="9"/>
  <c r="G36" i="9"/>
  <c r="H27" i="9"/>
  <c r="E33" i="9"/>
  <c r="J42" i="9"/>
  <c r="F37" i="9"/>
  <c r="L22" i="9"/>
  <c r="K11" i="9"/>
  <c r="M9" i="9"/>
  <c r="H22" i="9"/>
  <c r="M21" i="9"/>
  <c r="G22" i="9"/>
  <c r="L10" i="9"/>
  <c r="F16" i="9"/>
  <c r="G34" i="9"/>
  <c r="G29" i="9"/>
  <c r="H11" i="9"/>
  <c r="E40" i="9"/>
  <c r="J25" i="9"/>
  <c r="F24" i="9"/>
  <c r="K36" i="9"/>
  <c r="M14" i="9"/>
  <c r="K19" i="9"/>
  <c r="M41" i="9"/>
  <c r="F42" i="9"/>
  <c r="G16" i="9"/>
  <c r="L18" i="9"/>
  <c r="F33" i="9"/>
  <c r="J24" i="9"/>
  <c r="G30" i="9"/>
  <c r="H21" i="9"/>
  <c r="E26" i="9"/>
  <c r="J27" i="9"/>
  <c r="F9" i="9"/>
  <c r="K41" i="9"/>
  <c r="M6" i="9"/>
  <c r="K9" i="9"/>
  <c r="M32" i="9"/>
  <c r="F15" i="9"/>
  <c r="L41" i="9"/>
  <c r="F6" i="9"/>
  <c r="H24" i="9"/>
  <c r="E14" i="9"/>
  <c r="G11" i="9"/>
  <c r="H28" i="9"/>
  <c r="K33" i="9"/>
  <c r="J18" i="9"/>
  <c r="L33" i="9"/>
  <c r="K42" i="9"/>
  <c r="K39" i="9"/>
  <c r="H33" i="9"/>
  <c r="M11" i="9"/>
  <c r="F28" i="9"/>
  <c r="L25" i="9"/>
  <c r="L14" i="9"/>
  <c r="E29" i="9"/>
  <c r="E41" i="9"/>
  <c r="E24" i="9"/>
  <c r="E42" i="9"/>
  <c r="E20" i="9"/>
  <c r="E18" i="9"/>
  <c r="D48" i="8"/>
  <c r="C48" i="8" s="1"/>
  <c r="K86" i="8"/>
  <c r="G86" i="8"/>
  <c r="F86" i="8"/>
  <c r="M86" i="8"/>
  <c r="J86" i="8"/>
  <c r="D66" i="8"/>
  <c r="D59" i="8"/>
  <c r="D76" i="8"/>
  <c r="E86" i="8"/>
  <c r="C69" i="8"/>
  <c r="D60" i="8"/>
  <c r="D81" i="8"/>
  <c r="D65" i="8"/>
  <c r="I123" i="8"/>
  <c r="I81" i="8" s="1"/>
  <c r="I108" i="8"/>
  <c r="I66" i="8" s="1"/>
  <c r="I102" i="8"/>
  <c r="I60" i="8" s="1"/>
  <c r="C134" i="8"/>
  <c r="I118" i="8"/>
  <c r="I76" i="8" s="1"/>
  <c r="I107" i="8"/>
  <c r="I65" i="8" s="1"/>
  <c r="I101" i="8"/>
  <c r="I59" i="8" s="1"/>
  <c r="H86" i="8"/>
  <c r="L86" i="8"/>
  <c r="D62" i="8"/>
  <c r="D67" i="8"/>
  <c r="D80" i="8"/>
  <c r="D53" i="8"/>
  <c r="D56" i="8"/>
  <c r="D61" i="8"/>
  <c r="D68" i="8"/>
  <c r="D71" i="8"/>
  <c r="D73" i="8"/>
  <c r="D79" i="8"/>
  <c r="D85" i="8"/>
  <c r="C78" i="8"/>
  <c r="C133" i="8"/>
  <c r="I124" i="8"/>
  <c r="I82" i="8" s="1"/>
  <c r="I122" i="8"/>
  <c r="I80" i="8" s="1"/>
  <c r="I119" i="8"/>
  <c r="I77" i="8" s="1"/>
  <c r="I109" i="8"/>
  <c r="I67" i="8" s="1"/>
  <c r="I105" i="8"/>
  <c r="I63" i="8" s="1"/>
  <c r="I104" i="8"/>
  <c r="I62" i="8" s="1"/>
  <c r="I94" i="8"/>
  <c r="I52" i="8" s="1"/>
  <c r="D52" i="8"/>
  <c r="D63" i="8"/>
  <c r="D77" i="8"/>
  <c r="D82" i="8"/>
  <c r="D54" i="8"/>
  <c r="D64" i="8"/>
  <c r="D70" i="8"/>
  <c r="D72" i="8"/>
  <c r="D75" i="8"/>
  <c r="D84" i="8"/>
  <c r="C135" i="8"/>
  <c r="I127" i="8"/>
  <c r="I85" i="8" s="1"/>
  <c r="I126" i="8"/>
  <c r="I84" i="8" s="1"/>
  <c r="I121" i="8"/>
  <c r="I79" i="8" s="1"/>
  <c r="I117" i="8"/>
  <c r="I75" i="8" s="1"/>
  <c r="I115" i="8"/>
  <c r="I73" i="8" s="1"/>
  <c r="I114" i="8"/>
  <c r="I72" i="8" s="1"/>
  <c r="I113" i="8"/>
  <c r="I71" i="8" s="1"/>
  <c r="I112" i="8"/>
  <c r="I70" i="8" s="1"/>
  <c r="I110" i="8"/>
  <c r="I68" i="8" s="1"/>
  <c r="I106" i="8"/>
  <c r="I64" i="8" s="1"/>
  <c r="I103" i="8"/>
  <c r="I61" i="8" s="1"/>
  <c r="I96" i="8"/>
  <c r="I54" i="8" s="1"/>
  <c r="I95" i="8"/>
  <c r="I53" i="8" s="1"/>
  <c r="I98" i="8"/>
  <c r="I56" i="8" s="1"/>
  <c r="C107" i="8" l="1"/>
  <c r="C127" i="8"/>
  <c r="C110" i="8"/>
  <c r="C122" i="8"/>
  <c r="C115" i="8"/>
  <c r="C98" i="8"/>
  <c r="C104" i="8"/>
  <c r="C108" i="8"/>
  <c r="C102" i="8"/>
  <c r="C118" i="8"/>
  <c r="C117" i="8"/>
  <c r="C112" i="8"/>
  <c r="C100" i="8"/>
  <c r="C124" i="8"/>
  <c r="C105" i="8"/>
  <c r="C79" i="8"/>
  <c r="C123" i="8"/>
  <c r="C121" i="8"/>
  <c r="C113" i="8"/>
  <c r="C103" i="8"/>
  <c r="C95" i="8"/>
  <c r="C109" i="8"/>
  <c r="C101" i="8"/>
  <c r="C126" i="8"/>
  <c r="C114" i="8"/>
  <c r="C106" i="8"/>
  <c r="C96" i="8"/>
  <c r="C119" i="8"/>
  <c r="C94" i="8"/>
  <c r="C39" i="9"/>
  <c r="Q39" i="9" s="1"/>
  <c r="S39" i="9" s="1"/>
  <c r="C7" i="9"/>
  <c r="Q7" i="9" s="1"/>
  <c r="S7" i="9" s="1"/>
  <c r="C40" i="9"/>
  <c r="Q40" i="9" s="1"/>
  <c r="S40" i="9" s="1"/>
  <c r="C29" i="9"/>
  <c r="Q29" i="9" s="1"/>
  <c r="S29" i="9" s="1"/>
  <c r="D43" i="9"/>
  <c r="C42" i="9"/>
  <c r="Q42" i="9" s="1"/>
  <c r="S42" i="9" s="1"/>
  <c r="H43" i="9"/>
  <c r="C37" i="9"/>
  <c r="Q37" i="9" s="1"/>
  <c r="S37" i="9" s="1"/>
  <c r="C33" i="9"/>
  <c r="Q33" i="9" s="1"/>
  <c r="S33" i="9" s="1"/>
  <c r="L43" i="9"/>
  <c r="C11" i="9"/>
  <c r="Q11" i="9" s="1"/>
  <c r="S11" i="9" s="1"/>
  <c r="C12" i="9"/>
  <c r="Q12" i="9" s="1"/>
  <c r="S12" i="9" s="1"/>
  <c r="C21" i="9"/>
  <c r="Q21" i="9" s="1"/>
  <c r="S21" i="9" s="1"/>
  <c r="J43" i="9"/>
  <c r="C9" i="9"/>
  <c r="Q9" i="9" s="1"/>
  <c r="S9" i="9" s="1"/>
  <c r="C36" i="9"/>
  <c r="Q36" i="9" s="1"/>
  <c r="S36" i="9" s="1"/>
  <c r="C18" i="9"/>
  <c r="Q18" i="9" s="1"/>
  <c r="S18" i="9" s="1"/>
  <c r="C32" i="9"/>
  <c r="Q32" i="9" s="1"/>
  <c r="S32" i="9" s="1"/>
  <c r="C19" i="9"/>
  <c r="Q19" i="9" s="1"/>
  <c r="S19" i="9" s="1"/>
  <c r="C14" i="9"/>
  <c r="Q14" i="9" s="1"/>
  <c r="S14" i="9" s="1"/>
  <c r="C6" i="9"/>
  <c r="Q6" i="9" s="1"/>
  <c r="S6" i="9" s="1"/>
  <c r="C15" i="9"/>
  <c r="Q15" i="9" s="1"/>
  <c r="S15" i="9" s="1"/>
  <c r="C24" i="9"/>
  <c r="Q24" i="9" s="1"/>
  <c r="S24" i="9" s="1"/>
  <c r="C34" i="9"/>
  <c r="Q34" i="9" s="1"/>
  <c r="S34" i="9" s="1"/>
  <c r="C27" i="9"/>
  <c r="Q27" i="9" s="1"/>
  <c r="S27" i="9" s="1"/>
  <c r="C38" i="9"/>
  <c r="Q38" i="9" s="1"/>
  <c r="S38" i="9" s="1"/>
  <c r="C22" i="9"/>
  <c r="Q22" i="9" s="1"/>
  <c r="S22" i="9" s="1"/>
  <c r="C35" i="9"/>
  <c r="Q35" i="9" s="1"/>
  <c r="S35" i="9" s="1"/>
  <c r="I43" i="9"/>
  <c r="E43" i="9"/>
  <c r="C17" i="9"/>
  <c r="Q17" i="9" s="1"/>
  <c r="S17" i="9" s="1"/>
  <c r="C10" i="9"/>
  <c r="Q10" i="9" s="1"/>
  <c r="S10" i="9" s="1"/>
  <c r="C25" i="9"/>
  <c r="Q25" i="9" s="1"/>
  <c r="S25" i="9" s="1"/>
  <c r="C5" i="9"/>
  <c r="Q5" i="9" s="1"/>
  <c r="S5" i="9" s="1"/>
  <c r="C20" i="9"/>
  <c r="Q20" i="9" s="1"/>
  <c r="S20" i="9" s="1"/>
  <c r="K43" i="9"/>
  <c r="M43" i="9"/>
  <c r="C41" i="9"/>
  <c r="Q41" i="9" s="1"/>
  <c r="S41" i="9" s="1"/>
  <c r="C23" i="9"/>
  <c r="Q23" i="9" s="1"/>
  <c r="S23" i="9" s="1"/>
  <c r="C28" i="9"/>
  <c r="Q28" i="9" s="1"/>
  <c r="S28" i="9" s="1"/>
  <c r="C30" i="9"/>
  <c r="Q30" i="9" s="1"/>
  <c r="S30" i="9" s="1"/>
  <c r="C16" i="9"/>
  <c r="Q16" i="9" s="1"/>
  <c r="S16" i="9" s="1"/>
  <c r="C8" i="9"/>
  <c r="Q8" i="9" s="1"/>
  <c r="S8" i="9" s="1"/>
  <c r="C26" i="9"/>
  <c r="Q26" i="9" s="1"/>
  <c r="S26" i="9" s="1"/>
  <c r="G43" i="9"/>
  <c r="F43" i="9"/>
  <c r="C13" i="9"/>
  <c r="Q13" i="9" s="1"/>
  <c r="S13" i="9" s="1"/>
  <c r="C31" i="9"/>
  <c r="Q31" i="9" s="1"/>
  <c r="S31" i="9" s="1"/>
  <c r="C65" i="8"/>
  <c r="C81" i="8"/>
  <c r="C60" i="8"/>
  <c r="C76" i="8"/>
  <c r="C59" i="8"/>
  <c r="C66" i="8"/>
  <c r="I86" i="8"/>
  <c r="C85" i="8"/>
  <c r="C61" i="8"/>
  <c r="C75" i="8"/>
  <c r="C54" i="8"/>
  <c r="C82" i="8"/>
  <c r="C77" i="8"/>
  <c r="C63" i="8"/>
  <c r="C52" i="8"/>
  <c r="C72" i="8"/>
  <c r="C64" i="8"/>
  <c r="C73" i="8"/>
  <c r="C71" i="8"/>
  <c r="C68" i="8"/>
  <c r="C56" i="8"/>
  <c r="C53" i="8"/>
  <c r="C80" i="8"/>
  <c r="C67" i="8"/>
  <c r="C62" i="8"/>
  <c r="C58" i="8"/>
  <c r="C84" i="8"/>
  <c r="C70" i="8"/>
  <c r="D86" i="8"/>
  <c r="C86" i="8" l="1"/>
  <c r="P19" i="8" s="1"/>
  <c r="P16" i="8" l="1"/>
  <c r="P32" i="8"/>
  <c r="P20" i="8"/>
  <c r="P30" i="8"/>
  <c r="P10" i="8"/>
  <c r="P15" i="8"/>
  <c r="P22" i="8"/>
  <c r="P33" i="8"/>
  <c r="P18" i="8"/>
  <c r="P34" i="8"/>
  <c r="P21" i="8"/>
  <c r="P13" i="8"/>
  <c r="P12" i="8"/>
  <c r="P6" i="8"/>
  <c r="P40" i="8"/>
  <c r="P7" i="8"/>
  <c r="P14" i="8"/>
  <c r="P31" i="8"/>
  <c r="P36" i="8"/>
  <c r="P35" i="8"/>
  <c r="P5" i="8"/>
  <c r="P26" i="8"/>
  <c r="P8" i="8"/>
  <c r="P38" i="8"/>
  <c r="P42" i="8"/>
  <c r="P39" i="8"/>
  <c r="P29" i="8"/>
  <c r="P25" i="8"/>
  <c r="P24" i="8"/>
  <c r="P27" i="8"/>
  <c r="P17" i="8"/>
  <c r="P23" i="8"/>
  <c r="P11" i="8"/>
  <c r="P9" i="8"/>
  <c r="P28" i="8"/>
  <c r="P37" i="8"/>
  <c r="P41" i="8"/>
  <c r="P43" i="8" l="1"/>
  <c r="C43" i="8" s="1"/>
  <c r="L32" i="8" l="1"/>
  <c r="H26" i="8"/>
  <c r="H37" i="8"/>
  <c r="G30" i="8"/>
  <c r="L40" i="8"/>
  <c r="K33" i="8"/>
  <c r="G27" i="8"/>
  <c r="G38" i="8"/>
  <c r="L25" i="8"/>
  <c r="D40" i="8"/>
  <c r="F25" i="8"/>
  <c r="M24" i="8"/>
  <c r="L29" i="8"/>
  <c r="D33" i="8"/>
  <c r="L37" i="8"/>
  <c r="L41" i="8"/>
  <c r="K27" i="8"/>
  <c r="L30" i="8"/>
  <c r="K31" i="8"/>
  <c r="G37" i="8"/>
  <c r="M26" i="8"/>
  <c r="F29" i="8"/>
  <c r="M28" i="8"/>
  <c r="M32" i="8"/>
  <c r="I38" i="8"/>
  <c r="J39" i="8"/>
  <c r="F37" i="8"/>
  <c r="I40" i="8"/>
  <c r="M40" i="8"/>
  <c r="J28" i="8"/>
  <c r="F30" i="8"/>
  <c r="E31" i="8"/>
  <c r="J30" i="8"/>
  <c r="I33" i="8"/>
  <c r="I31" i="8"/>
  <c r="J34" i="8"/>
  <c r="F36" i="8"/>
  <c r="M39" i="8"/>
  <c r="L24" i="8"/>
  <c r="H42" i="8"/>
  <c r="J6" i="8"/>
  <c r="F6" i="8"/>
  <c r="I7" i="8"/>
  <c r="K11" i="8"/>
  <c r="E12" i="8"/>
  <c r="D14" i="8"/>
  <c r="M12" i="8"/>
  <c r="E16" i="8"/>
  <c r="F21" i="8"/>
  <c r="D22" i="8"/>
  <c r="F12" i="8"/>
  <c r="G23" i="8"/>
  <c r="L11" i="8"/>
  <c r="M13" i="8"/>
  <c r="J16" i="8"/>
  <c r="H19" i="8"/>
  <c r="E21" i="8"/>
  <c r="F23" i="8"/>
  <c r="G25" i="8"/>
  <c r="H24" i="8"/>
  <c r="M18" i="8"/>
  <c r="J15" i="8"/>
  <c r="H12" i="8"/>
  <c r="M23" i="8"/>
  <c r="K20" i="8"/>
  <c r="H17" i="8"/>
  <c r="F14" i="8"/>
  <c r="E11" i="8"/>
  <c r="E8" i="8"/>
  <c r="D5" i="8"/>
  <c r="L7" i="8"/>
  <c r="G6" i="8"/>
  <c r="M22" i="8"/>
  <c r="K17" i="8"/>
  <c r="I14" i="8"/>
  <c r="F11" i="8"/>
  <c r="J22" i="8"/>
  <c r="G16" i="8"/>
  <c r="I8" i="8"/>
  <c r="L8" i="8"/>
  <c r="K5" i="8"/>
  <c r="D6" i="8"/>
  <c r="J7" i="8"/>
  <c r="F19" i="8"/>
  <c r="H34" i="8"/>
  <c r="G42" i="8"/>
  <c r="K32" i="8"/>
  <c r="K24" i="8"/>
  <c r="G35" i="8"/>
  <c r="K25" i="8"/>
  <c r="K36" i="8"/>
  <c r="K28" i="8"/>
  <c r="H25" i="8"/>
  <c r="G32" i="8"/>
  <c r="H35" i="8"/>
  <c r="G28" i="8"/>
  <c r="K34" i="8"/>
  <c r="G40" i="8"/>
  <c r="K42" i="8"/>
  <c r="H28" i="8"/>
  <c r="G33" i="8"/>
  <c r="K35" i="8"/>
  <c r="D38" i="8"/>
  <c r="E30" i="8"/>
  <c r="M30" i="8"/>
  <c r="E28" i="8"/>
  <c r="F31" i="8"/>
  <c r="E34" i="8"/>
  <c r="J37" i="8"/>
  <c r="E38" i="8"/>
  <c r="E42" i="8"/>
  <c r="J41" i="8"/>
  <c r="E27" i="8"/>
  <c r="M29" i="8"/>
  <c r="F34" i="8"/>
  <c r="F38" i="8"/>
  <c r="M33" i="8"/>
  <c r="E39" i="8"/>
  <c r="E37" i="8"/>
  <c r="E41" i="8"/>
  <c r="J42" i="8"/>
  <c r="F24" i="8"/>
  <c r="H9" i="8"/>
  <c r="E7" i="8"/>
  <c r="L9" i="8"/>
  <c r="F13" i="8"/>
  <c r="L14" i="8"/>
  <c r="K15" i="8"/>
  <c r="J13" i="8"/>
  <c r="M16" i="8"/>
  <c r="L22" i="8"/>
  <c r="K23" i="8"/>
  <c r="M20" i="8"/>
  <c r="E24" i="8"/>
  <c r="E13" i="8"/>
  <c r="H15" i="8"/>
  <c r="G14" i="8"/>
  <c r="I17" i="8"/>
  <c r="L19" i="8"/>
  <c r="M21" i="8"/>
  <c r="G22" i="8"/>
  <c r="H23" i="8"/>
  <c r="L20" i="8"/>
  <c r="E18" i="8"/>
  <c r="M14" i="8"/>
  <c r="J11" i="8"/>
  <c r="E23" i="8"/>
  <c r="M19" i="8"/>
  <c r="K16" i="8"/>
  <c r="H13" i="8"/>
  <c r="F10" i="8"/>
  <c r="G7" i="8"/>
  <c r="M9" i="8"/>
  <c r="F8" i="8"/>
  <c r="K6" i="8"/>
  <c r="E5" i="8"/>
  <c r="L16" i="8"/>
  <c r="K13" i="8"/>
  <c r="I23" i="8"/>
  <c r="G20" i="8"/>
  <c r="D17" i="8"/>
  <c r="G12" i="8"/>
  <c r="L6" i="8"/>
  <c r="D8" i="8"/>
  <c r="J10" i="8"/>
  <c r="G10" i="8"/>
  <c r="M6" i="8"/>
  <c r="D35" i="8"/>
  <c r="I18" i="8"/>
  <c r="I36" i="8"/>
  <c r="D32" i="8"/>
  <c r="I19" i="8"/>
  <c r="D36" i="8"/>
  <c r="D28" i="8"/>
  <c r="I10" i="8"/>
  <c r="I29" i="8"/>
  <c r="D15" i="8"/>
  <c r="I39" i="8"/>
  <c r="I25" i="8"/>
  <c r="I42" i="8"/>
  <c r="D21" i="8"/>
  <c r="D39" i="8"/>
  <c r="D20" i="8"/>
  <c r="I24" i="8"/>
  <c r="D18" i="8"/>
  <c r="D10" i="8"/>
  <c r="D24" i="8"/>
  <c r="I15" i="8"/>
  <c r="I32" i="8"/>
  <c r="I34" i="8"/>
  <c r="G39" i="8"/>
  <c r="K29" i="8"/>
  <c r="K40" i="8"/>
  <c r="G34" i="8"/>
  <c r="G26" i="8"/>
  <c r="L36" i="8"/>
  <c r="H30" i="8"/>
  <c r="H41" i="8"/>
  <c r="L31" i="8"/>
  <c r="L27" i="8"/>
  <c r="E26" i="8"/>
  <c r="K30" i="8"/>
  <c r="K26" i="8"/>
  <c r="L33" i="8"/>
  <c r="G36" i="8"/>
  <c r="H39" i="8"/>
  <c r="G29" i="8"/>
  <c r="L26" i="8"/>
  <c r="L38" i="8"/>
  <c r="H36" i="8"/>
  <c r="K39" i="8"/>
  <c r="J31" i="8"/>
  <c r="F27" i="8"/>
  <c r="E32" i="8"/>
  <c r="M36" i="8"/>
  <c r="E36" i="8"/>
  <c r="J35" i="8"/>
  <c r="M38" i="8"/>
  <c r="F39" i="8"/>
  <c r="J26" i="8"/>
  <c r="M25" i="8"/>
  <c r="M27" i="8"/>
  <c r="E29" i="8"/>
  <c r="M31" i="8"/>
  <c r="E35" i="8"/>
  <c r="E33" i="8"/>
  <c r="J40" i="8"/>
  <c r="M37" i="8"/>
  <c r="L42" i="8"/>
  <c r="F33" i="8"/>
  <c r="L5" i="8"/>
  <c r="L23" i="8"/>
  <c r="K8" i="8"/>
  <c r="L10" i="8"/>
  <c r="I16" i="8"/>
  <c r="H18" i="8"/>
  <c r="F17" i="8"/>
  <c r="H14" i="8"/>
  <c r="J17" i="8"/>
  <c r="K19" i="8"/>
  <c r="K10" i="8"/>
  <c r="J21" i="8"/>
  <c r="K14" i="8"/>
  <c r="F16" i="8"/>
  <c r="E17" i="8"/>
  <c r="K18" i="8"/>
  <c r="F20" i="8"/>
  <c r="F40" i="8"/>
  <c r="K22" i="8"/>
  <c r="I22" i="8"/>
  <c r="E22" i="8"/>
  <c r="G17" i="8"/>
  <c r="E14" i="8"/>
  <c r="M10" i="8"/>
  <c r="F22" i="8"/>
  <c r="E19" i="8"/>
  <c r="M15" i="8"/>
  <c r="K12" i="8"/>
  <c r="J9" i="8"/>
  <c r="H6" i="8"/>
  <c r="J8" i="8"/>
  <c r="D7" i="8"/>
  <c r="I5" i="8"/>
  <c r="J19" i="8"/>
  <c r="D16" i="8"/>
  <c r="L12" i="8"/>
  <c r="G24" i="8"/>
  <c r="L17" i="8"/>
  <c r="J14" i="8"/>
  <c r="F5" i="8"/>
  <c r="F7" i="8"/>
  <c r="F9" i="8"/>
  <c r="G9" i="8"/>
  <c r="E6" i="8"/>
  <c r="K37" i="8"/>
  <c r="G31" i="8"/>
  <c r="L35" i="8"/>
  <c r="H29" i="8"/>
  <c r="H38" i="8"/>
  <c r="L28" i="8"/>
  <c r="L39" i="8"/>
  <c r="H33" i="8"/>
  <c r="D31" i="8"/>
  <c r="K41" i="8"/>
  <c r="H27" i="8"/>
  <c r="J25" i="8"/>
  <c r="H31" i="8"/>
  <c r="K38" i="8"/>
  <c r="D26" i="8"/>
  <c r="H32" i="8"/>
  <c r="L34" i="8"/>
  <c r="F42" i="8"/>
  <c r="H40" i="8"/>
  <c r="G41" i="8"/>
  <c r="J27" i="8"/>
  <c r="I26" i="8"/>
  <c r="J29" i="8"/>
  <c r="J33" i="8"/>
  <c r="F35" i="8"/>
  <c r="M34" i="8"/>
  <c r="F41" i="8"/>
  <c r="E40" i="8"/>
  <c r="M42" i="8"/>
  <c r="F28" i="8"/>
  <c r="J32" i="8"/>
  <c r="J36" i="8"/>
  <c r="F32" i="8"/>
  <c r="M35" i="8"/>
  <c r="I35" i="8"/>
  <c r="J38" i="8"/>
  <c r="M41" i="8"/>
  <c r="F26" i="8"/>
  <c r="M7" i="8"/>
  <c r="H5" i="8"/>
  <c r="G8" i="8"/>
  <c r="H10" i="8"/>
  <c r="G11" i="8"/>
  <c r="I12" i="8"/>
  <c r="E20" i="8"/>
  <c r="G15" i="8"/>
  <c r="G19" i="8"/>
  <c r="L18" i="8"/>
  <c r="J24" i="8"/>
  <c r="H22" i="8"/>
  <c r="H11" i="8"/>
  <c r="J12" i="8"/>
  <c r="G18" i="8"/>
  <c r="L15" i="8"/>
  <c r="M17" i="8"/>
  <c r="J20" i="8"/>
  <c r="D23" i="8"/>
  <c r="K21" i="8"/>
  <c r="J23" i="8"/>
  <c r="H20" i="8"/>
  <c r="H16" i="8"/>
  <c r="G13" i="8"/>
  <c r="E25" i="8"/>
  <c r="H21" i="8"/>
  <c r="F18" i="8"/>
  <c r="E15" i="8"/>
  <c r="M11" i="8"/>
  <c r="M8" i="8"/>
  <c r="J5" i="8"/>
  <c r="E9" i="8"/>
  <c r="H7" i="8"/>
  <c r="M5" i="8"/>
  <c r="G21" i="8"/>
  <c r="F15" i="8"/>
  <c r="D12" i="8"/>
  <c r="L21" i="8"/>
  <c r="J18" i="8"/>
  <c r="L13" i="8"/>
  <c r="E10" i="8"/>
  <c r="K9" i="8"/>
  <c r="I6" i="8"/>
  <c r="K7" i="8"/>
  <c r="H8" i="8"/>
  <c r="G5" i="8"/>
  <c r="I13" i="8"/>
  <c r="I28" i="8"/>
  <c r="D41" i="8"/>
  <c r="D27" i="8"/>
  <c r="I37" i="8"/>
  <c r="D30" i="8"/>
  <c r="D25" i="8"/>
  <c r="I21" i="8"/>
  <c r="I41" i="8"/>
  <c r="I20" i="8"/>
  <c r="I11" i="8"/>
  <c r="I30" i="8"/>
  <c r="D29" i="8"/>
  <c r="D11" i="8"/>
  <c r="D34" i="8"/>
  <c r="D9" i="8"/>
  <c r="D42" i="8"/>
  <c r="D13" i="8"/>
  <c r="D37" i="8"/>
  <c r="D19" i="8"/>
  <c r="I27" i="8"/>
  <c r="I9" i="8"/>
  <c r="C37" i="8" l="1"/>
  <c r="Q37" i="8" s="1"/>
  <c r="S37" i="8" s="1"/>
  <c r="C42" i="8"/>
  <c r="Q42" i="8" s="1"/>
  <c r="S42" i="8" s="1"/>
  <c r="C34" i="8"/>
  <c r="Q34" i="8" s="1"/>
  <c r="S34" i="8" s="1"/>
  <c r="C29" i="8"/>
  <c r="Q29" i="8" s="1"/>
  <c r="S29" i="8" s="1"/>
  <c r="C25" i="8"/>
  <c r="Q25" i="8" s="1"/>
  <c r="S25" i="8" s="1"/>
  <c r="C12" i="8"/>
  <c r="Q12" i="8" s="1"/>
  <c r="S12" i="8" s="1"/>
  <c r="C19" i="8"/>
  <c r="Q19" i="8" s="1"/>
  <c r="S19" i="8" s="1"/>
  <c r="C13" i="8"/>
  <c r="Q13" i="8" s="1"/>
  <c r="S13" i="8" s="1"/>
  <c r="C11" i="8"/>
  <c r="Q11" i="8" s="1"/>
  <c r="S11" i="8" s="1"/>
  <c r="G43" i="8"/>
  <c r="M43" i="8"/>
  <c r="C41" i="8"/>
  <c r="Q41" i="8" s="1"/>
  <c r="S41" i="8" s="1"/>
  <c r="J43" i="8"/>
  <c r="C26" i="8"/>
  <c r="Q26" i="8" s="1"/>
  <c r="S26" i="8" s="1"/>
  <c r="C31" i="8"/>
  <c r="Q31" i="8" s="1"/>
  <c r="S31" i="8" s="1"/>
  <c r="C16" i="8"/>
  <c r="Q16" i="8" s="1"/>
  <c r="S16" i="8" s="1"/>
  <c r="I43" i="8"/>
  <c r="L43" i="8"/>
  <c r="C24" i="8"/>
  <c r="Q24" i="8" s="1"/>
  <c r="S24" i="8" s="1"/>
  <c r="C18" i="8"/>
  <c r="Q18" i="8" s="1"/>
  <c r="S18" i="8" s="1"/>
  <c r="C20" i="8"/>
  <c r="Q20" i="8" s="1"/>
  <c r="S20" i="8" s="1"/>
  <c r="C21" i="8"/>
  <c r="Q21" i="8" s="1"/>
  <c r="S21" i="8" s="1"/>
  <c r="C15" i="8"/>
  <c r="Q15" i="8" s="1"/>
  <c r="S15" i="8" s="1"/>
  <c r="C36" i="8"/>
  <c r="Q36" i="8" s="1"/>
  <c r="S36" i="8" s="1"/>
  <c r="C32" i="8"/>
  <c r="Q32" i="8" s="1"/>
  <c r="S32" i="8" s="1"/>
  <c r="C17" i="8"/>
  <c r="Q17" i="8" s="1"/>
  <c r="S17" i="8" s="1"/>
  <c r="C23" i="8"/>
  <c r="Q23" i="8" s="1"/>
  <c r="S23" i="8" s="1"/>
  <c r="C38" i="8"/>
  <c r="Q38" i="8" s="1"/>
  <c r="S38" i="8" s="1"/>
  <c r="K43" i="8"/>
  <c r="C9" i="8"/>
  <c r="Q9" i="8" s="1"/>
  <c r="S9" i="8" s="1"/>
  <c r="C30" i="8"/>
  <c r="Q30" i="8" s="1"/>
  <c r="S30" i="8" s="1"/>
  <c r="C27" i="8"/>
  <c r="Q27" i="8" s="1"/>
  <c r="S27" i="8" s="1"/>
  <c r="H43" i="8"/>
  <c r="F43" i="8"/>
  <c r="C7" i="8"/>
  <c r="Q7" i="8" s="1"/>
  <c r="S7" i="8" s="1"/>
  <c r="C10" i="8"/>
  <c r="Q10" i="8" s="1"/>
  <c r="S10" i="8" s="1"/>
  <c r="C39" i="8"/>
  <c r="Q39" i="8" s="1"/>
  <c r="S39" i="8" s="1"/>
  <c r="C28" i="8"/>
  <c r="Q28" i="8" s="1"/>
  <c r="S28" i="8" s="1"/>
  <c r="C35" i="8"/>
  <c r="Q35" i="8" s="1"/>
  <c r="S35" i="8" s="1"/>
  <c r="C8" i="8"/>
  <c r="Q8" i="8" s="1"/>
  <c r="S8" i="8" s="1"/>
  <c r="E43" i="8"/>
  <c r="C6" i="8"/>
  <c r="Q6" i="8" s="1"/>
  <c r="S6" i="8" s="1"/>
  <c r="D43" i="8"/>
  <c r="C5" i="8"/>
  <c r="Q5" i="8" s="1"/>
  <c r="S5" i="8" s="1"/>
  <c r="C22" i="8"/>
  <c r="Q22" i="8" s="1"/>
  <c r="S22" i="8" s="1"/>
  <c r="C14" i="8"/>
  <c r="Q14" i="8" s="1"/>
  <c r="S14" i="8" s="1"/>
  <c r="C33" i="8"/>
  <c r="Q33" i="8" s="1"/>
  <c r="S33" i="8" s="1"/>
  <c r="C40" i="8"/>
  <c r="Q40" i="8" s="1"/>
  <c r="S40" i="8" s="1"/>
</calcChain>
</file>

<file path=xl/sharedStrings.xml><?xml version="1.0" encoding="utf-8"?>
<sst xmlns="http://schemas.openxmlformats.org/spreadsheetml/2006/main" count="2100" uniqueCount="106">
  <si>
    <t>Hours Completed - CBM002 or CBM00S</t>
  </si>
  <si>
    <t>At-Risk Degrees - CBM009 meeting criteria in statute for At-Risk</t>
  </si>
  <si>
    <t>Science Teaching Certificates - Certification website</t>
  </si>
  <si>
    <t>Undergraduate Critical Fields - CTGs critical fields CBM009</t>
  </si>
  <si>
    <t>Cost Weighted Degrees - Fiscal Year Upper-Level weight per degree</t>
  </si>
  <si>
    <t>Undergraduate FTSE - CBM004 PREP fall of fiscal year state-funded hours divided by 15</t>
  </si>
  <si>
    <t>6-Yr/3-Yr Graduation Rates - CBM001/CBM009 Reports</t>
  </si>
  <si>
    <t>Undergraduate Degrees - CBM009 Report</t>
  </si>
  <si>
    <t>Sources</t>
  </si>
  <si>
    <t xml:space="preserve">Texas A&amp;M Galveston is given an additional weight of 1.5 to all metrics for ship operation similar to the instructions and operations formula. </t>
  </si>
  <si>
    <t>Graduation Rates for UNTD, TAMUSA, and TAMUCT are assumed to be the same as their parent institutions. 3-Year Graduation Rate used for Upper-Level institutions.</t>
  </si>
  <si>
    <t>Total</t>
  </si>
  <si>
    <t>90 Hours</t>
  </si>
  <si>
    <t>60 Hours</t>
  </si>
  <si>
    <t>30 Hours</t>
  </si>
  <si>
    <t>Hours Completed</t>
  </si>
  <si>
    <t>At-Risk Degrees</t>
  </si>
  <si>
    <t>Math and Science Teaching Certificates</t>
  </si>
  <si>
    <t>Undergraduate Critical Field Degrees</t>
  </si>
  <si>
    <t>Cost Weighted Degrees</t>
  </si>
  <si>
    <t>Undergraduate FTSE</t>
  </si>
  <si>
    <t>6-Year Graduation Rate</t>
  </si>
  <si>
    <t>Undergraduate Degrees</t>
  </si>
  <si>
    <t>Name</t>
  </si>
  <si>
    <t>FICE</t>
  </si>
  <si>
    <t>Fiscal Year 2010</t>
  </si>
  <si>
    <t>Fiscal Year 2011</t>
  </si>
  <si>
    <t>Fiscal Year 2012</t>
  </si>
  <si>
    <t>Total Undergraduate Degrees</t>
  </si>
  <si>
    <t>Three-Year Average</t>
  </si>
  <si>
    <t>Weights</t>
  </si>
  <si>
    <t>Cost Weighted</t>
  </si>
  <si>
    <t>per 100 FTSE</t>
  </si>
  <si>
    <t>Adjusted by 6-Year Graduation Rate</t>
  </si>
  <si>
    <t>Retention Metrics</t>
  </si>
  <si>
    <t xml:space="preserve">Total Undergraduate Degrees </t>
  </si>
  <si>
    <t>Total Points</t>
  </si>
  <si>
    <t>SRRG</t>
  </si>
  <si>
    <t>SRSU</t>
  </si>
  <si>
    <t>SHSU</t>
  </si>
  <si>
    <t>Lamar</t>
  </si>
  <si>
    <t>TWU</t>
  </si>
  <si>
    <t>Angelo</t>
  </si>
  <si>
    <t>TTU</t>
  </si>
  <si>
    <t>TSU</t>
  </si>
  <si>
    <t>SFA</t>
  </si>
  <si>
    <t>UNTD</t>
  </si>
  <si>
    <t>UNT</t>
  </si>
  <si>
    <t>Midwestern</t>
  </si>
  <si>
    <t>UHV</t>
  </si>
  <si>
    <t>UHD</t>
  </si>
  <si>
    <t>UHCL</t>
  </si>
  <si>
    <t>UH</t>
  </si>
  <si>
    <t>TAMUT</t>
  </si>
  <si>
    <t>TAMUC</t>
  </si>
  <si>
    <t>WTAMU</t>
  </si>
  <si>
    <t>TAMI</t>
  </si>
  <si>
    <t>TAMUSA</t>
  </si>
  <si>
    <t>TAMUK</t>
  </si>
  <si>
    <t>TAMUCC</t>
  </si>
  <si>
    <t>TAMUCT</t>
  </si>
  <si>
    <t>Tarleton</t>
  </si>
  <si>
    <t>Prairie View</t>
  </si>
  <si>
    <t>TAMUG</t>
  </si>
  <si>
    <t>TAMU</t>
  </si>
  <si>
    <t>UTT</t>
  </si>
  <si>
    <t>UTSA</t>
  </si>
  <si>
    <t>UTPB</t>
  </si>
  <si>
    <t>UTB</t>
  </si>
  <si>
    <t>UTPA</t>
  </si>
  <si>
    <t>UTEP</t>
  </si>
  <si>
    <t>UTD</t>
  </si>
  <si>
    <t>UT</t>
  </si>
  <si>
    <t>UTA</t>
  </si>
  <si>
    <t>Funding</t>
  </si>
  <si>
    <t>Points Three-Year Average - Scaled</t>
  </si>
  <si>
    <t>Points Three-Year Average - Scaled and Weighted</t>
  </si>
  <si>
    <t>Total Weights</t>
  </si>
  <si>
    <t>Scale</t>
  </si>
  <si>
    <t>Research</t>
  </si>
  <si>
    <t>Emerging</t>
  </si>
  <si>
    <t>Doctoral</t>
  </si>
  <si>
    <t>Master's</t>
  </si>
  <si>
    <t>Comprehensive</t>
  </si>
  <si>
    <t>Weights by Group</t>
  </si>
  <si>
    <t>TXST</t>
  </si>
  <si>
    <t>Accountability Group</t>
  </si>
  <si>
    <t>2014-2015 Undergraduate Instruction and Operations Percent of Total</t>
  </si>
  <si>
    <t>Total Average Scaled Points per Institution By Group</t>
  </si>
  <si>
    <t>Rank of Total Average Scaled Points per Institution By Group</t>
  </si>
  <si>
    <t>Weights per Rank</t>
  </si>
  <si>
    <t>Threshold</t>
  </si>
  <si>
    <t>Phase-In Set-Asides</t>
  </si>
  <si>
    <t>Funding After Set-Asides</t>
  </si>
  <si>
    <t>Phase-In Adjustment</t>
  </si>
  <si>
    <t>Rank of Total Average Scaled Points per Institution</t>
  </si>
  <si>
    <t>Increase/ (Decrease) from I&amp;O</t>
  </si>
  <si>
    <t>Under Graduate Transfer Degrees</t>
  </si>
  <si>
    <r>
      <rPr>
        <b/>
        <sz val="10"/>
        <rFont val="Tahoma"/>
        <family val="2"/>
      </rPr>
      <t>Option 12</t>
    </r>
    <r>
      <rPr>
        <sz val="10"/>
        <rFont val="Tahoma"/>
        <family val="2"/>
      </rPr>
      <t xml:space="preserve"> - </t>
    </r>
    <r>
      <rPr>
        <b/>
        <sz val="10"/>
        <rFont val="Tahoma"/>
        <family val="2"/>
      </rPr>
      <t xml:space="preserve">Outcomes Based Funding </t>
    </r>
    <r>
      <rPr>
        <sz val="10"/>
        <rFont val="Tahoma"/>
        <family val="2"/>
      </rPr>
      <t>(FY 2010 - FY 2012 Averaged) with Total Undergraduate Degrees adjusted by Six-Year Graduation Rate (Three-Year Rate for Upper-Levels), Undergraduate At-Risk Degrees, and Retention Metrics of 30, 60. Metrics are scaled for mathematical comparability and optimally weighted by accountability group. The model is funded at 10 percent of undergraduate formula funding.</t>
    </r>
  </si>
  <si>
    <r>
      <rPr>
        <b/>
        <sz val="10"/>
        <rFont val="Tahoma"/>
        <family val="2"/>
      </rPr>
      <t>Option 13 - Outcomes Based Funding</t>
    </r>
    <r>
      <rPr>
        <sz val="10"/>
        <rFont val="Tahoma"/>
        <family val="2"/>
      </rPr>
      <t xml:space="preserve"> (FY 2010 - FY 2012 Averaged) with Total Undergraduate Degrees adjusted by Six-Year Graduation Rate (3-Year Rate for Upper-Levels), Undergraduate At-Risk Degrees, and Retention Metrics of 30, 60, and 90 hours. Metrics are scaled for mathematical comparability and optimally weighted by institution. The model is funded at 10 percent of undergraduate formula funding.</t>
    </r>
  </si>
  <si>
    <r>
      <rPr>
        <b/>
        <sz val="10"/>
        <rFont val="Tahoma"/>
        <family val="2"/>
      </rPr>
      <t>Option 14</t>
    </r>
    <r>
      <rPr>
        <sz val="10"/>
        <rFont val="Tahoma"/>
        <family val="2"/>
      </rPr>
      <t xml:space="preserve"> - </t>
    </r>
    <r>
      <rPr>
        <b/>
        <sz val="10"/>
        <rFont val="Tahoma"/>
        <family val="2"/>
      </rPr>
      <t xml:space="preserve">Outcomes Based Funding </t>
    </r>
    <r>
      <rPr>
        <sz val="10"/>
        <rFont val="Tahoma"/>
        <family val="2"/>
      </rPr>
      <t>(FY 2010 - FY 2012 Averaged) with Total Undergraduate Degrees adjusted by Six-Year Graduation Rate (Three-Year Rate for Upper-Levels), Cost-Weighted Undergraduate Degrees, Undergraduate At-Risk Degrees, and Retention Metrics of 30, 60, and 90 hours. Metrics are scaled for mathematical comparability and optimally weighted by accountability group. The model is funded at 10 percent of undergraduate formula funding.</t>
    </r>
  </si>
  <si>
    <r>
      <rPr>
        <b/>
        <sz val="10"/>
        <rFont val="Tahoma"/>
        <family val="2"/>
      </rPr>
      <t>Option 15 - Outcomes Based Funding</t>
    </r>
    <r>
      <rPr>
        <sz val="10"/>
        <rFont val="Tahoma"/>
        <family val="2"/>
      </rPr>
      <t xml:space="preserve"> (FY 2010 - FY 2012 Averaged) with Total Undergraduate Degrees adjusted by Six-Year Graduation Rate (3-Year Rate for Upper-Levels), Cost-Weighted Undergraduate Degrees, Undergraduate At-Risk Degrees, and Retention Metrics of 30, 60, and 90 hours. Metrics are scaled for mathematical comparability and optimally weighted by institution. The model is funded at 10 percent of undergraduate formula funding.</t>
    </r>
  </si>
  <si>
    <r>
      <rPr>
        <b/>
        <sz val="10"/>
        <rFont val="Tahoma"/>
        <family val="2"/>
      </rPr>
      <t>Option 16</t>
    </r>
    <r>
      <rPr>
        <sz val="10"/>
        <rFont val="Tahoma"/>
        <family val="2"/>
      </rPr>
      <t xml:space="preserve"> - </t>
    </r>
    <r>
      <rPr>
        <b/>
        <sz val="10"/>
        <rFont val="Tahoma"/>
        <family val="2"/>
      </rPr>
      <t xml:space="preserve">Outcomes Based Funding </t>
    </r>
    <r>
      <rPr>
        <sz val="10"/>
        <rFont val="Tahoma"/>
        <family val="2"/>
      </rPr>
      <t>(FY 2010 - FY 2012 Averaged) with Total Undergraduate Degrees adjusted by Six-Year Graduation Rate (Three-Year Rate for Upper-Levels), Total Undergraduate Degrees per 100 FTSE, Undergraduate At-Risk Degrees, and Retention Metrics of 30, 60, and 90 hours. Metrics are scaled for mathematical comparability and optimally weighted by accountability group. The model is funded at 10 percent of undergraduate formula funding.</t>
    </r>
  </si>
  <si>
    <r>
      <rPr>
        <b/>
        <sz val="10"/>
        <rFont val="Tahoma"/>
        <family val="2"/>
      </rPr>
      <t>Option 17 - Outcomes Based Funding</t>
    </r>
    <r>
      <rPr>
        <sz val="10"/>
        <rFont val="Tahoma"/>
        <family val="2"/>
      </rPr>
      <t xml:space="preserve"> (FY 2010 - FY 2012 Averaged) with Total Undergraduate Degrees adjusted by Six-Year Graduation Rate (3-Year Rate for Upper-Levels), Total Undergraduate Degrees per 100 FTSE, Undergraduate At-Risk Degrees, and Retention Metrics of 30, 60, and 90 hours. Metrics are scaled for mathematical comparability and optimally weighted by institution. The model is funded at 10 percent of undergraduate formula funding.</t>
    </r>
  </si>
  <si>
    <r>
      <rPr>
        <b/>
        <sz val="10"/>
        <rFont val="Tahoma"/>
        <family val="2"/>
      </rPr>
      <t>Option 18</t>
    </r>
    <r>
      <rPr>
        <sz val="10"/>
        <rFont val="Tahoma"/>
        <family val="2"/>
      </rPr>
      <t xml:space="preserve"> - </t>
    </r>
    <r>
      <rPr>
        <b/>
        <sz val="10"/>
        <rFont val="Tahoma"/>
        <family val="2"/>
      </rPr>
      <t xml:space="preserve">Outcomes Based Funding </t>
    </r>
    <r>
      <rPr>
        <sz val="10"/>
        <rFont val="Tahoma"/>
        <family val="2"/>
      </rPr>
      <t>(FY 2010 - FY 2012 Averaged) with Total Undergraduate Degrees, Total Undergraduate Degrees adjusted by Six-Year Graduation Rate (Three-Year Rate for Upper-Levels), Undergraduate Transfer Degrees, Undergraduate At-Risk Degrees, and Retention Metrics of 30, 60, and 90 hours. Metrics are scaled for mathematical comparability and optimally weighted by accountability group. The model is funded at 10 percent of undergraduate formula funding.</t>
    </r>
  </si>
  <si>
    <r>
      <rPr>
        <b/>
        <sz val="10"/>
        <rFont val="Tahoma"/>
        <family val="2"/>
      </rPr>
      <t>Option 19 - Outcomes Based Funding</t>
    </r>
    <r>
      <rPr>
        <sz val="10"/>
        <rFont val="Tahoma"/>
        <family val="2"/>
      </rPr>
      <t xml:space="preserve"> (FY 2010 - FY 2012 Averaged) with Total Undergraduate Degrees, Total Undergraduate Degrees adjusted by Six-Year Graduation Rate (3-Year Rate for Upper-Levels), Undergraduate Transfer Degrees, Undergraduate At-Risk Degrees, and Retention Metrics of 30, 60, and 90 hours. Metrics are scaled for mathematical comparability and optimally weighted by institution. The model is funded at 10 percent of undergraduate formula funding.</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</si>
</sst>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4" formatCode="_(&quot;$&quot;* #,##0.00_);_(&quot;$&quot;* \(#,##0.00\);_(&quot;$&quot;* &quot;-&quot;??_);_(@_)"/>
    <numFmt numFmtId="43" formatCode="_(* #,##0.00_);_(* \(#,##0.00\);_(* &quot;-&quot;??_);_(@_)"/>
    <numFmt numFmtId="164" formatCode="_(* #,##0_);_(* \(#,##0\);_(* &quot;-&quot;??_);_(@_)"/>
    <numFmt numFmtId="165" formatCode="000000"/>
    <numFmt numFmtId="166" formatCode="_(&quot;$&quot;* #,##0_);_(&quot;$&quot;* \(#,##0\);_(&quot;$&quot;* &quot;-&quot;??_);_(@_)"/>
    <numFmt numFmtId="167" formatCode="0.0%"/>
    <numFmt numFmtId="168" formatCode="&quot;$&quot;#,##0"/>
  </numFmts>
  <fonts count="13" x14ac:knownFonts="1">
    <font>
      <sz val="10"/>
      <color theme="1"/>
      <name val="Tahoma"/>
      <family val="2"/>
    </font>
    <font>
      <b/>
      <sz val="10"/>
      <color theme="1"/>
      <name val="Tahoma"/>
      <family val="2"/>
    </font>
    <font>
      <sz val="10"/>
      <color theme="0"/>
      <name val="Tahoma"/>
      <family val="2"/>
    </font>
    <font>
      <sz val="10"/>
      <name val="System"/>
      <family val="2"/>
    </font>
    <font>
      <sz val="10"/>
      <name val="Tahoma"/>
      <family val="2"/>
    </font>
    <font>
      <i/>
      <sz val="10"/>
      <name val="System"/>
      <family val="2"/>
    </font>
    <font>
      <b/>
      <sz val="10"/>
      <name val="Tahoma"/>
      <family val="2"/>
    </font>
    <font>
      <sz val="10"/>
      <name val="Arial"/>
      <family val="2"/>
    </font>
    <font>
      <sz val="10"/>
      <name val="MS Sans Serif"/>
      <family val="2"/>
    </font>
    <font>
      <sz val="11"/>
      <color theme="1"/>
      <name val="Calibri"/>
      <family val="2"/>
      <scheme val="minor"/>
    </font>
    <font>
      <sz val="11"/>
      <color theme="1"/>
      <name val="Tahoma"/>
      <family val="2"/>
    </font>
    <font>
      <sz val="12"/>
      <name val="Arial"/>
      <family val="2"/>
    </font>
    <font>
      <sz val="10"/>
      <color theme="1"/>
      <name val="Tahoma"/>
      <family val="2"/>
    </font>
  </fonts>
  <fills count="1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3"/>
        <bgColor indexed="64"/>
      </patternFill>
    </fill>
    <fill>
      <patternFill patternType="solid">
        <fgColor theme="3" tint="0.59999389629810485"/>
        <bgColor indexed="64"/>
      </patternFill>
    </fill>
    <fill>
      <patternFill patternType="solid">
        <fgColor rgb="FF92D050"/>
        <bgColor indexed="64"/>
      </patternFill>
    </fill>
    <fill>
      <patternFill patternType="solid">
        <fgColor rgb="FF00B050"/>
        <bgColor indexed="64"/>
      </patternFill>
    </fill>
    <fill>
      <patternFill patternType="solid">
        <fgColor rgb="FFFFC000"/>
        <bgColor indexed="64"/>
      </patternFill>
    </fill>
    <fill>
      <patternFill patternType="solid">
        <fgColor rgb="FFFF6161"/>
        <bgColor indexed="64"/>
      </patternFill>
    </fill>
    <fill>
      <patternFill patternType="solid">
        <fgColor theme="3" tint="0.39997558519241921"/>
        <bgColor indexed="64"/>
      </patternFill>
    </fill>
    <fill>
      <patternFill patternType="solid">
        <fgColor rgb="FFB482DA"/>
        <bgColor indexed="64"/>
      </patternFill>
    </fill>
    <fill>
      <patternFill patternType="solid">
        <fgColor theme="5" tint="0.39997558519241921"/>
        <bgColor indexed="64"/>
      </patternFill>
    </fill>
  </fills>
  <borders count="93">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thin">
        <color theme="0"/>
      </left>
      <right/>
      <top style="thin">
        <color theme="0"/>
      </top>
      <bottom style="medium">
        <color indexed="64"/>
      </bottom>
      <diagonal/>
    </border>
    <border>
      <left style="thin">
        <color theme="0"/>
      </left>
      <right style="thin">
        <color theme="0"/>
      </right>
      <top style="thin">
        <color theme="0"/>
      </top>
      <bottom style="medium">
        <color indexed="64"/>
      </bottom>
      <diagonal/>
    </border>
    <border>
      <left style="medium">
        <color theme="0"/>
      </left>
      <right style="thin">
        <color theme="0"/>
      </right>
      <top style="thin">
        <color theme="0"/>
      </top>
      <bottom style="medium">
        <color indexed="64"/>
      </bottom>
      <diagonal/>
    </border>
    <border>
      <left/>
      <right/>
      <top style="thin">
        <color indexed="64"/>
      </top>
      <bottom style="medium">
        <color indexed="64"/>
      </bottom>
      <diagonal/>
    </border>
    <border>
      <left style="thin">
        <color theme="0"/>
      </left>
      <right style="medium">
        <color theme="0"/>
      </right>
      <top style="thin">
        <color theme="0"/>
      </top>
      <bottom style="medium">
        <color indexed="64"/>
      </bottom>
      <diagonal/>
    </border>
    <border>
      <left style="medium">
        <color theme="0"/>
      </left>
      <right style="thin">
        <color theme="0"/>
      </right>
      <top/>
      <bottom style="medium">
        <color indexed="64"/>
      </bottom>
      <diagonal/>
    </border>
    <border>
      <left style="thin">
        <color theme="0"/>
      </left>
      <right style="medium">
        <color theme="0"/>
      </right>
      <top/>
      <bottom style="medium">
        <color indexed="64"/>
      </bottom>
      <diagonal/>
    </border>
    <border>
      <left style="thin">
        <color theme="0"/>
      </left>
      <right style="thin">
        <color theme="0"/>
      </right>
      <top/>
      <bottom style="medium">
        <color indexed="64"/>
      </bottom>
      <diagonal/>
    </border>
    <border>
      <left style="thin">
        <color theme="0"/>
      </left>
      <right style="thin">
        <color theme="0"/>
      </right>
      <top style="thin">
        <color indexed="64"/>
      </top>
      <bottom style="medium">
        <color indexed="64"/>
      </bottom>
      <diagonal/>
    </border>
    <border>
      <left/>
      <right style="thin">
        <color theme="0"/>
      </right>
      <top/>
      <bottom style="medium">
        <color indexed="64"/>
      </bottom>
      <diagonal/>
    </border>
    <border>
      <left style="medium">
        <color indexed="64"/>
      </left>
      <right style="thin">
        <color theme="0"/>
      </right>
      <top/>
      <bottom style="medium">
        <color indexed="64"/>
      </bottom>
      <diagonal/>
    </border>
    <border>
      <left/>
      <right/>
      <top style="medium">
        <color indexed="64"/>
      </top>
      <bottom style="thin">
        <color theme="0"/>
      </bottom>
      <diagonal/>
    </border>
    <border>
      <left style="medium">
        <color theme="0"/>
      </left>
      <right/>
      <top style="medium">
        <color indexed="64"/>
      </top>
      <bottom style="thin">
        <color theme="0"/>
      </bottom>
      <diagonal/>
    </border>
    <border>
      <left/>
      <right/>
      <top style="medium">
        <color indexed="64"/>
      </top>
      <bottom style="thin">
        <color indexed="64"/>
      </bottom>
      <diagonal/>
    </border>
    <border>
      <left style="thin">
        <color theme="0"/>
      </left>
      <right style="medium">
        <color theme="0"/>
      </right>
      <top style="medium">
        <color indexed="64"/>
      </top>
      <bottom style="thin">
        <color theme="0"/>
      </bottom>
      <diagonal/>
    </border>
    <border>
      <left style="medium">
        <color theme="0"/>
      </left>
      <right style="thin">
        <color theme="0"/>
      </right>
      <top style="medium">
        <color indexed="64"/>
      </top>
      <bottom/>
      <diagonal/>
    </border>
    <border>
      <left style="thin">
        <color theme="0"/>
      </left>
      <right style="medium">
        <color theme="0"/>
      </right>
      <top style="medium">
        <color indexed="64"/>
      </top>
      <bottom/>
      <diagonal/>
    </border>
    <border>
      <left style="thin">
        <color theme="0"/>
      </left>
      <right style="thin">
        <color theme="0"/>
      </right>
      <top style="medium">
        <color indexed="64"/>
      </top>
      <bottom/>
      <diagonal/>
    </border>
    <border>
      <left style="thin">
        <color theme="0"/>
      </left>
      <right style="thin">
        <color theme="0"/>
      </right>
      <top style="medium">
        <color indexed="64"/>
      </top>
      <bottom style="thin">
        <color indexed="64"/>
      </bottom>
      <diagonal/>
    </border>
    <border>
      <left/>
      <right style="thin">
        <color theme="0"/>
      </right>
      <top style="medium">
        <color indexed="64"/>
      </top>
      <bottom/>
      <diagonal/>
    </border>
    <border>
      <left style="medium">
        <color indexed="64"/>
      </left>
      <right style="thin">
        <color theme="0"/>
      </right>
      <top style="medium">
        <color indexed="64"/>
      </top>
      <bottom/>
      <diagonal/>
    </border>
    <border>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bottom style="thin">
        <color indexed="64"/>
      </bottom>
      <diagonal/>
    </border>
    <border>
      <left style="medium">
        <color theme="0"/>
      </left>
      <right/>
      <top/>
      <bottom style="medium">
        <color indexed="64"/>
      </bottom>
      <diagonal/>
    </border>
    <border>
      <left/>
      <right style="medium">
        <color theme="0"/>
      </right>
      <top style="medium">
        <color indexed="64"/>
      </top>
      <bottom/>
      <diagonal/>
    </border>
    <border>
      <left/>
      <right/>
      <top style="medium">
        <color indexed="64"/>
      </top>
      <bottom/>
      <diagonal/>
    </border>
    <border>
      <left style="medium">
        <color theme="0"/>
      </left>
      <right/>
      <top style="medium">
        <color indexed="64"/>
      </top>
      <bottom/>
      <diagonal/>
    </border>
    <border>
      <left/>
      <right/>
      <top/>
      <bottom style="medium">
        <color indexed="64"/>
      </bottom>
      <diagonal/>
    </border>
    <border>
      <left style="medium">
        <color theme="0"/>
      </left>
      <right style="medium">
        <color theme="0"/>
      </right>
      <top/>
      <bottom style="medium">
        <color indexed="64"/>
      </bottom>
      <diagonal/>
    </border>
    <border>
      <left style="thin">
        <color theme="0"/>
      </left>
      <right/>
      <top/>
      <bottom style="medium">
        <color indexed="64"/>
      </bottom>
      <diagonal/>
    </border>
    <border>
      <left style="medium">
        <color indexed="64"/>
      </left>
      <right/>
      <top/>
      <bottom style="medium">
        <color indexed="64"/>
      </bottom>
      <diagonal/>
    </border>
    <border>
      <left style="medium">
        <color theme="0"/>
      </left>
      <right style="medium">
        <color theme="0"/>
      </right>
      <top style="medium">
        <color indexed="64"/>
      </top>
      <bottom/>
      <diagonal/>
    </border>
    <border>
      <left style="thin">
        <color theme="0"/>
      </left>
      <right/>
      <top style="medium">
        <color indexed="64"/>
      </top>
      <bottom/>
      <diagonal/>
    </border>
    <border>
      <left style="medium">
        <color indexed="64"/>
      </left>
      <right/>
      <top style="medium">
        <color indexed="64"/>
      </top>
      <bottom/>
      <diagonal/>
    </border>
    <border>
      <left style="medium">
        <color theme="0"/>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theme="0"/>
      </left>
      <right style="thin">
        <color theme="0"/>
      </right>
      <top style="thin">
        <color theme="0"/>
      </top>
      <bottom style="thin">
        <color indexed="64"/>
      </bottom>
      <diagonal/>
    </border>
    <border>
      <left/>
      <right style="medium">
        <color indexed="64"/>
      </right>
      <top style="medium">
        <color indexed="64"/>
      </top>
      <bottom style="thin">
        <color theme="0"/>
      </bottom>
      <diagonal/>
    </border>
    <border>
      <left style="thin">
        <color theme="0"/>
      </left>
      <right style="medium">
        <color indexed="64"/>
      </right>
      <top style="thin">
        <color theme="0"/>
      </top>
      <bottom style="medium">
        <color indexed="64"/>
      </bottom>
      <diagonal/>
    </border>
    <border>
      <left/>
      <right/>
      <top style="thin">
        <color indexed="64"/>
      </top>
      <bottom style="thin">
        <color indexed="64"/>
      </bottom>
      <diagonal/>
    </border>
    <border>
      <left style="medium">
        <color theme="0"/>
      </left>
      <right/>
      <top/>
      <bottom/>
      <diagonal/>
    </border>
    <border>
      <left style="thin">
        <color theme="0"/>
      </left>
      <right style="thin">
        <color theme="0"/>
      </right>
      <top style="thin">
        <color theme="0"/>
      </top>
      <bottom/>
      <diagonal/>
    </border>
    <border>
      <left style="thin">
        <color theme="0"/>
      </left>
      <right style="medium">
        <color theme="0"/>
      </right>
      <top style="thin">
        <color theme="0"/>
      </top>
      <bottom/>
      <diagonal/>
    </border>
    <border>
      <left style="medium">
        <color theme="0"/>
      </left>
      <right style="thin">
        <color theme="0"/>
      </right>
      <top/>
      <bottom/>
      <diagonal/>
    </border>
    <border>
      <left/>
      <right/>
      <top style="thin">
        <color indexed="64"/>
      </top>
      <bottom/>
      <diagonal/>
    </border>
    <border>
      <left style="medium">
        <color theme="0"/>
      </left>
      <right style="thin">
        <color theme="0"/>
      </right>
      <top style="thin">
        <color theme="0"/>
      </top>
      <bottom/>
      <diagonal/>
    </border>
    <border>
      <left style="medium">
        <color indexed="64"/>
      </left>
      <right style="thin">
        <color theme="0"/>
      </right>
      <top style="medium">
        <color indexed="64"/>
      </top>
      <bottom style="thin">
        <color theme="0"/>
      </bottom>
      <diagonal/>
    </border>
    <border>
      <left style="thin">
        <color theme="0"/>
      </left>
      <right style="thin">
        <color theme="0"/>
      </right>
      <top style="medium">
        <color indexed="64"/>
      </top>
      <bottom style="thin">
        <color theme="0"/>
      </bottom>
      <diagonal/>
    </border>
    <border>
      <left style="thin">
        <color theme="0"/>
      </left>
      <right style="medium">
        <color indexed="64"/>
      </right>
      <top style="medium">
        <color indexed="64"/>
      </top>
      <bottom style="thin">
        <color theme="0"/>
      </bottom>
      <diagonal/>
    </border>
    <border>
      <left style="medium">
        <color indexed="64"/>
      </left>
      <right style="thin">
        <color theme="0"/>
      </right>
      <top style="thin">
        <color theme="0"/>
      </top>
      <bottom style="thin">
        <color indexed="64"/>
      </bottom>
      <diagonal/>
    </border>
    <border>
      <left style="thin">
        <color theme="0"/>
      </left>
      <right style="medium">
        <color indexed="64"/>
      </right>
      <top style="thin">
        <color theme="0"/>
      </top>
      <bottom style="thin">
        <color indexed="64"/>
      </bottom>
      <diagonal/>
    </border>
    <border>
      <left/>
      <right style="medium">
        <color indexed="64"/>
      </right>
      <top/>
      <bottom style="medium">
        <color indexed="64"/>
      </bottom>
      <diagonal/>
    </border>
    <border>
      <left style="thin">
        <color theme="0"/>
      </left>
      <right style="medium">
        <color indexed="64"/>
      </right>
      <top style="thin">
        <color theme="0"/>
      </top>
      <bottom/>
      <diagonal/>
    </border>
    <border>
      <left style="medium">
        <color indexed="64"/>
      </left>
      <right style="medium">
        <color theme="0"/>
      </right>
      <top style="medium">
        <color indexed="64"/>
      </top>
      <bottom/>
      <diagonal/>
    </border>
    <border>
      <left style="thin">
        <color theme="0"/>
      </left>
      <right/>
      <top/>
      <bottom style="thin">
        <color indexed="64"/>
      </bottom>
      <diagonal/>
    </border>
    <border>
      <left style="medium">
        <color theme="0"/>
      </left>
      <right style="medium">
        <color theme="0"/>
      </right>
      <top/>
      <bottom style="thin">
        <color indexed="64"/>
      </bottom>
      <diagonal/>
    </border>
    <border>
      <left style="thin">
        <color theme="0"/>
      </left>
      <right/>
      <top style="thin">
        <color theme="0"/>
      </top>
      <bottom style="thin">
        <color indexed="64"/>
      </bottom>
      <diagonal/>
    </border>
    <border>
      <left style="medium">
        <color theme="0"/>
      </left>
      <right style="thin">
        <color theme="0"/>
      </right>
      <top/>
      <bottom style="thin">
        <color indexed="64"/>
      </bottom>
      <diagonal/>
    </border>
    <border>
      <left style="thin">
        <color theme="0"/>
      </left>
      <right style="medium">
        <color theme="0"/>
      </right>
      <top style="thin">
        <color theme="0"/>
      </top>
      <bottom style="thin">
        <color indexed="64"/>
      </bottom>
      <diagonal/>
    </border>
    <border>
      <left style="medium">
        <color theme="0"/>
      </left>
      <right style="thin">
        <color theme="0"/>
      </right>
      <top style="thin">
        <color theme="0"/>
      </top>
      <bottom style="thin">
        <color indexed="64"/>
      </bottom>
      <diagonal/>
    </border>
    <border>
      <left style="medium">
        <color indexed="64"/>
      </left>
      <right style="thin">
        <color theme="0"/>
      </right>
      <top/>
      <bottom style="thin">
        <color indexed="64"/>
      </bottom>
      <diagonal/>
    </border>
    <border>
      <left style="thin">
        <color theme="0"/>
      </left>
      <right style="thin">
        <color theme="0"/>
      </right>
      <top/>
      <bottom style="thin">
        <color indexed="64"/>
      </bottom>
      <diagonal/>
    </border>
    <border>
      <left style="thin">
        <color theme="0"/>
      </left>
      <right style="medium">
        <color theme="0"/>
      </right>
      <top/>
      <bottom style="thin">
        <color indexed="64"/>
      </bottom>
      <diagonal/>
    </border>
    <border>
      <left style="medium">
        <color theme="0"/>
      </left>
      <right/>
      <top/>
      <bottom style="thin">
        <color indexed="64"/>
      </bottom>
      <diagonal/>
    </border>
    <border>
      <left style="medium">
        <color theme="0"/>
      </left>
      <right style="medium">
        <color indexed="64"/>
      </right>
      <top/>
      <bottom style="thin">
        <color indexed="64"/>
      </bottom>
      <diagonal/>
    </border>
    <border>
      <left style="medium">
        <color indexed="64"/>
      </left>
      <right style="medium">
        <color theme="0"/>
      </right>
      <top/>
      <bottom style="thin">
        <color indexed="64"/>
      </bottom>
      <diagonal/>
    </border>
    <border>
      <left/>
      <right style="thin">
        <color theme="0"/>
      </right>
      <top/>
      <bottom style="thin">
        <color indexed="64"/>
      </bottom>
      <diagonal/>
    </border>
    <border>
      <left style="thin">
        <color theme="0"/>
      </left>
      <right style="thin">
        <color theme="0"/>
      </right>
      <top style="thin">
        <color indexed="64"/>
      </top>
      <bottom style="thin">
        <color indexed="64"/>
      </bottom>
      <diagonal/>
    </border>
  </borders>
  <cellStyleXfs count="61">
    <xf numFmtId="0" fontId="0" fillId="0" borderId="0"/>
    <xf numFmtId="9" fontId="7" fillId="0" borderId="0" applyFont="0" applyFill="0" applyBorder="0" applyAlignment="0" applyProtection="0"/>
    <xf numFmtId="0" fontId="3" fillId="0" borderId="0"/>
    <xf numFmtId="43" fontId="5" fillId="0" borderId="0" applyFont="0" applyFill="0" applyBorder="0" applyAlignment="0" applyProtection="0"/>
    <xf numFmtId="9" fontId="3" fillId="0" borderId="0" applyFont="0" applyFill="0" applyBorder="0" applyAlignment="0" applyProtection="0"/>
    <xf numFmtId="44" fontId="3"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7" fillId="0" borderId="0" applyFont="0" applyFill="0" applyBorder="0" applyAlignment="0" applyProtection="0"/>
    <xf numFmtId="3" fontId="7" fillId="0" borderId="0"/>
    <xf numFmtId="3" fontId="7" fillId="0" borderId="0"/>
    <xf numFmtId="44" fontId="7" fillId="0" borderId="0" applyFont="0" applyFill="0" applyBorder="0" applyAlignment="0" applyProtection="0"/>
    <xf numFmtId="44" fontId="7" fillId="0" borderId="0" applyFont="0" applyFill="0" applyBorder="0" applyAlignment="0" applyProtection="0"/>
    <xf numFmtId="44" fontId="8" fillId="0" borderId="0" applyFont="0" applyFill="0" applyBorder="0" applyAlignment="0" applyProtection="0"/>
    <xf numFmtId="44" fontId="10"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0" fontId="9" fillId="0" borderId="0"/>
    <xf numFmtId="0" fontId="9"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8" fillId="0" borderId="0"/>
    <xf numFmtId="0" fontId="10" fillId="0" borderId="0"/>
    <xf numFmtId="0" fontId="7" fillId="0" borderId="0"/>
    <xf numFmtId="0" fontId="8" fillId="0" borderId="0"/>
    <xf numFmtId="0" fontId="8" fillId="0" borderId="0"/>
    <xf numFmtId="0" fontId="11" fillId="0" borderId="0"/>
    <xf numFmtId="0" fontId="11" fillId="0" borderId="0"/>
    <xf numFmtId="0" fontId="11" fillId="0" borderId="0"/>
    <xf numFmtId="0" fontId="11" fillId="0" borderId="0"/>
    <xf numFmtId="0" fontId="10" fillId="0" borderId="0"/>
    <xf numFmtId="9" fontId="8"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9" fontId="7" fillId="0" borderId="0" applyFont="0" applyFill="0" applyBorder="0" applyAlignment="0" applyProtection="0"/>
  </cellStyleXfs>
  <cellXfs count="281">
    <xf numFmtId="0" fontId="0" fillId="0" borderId="0" xfId="0"/>
    <xf numFmtId="0" fontId="4" fillId="0" borderId="0" xfId="2" applyFont="1"/>
    <xf numFmtId="0" fontId="4" fillId="0" borderId="0" xfId="2" applyNumberFormat="1" applyFont="1"/>
    <xf numFmtId="164" fontId="4" fillId="0" borderId="1" xfId="2" applyNumberFormat="1" applyFont="1" applyBorder="1"/>
    <xf numFmtId="164" fontId="4" fillId="0" borderId="2" xfId="2" applyNumberFormat="1" applyFont="1" applyBorder="1"/>
    <xf numFmtId="164" fontId="4" fillId="0" borderId="3" xfId="2" applyNumberFormat="1" applyFont="1" applyBorder="1"/>
    <xf numFmtId="164" fontId="4" fillId="0" borderId="4" xfId="2" applyNumberFormat="1" applyFont="1" applyBorder="1"/>
    <xf numFmtId="164" fontId="4" fillId="0" borderId="2" xfId="3" applyNumberFormat="1" applyFont="1" applyBorder="1"/>
    <xf numFmtId="9" fontId="4" fillId="0" borderId="2" xfId="4" applyFont="1" applyBorder="1"/>
    <xf numFmtId="164" fontId="4" fillId="0" borderId="3" xfId="3" applyNumberFormat="1" applyFont="1" applyBorder="1"/>
    <xf numFmtId="164" fontId="4" fillId="0" borderId="5" xfId="2" applyNumberFormat="1" applyFont="1" applyBorder="1" applyAlignment="1">
      <alignment horizontal="right"/>
    </xf>
    <xf numFmtId="0" fontId="4" fillId="0" borderId="1" xfId="2" applyFont="1" applyBorder="1" applyAlignment="1">
      <alignment horizontal="right"/>
    </xf>
    <xf numFmtId="0" fontId="4" fillId="0" borderId="3" xfId="2" applyFont="1" applyBorder="1"/>
    <xf numFmtId="164" fontId="4" fillId="0" borderId="6" xfId="3" applyNumberFormat="1" applyFont="1" applyBorder="1"/>
    <xf numFmtId="164" fontId="4" fillId="0" borderId="7" xfId="3" applyNumberFormat="1" applyFont="1" applyBorder="1"/>
    <xf numFmtId="164" fontId="4" fillId="0" borderId="8" xfId="3" applyNumberFormat="1" applyFont="1" applyBorder="1"/>
    <xf numFmtId="164" fontId="4" fillId="0" borderId="9" xfId="3" applyNumberFormat="1" applyFont="1" applyBorder="1"/>
    <xf numFmtId="9" fontId="6" fillId="0" borderId="7" xfId="4" applyFont="1" applyBorder="1"/>
    <xf numFmtId="164" fontId="4" fillId="0" borderId="10" xfId="2" applyNumberFormat="1" applyFont="1" applyBorder="1"/>
    <xf numFmtId="0" fontId="4" fillId="0" borderId="6" xfId="2" applyFont="1" applyBorder="1"/>
    <xf numFmtId="165" fontId="4" fillId="0" borderId="8" xfId="2" applyNumberFormat="1" applyFont="1" applyBorder="1"/>
    <xf numFmtId="9" fontId="4" fillId="0" borderId="7" xfId="4" applyFont="1" applyBorder="1"/>
    <xf numFmtId="164" fontId="4" fillId="2" borderId="6" xfId="3" applyNumberFormat="1" applyFont="1" applyFill="1" applyBorder="1"/>
    <xf numFmtId="164" fontId="4" fillId="2" borderId="7" xfId="3" applyNumberFormat="1" applyFont="1" applyFill="1" applyBorder="1"/>
    <xf numFmtId="164" fontId="4" fillId="2" borderId="8" xfId="3" applyNumberFormat="1" applyFont="1" applyFill="1" applyBorder="1"/>
    <xf numFmtId="164" fontId="4" fillId="2" borderId="9" xfId="3" applyNumberFormat="1" applyFont="1" applyFill="1" applyBorder="1"/>
    <xf numFmtId="9" fontId="4" fillId="2" borderId="7" xfId="4" applyFont="1" applyFill="1" applyBorder="1"/>
    <xf numFmtId="165" fontId="4" fillId="0" borderId="8" xfId="2" quotePrefix="1" applyNumberFormat="1" applyFont="1" applyBorder="1"/>
    <xf numFmtId="164" fontId="4" fillId="0" borderId="6" xfId="3" applyNumberFormat="1" applyFont="1" applyFill="1" applyBorder="1"/>
    <xf numFmtId="164" fontId="4" fillId="0" borderId="7" xfId="3" applyNumberFormat="1" applyFont="1" applyFill="1" applyBorder="1"/>
    <xf numFmtId="164" fontId="4" fillId="0" borderId="8" xfId="3" applyNumberFormat="1" applyFont="1" applyFill="1" applyBorder="1"/>
    <xf numFmtId="164" fontId="4" fillId="0" borderId="11" xfId="3" applyNumberFormat="1" applyFont="1" applyBorder="1"/>
    <xf numFmtId="164" fontId="4" fillId="0" borderId="12" xfId="3" applyNumberFormat="1" applyFont="1" applyBorder="1"/>
    <xf numFmtId="164" fontId="4" fillId="0" borderId="13" xfId="3" applyNumberFormat="1" applyFont="1" applyBorder="1"/>
    <xf numFmtId="164" fontId="4" fillId="0" borderId="14" xfId="3" applyNumberFormat="1" applyFont="1" applyBorder="1"/>
    <xf numFmtId="164" fontId="4" fillId="0" borderId="15" xfId="3" applyNumberFormat="1" applyFont="1" applyBorder="1"/>
    <xf numFmtId="164" fontId="4" fillId="0" borderId="16" xfId="3" applyNumberFormat="1" applyFont="1" applyBorder="1"/>
    <xf numFmtId="9" fontId="4" fillId="0" borderId="12" xfId="4" applyFont="1" applyBorder="1"/>
    <xf numFmtId="164" fontId="4" fillId="0" borderId="17" xfId="2" applyNumberFormat="1" applyFont="1" applyBorder="1"/>
    <xf numFmtId="0" fontId="4" fillId="0" borderId="15" xfId="2" applyFont="1" applyBorder="1"/>
    <xf numFmtId="165" fontId="4" fillId="0" borderId="16" xfId="2" applyNumberFormat="1" applyFont="1" applyBorder="1"/>
    <xf numFmtId="0" fontId="4" fillId="0" borderId="0" xfId="2" applyFont="1" applyAlignment="1">
      <alignment horizontal="center"/>
    </xf>
    <xf numFmtId="0" fontId="6" fillId="0" borderId="0" xfId="2" applyFont="1"/>
    <xf numFmtId="164" fontId="4" fillId="0" borderId="9" xfId="3" applyNumberFormat="1" applyFont="1" applyFill="1" applyBorder="1"/>
    <xf numFmtId="9" fontId="4" fillId="0" borderId="7" xfId="4" applyFont="1" applyFill="1" applyBorder="1"/>
    <xf numFmtId="164" fontId="4" fillId="3" borderId="6" xfId="3" applyNumberFormat="1" applyFont="1" applyFill="1" applyBorder="1"/>
    <xf numFmtId="164" fontId="4" fillId="3" borderId="7" xfId="3" applyNumberFormat="1" applyFont="1" applyFill="1" applyBorder="1"/>
    <xf numFmtId="164" fontId="4" fillId="3" borderId="8" xfId="3" applyNumberFormat="1" applyFont="1" applyFill="1" applyBorder="1"/>
    <xf numFmtId="164" fontId="4" fillId="0" borderId="11" xfId="3" applyNumberFormat="1" applyFont="1" applyFill="1" applyBorder="1"/>
    <xf numFmtId="164" fontId="4" fillId="0" borderId="12" xfId="3" applyNumberFormat="1" applyFont="1" applyFill="1" applyBorder="1"/>
    <xf numFmtId="164" fontId="4" fillId="0" borderId="13" xfId="3" applyNumberFormat="1" applyFont="1" applyFill="1" applyBorder="1"/>
    <xf numFmtId="3" fontId="6" fillId="0" borderId="0" xfId="2" applyNumberFormat="1" applyFont="1"/>
    <xf numFmtId="9" fontId="4" fillId="0" borderId="0" xfId="1" applyFont="1"/>
    <xf numFmtId="0" fontId="1" fillId="0" borderId="0" xfId="2" applyFont="1" applyBorder="1" applyAlignment="1">
      <alignment horizontal="center" vertical="center"/>
    </xf>
    <xf numFmtId="164" fontId="4" fillId="0" borderId="39" xfId="2" applyNumberFormat="1" applyFont="1" applyBorder="1" applyAlignment="1">
      <alignment horizontal="right"/>
    </xf>
    <xf numFmtId="164" fontId="4" fillId="0" borderId="40" xfId="2" applyNumberFormat="1" applyFont="1" applyBorder="1"/>
    <xf numFmtId="164" fontId="4" fillId="0" borderId="41" xfId="3" applyNumberFormat="1" applyFont="1" applyBorder="1"/>
    <xf numFmtId="0" fontId="6" fillId="0" borderId="0" xfId="2" applyFont="1" applyAlignment="1"/>
    <xf numFmtId="166" fontId="4" fillId="0" borderId="0" xfId="5" applyNumberFormat="1" applyFont="1" applyBorder="1"/>
    <xf numFmtId="0" fontId="4" fillId="0" borderId="0" xfId="2" applyFont="1" applyBorder="1"/>
    <xf numFmtId="166" fontId="4" fillId="0" borderId="1" xfId="5" applyNumberFormat="1" applyFont="1" applyBorder="1"/>
    <xf numFmtId="166" fontId="4" fillId="0" borderId="2" xfId="5" applyNumberFormat="1" applyFont="1" applyBorder="1"/>
    <xf numFmtId="166" fontId="4" fillId="0" borderId="3" xfId="5" applyNumberFormat="1" applyFont="1" applyBorder="1"/>
    <xf numFmtId="166" fontId="4" fillId="0" borderId="4" xfId="5" applyNumberFormat="1" applyFont="1" applyBorder="1"/>
    <xf numFmtId="164" fontId="4" fillId="0" borderId="9" xfId="2" applyNumberFormat="1" applyFont="1" applyBorder="1"/>
    <xf numFmtId="0" fontId="4" fillId="0" borderId="8" xfId="2" quotePrefix="1" applyFont="1" applyBorder="1"/>
    <xf numFmtId="166" fontId="4" fillId="0" borderId="15" xfId="5" applyNumberFormat="1" applyFont="1" applyBorder="1"/>
    <xf numFmtId="166" fontId="4" fillId="0" borderId="41" xfId="5" applyNumberFormat="1" applyFont="1" applyBorder="1"/>
    <xf numFmtId="166" fontId="4" fillId="0" borderId="16" xfId="5" applyNumberFormat="1" applyFont="1" applyBorder="1"/>
    <xf numFmtId="166" fontId="4" fillId="0" borderId="14" xfId="5" applyNumberFormat="1" applyFont="1" applyBorder="1"/>
    <xf numFmtId="166" fontId="4" fillId="0" borderId="43" xfId="5" applyNumberFormat="1" applyFont="1" applyBorder="1"/>
    <xf numFmtId="0" fontId="4" fillId="0" borderId="49" xfId="2" applyFont="1" applyBorder="1"/>
    <xf numFmtId="0" fontId="6" fillId="0" borderId="49" xfId="2" applyFont="1" applyBorder="1"/>
    <xf numFmtId="167" fontId="4" fillId="0" borderId="40" xfId="1" applyNumberFormat="1" applyFont="1" applyBorder="1"/>
    <xf numFmtId="167" fontId="4" fillId="0" borderId="8" xfId="1" applyNumberFormat="1" applyFont="1" applyBorder="1"/>
    <xf numFmtId="167" fontId="4" fillId="0" borderId="7" xfId="1" applyNumberFormat="1" applyFont="1" applyBorder="1"/>
    <xf numFmtId="167" fontId="4" fillId="0" borderId="6" xfId="1" applyNumberFormat="1" applyFont="1" applyBorder="1"/>
    <xf numFmtId="167" fontId="4" fillId="0" borderId="16" xfId="1" applyNumberFormat="1" applyFont="1" applyBorder="1"/>
    <xf numFmtId="167" fontId="4" fillId="0" borderId="15" xfId="1" applyNumberFormat="1" applyFont="1" applyBorder="1"/>
    <xf numFmtId="167" fontId="4" fillId="0" borderId="14" xfId="1" applyNumberFormat="1" applyFont="1" applyBorder="1"/>
    <xf numFmtId="167" fontId="4" fillId="0" borderId="41" xfId="1" applyNumberFormat="1" applyFont="1" applyBorder="1"/>
    <xf numFmtId="167" fontId="4" fillId="0" borderId="9" xfId="1" applyNumberFormat="1" applyFont="1" applyBorder="1"/>
    <xf numFmtId="166" fontId="4" fillId="0" borderId="13" xfId="5" applyNumberFormat="1" applyFont="1" applyBorder="1"/>
    <xf numFmtId="165" fontId="4" fillId="0" borderId="0" xfId="2" applyNumberFormat="1" applyFont="1" applyBorder="1"/>
    <xf numFmtId="167" fontId="4" fillId="0" borderId="0" xfId="1" applyNumberFormat="1" applyFont="1" applyBorder="1"/>
    <xf numFmtId="0" fontId="4" fillId="0" borderId="0" xfId="3" applyNumberFormat="1" applyFont="1" applyFill="1" applyBorder="1" applyAlignment="1">
      <alignment horizontal="center"/>
    </xf>
    <xf numFmtId="165" fontId="6" fillId="0" borderId="0" xfId="2" applyNumberFormat="1" applyFont="1" applyBorder="1"/>
    <xf numFmtId="167" fontId="4" fillId="0" borderId="0" xfId="1" applyNumberFormat="1" applyFont="1"/>
    <xf numFmtId="10" fontId="4" fillId="0" borderId="47" xfId="4" applyNumberFormat="1" applyFont="1" applyFill="1" applyBorder="1"/>
    <xf numFmtId="0" fontId="4" fillId="0" borderId="47" xfId="2" applyFont="1" applyFill="1" applyBorder="1" applyAlignment="1">
      <alignment horizontal="left"/>
    </xf>
    <xf numFmtId="167" fontId="4" fillId="0" borderId="0" xfId="60" applyNumberFormat="1" applyFont="1" applyBorder="1"/>
    <xf numFmtId="167" fontId="4" fillId="0" borderId="0" xfId="60" applyNumberFormat="1" applyFont="1" applyFill="1" applyBorder="1"/>
    <xf numFmtId="167" fontId="4" fillId="0" borderId="13" xfId="60" applyNumberFormat="1" applyFont="1" applyFill="1" applyBorder="1"/>
    <xf numFmtId="167" fontId="4" fillId="0" borderId="12" xfId="60" applyNumberFormat="1" applyFont="1" applyFill="1" applyBorder="1"/>
    <xf numFmtId="167" fontId="4" fillId="0" borderId="11" xfId="60" applyNumberFormat="1" applyFont="1" applyFill="1" applyBorder="1"/>
    <xf numFmtId="167" fontId="4" fillId="0" borderId="8" xfId="60" applyNumberFormat="1" applyFont="1" applyFill="1" applyBorder="1"/>
    <xf numFmtId="167" fontId="4" fillId="0" borderId="7" xfId="60" applyNumberFormat="1" applyFont="1" applyFill="1" applyBorder="1"/>
    <xf numFmtId="167" fontId="4" fillId="0" borderId="6" xfId="60" applyNumberFormat="1" applyFont="1" applyFill="1" applyBorder="1"/>
    <xf numFmtId="164" fontId="4" fillId="0" borderId="13" xfId="58" applyNumberFormat="1" applyFont="1" applyFill="1" applyBorder="1"/>
    <xf numFmtId="164" fontId="4" fillId="0" borderId="12" xfId="58" applyNumberFormat="1" applyFont="1" applyFill="1" applyBorder="1"/>
    <xf numFmtId="164" fontId="4" fillId="0" borderId="11" xfId="58" applyNumberFormat="1" applyFont="1" applyFill="1" applyBorder="1"/>
    <xf numFmtId="164" fontId="4" fillId="0" borderId="57" xfId="58" applyNumberFormat="1" applyFont="1" applyFill="1" applyBorder="1"/>
    <xf numFmtId="164" fontId="4" fillId="0" borderId="8" xfId="58" applyNumberFormat="1" applyFont="1" applyFill="1" applyBorder="1"/>
    <xf numFmtId="164" fontId="4" fillId="0" borderId="7" xfId="58" applyNumberFormat="1" applyFont="1" applyFill="1" applyBorder="1"/>
    <xf numFmtId="164" fontId="4" fillId="0" borderId="6" xfId="58" applyNumberFormat="1" applyFont="1" applyFill="1" applyBorder="1"/>
    <xf numFmtId="164" fontId="4" fillId="0" borderId="58" xfId="3" applyNumberFormat="1" applyFont="1" applyBorder="1"/>
    <xf numFmtId="164" fontId="4" fillId="0" borderId="59" xfId="3" applyNumberFormat="1" applyFont="1" applyBorder="1"/>
    <xf numFmtId="164" fontId="4" fillId="0" borderId="60" xfId="2" applyNumberFormat="1" applyFont="1" applyBorder="1"/>
    <xf numFmtId="0" fontId="4" fillId="0" borderId="9" xfId="3" applyNumberFormat="1" applyFont="1" applyFill="1" applyBorder="1" applyAlignment="1">
      <alignment horizontal="center"/>
    </xf>
    <xf numFmtId="9" fontId="4" fillId="0" borderId="5" xfId="1" applyFont="1" applyBorder="1"/>
    <xf numFmtId="0" fontId="4" fillId="0" borderId="14" xfId="5" applyNumberFormat="1" applyFont="1" applyFill="1" applyBorder="1" applyAlignment="1">
      <alignment horizontal="center"/>
    </xf>
    <xf numFmtId="164" fontId="4" fillId="0" borderId="0" xfId="58" applyNumberFormat="1" applyFont="1" applyFill="1" applyBorder="1"/>
    <xf numFmtId="167" fontId="4" fillId="0" borderId="1" xfId="1" applyNumberFormat="1" applyFont="1" applyFill="1" applyBorder="1"/>
    <xf numFmtId="0" fontId="4" fillId="0" borderId="13" xfId="58" applyNumberFormat="1" applyFont="1" applyFill="1" applyBorder="1" applyAlignment="1">
      <alignment horizontal="center"/>
    </xf>
    <xf numFmtId="0" fontId="4" fillId="0" borderId="12" xfId="58" applyNumberFormat="1" applyFont="1" applyFill="1" applyBorder="1" applyAlignment="1">
      <alignment horizontal="center"/>
    </xf>
    <xf numFmtId="0" fontId="4" fillId="0" borderId="11" xfId="58" applyNumberFormat="1" applyFont="1" applyFill="1" applyBorder="1" applyAlignment="1">
      <alignment horizontal="center"/>
    </xf>
    <xf numFmtId="164" fontId="4" fillId="0" borderId="7" xfId="58" applyNumberFormat="1" applyFont="1" applyBorder="1"/>
    <xf numFmtId="164" fontId="4" fillId="0" borderId="2" xfId="58" applyNumberFormat="1" applyFont="1" applyBorder="1"/>
    <xf numFmtId="164" fontId="4" fillId="0" borderId="12" xfId="58" applyNumberFormat="1" applyFont="1" applyBorder="1"/>
    <xf numFmtId="166" fontId="4" fillId="0" borderId="7" xfId="5" applyNumberFormat="1" applyFont="1" applyBorder="1"/>
    <xf numFmtId="164" fontId="4" fillId="0" borderId="7" xfId="2" applyNumberFormat="1" applyFont="1" applyBorder="1"/>
    <xf numFmtId="0" fontId="2" fillId="4" borderId="61" xfId="2" applyFont="1" applyFill="1" applyBorder="1" applyAlignment="1">
      <alignment horizontal="center" wrapText="1"/>
    </xf>
    <xf numFmtId="0" fontId="2" fillId="4" borderId="49" xfId="2" applyFont="1" applyFill="1" applyBorder="1" applyAlignment="1">
      <alignment wrapText="1"/>
    </xf>
    <xf numFmtId="0" fontId="2" fillId="4" borderId="19" xfId="2" applyFont="1" applyFill="1" applyBorder="1" applyAlignment="1">
      <alignment horizontal="center" wrapText="1"/>
    </xf>
    <xf numFmtId="164" fontId="2" fillId="4" borderId="18" xfId="3" applyNumberFormat="1" applyFont="1" applyFill="1" applyBorder="1" applyAlignment="1">
      <alignment horizontal="center" wrapText="1"/>
    </xf>
    <xf numFmtId="164" fontId="2" fillId="4" borderId="20" xfId="3" applyNumberFormat="1" applyFont="1" applyFill="1" applyBorder="1" applyAlignment="1">
      <alignment horizontal="center" wrapText="1"/>
    </xf>
    <xf numFmtId="164" fontId="2" fillId="4" borderId="19" xfId="3" applyNumberFormat="1" applyFont="1" applyFill="1" applyBorder="1" applyAlignment="1">
      <alignment horizontal="center" wrapText="1"/>
    </xf>
    <xf numFmtId="9" fontId="6" fillId="0" borderId="0" xfId="1" applyFont="1"/>
    <xf numFmtId="164" fontId="2" fillId="4" borderId="22" xfId="3" applyNumberFormat="1" applyFont="1" applyFill="1" applyBorder="1" applyAlignment="1">
      <alignment horizontal="center" wrapText="1"/>
    </xf>
    <xf numFmtId="43" fontId="6" fillId="0" borderId="13" xfId="58" applyFont="1" applyBorder="1" applyAlignment="1">
      <alignment horizontal="center"/>
    </xf>
    <xf numFmtId="43" fontId="6" fillId="0" borderId="12" xfId="58" applyFont="1" applyBorder="1" applyAlignment="1">
      <alignment horizontal="center"/>
    </xf>
    <xf numFmtId="43" fontId="6" fillId="0" borderId="11" xfId="58" applyFont="1" applyBorder="1" applyAlignment="1">
      <alignment horizontal="center"/>
    </xf>
    <xf numFmtId="43" fontId="6" fillId="0" borderId="16" xfId="58" applyFont="1" applyBorder="1" applyAlignment="1">
      <alignment horizontal="center"/>
    </xf>
    <xf numFmtId="43" fontId="6" fillId="0" borderId="15" xfId="58" applyFont="1" applyBorder="1" applyAlignment="1">
      <alignment horizontal="center"/>
    </xf>
    <xf numFmtId="43" fontId="6" fillId="0" borderId="42" xfId="58" applyFont="1" applyBorder="1" applyAlignment="1">
      <alignment horizontal="center"/>
    </xf>
    <xf numFmtId="164" fontId="2" fillId="4" borderId="63" xfId="3" applyNumberFormat="1" applyFont="1" applyFill="1" applyBorder="1" applyAlignment="1">
      <alignment horizontal="center" wrapText="1"/>
    </xf>
    <xf numFmtId="165" fontId="4" fillId="0" borderId="3" xfId="2" applyNumberFormat="1" applyFont="1" applyBorder="1"/>
    <xf numFmtId="0" fontId="4" fillId="0" borderId="1" xfId="2" applyFont="1" applyBorder="1"/>
    <xf numFmtId="167" fontId="4" fillId="0" borderId="49" xfId="60" applyNumberFormat="1" applyFont="1" applyBorder="1"/>
    <xf numFmtId="164" fontId="4" fillId="0" borderId="3" xfId="58" applyNumberFormat="1" applyFont="1" applyFill="1" applyBorder="1"/>
    <xf numFmtId="164" fontId="4" fillId="0" borderId="2" xfId="58" applyNumberFormat="1" applyFont="1" applyFill="1" applyBorder="1"/>
    <xf numFmtId="164" fontId="4" fillId="0" borderId="1" xfId="58" applyNumberFormat="1" applyFont="1" applyFill="1" applyBorder="1"/>
    <xf numFmtId="167" fontId="4" fillId="0" borderId="64" xfId="1" applyNumberFormat="1" applyFont="1" applyBorder="1"/>
    <xf numFmtId="167" fontId="4" fillId="0" borderId="64" xfId="60" applyNumberFormat="1" applyFont="1" applyBorder="1"/>
    <xf numFmtId="167" fontId="4" fillId="2" borderId="2" xfId="1" applyNumberFormat="1" applyFont="1" applyFill="1" applyBorder="1"/>
    <xf numFmtId="167" fontId="4" fillId="0" borderId="3" xfId="60" applyNumberFormat="1" applyFont="1" applyFill="1" applyBorder="1"/>
    <xf numFmtId="167" fontId="4" fillId="0" borderId="2" xfId="60" applyNumberFormat="1" applyFont="1" applyFill="1" applyBorder="1"/>
    <xf numFmtId="0" fontId="2" fillId="4" borderId="65" xfId="2" applyFont="1" applyFill="1" applyBorder="1" applyAlignment="1">
      <alignment wrapText="1"/>
    </xf>
    <xf numFmtId="0" fontId="2" fillId="4" borderId="66" xfId="2" applyFont="1" applyFill="1" applyBorder="1" applyAlignment="1">
      <alignment horizontal="center" wrapText="1"/>
    </xf>
    <xf numFmtId="164" fontId="2" fillId="4" borderId="67" xfId="3" applyNumberFormat="1" applyFont="1" applyFill="1" applyBorder="1" applyAlignment="1">
      <alignment horizontal="center" wrapText="1"/>
    </xf>
    <xf numFmtId="164" fontId="2" fillId="4" borderId="70" xfId="3" applyNumberFormat="1" applyFont="1" applyFill="1" applyBorder="1" applyAlignment="1">
      <alignment horizontal="center" wrapText="1"/>
    </xf>
    <xf numFmtId="164" fontId="2" fillId="4" borderId="66" xfId="3" applyNumberFormat="1" applyFont="1" applyFill="1" applyBorder="1" applyAlignment="1">
      <alignment horizontal="center" wrapText="1"/>
    </xf>
    <xf numFmtId="0" fontId="2" fillId="4" borderId="45" xfId="2" applyFont="1" applyFill="1" applyBorder="1" applyAlignment="1">
      <alignment wrapText="1"/>
    </xf>
    <xf numFmtId="0" fontId="4" fillId="0" borderId="0" xfId="5" applyNumberFormat="1" applyFont="1" applyFill="1" applyBorder="1" applyAlignment="1">
      <alignment horizontal="center"/>
    </xf>
    <xf numFmtId="0" fontId="4" fillId="0" borderId="0" xfId="2" applyFont="1" applyFill="1" applyBorder="1"/>
    <xf numFmtId="9" fontId="4" fillId="0" borderId="0" xfId="1" applyFont="1" applyFill="1" applyBorder="1"/>
    <xf numFmtId="0" fontId="4" fillId="0" borderId="0" xfId="2" applyFont="1" applyFill="1" applyBorder="1" applyAlignment="1">
      <alignment horizontal="center"/>
    </xf>
    <xf numFmtId="0" fontId="2" fillId="4" borderId="74" xfId="2" applyFont="1" applyFill="1" applyBorder="1" applyAlignment="1">
      <alignment horizontal="center" wrapText="1"/>
    </xf>
    <xf numFmtId="0" fontId="2" fillId="4" borderId="75" xfId="2" applyFont="1" applyFill="1" applyBorder="1" applyAlignment="1">
      <alignment horizontal="center" wrapText="1"/>
    </xf>
    <xf numFmtId="166" fontId="4" fillId="0" borderId="6" xfId="5" applyNumberFormat="1" applyFont="1" applyBorder="1"/>
    <xf numFmtId="164" fontId="4" fillId="0" borderId="6" xfId="2" applyNumberFormat="1" applyFont="1" applyBorder="1"/>
    <xf numFmtId="167" fontId="4" fillId="0" borderId="8" xfId="1" applyNumberFormat="1" applyFont="1" applyFill="1" applyBorder="1" applyAlignment="1">
      <alignment horizontal="right"/>
    </xf>
    <xf numFmtId="166" fontId="4" fillId="5" borderId="6" xfId="59" applyNumberFormat="1" applyFont="1" applyFill="1" applyBorder="1"/>
    <xf numFmtId="0" fontId="2" fillId="4" borderId="3" xfId="2" applyFont="1" applyFill="1" applyBorder="1" applyAlignment="1">
      <alignment horizontal="right"/>
    </xf>
    <xf numFmtId="167" fontId="4" fillId="5" borderId="2" xfId="1" applyNumberFormat="1" applyFont="1" applyFill="1" applyBorder="1"/>
    <xf numFmtId="0" fontId="4" fillId="0" borderId="76" xfId="2" applyFont="1" applyBorder="1"/>
    <xf numFmtId="164" fontId="2" fillId="4" borderId="77" xfId="3" applyNumberFormat="1" applyFont="1" applyFill="1" applyBorder="1" applyAlignment="1">
      <alignment horizontal="center" wrapText="1"/>
    </xf>
    <xf numFmtId="167" fontId="4" fillId="0" borderId="21" xfId="1" applyNumberFormat="1" applyFont="1" applyBorder="1"/>
    <xf numFmtId="167" fontId="4" fillId="0" borderId="1" xfId="60" applyNumberFormat="1" applyFont="1" applyFill="1" applyBorder="1"/>
    <xf numFmtId="0" fontId="4" fillId="0" borderId="57" xfId="5" applyNumberFormat="1" applyFont="1" applyFill="1" applyBorder="1" applyAlignment="1">
      <alignment horizontal="center"/>
    </xf>
    <xf numFmtId="0" fontId="4" fillId="0" borderId="4" xfId="3" applyNumberFormat="1" applyFont="1" applyFill="1" applyBorder="1" applyAlignment="1">
      <alignment horizontal="center"/>
    </xf>
    <xf numFmtId="167" fontId="4" fillId="0" borderId="9" xfId="60" applyNumberFormat="1" applyFont="1" applyBorder="1"/>
    <xf numFmtId="167" fontId="4" fillId="0" borderId="4" xfId="60" applyNumberFormat="1" applyFont="1" applyBorder="1"/>
    <xf numFmtId="167" fontId="4" fillId="0" borderId="39" xfId="1" applyNumberFormat="1" applyFont="1" applyBorder="1"/>
    <xf numFmtId="167" fontId="4" fillId="0" borderId="3" xfId="1" applyNumberFormat="1" applyFont="1" applyBorder="1"/>
    <xf numFmtId="167" fontId="4" fillId="0" borderId="2" xfId="1" applyNumberFormat="1" applyFont="1" applyBorder="1"/>
    <xf numFmtId="167" fontId="4" fillId="0" borderId="1" xfId="1" applyNumberFormat="1" applyFont="1" applyBorder="1"/>
    <xf numFmtId="167" fontId="4" fillId="0" borderId="4" xfId="1" applyNumberFormat="1" applyFont="1" applyBorder="1"/>
    <xf numFmtId="167" fontId="2" fillId="4" borderId="3" xfId="60" applyNumberFormat="1" applyFont="1" applyFill="1" applyBorder="1"/>
    <xf numFmtId="167" fontId="4" fillId="10" borderId="2" xfId="60" applyNumberFormat="1" applyFont="1" applyFill="1" applyBorder="1"/>
    <xf numFmtId="167" fontId="4" fillId="7" borderId="2" xfId="60" applyNumberFormat="1" applyFont="1" applyFill="1" applyBorder="1"/>
    <xf numFmtId="167" fontId="4" fillId="6" borderId="2" xfId="60" applyNumberFormat="1" applyFont="1" applyFill="1" applyBorder="1"/>
    <xf numFmtId="167" fontId="4" fillId="8" borderId="2" xfId="60" applyNumberFormat="1" applyFont="1" applyFill="1" applyBorder="1"/>
    <xf numFmtId="167" fontId="4" fillId="12" borderId="2" xfId="60" applyNumberFormat="1" applyFont="1" applyFill="1" applyBorder="1"/>
    <xf numFmtId="167" fontId="4" fillId="11" borderId="2" xfId="60" applyNumberFormat="1" applyFont="1" applyFill="1" applyBorder="1"/>
    <xf numFmtId="167" fontId="4" fillId="9" borderId="2" xfId="60" applyNumberFormat="1" applyFont="1" applyFill="1" applyBorder="1"/>
    <xf numFmtId="0" fontId="2" fillId="4" borderId="44" xfId="2" applyFont="1" applyFill="1" applyBorder="1" applyAlignment="1">
      <alignment wrapText="1"/>
    </xf>
    <xf numFmtId="164" fontId="2" fillId="4" borderId="81" xfId="3" applyNumberFormat="1" applyFont="1" applyFill="1" applyBorder="1" applyAlignment="1">
      <alignment horizontal="center" wrapText="1"/>
    </xf>
    <xf numFmtId="164" fontId="2" fillId="4" borderId="84" xfId="3" applyNumberFormat="1" applyFont="1" applyFill="1" applyBorder="1" applyAlignment="1">
      <alignment horizontal="center" wrapText="1"/>
    </xf>
    <xf numFmtId="164" fontId="2" fillId="4" borderId="61" xfId="3" applyNumberFormat="1" applyFont="1" applyFill="1" applyBorder="1" applyAlignment="1">
      <alignment horizontal="center" wrapText="1"/>
    </xf>
    <xf numFmtId="164" fontId="2" fillId="4" borderId="75" xfId="3" applyNumberFormat="1" applyFont="1" applyFill="1" applyBorder="1" applyAlignment="1">
      <alignment horizontal="center" wrapText="1"/>
    </xf>
    <xf numFmtId="164" fontId="4" fillId="0" borderId="43" xfId="2" applyNumberFormat="1" applyFont="1" applyBorder="1"/>
    <xf numFmtId="0" fontId="2" fillId="4" borderId="88" xfId="2" applyFont="1" applyFill="1" applyBorder="1" applyAlignment="1">
      <alignment wrapText="1"/>
    </xf>
    <xf numFmtId="164" fontId="2" fillId="4" borderId="83" xfId="3" applyNumberFormat="1" applyFont="1" applyFill="1" applyBorder="1" applyAlignment="1">
      <alignment horizontal="center" wrapText="1"/>
    </xf>
    <xf numFmtId="167" fontId="4" fillId="0" borderId="14" xfId="60" applyNumberFormat="1" applyFont="1" applyBorder="1"/>
    <xf numFmtId="167" fontId="4" fillId="0" borderId="16" xfId="60" applyNumberFormat="1" applyFont="1" applyFill="1" applyBorder="1"/>
    <xf numFmtId="167" fontId="4" fillId="0" borderId="41" xfId="60" applyNumberFormat="1" applyFont="1" applyFill="1" applyBorder="1"/>
    <xf numFmtId="167" fontId="4" fillId="0" borderId="15" xfId="60" applyNumberFormat="1" applyFont="1" applyFill="1" applyBorder="1"/>
    <xf numFmtId="43" fontId="6" fillId="0" borderId="41" xfId="58" applyFont="1" applyBorder="1" applyAlignment="1">
      <alignment horizontal="center"/>
    </xf>
    <xf numFmtId="43" fontId="6" fillId="0" borderId="58" xfId="58" applyFont="1" applyBorder="1" applyAlignment="1">
      <alignment horizontal="center"/>
    </xf>
    <xf numFmtId="0" fontId="4" fillId="0" borderId="14" xfId="2" applyFont="1" applyBorder="1"/>
    <xf numFmtId="164" fontId="4" fillId="0" borderId="41" xfId="58" applyNumberFormat="1" applyFont="1" applyBorder="1"/>
    <xf numFmtId="164" fontId="4" fillId="0" borderId="0" xfId="58" applyNumberFormat="1" applyFont="1"/>
    <xf numFmtId="164" fontId="4" fillId="0" borderId="0" xfId="2" applyNumberFormat="1" applyFont="1"/>
    <xf numFmtId="0" fontId="2" fillId="4" borderId="17" xfId="2" applyFont="1" applyFill="1" applyBorder="1" applyAlignment="1">
      <alignment horizontal="center" wrapText="1"/>
    </xf>
    <xf numFmtId="168" fontId="4" fillId="0" borderId="9" xfId="2" applyNumberFormat="1" applyFont="1" applyBorder="1"/>
    <xf numFmtId="3" fontId="4" fillId="0" borderId="9" xfId="2" applyNumberFormat="1" applyFont="1" applyBorder="1"/>
    <xf numFmtId="3" fontId="4" fillId="0" borderId="4" xfId="2" applyNumberFormat="1" applyFont="1" applyBorder="1"/>
    <xf numFmtId="164" fontId="2" fillId="4" borderId="83" xfId="3" applyNumberFormat="1" applyFont="1" applyFill="1" applyBorder="1" applyAlignment="1">
      <alignment horizontal="center" wrapText="1"/>
    </xf>
    <xf numFmtId="164" fontId="2" fillId="4" borderId="22" xfId="3" applyNumberFormat="1" applyFont="1" applyFill="1" applyBorder="1" applyAlignment="1">
      <alignment horizontal="center" wrapText="1"/>
    </xf>
    <xf numFmtId="164" fontId="2" fillId="4" borderId="67" xfId="3" applyNumberFormat="1" applyFont="1" applyFill="1" applyBorder="1" applyAlignment="1">
      <alignment horizontal="center" wrapText="1"/>
    </xf>
    <xf numFmtId="164" fontId="2" fillId="4" borderId="83" xfId="3" applyNumberFormat="1" applyFont="1" applyFill="1" applyBorder="1" applyAlignment="1">
      <alignment horizontal="center" wrapText="1"/>
    </xf>
    <xf numFmtId="164" fontId="2" fillId="4" borderId="22" xfId="3" applyNumberFormat="1" applyFont="1" applyFill="1" applyBorder="1" applyAlignment="1">
      <alignment horizontal="center" wrapText="1"/>
    </xf>
    <xf numFmtId="164" fontId="2" fillId="4" borderId="67" xfId="3" applyNumberFormat="1" applyFont="1" applyFill="1" applyBorder="1" applyAlignment="1">
      <alignment horizontal="center" wrapText="1"/>
    </xf>
    <xf numFmtId="3" fontId="4" fillId="0" borderId="9" xfId="2" applyNumberFormat="1" applyFont="1" applyFill="1" applyBorder="1"/>
    <xf numFmtId="0" fontId="4" fillId="0" borderId="0" xfId="2" applyFont="1" applyFill="1"/>
    <xf numFmtId="164" fontId="4" fillId="0" borderId="6" xfId="2" applyNumberFormat="1" applyFont="1" applyFill="1" applyBorder="1"/>
    <xf numFmtId="164" fontId="4" fillId="0" borderId="7" xfId="2" applyNumberFormat="1" applyFont="1" applyFill="1" applyBorder="1"/>
    <xf numFmtId="167" fontId="4" fillId="0" borderId="8" xfId="1" applyNumberFormat="1" applyFont="1" applyFill="1" applyBorder="1"/>
    <xf numFmtId="164" fontId="4" fillId="0" borderId="40" xfId="2" applyNumberFormat="1" applyFont="1" applyFill="1" applyBorder="1"/>
    <xf numFmtId="0" fontId="4" fillId="0" borderId="6" xfId="2" applyFont="1" applyFill="1" applyBorder="1"/>
    <xf numFmtId="164" fontId="2" fillId="4" borderId="34" xfId="3" applyNumberFormat="1" applyFont="1" applyFill="1" applyBorder="1" applyAlignment="1">
      <alignment horizontal="center" wrapText="1"/>
    </xf>
    <xf numFmtId="164" fontId="2" fillId="4" borderId="87" xfId="3" applyNumberFormat="1" applyFont="1" applyFill="1" applyBorder="1" applyAlignment="1">
      <alignment horizontal="center" wrapText="1"/>
    </xf>
    <xf numFmtId="164" fontId="2" fillId="4" borderId="33" xfId="3" applyNumberFormat="1" applyFont="1" applyFill="1" applyBorder="1" applyAlignment="1">
      <alignment horizontal="center" vertical="center" wrapText="1"/>
    </xf>
    <xf numFmtId="164" fontId="2" fillId="4" borderId="82" xfId="3" applyNumberFormat="1" applyFont="1" applyFill="1" applyBorder="1" applyAlignment="1">
      <alignment horizontal="center" vertical="center" wrapText="1"/>
    </xf>
    <xf numFmtId="164" fontId="2" fillId="4" borderId="32" xfId="3" applyNumberFormat="1" applyFont="1" applyFill="1" applyBorder="1" applyAlignment="1">
      <alignment horizontal="center" wrapText="1"/>
    </xf>
    <xf numFmtId="164" fontId="2" fillId="4" borderId="83" xfId="3" applyNumberFormat="1" applyFont="1" applyFill="1" applyBorder="1" applyAlignment="1">
      <alignment horizontal="center" wrapText="1"/>
    </xf>
    <xf numFmtId="164" fontId="2" fillId="4" borderId="31" xfId="3" applyNumberFormat="1" applyFont="1" applyFill="1" applyBorder="1" applyAlignment="1">
      <alignment horizontal="center" wrapText="1"/>
    </xf>
    <xf numFmtId="164" fontId="2" fillId="4" borderId="64" xfId="3" applyNumberFormat="1" applyFont="1" applyFill="1" applyBorder="1" applyAlignment="1">
      <alignment horizontal="center" wrapText="1"/>
    </xf>
    <xf numFmtId="164" fontId="2" fillId="4" borderId="30" xfId="3" applyNumberFormat="1" applyFont="1" applyFill="1" applyBorder="1" applyAlignment="1">
      <alignment horizontal="center" vertical="center" wrapText="1"/>
    </xf>
    <xf numFmtId="164" fontId="2" fillId="4" borderId="29" xfId="3" applyNumberFormat="1" applyFont="1" applyFill="1" applyBorder="1" applyAlignment="1">
      <alignment horizontal="center" vertical="center" wrapText="1"/>
    </xf>
    <xf numFmtId="164" fontId="2" fillId="4" borderId="62" xfId="3" applyNumberFormat="1" applyFont="1" applyFill="1" applyBorder="1" applyAlignment="1">
      <alignment horizontal="center" vertical="center" wrapText="1"/>
    </xf>
    <xf numFmtId="0" fontId="2" fillId="4" borderId="56" xfId="2" applyFont="1" applyFill="1" applyBorder="1" applyAlignment="1">
      <alignment horizontal="center" wrapText="1"/>
    </xf>
    <xf numFmtId="0" fontId="2" fillId="4" borderId="89" xfId="2" applyFont="1" applyFill="1" applyBorder="1" applyAlignment="1">
      <alignment horizontal="center" wrapText="1"/>
    </xf>
    <xf numFmtId="0" fontId="2" fillId="4" borderId="38" xfId="2" applyFont="1" applyFill="1" applyBorder="1" applyAlignment="1">
      <alignment horizontal="center" wrapText="1"/>
    </xf>
    <xf numFmtId="0" fontId="2" fillId="4" borderId="85" xfId="2" applyFont="1" applyFill="1" applyBorder="1" applyAlignment="1">
      <alignment horizontal="center" wrapText="1"/>
    </xf>
    <xf numFmtId="0" fontId="2" fillId="4" borderId="35" xfId="2" applyFont="1" applyFill="1" applyBorder="1" applyAlignment="1">
      <alignment horizontal="center" wrapText="1"/>
    </xf>
    <xf numFmtId="0" fontId="2" fillId="4" borderId="86" xfId="2" applyFont="1" applyFill="1" applyBorder="1" applyAlignment="1">
      <alignment horizontal="center" wrapText="1"/>
    </xf>
    <xf numFmtId="0" fontId="2" fillId="4" borderId="34" xfId="2" applyFont="1" applyFill="1" applyBorder="1" applyAlignment="1">
      <alignment horizontal="center" wrapText="1"/>
    </xf>
    <xf numFmtId="0" fontId="2" fillId="4" borderId="87" xfId="2" applyFont="1" applyFill="1" applyBorder="1" applyAlignment="1">
      <alignment horizontal="center" wrapText="1"/>
    </xf>
    <xf numFmtId="0" fontId="2" fillId="4" borderId="37" xfId="2" applyFont="1" applyFill="1" applyBorder="1" applyAlignment="1">
      <alignment horizontal="center" wrapText="1"/>
    </xf>
    <xf numFmtId="0" fontId="2" fillId="4" borderId="91" xfId="2" applyFont="1" applyFill="1" applyBorder="1" applyAlignment="1">
      <alignment horizontal="center" wrapText="1"/>
    </xf>
    <xf numFmtId="164" fontId="2" fillId="4" borderId="36" xfId="3" applyNumberFormat="1" applyFont="1" applyFill="1" applyBorder="1" applyAlignment="1">
      <alignment horizontal="center" wrapText="1"/>
    </xf>
    <xf numFmtId="164" fontId="2" fillId="4" borderId="92" xfId="3" applyNumberFormat="1" applyFont="1" applyFill="1" applyBorder="1" applyAlignment="1">
      <alignment horizontal="center" wrapText="1"/>
    </xf>
    <xf numFmtId="0" fontId="6" fillId="0" borderId="42" xfId="2" applyFont="1" applyBorder="1" applyAlignment="1">
      <alignment horizontal="right"/>
    </xf>
    <xf numFmtId="0" fontId="6" fillId="0" borderId="44" xfId="2" applyFont="1" applyBorder="1" applyAlignment="1">
      <alignment horizontal="right"/>
    </xf>
    <xf numFmtId="0" fontId="6" fillId="0" borderId="43" xfId="2" applyFont="1" applyBorder="1" applyAlignment="1">
      <alignment horizontal="right"/>
    </xf>
    <xf numFmtId="0" fontId="2" fillId="4" borderId="48" xfId="2" applyFont="1" applyFill="1" applyBorder="1" applyAlignment="1">
      <alignment horizontal="center" vertical="center" wrapText="1"/>
    </xf>
    <xf numFmtId="0" fontId="2" fillId="4" borderId="47" xfId="2" applyFont="1" applyFill="1" applyBorder="1" applyAlignment="1">
      <alignment horizontal="center" vertical="center" wrapText="1"/>
    </xf>
    <xf numFmtId="0" fontId="2" fillId="4" borderId="46" xfId="2" applyFont="1" applyFill="1" applyBorder="1" applyAlignment="1">
      <alignment horizontal="center" vertical="center" wrapText="1"/>
    </xf>
    <xf numFmtId="164" fontId="2" fillId="4" borderId="33" xfId="3" applyNumberFormat="1" applyFont="1" applyFill="1" applyBorder="1" applyAlignment="1">
      <alignment horizontal="center" wrapText="1"/>
    </xf>
    <xf numFmtId="164" fontId="2" fillId="4" borderId="82" xfId="3" applyNumberFormat="1" applyFont="1" applyFill="1" applyBorder="1" applyAlignment="1">
      <alignment horizontal="center" wrapText="1"/>
    </xf>
    <xf numFmtId="0" fontId="2" fillId="4" borderId="78" xfId="2" applyFont="1" applyFill="1" applyBorder="1" applyAlignment="1">
      <alignment horizontal="center" wrapText="1"/>
    </xf>
    <xf numFmtId="0" fontId="2" fillId="4" borderId="90" xfId="2" applyFont="1" applyFill="1" applyBorder="1" applyAlignment="1">
      <alignment horizontal="center" wrapText="1"/>
    </xf>
    <xf numFmtId="0" fontId="2" fillId="4" borderId="71" xfId="2" applyFont="1" applyFill="1" applyBorder="1" applyAlignment="1">
      <alignment horizontal="center"/>
    </xf>
    <xf numFmtId="0" fontId="2" fillId="4" borderId="72" xfId="2" applyFont="1" applyFill="1" applyBorder="1" applyAlignment="1">
      <alignment horizontal="center"/>
    </xf>
    <xf numFmtId="0" fontId="2" fillId="4" borderId="73" xfId="2" applyFont="1" applyFill="1" applyBorder="1" applyAlignment="1">
      <alignment horizontal="center"/>
    </xf>
    <xf numFmtId="0" fontId="4" fillId="0" borderId="0" xfId="2" applyFont="1" applyAlignment="1">
      <alignment horizontal="left" vertical="top" wrapText="1"/>
    </xf>
    <xf numFmtId="0" fontId="2" fillId="4" borderId="55" xfId="2" applyFont="1" applyFill="1" applyBorder="1" applyAlignment="1">
      <alignment horizontal="center" wrapText="1"/>
    </xf>
    <xf numFmtId="0" fontId="2" fillId="4" borderId="42" xfId="2" applyFont="1" applyFill="1" applyBorder="1" applyAlignment="1">
      <alignment horizontal="center" wrapText="1"/>
    </xf>
    <xf numFmtId="0" fontId="2" fillId="4" borderId="54" xfId="2" applyFont="1" applyFill="1" applyBorder="1" applyAlignment="1">
      <alignment horizontal="center" wrapText="1"/>
    </xf>
    <xf numFmtId="0" fontId="2" fillId="4" borderId="79" xfId="2" applyFont="1" applyFill="1" applyBorder="1" applyAlignment="1">
      <alignment horizontal="center" wrapText="1"/>
    </xf>
    <xf numFmtId="0" fontId="2" fillId="4" borderId="53" xfId="2" applyFont="1" applyFill="1" applyBorder="1" applyAlignment="1">
      <alignment horizontal="center" wrapText="1"/>
    </xf>
    <xf numFmtId="0" fontId="2" fillId="4" borderId="80" xfId="2" applyFont="1" applyFill="1" applyBorder="1" applyAlignment="1">
      <alignment horizontal="center" wrapText="1"/>
    </xf>
    <xf numFmtId="164" fontId="2" fillId="4" borderId="23" xfId="3" applyNumberFormat="1" applyFont="1" applyFill="1" applyBorder="1" applyAlignment="1">
      <alignment horizontal="center" wrapText="1"/>
    </xf>
    <xf numFmtId="164" fontId="2" fillId="4" borderId="22" xfId="3" applyNumberFormat="1" applyFont="1" applyFill="1" applyBorder="1" applyAlignment="1">
      <alignment horizontal="center" wrapText="1"/>
    </xf>
    <xf numFmtId="164" fontId="2" fillId="4" borderId="21" xfId="3" applyNumberFormat="1" applyFont="1" applyFill="1" applyBorder="1" applyAlignment="1">
      <alignment horizontal="center" wrapText="1"/>
    </xf>
    <xf numFmtId="0" fontId="2" fillId="4" borderId="52" xfId="2" applyFont="1" applyFill="1" applyBorder="1" applyAlignment="1">
      <alignment horizontal="center" wrapText="1"/>
    </xf>
    <xf numFmtId="0" fontId="2" fillId="4" borderId="51" xfId="2" applyFont="1" applyFill="1" applyBorder="1" applyAlignment="1">
      <alignment horizontal="center" wrapText="1"/>
    </xf>
    <xf numFmtId="0" fontId="2" fillId="4" borderId="50" xfId="2" applyFont="1" applyFill="1" applyBorder="1" applyAlignment="1">
      <alignment horizontal="center" wrapText="1"/>
    </xf>
    <xf numFmtId="0" fontId="2" fillId="4" borderId="25" xfId="2" applyFont="1" applyFill="1" applyBorder="1" applyAlignment="1">
      <alignment horizontal="center" wrapText="1"/>
    </xf>
    <xf numFmtId="164" fontId="2" fillId="4" borderId="24" xfId="3" applyNumberFormat="1" applyFont="1" applyFill="1" applyBorder="1" applyAlignment="1">
      <alignment horizontal="center" wrapText="1"/>
    </xf>
    <xf numFmtId="164" fontId="2" fillId="4" borderId="23" xfId="3" applyNumberFormat="1" applyFont="1" applyFill="1" applyBorder="1" applyAlignment="1">
      <alignment horizontal="center" vertical="center" wrapText="1"/>
    </xf>
    <xf numFmtId="0" fontId="2" fillId="4" borderId="28" xfId="2" applyFont="1" applyFill="1" applyBorder="1" applyAlignment="1">
      <alignment horizontal="center" wrapText="1"/>
    </xf>
    <xf numFmtId="0" fontId="2" fillId="4" borderId="24" xfId="2" applyFont="1" applyFill="1" applyBorder="1" applyAlignment="1">
      <alignment horizontal="center" wrapText="1"/>
    </xf>
    <xf numFmtId="0" fontId="2" fillId="4" borderId="27" xfId="2" applyFont="1" applyFill="1" applyBorder="1" applyAlignment="1">
      <alignment horizontal="center" wrapText="1"/>
    </xf>
    <xf numFmtId="164" fontId="2" fillId="4" borderId="26" xfId="3" applyNumberFormat="1" applyFont="1" applyFill="1" applyBorder="1" applyAlignment="1">
      <alignment horizontal="center" wrapText="1"/>
    </xf>
    <xf numFmtId="0" fontId="2" fillId="0" borderId="0" xfId="2" applyFont="1" applyFill="1" applyBorder="1" applyAlignment="1">
      <alignment horizontal="center" wrapText="1"/>
    </xf>
    <xf numFmtId="164" fontId="2" fillId="4" borderId="69" xfId="3" applyNumberFormat="1" applyFont="1" applyFill="1" applyBorder="1" applyAlignment="1">
      <alignment horizontal="center" wrapText="1"/>
    </xf>
    <xf numFmtId="164" fontId="2" fillId="4" borderId="68" xfId="3" applyNumberFormat="1" applyFont="1" applyFill="1" applyBorder="1" applyAlignment="1">
      <alignment horizontal="center" wrapText="1"/>
    </xf>
    <xf numFmtId="164" fontId="2" fillId="4" borderId="67" xfId="3" applyNumberFormat="1" applyFont="1" applyFill="1" applyBorder="1" applyAlignment="1">
      <alignment horizontal="center" wrapText="1"/>
    </xf>
  </cellXfs>
  <cellStyles count="61">
    <cellStyle name="Comma" xfId="58" builtinId="3"/>
    <cellStyle name="Comma 2" xfId="6"/>
    <cellStyle name="Comma 2 2" xfId="7"/>
    <cellStyle name="Comma 3" xfId="8"/>
    <cellStyle name="Comma 3 2" xfId="9"/>
    <cellStyle name="Comma 4" xfId="10"/>
    <cellStyle name="Comma 4 2" xfId="11"/>
    <cellStyle name="Comma 5" xfId="3"/>
    <cellStyle name="Comma 6" xfId="12"/>
    <cellStyle name="Comma 6 2" xfId="13"/>
    <cellStyle name="Comma 7" xfId="14"/>
    <cellStyle name="Comma0" xfId="15"/>
    <cellStyle name="Comma0 2" xfId="16"/>
    <cellStyle name="Currency" xfId="59" builtinId="4"/>
    <cellStyle name="Currency 2" xfId="17"/>
    <cellStyle name="Currency 2 2" xfId="18"/>
    <cellStyle name="Currency 3" xfId="19"/>
    <cellStyle name="Currency 3 2" xfId="20"/>
    <cellStyle name="Currency 4" xfId="5"/>
    <cellStyle name="Currency 5" xfId="21"/>
    <cellStyle name="Normal" xfId="0" builtinId="0"/>
    <cellStyle name="Normal 10" xfId="22"/>
    <cellStyle name="Normal 10 2" xfId="23"/>
    <cellStyle name="Normal 11" xfId="2"/>
    <cellStyle name="Normal 12" xfId="24"/>
    <cellStyle name="Normal 12 2" xfId="25"/>
    <cellStyle name="Normal 13" xfId="26"/>
    <cellStyle name="Normal 13 2" xfId="27"/>
    <cellStyle name="Normal 2" xfId="28"/>
    <cellStyle name="Normal 2 10" xfId="29"/>
    <cellStyle name="Normal 2 11" xfId="30"/>
    <cellStyle name="Normal 2 12" xfId="31"/>
    <cellStyle name="Normal 2 13" xfId="32"/>
    <cellStyle name="Normal 2 2" xfId="33"/>
    <cellStyle name="Normal 2 3" xfId="34"/>
    <cellStyle name="Normal 2 4" xfId="35"/>
    <cellStyle name="Normal 2 5" xfId="36"/>
    <cellStyle name="Normal 2 6" xfId="37"/>
    <cellStyle name="Normal 2 7" xfId="38"/>
    <cellStyle name="Normal 2 8" xfId="39"/>
    <cellStyle name="Normal 2 9" xfId="40"/>
    <cellStyle name="Normal 3" xfId="41"/>
    <cellStyle name="Normal 3 2" xfId="42"/>
    <cellStyle name="Normal 3 3" xfId="43"/>
    <cellStyle name="Normal 4" xfId="44"/>
    <cellStyle name="Normal 4 2" xfId="45"/>
    <cellStyle name="Normal 5" xfId="46"/>
    <cellStyle name="Normal 6" xfId="47"/>
    <cellStyle name="Normal 7" xfId="48"/>
    <cellStyle name="Normal 8" xfId="49"/>
    <cellStyle name="Normal 9" xfId="50"/>
    <cellStyle name="Percent" xfId="1" builtinId="5"/>
    <cellStyle name="Percent 2" xfId="51"/>
    <cellStyle name="Percent 2 2" xfId="52"/>
    <cellStyle name="Percent 3" xfId="53"/>
    <cellStyle name="Percent 3 2" xfId="54"/>
    <cellStyle name="Percent 4" xfId="55"/>
    <cellStyle name="Percent 4 2" xfId="56"/>
    <cellStyle name="Percent 5" xfId="4"/>
    <cellStyle name="Percent 6" xfId="57"/>
    <cellStyle name="Percent 7" xfId="60"/>
  </cellStyles>
  <dxfs count="135">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
      <font>
        <color auto="1"/>
      </font>
      <fill>
        <patternFill>
          <bgColor rgb="FFB482DA"/>
        </patternFill>
      </fill>
    </dxf>
    <dxf>
      <fill>
        <patternFill>
          <bgColor rgb="FFFF6161"/>
        </patternFill>
      </fill>
    </dxf>
    <dxf>
      <fill>
        <patternFill>
          <bgColor theme="5" tint="0.39994506668294322"/>
        </patternFill>
      </fill>
    </dxf>
    <dxf>
      <fill>
        <patternFill>
          <bgColor rgb="FFFFC000"/>
        </patternFill>
      </fill>
    </dxf>
    <dxf>
      <fill>
        <patternFill>
          <bgColor rgb="FFFFFF00"/>
        </patternFill>
      </fill>
    </dxf>
    <dxf>
      <fill>
        <patternFill>
          <bgColor rgb="FF92D050"/>
        </patternFill>
      </fill>
    </dxf>
    <dxf>
      <font>
        <color auto="1"/>
      </font>
      <fill>
        <patternFill>
          <bgColor rgb="FF00B050"/>
        </patternFill>
      </fill>
    </dxf>
    <dxf>
      <fill>
        <patternFill>
          <bgColor theme="3" tint="0.39994506668294322"/>
        </patternFill>
      </fill>
    </dxf>
    <dxf>
      <font>
        <color theme="0"/>
      </font>
      <fill>
        <patternFill>
          <bgColor theme="3"/>
        </patternFill>
      </fill>
    </dxf>
  </dxfs>
  <tableStyles count="0" defaultTableStyle="TableStyleMedium2" defaultPivotStyle="PivotStyleLight16"/>
  <colors>
    <mruColors>
      <color rgb="FFB482DA"/>
      <color rgb="FFFF6161"/>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APP\PA\Resource\FinanceFiles\Appropriations\Biennium20122013\GAI\GAI%20Formulas%20Model%20Proo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PP\PA\Resource\FinanceFiles\Formula\LBB%20Request\2014-2015\GAI\Final\GAI%20Formulas%20Model%20Final%20Run%20-%20Certified%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NACUBO"/>
      <sheetName val="I and O"/>
      <sheetName val="SCH"/>
      <sheetName val="Cost Study"/>
      <sheetName val="CBM"/>
      <sheetName val="Infrastructure"/>
      <sheetName val="Utilities"/>
      <sheetName val="TAMUG"/>
      <sheetName val="SIS"/>
      <sheetName val="Comparison"/>
      <sheetName val="Law VM Tuition"/>
      <sheetName val="Enroll Projs"/>
      <sheetName val="CPI"/>
      <sheetName val="Funding Levels"/>
    </sheetNames>
    <sheetDataSet>
      <sheetData sheetId="0"/>
      <sheetData sheetId="1"/>
      <sheetData sheetId="2"/>
      <sheetData sheetId="3"/>
      <sheetData sheetId="4"/>
      <sheetData sheetId="5">
        <row r="1">
          <cell r="A1" t="str">
            <v>Report For  BY 2010 (Spring 2011 Uncertified, but Error Free)</v>
          </cell>
        </row>
      </sheetData>
      <sheetData sheetId="6">
        <row r="3">
          <cell r="A3" t="str">
            <v>Insitution</v>
          </cell>
          <cell r="C3" t="str">
            <v>FY 2012 - FY 2013 Total</v>
          </cell>
          <cell r="D3" t="str">
            <v>FY 2012</v>
          </cell>
          <cell r="E3" t="str">
            <v>O&amp;M 
Funding</v>
          </cell>
          <cell r="F3" t="str">
            <v>Utility 
Funding</v>
          </cell>
          <cell r="G3" t="str">
            <v>FY 2013</v>
          </cell>
          <cell r="H3" t="str">
            <v>O&amp;M 
Funding</v>
          </cell>
          <cell r="I3" t="str">
            <v>Utility 
Funding</v>
          </cell>
          <cell r="J3" t="str">
            <v>Utility Rate Adjustment</v>
          </cell>
          <cell r="K3" t="str">
            <v>Adjusted Utility Square Feet</v>
          </cell>
          <cell r="L3" t="str">
            <v xml:space="preserve">Predicted
Square Feet1 </v>
          </cell>
        </row>
        <row r="4">
          <cell r="B4" t="str">
            <v>UT-Arlington</v>
          </cell>
          <cell r="C4">
            <v>28774178.886879198</v>
          </cell>
          <cell r="D4">
            <v>14387089.443439599</v>
          </cell>
          <cell r="E4">
            <v>6484606.4534401596</v>
          </cell>
          <cell r="F4">
            <v>7902482.9899994386</v>
          </cell>
          <cell r="G4">
            <v>14387089.443439599</v>
          </cell>
          <cell r="H4">
            <v>6484606.4534401596</v>
          </cell>
          <cell r="I4">
            <v>7902482.9899994386</v>
          </cell>
          <cell r="J4">
            <v>1.1249101600000002</v>
          </cell>
          <cell r="K4">
            <v>3067812.0451473487</v>
          </cell>
        </row>
        <row r="5">
          <cell r="B5" t="str">
            <v>UT-Austin</v>
          </cell>
          <cell r="C5">
            <v>109717007.32797512</v>
          </cell>
          <cell r="D5">
            <v>54858503.663987562</v>
          </cell>
          <cell r="E5">
            <v>24252915.909404933</v>
          </cell>
          <cell r="F5">
            <v>30605587.754582632</v>
          </cell>
          <cell r="G5">
            <v>54858503.663987562</v>
          </cell>
          <cell r="H5">
            <v>24252915.909404933</v>
          </cell>
          <cell r="I5">
            <v>30605587.754582632</v>
          </cell>
          <cell r="J5">
            <v>1.16486248</v>
          </cell>
          <cell r="K5">
            <v>11881353.09891119</v>
          </cell>
        </row>
        <row r="6">
          <cell r="B6" t="str">
            <v>UT-Dallas</v>
          </cell>
          <cell r="C6">
            <v>21603008.275112055</v>
          </cell>
          <cell r="D6">
            <v>10801504.137556028</v>
          </cell>
          <cell r="E6">
            <v>4856728.9344045622</v>
          </cell>
          <cell r="F6">
            <v>5944775.2031514645</v>
          </cell>
          <cell r="G6">
            <v>10801504.137556028</v>
          </cell>
          <cell r="H6">
            <v>4856728.9344045622</v>
          </cell>
          <cell r="I6">
            <v>5944775.2031514645</v>
          </cell>
          <cell r="J6">
            <v>1.1298725699999999</v>
          </cell>
          <cell r="K6">
            <v>2307812.9996610894</v>
          </cell>
        </row>
        <row r="7">
          <cell r="B7" t="str">
            <v>UT-El Paso</v>
          </cell>
          <cell r="C7">
            <v>21377315.272495672</v>
          </cell>
          <cell r="D7">
            <v>10688657.636247836</v>
          </cell>
          <cell r="E7">
            <v>5084957.7670230521</v>
          </cell>
          <cell r="F7">
            <v>5603699.869224783</v>
          </cell>
          <cell r="G7">
            <v>10688657.636247836</v>
          </cell>
          <cell r="H7">
            <v>5084957.7670230521</v>
          </cell>
          <cell r="I7">
            <v>5603699.869224783</v>
          </cell>
          <cell r="J7">
            <v>1.0172446399999999</v>
          </cell>
          <cell r="K7">
            <v>2175404.6137085874</v>
          </cell>
        </row>
        <row r="8">
          <cell r="B8" t="str">
            <v>UT-Pan American</v>
          </cell>
          <cell r="C8">
            <v>17150931.092331886</v>
          </cell>
          <cell r="D8">
            <v>8575465.5461659431</v>
          </cell>
          <cell r="E8">
            <v>3779016.3034145022</v>
          </cell>
          <cell r="F8">
            <v>4796449.2427514419</v>
          </cell>
          <cell r="G8">
            <v>8575465.5461659431</v>
          </cell>
          <cell r="H8">
            <v>3779016.3034145022</v>
          </cell>
          <cell r="I8">
            <v>4796449.2427514419</v>
          </cell>
          <cell r="J8">
            <v>1.17159897</v>
          </cell>
          <cell r="K8">
            <v>1862022.9590461666</v>
          </cell>
        </row>
        <row r="9">
          <cell r="B9" t="str">
            <v>UT-Brownsville</v>
          </cell>
          <cell r="C9">
            <v>5708323.8307687752</v>
          </cell>
          <cell r="D9">
            <v>2854161.9153843876</v>
          </cell>
          <cell r="E9">
            <v>1350414.5493757755</v>
          </cell>
          <cell r="F9">
            <v>1503747.3660086119</v>
          </cell>
          <cell r="G9">
            <v>2854161.9153843876</v>
          </cell>
          <cell r="H9">
            <v>1350414.5493757755</v>
          </cell>
          <cell r="I9">
            <v>1503747.3660086119</v>
          </cell>
          <cell r="J9">
            <v>1.02788769</v>
          </cell>
          <cell r="K9">
            <v>583767.69531017309</v>
          </cell>
        </row>
        <row r="10">
          <cell r="B10" t="str">
            <v>UT-Permian Basin</v>
          </cell>
          <cell r="C10">
            <v>3505882.1620279774</v>
          </cell>
          <cell r="D10">
            <v>1752941.0810139887</v>
          </cell>
          <cell r="E10">
            <v>811960.06125595619</v>
          </cell>
          <cell r="F10">
            <v>940981.01975803252</v>
          </cell>
          <cell r="G10">
            <v>1752941.0810139887</v>
          </cell>
          <cell r="H10">
            <v>811960.06125595619</v>
          </cell>
          <cell r="I10">
            <v>940981.01975803252</v>
          </cell>
          <cell r="J10">
            <v>1.06975442</v>
          </cell>
          <cell r="K10">
            <v>365296.9465827262</v>
          </cell>
        </row>
        <row r="11">
          <cell r="B11" t="str">
            <v>UT-San Antonio</v>
          </cell>
          <cell r="C11">
            <v>26841057.186713859</v>
          </cell>
          <cell r="D11">
            <v>13420528.59335693</v>
          </cell>
          <cell r="E11">
            <v>6379266.6327061672</v>
          </cell>
          <cell r="F11">
            <v>7041261.9606507635</v>
          </cell>
          <cell r="G11">
            <v>13420528.59335693</v>
          </cell>
          <cell r="H11">
            <v>6379266.6327061672</v>
          </cell>
          <cell r="I11">
            <v>7041261.9606507635</v>
          </cell>
          <cell r="J11">
            <v>1.0188673399999999</v>
          </cell>
          <cell r="K11">
            <v>2733478.6146656144</v>
          </cell>
        </row>
        <row r="12">
          <cell r="B12" t="str">
            <v>UT-Tyler</v>
          </cell>
          <cell r="C12">
            <v>5345126.0377391949</v>
          </cell>
          <cell r="D12">
            <v>2672563.0188695975</v>
          </cell>
          <cell r="E12">
            <v>1309536.8476707058</v>
          </cell>
          <cell r="F12">
            <v>1363026.1711988915</v>
          </cell>
          <cell r="G12">
            <v>2672563.0188695975</v>
          </cell>
          <cell r="H12">
            <v>1309536.8476707058</v>
          </cell>
          <cell r="I12">
            <v>1363026.1711988915</v>
          </cell>
          <cell r="J12">
            <v>0.96078090999999999</v>
          </cell>
          <cell r="K12">
            <v>529138.51395146479</v>
          </cell>
        </row>
        <row r="13">
          <cell r="B13" t="str">
            <v>TAMU</v>
          </cell>
          <cell r="C13">
            <v>63350127.415048331</v>
          </cell>
          <cell r="D13">
            <v>31675063.707524166</v>
          </cell>
          <cell r="E13">
            <v>15189251.231589444</v>
          </cell>
          <cell r="F13">
            <v>16485812.47593472</v>
          </cell>
          <cell r="G13">
            <v>31675063.707524166</v>
          </cell>
          <cell r="H13">
            <v>15189251.231589444</v>
          </cell>
          <cell r="I13">
            <v>16485812.47593472</v>
          </cell>
          <cell r="J13">
            <v>1.00187118</v>
          </cell>
          <cell r="K13">
            <v>6399934.5714145675</v>
          </cell>
        </row>
        <row r="14">
          <cell r="B14" t="str">
            <v>TAMU-Galveston</v>
          </cell>
          <cell r="C14">
            <v>5708922.5033713952</v>
          </cell>
          <cell r="D14">
            <v>2854461.2516856976</v>
          </cell>
          <cell r="E14">
            <v>606099.93905371206</v>
          </cell>
          <cell r="F14">
            <v>846687.31263198529</v>
          </cell>
          <cell r="G14">
            <v>2854461.2516856976</v>
          </cell>
          <cell r="H14">
            <v>606099.93905371206</v>
          </cell>
          <cell r="I14">
            <v>846687.31263198529</v>
          </cell>
          <cell r="J14">
            <v>1.2894862200000001</v>
          </cell>
          <cell r="K14">
            <v>328691.31631829403</v>
          </cell>
        </row>
        <row r="15">
          <cell r="B15" t="str">
            <v>Prairie View</v>
          </cell>
          <cell r="C15">
            <v>9611279.485257756</v>
          </cell>
          <cell r="D15">
            <v>4805639.742628878</v>
          </cell>
          <cell r="E15">
            <v>2273204.4331299271</v>
          </cell>
          <cell r="F15">
            <v>2532435.3094989508</v>
          </cell>
          <cell r="G15">
            <v>4805639.742628878</v>
          </cell>
          <cell r="H15">
            <v>2273204.4331299271</v>
          </cell>
          <cell r="I15">
            <v>2532435.3094989508</v>
          </cell>
          <cell r="J15">
            <v>1.0283424400000001</v>
          </cell>
          <cell r="K15">
            <v>983113.22604161489</v>
          </cell>
        </row>
        <row r="16">
          <cell r="B16" t="str">
            <v>Tarleton</v>
          </cell>
          <cell r="C16">
            <v>9609466.2331559155</v>
          </cell>
          <cell r="D16">
            <v>4804733.1165779578</v>
          </cell>
          <cell r="E16">
            <v>1914013.7363242113</v>
          </cell>
          <cell r="F16">
            <v>2890719.3802537462</v>
          </cell>
          <cell r="G16">
            <v>4804733.1165779578</v>
          </cell>
          <cell r="H16">
            <v>1914013.7363242113</v>
          </cell>
          <cell r="I16">
            <v>2890719.3802537462</v>
          </cell>
          <cell r="J16">
            <v>1.3941155700000001</v>
          </cell>
          <cell r="K16">
            <v>1122202.1920333107</v>
          </cell>
        </row>
        <row r="17">
          <cell r="B17" t="str">
            <v>TAMU-Central</v>
          </cell>
          <cell r="C17">
            <v>1797006.9086982145</v>
          </cell>
          <cell r="D17">
            <v>898503.45434910723</v>
          </cell>
          <cell r="E17">
            <v>326045.03580438928</v>
          </cell>
          <cell r="F17">
            <v>572458.41854471795</v>
          </cell>
          <cell r="G17">
            <v>898503.45434910723</v>
          </cell>
          <cell r="H17">
            <v>326045.03580438928</v>
          </cell>
          <cell r="I17">
            <v>572458.41854471795</v>
          </cell>
          <cell r="J17">
            <v>1.62070603</v>
          </cell>
          <cell r="K17">
            <v>222233.29477329415</v>
          </cell>
        </row>
        <row r="18">
          <cell r="B18" t="str">
            <v>TAMU-CC</v>
          </cell>
          <cell r="C18">
            <v>12043764.227252744</v>
          </cell>
          <cell r="D18">
            <v>6021882.1136263721</v>
          </cell>
          <cell r="E18">
            <v>2323965.2866370226</v>
          </cell>
          <cell r="F18">
            <v>3697916.8269893494</v>
          </cell>
          <cell r="G18">
            <v>6021882.1136263721</v>
          </cell>
          <cell r="H18">
            <v>2323965.2866370226</v>
          </cell>
          <cell r="I18">
            <v>3697916.8269893494</v>
          </cell>
          <cell r="J18">
            <v>1.4688092399999999</v>
          </cell>
          <cell r="K18">
            <v>1435563.2018629371</v>
          </cell>
        </row>
        <row r="19">
          <cell r="B19" t="str">
            <v>TAMU-Kingsville</v>
          </cell>
          <cell r="C19">
            <v>7954019.8083173521</v>
          </cell>
          <cell r="D19">
            <v>3977009.904158676</v>
          </cell>
          <cell r="E19">
            <v>1750407.8817218563</v>
          </cell>
          <cell r="F19">
            <v>2226602.0224368195</v>
          </cell>
          <cell r="G19">
            <v>3977009.904158676</v>
          </cell>
          <cell r="H19">
            <v>1750407.8817218563</v>
          </cell>
          <cell r="I19">
            <v>2226602.0224368195</v>
          </cell>
          <cell r="J19">
            <v>1.17419772</v>
          </cell>
          <cell r="K19">
            <v>864386.106597821</v>
          </cell>
        </row>
        <row r="20">
          <cell r="B20" t="str">
            <v>TAMU-San Antonio</v>
          </cell>
          <cell r="C20">
            <v>2685226.6436393689</v>
          </cell>
          <cell r="D20">
            <v>1342613.3218196845</v>
          </cell>
          <cell r="E20">
            <v>481089.34481997567</v>
          </cell>
          <cell r="F20">
            <v>861523.97699970868</v>
          </cell>
          <cell r="G20">
            <v>1342613.3218196845</v>
          </cell>
          <cell r="H20">
            <v>481089.34481997567</v>
          </cell>
          <cell r="I20">
            <v>861523.97699970868</v>
          </cell>
          <cell r="J20">
            <v>1.65302539</v>
          </cell>
          <cell r="K20">
            <v>334451.03737238684</v>
          </cell>
        </row>
        <row r="21">
          <cell r="B21" t="str">
            <v>TAMI</v>
          </cell>
          <cell r="C21">
            <v>5715745.6222505905</v>
          </cell>
          <cell r="D21">
            <v>2857872.8111252952</v>
          </cell>
          <cell r="E21">
            <v>1273094.8913852083</v>
          </cell>
          <cell r="F21">
            <v>1584777.9197400869</v>
          </cell>
          <cell r="G21">
            <v>2857872.8111252952</v>
          </cell>
          <cell r="H21">
            <v>1273094.8913852083</v>
          </cell>
          <cell r="I21">
            <v>1584777.9197400869</v>
          </cell>
          <cell r="J21">
            <v>1.1490674700000001</v>
          </cell>
          <cell r="K21">
            <v>615224.45504973398</v>
          </cell>
        </row>
        <row r="22">
          <cell r="B22" t="str">
            <v>WTAMU</v>
          </cell>
          <cell r="C22">
            <v>7607077.45645996</v>
          </cell>
          <cell r="D22">
            <v>3803538.72822998</v>
          </cell>
          <cell r="E22">
            <v>1735120.6584092684</v>
          </cell>
          <cell r="F22">
            <v>2068418.0698207114</v>
          </cell>
          <cell r="G22">
            <v>3803538.72822998</v>
          </cell>
          <cell r="H22">
            <v>1735120.6584092684</v>
          </cell>
          <cell r="I22">
            <v>2068418.0698207114</v>
          </cell>
          <cell r="J22">
            <v>1.1003897499999999</v>
          </cell>
          <cell r="K22">
            <v>802977.73206555913</v>
          </cell>
        </row>
        <row r="23">
          <cell r="B23" t="str">
            <v>TAMU-Commerce</v>
          </cell>
          <cell r="C23">
            <v>8643081.9792225324</v>
          </cell>
          <cell r="D23">
            <v>4321540.9896112662</v>
          </cell>
          <cell r="E23">
            <v>1811610.5784128527</v>
          </cell>
          <cell r="F23">
            <v>2509930.411198413</v>
          </cell>
          <cell r="G23">
            <v>4321540.9896112662</v>
          </cell>
          <cell r="H23">
            <v>1811610.5784128527</v>
          </cell>
          <cell r="I23">
            <v>2509930.411198413</v>
          </cell>
          <cell r="J23">
            <v>1.2788945199999997</v>
          </cell>
          <cell r="K23">
            <v>974376.63044646126</v>
          </cell>
        </row>
        <row r="24">
          <cell r="B24" t="str">
            <v>TAMU-Texarkana</v>
          </cell>
          <cell r="C24">
            <v>1382117.053959361</v>
          </cell>
          <cell r="D24">
            <v>691058.52697968052</v>
          </cell>
          <cell r="E24">
            <v>350453.18994757952</v>
          </cell>
          <cell r="F24">
            <v>340605.337032101</v>
          </cell>
          <cell r="G24">
            <v>691058.52697968052</v>
          </cell>
          <cell r="H24">
            <v>350453.18994757952</v>
          </cell>
          <cell r="I24">
            <v>340605.337032101</v>
          </cell>
          <cell r="J24">
            <v>0.89713815000000008</v>
          </cell>
          <cell r="K24">
            <v>132225.9291049263</v>
          </cell>
        </row>
        <row r="25">
          <cell r="B25" t="str">
            <v>UH</v>
          </cell>
          <cell r="C25">
            <v>45773712.23842638</v>
          </cell>
          <cell r="D25">
            <v>22886856.11921319</v>
          </cell>
          <cell r="E25">
            <v>10217163.724556096</v>
          </cell>
          <cell r="F25">
            <v>12669692.394657094</v>
          </cell>
          <cell r="G25">
            <v>22886856.11921319</v>
          </cell>
          <cell r="H25">
            <v>10217163.724556096</v>
          </cell>
          <cell r="I25">
            <v>12669692.394657094</v>
          </cell>
          <cell r="J25">
            <v>1.14465237</v>
          </cell>
          <cell r="K25">
            <v>4918483.8468907038</v>
          </cell>
        </row>
        <row r="26">
          <cell r="B26" t="str">
            <v>UH-Clear Lake</v>
          </cell>
          <cell r="C26">
            <v>5911588.8945033699</v>
          </cell>
          <cell r="D26">
            <v>2955794.447251685</v>
          </cell>
          <cell r="E26">
            <v>1397624.4579013574</v>
          </cell>
          <cell r="F26">
            <v>1558169.9893503275</v>
          </cell>
          <cell r="G26">
            <v>2955794.447251685</v>
          </cell>
          <cell r="H26">
            <v>1397624.4579013574</v>
          </cell>
          <cell r="I26">
            <v>1558169.9893503275</v>
          </cell>
          <cell r="J26">
            <v>1.0291110400000001</v>
          </cell>
          <cell r="K26">
            <v>604895.02701433725</v>
          </cell>
        </row>
        <row r="27">
          <cell r="B27" t="str">
            <v>UH-Downtown</v>
          </cell>
          <cell r="C27">
            <v>9157106.3765570503</v>
          </cell>
          <cell r="D27">
            <v>4578553.1882785251</v>
          </cell>
          <cell r="E27">
            <v>2014554.6209960473</v>
          </cell>
          <cell r="F27">
            <v>2563998.5672824779</v>
          </cell>
          <cell r="G27">
            <v>4578553.1882785251</v>
          </cell>
          <cell r="H27">
            <v>2014554.6209960473</v>
          </cell>
          <cell r="I27">
            <v>2563998.5672824779</v>
          </cell>
          <cell r="J27">
            <v>1.17483432</v>
          </cell>
          <cell r="K27">
            <v>995366.35490439564</v>
          </cell>
        </row>
        <row r="28">
          <cell r="B28" t="str">
            <v>UH-Victoria</v>
          </cell>
          <cell r="C28">
            <v>2868700.3190174019</v>
          </cell>
          <cell r="D28">
            <v>1434350.1595087009</v>
          </cell>
          <cell r="E28">
            <v>611365.63215490454</v>
          </cell>
          <cell r="F28">
            <v>822984.52735379653</v>
          </cell>
          <cell r="G28">
            <v>1434350.1595087009</v>
          </cell>
          <cell r="H28">
            <v>611365.63215490454</v>
          </cell>
          <cell r="I28">
            <v>822984.52735379653</v>
          </cell>
          <cell r="J28">
            <v>1.2425919700000001</v>
          </cell>
          <cell r="K28">
            <v>319489.69066823059</v>
          </cell>
        </row>
        <row r="29">
          <cell r="B29" t="str">
            <v>Midwestern</v>
          </cell>
          <cell r="C29">
            <v>5865451.8499927111</v>
          </cell>
          <cell r="D29">
            <v>2932725.9249963555</v>
          </cell>
          <cell r="E29">
            <v>1273536.957313509</v>
          </cell>
          <cell r="F29">
            <v>1659188.9676828468</v>
          </cell>
          <cell r="G29">
            <v>2932725.9249963555</v>
          </cell>
          <cell r="H29">
            <v>1273536.957313509</v>
          </cell>
          <cell r="I29">
            <v>1659188.9676828468</v>
          </cell>
          <cell r="J29">
            <v>1.2026027500000001</v>
          </cell>
          <cell r="K29">
            <v>644111.46555766196</v>
          </cell>
        </row>
        <row r="30">
          <cell r="B30" t="str">
            <v>UNT</v>
          </cell>
          <cell r="C30">
            <v>33713749.249093249</v>
          </cell>
          <cell r="D30">
            <v>16856874.624546625</v>
          </cell>
          <cell r="E30">
            <v>7742527.8684881162</v>
          </cell>
          <cell r="F30">
            <v>9114346.7560585067</v>
          </cell>
          <cell r="G30">
            <v>16856874.624546625</v>
          </cell>
          <cell r="H30">
            <v>7742527.8684881162</v>
          </cell>
          <cell r="I30">
            <v>9114346.7560585067</v>
          </cell>
          <cell r="J30">
            <v>1.0866274300000001</v>
          </cell>
          <cell r="K30">
            <v>3538268.0098483749</v>
          </cell>
        </row>
        <row r="31">
          <cell r="B31" t="str">
            <v>UNT-Dallas</v>
          </cell>
          <cell r="C31">
            <v>2276582.6287558633</v>
          </cell>
          <cell r="D31">
            <v>1138291.3143779316</v>
          </cell>
          <cell r="E31">
            <v>468293.31934790034</v>
          </cell>
          <cell r="F31">
            <v>669997.99503003131</v>
          </cell>
          <cell r="G31">
            <v>1138291.3143779316</v>
          </cell>
          <cell r="H31">
            <v>468293.31934790034</v>
          </cell>
          <cell r="I31">
            <v>669997.99503003131</v>
          </cell>
          <cell r="J31">
            <v>1.32066733</v>
          </cell>
          <cell r="K31">
            <v>260098.99951430957</v>
          </cell>
        </row>
        <row r="32">
          <cell r="B32" t="str">
            <v>SFA</v>
          </cell>
          <cell r="C32">
            <v>13050096.803484164</v>
          </cell>
          <cell r="D32">
            <v>6525048.4017420821</v>
          </cell>
          <cell r="E32">
            <v>2828098.2453449587</v>
          </cell>
          <cell r="F32">
            <v>3696950.1563971238</v>
          </cell>
          <cell r="G32">
            <v>6525048.4017420821</v>
          </cell>
          <cell r="H32">
            <v>2828098.2453449587</v>
          </cell>
          <cell r="I32">
            <v>3696950.1563971238</v>
          </cell>
          <cell r="J32">
            <v>1.20666578</v>
          </cell>
          <cell r="K32">
            <v>1435187.932002784</v>
          </cell>
        </row>
        <row r="33">
          <cell r="B33" t="str">
            <v>TSU</v>
          </cell>
          <cell r="C33">
            <v>12606709.993801983</v>
          </cell>
          <cell r="D33">
            <v>6303354.9969009915</v>
          </cell>
          <cell r="E33">
            <v>2691966.9804682774</v>
          </cell>
          <cell r="F33">
            <v>3611388.0164327142</v>
          </cell>
          <cell r="G33">
            <v>6303354.9969009915</v>
          </cell>
          <cell r="H33">
            <v>2691966.9804682774</v>
          </cell>
          <cell r="I33">
            <v>3611388.0164327142</v>
          </cell>
          <cell r="J33">
            <v>1.2383468899999999</v>
          </cell>
          <cell r="K33">
            <v>1401971.9714086798</v>
          </cell>
        </row>
        <row r="34">
          <cell r="B34" t="str">
            <v>TTU</v>
          </cell>
          <cell r="C34">
            <v>37219579.077593289</v>
          </cell>
          <cell r="D34">
            <v>18609789.538796645</v>
          </cell>
          <cell r="E34">
            <v>9063945.8867170513</v>
          </cell>
          <cell r="F34">
            <v>9545843.6520795934</v>
          </cell>
          <cell r="G34">
            <v>18609789.538796645</v>
          </cell>
          <cell r="H34">
            <v>9063945.8867170513</v>
          </cell>
          <cell r="I34">
            <v>9545843.6520795934</v>
          </cell>
          <cell r="J34">
            <v>0.97215363999999993</v>
          </cell>
          <cell r="K34">
            <v>3705778.8259719131</v>
          </cell>
        </row>
        <row r="35">
          <cell r="B35" t="str">
            <v>Angelo</v>
          </cell>
          <cell r="C35">
            <v>6818350.2517482918</v>
          </cell>
          <cell r="D35">
            <v>3409175.1258741459</v>
          </cell>
          <cell r="E35">
            <v>1459207.53512762</v>
          </cell>
          <cell r="F35">
            <v>1949967.5907465261</v>
          </cell>
          <cell r="G35">
            <v>3409175.1258741459</v>
          </cell>
          <cell r="H35">
            <v>1459207.53512762</v>
          </cell>
          <cell r="I35">
            <v>1949967.5907465261</v>
          </cell>
          <cell r="J35">
            <v>1.2335257599999998</v>
          </cell>
          <cell r="K35">
            <v>756994.23461075663</v>
          </cell>
        </row>
        <row r="36">
          <cell r="B36" t="str">
            <v>TWU</v>
          </cell>
          <cell r="C36">
            <v>11476034.973522253</v>
          </cell>
          <cell r="D36">
            <v>5738017.4867611267</v>
          </cell>
          <cell r="E36">
            <v>2683554.5877049631</v>
          </cell>
          <cell r="F36">
            <v>3054462.8990561636</v>
          </cell>
          <cell r="G36">
            <v>5738017.4867611267</v>
          </cell>
          <cell r="H36">
            <v>2683554.5877049631</v>
          </cell>
          <cell r="I36">
            <v>3054462.8990561636</v>
          </cell>
          <cell r="J36">
            <v>1.0506602800000002</v>
          </cell>
          <cell r="K36">
            <v>1185768.8381029789</v>
          </cell>
        </row>
        <row r="37">
          <cell r="B37" t="str">
            <v>Lamar</v>
          </cell>
          <cell r="C37">
            <v>10567161.268997066</v>
          </cell>
          <cell r="D37">
            <v>5283580.6344985329</v>
          </cell>
          <cell r="E37">
            <v>2648234.3619206231</v>
          </cell>
          <cell r="F37">
            <v>2635346.2725779093</v>
          </cell>
          <cell r="G37">
            <v>5283580.6344985329</v>
          </cell>
          <cell r="H37">
            <v>2648234.3619206231</v>
          </cell>
          <cell r="I37">
            <v>2635346.2725779093</v>
          </cell>
          <cell r="J37">
            <v>0.91858460999999991</v>
          </cell>
          <cell r="K37">
            <v>1023064.1493793651</v>
          </cell>
        </row>
        <row r="38">
          <cell r="B38" t="str">
            <v>Sam Houston</v>
          </cell>
          <cell r="C38">
            <v>15181113.590270456</v>
          </cell>
          <cell r="D38">
            <v>7590556.795135228</v>
          </cell>
          <cell r="E38">
            <v>3562081.3122848826</v>
          </cell>
          <cell r="F38">
            <v>4028475.4828503453</v>
          </cell>
          <cell r="G38">
            <v>7590556.795135228</v>
          </cell>
          <cell r="H38">
            <v>3562081.3122848826</v>
          </cell>
          <cell r="I38">
            <v>4028475.4828503453</v>
          </cell>
          <cell r="J38">
            <v>1.0439381999999999</v>
          </cell>
          <cell r="K38">
            <v>1563888.9226979467</v>
          </cell>
        </row>
        <row r="39">
          <cell r="B39" t="str">
            <v>TxStU-SM</v>
          </cell>
          <cell r="C39">
            <v>29555589.025835741</v>
          </cell>
          <cell r="D39">
            <v>14777794.512917871</v>
          </cell>
          <cell r="E39">
            <v>6649786.6955529982</v>
          </cell>
          <cell r="F39">
            <v>8128007.8173648724</v>
          </cell>
          <cell r="G39">
            <v>14777794.512917871</v>
          </cell>
          <cell r="H39">
            <v>6649786.6955529982</v>
          </cell>
          <cell r="I39">
            <v>8128007.8173648724</v>
          </cell>
          <cell r="J39">
            <v>1.1282732500000001</v>
          </cell>
          <cell r="K39">
            <v>3155362.7279829853</v>
          </cell>
        </row>
        <row r="40">
          <cell r="B40" t="str">
            <v>Sul Ross</v>
          </cell>
          <cell r="C40">
            <v>3359581.6448495379</v>
          </cell>
          <cell r="D40">
            <v>1679790.8224247689</v>
          </cell>
          <cell r="E40">
            <v>601522.76901936834</v>
          </cell>
          <cell r="F40">
            <v>1078268.0534054006</v>
          </cell>
          <cell r="G40">
            <v>1679790.8224247689</v>
          </cell>
          <cell r="H40">
            <v>601522.76901936834</v>
          </cell>
          <cell r="I40">
            <v>1078268.0534054006</v>
          </cell>
          <cell r="J40">
            <v>1.6546744499999999</v>
          </cell>
          <cell r="K40">
            <v>418592.95696312626</v>
          </cell>
        </row>
        <row r="41">
          <cell r="B41" t="str">
            <v>Sul Ross - RG</v>
          </cell>
          <cell r="C41">
            <v>344152.88510861818</v>
          </cell>
          <cell r="D41">
            <v>172076.44255430909</v>
          </cell>
          <cell r="E41">
            <v>172076.44255430909</v>
          </cell>
          <cell r="F41">
            <v>0</v>
          </cell>
          <cell r="G41">
            <v>172076.44255430909</v>
          </cell>
          <cell r="H41">
            <v>172076.44255430909</v>
          </cell>
          <cell r="I41">
            <v>0</v>
          </cell>
          <cell r="J41">
            <v>0</v>
          </cell>
          <cell r="K41">
            <v>0</v>
          </cell>
        </row>
        <row r="42">
          <cell r="B42" t="str">
            <v>TAMU-CVM</v>
          </cell>
          <cell r="C42">
            <v>6459323.375</v>
          </cell>
          <cell r="D42">
            <v>3229661.6875</v>
          </cell>
          <cell r="E42">
            <v>3229661.6875</v>
          </cell>
          <cell r="G42">
            <v>3229661.6875</v>
          </cell>
          <cell r="H42">
            <v>3229661.6875</v>
          </cell>
        </row>
        <row r="43">
          <cell r="B43" t="str">
            <v>Total Universities</v>
          </cell>
          <cell r="C43">
            <v>628335249.85523474</v>
          </cell>
          <cell r="D43">
            <v>314167624.92761737</v>
          </cell>
          <cell r="E43">
            <v>143658962.75088418</v>
          </cell>
          <cell r="F43">
            <v>169106988.17673308</v>
          </cell>
          <cell r="G43">
            <v>314167624.92761737</v>
          </cell>
          <cell r="H43">
            <v>143658962.75088418</v>
          </cell>
          <cell r="I43">
            <v>169106988.17673308</v>
          </cell>
          <cell r="K43">
            <v>65648791.133583836</v>
          </cell>
        </row>
        <row r="44">
          <cell r="B44" t="str">
            <v>TSTC-Harlingen</v>
          </cell>
          <cell r="C44">
            <v>5280450.5362915322</v>
          </cell>
          <cell r="D44">
            <v>2640225.2681457661</v>
          </cell>
          <cell r="E44">
            <v>1040611.9281960414</v>
          </cell>
          <cell r="F44">
            <v>1599613.339949725</v>
          </cell>
          <cell r="G44">
            <v>2640225.2681457661</v>
          </cell>
          <cell r="H44">
            <v>1040611.9281960414</v>
          </cell>
          <cell r="I44">
            <v>1599613.339949725</v>
          </cell>
          <cell r="J44">
            <v>1.4189402599999998</v>
          </cell>
          <cell r="K44">
            <v>620983.69311092887</v>
          </cell>
        </row>
        <row r="45">
          <cell r="B45" t="str">
            <v>TSTC-West Texas</v>
          </cell>
          <cell r="C45">
            <v>2266189.1170991128</v>
          </cell>
          <cell r="D45">
            <v>1133094.5585495564</v>
          </cell>
          <cell r="E45">
            <v>342316.13109345734</v>
          </cell>
          <cell r="F45">
            <v>790778.42745609919</v>
          </cell>
          <cell r="G45">
            <v>1133094.5585495564</v>
          </cell>
          <cell r="H45">
            <v>342316.13109345734</v>
          </cell>
          <cell r="I45">
            <v>790778.42745609919</v>
          </cell>
          <cell r="J45">
            <v>2.13238364</v>
          </cell>
          <cell r="K45">
            <v>306987.00495306886</v>
          </cell>
        </row>
        <row r="46">
          <cell r="B46" t="str">
            <v>TSTC-Marshall</v>
          </cell>
          <cell r="C46">
            <v>788621.28418724553</v>
          </cell>
          <cell r="D46">
            <v>394310.64209362277</v>
          </cell>
          <cell r="E46">
            <v>198982.20301786024</v>
          </cell>
          <cell r="F46">
            <v>195328.43907576252</v>
          </cell>
          <cell r="G46">
            <v>394310.64209362277</v>
          </cell>
          <cell r="H46">
            <v>198982.20301786024</v>
          </cell>
          <cell r="I46">
            <v>195328.43907576252</v>
          </cell>
          <cell r="J46">
            <v>0.90612714000000005</v>
          </cell>
          <cell r="K46">
            <v>75828.184497806418</v>
          </cell>
        </row>
        <row r="47">
          <cell r="B47" t="str">
            <v>TSTC-Waco</v>
          </cell>
          <cell r="C47">
            <v>7258481.7088005599</v>
          </cell>
          <cell r="D47">
            <v>3629240.8544002799</v>
          </cell>
          <cell r="E47">
            <v>1474938.368955266</v>
          </cell>
          <cell r="F47">
            <v>2154302.4854450142</v>
          </cell>
          <cell r="G47">
            <v>3629240.8544002799</v>
          </cell>
          <cell r="H47">
            <v>1474938.368955266</v>
          </cell>
          <cell r="I47">
            <v>2154302.4854450142</v>
          </cell>
          <cell r="J47">
            <v>1.3482508500000001</v>
          </cell>
          <cell r="K47">
            <v>836318.80285003362</v>
          </cell>
        </row>
        <row r="48">
          <cell r="B48" t="str">
            <v>Lamar-IOT</v>
          </cell>
          <cell r="C48">
            <v>2177034.3285536775</v>
          </cell>
          <cell r="D48">
            <v>1088517.1642768388</v>
          </cell>
          <cell r="E48">
            <v>596659.48082407913</v>
          </cell>
          <cell r="F48">
            <v>491857.68345275958</v>
          </cell>
          <cell r="G48">
            <v>1088517.1642768388</v>
          </cell>
          <cell r="H48">
            <v>596659.48082407913</v>
          </cell>
          <cell r="I48">
            <v>491857.68345275958</v>
          </cell>
          <cell r="J48">
            <v>0.76094068999999998</v>
          </cell>
          <cell r="K48">
            <v>190943.39433620911</v>
          </cell>
        </row>
        <row r="49">
          <cell r="B49" t="str">
            <v>Lamar-Orange</v>
          </cell>
          <cell r="C49">
            <v>1896543.1267362759</v>
          </cell>
          <cell r="D49">
            <v>948271.56336813793</v>
          </cell>
          <cell r="E49">
            <v>443748.56014510535</v>
          </cell>
          <cell r="F49">
            <v>504523.00322303263</v>
          </cell>
          <cell r="G49">
            <v>948271.56336813793</v>
          </cell>
          <cell r="H49">
            <v>443748.56014510535</v>
          </cell>
          <cell r="I49">
            <v>504523.00322303263</v>
          </cell>
          <cell r="J49">
            <v>1.0494987099999999</v>
          </cell>
          <cell r="K49">
            <v>195860.18069260585</v>
          </cell>
        </row>
        <row r="50">
          <cell r="B50" t="str">
            <v>Lamar-Port Arthur</v>
          </cell>
          <cell r="C50">
            <v>2209188.043096737</v>
          </cell>
          <cell r="D50">
            <v>1104594.0215483685</v>
          </cell>
          <cell r="E50">
            <v>523516.20297679433</v>
          </cell>
          <cell r="F50">
            <v>581077.81857157417</v>
          </cell>
          <cell r="G50">
            <v>1104594.0215483685</v>
          </cell>
          <cell r="H50">
            <v>523516.20297679433</v>
          </cell>
          <cell r="I50">
            <v>581077.81857157417</v>
          </cell>
          <cell r="J50">
            <v>1.0245710100000001</v>
          </cell>
          <cell r="K50">
            <v>225579.42019460743</v>
          </cell>
        </row>
        <row r="51">
          <cell r="B51" t="str">
            <v>Total TSTC and Lamar</v>
          </cell>
          <cell r="C51">
            <v>21876508.144765139</v>
          </cell>
          <cell r="D51">
            <v>10938254.072382569</v>
          </cell>
          <cell r="E51">
            <v>4620772.8752086032</v>
          </cell>
          <cell r="F51">
            <v>6317481.197173967</v>
          </cell>
          <cell r="G51">
            <v>10938254.072382569</v>
          </cell>
          <cell r="H51">
            <v>4620772.8752086032</v>
          </cell>
          <cell r="I51">
            <v>6317481.197173967</v>
          </cell>
          <cell r="K51">
            <v>2452500.68063526</v>
          </cell>
        </row>
        <row r="52">
          <cell r="B52" t="str">
            <v>Formula Total</v>
          </cell>
          <cell r="C52">
            <v>650211758</v>
          </cell>
          <cell r="D52">
            <v>325105879</v>
          </cell>
          <cell r="E52">
            <v>148279735.62609279</v>
          </cell>
          <cell r="F52">
            <v>175424469.37390703</v>
          </cell>
          <cell r="G52">
            <v>325105879</v>
          </cell>
          <cell r="H52">
            <v>148279735.62609279</v>
          </cell>
          <cell r="I52">
            <v>175424469.37390703</v>
          </cell>
          <cell r="K52">
            <v>68101291.814219102</v>
          </cell>
        </row>
        <row r="54">
          <cell r="B54" t="str">
            <v>Small Institution Set-Aside</v>
          </cell>
          <cell r="C54">
            <v>26628150</v>
          </cell>
          <cell r="D54" t="str">
            <v>Not included in Table Above</v>
          </cell>
        </row>
        <row r="55">
          <cell r="B55" t="str">
            <v>TAMUG Set-Aside</v>
          </cell>
          <cell r="C55">
            <v>2803348</v>
          </cell>
          <cell r="D55" t="str">
            <v>Added to TAMUG's Annual amount in table above</v>
          </cell>
        </row>
        <row r="56">
          <cell r="B56" t="str">
            <v>Total Appropriation</v>
          </cell>
          <cell r="C56">
            <v>676839908</v>
          </cell>
        </row>
        <row r="57">
          <cell r="B57" t="str">
            <v/>
          </cell>
          <cell r="C57" t="str">
            <v>Rates</v>
          </cell>
          <cell r="D57">
            <v>4.9537202571176158</v>
          </cell>
          <cell r="E57">
            <v>2.3777857234164554</v>
          </cell>
          <cell r="F57">
            <v>2.5759345337011603</v>
          </cell>
          <cell r="G57">
            <v>4.9537202571176158</v>
          </cell>
          <cell r="H57">
            <v>2.3777857234164554</v>
          </cell>
          <cell r="I57">
            <v>2.5759345337011603</v>
          </cell>
          <cell r="J57" t="str">
            <v>HRI Rate3</v>
          </cell>
          <cell r="K57">
            <v>6.25</v>
          </cell>
        </row>
        <row r="58">
          <cell r="C58" t="str">
            <v>Percentages2</v>
          </cell>
          <cell r="D58">
            <v>1</v>
          </cell>
          <cell r="E58">
            <v>0.48</v>
          </cell>
          <cell r="F58">
            <v>0.52</v>
          </cell>
          <cell r="G58">
            <v>1</v>
          </cell>
          <cell r="H58">
            <v>0.52</v>
          </cell>
          <cell r="I58">
            <v>0.48</v>
          </cell>
        </row>
        <row r="59">
          <cell r="D59">
            <v>5.8541475290984097</v>
          </cell>
          <cell r="E59">
            <v>0.90042727198079398</v>
          </cell>
        </row>
        <row r="68">
          <cell r="C68" t="str">
            <v>FY 2012 - FY 2013 Total</v>
          </cell>
          <cell r="D68" t="str">
            <v>FY 2012</v>
          </cell>
          <cell r="E68" t="str">
            <v>O&amp;M 
Funding</v>
          </cell>
          <cell r="F68" t="str">
            <v>Utility 
Funding</v>
          </cell>
          <cell r="G68" t="str">
            <v>FY 2013</v>
          </cell>
          <cell r="H68" t="str">
            <v>O&amp;M 
Funding</v>
          </cell>
          <cell r="I68" t="str">
            <v>Utility 
Funding</v>
          </cell>
          <cell r="J68" t="str">
            <v>Utility Rate Adjustment</v>
          </cell>
          <cell r="K68" t="str">
            <v>Adjusted Utility Square Feet</v>
          </cell>
        </row>
        <row r="69">
          <cell r="B69" t="str">
            <v>Texas Engineering Experiment Station (TEES)</v>
          </cell>
          <cell r="C69">
            <v>7933803.3100056592</v>
          </cell>
          <cell r="D69">
            <v>3966901.6550028296</v>
          </cell>
          <cell r="E69">
            <v>1902261.8677332923</v>
          </cell>
          <cell r="F69">
            <v>2064639.7872695373</v>
          </cell>
          <cell r="G69">
            <v>3966901.6550028296</v>
          </cell>
          <cell r="H69">
            <v>1902261.8677332923</v>
          </cell>
          <cell r="I69">
            <v>2064639.7872695373</v>
          </cell>
          <cell r="J69">
            <v>1.00187118</v>
          </cell>
          <cell r="K69">
            <v>801510.97019651998</v>
          </cell>
        </row>
        <row r="70">
          <cell r="B70" t="str">
            <v>Texas Engineering Extension Service (TEEX)</v>
          </cell>
          <cell r="C70">
            <v>2895728.0293867262</v>
          </cell>
          <cell r="D70">
            <v>1447864.0146933631</v>
          </cell>
          <cell r="E70">
            <v>694299.16452326451</v>
          </cell>
          <cell r="F70">
            <v>753564.85017009871</v>
          </cell>
          <cell r="G70">
            <v>1447864.0146933631</v>
          </cell>
          <cell r="H70">
            <v>694299.16452326451</v>
          </cell>
          <cell r="I70">
            <v>753564.85017009871</v>
          </cell>
          <cell r="J70">
            <v>1.00187118</v>
          </cell>
          <cell r="K70">
            <v>292540.37333292002</v>
          </cell>
        </row>
        <row r="71">
          <cell r="B71" t="str">
            <v>Texas Transportation Institute (TTI)</v>
          </cell>
          <cell r="C71">
            <v>3351318.7116268617</v>
          </cell>
          <cell r="D71">
            <v>1675659.3558134309</v>
          </cell>
          <cell r="E71">
            <v>803534.64065701643</v>
          </cell>
          <cell r="F71">
            <v>872124.71515641443</v>
          </cell>
          <cell r="G71">
            <v>1675659.3558134309</v>
          </cell>
          <cell r="H71">
            <v>803534.64065701643</v>
          </cell>
          <cell r="I71">
            <v>872124.71515641443</v>
          </cell>
          <cell r="J71">
            <v>1.00187118</v>
          </cell>
          <cell r="K71">
            <v>338566.33534211997</v>
          </cell>
        </row>
        <row r="72">
          <cell r="B72" t="str">
            <v>Texas AgriLife Research (TAES)</v>
          </cell>
          <cell r="C72">
            <v>10000274.977654513</v>
          </cell>
          <cell r="D72">
            <v>5000137.4888272565</v>
          </cell>
          <cell r="E72">
            <v>2397732.9678501962</v>
          </cell>
          <cell r="F72">
            <v>2602404.5209770598</v>
          </cell>
          <cell r="G72">
            <v>5000137.4888272565</v>
          </cell>
          <cell r="H72">
            <v>2397732.9678501962</v>
          </cell>
          <cell r="I72">
            <v>2602404.5209770598</v>
          </cell>
          <cell r="J72">
            <v>1.00187118</v>
          </cell>
          <cell r="K72">
            <v>1010275.8773290199</v>
          </cell>
        </row>
        <row r="73">
          <cell r="B73" t="str">
            <v>Texas AgriLife Extension Service (TAEX)</v>
          </cell>
          <cell r="C73">
            <v>1285997.4253262866</v>
          </cell>
          <cell r="D73">
            <v>642998.71266314329</v>
          </cell>
          <cell r="E73">
            <v>308339.36368402885</v>
          </cell>
          <cell r="F73">
            <v>334659.34897911444</v>
          </cell>
          <cell r="G73">
            <v>642998.71266314329</v>
          </cell>
          <cell r="H73">
            <v>308339.36368402885</v>
          </cell>
          <cell r="I73">
            <v>334659.34897911444</v>
          </cell>
          <cell r="J73">
            <v>1.00187118</v>
          </cell>
          <cell r="K73">
            <v>129917.6452665</v>
          </cell>
        </row>
        <row r="74">
          <cell r="B74" t="str">
            <v>Texas Vet. Med. Diagnostic Lab. (TVMDL)4</v>
          </cell>
          <cell r="C74">
            <v>984567.76083588763</v>
          </cell>
          <cell r="D74">
            <v>492283.88041794382</v>
          </cell>
          <cell r="E74">
            <v>236066.56662078568</v>
          </cell>
          <cell r="F74">
            <v>256217.31379715813</v>
          </cell>
          <cell r="G74">
            <v>492283.88041794382</v>
          </cell>
          <cell r="H74">
            <v>236066.56662078568</v>
          </cell>
          <cell r="I74">
            <v>256217.31379715813</v>
          </cell>
          <cell r="J74">
            <v>1.00187118</v>
          </cell>
          <cell r="K74">
            <v>99465.770750399999</v>
          </cell>
        </row>
        <row r="75">
          <cell r="B75" t="str">
            <v>Texas Forest Service (TFS)</v>
          </cell>
          <cell r="C75">
            <v>210995.80660298493</v>
          </cell>
          <cell r="D75">
            <v>105497.90330149246</v>
          </cell>
          <cell r="E75">
            <v>50589.769051408504</v>
          </cell>
          <cell r="F75">
            <v>54908.13425008396</v>
          </cell>
          <cell r="G75">
            <v>105497.90330149246</v>
          </cell>
          <cell r="H75">
            <v>50589.769051408504</v>
          </cell>
          <cell r="I75">
            <v>54908.13425008396</v>
          </cell>
          <cell r="J75">
            <v>1.00187118</v>
          </cell>
          <cell r="K75">
            <v>21315.811225679998</v>
          </cell>
        </row>
        <row r="76">
          <cell r="B76" t="str">
            <v>Total</v>
          </cell>
          <cell r="C76">
            <v>26662686.021438919</v>
          </cell>
          <cell r="D76">
            <v>13331343.01071946</v>
          </cell>
          <cell r="E76">
            <v>6392824.3401199915</v>
          </cell>
          <cell r="F76">
            <v>6938518.6705994671</v>
          </cell>
          <cell r="G76">
            <v>13331343.01071946</v>
          </cell>
          <cell r="H76">
            <v>6392824.3401199915</v>
          </cell>
          <cell r="I76">
            <v>6938518.6705994671</v>
          </cell>
          <cell r="K76">
            <v>2693592.7834431599</v>
          </cell>
        </row>
      </sheetData>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NACUBO"/>
      <sheetName val="Funding Levels"/>
      <sheetName val="I and O"/>
      <sheetName val="OBF"/>
      <sheetName val="SCH"/>
      <sheetName val="Cost Study"/>
      <sheetName val="Infrastructure"/>
      <sheetName val="Utilities"/>
      <sheetName val="TAMUG"/>
      <sheetName val="SIS"/>
      <sheetName val="Comparison"/>
      <sheetName val="Law VM Tuition"/>
      <sheetName val="Growth"/>
      <sheetName val="CPI"/>
    </sheetNames>
    <sheetDataSet>
      <sheetData sheetId="0"/>
      <sheetData sheetId="1"/>
      <sheetData sheetId="2"/>
      <sheetData sheetId="3"/>
      <sheetData sheetId="4"/>
      <sheetData sheetId="5"/>
      <sheetData sheetId="6"/>
      <sheetData sheetId="7">
        <row r="3">
          <cell r="A3" t="str">
            <v>Institution</v>
          </cell>
          <cell r="C3" t="str">
            <v>FY 2014 - FY 2015 Total</v>
          </cell>
          <cell r="D3" t="str">
            <v>FY 2014</v>
          </cell>
          <cell r="E3" t="str">
            <v>O&amp;M 
Funding</v>
          </cell>
          <cell r="F3" t="str">
            <v>Utility 
Funding</v>
          </cell>
          <cell r="G3" t="str">
            <v>FY 2015</v>
          </cell>
          <cell r="H3" t="str">
            <v>O&amp;M 
Funding</v>
          </cell>
          <cell r="I3" t="str">
            <v>Utility 
Funding</v>
          </cell>
          <cell r="J3" t="str">
            <v>Utility Rate Adjustment</v>
          </cell>
          <cell r="K3" t="str">
            <v>Adjusted Utility Square Feet</v>
          </cell>
          <cell r="L3" t="str">
            <v xml:space="preserve">Predicted
Square Feet1 </v>
          </cell>
        </row>
        <row r="4">
          <cell r="B4" t="str">
            <v>UT-Arlington</v>
          </cell>
          <cell r="C4">
            <v>31807080.209555022</v>
          </cell>
          <cell r="D4">
            <v>15903540.104777511</v>
          </cell>
          <cell r="E4">
            <v>8447924.4938445706</v>
          </cell>
          <cell r="F4">
            <v>7455615.6109329397</v>
          </cell>
          <cell r="G4">
            <v>15903540.104777511</v>
          </cell>
          <cell r="H4">
            <v>8447924.4938445706</v>
          </cell>
          <cell r="I4">
            <v>7455615.6109329397</v>
          </cell>
          <cell r="J4">
            <v>0.97647769000000006</v>
          </cell>
          <cell r="K4">
            <v>2746908.8837075103</v>
          </cell>
        </row>
        <row r="5">
          <cell r="B5" t="str">
            <v>UT-Austin</v>
          </cell>
          <cell r="C5">
            <v>118011935.5017083</v>
          </cell>
          <cell r="D5">
            <v>59005967.750854149</v>
          </cell>
          <cell r="E5">
            <v>30423926.699605692</v>
          </cell>
          <cell r="F5">
            <v>28582041.051248457</v>
          </cell>
          <cell r="G5">
            <v>59005967.750854149</v>
          </cell>
          <cell r="H5">
            <v>30423926.699605692</v>
          </cell>
          <cell r="I5">
            <v>28582041.051248457</v>
          </cell>
          <cell r="J5">
            <v>1.0394576799999999</v>
          </cell>
          <cell r="K5">
            <v>10530621.021158399</v>
          </cell>
        </row>
        <row r="6">
          <cell r="B6" t="str">
            <v>UT-Dallas</v>
          </cell>
          <cell r="C6">
            <v>25853817.889887951</v>
          </cell>
          <cell r="D6">
            <v>12926908.944943976</v>
          </cell>
          <cell r="E6">
            <v>6945551.5160211297</v>
          </cell>
          <cell r="F6">
            <v>5981357.428922846</v>
          </cell>
          <cell r="G6">
            <v>12926908.944943976</v>
          </cell>
          <cell r="H6">
            <v>6945551.5160211297</v>
          </cell>
          <cell r="I6">
            <v>5981357.428922846</v>
          </cell>
          <cell r="J6">
            <v>0.95284411999999996</v>
          </cell>
          <cell r="K6">
            <v>2203740.7392683597</v>
          </cell>
        </row>
        <row r="7">
          <cell r="B7" t="str">
            <v>UT-El Paso</v>
          </cell>
          <cell r="C7">
            <v>24665595.778528862</v>
          </cell>
          <cell r="D7">
            <v>12332797.889264431</v>
          </cell>
          <cell r="E7">
            <v>6677420.7815366331</v>
          </cell>
          <cell r="F7">
            <v>5655377.1077277968</v>
          </cell>
          <cell r="G7">
            <v>12332797.889264431</v>
          </cell>
          <cell r="H7">
            <v>6677420.7815366331</v>
          </cell>
          <cell r="I7">
            <v>5655377.1077277968</v>
          </cell>
          <cell r="J7">
            <v>0.93709078000000001</v>
          </cell>
          <cell r="K7">
            <v>2083638.21696404</v>
          </cell>
        </row>
        <row r="8">
          <cell r="B8" t="str">
            <v>UT-Pan American</v>
          </cell>
          <cell r="C8">
            <v>17906809.314481311</v>
          </cell>
          <cell r="D8">
            <v>8953404.6572406553</v>
          </cell>
          <cell r="E8">
            <v>4705523.96494467</v>
          </cell>
          <cell r="F8">
            <v>4247880.6922959853</v>
          </cell>
          <cell r="G8">
            <v>8953404.6572406553</v>
          </cell>
          <cell r="H8">
            <v>4705523.96494467</v>
          </cell>
          <cell r="I8">
            <v>4247880.6922959853</v>
          </cell>
          <cell r="J8">
            <v>0.99883363999999997</v>
          </cell>
          <cell r="K8">
            <v>1565067.4363477998</v>
          </cell>
        </row>
        <row r="9">
          <cell r="B9" t="str">
            <v>UT-Brownsville</v>
          </cell>
          <cell r="C9">
            <v>7272866.8572981711</v>
          </cell>
          <cell r="D9">
            <v>3636433.4286490856</v>
          </cell>
          <cell r="E9">
            <v>2069536.2248945273</v>
          </cell>
          <cell r="F9">
            <v>1566897.203754558</v>
          </cell>
          <cell r="G9">
            <v>3636433.4286490856</v>
          </cell>
          <cell r="H9">
            <v>2069536.2248945273</v>
          </cell>
          <cell r="I9">
            <v>1566897.203754558</v>
          </cell>
          <cell r="J9">
            <v>0.83771503999999997</v>
          </cell>
          <cell r="K9">
            <v>577299.59180544002</v>
          </cell>
        </row>
        <row r="10">
          <cell r="B10" t="str">
            <v>UT-Permian Basin</v>
          </cell>
          <cell r="C10">
            <v>3544603.8918381473</v>
          </cell>
          <cell r="D10">
            <v>1772301.9459190737</v>
          </cell>
          <cell r="E10">
            <v>921470.60200433829</v>
          </cell>
          <cell r="F10">
            <v>850831.34391473536</v>
          </cell>
          <cell r="G10">
            <v>1772301.9459190737</v>
          </cell>
          <cell r="H10">
            <v>921470.60200433829</v>
          </cell>
          <cell r="I10">
            <v>850831.34391473536</v>
          </cell>
          <cell r="J10">
            <v>1.0216234100000001</v>
          </cell>
          <cell r="K10">
            <v>313475.94874781003</v>
          </cell>
        </row>
        <row r="11">
          <cell r="B11" t="str">
            <v>UT-San Antonio</v>
          </cell>
          <cell r="C11">
            <v>30837556.348135367</v>
          </cell>
          <cell r="D11">
            <v>15418778.174067684</v>
          </cell>
          <cell r="E11">
            <v>8248041.9429507628</v>
          </cell>
          <cell r="F11">
            <v>7170736.2311169207</v>
          </cell>
          <cell r="G11">
            <v>15418778.174067684</v>
          </cell>
          <cell r="H11">
            <v>8248041.9429507628</v>
          </cell>
          <cell r="I11">
            <v>7170736.2311169207</v>
          </cell>
          <cell r="J11">
            <v>0.9619261400000001</v>
          </cell>
          <cell r="K11">
            <v>2641949.3820328005</v>
          </cell>
        </row>
        <row r="12">
          <cell r="B12" t="str">
            <v>UT-Tyler</v>
          </cell>
          <cell r="C12">
            <v>6501496.805446472</v>
          </cell>
          <cell r="D12">
            <v>3250748.402723236</v>
          </cell>
          <cell r="E12">
            <v>1762218.1918236145</v>
          </cell>
          <cell r="F12">
            <v>1488530.2108996217</v>
          </cell>
          <cell r="G12">
            <v>3250748.402723236</v>
          </cell>
          <cell r="H12">
            <v>1762218.1918236145</v>
          </cell>
          <cell r="I12">
            <v>1488530.2108996217</v>
          </cell>
          <cell r="J12">
            <v>0.93460222999999998</v>
          </cell>
          <cell r="K12">
            <v>548426.45776846004</v>
          </cell>
        </row>
        <row r="13">
          <cell r="B13" t="str">
            <v>TAMU</v>
          </cell>
          <cell r="C13">
            <v>73035527.867271066</v>
          </cell>
          <cell r="D13">
            <v>36517763.933635533</v>
          </cell>
          <cell r="E13">
            <v>19260411.605443515</v>
          </cell>
          <cell r="F13">
            <v>17257352.328192022</v>
          </cell>
          <cell r="G13">
            <v>36517763.933635533</v>
          </cell>
          <cell r="H13">
            <v>19260411.605443515</v>
          </cell>
          <cell r="I13">
            <v>17257352.328192022</v>
          </cell>
          <cell r="J13">
            <v>0.99137381000000002</v>
          </cell>
          <cell r="K13">
            <v>6358210.6285183504</v>
          </cell>
        </row>
        <row r="14">
          <cell r="B14" t="str">
            <v>TAMU-Galveston</v>
          </cell>
          <cell r="C14">
            <v>5014329.727057917</v>
          </cell>
          <cell r="D14">
            <v>2507164.8635289585</v>
          </cell>
          <cell r="E14">
            <v>1252051.7518960969</v>
          </cell>
          <cell r="F14">
            <v>1255113.1116328614</v>
          </cell>
          <cell r="G14">
            <v>2507164.8635289585</v>
          </cell>
          <cell r="H14">
            <v>1252051.7518960969</v>
          </cell>
          <cell r="I14">
            <v>1255113.1116328614</v>
          </cell>
          <cell r="J14">
            <v>1.1091478100000001</v>
          </cell>
          <cell r="K14">
            <v>462427.45553383837</v>
          </cell>
        </row>
        <row r="15">
          <cell r="B15" t="str">
            <v>Prairie View</v>
          </cell>
          <cell r="C15">
            <v>10018161.925815467</v>
          </cell>
          <cell r="D15">
            <v>5009080.9629077334</v>
          </cell>
          <cell r="E15">
            <v>2697151.6384568824</v>
          </cell>
          <cell r="F15">
            <v>2311929.3244508514</v>
          </cell>
          <cell r="G15">
            <v>5009080.9629077334</v>
          </cell>
          <cell r="H15">
            <v>2697151.6384568824</v>
          </cell>
          <cell r="I15">
            <v>2311929.3244508514</v>
          </cell>
          <cell r="J15">
            <v>0.94841416000000001</v>
          </cell>
          <cell r="K15">
            <v>851795.41586416005</v>
          </cell>
        </row>
        <row r="16">
          <cell r="B16" t="str">
            <v>Tarleton</v>
          </cell>
          <cell r="C16">
            <v>10206654.77763319</v>
          </cell>
          <cell r="D16">
            <v>5103327.3888165951</v>
          </cell>
          <cell r="E16">
            <v>2575730.7742951852</v>
          </cell>
          <cell r="F16">
            <v>2527596.6145214094</v>
          </cell>
          <cell r="G16">
            <v>5103327.3888165951</v>
          </cell>
          <cell r="H16">
            <v>2575730.7742951852</v>
          </cell>
          <cell r="I16">
            <v>2527596.6145214094</v>
          </cell>
          <cell r="J16">
            <v>1.08576575</v>
          </cell>
          <cell r="K16">
            <v>931254.76918049995</v>
          </cell>
        </row>
        <row r="17">
          <cell r="B17" t="str">
            <v>TAMU-Central</v>
          </cell>
          <cell r="C17">
            <v>1709348.3130202568</v>
          </cell>
          <cell r="D17">
            <v>854674.15651012841</v>
          </cell>
          <cell r="E17">
            <v>448637.3599832881</v>
          </cell>
          <cell r="F17">
            <v>406036.79652684031</v>
          </cell>
          <cell r="G17">
            <v>854674.15651012841</v>
          </cell>
          <cell r="H17">
            <v>448637.3599832881</v>
          </cell>
          <cell r="I17">
            <v>406036.79652684031</v>
          </cell>
          <cell r="J17">
            <v>1.00137973</v>
          </cell>
          <cell r="K17">
            <v>149598.12062416002</v>
          </cell>
        </row>
        <row r="18">
          <cell r="B18" t="str">
            <v>TAMU-CC</v>
          </cell>
          <cell r="C18">
            <v>12273085.966621902</v>
          </cell>
          <cell r="D18">
            <v>6136542.9833109509</v>
          </cell>
          <cell r="E18">
            <v>2895163.2653703592</v>
          </cell>
          <cell r="F18">
            <v>3241379.7179405917</v>
          </cell>
          <cell r="G18">
            <v>6136542.9833109509</v>
          </cell>
          <cell r="H18">
            <v>2895163.2653703592</v>
          </cell>
          <cell r="I18">
            <v>3241379.7179405917</v>
          </cell>
          <cell r="J18">
            <v>1.23875577</v>
          </cell>
          <cell r="K18">
            <v>1194237.36513774</v>
          </cell>
        </row>
        <row r="19">
          <cell r="B19" t="str">
            <v>TAMU-Kingsville</v>
          </cell>
          <cell r="C19">
            <v>9757393.959249109</v>
          </cell>
          <cell r="D19">
            <v>4878696.9796245545</v>
          </cell>
          <cell r="E19">
            <v>2316759.4589760327</v>
          </cell>
          <cell r="F19">
            <v>2561937.5206485218</v>
          </cell>
          <cell r="G19">
            <v>4878696.9796245545</v>
          </cell>
          <cell r="H19">
            <v>2316759.4589760327</v>
          </cell>
          <cell r="I19">
            <v>2561937.5206485218</v>
          </cell>
          <cell r="J19">
            <v>1.2235350899999999</v>
          </cell>
          <cell r="K19">
            <v>943907.15699630999</v>
          </cell>
        </row>
        <row r="20">
          <cell r="B20" t="str">
            <v>TAMU-San Antonio</v>
          </cell>
          <cell r="C20">
            <v>3290461.7972570127</v>
          </cell>
          <cell r="D20">
            <v>1645230.8986285063</v>
          </cell>
          <cell r="E20">
            <v>762294.91235191911</v>
          </cell>
          <cell r="F20">
            <v>882935.98627658735</v>
          </cell>
          <cell r="G20">
            <v>1645230.8986285063</v>
          </cell>
          <cell r="H20">
            <v>762294.91235191911</v>
          </cell>
          <cell r="I20">
            <v>882935.98627658735</v>
          </cell>
          <cell r="J20">
            <v>1.2815484700000002</v>
          </cell>
          <cell r="K20">
            <v>325304.41897939006</v>
          </cell>
        </row>
        <row r="21">
          <cell r="B21" t="str">
            <v>TAMI</v>
          </cell>
          <cell r="C21">
            <v>6776232.8558748756</v>
          </cell>
          <cell r="D21">
            <v>3388116.4279374378</v>
          </cell>
          <cell r="E21">
            <v>1642698.2825247573</v>
          </cell>
          <cell r="F21">
            <v>1745418.1454126807</v>
          </cell>
          <cell r="G21">
            <v>3388116.4279374378</v>
          </cell>
          <cell r="H21">
            <v>1642698.2825247573</v>
          </cell>
          <cell r="I21">
            <v>1745418.1454126807</v>
          </cell>
          <cell r="J21">
            <v>1.17562963</v>
          </cell>
          <cell r="K21">
            <v>643072.93449888995</v>
          </cell>
        </row>
        <row r="22">
          <cell r="B22" t="str">
            <v>WTAMU</v>
          </cell>
          <cell r="C22">
            <v>7179148.812675735</v>
          </cell>
          <cell r="D22">
            <v>3589574.4063378675</v>
          </cell>
          <cell r="E22">
            <v>2159061.2887430722</v>
          </cell>
          <cell r="F22">
            <v>1430513.1175947953</v>
          </cell>
          <cell r="G22">
            <v>3589574.4063378675</v>
          </cell>
          <cell r="H22">
            <v>2159061.2887430722</v>
          </cell>
          <cell r="I22">
            <v>1430513.1175947953</v>
          </cell>
          <cell r="J22">
            <v>0.73308732999999993</v>
          </cell>
          <cell r="K22">
            <v>527050.93664150999</v>
          </cell>
        </row>
        <row r="23">
          <cell r="B23" t="str">
            <v>TAMU-Commerce</v>
          </cell>
          <cell r="C23">
            <v>9707455.9245321043</v>
          </cell>
          <cell r="D23">
            <v>4853727.9622660521</v>
          </cell>
          <cell r="E23">
            <v>2365235.3095225827</v>
          </cell>
          <cell r="F23">
            <v>2488492.6527434699</v>
          </cell>
          <cell r="G23">
            <v>4853727.9622660521</v>
          </cell>
          <cell r="H23">
            <v>2365235.3095225827</v>
          </cell>
          <cell r="I23">
            <v>2488492.6527434699</v>
          </cell>
          <cell r="J23">
            <v>1.1641014999999999</v>
          </cell>
          <cell r="K23">
            <v>916847.50550149987</v>
          </cell>
        </row>
        <row r="24">
          <cell r="B24" t="str">
            <v>TAMU-Texarkana</v>
          </cell>
          <cell r="C24">
            <v>1858593.730301199</v>
          </cell>
          <cell r="D24">
            <v>929296.86515059951</v>
          </cell>
          <cell r="E24">
            <v>492917.89624328585</v>
          </cell>
          <cell r="F24">
            <v>436378.9689073136</v>
          </cell>
          <cell r="G24">
            <v>929296.86515059951</v>
          </cell>
          <cell r="H24">
            <v>492917.89624328585</v>
          </cell>
          <cell r="I24">
            <v>436378.9689073136</v>
          </cell>
          <cell r="J24">
            <v>0.97953073000000013</v>
          </cell>
          <cell r="K24">
            <v>160777.23543001001</v>
          </cell>
        </row>
        <row r="25">
          <cell r="B25" t="str">
            <v>UH</v>
          </cell>
          <cell r="C25">
            <v>50660951.07582137</v>
          </cell>
          <cell r="D25">
            <v>25330475.537910685</v>
          </cell>
          <cell r="E25">
            <v>13048658.697361207</v>
          </cell>
          <cell r="F25">
            <v>12281816.840549476</v>
          </cell>
          <cell r="G25">
            <v>25330475.537910685</v>
          </cell>
          <cell r="H25">
            <v>13048658.697361207</v>
          </cell>
          <cell r="I25">
            <v>12281816.840549476</v>
          </cell>
          <cell r="J25">
            <v>1.0414192099999999</v>
          </cell>
          <cell r="K25">
            <v>4525049.7809867999</v>
          </cell>
        </row>
        <row r="26">
          <cell r="B26" t="str">
            <v>UH-Clear Lake</v>
          </cell>
          <cell r="C26">
            <v>6982764.9199850224</v>
          </cell>
          <cell r="D26">
            <v>3491382.4599925112</v>
          </cell>
          <cell r="E26">
            <v>1779930.4063276136</v>
          </cell>
          <cell r="F26">
            <v>1711452.0536648978</v>
          </cell>
          <cell r="G26">
            <v>3491382.4599925112</v>
          </cell>
          <cell r="H26">
            <v>1779930.4063276136</v>
          </cell>
          <cell r="I26">
            <v>1711452.0536648978</v>
          </cell>
          <cell r="J26">
            <v>1.06387488</v>
          </cell>
          <cell r="K26">
            <v>630558.64137600001</v>
          </cell>
        </row>
        <row r="27">
          <cell r="B27" t="str">
            <v>UH-Downtown</v>
          </cell>
          <cell r="C27">
            <v>12038967.521617878</v>
          </cell>
          <cell r="D27">
            <v>6019483.7608089391</v>
          </cell>
          <cell r="E27">
            <v>2704950.6586445537</v>
          </cell>
          <cell r="F27">
            <v>3314533.1021643854</v>
          </cell>
          <cell r="G27">
            <v>6019483.7608089391</v>
          </cell>
          <cell r="H27">
            <v>2704950.6586445537</v>
          </cell>
          <cell r="I27">
            <v>3314533.1021643854</v>
          </cell>
          <cell r="J27">
            <v>1.35578821</v>
          </cell>
          <cell r="K27">
            <v>1221189.6238758301</v>
          </cell>
        </row>
        <row r="28">
          <cell r="B28" t="str">
            <v>UH-Victoria</v>
          </cell>
          <cell r="C28">
            <v>3404580.2988143298</v>
          </cell>
          <cell r="D28">
            <v>1702290.1494071649</v>
          </cell>
          <cell r="E28">
            <v>838795.58245617023</v>
          </cell>
          <cell r="F28">
            <v>863494.56695099466</v>
          </cell>
          <cell r="G28">
            <v>1702290.1494071649</v>
          </cell>
          <cell r="H28">
            <v>838795.58245617023</v>
          </cell>
          <cell r="I28">
            <v>863494.56695099466</v>
          </cell>
          <cell r="J28">
            <v>1.1390225299999999</v>
          </cell>
          <cell r="K28">
            <v>318141.52187682997</v>
          </cell>
        </row>
        <row r="29">
          <cell r="B29" t="str">
            <v>Midwestern</v>
          </cell>
          <cell r="C29">
            <v>5587638.8098004386</v>
          </cell>
          <cell r="D29">
            <v>2793819.4049002193</v>
          </cell>
          <cell r="E29">
            <v>1472059.8050185293</v>
          </cell>
          <cell r="F29">
            <v>1321759.5998816902</v>
          </cell>
          <cell r="G29">
            <v>2793819.4049002193</v>
          </cell>
          <cell r="H29">
            <v>1472059.8050185293</v>
          </cell>
          <cell r="I29">
            <v>1321759.5998816902</v>
          </cell>
          <cell r="J29">
            <v>0.99347252000000008</v>
          </cell>
          <cell r="K29">
            <v>486982.34679864004</v>
          </cell>
        </row>
        <row r="30">
          <cell r="B30" t="str">
            <v>UNT</v>
          </cell>
          <cell r="C30">
            <v>36686554.013207778</v>
          </cell>
          <cell r="D30">
            <v>18343277.006603889</v>
          </cell>
          <cell r="E30">
            <v>9574671.1932413913</v>
          </cell>
          <cell r="F30">
            <v>8768605.8133624978</v>
          </cell>
          <cell r="G30">
            <v>18343277.006603889</v>
          </cell>
          <cell r="H30">
            <v>9574671.1932413913</v>
          </cell>
          <cell r="I30">
            <v>8768605.8133624978</v>
          </cell>
          <cell r="J30">
            <v>1.0132941100000001</v>
          </cell>
          <cell r="K30">
            <v>3230660.2785602505</v>
          </cell>
        </row>
        <row r="31">
          <cell r="B31" t="str">
            <v>UNT-Dallas</v>
          </cell>
          <cell r="C31">
            <v>1911047.1053005573</v>
          </cell>
          <cell r="D31">
            <v>955523.55265027867</v>
          </cell>
          <cell r="E31">
            <v>425720.79354042321</v>
          </cell>
          <cell r="F31">
            <v>529802.7591098554</v>
          </cell>
          <cell r="G31">
            <v>955523.55265027867</v>
          </cell>
          <cell r="H31">
            <v>425720.79354042321</v>
          </cell>
          <cell r="I31">
            <v>529802.7591098554</v>
          </cell>
          <cell r="J31">
            <v>1.3769500699999999</v>
          </cell>
          <cell r="K31">
            <v>195197.81887326998</v>
          </cell>
        </row>
        <row r="32">
          <cell r="B32" t="str">
            <v>SFA</v>
          </cell>
          <cell r="C32">
            <v>13644367.631960317</v>
          </cell>
          <cell r="D32">
            <v>6822183.8159801587</v>
          </cell>
          <cell r="E32">
            <v>3525736.7208598829</v>
          </cell>
          <cell r="F32">
            <v>3296447.0951202754</v>
          </cell>
          <cell r="G32">
            <v>6822183.8159801587</v>
          </cell>
          <cell r="H32">
            <v>3525736.7208598829</v>
          </cell>
          <cell r="I32">
            <v>3296447.0951202754</v>
          </cell>
          <cell r="J32">
            <v>1.0344870799999999</v>
          </cell>
          <cell r="K32">
            <v>1214526.10794196</v>
          </cell>
        </row>
        <row r="33">
          <cell r="B33" t="str">
            <v>TSU</v>
          </cell>
          <cell r="C33">
            <v>14915514.181661531</v>
          </cell>
          <cell r="D33">
            <v>7457757.0908307657</v>
          </cell>
          <cell r="E33">
            <v>3345587.4628629517</v>
          </cell>
          <cell r="F33">
            <v>4112169.6279678144</v>
          </cell>
          <cell r="G33">
            <v>7457757.0908307657</v>
          </cell>
          <cell r="H33">
            <v>3345587.4628629517</v>
          </cell>
          <cell r="I33">
            <v>4112169.6279678144</v>
          </cell>
          <cell r="J33">
            <v>1.3599641899999999</v>
          </cell>
          <cell r="K33">
            <v>1515066.7459053099</v>
          </cell>
        </row>
        <row r="34">
          <cell r="B34" t="str">
            <v>TTU</v>
          </cell>
          <cell r="C34">
            <v>44505620.760491803</v>
          </cell>
          <cell r="D34">
            <v>22252810.380245902</v>
          </cell>
          <cell r="E34">
            <v>11994025.156134026</v>
          </cell>
          <cell r="F34">
            <v>10258785.224111876</v>
          </cell>
          <cell r="G34">
            <v>22252810.380245902</v>
          </cell>
          <cell r="H34">
            <v>11994025.156134026</v>
          </cell>
          <cell r="I34">
            <v>10258785.224111876</v>
          </cell>
          <cell r="J34">
            <v>0.94636750999999997</v>
          </cell>
          <cell r="K34">
            <v>3779694.3590864697</v>
          </cell>
        </row>
        <row r="35">
          <cell r="B35" t="str">
            <v>Angelo</v>
          </cell>
          <cell r="C35">
            <v>7977428.4714653566</v>
          </cell>
          <cell r="D35">
            <v>3988714.2357326783</v>
          </cell>
          <cell r="E35">
            <v>1878575.8491942401</v>
          </cell>
          <cell r="F35">
            <v>2110138.3865384385</v>
          </cell>
          <cell r="G35">
            <v>3988714.2357326783</v>
          </cell>
          <cell r="H35">
            <v>1878575.8491942401</v>
          </cell>
          <cell r="I35">
            <v>2110138.3865384385</v>
          </cell>
          <cell r="J35">
            <v>1.2428280399999998</v>
          </cell>
          <cell r="K35">
            <v>777448.59476591984</v>
          </cell>
        </row>
        <row r="36">
          <cell r="B36" t="str">
            <v>TWU</v>
          </cell>
          <cell r="C36">
            <v>13535961.528345382</v>
          </cell>
          <cell r="D36">
            <v>6767980.7641726909</v>
          </cell>
          <cell r="E36">
            <v>3562038.0516371531</v>
          </cell>
          <cell r="F36">
            <v>3205942.7125355378</v>
          </cell>
          <cell r="G36">
            <v>6767980.7641726909</v>
          </cell>
          <cell r="H36">
            <v>3562038.0516371531</v>
          </cell>
          <cell r="I36">
            <v>3205942.7125355378</v>
          </cell>
          <cell r="J36">
            <v>0.99583191999999998</v>
          </cell>
          <cell r="K36">
            <v>1181181.1361100001</v>
          </cell>
        </row>
        <row r="37">
          <cell r="B37" t="str">
            <v>Lamar</v>
          </cell>
          <cell r="C37">
            <v>11751022.335271161</v>
          </cell>
          <cell r="D37">
            <v>5875511.1676355805</v>
          </cell>
          <cell r="E37">
            <v>3194165.7470744401</v>
          </cell>
          <cell r="F37">
            <v>2681345.4205611404</v>
          </cell>
          <cell r="G37">
            <v>5875511.1676355805</v>
          </cell>
          <cell r="H37">
            <v>3194165.7470744401</v>
          </cell>
          <cell r="I37">
            <v>2681345.4205611404</v>
          </cell>
          <cell r="J37">
            <v>0.92880417000000004</v>
          </cell>
          <cell r="K37">
            <v>987901.19292459008</v>
          </cell>
        </row>
        <row r="38">
          <cell r="B38" t="str">
            <v>Sam Houston</v>
          </cell>
          <cell r="C38">
            <v>16563980.382816639</v>
          </cell>
          <cell r="D38">
            <v>8281990.1914083194</v>
          </cell>
          <cell r="E38">
            <v>4532738.2793390257</v>
          </cell>
          <cell r="F38">
            <v>3749251.9120692937</v>
          </cell>
          <cell r="G38">
            <v>8281990.1914083194</v>
          </cell>
          <cell r="H38">
            <v>4532738.2793390257</v>
          </cell>
          <cell r="I38">
            <v>3749251.9120692937</v>
          </cell>
          <cell r="J38">
            <v>0.91519327000000006</v>
          </cell>
          <cell r="K38">
            <v>1381355.1988139302</v>
          </cell>
        </row>
        <row r="39">
          <cell r="B39" t="str">
            <v>TxStU-SM</v>
          </cell>
          <cell r="C39">
            <v>34868567.855581619</v>
          </cell>
          <cell r="D39">
            <v>17434283.927790809</v>
          </cell>
          <cell r="E39">
            <v>8958749.8053281661</v>
          </cell>
          <cell r="F39">
            <v>8475534.1224626433</v>
          </cell>
          <cell r="G39">
            <v>17434283.927790809</v>
          </cell>
          <cell r="H39">
            <v>8958749.8053281661</v>
          </cell>
          <cell r="I39">
            <v>8475534.1224626433</v>
          </cell>
          <cell r="J39">
            <v>1.04676335</v>
          </cell>
          <cell r="K39">
            <v>3122682.4436896499</v>
          </cell>
        </row>
        <row r="40">
          <cell r="B40" t="str">
            <v>Sul Ross</v>
          </cell>
          <cell r="C40">
            <v>3179224.3256634502</v>
          </cell>
          <cell r="D40">
            <v>1589612.1628317251</v>
          </cell>
          <cell r="E40">
            <v>681968.30781598017</v>
          </cell>
          <cell r="F40">
            <v>907643.85501574492</v>
          </cell>
          <cell r="G40">
            <v>1589612.1628317251</v>
          </cell>
          <cell r="H40">
            <v>681968.30781598017</v>
          </cell>
          <cell r="I40">
            <v>907643.85501574492</v>
          </cell>
          <cell r="J40">
            <v>1.4725841399999999</v>
          </cell>
          <cell r="K40">
            <v>334407.65976845997</v>
          </cell>
        </row>
        <row r="41">
          <cell r="B41" t="str">
            <v>Sul Ross - RG</v>
          </cell>
          <cell r="C41">
            <v>384100.99347075151</v>
          </cell>
          <cell r="D41">
            <v>192050.49673537575</v>
          </cell>
          <cell r="E41">
            <v>192050.49673537575</v>
          </cell>
          <cell r="F41">
            <v>0</v>
          </cell>
          <cell r="G41">
            <v>192050.49673537575</v>
          </cell>
          <cell r="H41">
            <v>192050.49673537575</v>
          </cell>
          <cell r="I41">
            <v>0</v>
          </cell>
          <cell r="J41">
            <v>0</v>
          </cell>
          <cell r="K41">
            <v>0</v>
          </cell>
        </row>
        <row r="42">
          <cell r="B42" t="str">
            <v>TAMU-CVM</v>
          </cell>
          <cell r="C42">
            <v>7019558.5456138942</v>
          </cell>
          <cell r="D42">
            <v>3509779.2728069471</v>
          </cell>
          <cell r="E42">
            <v>3509779.2728069471</v>
          </cell>
          <cell r="G42">
            <v>3509779.2728069471</v>
          </cell>
          <cell r="H42">
            <v>3509779.2728069471</v>
          </cell>
        </row>
        <row r="43">
          <cell r="B43" t="str">
            <v>Total Universities</v>
          </cell>
          <cell r="C43">
            <v>702846009.01107872</v>
          </cell>
          <cell r="D43">
            <v>351423004.50553936</v>
          </cell>
          <cell r="E43">
            <v>184289930.24781096</v>
          </cell>
          <cell r="F43">
            <v>167133074.25772837</v>
          </cell>
          <cell r="G43">
            <v>351423004.50553936</v>
          </cell>
          <cell r="H43">
            <v>184289930.24781096</v>
          </cell>
          <cell r="I43">
            <v>167133074.25772837</v>
          </cell>
          <cell r="K43">
            <v>61577655.07206089</v>
          </cell>
        </row>
        <row r="44">
          <cell r="B44" t="str">
            <v>TSTC-Harlingen</v>
          </cell>
          <cell r="C44">
            <v>5493476.5050561968</v>
          </cell>
          <cell r="D44">
            <v>2746738.2525280984</v>
          </cell>
          <cell r="E44">
            <v>1200196.2318381239</v>
          </cell>
          <cell r="F44">
            <v>1546542.0206899743</v>
          </cell>
          <cell r="G44">
            <v>2746738.2525280984</v>
          </cell>
          <cell r="H44">
            <v>1200196.2318381239</v>
          </cell>
          <cell r="I44">
            <v>1546542.0206899743</v>
          </cell>
          <cell r="J44">
            <v>1.4257333400000001</v>
          </cell>
          <cell r="K44">
            <v>569800.03226435999</v>
          </cell>
        </row>
        <row r="45">
          <cell r="B45" t="str">
            <v>TSTC-West Texas</v>
          </cell>
          <cell r="C45">
            <v>1398056.3898776458</v>
          </cell>
          <cell r="D45">
            <v>699028.19493882288</v>
          </cell>
          <cell r="E45">
            <v>317411.41268229648</v>
          </cell>
          <cell r="F45">
            <v>381616.78225652641</v>
          </cell>
          <cell r="G45">
            <v>699028.19493882288</v>
          </cell>
          <cell r="H45">
            <v>317411.41268229648</v>
          </cell>
          <cell r="I45">
            <v>381616.78225652641</v>
          </cell>
          <cell r="J45">
            <v>1.33025153</v>
          </cell>
          <cell r="K45">
            <v>140600.93546335</v>
          </cell>
        </row>
        <row r="46">
          <cell r="B46" t="str">
            <v>TSTC-Marshall</v>
          </cell>
          <cell r="C46">
            <v>750876.4426783009</v>
          </cell>
          <cell r="D46">
            <v>375438.22133915045</v>
          </cell>
          <cell r="E46">
            <v>210159.11888849793</v>
          </cell>
          <cell r="F46">
            <v>165279.10245065248</v>
          </cell>
          <cell r="G46">
            <v>375438.22133915045</v>
          </cell>
          <cell r="H46">
            <v>210159.11888849793</v>
          </cell>
          <cell r="I46">
            <v>165279.10245065248</v>
          </cell>
          <cell r="J46">
            <v>0.87015885999999987</v>
          </cell>
          <cell r="K46">
            <v>60894.58718165999</v>
          </cell>
        </row>
        <row r="47">
          <cell r="B47" t="str">
            <v>TSTC-Waco</v>
          </cell>
          <cell r="C47">
            <v>5862939.8830377636</v>
          </cell>
          <cell r="D47">
            <v>2931469.9415188818</v>
          </cell>
          <cell r="E47">
            <v>1528109.4441339308</v>
          </cell>
          <cell r="F47">
            <v>1403360.497384951</v>
          </cell>
          <cell r="G47">
            <v>2931469.9415188818</v>
          </cell>
          <cell r="H47">
            <v>1528109.4441339308</v>
          </cell>
          <cell r="I47">
            <v>1403360.497384951</v>
          </cell>
          <cell r="J47">
            <v>1.0161167899999999</v>
          </cell>
          <cell r="K47">
            <v>517046.96412433992</v>
          </cell>
        </row>
        <row r="48">
          <cell r="B48" t="str">
            <v>Lamar-IOT</v>
          </cell>
          <cell r="C48">
            <v>2406849.7238945272</v>
          </cell>
          <cell r="D48">
            <v>1203424.8619472636</v>
          </cell>
          <cell r="E48">
            <v>676010.18072613038</v>
          </cell>
          <cell r="F48">
            <v>527414.68122113333</v>
          </cell>
          <cell r="G48">
            <v>1203424.8619472636</v>
          </cell>
          <cell r="H48">
            <v>676010.18072613038</v>
          </cell>
          <cell r="I48">
            <v>527414.68122113333</v>
          </cell>
          <cell r="J48">
            <v>0.86323256999999998</v>
          </cell>
          <cell r="K48">
            <v>194317.96766984998</v>
          </cell>
        </row>
        <row r="49">
          <cell r="B49" t="str">
            <v>Lamar-Orange</v>
          </cell>
          <cell r="C49">
            <v>1894104.0594405392</v>
          </cell>
          <cell r="D49">
            <v>947052.02972026961</v>
          </cell>
          <cell r="E49">
            <v>514492.08223798394</v>
          </cell>
          <cell r="F49">
            <v>432559.94748228561</v>
          </cell>
          <cell r="G49">
            <v>947052.02972026961</v>
          </cell>
          <cell r="H49">
            <v>514492.08223798394</v>
          </cell>
          <cell r="I49">
            <v>432559.94748228561</v>
          </cell>
          <cell r="J49">
            <v>0.93024308</v>
          </cell>
          <cell r="K49">
            <v>159370.17470867999</v>
          </cell>
        </row>
        <row r="50">
          <cell r="B50" t="str">
            <v>Lamar-Port Arthur</v>
          </cell>
          <cell r="C50">
            <v>2602585.9662741926</v>
          </cell>
          <cell r="D50">
            <v>1301292.9831370963</v>
          </cell>
          <cell r="E50">
            <v>667967.9103901335</v>
          </cell>
          <cell r="F50">
            <v>633325.07274696277</v>
          </cell>
          <cell r="G50">
            <v>1301292.9831370963</v>
          </cell>
          <cell r="H50">
            <v>667967.9103901335</v>
          </cell>
          <cell r="I50">
            <v>633325.07274696277</v>
          </cell>
          <cell r="J50">
            <v>1.0490590199999998</v>
          </cell>
          <cell r="K50">
            <v>233339.05064153997</v>
          </cell>
        </row>
        <row r="51">
          <cell r="B51" t="str">
            <v>Total TSTC and Lamar</v>
          </cell>
          <cell r="C51">
            <v>20408888.970259167</v>
          </cell>
          <cell r="D51">
            <v>10204444.485129584</v>
          </cell>
          <cell r="E51">
            <v>5114346.3808970973</v>
          </cell>
          <cell r="F51">
            <v>5090098.1042324863</v>
          </cell>
          <cell r="G51">
            <v>10204444.485129584</v>
          </cell>
          <cell r="H51">
            <v>5114346.3808970973</v>
          </cell>
          <cell r="I51">
            <v>5090098.1042324863</v>
          </cell>
          <cell r="K51">
            <v>1875369.71205378</v>
          </cell>
        </row>
        <row r="52">
          <cell r="B52" t="str">
            <v>Formula Total</v>
          </cell>
          <cell r="C52">
            <v>723254897.9813379</v>
          </cell>
          <cell r="D52">
            <v>361627448.99066895</v>
          </cell>
          <cell r="E52">
            <v>189404276.62870806</v>
          </cell>
          <cell r="F52">
            <v>172223172.36196086</v>
          </cell>
          <cell r="G52">
            <v>361627448.99066895</v>
          </cell>
          <cell r="H52">
            <v>189404276.62870806</v>
          </cell>
          <cell r="I52">
            <v>172223172.36196086</v>
          </cell>
          <cell r="K52">
            <v>63453024.784114674</v>
          </cell>
        </row>
        <row r="53">
          <cell r="B53" t="str">
            <v>Small Institution Set-Aside</v>
          </cell>
          <cell r="C53">
            <v>25898550</v>
          </cell>
          <cell r="D53" t="str">
            <v>Not included in Table Above</v>
          </cell>
        </row>
        <row r="54">
          <cell r="B54" t="str">
            <v>TAMUG Set-Aside</v>
          </cell>
          <cell r="C54">
            <v>1770769.4872156784</v>
          </cell>
          <cell r="D54" t="str">
            <v>Added to TAMUG's predicted square feet in table above and included in amounts</v>
          </cell>
        </row>
        <row r="55">
          <cell r="B55" t="str">
            <v>Total</v>
          </cell>
          <cell r="C55">
            <v>749153447.9813379</v>
          </cell>
        </row>
        <row r="57">
          <cell r="C57">
            <v>676839030.74790382</v>
          </cell>
          <cell r="D57" t="str">
            <v>FY 2012-2013 Appropriated</v>
          </cell>
        </row>
        <row r="58">
          <cell r="C58">
            <v>47746743.216482833</v>
          </cell>
          <cell r="D58" t="str">
            <v>7.1% Biennial Rate Increase</v>
          </cell>
        </row>
        <row r="59">
          <cell r="C59">
            <v>24567674.016951248</v>
          </cell>
          <cell r="D59" t="str">
            <v>3.4% Predicted Square Foot Growth</v>
          </cell>
        </row>
        <row r="60">
          <cell r="C60">
            <v>749153447.9813379</v>
          </cell>
          <cell r="D60" t="str">
            <v>FY 2014-2015 Recommended Funding</v>
          </cell>
        </row>
        <row r="61">
          <cell r="C61" t="str">
            <v>Rates</v>
          </cell>
          <cell r="D61">
            <v>5.7172720577392653</v>
          </cell>
          <cell r="E61">
            <v>3.0030882509323664</v>
          </cell>
          <cell r="F61">
            <v>2.7141838068068989</v>
          </cell>
          <cell r="G61">
            <v>5.7172720577392653</v>
          </cell>
          <cell r="H61">
            <v>3.0030882509323664</v>
          </cell>
          <cell r="I61">
            <v>2.7141838068068989</v>
          </cell>
          <cell r="J61" t="str">
            <v>HRI Rate3</v>
          </cell>
          <cell r="K61">
            <v>6.5546870319349999</v>
          </cell>
        </row>
        <row r="62">
          <cell r="C62" t="str">
            <v>Percentages2</v>
          </cell>
          <cell r="D62">
            <v>1</v>
          </cell>
          <cell r="E62">
            <v>0.52526593462824533</v>
          </cell>
          <cell r="F62">
            <v>0.47473406537175467</v>
          </cell>
          <cell r="G62">
            <v>1</v>
          </cell>
          <cell r="H62">
            <v>0.52526593462824533</v>
          </cell>
          <cell r="I62">
            <v>0.47473406537175467</v>
          </cell>
        </row>
        <row r="70">
          <cell r="C70" t="str">
            <v>FY 2014 - FY 2015 Total</v>
          </cell>
          <cell r="D70" t="str">
            <v>FY 2014</v>
          </cell>
          <cell r="E70" t="str">
            <v>O&amp;M 
Funding</v>
          </cell>
          <cell r="F70" t="str">
            <v>Utility 
Funding</v>
          </cell>
          <cell r="G70" t="str">
            <v>FY 2015</v>
          </cell>
          <cell r="H70" t="str">
            <v>O&amp;M 
Funding</v>
          </cell>
          <cell r="I70" t="str">
            <v>Utility 
Funding</v>
          </cell>
          <cell r="J70" t="str">
            <v>Utility Rate Adjustment</v>
          </cell>
          <cell r="K70" t="str">
            <v>Adjusted Utility Square Feet</v>
          </cell>
        </row>
        <row r="71">
          <cell r="B71" t="str">
            <v>Texas Engineering Experiment Station (TEES)</v>
          </cell>
          <cell r="C71">
            <v>11288371.533352043</v>
          </cell>
          <cell r="D71">
            <v>5644185.7666760217</v>
          </cell>
          <cell r="E71">
            <v>2976889.3090312323</v>
          </cell>
          <cell r="F71">
            <v>2667296.4576447895</v>
          </cell>
          <cell r="G71">
            <v>5644185.7666760217</v>
          </cell>
          <cell r="H71">
            <v>2976889.3090312323</v>
          </cell>
          <cell r="I71">
            <v>2667296.4576447895</v>
          </cell>
          <cell r="J71">
            <v>0.99137381000000002</v>
          </cell>
          <cell r="K71">
            <v>982725.06488156004</v>
          </cell>
        </row>
        <row r="72">
          <cell r="B72" t="str">
            <v>Texas Engineering Extension Service (TEEX)</v>
          </cell>
          <cell r="C72">
            <v>3264152.7077998081</v>
          </cell>
          <cell r="D72">
            <v>1632076.3538999041</v>
          </cell>
          <cell r="E72">
            <v>860799.21007075161</v>
          </cell>
          <cell r="F72">
            <v>771277.14382915257</v>
          </cell>
          <cell r="G72">
            <v>1632076.3538999041</v>
          </cell>
          <cell r="H72">
            <v>860799.21007075161</v>
          </cell>
          <cell r="I72">
            <v>771277.14382915257</v>
          </cell>
          <cell r="J72">
            <v>0.99137381000000002</v>
          </cell>
          <cell r="K72">
            <v>284165.40615077998</v>
          </cell>
        </row>
        <row r="73">
          <cell r="B73" t="str">
            <v>Texas Transportation Institute (TTI)</v>
          </cell>
          <cell r="C73">
            <v>4507611.7977417726</v>
          </cell>
          <cell r="D73">
            <v>2253805.8988708863</v>
          </cell>
          <cell r="E73">
            <v>1188715.4254548096</v>
          </cell>
          <cell r="F73">
            <v>1065090.4734160765</v>
          </cell>
          <cell r="G73">
            <v>2253805.8988708863</v>
          </cell>
          <cell r="H73">
            <v>1188715.4254548096</v>
          </cell>
          <cell r="I73">
            <v>1065090.4734160765</v>
          </cell>
          <cell r="J73">
            <v>0.99137381000000002</v>
          </cell>
          <cell r="K73">
            <v>392416.48658611003</v>
          </cell>
        </row>
        <row r="74">
          <cell r="B74" t="str">
            <v>Texas AgriLife Research (TALR)</v>
          </cell>
          <cell r="C74">
            <v>11424500.314145375</v>
          </cell>
          <cell r="D74">
            <v>5712250.1570726875</v>
          </cell>
          <cell r="E74">
            <v>3012788.2259828779</v>
          </cell>
          <cell r="F74">
            <v>2699461.9310898092</v>
          </cell>
          <cell r="G74">
            <v>5712250.1570726875</v>
          </cell>
          <cell r="H74">
            <v>3012788.2259828779</v>
          </cell>
          <cell r="I74">
            <v>2699461.9310898092</v>
          </cell>
          <cell r="J74">
            <v>0.99137381000000002</v>
          </cell>
          <cell r="K74">
            <v>994575.94740629999</v>
          </cell>
        </row>
        <row r="75">
          <cell r="B75" t="str">
            <v>Texas AgriLife Extension Service (TALX)</v>
          </cell>
          <cell r="C75">
            <v>1271347.6112873596</v>
          </cell>
          <cell r="D75">
            <v>635673.80564367981</v>
          </cell>
          <cell r="E75">
            <v>335270.77851059125</v>
          </cell>
          <cell r="F75">
            <v>300403.02713308862</v>
          </cell>
          <cell r="G75">
            <v>635673.80564367981</v>
          </cell>
          <cell r="H75">
            <v>335270.77851059125</v>
          </cell>
          <cell r="I75">
            <v>300403.02713308862</v>
          </cell>
          <cell r="J75">
            <v>0.99137381000000002</v>
          </cell>
          <cell r="K75">
            <v>110678.95489602</v>
          </cell>
        </row>
        <row r="76">
          <cell r="B76" t="str">
            <v>Texas Vet. Med. Diagnostic Lab. (TVMDL)4</v>
          </cell>
          <cell r="C76">
            <v>1076116.5741516</v>
          </cell>
          <cell r="D76">
            <v>538058.28707580001</v>
          </cell>
          <cell r="E76">
            <v>283785.83353660675</v>
          </cell>
          <cell r="F76">
            <v>254272.45353919323</v>
          </cell>
          <cell r="G76">
            <v>538058.28707580001</v>
          </cell>
          <cell r="H76">
            <v>283785.83353660675</v>
          </cell>
          <cell r="I76">
            <v>254272.45353919323</v>
          </cell>
          <cell r="J76">
            <v>0.99137381000000002</v>
          </cell>
          <cell r="K76">
            <v>93682.842297380004</v>
          </cell>
        </row>
        <row r="77">
          <cell r="B77" t="str">
            <v>Texas Forest Service (TFS)</v>
          </cell>
          <cell r="C77">
            <v>235589.10967478994</v>
          </cell>
          <cell r="D77">
            <v>117794.55483739497</v>
          </cell>
          <cell r="E77">
            <v>62127.889735288794</v>
          </cell>
          <cell r="F77">
            <v>55666.66510210617</v>
          </cell>
          <cell r="G77">
            <v>117794.55483739497</v>
          </cell>
          <cell r="H77">
            <v>62127.889735288794</v>
          </cell>
          <cell r="I77">
            <v>55666.66510210617</v>
          </cell>
          <cell r="J77">
            <v>0.99137381000000002</v>
          </cell>
          <cell r="K77">
            <v>20509.54138128</v>
          </cell>
        </row>
        <row r="78">
          <cell r="B78" t="str">
            <v>Total</v>
          </cell>
          <cell r="C78">
            <v>33067689.64815275</v>
          </cell>
          <cell r="D78">
            <v>16533844.824076375</v>
          </cell>
          <cell r="E78">
            <v>8720376.6723221578</v>
          </cell>
          <cell r="F78">
            <v>7813468.1517542163</v>
          </cell>
          <cell r="G78">
            <v>16533844.824076375</v>
          </cell>
          <cell r="H78">
            <v>8720376.6723221578</v>
          </cell>
          <cell r="I78">
            <v>7813468.1517542163</v>
          </cell>
          <cell r="K78">
            <v>2878754.2435994297</v>
          </cell>
        </row>
      </sheetData>
      <sheetData sheetId="8"/>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U375"/>
  <sheetViews>
    <sheetView showGridLines="0" tabSelected="1" zoomScale="70" zoomScaleNormal="70" workbookViewId="0">
      <pane xSplit="2" ySplit="4" topLeftCell="C5" activePane="bottomRight" state="frozen"/>
      <selection activeCell="C5" sqref="C5"/>
      <selection pane="topRight" activeCell="C5" sqref="C5"/>
      <selection pane="bottomLeft" activeCell="C5" sqref="C5"/>
      <selection pane="bottomRight" activeCell="E17" sqref="E17"/>
    </sheetView>
  </sheetViews>
  <sheetFormatPr defaultRowHeight="12.75" outlineLevelRow="1" x14ac:dyDescent="0.2"/>
  <cols>
    <col min="1" max="1" width="7.28515625" style="1" customWidth="1"/>
    <col min="2" max="2" width="10.85546875" style="1" bestFit="1" customWidth="1"/>
    <col min="3" max="3" width="13.7109375" style="1" bestFit="1" customWidth="1"/>
    <col min="4" max="4" width="13.140625" style="1" customWidth="1"/>
    <col min="5" max="5" width="12.5703125" style="1" customWidth="1"/>
    <col min="6" max="6" width="13" style="1" customWidth="1"/>
    <col min="7" max="7" width="12.42578125" style="1" customWidth="1"/>
    <col min="8" max="8" width="12.85546875" style="1" customWidth="1"/>
    <col min="9" max="9" width="12.28515625" style="1" customWidth="1"/>
    <col min="10" max="10" width="12.42578125" style="1" customWidth="1"/>
    <col min="11" max="13" width="12.5703125" style="1" bestFit="1" customWidth="1"/>
    <col min="14" max="14" width="14.28515625" style="1" customWidth="1"/>
    <col min="15" max="15" width="16.42578125" style="1" customWidth="1"/>
    <col min="16" max="16" width="14.85546875" style="1" customWidth="1"/>
    <col min="17" max="17" width="16.85546875" style="1" customWidth="1"/>
    <col min="18" max="18" width="9.140625" style="1"/>
    <col min="19" max="20" width="12.5703125" style="1" customWidth="1"/>
    <col min="21" max="21" width="11.85546875" style="1" customWidth="1"/>
    <col min="22" max="16384" width="9.140625" style="1"/>
  </cols>
  <sheetData>
    <row r="1" spans="1:21" ht="41.25" customHeight="1" x14ac:dyDescent="0.2">
      <c r="A1" s="257" t="s">
        <v>98</v>
      </c>
      <c r="B1" s="257"/>
      <c r="C1" s="257"/>
      <c r="D1" s="257"/>
      <c r="E1" s="257"/>
      <c r="F1" s="257"/>
      <c r="G1" s="257"/>
      <c r="H1" s="257"/>
      <c r="I1" s="257"/>
      <c r="J1" s="257"/>
      <c r="K1" s="257"/>
      <c r="L1" s="257"/>
      <c r="M1" s="257"/>
    </row>
    <row r="2" spans="1:21" ht="13.5" thickBot="1" x14ac:dyDescent="0.25">
      <c r="A2" s="72"/>
      <c r="B2" s="71"/>
      <c r="C2" s="71"/>
      <c r="D2" s="71"/>
      <c r="E2" s="71"/>
      <c r="F2" s="71"/>
      <c r="G2" s="71"/>
      <c r="H2" s="71"/>
    </row>
    <row r="3" spans="1:21" ht="12.75" customHeight="1" thickBot="1" x14ac:dyDescent="0.25">
      <c r="A3" s="258" t="s">
        <v>24</v>
      </c>
      <c r="B3" s="260" t="s">
        <v>23</v>
      </c>
      <c r="C3" s="262" t="s">
        <v>74</v>
      </c>
      <c r="D3" s="248" t="s">
        <v>35</v>
      </c>
      <c r="E3" s="248"/>
      <c r="F3" s="248"/>
      <c r="G3" s="248"/>
      <c r="H3" s="250" t="s">
        <v>18</v>
      </c>
      <c r="I3" s="225" t="s">
        <v>17</v>
      </c>
      <c r="J3" s="227" t="s">
        <v>16</v>
      </c>
      <c r="K3" s="229" t="s">
        <v>34</v>
      </c>
      <c r="L3" s="230"/>
      <c r="M3" s="231"/>
      <c r="O3" s="254" t="s">
        <v>94</v>
      </c>
      <c r="P3" s="255"/>
      <c r="Q3" s="256"/>
    </row>
    <row r="4" spans="1:21" ht="54" customHeight="1" x14ac:dyDescent="0.2">
      <c r="A4" s="259"/>
      <c r="B4" s="261"/>
      <c r="C4" s="263"/>
      <c r="D4" s="186"/>
      <c r="E4" s="121" t="s">
        <v>33</v>
      </c>
      <c r="F4" s="121" t="s">
        <v>32</v>
      </c>
      <c r="G4" s="187" t="s">
        <v>31</v>
      </c>
      <c r="H4" s="251"/>
      <c r="I4" s="226"/>
      <c r="J4" s="228"/>
      <c r="K4" s="188" t="s">
        <v>14</v>
      </c>
      <c r="L4" s="189" t="s">
        <v>13</v>
      </c>
      <c r="M4" s="190" t="s">
        <v>12</v>
      </c>
      <c r="O4" s="157" t="s">
        <v>87</v>
      </c>
      <c r="P4" s="121" t="s">
        <v>92</v>
      </c>
      <c r="Q4" s="158" t="s">
        <v>93</v>
      </c>
      <c r="S4" s="204" t="s">
        <v>96</v>
      </c>
    </row>
    <row r="5" spans="1:21" x14ac:dyDescent="0.2">
      <c r="A5" s="40">
        <v>3656</v>
      </c>
      <c r="B5" s="39" t="s">
        <v>73</v>
      </c>
      <c r="C5" s="70">
        <f>SUM(D5:M5)</f>
        <v>12049435.172705173</v>
      </c>
      <c r="D5" s="68">
        <f>D48/$C$86*$C$43</f>
        <v>0</v>
      </c>
      <c r="E5" s="67">
        <f t="shared" ref="E5:M5" si="0">E48/$C$86*$C$43</f>
        <v>3385641.5815287065</v>
      </c>
      <c r="F5" s="67">
        <f t="shared" si="0"/>
        <v>0</v>
      </c>
      <c r="G5" s="66">
        <f t="shared" si="0"/>
        <v>0</v>
      </c>
      <c r="H5" s="68">
        <f t="shared" si="0"/>
        <v>0</v>
      </c>
      <c r="I5" s="66">
        <f t="shared" si="0"/>
        <v>0</v>
      </c>
      <c r="J5" s="69">
        <f t="shared" si="0"/>
        <v>5562523.0848257486</v>
      </c>
      <c r="K5" s="68">
        <f t="shared" si="0"/>
        <v>864440.86127770285</v>
      </c>
      <c r="L5" s="67">
        <f t="shared" si="0"/>
        <v>1069322.6157764515</v>
      </c>
      <c r="M5" s="66">
        <f t="shared" si="0"/>
        <v>1167507.0292965642</v>
      </c>
      <c r="O5" s="74">
        <v>5.3941374102444546E-2</v>
      </c>
      <c r="P5" s="119">
        <f t="shared" ref="P5:P42" si="1">MIN(0,C48/$C$86-O5+$P$44)*-1*$Q$43</f>
        <v>0</v>
      </c>
      <c r="Q5" s="159">
        <f t="shared" ref="Q5:Q42" si="2">C5+P5</f>
        <v>12049435.172705173</v>
      </c>
      <c r="S5" s="205">
        <f>Q5-O5*$Q$43</f>
        <v>-626787.741369294</v>
      </c>
      <c r="T5" s="202"/>
      <c r="U5" s="203"/>
    </row>
    <row r="6" spans="1:21" x14ac:dyDescent="0.2">
      <c r="A6" s="20">
        <v>3658</v>
      </c>
      <c r="B6" s="19" t="s">
        <v>72</v>
      </c>
      <c r="C6" s="55">
        <f t="shared" ref="C6:C42" si="3">SUM(D6:M6)</f>
        <v>25200655.41767253</v>
      </c>
      <c r="D6" s="15">
        <f t="shared" ref="D6:M21" si="4">D49/$C$86*$C$43</f>
        <v>0</v>
      </c>
      <c r="E6" s="14">
        <f t="shared" si="4"/>
        <v>11584626.506984424</v>
      </c>
      <c r="F6" s="14">
        <f t="shared" si="4"/>
        <v>0</v>
      </c>
      <c r="G6" s="13">
        <f t="shared" si="4"/>
        <v>0</v>
      </c>
      <c r="H6" s="15">
        <f t="shared" si="4"/>
        <v>0</v>
      </c>
      <c r="I6" s="13">
        <f t="shared" si="4"/>
        <v>0</v>
      </c>
      <c r="J6" s="16">
        <f t="shared" si="4"/>
        <v>4130040.4960862128</v>
      </c>
      <c r="K6" s="15">
        <f t="shared" si="4"/>
        <v>1213690.311594493</v>
      </c>
      <c r="L6" s="14">
        <f t="shared" si="4"/>
        <v>2511945.8403993039</v>
      </c>
      <c r="M6" s="13">
        <f t="shared" si="4"/>
        <v>5760352.2626080941</v>
      </c>
      <c r="O6" s="74">
        <v>9.7535367886092073E-2</v>
      </c>
      <c r="P6" s="120">
        <f t="shared" si="1"/>
        <v>0</v>
      </c>
      <c r="Q6" s="160">
        <f t="shared" si="2"/>
        <v>25200655.41767253</v>
      </c>
      <c r="S6" s="206">
        <f t="shared" ref="S6:S43" si="5">Q6-O6*$Q$43</f>
        <v>2279843.9644408934</v>
      </c>
      <c r="T6" s="202"/>
      <c r="U6" s="203"/>
    </row>
    <row r="7" spans="1:21" x14ac:dyDescent="0.2">
      <c r="A7" s="20">
        <v>9741</v>
      </c>
      <c r="B7" s="19" t="s">
        <v>71</v>
      </c>
      <c r="C7" s="55">
        <f t="shared" si="3"/>
        <v>6228596.6823791573</v>
      </c>
      <c r="D7" s="15">
        <f t="shared" si="4"/>
        <v>0</v>
      </c>
      <c r="E7" s="14">
        <f t="shared" si="4"/>
        <v>2189773.5614677952</v>
      </c>
      <c r="F7" s="14">
        <f t="shared" si="4"/>
        <v>0</v>
      </c>
      <c r="G7" s="13">
        <f t="shared" si="4"/>
        <v>0</v>
      </c>
      <c r="H7" s="15">
        <f t="shared" si="4"/>
        <v>0</v>
      </c>
      <c r="I7" s="13">
        <f t="shared" si="4"/>
        <v>0</v>
      </c>
      <c r="J7" s="16">
        <f t="shared" si="4"/>
        <v>2355801.1224673879</v>
      </c>
      <c r="K7" s="15">
        <f t="shared" si="4"/>
        <v>419175.20919629215</v>
      </c>
      <c r="L7" s="14">
        <f t="shared" si="4"/>
        <v>595328.46785641438</v>
      </c>
      <c r="M7" s="13">
        <f t="shared" si="4"/>
        <v>668518.32139126747</v>
      </c>
      <c r="O7" s="74">
        <v>3.0845130992374833E-2</v>
      </c>
      <c r="P7" s="120">
        <f t="shared" si="1"/>
        <v>0</v>
      </c>
      <c r="Q7" s="160">
        <f t="shared" si="2"/>
        <v>6228596.6823791573</v>
      </c>
      <c r="S7" s="206">
        <f t="shared" si="5"/>
        <v>-1020009.1008289289</v>
      </c>
      <c r="T7" s="202"/>
      <c r="U7" s="203"/>
    </row>
    <row r="8" spans="1:21" x14ac:dyDescent="0.2">
      <c r="A8" s="20">
        <v>3661</v>
      </c>
      <c r="B8" s="19" t="s">
        <v>70</v>
      </c>
      <c r="C8" s="55">
        <f t="shared" si="3"/>
        <v>8719696.6357779596</v>
      </c>
      <c r="D8" s="15">
        <f t="shared" si="4"/>
        <v>0</v>
      </c>
      <c r="E8" s="14">
        <f t="shared" si="4"/>
        <v>1551891.0556386597</v>
      </c>
      <c r="F8" s="14">
        <f t="shared" si="4"/>
        <v>0</v>
      </c>
      <c r="G8" s="13">
        <f t="shared" si="4"/>
        <v>0</v>
      </c>
      <c r="H8" s="15">
        <f t="shared" si="4"/>
        <v>0</v>
      </c>
      <c r="I8" s="13">
        <f t="shared" si="4"/>
        <v>0</v>
      </c>
      <c r="J8" s="16">
        <f t="shared" si="4"/>
        <v>4399201.237282495</v>
      </c>
      <c r="K8" s="15">
        <f t="shared" si="4"/>
        <v>551650.59205239534</v>
      </c>
      <c r="L8" s="14">
        <f t="shared" si="4"/>
        <v>936645.16401460534</v>
      </c>
      <c r="M8" s="13">
        <f t="shared" si="4"/>
        <v>1280308.5867898036</v>
      </c>
      <c r="O8" s="74">
        <v>3.8067899960727944E-2</v>
      </c>
      <c r="P8" s="120">
        <f t="shared" si="1"/>
        <v>0</v>
      </c>
      <c r="Q8" s="160">
        <f t="shared" si="2"/>
        <v>8719696.6357779596</v>
      </c>
      <c r="S8" s="206">
        <f t="shared" si="5"/>
        <v>-226259.8549931068</v>
      </c>
      <c r="T8" s="202"/>
      <c r="U8" s="203"/>
    </row>
    <row r="9" spans="1:21" x14ac:dyDescent="0.2">
      <c r="A9" s="20">
        <v>3599</v>
      </c>
      <c r="B9" s="19" t="s">
        <v>69</v>
      </c>
      <c r="C9" s="55">
        <f t="shared" si="3"/>
        <v>8269987.3273000028</v>
      </c>
      <c r="D9" s="15">
        <f t="shared" si="4"/>
        <v>0</v>
      </c>
      <c r="E9" s="14">
        <f t="shared" si="4"/>
        <v>1447431.9687049286</v>
      </c>
      <c r="F9" s="14">
        <f t="shared" si="4"/>
        <v>0</v>
      </c>
      <c r="G9" s="13">
        <f t="shared" si="4"/>
        <v>0</v>
      </c>
      <c r="H9" s="15">
        <f t="shared" si="4"/>
        <v>0</v>
      </c>
      <c r="I9" s="13">
        <f t="shared" si="4"/>
        <v>0</v>
      </c>
      <c r="J9" s="16">
        <f t="shared" si="4"/>
        <v>4174272.5117728529</v>
      </c>
      <c r="K9" s="15">
        <f t="shared" si="4"/>
        <v>515317.85898781981</v>
      </c>
      <c r="L9" s="14">
        <f t="shared" si="4"/>
        <v>863565.64258166112</v>
      </c>
      <c r="M9" s="13">
        <f t="shared" si="4"/>
        <v>1269399.3452527397</v>
      </c>
      <c r="O9" s="74">
        <v>3.6041180893975448E-2</v>
      </c>
      <c r="P9" s="120">
        <f t="shared" si="1"/>
        <v>0</v>
      </c>
      <c r="Q9" s="160">
        <f t="shared" si="2"/>
        <v>8269987.3273000028</v>
      </c>
      <c r="S9" s="206">
        <f t="shared" si="5"/>
        <v>-199690.18278422765</v>
      </c>
      <c r="T9" s="202"/>
      <c r="U9" s="203"/>
    </row>
    <row r="10" spans="1:21" x14ac:dyDescent="0.2">
      <c r="A10" s="20">
        <v>30646</v>
      </c>
      <c r="B10" s="19" t="s">
        <v>68</v>
      </c>
      <c r="C10" s="55">
        <f t="shared" si="3"/>
        <v>3013309.1315938444</v>
      </c>
      <c r="D10" s="15">
        <f t="shared" si="4"/>
        <v>0</v>
      </c>
      <c r="E10" s="14">
        <f t="shared" si="4"/>
        <v>817671.79081555025</v>
      </c>
      <c r="F10" s="14">
        <f t="shared" si="4"/>
        <v>0</v>
      </c>
      <c r="G10" s="13">
        <f t="shared" si="4"/>
        <v>0</v>
      </c>
      <c r="H10" s="15">
        <f t="shared" si="4"/>
        <v>0</v>
      </c>
      <c r="I10" s="13">
        <f t="shared" si="4"/>
        <v>0</v>
      </c>
      <c r="J10" s="16">
        <f t="shared" si="4"/>
        <v>1672089.2028626823</v>
      </c>
      <c r="K10" s="15">
        <f t="shared" si="4"/>
        <v>335424.46604163828</v>
      </c>
      <c r="L10" s="14">
        <f t="shared" si="4"/>
        <v>155177.76243204056</v>
      </c>
      <c r="M10" s="13">
        <f t="shared" si="4"/>
        <v>32945.909441932577</v>
      </c>
      <c r="O10" s="74">
        <v>1.3127311227878089E-2</v>
      </c>
      <c r="P10" s="120">
        <f t="shared" si="1"/>
        <v>0</v>
      </c>
      <c r="Q10" s="160">
        <f t="shared" si="2"/>
        <v>3013309.1315938444</v>
      </c>
      <c r="S10" s="206">
        <f t="shared" si="5"/>
        <v>-71609.006957506295</v>
      </c>
      <c r="T10" s="202"/>
      <c r="U10" s="203"/>
    </row>
    <row r="11" spans="1:21" x14ac:dyDescent="0.2">
      <c r="A11" s="20">
        <v>9930</v>
      </c>
      <c r="B11" s="19" t="s">
        <v>67</v>
      </c>
      <c r="C11" s="55">
        <f t="shared" si="3"/>
        <v>1419943.1594046047</v>
      </c>
      <c r="D11" s="15">
        <f t="shared" si="4"/>
        <v>0</v>
      </c>
      <c r="E11" s="14">
        <f t="shared" si="4"/>
        <v>308235.66088358348</v>
      </c>
      <c r="F11" s="14">
        <f t="shared" si="4"/>
        <v>0</v>
      </c>
      <c r="G11" s="13">
        <f t="shared" si="4"/>
        <v>0</v>
      </c>
      <c r="H11" s="15">
        <f t="shared" si="4"/>
        <v>0</v>
      </c>
      <c r="I11" s="13">
        <f t="shared" si="4"/>
        <v>0</v>
      </c>
      <c r="J11" s="16">
        <f t="shared" si="4"/>
        <v>712274.29744719947</v>
      </c>
      <c r="K11" s="15">
        <f t="shared" si="4"/>
        <v>198691.9996130036</v>
      </c>
      <c r="L11" s="14">
        <f t="shared" si="4"/>
        <v>137140.32329973622</v>
      </c>
      <c r="M11" s="13">
        <f t="shared" si="4"/>
        <v>63600.87816108176</v>
      </c>
      <c r="O11" s="74">
        <v>6.658597974462911E-3</v>
      </c>
      <c r="P11" s="120">
        <f t="shared" si="1"/>
        <v>0</v>
      </c>
      <c r="Q11" s="160">
        <f t="shared" si="2"/>
        <v>1419943.1594046047</v>
      </c>
      <c r="S11" s="206">
        <f t="shared" si="5"/>
        <v>-144827.36459417944</v>
      </c>
      <c r="T11" s="202"/>
      <c r="U11" s="203"/>
    </row>
    <row r="12" spans="1:21" x14ac:dyDescent="0.2">
      <c r="A12" s="20">
        <v>10115</v>
      </c>
      <c r="B12" s="19" t="s">
        <v>66</v>
      </c>
      <c r="C12" s="55">
        <f t="shared" si="3"/>
        <v>11654194.488196678</v>
      </c>
      <c r="D12" s="15">
        <f t="shared" si="4"/>
        <v>0</v>
      </c>
      <c r="E12" s="14">
        <f t="shared" si="4"/>
        <v>2261166.4480424938</v>
      </c>
      <c r="F12" s="14">
        <f t="shared" si="4"/>
        <v>0</v>
      </c>
      <c r="G12" s="13">
        <f t="shared" si="4"/>
        <v>0</v>
      </c>
      <c r="H12" s="15">
        <f t="shared" si="4"/>
        <v>0</v>
      </c>
      <c r="I12" s="13">
        <f t="shared" si="4"/>
        <v>0</v>
      </c>
      <c r="J12" s="16">
        <f t="shared" si="4"/>
        <v>5576209.2242086101</v>
      </c>
      <c r="K12" s="15">
        <f t="shared" si="4"/>
        <v>861068.91389351955</v>
      </c>
      <c r="L12" s="14">
        <f t="shared" si="4"/>
        <v>1243653.5352252692</v>
      </c>
      <c r="M12" s="13">
        <f t="shared" si="4"/>
        <v>1712096.3668267871</v>
      </c>
      <c r="O12" s="74">
        <v>5.1993931386758195E-2</v>
      </c>
      <c r="P12" s="120">
        <f t="shared" si="1"/>
        <v>0</v>
      </c>
      <c r="Q12" s="160">
        <f t="shared" si="2"/>
        <v>11654194.488196678</v>
      </c>
      <c r="S12" s="206">
        <f t="shared" si="5"/>
        <v>-564379.3876914978</v>
      </c>
      <c r="T12" s="202"/>
      <c r="U12" s="203"/>
    </row>
    <row r="13" spans="1:21" x14ac:dyDescent="0.2">
      <c r="A13" s="20">
        <v>11163</v>
      </c>
      <c r="B13" s="19" t="s">
        <v>65</v>
      </c>
      <c r="C13" s="55">
        <f t="shared" si="3"/>
        <v>3219222.341567337</v>
      </c>
      <c r="D13" s="15">
        <f t="shared" si="4"/>
        <v>0</v>
      </c>
      <c r="E13" s="14">
        <f t="shared" si="4"/>
        <v>798761.64863515669</v>
      </c>
      <c r="F13" s="14">
        <f t="shared" si="4"/>
        <v>0</v>
      </c>
      <c r="G13" s="13">
        <f t="shared" si="4"/>
        <v>0</v>
      </c>
      <c r="H13" s="15">
        <f t="shared" si="4"/>
        <v>0</v>
      </c>
      <c r="I13" s="13">
        <f t="shared" si="4"/>
        <v>0</v>
      </c>
      <c r="J13" s="16">
        <f t="shared" si="4"/>
        <v>1682205.0450152324</v>
      </c>
      <c r="K13" s="15">
        <f t="shared" si="4"/>
        <v>363243.03196115082</v>
      </c>
      <c r="L13" s="14">
        <f t="shared" si="4"/>
        <v>248247.22929511577</v>
      </c>
      <c r="M13" s="13">
        <f t="shared" si="4"/>
        <v>126765.38666068095</v>
      </c>
      <c r="O13" s="74">
        <v>1.2069401585431769E-2</v>
      </c>
      <c r="P13" s="120">
        <f t="shared" si="1"/>
        <v>0</v>
      </c>
      <c r="Q13" s="160">
        <f t="shared" si="2"/>
        <v>3219222.341567337</v>
      </c>
      <c r="S13" s="206">
        <f t="shared" si="5"/>
        <v>382912.96899087122</v>
      </c>
      <c r="T13" s="202"/>
      <c r="U13" s="203"/>
    </row>
    <row r="14" spans="1:21" x14ac:dyDescent="0.2">
      <c r="A14" s="20">
        <v>3632</v>
      </c>
      <c r="B14" s="19" t="s">
        <v>64</v>
      </c>
      <c r="C14" s="55">
        <f t="shared" si="3"/>
        <v>25308501.328228898</v>
      </c>
      <c r="D14" s="15">
        <f t="shared" si="4"/>
        <v>0</v>
      </c>
      <c r="E14" s="14">
        <f t="shared" si="4"/>
        <v>11476279.763066569</v>
      </c>
      <c r="F14" s="14">
        <f t="shared" si="4"/>
        <v>0</v>
      </c>
      <c r="G14" s="13">
        <f t="shared" si="4"/>
        <v>0</v>
      </c>
      <c r="H14" s="15">
        <f t="shared" si="4"/>
        <v>0</v>
      </c>
      <c r="I14" s="13">
        <f t="shared" si="4"/>
        <v>0</v>
      </c>
      <c r="J14" s="16">
        <f t="shared" si="4"/>
        <v>4431928.9618936861</v>
      </c>
      <c r="K14" s="15">
        <f t="shared" si="4"/>
        <v>1272151.4493677716</v>
      </c>
      <c r="L14" s="14">
        <f t="shared" si="4"/>
        <v>2484517.7757393573</v>
      </c>
      <c r="M14" s="13">
        <f t="shared" si="4"/>
        <v>5643623.3781615123</v>
      </c>
      <c r="O14" s="74">
        <v>0.10514316433214833</v>
      </c>
      <c r="P14" s="120">
        <f t="shared" si="1"/>
        <v>0</v>
      </c>
      <c r="Q14" s="160">
        <f t="shared" si="2"/>
        <v>25308501.328228898</v>
      </c>
      <c r="S14" s="206">
        <f t="shared" si="5"/>
        <v>599857.71017403901</v>
      </c>
      <c r="T14" s="202"/>
      <c r="U14" s="203"/>
    </row>
    <row r="15" spans="1:21" x14ac:dyDescent="0.2">
      <c r="A15" s="20">
        <v>10298</v>
      </c>
      <c r="B15" s="19" t="s">
        <v>63</v>
      </c>
      <c r="C15" s="55">
        <f t="shared" si="3"/>
        <v>1238841.1960522318</v>
      </c>
      <c r="D15" s="15">
        <f t="shared" si="4"/>
        <v>0</v>
      </c>
      <c r="E15" s="14">
        <f t="shared" si="4"/>
        <v>337248.16890813538</v>
      </c>
      <c r="F15" s="14">
        <f t="shared" si="4"/>
        <v>0</v>
      </c>
      <c r="G15" s="13">
        <f t="shared" si="4"/>
        <v>0</v>
      </c>
      <c r="H15" s="15">
        <f t="shared" si="4"/>
        <v>0</v>
      </c>
      <c r="I15" s="13">
        <f t="shared" si="4"/>
        <v>0</v>
      </c>
      <c r="J15" s="16">
        <f t="shared" si="4"/>
        <v>423080.22179194557</v>
      </c>
      <c r="K15" s="15">
        <f t="shared" si="4"/>
        <v>224698.14381351767</v>
      </c>
      <c r="L15" s="14">
        <f t="shared" si="4"/>
        <v>133049.35772333734</v>
      </c>
      <c r="M15" s="13">
        <f t="shared" si="4"/>
        <v>120765.30381529588</v>
      </c>
      <c r="O15" s="74">
        <v>7.0859752523080169E-3</v>
      </c>
      <c r="P15" s="120">
        <f t="shared" si="1"/>
        <v>0</v>
      </c>
      <c r="Q15" s="160">
        <f t="shared" si="2"/>
        <v>1238841.1960522318</v>
      </c>
      <c r="S15" s="206">
        <f t="shared" si="5"/>
        <v>-426362.98824015213</v>
      </c>
      <c r="T15" s="202"/>
      <c r="U15" s="203"/>
    </row>
    <row r="16" spans="1:21" x14ac:dyDescent="0.2">
      <c r="A16" s="20">
        <v>3630</v>
      </c>
      <c r="B16" s="19" t="s">
        <v>62</v>
      </c>
      <c r="C16" s="55">
        <f t="shared" si="3"/>
        <v>3018786.8261454212</v>
      </c>
      <c r="D16" s="15">
        <f t="shared" si="4"/>
        <v>0</v>
      </c>
      <c r="E16" s="14">
        <f t="shared" si="4"/>
        <v>452986.52314917144</v>
      </c>
      <c r="F16" s="14">
        <f t="shared" si="4"/>
        <v>0</v>
      </c>
      <c r="G16" s="13">
        <f t="shared" si="4"/>
        <v>0</v>
      </c>
      <c r="H16" s="15">
        <f t="shared" si="4"/>
        <v>0</v>
      </c>
      <c r="I16" s="13">
        <f t="shared" si="4"/>
        <v>0</v>
      </c>
      <c r="J16" s="16">
        <f t="shared" si="4"/>
        <v>1432879.288431793</v>
      </c>
      <c r="K16" s="15">
        <f t="shared" si="4"/>
        <v>210915.30888066825</v>
      </c>
      <c r="L16" s="14">
        <f t="shared" si="4"/>
        <v>329415.70539048506</v>
      </c>
      <c r="M16" s="13">
        <f t="shared" si="4"/>
        <v>592590.00029330386</v>
      </c>
      <c r="O16" s="74">
        <v>1.5279410782616385E-2</v>
      </c>
      <c r="P16" s="120">
        <f t="shared" si="1"/>
        <v>0</v>
      </c>
      <c r="Q16" s="160">
        <f t="shared" si="2"/>
        <v>3018786.8261454212</v>
      </c>
      <c r="S16" s="206">
        <f t="shared" si="5"/>
        <v>-571874.70776942931</v>
      </c>
      <c r="T16" s="202"/>
      <c r="U16" s="203"/>
    </row>
    <row r="17" spans="1:21" x14ac:dyDescent="0.2">
      <c r="A17" s="20">
        <v>3631</v>
      </c>
      <c r="B17" s="19" t="s">
        <v>61</v>
      </c>
      <c r="C17" s="55">
        <f t="shared" si="3"/>
        <v>4302434.7772248937</v>
      </c>
      <c r="D17" s="15">
        <f t="shared" si="4"/>
        <v>0</v>
      </c>
      <c r="E17" s="14">
        <f t="shared" si="4"/>
        <v>961504.3502298817</v>
      </c>
      <c r="F17" s="14">
        <f t="shared" si="4"/>
        <v>0</v>
      </c>
      <c r="G17" s="13">
        <f t="shared" si="4"/>
        <v>0</v>
      </c>
      <c r="H17" s="15">
        <f t="shared" si="4"/>
        <v>0</v>
      </c>
      <c r="I17" s="13">
        <f t="shared" si="4"/>
        <v>0</v>
      </c>
      <c r="J17" s="16">
        <f t="shared" si="4"/>
        <v>2133252.5951112867</v>
      </c>
      <c r="K17" s="15">
        <f t="shared" si="4"/>
        <v>272411.19929971203</v>
      </c>
      <c r="L17" s="14">
        <f t="shared" si="4"/>
        <v>370604.29062559229</v>
      </c>
      <c r="M17" s="13">
        <f t="shared" si="4"/>
        <v>564662.34195842047</v>
      </c>
      <c r="O17" s="74">
        <v>1.9985241623354359E-2</v>
      </c>
      <c r="P17" s="120">
        <f t="shared" si="1"/>
        <v>0</v>
      </c>
      <c r="Q17" s="160">
        <f t="shared" si="2"/>
        <v>4302434.7772248937</v>
      </c>
      <c r="S17" s="206">
        <f t="shared" si="5"/>
        <v>-394097.00426338054</v>
      </c>
      <c r="T17" s="202"/>
      <c r="U17" s="203"/>
    </row>
    <row r="18" spans="1:21" x14ac:dyDescent="0.2">
      <c r="A18" s="65">
        <v>103631</v>
      </c>
      <c r="B18" s="19" t="s">
        <v>60</v>
      </c>
      <c r="C18" s="55">
        <f t="shared" si="3"/>
        <v>1043570.9792222512</v>
      </c>
      <c r="D18" s="15">
        <f t="shared" si="4"/>
        <v>0</v>
      </c>
      <c r="E18" s="14">
        <f t="shared" si="4"/>
        <v>286418.78940195567</v>
      </c>
      <c r="F18" s="14">
        <f t="shared" si="4"/>
        <v>0</v>
      </c>
      <c r="G18" s="13">
        <f t="shared" si="4"/>
        <v>0</v>
      </c>
      <c r="H18" s="15">
        <f t="shared" si="4"/>
        <v>0</v>
      </c>
      <c r="I18" s="13">
        <f t="shared" si="4"/>
        <v>0</v>
      </c>
      <c r="J18" s="16">
        <f t="shared" si="4"/>
        <v>583743.59715597553</v>
      </c>
      <c r="K18" s="15">
        <f t="shared" si="4"/>
        <v>125183.54663780671</v>
      </c>
      <c r="L18" s="14">
        <f t="shared" si="4"/>
        <v>37097.61965870831</v>
      </c>
      <c r="M18" s="13">
        <f t="shared" si="4"/>
        <v>11127.426367805041</v>
      </c>
      <c r="O18" s="74">
        <v>3.4527219750504121E-3</v>
      </c>
      <c r="P18" s="120">
        <f t="shared" si="1"/>
        <v>0</v>
      </c>
      <c r="Q18" s="160">
        <f t="shared" si="2"/>
        <v>1043570.9792222512</v>
      </c>
      <c r="S18" s="206">
        <f t="shared" si="5"/>
        <v>232181.31508540432</v>
      </c>
      <c r="T18" s="202"/>
      <c r="U18" s="203"/>
    </row>
    <row r="19" spans="1:21" x14ac:dyDescent="0.2">
      <c r="A19" s="20">
        <v>11161</v>
      </c>
      <c r="B19" s="19" t="s">
        <v>59</v>
      </c>
      <c r="C19" s="55">
        <f t="shared" si="3"/>
        <v>4090103.9942547912</v>
      </c>
      <c r="D19" s="15">
        <f t="shared" si="4"/>
        <v>0</v>
      </c>
      <c r="E19" s="14">
        <f t="shared" si="4"/>
        <v>918033.75001506682</v>
      </c>
      <c r="F19" s="14">
        <f t="shared" si="4"/>
        <v>0</v>
      </c>
      <c r="G19" s="13">
        <f t="shared" si="4"/>
        <v>0</v>
      </c>
      <c r="H19" s="15">
        <f t="shared" si="4"/>
        <v>0</v>
      </c>
      <c r="I19" s="13">
        <f t="shared" si="4"/>
        <v>0</v>
      </c>
      <c r="J19" s="16">
        <f t="shared" si="4"/>
        <v>1927960.5043683597</v>
      </c>
      <c r="K19" s="15">
        <f t="shared" si="4"/>
        <v>259724.24726672217</v>
      </c>
      <c r="L19" s="14">
        <f t="shared" si="4"/>
        <v>409468.46360138198</v>
      </c>
      <c r="M19" s="13">
        <f t="shared" si="4"/>
        <v>574917.02900326042</v>
      </c>
      <c r="O19" s="74">
        <v>1.9224284187157891E-2</v>
      </c>
      <c r="P19" s="120">
        <f t="shared" si="1"/>
        <v>0</v>
      </c>
      <c r="Q19" s="160">
        <f t="shared" si="2"/>
        <v>4090103.9942547912</v>
      </c>
      <c r="S19" s="206">
        <f t="shared" si="5"/>
        <v>-427602.78972731344</v>
      </c>
      <c r="T19" s="202"/>
      <c r="U19" s="203"/>
    </row>
    <row r="20" spans="1:21" x14ac:dyDescent="0.2">
      <c r="A20" s="20">
        <v>3639</v>
      </c>
      <c r="B20" s="19" t="s">
        <v>58</v>
      </c>
      <c r="C20" s="55">
        <f t="shared" si="3"/>
        <v>2316918.4575007348</v>
      </c>
      <c r="D20" s="15">
        <f t="shared" si="4"/>
        <v>0</v>
      </c>
      <c r="E20" s="14">
        <f t="shared" si="4"/>
        <v>398889.08199071826</v>
      </c>
      <c r="F20" s="14">
        <f t="shared" si="4"/>
        <v>0</v>
      </c>
      <c r="G20" s="13">
        <f t="shared" si="4"/>
        <v>0</v>
      </c>
      <c r="H20" s="15">
        <f t="shared" si="4"/>
        <v>0</v>
      </c>
      <c r="I20" s="13">
        <f t="shared" si="4"/>
        <v>0</v>
      </c>
      <c r="J20" s="16">
        <f t="shared" si="4"/>
        <v>1157371.3521594009</v>
      </c>
      <c r="K20" s="15">
        <f t="shared" si="4"/>
        <v>155193.87835703845</v>
      </c>
      <c r="L20" s="14">
        <f t="shared" si="4"/>
        <v>239786.36867119977</v>
      </c>
      <c r="M20" s="13">
        <f t="shared" si="4"/>
        <v>365677.77632237732</v>
      </c>
      <c r="O20" s="74">
        <v>1.296528221607569E-2</v>
      </c>
      <c r="P20" s="120">
        <f t="shared" si="1"/>
        <v>0</v>
      </c>
      <c r="Q20" s="160">
        <f t="shared" si="2"/>
        <v>2316918.4575007348</v>
      </c>
      <c r="S20" s="206">
        <f t="shared" si="5"/>
        <v>-729922.86327705253</v>
      </c>
      <c r="T20" s="202"/>
      <c r="U20" s="203"/>
    </row>
    <row r="21" spans="1:21" x14ac:dyDescent="0.2">
      <c r="A21" s="65">
        <v>103639</v>
      </c>
      <c r="B21" s="19" t="s">
        <v>57</v>
      </c>
      <c r="C21" s="55">
        <f t="shared" si="3"/>
        <v>1390055.2880539147</v>
      </c>
      <c r="D21" s="15">
        <f t="shared" si="4"/>
        <v>0</v>
      </c>
      <c r="E21" s="14">
        <f t="shared" si="4"/>
        <v>307764.31140027847</v>
      </c>
      <c r="F21" s="14">
        <f t="shared" si="4"/>
        <v>0</v>
      </c>
      <c r="G21" s="13">
        <f t="shared" si="4"/>
        <v>0</v>
      </c>
      <c r="H21" s="15">
        <f t="shared" si="4"/>
        <v>0</v>
      </c>
      <c r="I21" s="13">
        <f t="shared" si="4"/>
        <v>0</v>
      </c>
      <c r="J21" s="16">
        <f t="shared" si="4"/>
        <v>875317.87096477067</v>
      </c>
      <c r="K21" s="15">
        <f t="shared" si="4"/>
        <v>184529.82059943356</v>
      </c>
      <c r="L21" s="14">
        <f t="shared" si="4"/>
        <v>21570.545766466985</v>
      </c>
      <c r="M21" s="13">
        <f t="shared" si="4"/>
        <v>872.73932296510122</v>
      </c>
      <c r="O21" s="74">
        <v>5.939285915308113E-3</v>
      </c>
      <c r="P21" s="120">
        <f t="shared" si="1"/>
        <v>0</v>
      </c>
      <c r="Q21" s="160">
        <f t="shared" si="2"/>
        <v>1390055.2880539147</v>
      </c>
      <c r="S21" s="206">
        <f t="shared" si="5"/>
        <v>-5676.9020434918348</v>
      </c>
      <c r="T21" s="202"/>
      <c r="U21" s="203"/>
    </row>
    <row r="22" spans="1:21" x14ac:dyDescent="0.2">
      <c r="A22" s="20">
        <v>9651</v>
      </c>
      <c r="B22" s="19" t="s">
        <v>56</v>
      </c>
      <c r="C22" s="55">
        <f t="shared" si="3"/>
        <v>2529958.8990296884</v>
      </c>
      <c r="D22" s="15">
        <f t="shared" ref="D22:M37" si="6">D65/$C$86*$C$43</f>
        <v>0</v>
      </c>
      <c r="E22" s="14">
        <f t="shared" si="6"/>
        <v>486532.75079727703</v>
      </c>
      <c r="F22" s="14">
        <f t="shared" si="6"/>
        <v>0</v>
      </c>
      <c r="G22" s="13">
        <f t="shared" si="6"/>
        <v>0</v>
      </c>
      <c r="H22" s="15">
        <f t="shared" si="6"/>
        <v>0</v>
      </c>
      <c r="I22" s="13">
        <f t="shared" si="6"/>
        <v>0</v>
      </c>
      <c r="J22" s="16">
        <f t="shared" si="6"/>
        <v>1272215.9130677632</v>
      </c>
      <c r="K22" s="15">
        <f t="shared" si="6"/>
        <v>177870.22451567146</v>
      </c>
      <c r="L22" s="14">
        <f t="shared" si="6"/>
        <v>283299.36616562458</v>
      </c>
      <c r="M22" s="13">
        <f t="shared" si="6"/>
        <v>310040.64448335225</v>
      </c>
      <c r="O22" s="74">
        <v>1.0886031395541047E-2</v>
      </c>
      <c r="P22" s="120">
        <f t="shared" si="1"/>
        <v>0</v>
      </c>
      <c r="Q22" s="160">
        <f t="shared" si="2"/>
        <v>2529958.8990296884</v>
      </c>
      <c r="S22" s="206">
        <f t="shared" si="5"/>
        <v>-28258.478922457434</v>
      </c>
      <c r="T22" s="202"/>
      <c r="U22" s="203"/>
    </row>
    <row r="23" spans="1:21" x14ac:dyDescent="0.2">
      <c r="A23" s="20">
        <v>3665</v>
      </c>
      <c r="B23" s="19" t="s">
        <v>55</v>
      </c>
      <c r="C23" s="55">
        <f t="shared" si="3"/>
        <v>3354560.1193174962</v>
      </c>
      <c r="D23" s="15">
        <f t="shared" si="6"/>
        <v>0</v>
      </c>
      <c r="E23" s="14">
        <f t="shared" si="6"/>
        <v>769288.05986412533</v>
      </c>
      <c r="F23" s="14">
        <f t="shared" si="6"/>
        <v>0</v>
      </c>
      <c r="G23" s="13">
        <f t="shared" si="6"/>
        <v>0</v>
      </c>
      <c r="H23" s="15">
        <f t="shared" si="6"/>
        <v>0</v>
      </c>
      <c r="I23" s="13">
        <f t="shared" si="6"/>
        <v>0</v>
      </c>
      <c r="J23" s="16">
        <f t="shared" si="6"/>
        <v>1587592.1684119704</v>
      </c>
      <c r="K23" s="15">
        <f t="shared" si="6"/>
        <v>226552.71487481854</v>
      </c>
      <c r="L23" s="14">
        <f t="shared" si="6"/>
        <v>338248.47197589185</v>
      </c>
      <c r="M23" s="13">
        <f t="shared" si="6"/>
        <v>432878.70419069025</v>
      </c>
      <c r="O23" s="74">
        <v>1.5183466872892367E-2</v>
      </c>
      <c r="P23" s="120">
        <f t="shared" si="1"/>
        <v>0</v>
      </c>
      <c r="Q23" s="160">
        <f t="shared" si="2"/>
        <v>3354560.1193174962</v>
      </c>
      <c r="S23" s="206">
        <f t="shared" si="5"/>
        <v>-213554.59581221035</v>
      </c>
      <c r="T23" s="202"/>
      <c r="U23" s="203"/>
    </row>
    <row r="24" spans="1:21" x14ac:dyDescent="0.2">
      <c r="A24" s="20">
        <v>3565</v>
      </c>
      <c r="B24" s="19" t="s">
        <v>54</v>
      </c>
      <c r="C24" s="55">
        <f t="shared" si="3"/>
        <v>3430832.4947527233</v>
      </c>
      <c r="D24" s="15">
        <f t="shared" si="6"/>
        <v>0</v>
      </c>
      <c r="E24" s="14">
        <f t="shared" si="6"/>
        <v>758492.29096820077</v>
      </c>
      <c r="F24" s="14">
        <f t="shared" si="6"/>
        <v>0</v>
      </c>
      <c r="G24" s="13">
        <f t="shared" si="6"/>
        <v>0</v>
      </c>
      <c r="H24" s="15">
        <f t="shared" si="6"/>
        <v>0</v>
      </c>
      <c r="I24" s="13">
        <f t="shared" si="6"/>
        <v>0</v>
      </c>
      <c r="J24" s="16">
        <f t="shared" si="6"/>
        <v>1819661.4883822359</v>
      </c>
      <c r="K24" s="15">
        <f t="shared" si="6"/>
        <v>239366.11493471521</v>
      </c>
      <c r="L24" s="14">
        <f t="shared" si="6"/>
        <v>317235.78515166097</v>
      </c>
      <c r="M24" s="13">
        <f t="shared" si="6"/>
        <v>296076.81531591056</v>
      </c>
      <c r="O24" s="74">
        <v>1.411122580581306E-2</v>
      </c>
      <c r="P24" s="120">
        <f t="shared" si="1"/>
        <v>0</v>
      </c>
      <c r="Q24" s="160">
        <f t="shared" si="2"/>
        <v>3430832.4947527233</v>
      </c>
      <c r="S24" s="206">
        <f t="shared" si="5"/>
        <v>114694.4303866541</v>
      </c>
      <c r="T24" s="202"/>
      <c r="U24" s="203"/>
    </row>
    <row r="25" spans="1:21" x14ac:dyDescent="0.2">
      <c r="A25" s="20">
        <v>29269</v>
      </c>
      <c r="B25" s="19" t="s">
        <v>53</v>
      </c>
      <c r="C25" s="55">
        <f t="shared" si="3"/>
        <v>830656.02579890843</v>
      </c>
      <c r="D25" s="15">
        <f t="shared" si="6"/>
        <v>0</v>
      </c>
      <c r="E25" s="14">
        <f t="shared" si="6"/>
        <v>243881.39505678279</v>
      </c>
      <c r="F25" s="14">
        <f t="shared" si="6"/>
        <v>0</v>
      </c>
      <c r="G25" s="13">
        <f t="shared" si="6"/>
        <v>0</v>
      </c>
      <c r="H25" s="15">
        <f t="shared" si="6"/>
        <v>0</v>
      </c>
      <c r="I25" s="13">
        <f t="shared" si="6"/>
        <v>0</v>
      </c>
      <c r="J25" s="16">
        <f t="shared" si="6"/>
        <v>426650.51902225742</v>
      </c>
      <c r="K25" s="15">
        <f t="shared" si="6"/>
        <v>109419.69261674954</v>
      </c>
      <c r="L25" s="14">
        <f t="shared" si="6"/>
        <v>50486.234272377471</v>
      </c>
      <c r="M25" s="13">
        <f t="shared" si="6"/>
        <v>218.18483074127531</v>
      </c>
      <c r="O25" s="74">
        <v>2.885126155730112E-3</v>
      </c>
      <c r="P25" s="120">
        <f t="shared" si="1"/>
        <v>0</v>
      </c>
      <c r="Q25" s="160">
        <f t="shared" si="2"/>
        <v>830656.02579890843</v>
      </c>
      <c r="S25" s="206">
        <f t="shared" si="5"/>
        <v>152651.37920233211</v>
      </c>
      <c r="T25" s="202"/>
      <c r="U25" s="203"/>
    </row>
    <row r="26" spans="1:21" x14ac:dyDescent="0.2">
      <c r="A26" s="20">
        <v>3652</v>
      </c>
      <c r="B26" s="19" t="s">
        <v>52</v>
      </c>
      <c r="C26" s="55">
        <f t="shared" si="3"/>
        <v>14294167.364908138</v>
      </c>
      <c r="D26" s="15">
        <f t="shared" si="6"/>
        <v>0</v>
      </c>
      <c r="E26" s="14">
        <f t="shared" si="6"/>
        <v>3559529.4783316185</v>
      </c>
      <c r="F26" s="14">
        <f t="shared" si="6"/>
        <v>0</v>
      </c>
      <c r="G26" s="13">
        <f t="shared" si="6"/>
        <v>0</v>
      </c>
      <c r="H26" s="15">
        <f t="shared" si="6"/>
        <v>0</v>
      </c>
      <c r="I26" s="13">
        <f t="shared" si="6"/>
        <v>0</v>
      </c>
      <c r="J26" s="16">
        <f t="shared" si="6"/>
        <v>6021306.2789208125</v>
      </c>
      <c r="K26" s="15">
        <f t="shared" si="6"/>
        <v>961300.04988836939</v>
      </c>
      <c r="L26" s="14">
        <f t="shared" si="6"/>
        <v>1587201.6671524046</v>
      </c>
      <c r="M26" s="13">
        <f t="shared" si="6"/>
        <v>2164829.8906149338</v>
      </c>
      <c r="O26" s="74">
        <v>6.680079885949769E-2</v>
      </c>
      <c r="P26" s="120">
        <f t="shared" si="1"/>
        <v>215877.28882349801</v>
      </c>
      <c r="Q26" s="160">
        <f t="shared" si="2"/>
        <v>14510044.653731637</v>
      </c>
      <c r="S26" s="206">
        <f t="shared" si="5"/>
        <v>-1188143.0782503206</v>
      </c>
      <c r="T26" s="202"/>
      <c r="U26" s="203"/>
    </row>
    <row r="27" spans="1:21" x14ac:dyDescent="0.2">
      <c r="A27" s="20">
        <v>11711</v>
      </c>
      <c r="B27" s="19" t="s">
        <v>51</v>
      </c>
      <c r="C27" s="55">
        <f t="shared" si="3"/>
        <v>2825003.6505008033</v>
      </c>
      <c r="D27" s="15">
        <f t="shared" si="6"/>
        <v>0</v>
      </c>
      <c r="E27" s="14">
        <f t="shared" si="6"/>
        <v>806180.32130754692</v>
      </c>
      <c r="F27" s="14">
        <f t="shared" si="6"/>
        <v>0</v>
      </c>
      <c r="G27" s="13">
        <f t="shared" si="6"/>
        <v>0</v>
      </c>
      <c r="H27" s="15">
        <f t="shared" si="6"/>
        <v>0</v>
      </c>
      <c r="I27" s="13">
        <f t="shared" si="6"/>
        <v>0</v>
      </c>
      <c r="J27" s="16">
        <f t="shared" si="6"/>
        <v>1382300.0776690431</v>
      </c>
      <c r="K27" s="15">
        <f t="shared" si="6"/>
        <v>351862.70953953202</v>
      </c>
      <c r="L27" s="14">
        <f t="shared" si="6"/>
        <v>266005.73895630188</v>
      </c>
      <c r="M27" s="13">
        <f t="shared" si="6"/>
        <v>18654.803028379036</v>
      </c>
      <c r="O27" s="74">
        <v>1.0972897764284933E-2</v>
      </c>
      <c r="P27" s="120">
        <f t="shared" si="1"/>
        <v>0</v>
      </c>
      <c r="Q27" s="160">
        <f t="shared" si="2"/>
        <v>2825003.6505008033</v>
      </c>
      <c r="S27" s="206">
        <f t="shared" si="5"/>
        <v>246372.67589384411</v>
      </c>
      <c r="T27" s="202"/>
      <c r="U27" s="203"/>
    </row>
    <row r="28" spans="1:21" x14ac:dyDescent="0.2">
      <c r="A28" s="20">
        <v>12826</v>
      </c>
      <c r="B28" s="19" t="s">
        <v>50</v>
      </c>
      <c r="C28" s="55">
        <f t="shared" si="3"/>
        <v>5094380.8772097686</v>
      </c>
      <c r="D28" s="15">
        <f t="shared" si="6"/>
        <v>0</v>
      </c>
      <c r="E28" s="14">
        <f t="shared" si="6"/>
        <v>589192.63933508517</v>
      </c>
      <c r="F28" s="14">
        <f t="shared" si="6"/>
        <v>0</v>
      </c>
      <c r="G28" s="13">
        <f t="shared" si="6"/>
        <v>0</v>
      </c>
      <c r="H28" s="15">
        <f t="shared" si="6"/>
        <v>0</v>
      </c>
      <c r="I28" s="13">
        <f t="shared" si="6"/>
        <v>0</v>
      </c>
      <c r="J28" s="16">
        <f t="shared" si="6"/>
        <v>3000834.8220770485</v>
      </c>
      <c r="K28" s="15">
        <f t="shared" si="6"/>
        <v>785326.54577630106</v>
      </c>
      <c r="L28" s="14">
        <f t="shared" si="6"/>
        <v>521133.22853899759</v>
      </c>
      <c r="M28" s="13">
        <f t="shared" si="6"/>
        <v>197893.64148233668</v>
      </c>
      <c r="O28" s="74">
        <v>2.262163232206927E-2</v>
      </c>
      <c r="P28" s="120">
        <f t="shared" si="1"/>
        <v>0</v>
      </c>
      <c r="Q28" s="160">
        <f t="shared" si="2"/>
        <v>5094380.8772097686</v>
      </c>
      <c r="S28" s="206">
        <f t="shared" si="5"/>
        <v>-221702.71847650968</v>
      </c>
      <c r="T28" s="202"/>
      <c r="U28" s="203"/>
    </row>
    <row r="29" spans="1:21" x14ac:dyDescent="0.2">
      <c r="A29" s="20">
        <v>13231</v>
      </c>
      <c r="B29" s="19" t="s">
        <v>49</v>
      </c>
      <c r="C29" s="55">
        <f t="shared" si="3"/>
        <v>1342164.2788471808</v>
      </c>
      <c r="D29" s="15">
        <f t="shared" si="6"/>
        <v>0</v>
      </c>
      <c r="E29" s="14">
        <f t="shared" si="6"/>
        <v>390755.68784792838</v>
      </c>
      <c r="F29" s="14">
        <f t="shared" si="6"/>
        <v>0</v>
      </c>
      <c r="G29" s="13">
        <f t="shared" si="6"/>
        <v>0</v>
      </c>
      <c r="H29" s="15">
        <f t="shared" si="6"/>
        <v>0</v>
      </c>
      <c r="I29" s="13">
        <f t="shared" si="6"/>
        <v>0</v>
      </c>
      <c r="J29" s="16">
        <f t="shared" si="6"/>
        <v>685497.06821986113</v>
      </c>
      <c r="K29" s="15">
        <f t="shared" si="6"/>
        <v>181073.57453064565</v>
      </c>
      <c r="L29" s="14">
        <f t="shared" si="6"/>
        <v>82656.099941332548</v>
      </c>
      <c r="M29" s="13">
        <f t="shared" si="6"/>
        <v>2181.848307412753</v>
      </c>
      <c r="O29" s="74">
        <v>5.6229417841748381E-3</v>
      </c>
      <c r="P29" s="120">
        <f t="shared" si="1"/>
        <v>0</v>
      </c>
      <c r="Q29" s="160">
        <f t="shared" si="2"/>
        <v>1342164.2788471808</v>
      </c>
      <c r="S29" s="206">
        <f t="shared" si="5"/>
        <v>20772.959566093748</v>
      </c>
      <c r="T29" s="202"/>
      <c r="U29" s="203"/>
    </row>
    <row r="30" spans="1:21" x14ac:dyDescent="0.2">
      <c r="A30" s="20">
        <v>3592</v>
      </c>
      <c r="B30" s="19" t="s">
        <v>48</v>
      </c>
      <c r="C30" s="55">
        <f t="shared" si="3"/>
        <v>2700188.3155665314</v>
      </c>
      <c r="D30" s="15">
        <f t="shared" si="6"/>
        <v>0</v>
      </c>
      <c r="E30" s="14">
        <f t="shared" si="6"/>
        <v>589976.5344561385</v>
      </c>
      <c r="F30" s="14">
        <f t="shared" si="6"/>
        <v>0</v>
      </c>
      <c r="G30" s="13">
        <f t="shared" si="6"/>
        <v>0</v>
      </c>
      <c r="H30" s="15">
        <f t="shared" si="6"/>
        <v>0</v>
      </c>
      <c r="I30" s="13">
        <f t="shared" si="6"/>
        <v>0</v>
      </c>
      <c r="J30" s="16">
        <f t="shared" si="6"/>
        <v>1232347.5939959483</v>
      </c>
      <c r="K30" s="15">
        <f t="shared" si="6"/>
        <v>363664.52538417379</v>
      </c>
      <c r="L30" s="14">
        <f t="shared" si="6"/>
        <v>291760.22678954055</v>
      </c>
      <c r="M30" s="13">
        <f t="shared" si="6"/>
        <v>222439.43494073013</v>
      </c>
      <c r="O30" s="74">
        <v>1.0364568727977754E-2</v>
      </c>
      <c r="P30" s="120">
        <f t="shared" si="1"/>
        <v>0</v>
      </c>
      <c r="Q30" s="160">
        <f t="shared" si="2"/>
        <v>2700188.3155665314</v>
      </c>
      <c r="S30" s="206">
        <f t="shared" si="5"/>
        <v>264514.66449175915</v>
      </c>
      <c r="T30" s="202"/>
      <c r="U30" s="203"/>
    </row>
    <row r="31" spans="1:21" x14ac:dyDescent="0.2">
      <c r="A31" s="20">
        <v>3594</v>
      </c>
      <c r="B31" s="19" t="s">
        <v>47</v>
      </c>
      <c r="C31" s="55">
        <f t="shared" si="3"/>
        <v>16085481.808999583</v>
      </c>
      <c r="D31" s="15">
        <f t="shared" si="6"/>
        <v>0</v>
      </c>
      <c r="E31" s="14">
        <f t="shared" si="6"/>
        <v>4513681.1237341724</v>
      </c>
      <c r="F31" s="14">
        <f t="shared" si="6"/>
        <v>0</v>
      </c>
      <c r="G31" s="13">
        <f t="shared" si="6"/>
        <v>0</v>
      </c>
      <c r="H31" s="15">
        <f t="shared" si="6"/>
        <v>0</v>
      </c>
      <c r="I31" s="13">
        <f t="shared" si="6"/>
        <v>0</v>
      </c>
      <c r="J31" s="16">
        <f t="shared" si="6"/>
        <v>6819267.7098954944</v>
      </c>
      <c r="K31" s="15">
        <f t="shared" si="6"/>
        <v>994471.58228027332</v>
      </c>
      <c r="L31" s="14">
        <f t="shared" si="6"/>
        <v>1573813.0525387356</v>
      </c>
      <c r="M31" s="13">
        <f t="shared" si="6"/>
        <v>2184248.340550907</v>
      </c>
      <c r="O31" s="74">
        <v>5.9972196847224775E-2</v>
      </c>
      <c r="P31" s="120">
        <f t="shared" si="1"/>
        <v>0</v>
      </c>
      <c r="Q31" s="160">
        <f t="shared" si="2"/>
        <v>16085481.808999583</v>
      </c>
      <c r="S31" s="206">
        <f t="shared" si="5"/>
        <v>1992015.5499017611</v>
      </c>
      <c r="T31" s="202"/>
      <c r="U31" s="203"/>
    </row>
    <row r="32" spans="1:21" x14ac:dyDescent="0.2">
      <c r="A32" s="65">
        <v>113594</v>
      </c>
      <c r="B32" s="19" t="s">
        <v>46</v>
      </c>
      <c r="C32" s="55">
        <f t="shared" si="3"/>
        <v>998463.14049238164</v>
      </c>
      <c r="D32" s="15">
        <f t="shared" si="6"/>
        <v>0</v>
      </c>
      <c r="E32" s="14">
        <f t="shared" si="6"/>
        <v>303316.97210164153</v>
      </c>
      <c r="F32" s="14">
        <f t="shared" si="6"/>
        <v>0</v>
      </c>
      <c r="G32" s="13">
        <f t="shared" si="6"/>
        <v>0</v>
      </c>
      <c r="H32" s="15">
        <f t="shared" si="6"/>
        <v>0</v>
      </c>
      <c r="I32" s="13">
        <f t="shared" si="6"/>
        <v>0</v>
      </c>
      <c r="J32" s="16">
        <f t="shared" si="6"/>
        <v>550718.34777559165</v>
      </c>
      <c r="K32" s="15">
        <f t="shared" si="6"/>
        <v>120884.31372297292</v>
      </c>
      <c r="L32" s="14">
        <f t="shared" si="6"/>
        <v>19943.457184944691</v>
      </c>
      <c r="M32" s="13">
        <f t="shared" si="6"/>
        <v>3600.0497072310422</v>
      </c>
      <c r="O32" s="74">
        <v>2.8602942419239919E-3</v>
      </c>
      <c r="P32" s="120">
        <f t="shared" si="1"/>
        <v>0</v>
      </c>
      <c r="Q32" s="160">
        <f t="shared" si="2"/>
        <v>998463.14049238164</v>
      </c>
      <c r="S32" s="206">
        <f t="shared" si="5"/>
        <v>326293.99364024354</v>
      </c>
      <c r="T32" s="202"/>
      <c r="U32" s="203"/>
    </row>
    <row r="33" spans="1:21" x14ac:dyDescent="0.2">
      <c r="A33" s="20">
        <v>3624</v>
      </c>
      <c r="B33" s="19" t="s">
        <v>45</v>
      </c>
      <c r="C33" s="55">
        <f t="shared" si="3"/>
        <v>5836261.3685647137</v>
      </c>
      <c r="D33" s="15">
        <f t="shared" si="6"/>
        <v>0</v>
      </c>
      <c r="E33" s="14">
        <f t="shared" si="6"/>
        <v>1385763.1420137915</v>
      </c>
      <c r="F33" s="14">
        <f t="shared" si="6"/>
        <v>0</v>
      </c>
      <c r="G33" s="13">
        <f t="shared" si="6"/>
        <v>0</v>
      </c>
      <c r="H33" s="15">
        <f t="shared" si="6"/>
        <v>0</v>
      </c>
      <c r="I33" s="13">
        <f t="shared" si="6"/>
        <v>0</v>
      </c>
      <c r="J33" s="16">
        <f t="shared" si="6"/>
        <v>2606912.0276659825</v>
      </c>
      <c r="K33" s="15">
        <f t="shared" si="6"/>
        <v>350176.73584744043</v>
      </c>
      <c r="L33" s="14">
        <f t="shared" si="6"/>
        <v>578778.65257007326</v>
      </c>
      <c r="M33" s="13">
        <f t="shared" si="6"/>
        <v>914630.81046742608</v>
      </c>
      <c r="O33" s="74">
        <v>2.3435865298122357E-2</v>
      </c>
      <c r="P33" s="120">
        <f t="shared" si="1"/>
        <v>0</v>
      </c>
      <c r="Q33" s="160">
        <f t="shared" si="2"/>
        <v>5836261.3685647137</v>
      </c>
      <c r="S33" s="206">
        <f t="shared" si="5"/>
        <v>328833.02350595966</v>
      </c>
      <c r="T33" s="202"/>
      <c r="U33" s="203"/>
    </row>
    <row r="34" spans="1:21" x14ac:dyDescent="0.2">
      <c r="A34" s="20">
        <v>3642</v>
      </c>
      <c r="B34" s="19" t="s">
        <v>44</v>
      </c>
      <c r="C34" s="55">
        <f t="shared" si="3"/>
        <v>2409880.6914782473</v>
      </c>
      <c r="D34" s="15">
        <f t="shared" si="6"/>
        <v>0</v>
      </c>
      <c r="E34" s="14">
        <f t="shared" si="6"/>
        <v>141813.42501307977</v>
      </c>
      <c r="F34" s="14">
        <f t="shared" si="6"/>
        <v>0</v>
      </c>
      <c r="G34" s="13">
        <f t="shared" si="6"/>
        <v>0</v>
      </c>
      <c r="H34" s="15">
        <f t="shared" si="6"/>
        <v>0</v>
      </c>
      <c r="I34" s="13">
        <f t="shared" si="6"/>
        <v>0</v>
      </c>
      <c r="J34" s="16">
        <f t="shared" si="6"/>
        <v>1189504.0272322071</v>
      </c>
      <c r="K34" s="15">
        <f t="shared" si="6"/>
        <v>207037.56938885737</v>
      </c>
      <c r="L34" s="14">
        <f t="shared" si="6"/>
        <v>316027.09077681595</v>
      </c>
      <c r="M34" s="13">
        <f t="shared" si="6"/>
        <v>555498.57906728692</v>
      </c>
      <c r="O34" s="74">
        <v>1.3524899052819646E-2</v>
      </c>
      <c r="P34" s="120">
        <f t="shared" si="1"/>
        <v>0</v>
      </c>
      <c r="Q34" s="160">
        <f t="shared" si="2"/>
        <v>2409880.6914782473</v>
      </c>
      <c r="S34" s="206">
        <f t="shared" si="5"/>
        <v>-768470.58593436936</v>
      </c>
      <c r="T34" s="202"/>
      <c r="U34" s="203"/>
    </row>
    <row r="35" spans="1:21" x14ac:dyDescent="0.2">
      <c r="A35" s="20">
        <v>3644</v>
      </c>
      <c r="B35" s="19" t="s">
        <v>43</v>
      </c>
      <c r="C35" s="55">
        <f t="shared" si="3"/>
        <v>14287632.068061283</v>
      </c>
      <c r="D35" s="15">
        <f t="shared" si="6"/>
        <v>0</v>
      </c>
      <c r="E35" s="14">
        <f t="shared" si="6"/>
        <v>4453495.0447886148</v>
      </c>
      <c r="F35" s="14">
        <f t="shared" si="6"/>
        <v>0</v>
      </c>
      <c r="G35" s="13">
        <f t="shared" si="6"/>
        <v>0</v>
      </c>
      <c r="H35" s="15">
        <f t="shared" si="6"/>
        <v>0</v>
      </c>
      <c r="I35" s="13">
        <f t="shared" si="6"/>
        <v>0</v>
      </c>
      <c r="J35" s="16">
        <f t="shared" si="6"/>
        <v>4959142.8529030588</v>
      </c>
      <c r="K35" s="15">
        <f t="shared" si="6"/>
        <v>820057.60383338947</v>
      </c>
      <c r="L35" s="14">
        <f t="shared" si="6"/>
        <v>1472282.7250517444</v>
      </c>
      <c r="M35" s="13">
        <f t="shared" si="6"/>
        <v>2582653.8414844754</v>
      </c>
      <c r="O35" s="74">
        <v>6.3345925146063756E-2</v>
      </c>
      <c r="P35" s="120">
        <f t="shared" si="1"/>
        <v>0</v>
      </c>
      <c r="Q35" s="160">
        <f t="shared" si="2"/>
        <v>14287632.068061283</v>
      </c>
      <c r="S35" s="206">
        <f t="shared" si="5"/>
        <v>-598660.34126370028</v>
      </c>
      <c r="T35" s="202"/>
      <c r="U35" s="203"/>
    </row>
    <row r="36" spans="1:21" x14ac:dyDescent="0.2">
      <c r="A36" s="20">
        <v>3541</v>
      </c>
      <c r="B36" s="19" t="s">
        <v>42</v>
      </c>
      <c r="C36" s="55">
        <f t="shared" si="3"/>
        <v>2728856.3147020889</v>
      </c>
      <c r="D36" s="15">
        <f t="shared" si="6"/>
        <v>0</v>
      </c>
      <c r="E36" s="14">
        <f t="shared" si="6"/>
        <v>554437.44871338445</v>
      </c>
      <c r="F36" s="14">
        <f t="shared" si="6"/>
        <v>0</v>
      </c>
      <c r="G36" s="13">
        <f t="shared" si="6"/>
        <v>0</v>
      </c>
      <c r="H36" s="15">
        <f t="shared" si="6"/>
        <v>0</v>
      </c>
      <c r="I36" s="13">
        <f t="shared" si="6"/>
        <v>0</v>
      </c>
      <c r="J36" s="16">
        <f t="shared" si="6"/>
        <v>1290662.4487577074</v>
      </c>
      <c r="K36" s="15">
        <f t="shared" si="6"/>
        <v>363833.12275338301</v>
      </c>
      <c r="L36" s="14">
        <f t="shared" si="6"/>
        <v>288320.09664575063</v>
      </c>
      <c r="M36" s="13">
        <f t="shared" si="6"/>
        <v>231603.19783186377</v>
      </c>
      <c r="O36" s="74">
        <v>1.2561069385453944E-2</v>
      </c>
      <c r="P36" s="120">
        <f t="shared" si="1"/>
        <v>0</v>
      </c>
      <c r="Q36" s="160">
        <f t="shared" si="2"/>
        <v>2728856.3147020889</v>
      </c>
      <c r="S36" s="206">
        <f t="shared" si="5"/>
        <v>-222994.99087958783</v>
      </c>
      <c r="T36" s="202"/>
      <c r="U36" s="203"/>
    </row>
    <row r="37" spans="1:21" x14ac:dyDescent="0.2">
      <c r="A37" s="20">
        <v>3646</v>
      </c>
      <c r="B37" s="19" t="s">
        <v>41</v>
      </c>
      <c r="C37" s="55">
        <f t="shared" si="3"/>
        <v>4527062.6308116894</v>
      </c>
      <c r="D37" s="15">
        <f t="shared" si="6"/>
        <v>0</v>
      </c>
      <c r="E37" s="14">
        <f t="shared" si="6"/>
        <v>1231044.8074128462</v>
      </c>
      <c r="F37" s="14">
        <f t="shared" si="6"/>
        <v>0</v>
      </c>
      <c r="G37" s="13">
        <f t="shared" si="6"/>
        <v>0</v>
      </c>
      <c r="H37" s="15">
        <f t="shared" si="6"/>
        <v>0</v>
      </c>
      <c r="I37" s="13">
        <f t="shared" si="6"/>
        <v>0</v>
      </c>
      <c r="J37" s="16">
        <f t="shared" si="6"/>
        <v>2226080.3230993929</v>
      </c>
      <c r="K37" s="15">
        <f t="shared" si="6"/>
        <v>277679.86708749842</v>
      </c>
      <c r="L37" s="14">
        <f t="shared" si="6"/>
        <v>360469.85317496769</v>
      </c>
      <c r="M37" s="13">
        <f t="shared" si="6"/>
        <v>431787.78003698378</v>
      </c>
      <c r="O37" s="74">
        <v>1.8983457031793705E-2</v>
      </c>
      <c r="P37" s="120">
        <f t="shared" si="1"/>
        <v>0</v>
      </c>
      <c r="Q37" s="160">
        <f t="shared" si="2"/>
        <v>4527062.6308116894</v>
      </c>
      <c r="S37" s="206">
        <f t="shared" si="5"/>
        <v>65950.228340168484</v>
      </c>
      <c r="T37" s="202"/>
      <c r="U37" s="203"/>
    </row>
    <row r="38" spans="1:21" x14ac:dyDescent="0.2">
      <c r="A38" s="20">
        <v>3581</v>
      </c>
      <c r="B38" s="19" t="s">
        <v>40</v>
      </c>
      <c r="C38" s="55">
        <f t="shared" si="3"/>
        <v>3650717.3902897425</v>
      </c>
      <c r="D38" s="15">
        <f t="shared" ref="D38:M42" si="7">D81/$C$86*$C$43</f>
        <v>0</v>
      </c>
      <c r="E38" s="14">
        <f t="shared" si="7"/>
        <v>608936.96153909375</v>
      </c>
      <c r="F38" s="14">
        <f t="shared" si="7"/>
        <v>0</v>
      </c>
      <c r="G38" s="13">
        <f t="shared" si="7"/>
        <v>0</v>
      </c>
      <c r="H38" s="15">
        <f t="shared" si="7"/>
        <v>0</v>
      </c>
      <c r="I38" s="13">
        <f t="shared" si="7"/>
        <v>0</v>
      </c>
      <c r="J38" s="16">
        <f t="shared" si="7"/>
        <v>1693510.9862445528</v>
      </c>
      <c r="K38" s="15">
        <f t="shared" si="7"/>
        <v>271188.86837294552</v>
      </c>
      <c r="L38" s="14">
        <f t="shared" si="7"/>
        <v>415325.98249486223</v>
      </c>
      <c r="M38" s="13">
        <f t="shared" si="7"/>
        <v>661754.59163828811</v>
      </c>
      <c r="O38" s="74">
        <v>1.8519296567582645E-2</v>
      </c>
      <c r="P38" s="120">
        <f t="shared" si="1"/>
        <v>0</v>
      </c>
      <c r="Q38" s="160">
        <f t="shared" si="2"/>
        <v>3650717.3902897425</v>
      </c>
      <c r="S38" s="206">
        <f t="shared" si="5"/>
        <v>-701317.30309217889</v>
      </c>
      <c r="T38" s="202"/>
      <c r="U38" s="203"/>
    </row>
    <row r="39" spans="1:21" x14ac:dyDescent="0.2">
      <c r="A39" s="20">
        <v>3606</v>
      </c>
      <c r="B39" s="19" t="s">
        <v>39</v>
      </c>
      <c r="C39" s="55">
        <f t="shared" si="3"/>
        <v>8775721.9961178936</v>
      </c>
      <c r="D39" s="15">
        <f t="shared" si="7"/>
        <v>0</v>
      </c>
      <c r="E39" s="14">
        <f t="shared" si="7"/>
        <v>2350250.6326065604</v>
      </c>
      <c r="F39" s="14">
        <f t="shared" si="7"/>
        <v>0</v>
      </c>
      <c r="G39" s="13">
        <f t="shared" si="7"/>
        <v>0</v>
      </c>
      <c r="H39" s="15">
        <f t="shared" si="7"/>
        <v>0</v>
      </c>
      <c r="I39" s="13">
        <f t="shared" si="7"/>
        <v>0</v>
      </c>
      <c r="J39" s="16">
        <f t="shared" si="7"/>
        <v>3951723.9844167517</v>
      </c>
      <c r="K39" s="15">
        <f t="shared" si="7"/>
        <v>492430.76611767535</v>
      </c>
      <c r="L39" s="14">
        <f t="shared" si="7"/>
        <v>827118.85835556174</v>
      </c>
      <c r="M39" s="13">
        <f t="shared" si="7"/>
        <v>1154197.7546213465</v>
      </c>
      <c r="O39" s="74">
        <v>3.2554270941238916E-2</v>
      </c>
      <c r="P39" s="120">
        <f t="shared" si="1"/>
        <v>0</v>
      </c>
      <c r="Q39" s="160">
        <f t="shared" si="2"/>
        <v>8775721.9961178936</v>
      </c>
      <c r="S39" s="206">
        <f t="shared" si="5"/>
        <v>1125468.3249267479</v>
      </c>
      <c r="T39" s="202"/>
      <c r="U39" s="203"/>
    </row>
    <row r="40" spans="1:21" x14ac:dyDescent="0.2">
      <c r="A40" s="20">
        <v>3615</v>
      </c>
      <c r="B40" s="19" t="s">
        <v>85</v>
      </c>
      <c r="C40" s="55">
        <f t="shared" si="3"/>
        <v>15650385.078316005</v>
      </c>
      <c r="D40" s="15">
        <f t="shared" si="7"/>
        <v>0</v>
      </c>
      <c r="E40" s="14">
        <f t="shared" si="7"/>
        <v>4417237.0028379727</v>
      </c>
      <c r="F40" s="14">
        <f t="shared" si="7"/>
        <v>0</v>
      </c>
      <c r="G40" s="13">
        <f t="shared" si="7"/>
        <v>0</v>
      </c>
      <c r="H40" s="15">
        <f t="shared" si="7"/>
        <v>0</v>
      </c>
      <c r="I40" s="13">
        <f t="shared" si="7"/>
        <v>0</v>
      </c>
      <c r="J40" s="16">
        <f t="shared" si="7"/>
        <v>6561016.2102362756</v>
      </c>
      <c r="K40" s="15">
        <f t="shared" si="7"/>
        <v>944608.91033666185</v>
      </c>
      <c r="L40" s="14">
        <f t="shared" si="7"/>
        <v>1556147.5193679223</v>
      </c>
      <c r="M40" s="13">
        <f t="shared" si="7"/>
        <v>2171375.435537172</v>
      </c>
      <c r="O40" s="74">
        <v>6.1387457427191858E-2</v>
      </c>
      <c r="P40" s="120">
        <f t="shared" si="1"/>
        <v>0</v>
      </c>
      <c r="Q40" s="160">
        <f t="shared" si="2"/>
        <v>15650385.078316005</v>
      </c>
      <c r="S40" s="206">
        <f t="shared" si="5"/>
        <v>1224332.5829259176</v>
      </c>
      <c r="T40" s="202"/>
      <c r="U40" s="203"/>
    </row>
    <row r="41" spans="1:21" x14ac:dyDescent="0.2">
      <c r="A41" s="20">
        <v>3625</v>
      </c>
      <c r="B41" s="19" t="s">
        <v>38</v>
      </c>
      <c r="C41" s="55">
        <f t="shared" si="3"/>
        <v>538140.24022066477</v>
      </c>
      <c r="D41" s="15">
        <f t="shared" si="7"/>
        <v>0</v>
      </c>
      <c r="E41" s="14">
        <f t="shared" si="7"/>
        <v>74181.354828187628</v>
      </c>
      <c r="F41" s="14">
        <f t="shared" si="7"/>
        <v>0</v>
      </c>
      <c r="G41" s="13">
        <f t="shared" si="7"/>
        <v>0</v>
      </c>
      <c r="H41" s="15">
        <f t="shared" si="7"/>
        <v>0</v>
      </c>
      <c r="I41" s="13">
        <f t="shared" si="7"/>
        <v>0</v>
      </c>
      <c r="J41" s="16">
        <f t="shared" si="7"/>
        <v>290979.22427040985</v>
      </c>
      <c r="K41" s="15">
        <f t="shared" si="7"/>
        <v>75868.816144125274</v>
      </c>
      <c r="L41" s="14">
        <f t="shared" si="7"/>
        <v>54019.340906540157</v>
      </c>
      <c r="M41" s="13">
        <f t="shared" si="7"/>
        <v>43091.504071401869</v>
      </c>
      <c r="O41" s="74">
        <v>2.5717361648878246E-3</v>
      </c>
      <c r="P41" s="120">
        <f t="shared" si="1"/>
        <v>0</v>
      </c>
      <c r="Q41" s="160">
        <f t="shared" si="2"/>
        <v>538140.24022066477</v>
      </c>
      <c r="S41" s="206">
        <f t="shared" si="5"/>
        <v>-66217.758527974016</v>
      </c>
      <c r="T41" s="202"/>
      <c r="U41" s="203"/>
    </row>
    <row r="42" spans="1:21" x14ac:dyDescent="0.2">
      <c r="A42" s="20">
        <v>20</v>
      </c>
      <c r="B42" s="19" t="s">
        <v>37</v>
      </c>
      <c r="C42" s="64">
        <f t="shared" si="3"/>
        <v>409354.75391059101</v>
      </c>
      <c r="D42" s="15">
        <f t="shared" si="7"/>
        <v>0</v>
      </c>
      <c r="E42" s="14">
        <f t="shared" si="7"/>
        <v>66861.595227550817</v>
      </c>
      <c r="F42" s="14">
        <f t="shared" si="7"/>
        <v>0</v>
      </c>
      <c r="G42" s="13">
        <f t="shared" si="7"/>
        <v>0</v>
      </c>
      <c r="H42" s="15">
        <f t="shared" si="7"/>
        <v>0</v>
      </c>
      <c r="I42" s="13">
        <f t="shared" si="7"/>
        <v>0</v>
      </c>
      <c r="J42" s="16">
        <f t="shared" si="7"/>
        <v>257061.40058244791</v>
      </c>
      <c r="K42" s="15">
        <f t="shared" si="7"/>
        <v>58166.092377162713</v>
      </c>
      <c r="L42" s="14">
        <f t="shared" si="7"/>
        <v>25847.464323611304</v>
      </c>
      <c r="M42" s="13">
        <f t="shared" si="7"/>
        <v>1418.2013998182892</v>
      </c>
      <c r="O42" s="74">
        <v>1.4792799135503695E-3</v>
      </c>
      <c r="P42" s="120">
        <f t="shared" si="1"/>
        <v>0</v>
      </c>
      <c r="Q42" s="160">
        <f t="shared" si="2"/>
        <v>409354.75391059101</v>
      </c>
      <c r="S42" s="206">
        <f t="shared" si="5"/>
        <v>61723.974226254155</v>
      </c>
      <c r="T42" s="202"/>
      <c r="U42" s="203"/>
    </row>
    <row r="43" spans="1:21" ht="13.5" thickBot="1" x14ac:dyDescent="0.25">
      <c r="A43" s="12"/>
      <c r="B43" s="11" t="s">
        <v>11</v>
      </c>
      <c r="C43" s="62">
        <f>Q43-P43</f>
        <v>234784122.71117651</v>
      </c>
      <c r="D43" s="62">
        <f t="shared" ref="D43:M43" si="8">SUM(D5:D42)</f>
        <v>0</v>
      </c>
      <c r="E43" s="61">
        <f t="shared" si="8"/>
        <v>67779173.629644692</v>
      </c>
      <c r="F43" s="61">
        <f t="shared" si="8"/>
        <v>0</v>
      </c>
      <c r="G43" s="60">
        <f t="shared" si="8"/>
        <v>0</v>
      </c>
      <c r="H43" s="62">
        <f t="shared" si="8"/>
        <v>0</v>
      </c>
      <c r="I43" s="60">
        <f t="shared" si="8"/>
        <v>0</v>
      </c>
      <c r="J43" s="63">
        <f t="shared" si="8"/>
        <v>93055136.086692452</v>
      </c>
      <c r="K43" s="62">
        <f t="shared" si="8"/>
        <v>16400351.239164051</v>
      </c>
      <c r="L43" s="61">
        <f t="shared" si="8"/>
        <v>23012657.620392788</v>
      </c>
      <c r="M43" s="60">
        <f t="shared" si="8"/>
        <v>34536804.135282569</v>
      </c>
      <c r="O43" s="161">
        <f>SUM(O5:O42)</f>
        <v>1.0000000000000002</v>
      </c>
      <c r="P43" s="119">
        <f>SUM(P5:P42)</f>
        <v>215877.28882349801</v>
      </c>
      <c r="Q43" s="162">
        <v>235000000</v>
      </c>
      <c r="S43" s="207">
        <f t="shared" si="5"/>
        <v>0</v>
      </c>
      <c r="T43" s="202"/>
      <c r="U43" s="203"/>
    </row>
    <row r="44" spans="1:21" ht="13.5" thickBot="1" x14ac:dyDescent="0.25">
      <c r="A44" s="59"/>
      <c r="C44" s="88"/>
      <c r="D44" s="89"/>
      <c r="E44" s="58"/>
      <c r="F44" s="58"/>
      <c r="G44" s="58"/>
      <c r="H44" s="58"/>
      <c r="I44" s="58"/>
      <c r="J44" s="58"/>
      <c r="K44" s="58"/>
      <c r="L44" s="58"/>
      <c r="M44" s="58"/>
      <c r="O44" s="163" t="s">
        <v>91</v>
      </c>
      <c r="P44" s="164">
        <v>5.0000000000000001E-3</v>
      </c>
      <c r="Q44" s="165"/>
    </row>
    <row r="45" spans="1:21" ht="13.5" thickBot="1" x14ac:dyDescent="0.25">
      <c r="A45" s="57" t="s">
        <v>76</v>
      </c>
    </row>
    <row r="46" spans="1:21" ht="12.75" customHeight="1" outlineLevel="1" x14ac:dyDescent="0.2">
      <c r="A46" s="234" t="s">
        <v>24</v>
      </c>
      <c r="B46" s="236" t="s">
        <v>23</v>
      </c>
      <c r="C46" s="238" t="s">
        <v>36</v>
      </c>
      <c r="D46" s="247" t="s">
        <v>35</v>
      </c>
      <c r="E46" s="248"/>
      <c r="F46" s="248"/>
      <c r="G46" s="249"/>
      <c r="H46" s="250" t="s">
        <v>18</v>
      </c>
      <c r="I46" s="225" t="s">
        <v>17</v>
      </c>
      <c r="J46" s="227" t="s">
        <v>16</v>
      </c>
      <c r="K46" s="229" t="s">
        <v>34</v>
      </c>
      <c r="L46" s="230"/>
      <c r="M46" s="230"/>
      <c r="N46" s="232" t="s">
        <v>86</v>
      </c>
    </row>
    <row r="47" spans="1:21" ht="51" outlineLevel="1" x14ac:dyDescent="0.2">
      <c r="A47" s="235"/>
      <c r="B47" s="237"/>
      <c r="C47" s="239"/>
      <c r="D47" s="192"/>
      <c r="E47" s="121" t="s">
        <v>33</v>
      </c>
      <c r="F47" s="121" t="s">
        <v>32</v>
      </c>
      <c r="G47" s="193" t="s">
        <v>31</v>
      </c>
      <c r="H47" s="251"/>
      <c r="I47" s="226"/>
      <c r="J47" s="228"/>
      <c r="K47" s="188" t="s">
        <v>14</v>
      </c>
      <c r="L47" s="189" t="s">
        <v>13</v>
      </c>
      <c r="M47" s="187" t="s">
        <v>12</v>
      </c>
      <c r="N47" s="233"/>
    </row>
    <row r="48" spans="1:21" outlineLevel="1" x14ac:dyDescent="0.2">
      <c r="A48" s="40">
        <f t="shared" ref="A48:B63" si="9">A5</f>
        <v>3656</v>
      </c>
      <c r="B48" s="39" t="str">
        <f t="shared" si="9"/>
        <v>UTA</v>
      </c>
      <c r="C48" s="191">
        <f t="shared" ref="C48:C85" si="10">SUM(D48:M48)</f>
        <v>16199.5725</v>
      </c>
      <c r="D48" s="36">
        <f t="shared" ref="D48:M48" si="11">D90*D156</f>
        <v>0</v>
      </c>
      <c r="E48" s="56">
        <f t="shared" si="11"/>
        <v>4551.7441666666673</v>
      </c>
      <c r="F48" s="56">
        <f t="shared" si="11"/>
        <v>0</v>
      </c>
      <c r="G48" s="35">
        <f t="shared" si="11"/>
        <v>0</v>
      </c>
      <c r="H48" s="36">
        <f t="shared" si="11"/>
        <v>0</v>
      </c>
      <c r="I48" s="35">
        <f t="shared" si="11"/>
        <v>0</v>
      </c>
      <c r="J48" s="34">
        <f t="shared" si="11"/>
        <v>7478.4</v>
      </c>
      <c r="K48" s="36">
        <f t="shared" si="11"/>
        <v>1162.1766666666667</v>
      </c>
      <c r="L48" s="56">
        <f t="shared" si="11"/>
        <v>1437.6249999999998</v>
      </c>
      <c r="M48" s="35">
        <f t="shared" si="11"/>
        <v>1569.626666666667</v>
      </c>
      <c r="N48" s="110" t="s">
        <v>80</v>
      </c>
    </row>
    <row r="49" spans="1:14" outlineLevel="1" x14ac:dyDescent="0.2">
      <c r="A49" s="20">
        <f t="shared" si="9"/>
        <v>3658</v>
      </c>
      <c r="B49" s="19" t="str">
        <f t="shared" si="9"/>
        <v>UT</v>
      </c>
      <c r="C49" s="55">
        <f t="shared" si="10"/>
        <v>33880.413366666668</v>
      </c>
      <c r="D49" s="15">
        <f t="shared" ref="D49:M49" si="12">D91*D157</f>
        <v>0</v>
      </c>
      <c r="E49" s="14">
        <f t="shared" si="12"/>
        <v>15574.671700000003</v>
      </c>
      <c r="F49" s="14">
        <f t="shared" si="12"/>
        <v>0</v>
      </c>
      <c r="G49" s="13">
        <f t="shared" si="12"/>
        <v>0</v>
      </c>
      <c r="H49" s="15">
        <f t="shared" si="12"/>
        <v>0</v>
      </c>
      <c r="I49" s="13">
        <f t="shared" si="12"/>
        <v>0</v>
      </c>
      <c r="J49" s="16">
        <f t="shared" si="12"/>
        <v>5552.5333333333338</v>
      </c>
      <c r="K49" s="15">
        <f t="shared" si="12"/>
        <v>1631.7166666666669</v>
      </c>
      <c r="L49" s="14">
        <f t="shared" si="12"/>
        <v>3377.1249999999995</v>
      </c>
      <c r="M49" s="13">
        <f t="shared" si="12"/>
        <v>7744.3666666666668</v>
      </c>
      <c r="N49" s="108" t="s">
        <v>79</v>
      </c>
    </row>
    <row r="50" spans="1:14" outlineLevel="1" x14ac:dyDescent="0.2">
      <c r="A50" s="20">
        <f t="shared" si="9"/>
        <v>9741</v>
      </c>
      <c r="B50" s="19" t="str">
        <f t="shared" si="9"/>
        <v>UTD</v>
      </c>
      <c r="C50" s="55">
        <f t="shared" si="10"/>
        <v>8373.886583333333</v>
      </c>
      <c r="D50" s="15">
        <f t="shared" ref="D50:M50" si="13">D92*D158</f>
        <v>0</v>
      </c>
      <c r="E50" s="14">
        <f t="shared" si="13"/>
        <v>2943.9882499999999</v>
      </c>
      <c r="F50" s="14">
        <f t="shared" si="13"/>
        <v>0</v>
      </c>
      <c r="G50" s="13">
        <f t="shared" si="13"/>
        <v>0</v>
      </c>
      <c r="H50" s="15">
        <f t="shared" si="13"/>
        <v>0</v>
      </c>
      <c r="I50" s="13">
        <f t="shared" si="13"/>
        <v>0</v>
      </c>
      <c r="J50" s="16">
        <f t="shared" si="13"/>
        <v>3167.2000000000003</v>
      </c>
      <c r="K50" s="15">
        <f t="shared" si="13"/>
        <v>563.55000000000007</v>
      </c>
      <c r="L50" s="14">
        <f t="shared" si="13"/>
        <v>800.37500000000011</v>
      </c>
      <c r="M50" s="13">
        <f t="shared" si="13"/>
        <v>898.77333333333343</v>
      </c>
      <c r="N50" s="108" t="s">
        <v>80</v>
      </c>
    </row>
    <row r="51" spans="1:14" outlineLevel="1" x14ac:dyDescent="0.2">
      <c r="A51" s="20">
        <f t="shared" si="9"/>
        <v>3661</v>
      </c>
      <c r="B51" s="19" t="str">
        <f t="shared" si="9"/>
        <v>UTEP</v>
      </c>
      <c r="C51" s="55">
        <f t="shared" si="10"/>
        <v>11722.985833333334</v>
      </c>
      <c r="D51" s="15">
        <f t="shared" ref="D51:M51" si="14">D93*D159</f>
        <v>0</v>
      </c>
      <c r="E51" s="14">
        <f t="shared" si="14"/>
        <v>2086.4024999999997</v>
      </c>
      <c r="F51" s="14">
        <f t="shared" si="14"/>
        <v>0</v>
      </c>
      <c r="G51" s="13">
        <f t="shared" si="14"/>
        <v>0</v>
      </c>
      <c r="H51" s="15">
        <f t="shared" si="14"/>
        <v>0</v>
      </c>
      <c r="I51" s="13">
        <f t="shared" si="14"/>
        <v>0</v>
      </c>
      <c r="J51" s="16">
        <f t="shared" si="14"/>
        <v>5914.4000000000005</v>
      </c>
      <c r="K51" s="15">
        <f t="shared" si="14"/>
        <v>741.65333333333342</v>
      </c>
      <c r="L51" s="14">
        <f t="shared" si="14"/>
        <v>1259.25</v>
      </c>
      <c r="M51" s="13">
        <f t="shared" si="14"/>
        <v>1721.2800000000004</v>
      </c>
      <c r="N51" s="108" t="s">
        <v>80</v>
      </c>
    </row>
    <row r="52" spans="1:14" outlineLevel="1" x14ac:dyDescent="0.2">
      <c r="A52" s="20">
        <f t="shared" si="9"/>
        <v>3599</v>
      </c>
      <c r="B52" s="19" t="str">
        <f t="shared" si="9"/>
        <v>UTPA</v>
      </c>
      <c r="C52" s="55">
        <f t="shared" si="10"/>
        <v>11118.385000000002</v>
      </c>
      <c r="D52" s="15">
        <f t="shared" ref="D52:M52" si="15">D94*D160</f>
        <v>0</v>
      </c>
      <c r="E52" s="14">
        <f t="shared" si="15"/>
        <v>1945.9650000000001</v>
      </c>
      <c r="F52" s="14">
        <f t="shared" si="15"/>
        <v>0</v>
      </c>
      <c r="G52" s="13">
        <f t="shared" si="15"/>
        <v>0</v>
      </c>
      <c r="H52" s="15">
        <f t="shared" si="15"/>
        <v>0</v>
      </c>
      <c r="I52" s="13">
        <f t="shared" si="15"/>
        <v>0</v>
      </c>
      <c r="J52" s="16">
        <f t="shared" si="15"/>
        <v>5612</v>
      </c>
      <c r="K52" s="15">
        <f t="shared" si="15"/>
        <v>692.80666666666673</v>
      </c>
      <c r="L52" s="14">
        <f t="shared" si="15"/>
        <v>1161</v>
      </c>
      <c r="M52" s="13">
        <f t="shared" si="15"/>
        <v>1706.6133333333337</v>
      </c>
      <c r="N52" s="108" t="s">
        <v>81</v>
      </c>
    </row>
    <row r="53" spans="1:14" outlineLevel="1" x14ac:dyDescent="0.2">
      <c r="A53" s="20">
        <f t="shared" si="9"/>
        <v>30646</v>
      </c>
      <c r="B53" s="19" t="str">
        <f t="shared" si="9"/>
        <v>UTB</v>
      </c>
      <c r="C53" s="55">
        <f t="shared" si="10"/>
        <v>4051.1707845644519</v>
      </c>
      <c r="D53" s="15">
        <f t="shared" ref="D53:M53" si="16">D95*D161</f>
        <v>0</v>
      </c>
      <c r="E53" s="14">
        <f t="shared" si="16"/>
        <v>1099.299117897785</v>
      </c>
      <c r="F53" s="14">
        <f t="shared" si="16"/>
        <v>0</v>
      </c>
      <c r="G53" s="13">
        <f t="shared" si="16"/>
        <v>0</v>
      </c>
      <c r="H53" s="15">
        <f t="shared" si="16"/>
        <v>0</v>
      </c>
      <c r="I53" s="13">
        <f t="shared" si="16"/>
        <v>0</v>
      </c>
      <c r="J53" s="16">
        <f t="shared" si="16"/>
        <v>2248</v>
      </c>
      <c r="K53" s="15">
        <f t="shared" si="16"/>
        <v>450.95333333333332</v>
      </c>
      <c r="L53" s="14">
        <f t="shared" si="16"/>
        <v>208.62500000000003</v>
      </c>
      <c r="M53" s="13">
        <f t="shared" si="16"/>
        <v>44.293333333333344</v>
      </c>
      <c r="N53" s="108" t="s">
        <v>82</v>
      </c>
    </row>
    <row r="54" spans="1:14" outlineLevel="1" x14ac:dyDescent="0.2">
      <c r="A54" s="20">
        <f t="shared" si="9"/>
        <v>9930</v>
      </c>
      <c r="B54" s="19" t="str">
        <f t="shared" si="9"/>
        <v>UTPB</v>
      </c>
      <c r="C54" s="55">
        <f t="shared" si="10"/>
        <v>1909.0083333333332</v>
      </c>
      <c r="D54" s="15">
        <f t="shared" ref="D54:M54" si="17">D96*D162</f>
        <v>0</v>
      </c>
      <c r="E54" s="14">
        <f t="shared" si="17"/>
        <v>414.40000000000003</v>
      </c>
      <c r="F54" s="14">
        <f t="shared" si="17"/>
        <v>0</v>
      </c>
      <c r="G54" s="13">
        <f t="shared" si="17"/>
        <v>0</v>
      </c>
      <c r="H54" s="15">
        <f t="shared" si="17"/>
        <v>0</v>
      </c>
      <c r="I54" s="13">
        <f t="shared" si="17"/>
        <v>0</v>
      </c>
      <c r="J54" s="16">
        <f t="shared" si="17"/>
        <v>957.59999999999991</v>
      </c>
      <c r="K54" s="15">
        <f t="shared" si="17"/>
        <v>267.12666666666667</v>
      </c>
      <c r="L54" s="14">
        <f t="shared" si="17"/>
        <v>184.375</v>
      </c>
      <c r="M54" s="13">
        <f t="shared" si="17"/>
        <v>85.506666666666689</v>
      </c>
      <c r="N54" s="108" t="s">
        <v>82</v>
      </c>
    </row>
    <row r="55" spans="1:14" outlineLevel="1" x14ac:dyDescent="0.2">
      <c r="A55" s="20">
        <f t="shared" si="9"/>
        <v>10115</v>
      </c>
      <c r="B55" s="19" t="str">
        <f t="shared" si="9"/>
        <v>UTSA</v>
      </c>
      <c r="C55" s="55">
        <f t="shared" si="10"/>
        <v>15668.200694444444</v>
      </c>
      <c r="D55" s="15">
        <f t="shared" ref="D55:M55" si="18">D97*D163</f>
        <v>0</v>
      </c>
      <c r="E55" s="14">
        <f t="shared" si="18"/>
        <v>3039.9706944444447</v>
      </c>
      <c r="F55" s="14">
        <f t="shared" si="18"/>
        <v>0</v>
      </c>
      <c r="G55" s="13">
        <f t="shared" si="18"/>
        <v>0</v>
      </c>
      <c r="H55" s="15">
        <f t="shared" si="18"/>
        <v>0</v>
      </c>
      <c r="I55" s="13">
        <f t="shared" si="18"/>
        <v>0</v>
      </c>
      <c r="J55" s="16">
        <f t="shared" si="18"/>
        <v>7496.7999999999993</v>
      </c>
      <c r="K55" s="15">
        <f t="shared" si="18"/>
        <v>1157.6433333333334</v>
      </c>
      <c r="L55" s="14">
        <f t="shared" si="18"/>
        <v>1672.0000000000002</v>
      </c>
      <c r="M55" s="13">
        <f t="shared" si="18"/>
        <v>2301.7866666666669</v>
      </c>
      <c r="N55" s="108" t="s">
        <v>80</v>
      </c>
    </row>
    <row r="56" spans="1:14" outlineLevel="1" x14ac:dyDescent="0.2">
      <c r="A56" s="20">
        <f t="shared" si="9"/>
        <v>11163</v>
      </c>
      <c r="B56" s="19" t="str">
        <f t="shared" si="9"/>
        <v>UTT</v>
      </c>
      <c r="C56" s="55">
        <f t="shared" si="10"/>
        <v>4328.0058333333327</v>
      </c>
      <c r="D56" s="15">
        <f t="shared" ref="D56:M56" si="19">D98*D164</f>
        <v>0</v>
      </c>
      <c r="E56" s="14">
        <f t="shared" si="19"/>
        <v>1073.8758333333335</v>
      </c>
      <c r="F56" s="14">
        <f t="shared" si="19"/>
        <v>0</v>
      </c>
      <c r="G56" s="13">
        <f t="shared" si="19"/>
        <v>0</v>
      </c>
      <c r="H56" s="15">
        <f t="shared" si="19"/>
        <v>0</v>
      </c>
      <c r="I56" s="13">
        <f t="shared" si="19"/>
        <v>0</v>
      </c>
      <c r="J56" s="16">
        <f t="shared" si="19"/>
        <v>2261.6</v>
      </c>
      <c r="K56" s="15">
        <f t="shared" si="19"/>
        <v>488.3533333333333</v>
      </c>
      <c r="L56" s="14">
        <f t="shared" si="19"/>
        <v>333.75</v>
      </c>
      <c r="M56" s="13">
        <f t="shared" si="19"/>
        <v>170.42666666666668</v>
      </c>
      <c r="N56" s="108" t="s">
        <v>82</v>
      </c>
    </row>
    <row r="57" spans="1:14" outlineLevel="1" x14ac:dyDescent="0.2">
      <c r="A57" s="20">
        <f t="shared" si="9"/>
        <v>3632</v>
      </c>
      <c r="B57" s="19" t="str">
        <f t="shared" si="9"/>
        <v>TAMU</v>
      </c>
      <c r="C57" s="55">
        <f t="shared" si="10"/>
        <v>34025.404199999997</v>
      </c>
      <c r="D57" s="15">
        <f t="shared" ref="D57:M57" si="20">D99*D165</f>
        <v>0</v>
      </c>
      <c r="E57" s="14">
        <f t="shared" si="20"/>
        <v>15429.00753333333</v>
      </c>
      <c r="F57" s="14">
        <f t="shared" si="20"/>
        <v>0</v>
      </c>
      <c r="G57" s="13">
        <f t="shared" si="20"/>
        <v>0</v>
      </c>
      <c r="H57" s="15">
        <f t="shared" si="20"/>
        <v>0</v>
      </c>
      <c r="I57" s="13">
        <f t="shared" si="20"/>
        <v>0</v>
      </c>
      <c r="J57" s="16">
        <f t="shared" si="20"/>
        <v>5958.4000000000005</v>
      </c>
      <c r="K57" s="15">
        <f t="shared" si="20"/>
        <v>1710.3133333333333</v>
      </c>
      <c r="L57" s="14">
        <f t="shared" si="20"/>
        <v>3340.2500000000005</v>
      </c>
      <c r="M57" s="13">
        <f t="shared" si="20"/>
        <v>7587.4333333333343</v>
      </c>
      <c r="N57" s="108" t="s">
        <v>79</v>
      </c>
    </row>
    <row r="58" spans="1:14" outlineLevel="1" x14ac:dyDescent="0.2">
      <c r="A58" s="20">
        <f t="shared" si="9"/>
        <v>10298</v>
      </c>
      <c r="B58" s="19" t="str">
        <f t="shared" si="9"/>
        <v>TAMUG</v>
      </c>
      <c r="C58" s="55">
        <f t="shared" si="10"/>
        <v>1665.5301666666669</v>
      </c>
      <c r="D58" s="15">
        <f t="shared" ref="D58:M58" si="21">D100*D166*1.5</f>
        <v>0</v>
      </c>
      <c r="E58" s="14">
        <f t="shared" si="21"/>
        <v>453.40516666666667</v>
      </c>
      <c r="F58" s="14">
        <f t="shared" si="21"/>
        <v>0</v>
      </c>
      <c r="G58" s="13">
        <f t="shared" si="21"/>
        <v>0</v>
      </c>
      <c r="H58" s="15">
        <f t="shared" si="21"/>
        <v>0</v>
      </c>
      <c r="I58" s="13">
        <f t="shared" si="21"/>
        <v>0</v>
      </c>
      <c r="J58" s="16">
        <f t="shared" si="21"/>
        <v>568.79999999999995</v>
      </c>
      <c r="K58" s="15">
        <f t="shared" si="21"/>
        <v>302.09000000000003</v>
      </c>
      <c r="L58" s="14">
        <f t="shared" si="21"/>
        <v>178.875</v>
      </c>
      <c r="M58" s="13">
        <f t="shared" si="21"/>
        <v>162.36000000000001</v>
      </c>
      <c r="N58" s="108" t="s">
        <v>82</v>
      </c>
    </row>
    <row r="59" spans="1:14" outlineLevel="1" x14ac:dyDescent="0.2">
      <c r="A59" s="20">
        <f t="shared" si="9"/>
        <v>3630</v>
      </c>
      <c r="B59" s="19" t="str">
        <f t="shared" si="9"/>
        <v>Prairie View</v>
      </c>
      <c r="C59" s="55">
        <f t="shared" si="10"/>
        <v>4058.5351388888889</v>
      </c>
      <c r="D59" s="15">
        <f t="shared" ref="D59:M59" si="22">D101*D167</f>
        <v>0</v>
      </c>
      <c r="E59" s="14">
        <f t="shared" si="22"/>
        <v>609.0068055555555</v>
      </c>
      <c r="F59" s="14">
        <f t="shared" si="22"/>
        <v>0</v>
      </c>
      <c r="G59" s="13">
        <f t="shared" si="22"/>
        <v>0</v>
      </c>
      <c r="H59" s="15">
        <f t="shared" si="22"/>
        <v>0</v>
      </c>
      <c r="I59" s="13">
        <f t="shared" si="22"/>
        <v>0</v>
      </c>
      <c r="J59" s="16">
        <f t="shared" si="22"/>
        <v>1926.3999999999999</v>
      </c>
      <c r="K59" s="15">
        <f t="shared" si="22"/>
        <v>283.56</v>
      </c>
      <c r="L59" s="14">
        <f t="shared" si="22"/>
        <v>442.875</v>
      </c>
      <c r="M59" s="13">
        <f t="shared" si="22"/>
        <v>796.6933333333335</v>
      </c>
      <c r="N59" s="108" t="s">
        <v>83</v>
      </c>
    </row>
    <row r="60" spans="1:14" outlineLevel="1" x14ac:dyDescent="0.2">
      <c r="A60" s="20">
        <f t="shared" si="9"/>
        <v>3631</v>
      </c>
      <c r="B60" s="19" t="str">
        <f t="shared" si="9"/>
        <v>Tarleton</v>
      </c>
      <c r="C60" s="55">
        <f t="shared" si="10"/>
        <v>5784.3046666666669</v>
      </c>
      <c r="D60" s="15">
        <f t="shared" ref="D60:M60" si="23">D102*D168</f>
        <v>0</v>
      </c>
      <c r="E60" s="14">
        <f t="shared" si="23"/>
        <v>1292.6713333333335</v>
      </c>
      <c r="F60" s="14">
        <f t="shared" si="23"/>
        <v>0</v>
      </c>
      <c r="G60" s="13">
        <f t="shared" si="23"/>
        <v>0</v>
      </c>
      <c r="H60" s="15">
        <f t="shared" si="23"/>
        <v>0</v>
      </c>
      <c r="I60" s="13">
        <f t="shared" si="23"/>
        <v>0</v>
      </c>
      <c r="J60" s="16">
        <f t="shared" si="23"/>
        <v>2868</v>
      </c>
      <c r="K60" s="15">
        <f t="shared" si="23"/>
        <v>366.23666666666668</v>
      </c>
      <c r="L60" s="14">
        <f t="shared" si="23"/>
        <v>498.25</v>
      </c>
      <c r="M60" s="13">
        <f t="shared" si="23"/>
        <v>759.14666666666676</v>
      </c>
      <c r="N60" s="108" t="s">
        <v>83</v>
      </c>
    </row>
    <row r="61" spans="1:14" outlineLevel="1" x14ac:dyDescent="0.2">
      <c r="A61" s="27">
        <f t="shared" si="9"/>
        <v>103631</v>
      </c>
      <c r="B61" s="19" t="str">
        <f t="shared" si="9"/>
        <v>TAMUCT</v>
      </c>
      <c r="C61" s="55">
        <f t="shared" si="10"/>
        <v>1403.0038333333332</v>
      </c>
      <c r="D61" s="15">
        <f t="shared" ref="D61:M61" si="24">D103*D169</f>
        <v>0</v>
      </c>
      <c r="E61" s="14">
        <f t="shared" si="24"/>
        <v>385.06883333333332</v>
      </c>
      <c r="F61" s="14">
        <f t="shared" si="24"/>
        <v>0</v>
      </c>
      <c r="G61" s="13">
        <f t="shared" si="24"/>
        <v>0</v>
      </c>
      <c r="H61" s="15">
        <f t="shared" si="24"/>
        <v>0</v>
      </c>
      <c r="I61" s="13">
        <f t="shared" si="24"/>
        <v>0</v>
      </c>
      <c r="J61" s="16">
        <f t="shared" si="24"/>
        <v>784.8</v>
      </c>
      <c r="K61" s="15">
        <f t="shared" si="24"/>
        <v>168.3</v>
      </c>
      <c r="L61" s="14">
        <f t="shared" si="24"/>
        <v>49.875</v>
      </c>
      <c r="M61" s="13">
        <f t="shared" si="24"/>
        <v>14.960000000000003</v>
      </c>
      <c r="N61" s="108" t="s">
        <v>82</v>
      </c>
    </row>
    <row r="62" spans="1:14" outlineLevel="1" x14ac:dyDescent="0.2">
      <c r="A62" s="20">
        <f t="shared" si="9"/>
        <v>11161</v>
      </c>
      <c r="B62" s="19" t="str">
        <f t="shared" si="9"/>
        <v>TAMUCC</v>
      </c>
      <c r="C62" s="55">
        <f t="shared" si="10"/>
        <v>5498.8416666666672</v>
      </c>
      <c r="D62" s="15">
        <f t="shared" ref="D62:M62" si="25">D104*D170</f>
        <v>0</v>
      </c>
      <c r="E62" s="14">
        <f t="shared" si="25"/>
        <v>1234.2283333333332</v>
      </c>
      <c r="F62" s="14">
        <f t="shared" si="25"/>
        <v>0</v>
      </c>
      <c r="G62" s="13">
        <f t="shared" si="25"/>
        <v>0</v>
      </c>
      <c r="H62" s="15">
        <f t="shared" si="25"/>
        <v>0</v>
      </c>
      <c r="I62" s="13">
        <f t="shared" si="25"/>
        <v>0</v>
      </c>
      <c r="J62" s="16">
        <f t="shared" si="25"/>
        <v>2592</v>
      </c>
      <c r="K62" s="15">
        <f t="shared" si="25"/>
        <v>349.18</v>
      </c>
      <c r="L62" s="14">
        <f t="shared" si="25"/>
        <v>550.5</v>
      </c>
      <c r="M62" s="13">
        <f t="shared" si="25"/>
        <v>772.93333333333339</v>
      </c>
      <c r="N62" s="108" t="s">
        <v>81</v>
      </c>
    </row>
    <row r="63" spans="1:14" outlineLevel="1" x14ac:dyDescent="0.2">
      <c r="A63" s="20">
        <f t="shared" si="9"/>
        <v>3639</v>
      </c>
      <c r="B63" s="19" t="str">
        <f t="shared" si="9"/>
        <v>TAMUK</v>
      </c>
      <c r="C63" s="55">
        <f t="shared" si="10"/>
        <v>3114.9251388888888</v>
      </c>
      <c r="D63" s="15">
        <f t="shared" ref="D63:M63" si="26">D105*D171</f>
        <v>0</v>
      </c>
      <c r="E63" s="14">
        <f t="shared" si="26"/>
        <v>536.2768055555556</v>
      </c>
      <c r="F63" s="14">
        <f t="shared" si="26"/>
        <v>0</v>
      </c>
      <c r="G63" s="13">
        <f t="shared" si="26"/>
        <v>0</v>
      </c>
      <c r="H63" s="15">
        <f t="shared" si="26"/>
        <v>0</v>
      </c>
      <c r="I63" s="13">
        <f t="shared" si="26"/>
        <v>0</v>
      </c>
      <c r="J63" s="16">
        <f t="shared" si="26"/>
        <v>1556</v>
      </c>
      <c r="K63" s="15">
        <f t="shared" si="26"/>
        <v>208.64666666666668</v>
      </c>
      <c r="L63" s="14">
        <f t="shared" si="26"/>
        <v>322.37499999999994</v>
      </c>
      <c r="M63" s="13">
        <f t="shared" si="26"/>
        <v>491.62666666666667</v>
      </c>
      <c r="N63" s="108" t="s">
        <v>81</v>
      </c>
    </row>
    <row r="64" spans="1:14" outlineLevel="1" x14ac:dyDescent="0.2">
      <c r="A64" s="27">
        <f t="shared" ref="A64:B79" si="27">A21</f>
        <v>103639</v>
      </c>
      <c r="B64" s="19" t="str">
        <f t="shared" si="27"/>
        <v>TAMUSA</v>
      </c>
      <c r="C64" s="55">
        <f t="shared" si="10"/>
        <v>1868.8263055555556</v>
      </c>
      <c r="D64" s="15">
        <f t="shared" ref="D64:M64" si="28">D106*D172</f>
        <v>0</v>
      </c>
      <c r="E64" s="14">
        <f t="shared" si="28"/>
        <v>413.76630555555556</v>
      </c>
      <c r="F64" s="14">
        <f t="shared" si="28"/>
        <v>0</v>
      </c>
      <c r="G64" s="13">
        <f t="shared" si="28"/>
        <v>0</v>
      </c>
      <c r="H64" s="15">
        <f t="shared" si="28"/>
        <v>0</v>
      </c>
      <c r="I64" s="13">
        <f t="shared" si="28"/>
        <v>0</v>
      </c>
      <c r="J64" s="16">
        <f t="shared" si="28"/>
        <v>1176.8</v>
      </c>
      <c r="K64" s="15">
        <f t="shared" si="28"/>
        <v>248.08666666666664</v>
      </c>
      <c r="L64" s="14">
        <f t="shared" si="28"/>
        <v>28.999999999999996</v>
      </c>
      <c r="M64" s="13">
        <f t="shared" si="28"/>
        <v>1.1733333333333336</v>
      </c>
      <c r="N64" s="108" t="s">
        <v>82</v>
      </c>
    </row>
    <row r="65" spans="1:14" outlineLevel="1" x14ac:dyDescent="0.2">
      <c r="A65" s="20">
        <f t="shared" si="27"/>
        <v>9651</v>
      </c>
      <c r="B65" s="19" t="str">
        <f t="shared" si="27"/>
        <v>TAMI</v>
      </c>
      <c r="C65" s="55">
        <f t="shared" si="10"/>
        <v>3401.3422222222221</v>
      </c>
      <c r="D65" s="15">
        <f t="shared" ref="D65:M65" si="29">D107*D173</f>
        <v>0</v>
      </c>
      <c r="E65" s="14">
        <f t="shared" si="29"/>
        <v>654.10722222222216</v>
      </c>
      <c r="F65" s="14">
        <f t="shared" si="29"/>
        <v>0</v>
      </c>
      <c r="G65" s="13">
        <f t="shared" si="29"/>
        <v>0</v>
      </c>
      <c r="H65" s="15">
        <f t="shared" si="29"/>
        <v>0</v>
      </c>
      <c r="I65" s="13">
        <f t="shared" si="29"/>
        <v>0</v>
      </c>
      <c r="J65" s="16">
        <f t="shared" si="29"/>
        <v>1710.3999999999999</v>
      </c>
      <c r="K65" s="15">
        <f t="shared" si="29"/>
        <v>239.13333333333335</v>
      </c>
      <c r="L65" s="14">
        <f t="shared" si="29"/>
        <v>380.87499999999994</v>
      </c>
      <c r="M65" s="13">
        <f t="shared" si="29"/>
        <v>416.82666666666677</v>
      </c>
      <c r="N65" s="108" t="s">
        <v>83</v>
      </c>
    </row>
    <row r="66" spans="1:14" outlineLevel="1" x14ac:dyDescent="0.2">
      <c r="A66" s="20">
        <f t="shared" si="27"/>
        <v>3665</v>
      </c>
      <c r="B66" s="19" t="str">
        <f t="shared" si="27"/>
        <v>WTAMU</v>
      </c>
      <c r="C66" s="55">
        <f t="shared" si="10"/>
        <v>4509.9574444444452</v>
      </c>
      <c r="D66" s="15">
        <f t="shared" ref="D66:M66" si="30">D108*D174</f>
        <v>0</v>
      </c>
      <c r="E66" s="14">
        <f t="shared" si="30"/>
        <v>1034.2507777777778</v>
      </c>
      <c r="F66" s="14">
        <f t="shared" si="30"/>
        <v>0</v>
      </c>
      <c r="G66" s="13">
        <f t="shared" si="30"/>
        <v>0</v>
      </c>
      <c r="H66" s="15">
        <f t="shared" si="30"/>
        <v>0</v>
      </c>
      <c r="I66" s="13">
        <f t="shared" si="30"/>
        <v>0</v>
      </c>
      <c r="J66" s="16">
        <f t="shared" si="30"/>
        <v>2134.4</v>
      </c>
      <c r="K66" s="15">
        <f t="shared" si="30"/>
        <v>304.58333333333337</v>
      </c>
      <c r="L66" s="14">
        <f t="shared" si="30"/>
        <v>454.75000000000006</v>
      </c>
      <c r="M66" s="13">
        <f t="shared" si="30"/>
        <v>581.97333333333347</v>
      </c>
      <c r="N66" s="108" t="s">
        <v>83</v>
      </c>
    </row>
    <row r="67" spans="1:14" outlineLevel="1" x14ac:dyDescent="0.2">
      <c r="A67" s="20">
        <f t="shared" si="27"/>
        <v>3565</v>
      </c>
      <c r="B67" s="19" t="str">
        <f t="shared" si="27"/>
        <v>TAMUC</v>
      </c>
      <c r="C67" s="55">
        <f t="shared" si="10"/>
        <v>4612.5</v>
      </c>
      <c r="D67" s="15">
        <f t="shared" ref="D67:M67" si="31">D109*D175</f>
        <v>0</v>
      </c>
      <c r="E67" s="14">
        <f t="shared" si="31"/>
        <v>1019.7366666666666</v>
      </c>
      <c r="F67" s="14">
        <f t="shared" si="31"/>
        <v>0</v>
      </c>
      <c r="G67" s="13">
        <f t="shared" si="31"/>
        <v>0</v>
      </c>
      <c r="H67" s="15">
        <f t="shared" si="31"/>
        <v>0</v>
      </c>
      <c r="I67" s="13">
        <f t="shared" si="31"/>
        <v>0</v>
      </c>
      <c r="J67" s="16">
        <f t="shared" si="31"/>
        <v>2446.4</v>
      </c>
      <c r="K67" s="15">
        <f t="shared" si="31"/>
        <v>321.81</v>
      </c>
      <c r="L67" s="14">
        <f t="shared" si="31"/>
        <v>426.49999999999994</v>
      </c>
      <c r="M67" s="13">
        <f t="shared" si="31"/>
        <v>398.05333333333334</v>
      </c>
      <c r="N67" s="108" t="s">
        <v>81</v>
      </c>
    </row>
    <row r="68" spans="1:14" outlineLevel="1" x14ac:dyDescent="0.2">
      <c r="A68" s="20">
        <f t="shared" si="27"/>
        <v>29269</v>
      </c>
      <c r="B68" s="19" t="str">
        <f t="shared" si="27"/>
        <v>TAMUT</v>
      </c>
      <c r="C68" s="55">
        <f t="shared" si="10"/>
        <v>1116.7554594569656</v>
      </c>
      <c r="D68" s="15">
        <f t="shared" ref="D68:M68" si="32">D110*D176</f>
        <v>0</v>
      </c>
      <c r="E68" s="14">
        <f t="shared" si="32"/>
        <v>327.88045945696564</v>
      </c>
      <c r="F68" s="14">
        <f t="shared" si="32"/>
        <v>0</v>
      </c>
      <c r="G68" s="13">
        <f t="shared" si="32"/>
        <v>0</v>
      </c>
      <c r="H68" s="15">
        <f t="shared" si="32"/>
        <v>0</v>
      </c>
      <c r="I68" s="13">
        <f t="shared" si="32"/>
        <v>0</v>
      </c>
      <c r="J68" s="16">
        <f t="shared" si="32"/>
        <v>573.6</v>
      </c>
      <c r="K68" s="15">
        <f t="shared" si="32"/>
        <v>147.10666666666665</v>
      </c>
      <c r="L68" s="14">
        <f t="shared" si="32"/>
        <v>67.875</v>
      </c>
      <c r="M68" s="13">
        <f t="shared" si="32"/>
        <v>0.29333333333333339</v>
      </c>
      <c r="N68" s="108" t="s">
        <v>82</v>
      </c>
    </row>
    <row r="69" spans="1:14" outlineLevel="1" x14ac:dyDescent="0.2">
      <c r="A69" s="20">
        <f t="shared" si="27"/>
        <v>3652</v>
      </c>
      <c r="B69" s="19" t="str">
        <f t="shared" si="27"/>
        <v>UH</v>
      </c>
      <c r="C69" s="55">
        <f t="shared" si="10"/>
        <v>19217.448555555558</v>
      </c>
      <c r="D69" s="15">
        <f t="shared" ref="D69:M69" si="33">D111*D177</f>
        <v>0</v>
      </c>
      <c r="E69" s="14">
        <f t="shared" si="33"/>
        <v>4785.5235555555555</v>
      </c>
      <c r="F69" s="14">
        <f t="shared" si="33"/>
        <v>0</v>
      </c>
      <c r="G69" s="13">
        <f t="shared" si="33"/>
        <v>0</v>
      </c>
      <c r="H69" s="15">
        <f t="shared" si="33"/>
        <v>0</v>
      </c>
      <c r="I69" s="13">
        <f t="shared" si="33"/>
        <v>0</v>
      </c>
      <c r="J69" s="16">
        <f t="shared" si="33"/>
        <v>8095.2</v>
      </c>
      <c r="K69" s="15">
        <f t="shared" si="33"/>
        <v>1292.3966666666665</v>
      </c>
      <c r="L69" s="14">
        <f t="shared" si="33"/>
        <v>2133.8749999999995</v>
      </c>
      <c r="M69" s="13">
        <f t="shared" si="33"/>
        <v>2910.4533333333338</v>
      </c>
      <c r="N69" s="108" t="s">
        <v>80</v>
      </c>
    </row>
    <row r="70" spans="1:14" outlineLevel="1" x14ac:dyDescent="0.2">
      <c r="A70" s="20">
        <f t="shared" si="27"/>
        <v>11711</v>
      </c>
      <c r="B70" s="19" t="str">
        <f t="shared" si="27"/>
        <v>UHCL</v>
      </c>
      <c r="C70" s="55">
        <f t="shared" si="10"/>
        <v>3798.008022211563</v>
      </c>
      <c r="D70" s="15">
        <f t="shared" ref="D70:M70" si="34">D112*D178</f>
        <v>0</v>
      </c>
      <c r="E70" s="14">
        <f t="shared" si="34"/>
        <v>1083.8496888782297</v>
      </c>
      <c r="F70" s="14">
        <f t="shared" si="34"/>
        <v>0</v>
      </c>
      <c r="G70" s="13">
        <f t="shared" si="34"/>
        <v>0</v>
      </c>
      <c r="H70" s="15">
        <f t="shared" si="34"/>
        <v>0</v>
      </c>
      <c r="I70" s="13">
        <f t="shared" si="34"/>
        <v>0</v>
      </c>
      <c r="J70" s="16">
        <f t="shared" si="34"/>
        <v>1858.4</v>
      </c>
      <c r="K70" s="15">
        <f t="shared" si="34"/>
        <v>473.05333333333328</v>
      </c>
      <c r="L70" s="14">
        <f t="shared" si="34"/>
        <v>357.62499999999994</v>
      </c>
      <c r="M70" s="13">
        <f t="shared" si="34"/>
        <v>25.080000000000002</v>
      </c>
      <c r="N70" s="108" t="s">
        <v>82</v>
      </c>
    </row>
    <row r="71" spans="1:14" outlineLevel="1" x14ac:dyDescent="0.2">
      <c r="A71" s="20">
        <f t="shared" si="27"/>
        <v>12826</v>
      </c>
      <c r="B71" s="19" t="str">
        <f t="shared" si="27"/>
        <v>UHD</v>
      </c>
      <c r="C71" s="55">
        <f t="shared" si="10"/>
        <v>6849.0174999999999</v>
      </c>
      <c r="D71" s="15">
        <f t="shared" ref="D71:M71" si="35">D113*D179</f>
        <v>0</v>
      </c>
      <c r="E71" s="14">
        <f t="shared" si="35"/>
        <v>792.1258333333335</v>
      </c>
      <c r="F71" s="14">
        <f t="shared" si="35"/>
        <v>0</v>
      </c>
      <c r="G71" s="13">
        <f t="shared" si="35"/>
        <v>0</v>
      </c>
      <c r="H71" s="15">
        <f t="shared" si="35"/>
        <v>0</v>
      </c>
      <c r="I71" s="13">
        <f t="shared" si="35"/>
        <v>0</v>
      </c>
      <c r="J71" s="16">
        <f t="shared" si="35"/>
        <v>4034.3999999999996</v>
      </c>
      <c r="K71" s="15">
        <f t="shared" si="35"/>
        <v>1055.8133333333333</v>
      </c>
      <c r="L71" s="14">
        <f t="shared" si="35"/>
        <v>700.62499999999989</v>
      </c>
      <c r="M71" s="13">
        <f t="shared" si="35"/>
        <v>266.05333333333334</v>
      </c>
      <c r="N71" s="108" t="s">
        <v>82</v>
      </c>
    </row>
    <row r="72" spans="1:14" outlineLevel="1" x14ac:dyDescent="0.2">
      <c r="A72" s="20">
        <f t="shared" si="27"/>
        <v>13231</v>
      </c>
      <c r="B72" s="19" t="str">
        <f t="shared" si="27"/>
        <v>UHV</v>
      </c>
      <c r="C72" s="55">
        <f t="shared" si="10"/>
        <v>1804.4403933013396</v>
      </c>
      <c r="D72" s="15">
        <f t="shared" ref="D72:M72" si="36">D114*D180</f>
        <v>0</v>
      </c>
      <c r="E72" s="14">
        <f t="shared" si="36"/>
        <v>525.3420599680062</v>
      </c>
      <c r="F72" s="14">
        <f t="shared" si="36"/>
        <v>0</v>
      </c>
      <c r="G72" s="13">
        <f t="shared" si="36"/>
        <v>0</v>
      </c>
      <c r="H72" s="15">
        <f t="shared" si="36"/>
        <v>0</v>
      </c>
      <c r="I72" s="13">
        <f t="shared" si="36"/>
        <v>0</v>
      </c>
      <c r="J72" s="16">
        <f t="shared" si="36"/>
        <v>921.59999999999991</v>
      </c>
      <c r="K72" s="15">
        <f t="shared" si="36"/>
        <v>243.44000000000003</v>
      </c>
      <c r="L72" s="14">
        <f t="shared" si="36"/>
        <v>111.12499999999999</v>
      </c>
      <c r="M72" s="13">
        <f t="shared" si="36"/>
        <v>2.9333333333333336</v>
      </c>
      <c r="N72" s="108" t="s">
        <v>82</v>
      </c>
    </row>
    <row r="73" spans="1:14" outlineLevel="1" x14ac:dyDescent="0.2">
      <c r="A73" s="20">
        <f t="shared" si="27"/>
        <v>3592</v>
      </c>
      <c r="B73" s="19" t="str">
        <f t="shared" si="27"/>
        <v>Midwestern</v>
      </c>
      <c r="C73" s="55">
        <f t="shared" si="10"/>
        <v>3630.2030555555557</v>
      </c>
      <c r="D73" s="15">
        <f t="shared" ref="D73:M73" si="37">D115*D181</f>
        <v>0</v>
      </c>
      <c r="E73" s="14">
        <f t="shared" si="37"/>
        <v>793.17972222222215</v>
      </c>
      <c r="F73" s="14">
        <f t="shared" si="37"/>
        <v>0</v>
      </c>
      <c r="G73" s="13">
        <f t="shared" si="37"/>
        <v>0</v>
      </c>
      <c r="H73" s="15">
        <f t="shared" si="37"/>
        <v>0</v>
      </c>
      <c r="I73" s="13">
        <f t="shared" si="37"/>
        <v>0</v>
      </c>
      <c r="J73" s="16">
        <f t="shared" si="37"/>
        <v>1656.8</v>
      </c>
      <c r="K73" s="15">
        <f t="shared" si="37"/>
        <v>488.92</v>
      </c>
      <c r="L73" s="14">
        <f t="shared" si="37"/>
        <v>392.25</v>
      </c>
      <c r="M73" s="13">
        <f t="shared" si="37"/>
        <v>299.05333333333334</v>
      </c>
      <c r="N73" s="108" t="s">
        <v>82</v>
      </c>
    </row>
    <row r="74" spans="1:14" outlineLevel="1" x14ac:dyDescent="0.2">
      <c r="A74" s="20">
        <f t="shared" si="27"/>
        <v>3594</v>
      </c>
      <c r="B74" s="19" t="str">
        <f t="shared" si="27"/>
        <v>UNT</v>
      </c>
      <c r="C74" s="55">
        <f t="shared" si="10"/>
        <v>21625.738055555557</v>
      </c>
      <c r="D74" s="15">
        <f t="shared" ref="D74:M74" si="38">D116*D182</f>
        <v>0</v>
      </c>
      <c r="E74" s="14">
        <f t="shared" si="38"/>
        <v>6068.3097222222223</v>
      </c>
      <c r="F74" s="14">
        <f t="shared" si="38"/>
        <v>0</v>
      </c>
      <c r="G74" s="13">
        <f t="shared" si="38"/>
        <v>0</v>
      </c>
      <c r="H74" s="15">
        <f t="shared" si="38"/>
        <v>0</v>
      </c>
      <c r="I74" s="13">
        <f t="shared" si="38"/>
        <v>0</v>
      </c>
      <c r="J74" s="16">
        <f t="shared" si="38"/>
        <v>9168</v>
      </c>
      <c r="K74" s="15">
        <f t="shared" si="38"/>
        <v>1336.9933333333336</v>
      </c>
      <c r="L74" s="14">
        <f t="shared" si="38"/>
        <v>2115.8749999999995</v>
      </c>
      <c r="M74" s="13">
        <f t="shared" si="38"/>
        <v>2936.5600000000004</v>
      </c>
      <c r="N74" s="108" t="s">
        <v>80</v>
      </c>
    </row>
    <row r="75" spans="1:14" outlineLevel="1" x14ac:dyDescent="0.2">
      <c r="A75" s="27">
        <f t="shared" si="27"/>
        <v>113594</v>
      </c>
      <c r="B75" s="19" t="str">
        <f t="shared" si="27"/>
        <v>UNTD</v>
      </c>
      <c r="C75" s="55">
        <f t="shared" si="10"/>
        <v>1342.3596874999998</v>
      </c>
      <c r="D75" s="15">
        <f t="shared" ref="D75:M75" si="39">D117*D183</f>
        <v>0</v>
      </c>
      <c r="E75" s="14">
        <f t="shared" si="39"/>
        <v>407.78718750000002</v>
      </c>
      <c r="F75" s="14">
        <f t="shared" si="39"/>
        <v>0</v>
      </c>
      <c r="G75" s="13">
        <f t="shared" si="39"/>
        <v>0</v>
      </c>
      <c r="H75" s="15">
        <f t="shared" si="39"/>
        <v>0</v>
      </c>
      <c r="I75" s="13">
        <f t="shared" si="39"/>
        <v>0</v>
      </c>
      <c r="J75" s="16">
        <f t="shared" si="39"/>
        <v>740.4</v>
      </c>
      <c r="K75" s="15">
        <f t="shared" si="39"/>
        <v>162.52000000000001</v>
      </c>
      <c r="L75" s="14">
        <f t="shared" si="39"/>
        <v>26.8125</v>
      </c>
      <c r="M75" s="13">
        <f t="shared" si="39"/>
        <v>4.8400000000000007</v>
      </c>
      <c r="N75" s="108" t="s">
        <v>82</v>
      </c>
    </row>
    <row r="76" spans="1:14" outlineLevel="1" x14ac:dyDescent="0.2">
      <c r="A76" s="20">
        <f t="shared" si="27"/>
        <v>3624</v>
      </c>
      <c r="B76" s="19" t="str">
        <f t="shared" si="27"/>
        <v>SFA</v>
      </c>
      <c r="C76" s="55">
        <f t="shared" si="10"/>
        <v>7846.4208333333336</v>
      </c>
      <c r="D76" s="15">
        <f t="shared" ref="D76:M76" si="40">D118*D184</f>
        <v>0</v>
      </c>
      <c r="E76" s="14">
        <f t="shared" si="40"/>
        <v>1863.0558333333331</v>
      </c>
      <c r="F76" s="14">
        <f t="shared" si="40"/>
        <v>0</v>
      </c>
      <c r="G76" s="13">
        <f t="shared" si="40"/>
        <v>0</v>
      </c>
      <c r="H76" s="15">
        <f t="shared" si="40"/>
        <v>0</v>
      </c>
      <c r="I76" s="13">
        <f t="shared" si="40"/>
        <v>0</v>
      </c>
      <c r="J76" s="16">
        <f t="shared" si="40"/>
        <v>3504.7999999999997</v>
      </c>
      <c r="K76" s="15">
        <f t="shared" si="40"/>
        <v>470.78666666666669</v>
      </c>
      <c r="L76" s="14">
        <f t="shared" si="40"/>
        <v>778.125</v>
      </c>
      <c r="M76" s="13">
        <f t="shared" si="40"/>
        <v>1229.6533333333334</v>
      </c>
      <c r="N76" s="108" t="s">
        <v>83</v>
      </c>
    </row>
    <row r="77" spans="1:14" outlineLevel="1" x14ac:dyDescent="0.2">
      <c r="A77" s="20">
        <f t="shared" si="27"/>
        <v>3642</v>
      </c>
      <c r="B77" s="19" t="str">
        <f t="shared" si="27"/>
        <v>TSU</v>
      </c>
      <c r="C77" s="55">
        <f t="shared" si="10"/>
        <v>3239.9059722222223</v>
      </c>
      <c r="D77" s="15">
        <f t="shared" ref="D77:M77" si="41">D119*D185</f>
        <v>0</v>
      </c>
      <c r="E77" s="14">
        <f t="shared" si="41"/>
        <v>190.65763888888887</v>
      </c>
      <c r="F77" s="14">
        <f t="shared" si="41"/>
        <v>0</v>
      </c>
      <c r="G77" s="13">
        <f t="shared" si="41"/>
        <v>0</v>
      </c>
      <c r="H77" s="15">
        <f t="shared" si="41"/>
        <v>0</v>
      </c>
      <c r="I77" s="13">
        <f t="shared" si="41"/>
        <v>0</v>
      </c>
      <c r="J77" s="16">
        <f t="shared" si="41"/>
        <v>1599.2</v>
      </c>
      <c r="K77" s="15">
        <f t="shared" si="41"/>
        <v>278.34666666666664</v>
      </c>
      <c r="L77" s="14">
        <f t="shared" si="41"/>
        <v>424.875</v>
      </c>
      <c r="M77" s="13">
        <f t="shared" si="41"/>
        <v>746.82666666666682</v>
      </c>
      <c r="N77" s="108" t="s">
        <v>81</v>
      </c>
    </row>
    <row r="78" spans="1:14" outlineLevel="1" x14ac:dyDescent="0.2">
      <c r="A78" s="20">
        <f t="shared" si="27"/>
        <v>3644</v>
      </c>
      <c r="B78" s="19" t="str">
        <f t="shared" si="27"/>
        <v>TTU</v>
      </c>
      <c r="C78" s="55">
        <f t="shared" si="10"/>
        <v>19208.662333333334</v>
      </c>
      <c r="D78" s="15">
        <f t="shared" ref="D78:M78" si="42">D120*D186</f>
        <v>0</v>
      </c>
      <c r="E78" s="14">
        <f t="shared" si="42"/>
        <v>5987.3939999999993</v>
      </c>
      <c r="F78" s="14">
        <f t="shared" si="42"/>
        <v>0</v>
      </c>
      <c r="G78" s="13">
        <f t="shared" si="42"/>
        <v>0</v>
      </c>
      <c r="H78" s="15">
        <f t="shared" si="42"/>
        <v>0</v>
      </c>
      <c r="I78" s="13">
        <f t="shared" si="42"/>
        <v>0</v>
      </c>
      <c r="J78" s="16">
        <f t="shared" si="42"/>
        <v>6667.2</v>
      </c>
      <c r="K78" s="15">
        <f t="shared" si="42"/>
        <v>1102.5066666666667</v>
      </c>
      <c r="L78" s="14">
        <f t="shared" si="42"/>
        <v>1979.3749999999998</v>
      </c>
      <c r="M78" s="13">
        <f t="shared" si="42"/>
        <v>3472.186666666667</v>
      </c>
      <c r="N78" s="108" t="s">
        <v>80</v>
      </c>
    </row>
    <row r="79" spans="1:14" outlineLevel="1" x14ac:dyDescent="0.2">
      <c r="A79" s="20">
        <f t="shared" si="27"/>
        <v>3541</v>
      </c>
      <c r="B79" s="19" t="str">
        <f t="shared" si="27"/>
        <v>Angelo</v>
      </c>
      <c r="C79" s="55">
        <f t="shared" si="10"/>
        <v>3668.7450555555556</v>
      </c>
      <c r="D79" s="15">
        <f t="shared" ref="D79:M79" si="43">D121*D187</f>
        <v>0</v>
      </c>
      <c r="E79" s="14">
        <f t="shared" si="43"/>
        <v>745.40005555555558</v>
      </c>
      <c r="F79" s="14">
        <f t="shared" si="43"/>
        <v>0</v>
      </c>
      <c r="G79" s="13">
        <f t="shared" si="43"/>
        <v>0</v>
      </c>
      <c r="H79" s="15">
        <f t="shared" si="43"/>
        <v>0</v>
      </c>
      <c r="I79" s="13">
        <f t="shared" si="43"/>
        <v>0</v>
      </c>
      <c r="J79" s="16">
        <f t="shared" si="43"/>
        <v>1735.2</v>
      </c>
      <c r="K79" s="15">
        <f t="shared" si="43"/>
        <v>489.14666666666676</v>
      </c>
      <c r="L79" s="14">
        <f t="shared" si="43"/>
        <v>387.62500000000006</v>
      </c>
      <c r="M79" s="13">
        <f t="shared" si="43"/>
        <v>311.37333333333339</v>
      </c>
      <c r="N79" s="108" t="s">
        <v>82</v>
      </c>
    </row>
    <row r="80" spans="1:14" outlineLevel="1" x14ac:dyDescent="0.2">
      <c r="A80" s="20">
        <f t="shared" ref="A80:B85" si="44">A37</f>
        <v>3646</v>
      </c>
      <c r="B80" s="19" t="str">
        <f t="shared" si="44"/>
        <v>TWU</v>
      </c>
      <c r="C80" s="55">
        <f t="shared" si="10"/>
        <v>6086.300166666666</v>
      </c>
      <c r="D80" s="15">
        <f t="shared" ref="D80:M80" si="45">D122*D188</f>
        <v>0</v>
      </c>
      <c r="E80" s="14">
        <f t="shared" si="45"/>
        <v>1655.0485000000001</v>
      </c>
      <c r="F80" s="14">
        <f t="shared" si="45"/>
        <v>0</v>
      </c>
      <c r="G80" s="13">
        <f t="shared" si="45"/>
        <v>0</v>
      </c>
      <c r="H80" s="15">
        <f t="shared" si="45"/>
        <v>0</v>
      </c>
      <c r="I80" s="13">
        <f t="shared" si="45"/>
        <v>0</v>
      </c>
      <c r="J80" s="16">
        <f t="shared" si="45"/>
        <v>2992.7999999999997</v>
      </c>
      <c r="K80" s="15">
        <f t="shared" si="45"/>
        <v>373.32</v>
      </c>
      <c r="L80" s="14">
        <f t="shared" si="45"/>
        <v>484.62499999999994</v>
      </c>
      <c r="M80" s="13">
        <f t="shared" si="45"/>
        <v>580.50666666666666</v>
      </c>
      <c r="N80" s="108" t="s">
        <v>81</v>
      </c>
    </row>
    <row r="81" spans="1:14" outlineLevel="1" x14ac:dyDescent="0.2">
      <c r="A81" s="20">
        <f t="shared" si="44"/>
        <v>3581</v>
      </c>
      <c r="B81" s="19" t="str">
        <f t="shared" si="44"/>
        <v>Lamar</v>
      </c>
      <c r="C81" s="55">
        <f t="shared" si="10"/>
        <v>4908.1189444444444</v>
      </c>
      <c r="D81" s="15">
        <f t="shared" ref="D81:M81" si="46">D123*D189</f>
        <v>0</v>
      </c>
      <c r="E81" s="14">
        <f t="shared" si="46"/>
        <v>818.67061111111104</v>
      </c>
      <c r="F81" s="14">
        <f t="shared" si="46"/>
        <v>0</v>
      </c>
      <c r="G81" s="13">
        <f t="shared" si="46"/>
        <v>0</v>
      </c>
      <c r="H81" s="15">
        <f t="shared" si="46"/>
        <v>0</v>
      </c>
      <c r="I81" s="13">
        <f t="shared" si="46"/>
        <v>0</v>
      </c>
      <c r="J81" s="16">
        <f t="shared" si="46"/>
        <v>2276.7999999999997</v>
      </c>
      <c r="K81" s="15">
        <f t="shared" si="46"/>
        <v>364.59333333333331</v>
      </c>
      <c r="L81" s="14">
        <f t="shared" si="46"/>
        <v>558.375</v>
      </c>
      <c r="M81" s="13">
        <f t="shared" si="46"/>
        <v>889.68000000000018</v>
      </c>
      <c r="N81" s="108" t="s">
        <v>83</v>
      </c>
    </row>
    <row r="82" spans="1:14" outlineLevel="1" x14ac:dyDescent="0.2">
      <c r="A82" s="20">
        <f t="shared" si="44"/>
        <v>3606</v>
      </c>
      <c r="B82" s="19" t="str">
        <f t="shared" si="44"/>
        <v>SHSU</v>
      </c>
      <c r="C82" s="55">
        <f t="shared" si="10"/>
        <v>11798.307777777778</v>
      </c>
      <c r="D82" s="15">
        <f t="shared" ref="D82:M82" si="47">D124*D190</f>
        <v>0</v>
      </c>
      <c r="E82" s="14">
        <f t="shared" si="47"/>
        <v>3159.7377777777779</v>
      </c>
      <c r="F82" s="14">
        <f t="shared" si="47"/>
        <v>0</v>
      </c>
      <c r="G82" s="13">
        <f t="shared" si="47"/>
        <v>0</v>
      </c>
      <c r="H82" s="15">
        <f t="shared" si="47"/>
        <v>0</v>
      </c>
      <c r="I82" s="13">
        <f t="shared" si="47"/>
        <v>0</v>
      </c>
      <c r="J82" s="16">
        <f t="shared" si="47"/>
        <v>5312.7999999999993</v>
      </c>
      <c r="K82" s="15">
        <f t="shared" si="47"/>
        <v>662.03666666666675</v>
      </c>
      <c r="L82" s="14">
        <f t="shared" si="47"/>
        <v>1112</v>
      </c>
      <c r="M82" s="13">
        <f t="shared" si="47"/>
        <v>1551.7333333333336</v>
      </c>
      <c r="N82" s="108" t="s">
        <v>81</v>
      </c>
    </row>
    <row r="83" spans="1:14" outlineLevel="1" x14ac:dyDescent="0.2">
      <c r="A83" s="20">
        <f t="shared" si="44"/>
        <v>3615</v>
      </c>
      <c r="B83" s="19" t="str">
        <f t="shared" si="44"/>
        <v>TXST</v>
      </c>
      <c r="C83" s="55">
        <f t="shared" si="10"/>
        <v>21040.782749999998</v>
      </c>
      <c r="D83" s="15">
        <f t="shared" ref="D83:M83" si="48">D125*D191</f>
        <v>0</v>
      </c>
      <c r="E83" s="14">
        <f t="shared" si="48"/>
        <v>5938.6477500000001</v>
      </c>
      <c r="F83" s="14">
        <f t="shared" si="48"/>
        <v>0</v>
      </c>
      <c r="G83" s="13">
        <f t="shared" si="48"/>
        <v>0</v>
      </c>
      <c r="H83" s="15">
        <f t="shared" si="48"/>
        <v>0</v>
      </c>
      <c r="I83" s="13">
        <f t="shared" si="48"/>
        <v>0</v>
      </c>
      <c r="J83" s="16">
        <f t="shared" si="48"/>
        <v>8820.7999999999993</v>
      </c>
      <c r="K83" s="15">
        <f t="shared" si="48"/>
        <v>1269.9566666666667</v>
      </c>
      <c r="L83" s="14">
        <f t="shared" si="48"/>
        <v>2092.125</v>
      </c>
      <c r="M83" s="13">
        <f t="shared" si="48"/>
        <v>2919.253333333334</v>
      </c>
      <c r="N83" s="108" t="s">
        <v>80</v>
      </c>
    </row>
    <row r="84" spans="1:14" outlineLevel="1" x14ac:dyDescent="0.2">
      <c r="A84" s="20">
        <f t="shared" si="44"/>
        <v>3625</v>
      </c>
      <c r="B84" s="19" t="str">
        <f t="shared" si="44"/>
        <v>SRSU</v>
      </c>
      <c r="C84" s="55">
        <f t="shared" si="10"/>
        <v>723.48966666666661</v>
      </c>
      <c r="D84" s="15">
        <f t="shared" ref="D84:M84" si="49">D126*D192</f>
        <v>0</v>
      </c>
      <c r="E84" s="14">
        <f t="shared" si="49"/>
        <v>99.731333333333339</v>
      </c>
      <c r="F84" s="14">
        <f t="shared" si="49"/>
        <v>0</v>
      </c>
      <c r="G84" s="13">
        <f t="shared" si="49"/>
        <v>0</v>
      </c>
      <c r="H84" s="15">
        <f t="shared" si="49"/>
        <v>0</v>
      </c>
      <c r="I84" s="13">
        <f t="shared" si="49"/>
        <v>0</v>
      </c>
      <c r="J84" s="16">
        <f t="shared" si="49"/>
        <v>391.2</v>
      </c>
      <c r="K84" s="15">
        <f t="shared" si="49"/>
        <v>102</v>
      </c>
      <c r="L84" s="14">
        <f t="shared" si="49"/>
        <v>72.624999999999986</v>
      </c>
      <c r="M84" s="13">
        <f t="shared" si="49"/>
        <v>57.933333333333337</v>
      </c>
      <c r="N84" s="108" t="s">
        <v>82</v>
      </c>
    </row>
    <row r="85" spans="1:14" outlineLevel="1" x14ac:dyDescent="0.2">
      <c r="A85" s="20">
        <f t="shared" si="44"/>
        <v>20</v>
      </c>
      <c r="B85" s="19" t="str">
        <f t="shared" si="44"/>
        <v>SRRG</v>
      </c>
      <c r="C85" s="55">
        <f t="shared" si="10"/>
        <v>550.34712574875766</v>
      </c>
      <c r="D85" s="15">
        <f t="shared" ref="D85:M85" si="50">D127*D193</f>
        <v>0</v>
      </c>
      <c r="E85" s="14">
        <f t="shared" si="50"/>
        <v>89.89045908209107</v>
      </c>
      <c r="F85" s="14">
        <f t="shared" si="50"/>
        <v>0</v>
      </c>
      <c r="G85" s="13">
        <f t="shared" si="50"/>
        <v>0</v>
      </c>
      <c r="H85" s="15">
        <f t="shared" si="50"/>
        <v>0</v>
      </c>
      <c r="I85" s="13">
        <f t="shared" si="50"/>
        <v>0</v>
      </c>
      <c r="J85" s="16">
        <f t="shared" si="50"/>
        <v>345.59999999999997</v>
      </c>
      <c r="K85" s="15">
        <f t="shared" si="50"/>
        <v>78.2</v>
      </c>
      <c r="L85" s="14">
        <f t="shared" si="50"/>
        <v>34.75</v>
      </c>
      <c r="M85" s="13">
        <f t="shared" si="50"/>
        <v>1.9066666666666667</v>
      </c>
      <c r="N85" s="108" t="s">
        <v>82</v>
      </c>
    </row>
    <row r="86" spans="1:14" ht="13.5" outlineLevel="1" thickBot="1" x14ac:dyDescent="0.25">
      <c r="A86" s="12"/>
      <c r="B86" s="11" t="s">
        <v>11</v>
      </c>
      <c r="C86" s="54">
        <f t="shared" ref="C86:M86" si="51">SUM(C48:C85)</f>
        <v>315649.85106722749</v>
      </c>
      <c r="D86" s="9">
        <f t="shared" si="51"/>
        <v>0</v>
      </c>
      <c r="E86" s="7">
        <f t="shared" si="51"/>
        <v>91124.075233894182</v>
      </c>
      <c r="F86" s="7">
        <f t="shared" si="51"/>
        <v>0</v>
      </c>
      <c r="G86" s="3">
        <f t="shared" si="51"/>
        <v>0</v>
      </c>
      <c r="H86" s="5">
        <f t="shared" si="51"/>
        <v>0</v>
      </c>
      <c r="I86" s="3">
        <f t="shared" si="51"/>
        <v>0</v>
      </c>
      <c r="J86" s="6">
        <f t="shared" si="51"/>
        <v>125105.73333333335</v>
      </c>
      <c r="K86" s="5">
        <f t="shared" si="51"/>
        <v>22049.056666666671</v>
      </c>
      <c r="L86" s="4">
        <f t="shared" si="51"/>
        <v>30938.8125</v>
      </c>
      <c r="M86" s="3">
        <f t="shared" si="51"/>
        <v>46432.173333333354</v>
      </c>
      <c r="N86" s="165"/>
    </row>
    <row r="87" spans="1:14" ht="13.5" thickBot="1" x14ac:dyDescent="0.25">
      <c r="A87" s="57" t="s">
        <v>30</v>
      </c>
    </row>
    <row r="88" spans="1:14" ht="12.75" customHeight="1" outlineLevel="1" x14ac:dyDescent="0.2">
      <c r="A88" s="234" t="s">
        <v>24</v>
      </c>
      <c r="B88" s="236" t="s">
        <v>23</v>
      </c>
      <c r="C88" s="238" t="s">
        <v>77</v>
      </c>
      <c r="D88" s="247" t="s">
        <v>35</v>
      </c>
      <c r="E88" s="248"/>
      <c r="F88" s="248"/>
      <c r="G88" s="249"/>
      <c r="H88" s="250" t="s">
        <v>18</v>
      </c>
      <c r="I88" s="225" t="s">
        <v>17</v>
      </c>
      <c r="J88" s="227" t="s">
        <v>16</v>
      </c>
      <c r="K88" s="229" t="s">
        <v>34</v>
      </c>
      <c r="L88" s="230"/>
      <c r="M88" s="230"/>
      <c r="N88" s="232" t="s">
        <v>86</v>
      </c>
    </row>
    <row r="89" spans="1:14" ht="51.75" outlineLevel="1" thickBot="1" x14ac:dyDescent="0.25">
      <c r="A89" s="235"/>
      <c r="B89" s="237"/>
      <c r="C89" s="239"/>
      <c r="D89" s="192"/>
      <c r="E89" s="121" t="s">
        <v>33</v>
      </c>
      <c r="F89" s="121" t="s">
        <v>32</v>
      </c>
      <c r="G89" s="193" t="s">
        <v>31</v>
      </c>
      <c r="H89" s="251"/>
      <c r="I89" s="226"/>
      <c r="J89" s="228"/>
      <c r="K89" s="188" t="s">
        <v>14</v>
      </c>
      <c r="L89" s="189" t="s">
        <v>13</v>
      </c>
      <c r="M89" s="187" t="s">
        <v>12</v>
      </c>
      <c r="N89" s="233"/>
    </row>
    <row r="90" spans="1:14" outlineLevel="1" x14ac:dyDescent="0.2">
      <c r="A90" s="20">
        <f t="shared" ref="A90:B105" si="52">A5</f>
        <v>3656</v>
      </c>
      <c r="B90" s="19" t="str">
        <f t="shared" si="52"/>
        <v>UTA</v>
      </c>
      <c r="C90" s="73">
        <f>SUM(D90:M90)</f>
        <v>1</v>
      </c>
      <c r="D90" s="92">
        <f t="shared" ref="D90:D99" si="53">SUMIF($N$131:$N$135,$N90,D$131:D$135)</f>
        <v>0</v>
      </c>
      <c r="E90" s="93">
        <f t="shared" ref="E90:M105" si="54">SUMIF($N$131:$N$135,$N90,E$131:E$135)</f>
        <v>0.25</v>
      </c>
      <c r="F90" s="93">
        <f t="shared" si="54"/>
        <v>0</v>
      </c>
      <c r="G90" s="94">
        <f t="shared" si="54"/>
        <v>0</v>
      </c>
      <c r="H90" s="92">
        <f t="shared" si="54"/>
        <v>0</v>
      </c>
      <c r="I90" s="94">
        <f t="shared" si="54"/>
        <v>0</v>
      </c>
      <c r="J90" s="95">
        <f t="shared" si="54"/>
        <v>0.3</v>
      </c>
      <c r="K90" s="92">
        <f t="shared" si="54"/>
        <v>0.1</v>
      </c>
      <c r="L90" s="93">
        <f t="shared" si="54"/>
        <v>0.15</v>
      </c>
      <c r="M90" s="94">
        <f t="shared" si="54"/>
        <v>0.2</v>
      </c>
      <c r="N90" s="169" t="s">
        <v>80</v>
      </c>
    </row>
    <row r="91" spans="1:14" outlineLevel="1" x14ac:dyDescent="0.2">
      <c r="A91" s="20">
        <f t="shared" si="52"/>
        <v>3658</v>
      </c>
      <c r="B91" s="19" t="str">
        <f t="shared" si="52"/>
        <v>UT</v>
      </c>
      <c r="C91" s="73">
        <f t="shared" ref="C91:C127" si="55">SUM(D91:M91)</f>
        <v>1</v>
      </c>
      <c r="D91" s="74">
        <f t="shared" si="53"/>
        <v>0</v>
      </c>
      <c r="E91" s="75">
        <f t="shared" si="54"/>
        <v>0.3</v>
      </c>
      <c r="F91" s="75">
        <f t="shared" si="54"/>
        <v>0</v>
      </c>
      <c r="G91" s="76">
        <f t="shared" si="54"/>
        <v>0</v>
      </c>
      <c r="H91" s="77">
        <f t="shared" si="54"/>
        <v>0</v>
      </c>
      <c r="I91" s="78">
        <f t="shared" si="54"/>
        <v>0</v>
      </c>
      <c r="J91" s="79">
        <f t="shared" si="54"/>
        <v>0.2</v>
      </c>
      <c r="K91" s="77">
        <f t="shared" si="54"/>
        <v>0.1</v>
      </c>
      <c r="L91" s="80">
        <f t="shared" si="54"/>
        <v>0.15</v>
      </c>
      <c r="M91" s="78">
        <f t="shared" si="54"/>
        <v>0.25</v>
      </c>
      <c r="N91" s="108" t="s">
        <v>79</v>
      </c>
    </row>
    <row r="92" spans="1:14" outlineLevel="1" x14ac:dyDescent="0.2">
      <c r="A92" s="20">
        <f t="shared" si="52"/>
        <v>9741</v>
      </c>
      <c r="B92" s="19" t="str">
        <f t="shared" si="52"/>
        <v>UTD</v>
      </c>
      <c r="C92" s="73">
        <f t="shared" si="55"/>
        <v>1</v>
      </c>
      <c r="D92" s="74">
        <f t="shared" si="53"/>
        <v>0</v>
      </c>
      <c r="E92" s="75">
        <f t="shared" si="54"/>
        <v>0.25</v>
      </c>
      <c r="F92" s="75">
        <f t="shared" si="54"/>
        <v>0</v>
      </c>
      <c r="G92" s="76">
        <f t="shared" si="54"/>
        <v>0</v>
      </c>
      <c r="H92" s="74">
        <f t="shared" si="54"/>
        <v>0</v>
      </c>
      <c r="I92" s="76">
        <f t="shared" si="54"/>
        <v>0</v>
      </c>
      <c r="J92" s="81">
        <f t="shared" si="54"/>
        <v>0.3</v>
      </c>
      <c r="K92" s="74">
        <f t="shared" si="54"/>
        <v>0.1</v>
      </c>
      <c r="L92" s="75">
        <f t="shared" si="54"/>
        <v>0.15</v>
      </c>
      <c r="M92" s="76">
        <f t="shared" si="54"/>
        <v>0.2</v>
      </c>
      <c r="N92" s="108" t="s">
        <v>80</v>
      </c>
    </row>
    <row r="93" spans="1:14" outlineLevel="1" x14ac:dyDescent="0.2">
      <c r="A93" s="20">
        <f t="shared" si="52"/>
        <v>3661</v>
      </c>
      <c r="B93" s="19" t="str">
        <f t="shared" si="52"/>
        <v>UTEP</v>
      </c>
      <c r="C93" s="73">
        <f t="shared" si="55"/>
        <v>1</v>
      </c>
      <c r="D93" s="74">
        <f t="shared" si="53"/>
        <v>0</v>
      </c>
      <c r="E93" s="75">
        <f t="shared" si="54"/>
        <v>0.25</v>
      </c>
      <c r="F93" s="75">
        <f t="shared" si="54"/>
        <v>0</v>
      </c>
      <c r="G93" s="76">
        <f t="shared" si="54"/>
        <v>0</v>
      </c>
      <c r="H93" s="74">
        <f t="shared" si="54"/>
        <v>0</v>
      </c>
      <c r="I93" s="76">
        <f t="shared" si="54"/>
        <v>0</v>
      </c>
      <c r="J93" s="81">
        <f t="shared" si="54"/>
        <v>0.3</v>
      </c>
      <c r="K93" s="74">
        <f t="shared" si="54"/>
        <v>0.1</v>
      </c>
      <c r="L93" s="75">
        <f t="shared" si="54"/>
        <v>0.15</v>
      </c>
      <c r="M93" s="76">
        <f t="shared" si="54"/>
        <v>0.2</v>
      </c>
      <c r="N93" s="108" t="s">
        <v>80</v>
      </c>
    </row>
    <row r="94" spans="1:14" outlineLevel="1" x14ac:dyDescent="0.2">
      <c r="A94" s="20">
        <f t="shared" si="52"/>
        <v>3599</v>
      </c>
      <c r="B94" s="19" t="str">
        <f t="shared" si="52"/>
        <v>UTPA</v>
      </c>
      <c r="C94" s="73">
        <f t="shared" si="55"/>
        <v>1</v>
      </c>
      <c r="D94" s="74">
        <f t="shared" si="53"/>
        <v>0</v>
      </c>
      <c r="E94" s="75">
        <f t="shared" si="54"/>
        <v>0.25</v>
      </c>
      <c r="F94" s="75">
        <f t="shared" si="54"/>
        <v>0</v>
      </c>
      <c r="G94" s="76">
        <f t="shared" si="54"/>
        <v>0</v>
      </c>
      <c r="H94" s="74">
        <f t="shared" si="54"/>
        <v>0</v>
      </c>
      <c r="I94" s="76">
        <f t="shared" si="54"/>
        <v>0</v>
      </c>
      <c r="J94" s="81">
        <f t="shared" si="54"/>
        <v>0.3</v>
      </c>
      <c r="K94" s="74">
        <f t="shared" si="54"/>
        <v>0.1</v>
      </c>
      <c r="L94" s="75">
        <f t="shared" si="54"/>
        <v>0.15</v>
      </c>
      <c r="M94" s="76">
        <f t="shared" si="54"/>
        <v>0.2</v>
      </c>
      <c r="N94" s="108" t="s">
        <v>81</v>
      </c>
    </row>
    <row r="95" spans="1:14" outlineLevel="1" x14ac:dyDescent="0.2">
      <c r="A95" s="20">
        <f t="shared" si="52"/>
        <v>30646</v>
      </c>
      <c r="B95" s="19" t="str">
        <f t="shared" si="52"/>
        <v>UTB</v>
      </c>
      <c r="C95" s="73">
        <f t="shared" si="55"/>
        <v>1</v>
      </c>
      <c r="D95" s="74">
        <f t="shared" si="53"/>
        <v>0</v>
      </c>
      <c r="E95" s="75">
        <f t="shared" si="54"/>
        <v>0.25</v>
      </c>
      <c r="F95" s="75">
        <f t="shared" si="54"/>
        <v>0</v>
      </c>
      <c r="G95" s="76">
        <f t="shared" si="54"/>
        <v>0</v>
      </c>
      <c r="H95" s="74">
        <f t="shared" si="54"/>
        <v>0</v>
      </c>
      <c r="I95" s="76">
        <f t="shared" si="54"/>
        <v>0</v>
      </c>
      <c r="J95" s="81">
        <f t="shared" si="54"/>
        <v>0.3</v>
      </c>
      <c r="K95" s="74">
        <f t="shared" si="54"/>
        <v>0.2</v>
      </c>
      <c r="L95" s="75">
        <f t="shared" si="54"/>
        <v>0.15</v>
      </c>
      <c r="M95" s="76">
        <f t="shared" si="54"/>
        <v>0.1</v>
      </c>
      <c r="N95" s="108" t="s">
        <v>82</v>
      </c>
    </row>
    <row r="96" spans="1:14" outlineLevel="1" x14ac:dyDescent="0.2">
      <c r="A96" s="20">
        <f t="shared" si="52"/>
        <v>9930</v>
      </c>
      <c r="B96" s="19" t="str">
        <f t="shared" si="52"/>
        <v>UTPB</v>
      </c>
      <c r="C96" s="73">
        <f t="shared" si="55"/>
        <v>1</v>
      </c>
      <c r="D96" s="74">
        <f t="shared" si="53"/>
        <v>0</v>
      </c>
      <c r="E96" s="75">
        <f t="shared" si="54"/>
        <v>0.25</v>
      </c>
      <c r="F96" s="75">
        <f t="shared" si="54"/>
        <v>0</v>
      </c>
      <c r="G96" s="76">
        <f t="shared" si="54"/>
        <v>0</v>
      </c>
      <c r="H96" s="74">
        <f t="shared" si="54"/>
        <v>0</v>
      </c>
      <c r="I96" s="76">
        <f t="shared" si="54"/>
        <v>0</v>
      </c>
      <c r="J96" s="81">
        <f t="shared" si="54"/>
        <v>0.3</v>
      </c>
      <c r="K96" s="74">
        <f t="shared" si="54"/>
        <v>0.2</v>
      </c>
      <c r="L96" s="75">
        <f t="shared" si="54"/>
        <v>0.15</v>
      </c>
      <c r="M96" s="76">
        <f t="shared" si="54"/>
        <v>0.1</v>
      </c>
      <c r="N96" s="108" t="s">
        <v>82</v>
      </c>
    </row>
    <row r="97" spans="1:14" outlineLevel="1" x14ac:dyDescent="0.2">
      <c r="A97" s="20">
        <f t="shared" si="52"/>
        <v>10115</v>
      </c>
      <c r="B97" s="19" t="str">
        <f t="shared" si="52"/>
        <v>UTSA</v>
      </c>
      <c r="C97" s="73">
        <f t="shared" si="55"/>
        <v>1</v>
      </c>
      <c r="D97" s="74">
        <f t="shared" si="53"/>
        <v>0</v>
      </c>
      <c r="E97" s="75">
        <f t="shared" si="54"/>
        <v>0.25</v>
      </c>
      <c r="F97" s="75">
        <f t="shared" si="54"/>
        <v>0</v>
      </c>
      <c r="G97" s="76">
        <f t="shared" si="54"/>
        <v>0</v>
      </c>
      <c r="H97" s="74">
        <f t="shared" si="54"/>
        <v>0</v>
      </c>
      <c r="I97" s="76">
        <f t="shared" si="54"/>
        <v>0</v>
      </c>
      <c r="J97" s="81">
        <f t="shared" si="54"/>
        <v>0.3</v>
      </c>
      <c r="K97" s="74">
        <f t="shared" si="54"/>
        <v>0.1</v>
      </c>
      <c r="L97" s="75">
        <f t="shared" si="54"/>
        <v>0.15</v>
      </c>
      <c r="M97" s="76">
        <f t="shared" si="54"/>
        <v>0.2</v>
      </c>
      <c r="N97" s="108" t="s">
        <v>80</v>
      </c>
    </row>
    <row r="98" spans="1:14" outlineLevel="1" x14ac:dyDescent="0.2">
      <c r="A98" s="20">
        <f t="shared" si="52"/>
        <v>11163</v>
      </c>
      <c r="B98" s="19" t="str">
        <f t="shared" si="52"/>
        <v>UTT</v>
      </c>
      <c r="C98" s="73">
        <f t="shared" si="55"/>
        <v>1</v>
      </c>
      <c r="D98" s="74">
        <f t="shared" si="53"/>
        <v>0</v>
      </c>
      <c r="E98" s="75">
        <f t="shared" si="54"/>
        <v>0.25</v>
      </c>
      <c r="F98" s="75">
        <f t="shared" si="54"/>
        <v>0</v>
      </c>
      <c r="G98" s="76">
        <f t="shared" si="54"/>
        <v>0</v>
      </c>
      <c r="H98" s="74">
        <f t="shared" si="54"/>
        <v>0</v>
      </c>
      <c r="I98" s="76">
        <f t="shared" si="54"/>
        <v>0</v>
      </c>
      <c r="J98" s="81">
        <f t="shared" si="54"/>
        <v>0.3</v>
      </c>
      <c r="K98" s="74">
        <f t="shared" si="54"/>
        <v>0.2</v>
      </c>
      <c r="L98" s="75">
        <f t="shared" si="54"/>
        <v>0.15</v>
      </c>
      <c r="M98" s="76">
        <f t="shared" si="54"/>
        <v>0.1</v>
      </c>
      <c r="N98" s="108" t="s">
        <v>82</v>
      </c>
    </row>
    <row r="99" spans="1:14" outlineLevel="1" x14ac:dyDescent="0.2">
      <c r="A99" s="20">
        <f t="shared" si="52"/>
        <v>3632</v>
      </c>
      <c r="B99" s="19" t="str">
        <f t="shared" si="52"/>
        <v>TAMU</v>
      </c>
      <c r="C99" s="73">
        <f t="shared" si="55"/>
        <v>1</v>
      </c>
      <c r="D99" s="74">
        <f t="shared" si="53"/>
        <v>0</v>
      </c>
      <c r="E99" s="75">
        <f t="shared" si="54"/>
        <v>0.3</v>
      </c>
      <c r="F99" s="75">
        <f t="shared" si="54"/>
        <v>0</v>
      </c>
      <c r="G99" s="76">
        <f t="shared" si="54"/>
        <v>0</v>
      </c>
      <c r="H99" s="77">
        <f t="shared" si="54"/>
        <v>0</v>
      </c>
      <c r="I99" s="78">
        <f t="shared" si="54"/>
        <v>0</v>
      </c>
      <c r="J99" s="79">
        <f t="shared" si="54"/>
        <v>0.2</v>
      </c>
      <c r="K99" s="77">
        <f t="shared" si="54"/>
        <v>0.1</v>
      </c>
      <c r="L99" s="80">
        <f t="shared" si="54"/>
        <v>0.15</v>
      </c>
      <c r="M99" s="78">
        <f t="shared" si="54"/>
        <v>0.25</v>
      </c>
      <c r="N99" s="108" t="s">
        <v>79</v>
      </c>
    </row>
    <row r="100" spans="1:14" outlineLevel="1" x14ac:dyDescent="0.2">
      <c r="A100" s="20">
        <f t="shared" si="52"/>
        <v>10298</v>
      </c>
      <c r="B100" s="19" t="str">
        <f t="shared" si="52"/>
        <v>TAMUG</v>
      </c>
      <c r="C100" s="73">
        <f t="shared" si="55"/>
        <v>1</v>
      </c>
      <c r="D100" s="74">
        <f t="shared" ref="D100:M100" si="56">SUMIF($N$131:$N$135,$N100,D$131:D$135)</f>
        <v>0</v>
      </c>
      <c r="E100" s="75">
        <f t="shared" si="56"/>
        <v>0.25</v>
      </c>
      <c r="F100" s="75">
        <f t="shared" si="56"/>
        <v>0</v>
      </c>
      <c r="G100" s="76">
        <f t="shared" si="56"/>
        <v>0</v>
      </c>
      <c r="H100" s="74">
        <f t="shared" si="56"/>
        <v>0</v>
      </c>
      <c r="I100" s="76">
        <f t="shared" si="56"/>
        <v>0</v>
      </c>
      <c r="J100" s="81">
        <f t="shared" si="56"/>
        <v>0.3</v>
      </c>
      <c r="K100" s="74">
        <f t="shared" si="56"/>
        <v>0.2</v>
      </c>
      <c r="L100" s="75">
        <f t="shared" si="56"/>
        <v>0.15</v>
      </c>
      <c r="M100" s="76">
        <f t="shared" si="56"/>
        <v>0.1</v>
      </c>
      <c r="N100" s="108" t="s">
        <v>82</v>
      </c>
    </row>
    <row r="101" spans="1:14" outlineLevel="1" x14ac:dyDescent="0.2">
      <c r="A101" s="20">
        <f t="shared" si="52"/>
        <v>3630</v>
      </c>
      <c r="B101" s="19" t="str">
        <f t="shared" si="52"/>
        <v>Prairie View</v>
      </c>
      <c r="C101" s="73">
        <f t="shared" si="55"/>
        <v>1</v>
      </c>
      <c r="D101" s="74">
        <f t="shared" ref="D101:D106" si="57">SUMIF($N$131:$N$135,$N101,D$131:D$135)</f>
        <v>0</v>
      </c>
      <c r="E101" s="75">
        <f t="shared" si="54"/>
        <v>0.25</v>
      </c>
      <c r="F101" s="75">
        <f t="shared" si="54"/>
        <v>0</v>
      </c>
      <c r="G101" s="76">
        <f t="shared" si="54"/>
        <v>0</v>
      </c>
      <c r="H101" s="74">
        <f t="shared" si="54"/>
        <v>0</v>
      </c>
      <c r="I101" s="76">
        <f t="shared" si="54"/>
        <v>0</v>
      </c>
      <c r="J101" s="81">
        <f t="shared" si="54"/>
        <v>0.3</v>
      </c>
      <c r="K101" s="74">
        <f t="shared" si="54"/>
        <v>0.1</v>
      </c>
      <c r="L101" s="75">
        <f t="shared" si="54"/>
        <v>0.15</v>
      </c>
      <c r="M101" s="76">
        <f t="shared" si="54"/>
        <v>0.2</v>
      </c>
      <c r="N101" s="108" t="s">
        <v>83</v>
      </c>
    </row>
    <row r="102" spans="1:14" outlineLevel="1" x14ac:dyDescent="0.2">
      <c r="A102" s="20">
        <f t="shared" si="52"/>
        <v>3631</v>
      </c>
      <c r="B102" s="19" t="str">
        <f t="shared" si="52"/>
        <v>Tarleton</v>
      </c>
      <c r="C102" s="73">
        <f t="shared" si="55"/>
        <v>1</v>
      </c>
      <c r="D102" s="74">
        <f t="shared" si="57"/>
        <v>0</v>
      </c>
      <c r="E102" s="75">
        <f t="shared" si="54"/>
        <v>0.25</v>
      </c>
      <c r="F102" s="75">
        <f t="shared" si="54"/>
        <v>0</v>
      </c>
      <c r="G102" s="76">
        <f t="shared" si="54"/>
        <v>0</v>
      </c>
      <c r="H102" s="74">
        <f t="shared" si="54"/>
        <v>0</v>
      </c>
      <c r="I102" s="76">
        <f t="shared" si="54"/>
        <v>0</v>
      </c>
      <c r="J102" s="81">
        <f t="shared" si="54"/>
        <v>0.3</v>
      </c>
      <c r="K102" s="74">
        <f t="shared" si="54"/>
        <v>0.1</v>
      </c>
      <c r="L102" s="75">
        <f t="shared" si="54"/>
        <v>0.15</v>
      </c>
      <c r="M102" s="76">
        <f t="shared" si="54"/>
        <v>0.2</v>
      </c>
      <c r="N102" s="108" t="s">
        <v>83</v>
      </c>
    </row>
    <row r="103" spans="1:14" outlineLevel="1" x14ac:dyDescent="0.2">
      <c r="A103" s="27">
        <f t="shared" si="52"/>
        <v>103631</v>
      </c>
      <c r="B103" s="19" t="str">
        <f t="shared" si="52"/>
        <v>TAMUCT</v>
      </c>
      <c r="C103" s="73">
        <f t="shared" si="55"/>
        <v>1</v>
      </c>
      <c r="D103" s="74">
        <f t="shared" si="57"/>
        <v>0</v>
      </c>
      <c r="E103" s="75">
        <f t="shared" si="54"/>
        <v>0.25</v>
      </c>
      <c r="F103" s="75">
        <f t="shared" si="54"/>
        <v>0</v>
      </c>
      <c r="G103" s="76">
        <f t="shared" si="54"/>
        <v>0</v>
      </c>
      <c r="H103" s="74">
        <f t="shared" si="54"/>
        <v>0</v>
      </c>
      <c r="I103" s="76">
        <f t="shared" si="54"/>
        <v>0</v>
      </c>
      <c r="J103" s="81">
        <f t="shared" si="54"/>
        <v>0.3</v>
      </c>
      <c r="K103" s="74">
        <f t="shared" si="54"/>
        <v>0.2</v>
      </c>
      <c r="L103" s="75">
        <f t="shared" si="54"/>
        <v>0.15</v>
      </c>
      <c r="M103" s="76">
        <f t="shared" si="54"/>
        <v>0.1</v>
      </c>
      <c r="N103" s="108" t="s">
        <v>82</v>
      </c>
    </row>
    <row r="104" spans="1:14" outlineLevel="1" x14ac:dyDescent="0.2">
      <c r="A104" s="20">
        <f t="shared" si="52"/>
        <v>11161</v>
      </c>
      <c r="B104" s="19" t="str">
        <f t="shared" si="52"/>
        <v>TAMUCC</v>
      </c>
      <c r="C104" s="73">
        <f t="shared" si="55"/>
        <v>1</v>
      </c>
      <c r="D104" s="74">
        <f t="shared" si="57"/>
        <v>0</v>
      </c>
      <c r="E104" s="75">
        <f t="shared" si="54"/>
        <v>0.25</v>
      </c>
      <c r="F104" s="75">
        <f t="shared" si="54"/>
        <v>0</v>
      </c>
      <c r="G104" s="76">
        <f t="shared" si="54"/>
        <v>0</v>
      </c>
      <c r="H104" s="74">
        <f t="shared" si="54"/>
        <v>0</v>
      </c>
      <c r="I104" s="76">
        <f t="shared" si="54"/>
        <v>0</v>
      </c>
      <c r="J104" s="81">
        <f t="shared" si="54"/>
        <v>0.3</v>
      </c>
      <c r="K104" s="74">
        <f t="shared" si="54"/>
        <v>0.1</v>
      </c>
      <c r="L104" s="75">
        <f t="shared" si="54"/>
        <v>0.15</v>
      </c>
      <c r="M104" s="76">
        <f t="shared" si="54"/>
        <v>0.2</v>
      </c>
      <c r="N104" s="108" t="s">
        <v>81</v>
      </c>
    </row>
    <row r="105" spans="1:14" outlineLevel="1" x14ac:dyDescent="0.2">
      <c r="A105" s="20">
        <f t="shared" si="52"/>
        <v>3639</v>
      </c>
      <c r="B105" s="19" t="str">
        <f t="shared" si="52"/>
        <v>TAMUK</v>
      </c>
      <c r="C105" s="73">
        <f t="shared" si="55"/>
        <v>1</v>
      </c>
      <c r="D105" s="74">
        <f t="shared" si="57"/>
        <v>0</v>
      </c>
      <c r="E105" s="75">
        <f t="shared" si="54"/>
        <v>0.25</v>
      </c>
      <c r="F105" s="75">
        <f t="shared" si="54"/>
        <v>0</v>
      </c>
      <c r="G105" s="76">
        <f t="shared" si="54"/>
        <v>0</v>
      </c>
      <c r="H105" s="74">
        <f t="shared" si="54"/>
        <v>0</v>
      </c>
      <c r="I105" s="76">
        <f t="shared" si="54"/>
        <v>0</v>
      </c>
      <c r="J105" s="81">
        <f t="shared" si="54"/>
        <v>0.3</v>
      </c>
      <c r="K105" s="74">
        <f t="shared" si="54"/>
        <v>0.1</v>
      </c>
      <c r="L105" s="75">
        <f t="shared" si="54"/>
        <v>0.15</v>
      </c>
      <c r="M105" s="76">
        <f t="shared" si="54"/>
        <v>0.2</v>
      </c>
      <c r="N105" s="108" t="s">
        <v>81</v>
      </c>
    </row>
    <row r="106" spans="1:14" outlineLevel="1" x14ac:dyDescent="0.2">
      <c r="A106" s="27">
        <f t="shared" ref="A106:B121" si="58">A21</f>
        <v>103639</v>
      </c>
      <c r="B106" s="19" t="str">
        <f t="shared" si="58"/>
        <v>TAMUSA</v>
      </c>
      <c r="C106" s="73">
        <f t="shared" si="55"/>
        <v>1</v>
      </c>
      <c r="D106" s="74">
        <f t="shared" si="57"/>
        <v>0</v>
      </c>
      <c r="E106" s="75">
        <f t="shared" ref="E106:M106" si="59">SUMIF($N$131:$N$135,$N106,E$131:E$135)</f>
        <v>0.25</v>
      </c>
      <c r="F106" s="75">
        <f t="shared" si="59"/>
        <v>0</v>
      </c>
      <c r="G106" s="76">
        <f t="shared" si="59"/>
        <v>0</v>
      </c>
      <c r="H106" s="74">
        <f t="shared" si="59"/>
        <v>0</v>
      </c>
      <c r="I106" s="76">
        <f t="shared" si="59"/>
        <v>0</v>
      </c>
      <c r="J106" s="81">
        <f t="shared" si="59"/>
        <v>0.3</v>
      </c>
      <c r="K106" s="74">
        <f t="shared" si="59"/>
        <v>0.2</v>
      </c>
      <c r="L106" s="75">
        <f t="shared" si="59"/>
        <v>0.15</v>
      </c>
      <c r="M106" s="76">
        <f t="shared" si="59"/>
        <v>0.1</v>
      </c>
      <c r="N106" s="108" t="s">
        <v>82</v>
      </c>
    </row>
    <row r="107" spans="1:14" outlineLevel="1" x14ac:dyDescent="0.2">
      <c r="A107" s="20">
        <f t="shared" si="58"/>
        <v>9651</v>
      </c>
      <c r="B107" s="19" t="str">
        <f t="shared" si="58"/>
        <v>TAMI</v>
      </c>
      <c r="C107" s="73">
        <f t="shared" si="55"/>
        <v>1</v>
      </c>
      <c r="D107" s="74">
        <f t="shared" ref="D107:M122" si="60">SUMIF($N$131:$N$135,$N107,D$131:D$135)</f>
        <v>0</v>
      </c>
      <c r="E107" s="75">
        <f t="shared" si="60"/>
        <v>0.25</v>
      </c>
      <c r="F107" s="75">
        <f t="shared" si="60"/>
        <v>0</v>
      </c>
      <c r="G107" s="76">
        <f t="shared" si="60"/>
        <v>0</v>
      </c>
      <c r="H107" s="74">
        <f t="shared" si="60"/>
        <v>0</v>
      </c>
      <c r="I107" s="76">
        <f t="shared" si="60"/>
        <v>0</v>
      </c>
      <c r="J107" s="81">
        <f t="shared" si="60"/>
        <v>0.3</v>
      </c>
      <c r="K107" s="74">
        <f t="shared" si="60"/>
        <v>0.1</v>
      </c>
      <c r="L107" s="75">
        <f t="shared" si="60"/>
        <v>0.15</v>
      </c>
      <c r="M107" s="76">
        <f t="shared" si="60"/>
        <v>0.2</v>
      </c>
      <c r="N107" s="108" t="s">
        <v>83</v>
      </c>
    </row>
    <row r="108" spans="1:14" outlineLevel="1" x14ac:dyDescent="0.2">
      <c r="A108" s="20">
        <f t="shared" si="58"/>
        <v>3665</v>
      </c>
      <c r="B108" s="19" t="str">
        <f t="shared" si="58"/>
        <v>WTAMU</v>
      </c>
      <c r="C108" s="73">
        <f t="shared" si="55"/>
        <v>1</v>
      </c>
      <c r="D108" s="74">
        <f t="shared" si="60"/>
        <v>0</v>
      </c>
      <c r="E108" s="75">
        <f t="shared" si="60"/>
        <v>0.25</v>
      </c>
      <c r="F108" s="75">
        <f t="shared" si="60"/>
        <v>0</v>
      </c>
      <c r="G108" s="76">
        <f t="shared" si="60"/>
        <v>0</v>
      </c>
      <c r="H108" s="74">
        <f t="shared" si="60"/>
        <v>0</v>
      </c>
      <c r="I108" s="76">
        <f t="shared" si="60"/>
        <v>0</v>
      </c>
      <c r="J108" s="81">
        <f t="shared" si="60"/>
        <v>0.3</v>
      </c>
      <c r="K108" s="74">
        <f t="shared" si="60"/>
        <v>0.1</v>
      </c>
      <c r="L108" s="75">
        <f t="shared" si="60"/>
        <v>0.15</v>
      </c>
      <c r="M108" s="76">
        <f t="shared" si="60"/>
        <v>0.2</v>
      </c>
      <c r="N108" s="108" t="s">
        <v>83</v>
      </c>
    </row>
    <row r="109" spans="1:14" outlineLevel="1" x14ac:dyDescent="0.2">
      <c r="A109" s="20">
        <f t="shared" si="58"/>
        <v>3565</v>
      </c>
      <c r="B109" s="19" t="str">
        <f t="shared" si="58"/>
        <v>TAMUC</v>
      </c>
      <c r="C109" s="73">
        <f t="shared" si="55"/>
        <v>1</v>
      </c>
      <c r="D109" s="74">
        <f t="shared" si="60"/>
        <v>0</v>
      </c>
      <c r="E109" s="75">
        <f t="shared" si="60"/>
        <v>0.25</v>
      </c>
      <c r="F109" s="75">
        <f t="shared" si="60"/>
        <v>0</v>
      </c>
      <c r="G109" s="76">
        <f t="shared" si="60"/>
        <v>0</v>
      </c>
      <c r="H109" s="74">
        <f t="shared" si="60"/>
        <v>0</v>
      </c>
      <c r="I109" s="76">
        <f t="shared" si="60"/>
        <v>0</v>
      </c>
      <c r="J109" s="81">
        <f t="shared" si="60"/>
        <v>0.3</v>
      </c>
      <c r="K109" s="74">
        <f t="shared" si="60"/>
        <v>0.1</v>
      </c>
      <c r="L109" s="75">
        <f t="shared" si="60"/>
        <v>0.15</v>
      </c>
      <c r="M109" s="76">
        <f t="shared" si="60"/>
        <v>0.2</v>
      </c>
      <c r="N109" s="108" t="s">
        <v>81</v>
      </c>
    </row>
    <row r="110" spans="1:14" outlineLevel="1" x14ac:dyDescent="0.2">
      <c r="A110" s="20">
        <f t="shared" si="58"/>
        <v>29269</v>
      </c>
      <c r="B110" s="19" t="str">
        <f t="shared" si="58"/>
        <v>TAMUT</v>
      </c>
      <c r="C110" s="73">
        <f t="shared" si="55"/>
        <v>1</v>
      </c>
      <c r="D110" s="74">
        <f t="shared" si="60"/>
        <v>0</v>
      </c>
      <c r="E110" s="75">
        <f t="shared" si="60"/>
        <v>0.25</v>
      </c>
      <c r="F110" s="75">
        <f t="shared" si="60"/>
        <v>0</v>
      </c>
      <c r="G110" s="76">
        <f t="shared" si="60"/>
        <v>0</v>
      </c>
      <c r="H110" s="74">
        <f t="shared" si="60"/>
        <v>0</v>
      </c>
      <c r="I110" s="76">
        <f t="shared" si="60"/>
        <v>0</v>
      </c>
      <c r="J110" s="81">
        <f t="shared" si="60"/>
        <v>0.3</v>
      </c>
      <c r="K110" s="74">
        <f t="shared" si="60"/>
        <v>0.2</v>
      </c>
      <c r="L110" s="75">
        <f t="shared" si="60"/>
        <v>0.15</v>
      </c>
      <c r="M110" s="76">
        <f t="shared" si="60"/>
        <v>0.1</v>
      </c>
      <c r="N110" s="108" t="s">
        <v>82</v>
      </c>
    </row>
    <row r="111" spans="1:14" outlineLevel="1" x14ac:dyDescent="0.2">
      <c r="A111" s="20">
        <f t="shared" si="58"/>
        <v>3652</v>
      </c>
      <c r="B111" s="19" t="str">
        <f t="shared" si="58"/>
        <v>UH</v>
      </c>
      <c r="C111" s="73">
        <f t="shared" si="55"/>
        <v>1</v>
      </c>
      <c r="D111" s="74">
        <f t="shared" si="60"/>
        <v>0</v>
      </c>
      <c r="E111" s="75">
        <f t="shared" si="60"/>
        <v>0.25</v>
      </c>
      <c r="F111" s="75">
        <f t="shared" si="60"/>
        <v>0</v>
      </c>
      <c r="G111" s="76">
        <f t="shared" si="60"/>
        <v>0</v>
      </c>
      <c r="H111" s="74">
        <f t="shared" si="60"/>
        <v>0</v>
      </c>
      <c r="I111" s="76">
        <f t="shared" si="60"/>
        <v>0</v>
      </c>
      <c r="J111" s="81">
        <f t="shared" si="60"/>
        <v>0.3</v>
      </c>
      <c r="K111" s="74">
        <f t="shared" si="60"/>
        <v>0.1</v>
      </c>
      <c r="L111" s="75">
        <f t="shared" si="60"/>
        <v>0.15</v>
      </c>
      <c r="M111" s="76">
        <f t="shared" si="60"/>
        <v>0.2</v>
      </c>
      <c r="N111" s="108" t="s">
        <v>80</v>
      </c>
    </row>
    <row r="112" spans="1:14" outlineLevel="1" x14ac:dyDescent="0.2">
      <c r="A112" s="20">
        <f t="shared" si="58"/>
        <v>11711</v>
      </c>
      <c r="B112" s="19" t="str">
        <f t="shared" si="58"/>
        <v>UHCL</v>
      </c>
      <c r="C112" s="73">
        <f t="shared" si="55"/>
        <v>1</v>
      </c>
      <c r="D112" s="74">
        <f t="shared" si="60"/>
        <v>0</v>
      </c>
      <c r="E112" s="75">
        <f t="shared" si="60"/>
        <v>0.25</v>
      </c>
      <c r="F112" s="75">
        <f t="shared" si="60"/>
        <v>0</v>
      </c>
      <c r="G112" s="76">
        <f t="shared" si="60"/>
        <v>0</v>
      </c>
      <c r="H112" s="74">
        <f t="shared" si="60"/>
        <v>0</v>
      </c>
      <c r="I112" s="76">
        <f t="shared" si="60"/>
        <v>0</v>
      </c>
      <c r="J112" s="81">
        <f t="shared" si="60"/>
        <v>0.3</v>
      </c>
      <c r="K112" s="74">
        <f t="shared" si="60"/>
        <v>0.2</v>
      </c>
      <c r="L112" s="75">
        <f t="shared" si="60"/>
        <v>0.15</v>
      </c>
      <c r="M112" s="76">
        <f t="shared" si="60"/>
        <v>0.1</v>
      </c>
      <c r="N112" s="108" t="s">
        <v>82</v>
      </c>
    </row>
    <row r="113" spans="1:19" outlineLevel="1" x14ac:dyDescent="0.2">
      <c r="A113" s="20">
        <f t="shared" si="58"/>
        <v>12826</v>
      </c>
      <c r="B113" s="19" t="str">
        <f t="shared" si="58"/>
        <v>UHD</v>
      </c>
      <c r="C113" s="73">
        <f t="shared" si="55"/>
        <v>1</v>
      </c>
      <c r="D113" s="74">
        <f t="shared" si="60"/>
        <v>0</v>
      </c>
      <c r="E113" s="75">
        <f t="shared" si="60"/>
        <v>0.25</v>
      </c>
      <c r="F113" s="75">
        <f t="shared" si="60"/>
        <v>0</v>
      </c>
      <c r="G113" s="76">
        <f t="shared" si="60"/>
        <v>0</v>
      </c>
      <c r="H113" s="74">
        <f t="shared" si="60"/>
        <v>0</v>
      </c>
      <c r="I113" s="76">
        <f t="shared" si="60"/>
        <v>0</v>
      </c>
      <c r="J113" s="81">
        <f t="shared" si="60"/>
        <v>0.3</v>
      </c>
      <c r="K113" s="74">
        <f t="shared" si="60"/>
        <v>0.2</v>
      </c>
      <c r="L113" s="75">
        <f t="shared" si="60"/>
        <v>0.15</v>
      </c>
      <c r="M113" s="76">
        <f t="shared" si="60"/>
        <v>0.1</v>
      </c>
      <c r="N113" s="108" t="s">
        <v>82</v>
      </c>
    </row>
    <row r="114" spans="1:19" outlineLevel="1" x14ac:dyDescent="0.2">
      <c r="A114" s="20">
        <f t="shared" si="58"/>
        <v>13231</v>
      </c>
      <c r="B114" s="19" t="str">
        <f t="shared" si="58"/>
        <v>UHV</v>
      </c>
      <c r="C114" s="73">
        <f t="shared" si="55"/>
        <v>1</v>
      </c>
      <c r="D114" s="74">
        <f t="shared" si="60"/>
        <v>0</v>
      </c>
      <c r="E114" s="75">
        <f t="shared" si="60"/>
        <v>0.25</v>
      </c>
      <c r="F114" s="75">
        <f t="shared" si="60"/>
        <v>0</v>
      </c>
      <c r="G114" s="76">
        <f t="shared" si="60"/>
        <v>0</v>
      </c>
      <c r="H114" s="74">
        <f t="shared" si="60"/>
        <v>0</v>
      </c>
      <c r="I114" s="76">
        <f t="shared" si="60"/>
        <v>0</v>
      </c>
      <c r="J114" s="81">
        <f t="shared" si="60"/>
        <v>0.3</v>
      </c>
      <c r="K114" s="74">
        <f t="shared" si="60"/>
        <v>0.2</v>
      </c>
      <c r="L114" s="75">
        <f t="shared" si="60"/>
        <v>0.15</v>
      </c>
      <c r="M114" s="76">
        <f t="shared" si="60"/>
        <v>0.1</v>
      </c>
      <c r="N114" s="108" t="s">
        <v>82</v>
      </c>
    </row>
    <row r="115" spans="1:19" outlineLevel="1" x14ac:dyDescent="0.2">
      <c r="A115" s="20">
        <f t="shared" si="58"/>
        <v>3592</v>
      </c>
      <c r="B115" s="19" t="str">
        <f t="shared" si="58"/>
        <v>Midwestern</v>
      </c>
      <c r="C115" s="73">
        <f t="shared" si="55"/>
        <v>1</v>
      </c>
      <c r="D115" s="74">
        <f t="shared" si="60"/>
        <v>0</v>
      </c>
      <c r="E115" s="75">
        <f t="shared" si="60"/>
        <v>0.25</v>
      </c>
      <c r="F115" s="75">
        <f t="shared" si="60"/>
        <v>0</v>
      </c>
      <c r="G115" s="76">
        <f t="shared" si="60"/>
        <v>0</v>
      </c>
      <c r="H115" s="74">
        <f t="shared" si="60"/>
        <v>0</v>
      </c>
      <c r="I115" s="76">
        <f t="shared" si="60"/>
        <v>0</v>
      </c>
      <c r="J115" s="81">
        <f t="shared" si="60"/>
        <v>0.3</v>
      </c>
      <c r="K115" s="74">
        <f t="shared" si="60"/>
        <v>0.2</v>
      </c>
      <c r="L115" s="75">
        <f t="shared" si="60"/>
        <v>0.15</v>
      </c>
      <c r="M115" s="76">
        <f t="shared" si="60"/>
        <v>0.1</v>
      </c>
      <c r="N115" s="108" t="s">
        <v>82</v>
      </c>
    </row>
    <row r="116" spans="1:19" outlineLevel="1" x14ac:dyDescent="0.2">
      <c r="A116" s="20">
        <f t="shared" si="58"/>
        <v>3594</v>
      </c>
      <c r="B116" s="19" t="str">
        <f t="shared" si="58"/>
        <v>UNT</v>
      </c>
      <c r="C116" s="73">
        <f t="shared" si="55"/>
        <v>1</v>
      </c>
      <c r="D116" s="74">
        <f t="shared" si="60"/>
        <v>0</v>
      </c>
      <c r="E116" s="75">
        <f t="shared" si="60"/>
        <v>0.25</v>
      </c>
      <c r="F116" s="75">
        <f t="shared" si="60"/>
        <v>0</v>
      </c>
      <c r="G116" s="76">
        <f t="shared" si="60"/>
        <v>0</v>
      </c>
      <c r="H116" s="74">
        <f t="shared" si="60"/>
        <v>0</v>
      </c>
      <c r="I116" s="76">
        <f t="shared" si="60"/>
        <v>0</v>
      </c>
      <c r="J116" s="81">
        <f t="shared" si="60"/>
        <v>0.3</v>
      </c>
      <c r="K116" s="74">
        <f t="shared" si="60"/>
        <v>0.1</v>
      </c>
      <c r="L116" s="75">
        <f t="shared" si="60"/>
        <v>0.15</v>
      </c>
      <c r="M116" s="76">
        <f t="shared" si="60"/>
        <v>0.2</v>
      </c>
      <c r="N116" s="108" t="s">
        <v>80</v>
      </c>
      <c r="Q116" s="87"/>
      <c r="S116" s="87"/>
    </row>
    <row r="117" spans="1:19" outlineLevel="1" x14ac:dyDescent="0.2">
      <c r="A117" s="27">
        <f t="shared" si="58"/>
        <v>113594</v>
      </c>
      <c r="B117" s="19" t="str">
        <f t="shared" si="58"/>
        <v>UNTD</v>
      </c>
      <c r="C117" s="73">
        <f t="shared" si="55"/>
        <v>1</v>
      </c>
      <c r="D117" s="74">
        <f t="shared" si="60"/>
        <v>0</v>
      </c>
      <c r="E117" s="75">
        <f t="shared" si="60"/>
        <v>0.25</v>
      </c>
      <c r="F117" s="75">
        <f t="shared" si="60"/>
        <v>0</v>
      </c>
      <c r="G117" s="76">
        <f t="shared" si="60"/>
        <v>0</v>
      </c>
      <c r="H117" s="74">
        <f t="shared" si="60"/>
        <v>0</v>
      </c>
      <c r="I117" s="76">
        <f t="shared" si="60"/>
        <v>0</v>
      </c>
      <c r="J117" s="81">
        <f t="shared" si="60"/>
        <v>0.3</v>
      </c>
      <c r="K117" s="74">
        <f t="shared" si="60"/>
        <v>0.2</v>
      </c>
      <c r="L117" s="75">
        <f t="shared" si="60"/>
        <v>0.15</v>
      </c>
      <c r="M117" s="76">
        <f t="shared" si="60"/>
        <v>0.1</v>
      </c>
      <c r="N117" s="108" t="s">
        <v>82</v>
      </c>
    </row>
    <row r="118" spans="1:19" outlineLevel="1" x14ac:dyDescent="0.2">
      <c r="A118" s="20">
        <f t="shared" si="58"/>
        <v>3624</v>
      </c>
      <c r="B118" s="19" t="str">
        <f t="shared" si="58"/>
        <v>SFA</v>
      </c>
      <c r="C118" s="73">
        <f t="shared" si="55"/>
        <v>1</v>
      </c>
      <c r="D118" s="74">
        <f t="shared" si="60"/>
        <v>0</v>
      </c>
      <c r="E118" s="75">
        <f t="shared" si="60"/>
        <v>0.25</v>
      </c>
      <c r="F118" s="75">
        <f t="shared" si="60"/>
        <v>0</v>
      </c>
      <c r="G118" s="76">
        <f t="shared" si="60"/>
        <v>0</v>
      </c>
      <c r="H118" s="74">
        <f t="shared" si="60"/>
        <v>0</v>
      </c>
      <c r="I118" s="76">
        <f t="shared" si="60"/>
        <v>0</v>
      </c>
      <c r="J118" s="81">
        <f t="shared" si="60"/>
        <v>0.3</v>
      </c>
      <c r="K118" s="74">
        <f t="shared" si="60"/>
        <v>0.1</v>
      </c>
      <c r="L118" s="75">
        <f t="shared" si="60"/>
        <v>0.15</v>
      </c>
      <c r="M118" s="76">
        <f t="shared" si="60"/>
        <v>0.2</v>
      </c>
      <c r="N118" s="108" t="s">
        <v>83</v>
      </c>
    </row>
    <row r="119" spans="1:19" outlineLevel="1" x14ac:dyDescent="0.2">
      <c r="A119" s="20">
        <f t="shared" si="58"/>
        <v>3642</v>
      </c>
      <c r="B119" s="19" t="str">
        <f t="shared" si="58"/>
        <v>TSU</v>
      </c>
      <c r="C119" s="73">
        <f t="shared" si="55"/>
        <v>1</v>
      </c>
      <c r="D119" s="74">
        <f t="shared" si="60"/>
        <v>0</v>
      </c>
      <c r="E119" s="75">
        <f t="shared" si="60"/>
        <v>0.25</v>
      </c>
      <c r="F119" s="75">
        <f t="shared" si="60"/>
        <v>0</v>
      </c>
      <c r="G119" s="76">
        <f t="shared" si="60"/>
        <v>0</v>
      </c>
      <c r="H119" s="74">
        <f t="shared" si="60"/>
        <v>0</v>
      </c>
      <c r="I119" s="76">
        <f t="shared" si="60"/>
        <v>0</v>
      </c>
      <c r="J119" s="81">
        <f t="shared" si="60"/>
        <v>0.3</v>
      </c>
      <c r="K119" s="74">
        <f t="shared" si="60"/>
        <v>0.1</v>
      </c>
      <c r="L119" s="75">
        <f t="shared" si="60"/>
        <v>0.15</v>
      </c>
      <c r="M119" s="76">
        <f t="shared" si="60"/>
        <v>0.2</v>
      </c>
      <c r="N119" s="108" t="s">
        <v>81</v>
      </c>
    </row>
    <row r="120" spans="1:19" outlineLevel="1" x14ac:dyDescent="0.2">
      <c r="A120" s="20">
        <f t="shared" si="58"/>
        <v>3644</v>
      </c>
      <c r="B120" s="19" t="str">
        <f t="shared" si="58"/>
        <v>TTU</v>
      </c>
      <c r="C120" s="73">
        <f t="shared" si="55"/>
        <v>1</v>
      </c>
      <c r="D120" s="74">
        <f t="shared" si="60"/>
        <v>0</v>
      </c>
      <c r="E120" s="75">
        <f t="shared" si="60"/>
        <v>0.25</v>
      </c>
      <c r="F120" s="75">
        <f t="shared" si="60"/>
        <v>0</v>
      </c>
      <c r="G120" s="76">
        <f t="shared" si="60"/>
        <v>0</v>
      </c>
      <c r="H120" s="74">
        <f t="shared" si="60"/>
        <v>0</v>
      </c>
      <c r="I120" s="76">
        <f t="shared" si="60"/>
        <v>0</v>
      </c>
      <c r="J120" s="81">
        <f t="shared" si="60"/>
        <v>0.3</v>
      </c>
      <c r="K120" s="74">
        <f t="shared" si="60"/>
        <v>0.1</v>
      </c>
      <c r="L120" s="75">
        <f t="shared" si="60"/>
        <v>0.15</v>
      </c>
      <c r="M120" s="76">
        <f t="shared" si="60"/>
        <v>0.2</v>
      </c>
      <c r="N120" s="108" t="s">
        <v>80</v>
      </c>
    </row>
    <row r="121" spans="1:19" outlineLevel="1" x14ac:dyDescent="0.2">
      <c r="A121" s="20">
        <f t="shared" si="58"/>
        <v>3541</v>
      </c>
      <c r="B121" s="19" t="str">
        <f t="shared" si="58"/>
        <v>Angelo</v>
      </c>
      <c r="C121" s="73">
        <f t="shared" si="55"/>
        <v>1</v>
      </c>
      <c r="D121" s="74">
        <f t="shared" si="60"/>
        <v>0</v>
      </c>
      <c r="E121" s="75">
        <f t="shared" si="60"/>
        <v>0.25</v>
      </c>
      <c r="F121" s="75">
        <f t="shared" si="60"/>
        <v>0</v>
      </c>
      <c r="G121" s="76">
        <f t="shared" si="60"/>
        <v>0</v>
      </c>
      <c r="H121" s="74">
        <f t="shared" si="60"/>
        <v>0</v>
      </c>
      <c r="I121" s="76">
        <f t="shared" si="60"/>
        <v>0</v>
      </c>
      <c r="J121" s="81">
        <f t="shared" si="60"/>
        <v>0.3</v>
      </c>
      <c r="K121" s="74">
        <f t="shared" si="60"/>
        <v>0.2</v>
      </c>
      <c r="L121" s="75">
        <f t="shared" si="60"/>
        <v>0.15</v>
      </c>
      <c r="M121" s="76">
        <f t="shared" si="60"/>
        <v>0.1</v>
      </c>
      <c r="N121" s="108" t="s">
        <v>82</v>
      </c>
    </row>
    <row r="122" spans="1:19" outlineLevel="1" x14ac:dyDescent="0.2">
      <c r="A122" s="20">
        <f t="shared" ref="A122:B127" si="61">A37</f>
        <v>3646</v>
      </c>
      <c r="B122" s="19" t="str">
        <f t="shared" si="61"/>
        <v>TWU</v>
      </c>
      <c r="C122" s="73">
        <f t="shared" si="55"/>
        <v>1</v>
      </c>
      <c r="D122" s="74">
        <f t="shared" si="60"/>
        <v>0</v>
      </c>
      <c r="E122" s="75">
        <f t="shared" si="60"/>
        <v>0.25</v>
      </c>
      <c r="F122" s="75">
        <f t="shared" si="60"/>
        <v>0</v>
      </c>
      <c r="G122" s="76">
        <f t="shared" si="60"/>
        <v>0</v>
      </c>
      <c r="H122" s="74">
        <f t="shared" si="60"/>
        <v>0</v>
      </c>
      <c r="I122" s="76">
        <f t="shared" si="60"/>
        <v>0</v>
      </c>
      <c r="J122" s="81">
        <f t="shared" si="60"/>
        <v>0.3</v>
      </c>
      <c r="K122" s="74">
        <f t="shared" si="60"/>
        <v>0.1</v>
      </c>
      <c r="L122" s="75">
        <f t="shared" si="60"/>
        <v>0.15</v>
      </c>
      <c r="M122" s="76">
        <f t="shared" si="60"/>
        <v>0.2</v>
      </c>
      <c r="N122" s="108" t="s">
        <v>81</v>
      </c>
    </row>
    <row r="123" spans="1:19" outlineLevel="1" x14ac:dyDescent="0.2">
      <c r="A123" s="20">
        <f t="shared" si="61"/>
        <v>3581</v>
      </c>
      <c r="B123" s="19" t="str">
        <f t="shared" si="61"/>
        <v>Lamar</v>
      </c>
      <c r="C123" s="73">
        <f t="shared" si="55"/>
        <v>1</v>
      </c>
      <c r="D123" s="74">
        <f t="shared" ref="D123:M127" si="62">SUMIF($N$131:$N$135,$N123,D$131:D$135)</f>
        <v>0</v>
      </c>
      <c r="E123" s="75">
        <f t="shared" si="62"/>
        <v>0.25</v>
      </c>
      <c r="F123" s="75">
        <f t="shared" si="62"/>
        <v>0</v>
      </c>
      <c r="G123" s="76">
        <f t="shared" si="62"/>
        <v>0</v>
      </c>
      <c r="H123" s="74">
        <f t="shared" si="62"/>
        <v>0</v>
      </c>
      <c r="I123" s="76">
        <f t="shared" si="62"/>
        <v>0</v>
      </c>
      <c r="J123" s="81">
        <f t="shared" si="62"/>
        <v>0.3</v>
      </c>
      <c r="K123" s="74">
        <f t="shared" si="62"/>
        <v>0.1</v>
      </c>
      <c r="L123" s="75">
        <f t="shared" si="62"/>
        <v>0.15</v>
      </c>
      <c r="M123" s="76">
        <f t="shared" si="62"/>
        <v>0.2</v>
      </c>
      <c r="N123" s="108" t="s">
        <v>83</v>
      </c>
    </row>
    <row r="124" spans="1:19" outlineLevel="1" x14ac:dyDescent="0.2">
      <c r="A124" s="20">
        <f t="shared" si="61"/>
        <v>3606</v>
      </c>
      <c r="B124" s="19" t="str">
        <f t="shared" si="61"/>
        <v>SHSU</v>
      </c>
      <c r="C124" s="73">
        <f t="shared" si="55"/>
        <v>1</v>
      </c>
      <c r="D124" s="74">
        <f t="shared" si="62"/>
        <v>0</v>
      </c>
      <c r="E124" s="75">
        <f t="shared" si="62"/>
        <v>0.25</v>
      </c>
      <c r="F124" s="75">
        <f t="shared" si="62"/>
        <v>0</v>
      </c>
      <c r="G124" s="76">
        <f t="shared" si="62"/>
        <v>0</v>
      </c>
      <c r="H124" s="74">
        <f t="shared" si="62"/>
        <v>0</v>
      </c>
      <c r="I124" s="76">
        <f t="shared" si="62"/>
        <v>0</v>
      </c>
      <c r="J124" s="81">
        <f t="shared" si="62"/>
        <v>0.3</v>
      </c>
      <c r="K124" s="74">
        <f t="shared" si="62"/>
        <v>0.1</v>
      </c>
      <c r="L124" s="75">
        <f t="shared" si="62"/>
        <v>0.15</v>
      </c>
      <c r="M124" s="76">
        <f t="shared" si="62"/>
        <v>0.2</v>
      </c>
      <c r="N124" s="108" t="s">
        <v>81</v>
      </c>
    </row>
    <row r="125" spans="1:19" outlineLevel="1" x14ac:dyDescent="0.2">
      <c r="A125" s="20">
        <f t="shared" si="61"/>
        <v>3615</v>
      </c>
      <c r="B125" s="19" t="str">
        <f t="shared" si="61"/>
        <v>TXST</v>
      </c>
      <c r="C125" s="73">
        <f t="shared" si="55"/>
        <v>1</v>
      </c>
      <c r="D125" s="74">
        <f t="shared" si="62"/>
        <v>0</v>
      </c>
      <c r="E125" s="75">
        <f t="shared" si="62"/>
        <v>0.25</v>
      </c>
      <c r="F125" s="75">
        <f t="shared" si="62"/>
        <v>0</v>
      </c>
      <c r="G125" s="76">
        <f t="shared" si="62"/>
        <v>0</v>
      </c>
      <c r="H125" s="74">
        <f t="shared" si="62"/>
        <v>0</v>
      </c>
      <c r="I125" s="76">
        <f t="shared" si="62"/>
        <v>0</v>
      </c>
      <c r="J125" s="81">
        <f t="shared" si="62"/>
        <v>0.3</v>
      </c>
      <c r="K125" s="74">
        <f t="shared" si="62"/>
        <v>0.1</v>
      </c>
      <c r="L125" s="75">
        <f t="shared" si="62"/>
        <v>0.15</v>
      </c>
      <c r="M125" s="76">
        <f t="shared" si="62"/>
        <v>0.2</v>
      </c>
      <c r="N125" s="108" t="s">
        <v>80</v>
      </c>
    </row>
    <row r="126" spans="1:19" outlineLevel="1" x14ac:dyDescent="0.2">
      <c r="A126" s="20">
        <f t="shared" si="61"/>
        <v>3625</v>
      </c>
      <c r="B126" s="19" t="str">
        <f t="shared" si="61"/>
        <v>SRSU</v>
      </c>
      <c r="C126" s="73">
        <f t="shared" si="55"/>
        <v>1</v>
      </c>
      <c r="D126" s="74">
        <f t="shared" si="62"/>
        <v>0</v>
      </c>
      <c r="E126" s="75">
        <f t="shared" si="62"/>
        <v>0.25</v>
      </c>
      <c r="F126" s="75">
        <f t="shared" si="62"/>
        <v>0</v>
      </c>
      <c r="G126" s="76">
        <f t="shared" si="62"/>
        <v>0</v>
      </c>
      <c r="H126" s="74">
        <f t="shared" si="62"/>
        <v>0</v>
      </c>
      <c r="I126" s="76">
        <f t="shared" si="62"/>
        <v>0</v>
      </c>
      <c r="J126" s="81">
        <f t="shared" si="62"/>
        <v>0.3</v>
      </c>
      <c r="K126" s="74">
        <f t="shared" si="62"/>
        <v>0.2</v>
      </c>
      <c r="L126" s="75">
        <f t="shared" si="62"/>
        <v>0.15</v>
      </c>
      <c r="M126" s="76">
        <f t="shared" si="62"/>
        <v>0.1</v>
      </c>
      <c r="N126" s="108" t="s">
        <v>82</v>
      </c>
    </row>
    <row r="127" spans="1:19" ht="13.5" outlineLevel="1" thickBot="1" x14ac:dyDescent="0.25">
      <c r="A127" s="136">
        <f t="shared" si="61"/>
        <v>20</v>
      </c>
      <c r="B127" s="137" t="str">
        <f t="shared" si="61"/>
        <v>SRRG</v>
      </c>
      <c r="C127" s="173">
        <f t="shared" si="55"/>
        <v>1</v>
      </c>
      <c r="D127" s="174">
        <f t="shared" si="62"/>
        <v>0</v>
      </c>
      <c r="E127" s="175">
        <f t="shared" si="62"/>
        <v>0.25</v>
      </c>
      <c r="F127" s="175">
        <f t="shared" si="62"/>
        <v>0</v>
      </c>
      <c r="G127" s="176">
        <f t="shared" si="62"/>
        <v>0</v>
      </c>
      <c r="H127" s="174">
        <f t="shared" si="62"/>
        <v>0</v>
      </c>
      <c r="I127" s="176">
        <f t="shared" si="62"/>
        <v>0</v>
      </c>
      <c r="J127" s="177">
        <f t="shared" si="62"/>
        <v>0.3</v>
      </c>
      <c r="K127" s="174">
        <f t="shared" si="62"/>
        <v>0.2</v>
      </c>
      <c r="L127" s="175">
        <f t="shared" si="62"/>
        <v>0.15</v>
      </c>
      <c r="M127" s="176">
        <f t="shared" si="62"/>
        <v>0.1</v>
      </c>
      <c r="N127" s="170" t="s">
        <v>82</v>
      </c>
    </row>
    <row r="128" spans="1:19" ht="13.5" thickBot="1" x14ac:dyDescent="0.25">
      <c r="A128" s="86" t="s">
        <v>84</v>
      </c>
      <c r="B128" s="59"/>
      <c r="C128" s="84"/>
      <c r="D128" s="84"/>
      <c r="E128" s="84"/>
      <c r="F128" s="84"/>
      <c r="G128" s="84"/>
      <c r="H128" s="84"/>
      <c r="I128" s="84"/>
      <c r="J128" s="84"/>
      <c r="K128" s="84"/>
      <c r="L128" s="84"/>
      <c r="M128" s="84"/>
      <c r="N128" s="85"/>
    </row>
    <row r="129" spans="1:14" ht="12.75" customHeight="1" x14ac:dyDescent="0.2">
      <c r="A129" s="83"/>
      <c r="B129" s="59"/>
      <c r="C129" s="252" t="s">
        <v>77</v>
      </c>
      <c r="D129" s="247" t="s">
        <v>35</v>
      </c>
      <c r="E129" s="248"/>
      <c r="F129" s="248"/>
      <c r="G129" s="249"/>
      <c r="H129" s="250" t="s">
        <v>18</v>
      </c>
      <c r="I129" s="225" t="s">
        <v>17</v>
      </c>
      <c r="J129" s="227" t="s">
        <v>16</v>
      </c>
      <c r="K129" s="229" t="s">
        <v>34</v>
      </c>
      <c r="L129" s="230"/>
      <c r="M129" s="230"/>
      <c r="N129" s="232" t="s">
        <v>86</v>
      </c>
    </row>
    <row r="130" spans="1:14" ht="51" x14ac:dyDescent="0.2">
      <c r="A130" s="83"/>
      <c r="B130" s="59"/>
      <c r="C130" s="253"/>
      <c r="D130" s="192"/>
      <c r="E130" s="121" t="s">
        <v>33</v>
      </c>
      <c r="F130" s="121" t="s">
        <v>32</v>
      </c>
      <c r="G130" s="193" t="s">
        <v>31</v>
      </c>
      <c r="H130" s="251"/>
      <c r="I130" s="226"/>
      <c r="J130" s="228"/>
      <c r="K130" s="188" t="s">
        <v>14</v>
      </c>
      <c r="L130" s="189" t="s">
        <v>13</v>
      </c>
      <c r="M130" s="187" t="s">
        <v>12</v>
      </c>
      <c r="N130" s="233"/>
    </row>
    <row r="131" spans="1:14" x14ac:dyDescent="0.2">
      <c r="A131" s="83"/>
      <c r="B131" s="59"/>
      <c r="C131" s="194">
        <f>SUM(D131:M131)-I131</f>
        <v>1</v>
      </c>
      <c r="D131" s="195">
        <f>HLOOKUP(D143,$D$149:$L$150,2,0)</f>
        <v>0</v>
      </c>
      <c r="E131" s="196">
        <f t="shared" ref="E131:M131" si="63">HLOOKUP(E143,$D$149:$L$150,2,0)</f>
        <v>0.3</v>
      </c>
      <c r="F131" s="196">
        <f t="shared" si="63"/>
        <v>0</v>
      </c>
      <c r="G131" s="197">
        <f t="shared" si="63"/>
        <v>0</v>
      </c>
      <c r="H131" s="195">
        <f t="shared" si="63"/>
        <v>0</v>
      </c>
      <c r="I131" s="197">
        <f>H131</f>
        <v>0</v>
      </c>
      <c r="J131" s="195">
        <f t="shared" si="63"/>
        <v>0.2</v>
      </c>
      <c r="K131" s="195">
        <f t="shared" si="63"/>
        <v>0.1</v>
      </c>
      <c r="L131" s="196">
        <f t="shared" si="63"/>
        <v>0.15</v>
      </c>
      <c r="M131" s="197">
        <f t="shared" si="63"/>
        <v>0.25</v>
      </c>
      <c r="N131" s="110" t="s">
        <v>79</v>
      </c>
    </row>
    <row r="132" spans="1:14" x14ac:dyDescent="0.2">
      <c r="A132" s="83"/>
      <c r="B132" s="59"/>
      <c r="C132" s="171">
        <f>SUM(D132:M132)-I132</f>
        <v>1</v>
      </c>
      <c r="D132" s="95">
        <f t="shared" ref="D132:M132" si="64">HLOOKUP(D144,$D$149:$L$150,2,0)</f>
        <v>0</v>
      </c>
      <c r="E132" s="96">
        <f t="shared" si="64"/>
        <v>0.25</v>
      </c>
      <c r="F132" s="96">
        <f t="shared" si="64"/>
        <v>0</v>
      </c>
      <c r="G132" s="97">
        <f t="shared" si="64"/>
        <v>0</v>
      </c>
      <c r="H132" s="95">
        <f t="shared" si="64"/>
        <v>0</v>
      </c>
      <c r="I132" s="97">
        <f>H132</f>
        <v>0</v>
      </c>
      <c r="J132" s="95">
        <f t="shared" si="64"/>
        <v>0.3</v>
      </c>
      <c r="K132" s="95">
        <f t="shared" si="64"/>
        <v>0.1</v>
      </c>
      <c r="L132" s="96">
        <f t="shared" si="64"/>
        <v>0.15</v>
      </c>
      <c r="M132" s="97">
        <f t="shared" si="64"/>
        <v>0.2</v>
      </c>
      <c r="N132" s="108" t="s">
        <v>80</v>
      </c>
    </row>
    <row r="133" spans="1:14" x14ac:dyDescent="0.2">
      <c r="A133" s="83"/>
      <c r="B133" s="59"/>
      <c r="C133" s="171">
        <f>SUM(D133:M133)-I133</f>
        <v>1</v>
      </c>
      <c r="D133" s="95">
        <f t="shared" ref="D133:M133" si="65">HLOOKUP(D145,$D$149:$L$150,2,0)</f>
        <v>0</v>
      </c>
      <c r="E133" s="96">
        <f t="shared" si="65"/>
        <v>0.25</v>
      </c>
      <c r="F133" s="96">
        <f t="shared" si="65"/>
        <v>0</v>
      </c>
      <c r="G133" s="97">
        <f t="shared" si="65"/>
        <v>0</v>
      </c>
      <c r="H133" s="95">
        <f t="shared" si="65"/>
        <v>0</v>
      </c>
      <c r="I133" s="97">
        <f>H133</f>
        <v>0</v>
      </c>
      <c r="J133" s="95">
        <f t="shared" si="65"/>
        <v>0.3</v>
      </c>
      <c r="K133" s="95">
        <f t="shared" si="65"/>
        <v>0.1</v>
      </c>
      <c r="L133" s="96">
        <f t="shared" si="65"/>
        <v>0.15</v>
      </c>
      <c r="M133" s="97">
        <f t="shared" si="65"/>
        <v>0.2</v>
      </c>
      <c r="N133" s="108" t="s">
        <v>81</v>
      </c>
    </row>
    <row r="134" spans="1:14" x14ac:dyDescent="0.2">
      <c r="A134" s="83"/>
      <c r="B134" s="59"/>
      <c r="C134" s="171">
        <f>SUM(D134:M134)-I134</f>
        <v>1</v>
      </c>
      <c r="D134" s="95">
        <f t="shared" ref="D134:M134" si="66">HLOOKUP(D146,$D$149:$L$150,2,0)</f>
        <v>0</v>
      </c>
      <c r="E134" s="96">
        <f t="shared" si="66"/>
        <v>0.25</v>
      </c>
      <c r="F134" s="96">
        <f t="shared" si="66"/>
        <v>0</v>
      </c>
      <c r="G134" s="97">
        <f t="shared" si="66"/>
        <v>0</v>
      </c>
      <c r="H134" s="95">
        <f t="shared" si="66"/>
        <v>0</v>
      </c>
      <c r="I134" s="97">
        <f>H134</f>
        <v>0</v>
      </c>
      <c r="J134" s="95">
        <f t="shared" si="66"/>
        <v>0.3</v>
      </c>
      <c r="K134" s="95">
        <f t="shared" si="66"/>
        <v>0.1</v>
      </c>
      <c r="L134" s="96">
        <f t="shared" si="66"/>
        <v>0.15</v>
      </c>
      <c r="M134" s="97">
        <f t="shared" si="66"/>
        <v>0.2</v>
      </c>
      <c r="N134" s="108" t="s">
        <v>83</v>
      </c>
    </row>
    <row r="135" spans="1:14" ht="13.5" thickBot="1" x14ac:dyDescent="0.25">
      <c r="A135" s="83"/>
      <c r="B135" s="59"/>
      <c r="C135" s="172">
        <f>SUM(D135:M135)-I135</f>
        <v>1</v>
      </c>
      <c r="D135" s="145">
        <f t="shared" ref="D135:M135" si="67">HLOOKUP(D147,$D$149:$L$150,2,0)</f>
        <v>0</v>
      </c>
      <c r="E135" s="146">
        <f t="shared" si="67"/>
        <v>0.25</v>
      </c>
      <c r="F135" s="146">
        <f t="shared" si="67"/>
        <v>0</v>
      </c>
      <c r="G135" s="168">
        <f t="shared" si="67"/>
        <v>0</v>
      </c>
      <c r="H135" s="145">
        <f t="shared" si="67"/>
        <v>0</v>
      </c>
      <c r="I135" s="168">
        <f>H135</f>
        <v>0</v>
      </c>
      <c r="J135" s="145">
        <f t="shared" si="67"/>
        <v>0.3</v>
      </c>
      <c r="K135" s="145">
        <f t="shared" si="67"/>
        <v>0.2</v>
      </c>
      <c r="L135" s="146">
        <f t="shared" si="67"/>
        <v>0.15</v>
      </c>
      <c r="M135" s="168">
        <f t="shared" si="67"/>
        <v>0.1</v>
      </c>
      <c r="N135" s="170" t="s">
        <v>82</v>
      </c>
    </row>
    <row r="136" spans="1:14" ht="13.5" thickBot="1" x14ac:dyDescent="0.25">
      <c r="A136" s="86" t="s">
        <v>88</v>
      </c>
      <c r="B136" s="59"/>
      <c r="C136" s="90"/>
      <c r="D136" s="91"/>
      <c r="E136" s="91"/>
      <c r="F136" s="91"/>
      <c r="G136" s="91"/>
      <c r="H136" s="91"/>
      <c r="I136" s="91"/>
      <c r="J136" s="91"/>
      <c r="K136" s="91"/>
      <c r="L136" s="91"/>
      <c r="M136" s="91"/>
      <c r="N136" s="85"/>
    </row>
    <row r="137" spans="1:14" x14ac:dyDescent="0.2">
      <c r="A137" s="83"/>
      <c r="B137" s="59"/>
      <c r="C137" s="90"/>
      <c r="D137" s="98">
        <f t="shared" ref="D137:G141" si="68">SUMIF($N$156:$N$193,$N137,D$156:D$193)/COUNTIF($N$156:$N$193,$N137)</f>
        <v>0</v>
      </c>
      <c r="E137" s="99">
        <f t="shared" si="68"/>
        <v>51672.798722222222</v>
      </c>
      <c r="F137" s="99">
        <f t="shared" si="68"/>
        <v>0</v>
      </c>
      <c r="G137" s="100">
        <f t="shared" si="68"/>
        <v>0</v>
      </c>
      <c r="H137" s="98">
        <f>(SUMIF($N$156:$N$193,$N137,H$156:H$193)+SUMIF($N$156:$N$193,$N137,I$156:I$193))/COUNTIF($N$156:$N$193,$N137)</f>
        <v>0</v>
      </c>
      <c r="I137" s="100"/>
      <c r="J137" s="101">
        <f t="shared" ref="J137:M141" si="69">SUMIF($N$156:$N$193,$N137,J$156:J$193)/COUNTIF($N$156:$N$193,$N137)</f>
        <v>28777.333333333336</v>
      </c>
      <c r="K137" s="98">
        <f t="shared" si="69"/>
        <v>16710.150000000001</v>
      </c>
      <c r="L137" s="99">
        <f t="shared" si="69"/>
        <v>22391.25</v>
      </c>
      <c r="M137" s="100">
        <f t="shared" si="69"/>
        <v>30663.600000000002</v>
      </c>
      <c r="N137" s="169" t="s">
        <v>79</v>
      </c>
    </row>
    <row r="138" spans="1:14" x14ac:dyDescent="0.2">
      <c r="A138" s="83"/>
      <c r="B138" s="59"/>
      <c r="C138" s="90"/>
      <c r="D138" s="102">
        <f t="shared" si="68"/>
        <v>0</v>
      </c>
      <c r="E138" s="103">
        <f t="shared" si="68"/>
        <v>17700.990319444441</v>
      </c>
      <c r="F138" s="103">
        <f t="shared" si="68"/>
        <v>0</v>
      </c>
      <c r="G138" s="104">
        <f t="shared" si="68"/>
        <v>0</v>
      </c>
      <c r="H138" s="102">
        <f>(SUMIF($N$156:$N$193,$N138,H$156:H$193)+SUMIF($N$156:$N$193,$N138,I$156:I$193))/COUNTIF($N$156:$N$193,$N138)</f>
        <v>0</v>
      </c>
      <c r="I138" s="104"/>
      <c r="J138" s="102">
        <f t="shared" si="69"/>
        <v>23669.999999999996</v>
      </c>
      <c r="K138" s="102">
        <f t="shared" si="69"/>
        <v>10783.595833333335</v>
      </c>
      <c r="L138" s="103">
        <f t="shared" si="69"/>
        <v>11242.083333333332</v>
      </c>
      <c r="M138" s="104">
        <f t="shared" si="69"/>
        <v>11706.2</v>
      </c>
      <c r="N138" s="108" t="s">
        <v>80</v>
      </c>
    </row>
    <row r="139" spans="1:14" x14ac:dyDescent="0.2">
      <c r="A139" s="83"/>
      <c r="B139" s="59"/>
      <c r="C139" s="90"/>
      <c r="D139" s="102">
        <f t="shared" si="68"/>
        <v>0</v>
      </c>
      <c r="E139" s="103">
        <f t="shared" si="68"/>
        <v>5566.6575555555555</v>
      </c>
      <c r="F139" s="103">
        <f t="shared" si="68"/>
        <v>0</v>
      </c>
      <c r="G139" s="104">
        <f t="shared" si="68"/>
        <v>0</v>
      </c>
      <c r="H139" s="102">
        <f>(SUMIF($N$156:$N$193,$N139,H$156:H$193)+SUMIF($N$156:$N$193,$N139,I$156:I$193))/COUNTIF($N$156:$N$193,$N139)</f>
        <v>0</v>
      </c>
      <c r="I139" s="104"/>
      <c r="J139" s="102">
        <f t="shared" si="69"/>
        <v>10529.142857142857</v>
      </c>
      <c r="K139" s="102">
        <f t="shared" si="69"/>
        <v>4123.0666666666666</v>
      </c>
      <c r="L139" s="103">
        <f t="shared" si="69"/>
        <v>4268.4523809523807</v>
      </c>
      <c r="M139" s="104">
        <f t="shared" si="69"/>
        <v>4463.0666666666675</v>
      </c>
      <c r="N139" s="108" t="s">
        <v>81</v>
      </c>
    </row>
    <row r="140" spans="1:14" x14ac:dyDescent="0.2">
      <c r="A140" s="83"/>
      <c r="B140" s="59"/>
      <c r="C140" s="90"/>
      <c r="D140" s="102">
        <f t="shared" si="68"/>
        <v>0</v>
      </c>
      <c r="E140" s="103">
        <f t="shared" si="68"/>
        <v>4181.1750555555554</v>
      </c>
      <c r="F140" s="103">
        <f t="shared" si="68"/>
        <v>0</v>
      </c>
      <c r="G140" s="104">
        <f t="shared" si="68"/>
        <v>0</v>
      </c>
      <c r="H140" s="102">
        <f>(SUMIF($N$156:$N$193,$N140,H$156:H$193)+SUMIF($N$156:$N$193,$N140,I$156:I$193))/COUNTIF($N$156:$N$193,$N140)</f>
        <v>0</v>
      </c>
      <c r="I140" s="104"/>
      <c r="J140" s="102">
        <f t="shared" si="69"/>
        <v>8011.5555555555557</v>
      </c>
      <c r="K140" s="102">
        <f t="shared" si="69"/>
        <v>3381.4888888888891</v>
      </c>
      <c r="L140" s="103">
        <f t="shared" si="69"/>
        <v>3459.1666666666665</v>
      </c>
      <c r="M140" s="104">
        <f t="shared" si="69"/>
        <v>3894.9777777777781</v>
      </c>
      <c r="N140" s="108" t="s">
        <v>83</v>
      </c>
    </row>
    <row r="141" spans="1:14" ht="13.5" thickBot="1" x14ac:dyDescent="0.25">
      <c r="A141" s="83"/>
      <c r="B141" s="59"/>
      <c r="C141" s="90"/>
      <c r="D141" s="139">
        <f t="shared" si="68"/>
        <v>0</v>
      </c>
      <c r="E141" s="140">
        <f t="shared" si="68"/>
        <v>2281.0312001495613</v>
      </c>
      <c r="F141" s="140">
        <f t="shared" si="68"/>
        <v>0</v>
      </c>
      <c r="G141" s="141">
        <f t="shared" si="68"/>
        <v>0</v>
      </c>
      <c r="H141" s="139">
        <f>(SUMIF($N$156:$N$193,$N141,H$156:H$193)+SUMIF($N$156:$N$193,$N141,I$156:I$193))/COUNTIF($N$156:$N$193,$N141)</f>
        <v>0</v>
      </c>
      <c r="I141" s="141"/>
      <c r="J141" s="139">
        <f t="shared" si="69"/>
        <v>4458.9333333333334</v>
      </c>
      <c r="K141" s="139">
        <f t="shared" si="69"/>
        <v>1688.1377777777775</v>
      </c>
      <c r="L141" s="140">
        <f t="shared" si="69"/>
        <v>1367.1944444444446</v>
      </c>
      <c r="M141" s="141">
        <f t="shared" si="69"/>
        <v>929.37777777777796</v>
      </c>
      <c r="N141" s="170" t="s">
        <v>82</v>
      </c>
    </row>
    <row r="142" spans="1:14" ht="13.5" thickBot="1" x14ac:dyDescent="0.25">
      <c r="A142" s="86" t="s">
        <v>89</v>
      </c>
      <c r="B142" s="59"/>
      <c r="C142" s="90"/>
      <c r="D142" s="111"/>
      <c r="E142" s="111"/>
      <c r="F142" s="111"/>
      <c r="G142" s="111"/>
      <c r="H142" s="111"/>
      <c r="I142" s="111"/>
      <c r="J142" s="111"/>
      <c r="K142" s="111"/>
      <c r="L142" s="111"/>
      <c r="M142" s="111"/>
      <c r="N142" s="85"/>
    </row>
    <row r="143" spans="1:14" x14ac:dyDescent="0.2">
      <c r="A143" s="83"/>
      <c r="B143" s="59"/>
      <c r="C143" s="90"/>
      <c r="D143" s="98">
        <f>RANK(D137,$D137:$M137)</f>
        <v>6</v>
      </c>
      <c r="E143" s="99">
        <f t="shared" ref="E143:M143" si="70">RANK(E137,$D137:$M137)</f>
        <v>1</v>
      </c>
      <c r="F143" s="99">
        <f t="shared" si="70"/>
        <v>6</v>
      </c>
      <c r="G143" s="100">
        <f t="shared" si="70"/>
        <v>6</v>
      </c>
      <c r="H143" s="98">
        <f t="shared" si="70"/>
        <v>6</v>
      </c>
      <c r="I143" s="100"/>
      <c r="J143" s="101">
        <f t="shared" si="70"/>
        <v>3</v>
      </c>
      <c r="K143" s="98">
        <f t="shared" si="70"/>
        <v>5</v>
      </c>
      <c r="L143" s="99">
        <f t="shared" si="70"/>
        <v>4</v>
      </c>
      <c r="M143" s="100">
        <f t="shared" si="70"/>
        <v>2</v>
      </c>
      <c r="N143" s="169" t="s">
        <v>79</v>
      </c>
    </row>
    <row r="144" spans="1:14" x14ac:dyDescent="0.2">
      <c r="A144" s="83"/>
      <c r="B144" s="59"/>
      <c r="C144" s="90"/>
      <c r="D144" s="102">
        <f t="shared" ref="D144:M144" si="71">RANK(D138,$D138:$M138)</f>
        <v>6</v>
      </c>
      <c r="E144" s="103">
        <f t="shared" si="71"/>
        <v>2</v>
      </c>
      <c r="F144" s="103">
        <f t="shared" si="71"/>
        <v>6</v>
      </c>
      <c r="G144" s="104">
        <f t="shared" si="71"/>
        <v>6</v>
      </c>
      <c r="H144" s="102">
        <f t="shared" si="71"/>
        <v>6</v>
      </c>
      <c r="I144" s="104"/>
      <c r="J144" s="102">
        <f t="shared" si="71"/>
        <v>1</v>
      </c>
      <c r="K144" s="102">
        <f t="shared" si="71"/>
        <v>5</v>
      </c>
      <c r="L144" s="103">
        <f t="shared" si="71"/>
        <v>4</v>
      </c>
      <c r="M144" s="104">
        <f t="shared" si="71"/>
        <v>3</v>
      </c>
      <c r="N144" s="108" t="s">
        <v>80</v>
      </c>
    </row>
    <row r="145" spans="1:14" x14ac:dyDescent="0.2">
      <c r="A145" s="83"/>
      <c r="B145" s="59"/>
      <c r="C145" s="90"/>
      <c r="D145" s="102">
        <f t="shared" ref="D145:M145" si="72">RANK(D139,$D139:$M139)</f>
        <v>6</v>
      </c>
      <c r="E145" s="103">
        <f t="shared" si="72"/>
        <v>2</v>
      </c>
      <c r="F145" s="103">
        <f t="shared" si="72"/>
        <v>6</v>
      </c>
      <c r="G145" s="104">
        <f t="shared" si="72"/>
        <v>6</v>
      </c>
      <c r="H145" s="102">
        <f t="shared" si="72"/>
        <v>6</v>
      </c>
      <c r="I145" s="104"/>
      <c r="J145" s="102">
        <f t="shared" si="72"/>
        <v>1</v>
      </c>
      <c r="K145" s="102">
        <f t="shared" si="72"/>
        <v>5</v>
      </c>
      <c r="L145" s="103">
        <f t="shared" si="72"/>
        <v>4</v>
      </c>
      <c r="M145" s="104">
        <f t="shared" si="72"/>
        <v>3</v>
      </c>
      <c r="N145" s="108" t="s">
        <v>81</v>
      </c>
    </row>
    <row r="146" spans="1:14" x14ac:dyDescent="0.2">
      <c r="A146" s="83"/>
      <c r="B146" s="59"/>
      <c r="C146" s="90"/>
      <c r="D146" s="102">
        <f t="shared" ref="D146:M146" si="73">RANK(D140,$D140:$M140)</f>
        <v>6</v>
      </c>
      <c r="E146" s="103">
        <f t="shared" si="73"/>
        <v>2</v>
      </c>
      <c r="F146" s="103">
        <f t="shared" si="73"/>
        <v>6</v>
      </c>
      <c r="G146" s="104">
        <f t="shared" si="73"/>
        <v>6</v>
      </c>
      <c r="H146" s="102">
        <f t="shared" si="73"/>
        <v>6</v>
      </c>
      <c r="I146" s="104"/>
      <c r="J146" s="102">
        <f t="shared" si="73"/>
        <v>1</v>
      </c>
      <c r="K146" s="102">
        <f t="shared" si="73"/>
        <v>5</v>
      </c>
      <c r="L146" s="103">
        <f t="shared" si="73"/>
        <v>4</v>
      </c>
      <c r="M146" s="104">
        <f t="shared" si="73"/>
        <v>3</v>
      </c>
      <c r="N146" s="108" t="s">
        <v>83</v>
      </c>
    </row>
    <row r="147" spans="1:14" ht="13.5" thickBot="1" x14ac:dyDescent="0.25">
      <c r="A147" s="83"/>
      <c r="B147" s="59"/>
      <c r="C147" s="90"/>
      <c r="D147" s="139">
        <f t="shared" ref="D147:M147" si="74">RANK(D141,$D141:$M141)</f>
        <v>6</v>
      </c>
      <c r="E147" s="140">
        <f t="shared" si="74"/>
        <v>2</v>
      </c>
      <c r="F147" s="140">
        <f t="shared" si="74"/>
        <v>6</v>
      </c>
      <c r="G147" s="141">
        <f t="shared" si="74"/>
        <v>6</v>
      </c>
      <c r="H147" s="139">
        <f t="shared" si="74"/>
        <v>6</v>
      </c>
      <c r="I147" s="141"/>
      <c r="J147" s="139">
        <f t="shared" si="74"/>
        <v>1</v>
      </c>
      <c r="K147" s="139">
        <f t="shared" si="74"/>
        <v>3</v>
      </c>
      <c r="L147" s="140">
        <f t="shared" si="74"/>
        <v>4</v>
      </c>
      <c r="M147" s="141">
        <f t="shared" si="74"/>
        <v>5</v>
      </c>
      <c r="N147" s="170" t="s">
        <v>82</v>
      </c>
    </row>
    <row r="148" spans="1:14" ht="13.5" thickBot="1" x14ac:dyDescent="0.25">
      <c r="A148" s="86" t="s">
        <v>90</v>
      </c>
      <c r="B148" s="59"/>
      <c r="C148" s="90"/>
      <c r="D148" s="91"/>
      <c r="E148" s="91"/>
      <c r="F148" s="91"/>
      <c r="G148" s="91"/>
      <c r="H148" s="91"/>
      <c r="I148" s="91"/>
      <c r="J148" s="91"/>
      <c r="K148" s="91"/>
      <c r="L148" s="91"/>
      <c r="M148" s="91"/>
      <c r="N148" s="85"/>
    </row>
    <row r="149" spans="1:14" x14ac:dyDescent="0.2">
      <c r="A149" s="83"/>
      <c r="B149" s="59"/>
      <c r="D149" s="113">
        <v>1</v>
      </c>
      <c r="E149" s="114">
        <v>2</v>
      </c>
      <c r="F149" s="114">
        <v>3</v>
      </c>
      <c r="G149" s="114">
        <v>4</v>
      </c>
      <c r="H149" s="114">
        <v>5</v>
      </c>
      <c r="I149" s="114">
        <v>6</v>
      </c>
      <c r="J149" s="114">
        <v>7</v>
      </c>
      <c r="K149" s="114">
        <v>8</v>
      </c>
      <c r="L149" s="114">
        <v>9</v>
      </c>
      <c r="M149" s="115" t="s">
        <v>11</v>
      </c>
    </row>
    <row r="150" spans="1:14" ht="13.5" thickBot="1" x14ac:dyDescent="0.25">
      <c r="A150" s="83"/>
      <c r="B150" s="59"/>
      <c r="D150" s="178">
        <v>0.3</v>
      </c>
      <c r="E150" s="179">
        <v>0.25</v>
      </c>
      <c r="F150" s="180">
        <v>0.2</v>
      </c>
      <c r="G150" s="181">
        <v>0.15</v>
      </c>
      <c r="H150" s="144">
        <v>0.1</v>
      </c>
      <c r="I150" s="182">
        <v>0</v>
      </c>
      <c r="J150" s="183">
        <v>0</v>
      </c>
      <c r="K150" s="185">
        <v>0</v>
      </c>
      <c r="L150" s="184">
        <v>0</v>
      </c>
      <c r="M150" s="112">
        <f>SUM(D150:L150)</f>
        <v>1</v>
      </c>
    </row>
    <row r="151" spans="1:14" x14ac:dyDescent="0.2">
      <c r="A151" s="83"/>
      <c r="B151" s="59"/>
      <c r="C151" s="90"/>
      <c r="D151" s="91"/>
      <c r="E151" s="91"/>
      <c r="F151" s="91"/>
      <c r="G151" s="91"/>
      <c r="H151" s="91"/>
      <c r="I151" s="91"/>
      <c r="J151" s="91"/>
      <c r="K151" s="91"/>
      <c r="L151" s="91"/>
      <c r="M151" s="91"/>
      <c r="N151" s="85"/>
    </row>
    <row r="152" spans="1:14" ht="13.5" thickBot="1" x14ac:dyDescent="0.25">
      <c r="A152" s="57" t="s">
        <v>75</v>
      </c>
    </row>
    <row r="153" spans="1:14" ht="12.75" customHeight="1" outlineLevel="1" x14ac:dyDescent="0.2">
      <c r="A153" s="234" t="s">
        <v>24</v>
      </c>
      <c r="B153" s="236" t="s">
        <v>23</v>
      </c>
      <c r="C153" s="238" t="s">
        <v>36</v>
      </c>
      <c r="D153" s="247" t="s">
        <v>35</v>
      </c>
      <c r="E153" s="248"/>
      <c r="F153" s="248"/>
      <c r="G153" s="249"/>
      <c r="H153" s="250" t="s">
        <v>18</v>
      </c>
      <c r="I153" s="225" t="s">
        <v>17</v>
      </c>
      <c r="J153" s="227" t="s">
        <v>16</v>
      </c>
      <c r="K153" s="229" t="s">
        <v>34</v>
      </c>
      <c r="L153" s="230"/>
      <c r="M153" s="230"/>
      <c r="N153" s="232" t="s">
        <v>86</v>
      </c>
    </row>
    <row r="154" spans="1:14" ht="51" outlineLevel="1" x14ac:dyDescent="0.2">
      <c r="A154" s="235"/>
      <c r="B154" s="237"/>
      <c r="C154" s="239"/>
      <c r="D154" s="192"/>
      <c r="E154" s="121" t="s">
        <v>33</v>
      </c>
      <c r="F154" s="121" t="s">
        <v>32</v>
      </c>
      <c r="G154" s="193" t="s">
        <v>31</v>
      </c>
      <c r="H154" s="251"/>
      <c r="I154" s="226"/>
      <c r="J154" s="228"/>
      <c r="K154" s="188" t="s">
        <v>14</v>
      </c>
      <c r="L154" s="189" t="s">
        <v>13</v>
      </c>
      <c r="M154" s="187" t="s">
        <v>12</v>
      </c>
      <c r="N154" s="233"/>
    </row>
    <row r="155" spans="1:14" outlineLevel="1" x14ac:dyDescent="0.2">
      <c r="A155" s="244" t="s">
        <v>78</v>
      </c>
      <c r="B155" s="245"/>
      <c r="C155" s="246"/>
      <c r="D155" s="132">
        <v>0</v>
      </c>
      <c r="E155" s="198">
        <v>7</v>
      </c>
      <c r="F155" s="198">
        <v>0</v>
      </c>
      <c r="G155" s="133">
        <v>0</v>
      </c>
      <c r="H155" s="132">
        <v>0</v>
      </c>
      <c r="I155" s="133">
        <v>0</v>
      </c>
      <c r="J155" s="134">
        <v>8</v>
      </c>
      <c r="K155" s="132">
        <v>1.7</v>
      </c>
      <c r="L155" s="198">
        <v>2.5</v>
      </c>
      <c r="M155" s="199">
        <v>4.4000000000000004</v>
      </c>
      <c r="N155" s="200"/>
    </row>
    <row r="156" spans="1:14" outlineLevel="1" x14ac:dyDescent="0.2">
      <c r="A156" s="20">
        <f t="shared" ref="A156:B171" si="75">A5</f>
        <v>3656</v>
      </c>
      <c r="B156" s="19" t="str">
        <f t="shared" si="75"/>
        <v>UTA</v>
      </c>
      <c r="C156" s="55">
        <f t="shared" ref="C156:C193" si="76">SUM(D156:M156)</f>
        <v>72189.043333333335</v>
      </c>
      <c r="D156" s="15">
        <f t="shared" ref="D156:F171" si="77">D198*D$155</f>
        <v>0</v>
      </c>
      <c r="E156" s="14">
        <f>E198*E$155</f>
        <v>18206.976666666669</v>
      </c>
      <c r="F156" s="14">
        <f>F198*F$155</f>
        <v>0</v>
      </c>
      <c r="G156" s="13">
        <f t="shared" ref="G156:M171" si="78">G198*G$155</f>
        <v>0</v>
      </c>
      <c r="H156" s="36">
        <f t="shared" si="78"/>
        <v>0</v>
      </c>
      <c r="I156" s="35">
        <f t="shared" si="78"/>
        <v>0</v>
      </c>
      <c r="J156" s="34">
        <f t="shared" si="78"/>
        <v>24928</v>
      </c>
      <c r="K156" s="36">
        <f t="shared" si="78"/>
        <v>11621.766666666666</v>
      </c>
      <c r="L156" s="56">
        <f t="shared" si="78"/>
        <v>9584.1666666666661</v>
      </c>
      <c r="M156" s="105">
        <f t="shared" si="78"/>
        <v>7848.1333333333341</v>
      </c>
      <c r="N156" s="110" t="s">
        <v>80</v>
      </c>
    </row>
    <row r="157" spans="1:14" outlineLevel="1" x14ac:dyDescent="0.2">
      <c r="A157" s="20">
        <f t="shared" si="75"/>
        <v>3658</v>
      </c>
      <c r="B157" s="19" t="str">
        <f t="shared" si="75"/>
        <v>UT</v>
      </c>
      <c r="C157" s="55">
        <f t="shared" si="76"/>
        <v>149487.03900000002</v>
      </c>
      <c r="D157" s="15">
        <f t="shared" si="77"/>
        <v>0</v>
      </c>
      <c r="E157" s="14">
        <f t="shared" si="77"/>
        <v>51915.572333333344</v>
      </c>
      <c r="F157" s="14">
        <f t="shared" si="77"/>
        <v>0</v>
      </c>
      <c r="G157" s="13">
        <f t="shared" si="78"/>
        <v>0</v>
      </c>
      <c r="H157" s="15">
        <f t="shared" si="78"/>
        <v>0</v>
      </c>
      <c r="I157" s="13">
        <f t="shared" si="78"/>
        <v>0</v>
      </c>
      <c r="J157" s="16">
        <f t="shared" si="78"/>
        <v>27762.666666666668</v>
      </c>
      <c r="K157" s="15">
        <f t="shared" si="78"/>
        <v>16317.166666666668</v>
      </c>
      <c r="L157" s="14">
        <f t="shared" si="78"/>
        <v>22514.166666666664</v>
      </c>
      <c r="M157" s="106">
        <f t="shared" si="78"/>
        <v>30977.466666666667</v>
      </c>
      <c r="N157" s="108" t="s">
        <v>79</v>
      </c>
    </row>
    <row r="158" spans="1:14" outlineLevel="1" x14ac:dyDescent="0.2">
      <c r="A158" s="20">
        <f t="shared" si="75"/>
        <v>9741</v>
      </c>
      <c r="B158" s="19" t="str">
        <f t="shared" si="75"/>
        <v>UTD</v>
      </c>
      <c r="C158" s="55">
        <f t="shared" si="76"/>
        <v>37798.486333333334</v>
      </c>
      <c r="D158" s="15">
        <f t="shared" si="77"/>
        <v>0</v>
      </c>
      <c r="E158" s="14">
        <f t="shared" si="77"/>
        <v>11775.953</v>
      </c>
      <c r="F158" s="14">
        <f t="shared" si="77"/>
        <v>0</v>
      </c>
      <c r="G158" s="13">
        <f t="shared" si="78"/>
        <v>0</v>
      </c>
      <c r="H158" s="15">
        <f t="shared" si="78"/>
        <v>0</v>
      </c>
      <c r="I158" s="13">
        <f t="shared" si="78"/>
        <v>0</v>
      </c>
      <c r="J158" s="16">
        <f t="shared" si="78"/>
        <v>10557.333333333334</v>
      </c>
      <c r="K158" s="15">
        <f t="shared" si="78"/>
        <v>5635.5</v>
      </c>
      <c r="L158" s="14">
        <f t="shared" si="78"/>
        <v>5335.8333333333339</v>
      </c>
      <c r="M158" s="106">
        <f t="shared" si="78"/>
        <v>4493.8666666666668</v>
      </c>
      <c r="N158" s="108" t="s">
        <v>80</v>
      </c>
    </row>
    <row r="159" spans="1:14" outlineLevel="1" x14ac:dyDescent="0.2">
      <c r="A159" s="20">
        <f t="shared" si="75"/>
        <v>3661</v>
      </c>
      <c r="B159" s="19" t="str">
        <f t="shared" si="75"/>
        <v>UTEP</v>
      </c>
      <c r="C159" s="55">
        <f t="shared" si="76"/>
        <v>52478.21</v>
      </c>
      <c r="D159" s="15">
        <f t="shared" si="77"/>
        <v>0</v>
      </c>
      <c r="E159" s="14">
        <f t="shared" si="77"/>
        <v>8345.6099999999988</v>
      </c>
      <c r="F159" s="14">
        <f t="shared" si="77"/>
        <v>0</v>
      </c>
      <c r="G159" s="13">
        <f t="shared" si="78"/>
        <v>0</v>
      </c>
      <c r="H159" s="15">
        <f t="shared" si="78"/>
        <v>0</v>
      </c>
      <c r="I159" s="13">
        <f t="shared" si="78"/>
        <v>0</v>
      </c>
      <c r="J159" s="16">
        <f t="shared" si="78"/>
        <v>19714.666666666668</v>
      </c>
      <c r="K159" s="15">
        <f t="shared" si="78"/>
        <v>7416.5333333333338</v>
      </c>
      <c r="L159" s="14">
        <f t="shared" si="78"/>
        <v>8395</v>
      </c>
      <c r="M159" s="106">
        <f t="shared" si="78"/>
        <v>8606.4000000000015</v>
      </c>
      <c r="N159" s="108" t="s">
        <v>80</v>
      </c>
    </row>
    <row r="160" spans="1:14" outlineLevel="1" x14ac:dyDescent="0.2">
      <c r="A160" s="20">
        <f t="shared" si="75"/>
        <v>3599</v>
      </c>
      <c r="B160" s="19" t="str">
        <f t="shared" si="75"/>
        <v>UTPA</v>
      </c>
      <c r="C160" s="55">
        <f t="shared" si="76"/>
        <v>49691.66</v>
      </c>
      <c r="D160" s="15">
        <f t="shared" si="77"/>
        <v>0</v>
      </c>
      <c r="E160" s="14">
        <f t="shared" si="77"/>
        <v>7783.8600000000006</v>
      </c>
      <c r="F160" s="14">
        <f t="shared" si="77"/>
        <v>0</v>
      </c>
      <c r="G160" s="13">
        <f t="shared" si="78"/>
        <v>0</v>
      </c>
      <c r="H160" s="15">
        <f t="shared" si="78"/>
        <v>0</v>
      </c>
      <c r="I160" s="13">
        <f t="shared" si="78"/>
        <v>0</v>
      </c>
      <c r="J160" s="16">
        <f t="shared" si="78"/>
        <v>18706.666666666668</v>
      </c>
      <c r="K160" s="15">
        <f t="shared" si="78"/>
        <v>6928.0666666666666</v>
      </c>
      <c r="L160" s="14">
        <f t="shared" si="78"/>
        <v>7740</v>
      </c>
      <c r="M160" s="106">
        <f t="shared" si="78"/>
        <v>8533.0666666666675</v>
      </c>
      <c r="N160" s="108" t="s">
        <v>81</v>
      </c>
    </row>
    <row r="161" spans="1:14" outlineLevel="1" x14ac:dyDescent="0.2">
      <c r="A161" s="20">
        <f t="shared" si="75"/>
        <v>30646</v>
      </c>
      <c r="B161" s="19" t="str">
        <f t="shared" si="75"/>
        <v>UTB</v>
      </c>
      <c r="C161" s="55">
        <f t="shared" si="76"/>
        <v>15979.063138257807</v>
      </c>
      <c r="D161" s="15">
        <f t="shared" si="77"/>
        <v>0</v>
      </c>
      <c r="E161" s="14">
        <f t="shared" si="77"/>
        <v>4397.1964715911399</v>
      </c>
      <c r="F161" s="14">
        <f t="shared" si="77"/>
        <v>0</v>
      </c>
      <c r="G161" s="13">
        <f t="shared" si="78"/>
        <v>0</v>
      </c>
      <c r="H161" s="15">
        <f t="shared" si="78"/>
        <v>0</v>
      </c>
      <c r="I161" s="13">
        <f t="shared" si="78"/>
        <v>0</v>
      </c>
      <c r="J161" s="16">
        <f t="shared" si="78"/>
        <v>7493.333333333333</v>
      </c>
      <c r="K161" s="15">
        <f t="shared" si="78"/>
        <v>2254.7666666666664</v>
      </c>
      <c r="L161" s="14">
        <f t="shared" si="78"/>
        <v>1390.8333333333335</v>
      </c>
      <c r="M161" s="106">
        <f t="shared" si="78"/>
        <v>442.93333333333339</v>
      </c>
      <c r="N161" s="108" t="s">
        <v>82</v>
      </c>
    </row>
    <row r="162" spans="1:14" outlineLevel="1" x14ac:dyDescent="0.2">
      <c r="A162" s="20">
        <f t="shared" si="75"/>
        <v>9930</v>
      </c>
      <c r="B162" s="19" t="str">
        <f t="shared" si="75"/>
        <v>UTPB</v>
      </c>
      <c r="C162" s="55">
        <f t="shared" si="76"/>
        <v>8269.4666666666672</v>
      </c>
      <c r="D162" s="15">
        <f t="shared" si="77"/>
        <v>0</v>
      </c>
      <c r="E162" s="14">
        <f t="shared" si="77"/>
        <v>1657.6000000000001</v>
      </c>
      <c r="F162" s="14">
        <f t="shared" si="77"/>
        <v>0</v>
      </c>
      <c r="G162" s="13">
        <f t="shared" si="78"/>
        <v>0</v>
      </c>
      <c r="H162" s="15">
        <f t="shared" si="78"/>
        <v>0</v>
      </c>
      <c r="I162" s="13">
        <f t="shared" si="78"/>
        <v>0</v>
      </c>
      <c r="J162" s="16">
        <f t="shared" si="78"/>
        <v>3192</v>
      </c>
      <c r="K162" s="15">
        <f t="shared" si="78"/>
        <v>1335.6333333333332</v>
      </c>
      <c r="L162" s="14">
        <f t="shared" si="78"/>
        <v>1229.1666666666667</v>
      </c>
      <c r="M162" s="106">
        <f t="shared" si="78"/>
        <v>855.06666666666683</v>
      </c>
      <c r="N162" s="108" t="s">
        <v>82</v>
      </c>
    </row>
    <row r="163" spans="1:14" outlineLevel="1" x14ac:dyDescent="0.2">
      <c r="A163" s="20">
        <f t="shared" si="75"/>
        <v>10115</v>
      </c>
      <c r="B163" s="19" t="str">
        <f t="shared" si="75"/>
        <v>UTSA</v>
      </c>
      <c r="C163" s="55">
        <f t="shared" si="76"/>
        <v>71381.249444444446</v>
      </c>
      <c r="D163" s="15">
        <f t="shared" si="77"/>
        <v>0</v>
      </c>
      <c r="E163" s="14">
        <f t="shared" si="77"/>
        <v>12159.882777777779</v>
      </c>
      <c r="F163" s="14">
        <f t="shared" si="77"/>
        <v>0</v>
      </c>
      <c r="G163" s="13">
        <f t="shared" si="78"/>
        <v>0</v>
      </c>
      <c r="H163" s="15">
        <f t="shared" si="78"/>
        <v>0</v>
      </c>
      <c r="I163" s="13">
        <f t="shared" si="78"/>
        <v>0</v>
      </c>
      <c r="J163" s="16">
        <f t="shared" si="78"/>
        <v>24989.333333333332</v>
      </c>
      <c r="K163" s="15">
        <f t="shared" si="78"/>
        <v>11576.433333333334</v>
      </c>
      <c r="L163" s="14">
        <f t="shared" si="78"/>
        <v>11146.666666666668</v>
      </c>
      <c r="M163" s="106">
        <f t="shared" si="78"/>
        <v>11508.933333333334</v>
      </c>
      <c r="N163" s="108" t="s">
        <v>80</v>
      </c>
    </row>
    <row r="164" spans="1:14" outlineLevel="1" x14ac:dyDescent="0.2">
      <c r="A164" s="20">
        <f t="shared" si="75"/>
        <v>11163</v>
      </c>
      <c r="B164" s="19" t="str">
        <f t="shared" si="75"/>
        <v>UTT</v>
      </c>
      <c r="C164" s="55">
        <f t="shared" si="76"/>
        <v>18205.203333333335</v>
      </c>
      <c r="D164" s="15">
        <f t="shared" si="77"/>
        <v>0</v>
      </c>
      <c r="E164" s="14">
        <f t="shared" si="77"/>
        <v>4295.503333333334</v>
      </c>
      <c r="F164" s="14">
        <f t="shared" si="77"/>
        <v>0</v>
      </c>
      <c r="G164" s="13">
        <f t="shared" si="78"/>
        <v>0</v>
      </c>
      <c r="H164" s="15">
        <f t="shared" si="78"/>
        <v>0</v>
      </c>
      <c r="I164" s="13">
        <f t="shared" si="78"/>
        <v>0</v>
      </c>
      <c r="J164" s="16">
        <f t="shared" si="78"/>
        <v>7538.666666666667</v>
      </c>
      <c r="K164" s="15">
        <f t="shared" si="78"/>
        <v>2441.7666666666664</v>
      </c>
      <c r="L164" s="14">
        <f t="shared" si="78"/>
        <v>2225</v>
      </c>
      <c r="M164" s="106">
        <f t="shared" si="78"/>
        <v>1704.2666666666667</v>
      </c>
      <c r="N164" s="108" t="s">
        <v>82</v>
      </c>
    </row>
    <row r="165" spans="1:14" outlineLevel="1" x14ac:dyDescent="0.2">
      <c r="A165" s="20">
        <f t="shared" si="75"/>
        <v>3632</v>
      </c>
      <c r="B165" s="19" t="str">
        <f t="shared" si="75"/>
        <v>TAMU</v>
      </c>
      <c r="C165" s="55">
        <f t="shared" si="76"/>
        <v>150943.2251111111</v>
      </c>
      <c r="D165" s="15">
        <f t="shared" si="77"/>
        <v>0</v>
      </c>
      <c r="E165" s="14">
        <f t="shared" si="77"/>
        <v>51430.025111111099</v>
      </c>
      <c r="F165" s="14">
        <f t="shared" si="77"/>
        <v>0</v>
      </c>
      <c r="G165" s="13">
        <f t="shared" si="78"/>
        <v>0</v>
      </c>
      <c r="H165" s="15">
        <f t="shared" si="78"/>
        <v>0</v>
      </c>
      <c r="I165" s="13">
        <f t="shared" si="78"/>
        <v>0</v>
      </c>
      <c r="J165" s="16">
        <f t="shared" si="78"/>
        <v>29792</v>
      </c>
      <c r="K165" s="15">
        <f t="shared" si="78"/>
        <v>17103.133333333331</v>
      </c>
      <c r="L165" s="14">
        <f t="shared" si="78"/>
        <v>22268.333333333336</v>
      </c>
      <c r="M165" s="106">
        <f t="shared" si="78"/>
        <v>30349.733333333337</v>
      </c>
      <c r="N165" s="108" t="s">
        <v>79</v>
      </c>
    </row>
    <row r="166" spans="1:14" outlineLevel="1" x14ac:dyDescent="0.2">
      <c r="A166" s="20">
        <f t="shared" si="75"/>
        <v>10298</v>
      </c>
      <c r="B166" s="19" t="str">
        <f t="shared" si="75"/>
        <v>TAMUG</v>
      </c>
      <c r="C166" s="55">
        <f t="shared" si="76"/>
        <v>5357.4471111111106</v>
      </c>
      <c r="D166" s="15">
        <f>D208*D$155</f>
        <v>0</v>
      </c>
      <c r="E166" s="14">
        <f t="shared" si="77"/>
        <v>1209.0804444444445</v>
      </c>
      <c r="F166" s="14">
        <f t="shared" si="77"/>
        <v>0</v>
      </c>
      <c r="G166" s="13">
        <f t="shared" si="78"/>
        <v>0</v>
      </c>
      <c r="H166" s="15">
        <f t="shared" si="78"/>
        <v>0</v>
      </c>
      <c r="I166" s="13">
        <f t="shared" si="78"/>
        <v>0</v>
      </c>
      <c r="J166" s="16">
        <f t="shared" si="78"/>
        <v>1264</v>
      </c>
      <c r="K166" s="15">
        <f t="shared" si="78"/>
        <v>1006.9666666666667</v>
      </c>
      <c r="L166" s="14">
        <f t="shared" si="78"/>
        <v>795</v>
      </c>
      <c r="M166" s="106">
        <f t="shared" si="78"/>
        <v>1082.4000000000001</v>
      </c>
      <c r="N166" s="108" t="s">
        <v>82</v>
      </c>
    </row>
    <row r="167" spans="1:14" outlineLevel="1" x14ac:dyDescent="0.2">
      <c r="A167" s="20">
        <f t="shared" si="75"/>
        <v>3630</v>
      </c>
      <c r="B167" s="19" t="str">
        <f t="shared" si="75"/>
        <v>Prairie View</v>
      </c>
      <c r="C167" s="55">
        <f t="shared" si="76"/>
        <v>18628.927222222221</v>
      </c>
      <c r="D167" s="15">
        <f t="shared" ref="D167:M182" si="79">D209*D$155</f>
        <v>0</v>
      </c>
      <c r="E167" s="14">
        <f t="shared" si="77"/>
        <v>2436.027222222222</v>
      </c>
      <c r="F167" s="14">
        <f t="shared" si="77"/>
        <v>0</v>
      </c>
      <c r="G167" s="13">
        <f t="shared" si="78"/>
        <v>0</v>
      </c>
      <c r="H167" s="15">
        <f t="shared" si="78"/>
        <v>0</v>
      </c>
      <c r="I167" s="13">
        <f t="shared" si="78"/>
        <v>0</v>
      </c>
      <c r="J167" s="16">
        <f t="shared" si="78"/>
        <v>6421.333333333333</v>
      </c>
      <c r="K167" s="15">
        <f t="shared" si="78"/>
        <v>2835.6</v>
      </c>
      <c r="L167" s="14">
        <f t="shared" si="78"/>
        <v>2952.5</v>
      </c>
      <c r="M167" s="106">
        <f t="shared" si="78"/>
        <v>3983.4666666666672</v>
      </c>
      <c r="N167" s="108" t="s">
        <v>83</v>
      </c>
    </row>
    <row r="168" spans="1:14" outlineLevel="1" x14ac:dyDescent="0.2">
      <c r="A168" s="20">
        <f t="shared" si="75"/>
        <v>3631</v>
      </c>
      <c r="B168" s="19" t="str">
        <f t="shared" si="75"/>
        <v>Tarleton</v>
      </c>
      <c r="C168" s="55">
        <f t="shared" si="76"/>
        <v>25510.452000000005</v>
      </c>
      <c r="D168" s="15">
        <f t="shared" si="79"/>
        <v>0</v>
      </c>
      <c r="E168" s="14">
        <f t="shared" si="77"/>
        <v>5170.6853333333338</v>
      </c>
      <c r="F168" s="14">
        <f t="shared" si="77"/>
        <v>0</v>
      </c>
      <c r="G168" s="13">
        <f t="shared" si="78"/>
        <v>0</v>
      </c>
      <c r="H168" s="15">
        <f t="shared" si="78"/>
        <v>0</v>
      </c>
      <c r="I168" s="13">
        <f t="shared" si="78"/>
        <v>0</v>
      </c>
      <c r="J168" s="16">
        <f t="shared" si="78"/>
        <v>9560</v>
      </c>
      <c r="K168" s="15">
        <f t="shared" si="78"/>
        <v>3662.3666666666668</v>
      </c>
      <c r="L168" s="14">
        <f t="shared" si="78"/>
        <v>3321.666666666667</v>
      </c>
      <c r="M168" s="106">
        <f t="shared" si="78"/>
        <v>3795.7333333333336</v>
      </c>
      <c r="N168" s="108" t="s">
        <v>83</v>
      </c>
    </row>
    <row r="169" spans="1:14" outlineLevel="1" x14ac:dyDescent="0.2">
      <c r="A169" s="27">
        <f t="shared" si="75"/>
        <v>103631</v>
      </c>
      <c r="B169" s="19" t="str">
        <f t="shared" si="75"/>
        <v>TAMUCT</v>
      </c>
      <c r="C169" s="55">
        <f t="shared" si="76"/>
        <v>5479.8753333333334</v>
      </c>
      <c r="D169" s="15">
        <f t="shared" si="79"/>
        <v>0</v>
      </c>
      <c r="E169" s="14">
        <f t="shared" si="77"/>
        <v>1540.2753333333333</v>
      </c>
      <c r="F169" s="14">
        <f t="shared" si="77"/>
        <v>0</v>
      </c>
      <c r="G169" s="13">
        <f t="shared" si="78"/>
        <v>0</v>
      </c>
      <c r="H169" s="15">
        <f t="shared" si="78"/>
        <v>0</v>
      </c>
      <c r="I169" s="13">
        <f t="shared" si="78"/>
        <v>0</v>
      </c>
      <c r="J169" s="16">
        <f t="shared" si="78"/>
        <v>2616</v>
      </c>
      <c r="K169" s="15">
        <f t="shared" si="78"/>
        <v>841.5</v>
      </c>
      <c r="L169" s="14">
        <f t="shared" si="78"/>
        <v>332.5</v>
      </c>
      <c r="M169" s="106">
        <f t="shared" si="78"/>
        <v>149.60000000000002</v>
      </c>
      <c r="N169" s="108" t="s">
        <v>82</v>
      </c>
    </row>
    <row r="170" spans="1:14" outlineLevel="1" x14ac:dyDescent="0.2">
      <c r="A170" s="20">
        <f t="shared" si="75"/>
        <v>11161</v>
      </c>
      <c r="B170" s="19" t="str">
        <f t="shared" si="75"/>
        <v>TAMUCC</v>
      </c>
      <c r="C170" s="55">
        <f t="shared" si="76"/>
        <v>24603.38</v>
      </c>
      <c r="D170" s="15">
        <f t="shared" si="79"/>
        <v>0</v>
      </c>
      <c r="E170" s="14">
        <f t="shared" si="77"/>
        <v>4936.913333333333</v>
      </c>
      <c r="F170" s="14">
        <f t="shared" si="77"/>
        <v>0</v>
      </c>
      <c r="G170" s="13">
        <f t="shared" si="78"/>
        <v>0</v>
      </c>
      <c r="H170" s="15">
        <f t="shared" si="78"/>
        <v>0</v>
      </c>
      <c r="I170" s="13">
        <f t="shared" si="78"/>
        <v>0</v>
      </c>
      <c r="J170" s="16">
        <f t="shared" si="78"/>
        <v>8640</v>
      </c>
      <c r="K170" s="15">
        <f t="shared" si="78"/>
        <v>3491.7999999999997</v>
      </c>
      <c r="L170" s="14">
        <f t="shared" si="78"/>
        <v>3670</v>
      </c>
      <c r="M170" s="106">
        <f t="shared" si="78"/>
        <v>3864.666666666667</v>
      </c>
      <c r="N170" s="108" t="s">
        <v>81</v>
      </c>
    </row>
    <row r="171" spans="1:14" outlineLevel="1" x14ac:dyDescent="0.2">
      <c r="A171" s="20">
        <f t="shared" si="75"/>
        <v>3639</v>
      </c>
      <c r="B171" s="19" t="str">
        <f t="shared" si="75"/>
        <v>TAMUK</v>
      </c>
      <c r="C171" s="55">
        <f t="shared" si="76"/>
        <v>14025.540555555555</v>
      </c>
      <c r="D171" s="15">
        <f t="shared" si="79"/>
        <v>0</v>
      </c>
      <c r="E171" s="14">
        <f t="shared" si="77"/>
        <v>2145.1072222222224</v>
      </c>
      <c r="F171" s="14">
        <f t="shared" si="77"/>
        <v>0</v>
      </c>
      <c r="G171" s="13">
        <f t="shared" si="78"/>
        <v>0</v>
      </c>
      <c r="H171" s="15">
        <f t="shared" si="78"/>
        <v>0</v>
      </c>
      <c r="I171" s="13">
        <f t="shared" si="78"/>
        <v>0</v>
      </c>
      <c r="J171" s="16">
        <f t="shared" si="78"/>
        <v>5186.666666666667</v>
      </c>
      <c r="K171" s="15">
        <f t="shared" si="78"/>
        <v>2086.4666666666667</v>
      </c>
      <c r="L171" s="14">
        <f t="shared" si="78"/>
        <v>2149.1666666666665</v>
      </c>
      <c r="M171" s="106">
        <f t="shared" si="78"/>
        <v>2458.1333333333332</v>
      </c>
      <c r="N171" s="108" t="s">
        <v>81</v>
      </c>
    </row>
    <row r="172" spans="1:14" outlineLevel="1" x14ac:dyDescent="0.2">
      <c r="A172" s="27">
        <f t="shared" ref="A172:B187" si="80">A21</f>
        <v>103639</v>
      </c>
      <c r="B172" s="19" t="str">
        <f t="shared" si="80"/>
        <v>TAMUSA</v>
      </c>
      <c r="C172" s="55">
        <f t="shared" si="76"/>
        <v>7023.2318888888885</v>
      </c>
      <c r="D172" s="15">
        <f t="shared" si="79"/>
        <v>0</v>
      </c>
      <c r="E172" s="14">
        <f t="shared" si="79"/>
        <v>1655.0652222222222</v>
      </c>
      <c r="F172" s="14">
        <f t="shared" si="79"/>
        <v>0</v>
      </c>
      <c r="G172" s="13">
        <f t="shared" si="79"/>
        <v>0</v>
      </c>
      <c r="H172" s="15">
        <f t="shared" si="79"/>
        <v>0</v>
      </c>
      <c r="I172" s="13">
        <f t="shared" si="79"/>
        <v>0</v>
      </c>
      <c r="J172" s="16">
        <f t="shared" si="79"/>
        <v>3922.6666666666665</v>
      </c>
      <c r="K172" s="15">
        <f t="shared" si="79"/>
        <v>1240.4333333333332</v>
      </c>
      <c r="L172" s="14">
        <f t="shared" si="79"/>
        <v>193.33333333333331</v>
      </c>
      <c r="M172" s="106">
        <f t="shared" si="79"/>
        <v>11.733333333333334</v>
      </c>
      <c r="N172" s="108" t="s">
        <v>82</v>
      </c>
    </row>
    <row r="173" spans="1:14" outlineLevel="1" x14ac:dyDescent="0.2">
      <c r="A173" s="20">
        <f t="shared" si="80"/>
        <v>9651</v>
      </c>
      <c r="B173" s="19" t="str">
        <f t="shared" si="80"/>
        <v>TAMI</v>
      </c>
      <c r="C173" s="55">
        <f t="shared" si="76"/>
        <v>15332.395555555555</v>
      </c>
      <c r="D173" s="15">
        <f t="shared" si="79"/>
        <v>0</v>
      </c>
      <c r="E173" s="14">
        <f t="shared" si="79"/>
        <v>2616.4288888888887</v>
      </c>
      <c r="F173" s="14">
        <f t="shared" si="79"/>
        <v>0</v>
      </c>
      <c r="G173" s="13">
        <f t="shared" si="79"/>
        <v>0</v>
      </c>
      <c r="H173" s="15">
        <f t="shared" si="79"/>
        <v>0</v>
      </c>
      <c r="I173" s="13">
        <f t="shared" si="79"/>
        <v>0</v>
      </c>
      <c r="J173" s="16">
        <f t="shared" si="79"/>
        <v>5701.333333333333</v>
      </c>
      <c r="K173" s="15">
        <f t="shared" si="79"/>
        <v>2391.3333333333335</v>
      </c>
      <c r="L173" s="14">
        <f t="shared" si="79"/>
        <v>2539.1666666666665</v>
      </c>
      <c r="M173" s="106">
        <f t="shared" si="79"/>
        <v>2084.1333333333337</v>
      </c>
      <c r="N173" s="108" t="s">
        <v>83</v>
      </c>
    </row>
    <row r="174" spans="1:14" outlineLevel="1" x14ac:dyDescent="0.2">
      <c r="A174" s="20">
        <f t="shared" si="80"/>
        <v>3665</v>
      </c>
      <c r="B174" s="19" t="str">
        <f t="shared" si="80"/>
        <v>WTAMU</v>
      </c>
      <c r="C174" s="55">
        <f t="shared" si="76"/>
        <v>20239.036444444446</v>
      </c>
      <c r="D174" s="15">
        <f t="shared" si="79"/>
        <v>0</v>
      </c>
      <c r="E174" s="14">
        <f t="shared" si="79"/>
        <v>4137.0031111111111</v>
      </c>
      <c r="F174" s="14">
        <f t="shared" si="79"/>
        <v>0</v>
      </c>
      <c r="G174" s="13">
        <f t="shared" si="79"/>
        <v>0</v>
      </c>
      <c r="H174" s="15">
        <f t="shared" si="79"/>
        <v>0</v>
      </c>
      <c r="I174" s="13">
        <f t="shared" si="79"/>
        <v>0</v>
      </c>
      <c r="J174" s="16">
        <f t="shared" si="79"/>
        <v>7114.666666666667</v>
      </c>
      <c r="K174" s="15">
        <f t="shared" si="79"/>
        <v>3045.8333333333335</v>
      </c>
      <c r="L174" s="14">
        <f t="shared" si="79"/>
        <v>3031.666666666667</v>
      </c>
      <c r="M174" s="106">
        <f t="shared" si="79"/>
        <v>2909.8666666666672</v>
      </c>
      <c r="N174" s="108" t="s">
        <v>83</v>
      </c>
    </row>
    <row r="175" spans="1:14" outlineLevel="1" x14ac:dyDescent="0.2">
      <c r="A175" s="20">
        <f t="shared" si="80"/>
        <v>3565</v>
      </c>
      <c r="B175" s="19" t="str">
        <f t="shared" si="80"/>
        <v>TAMUC</v>
      </c>
      <c r="C175" s="55">
        <f t="shared" si="76"/>
        <v>20285.313333333332</v>
      </c>
      <c r="D175" s="15">
        <f t="shared" si="79"/>
        <v>0</v>
      </c>
      <c r="E175" s="14">
        <f t="shared" si="79"/>
        <v>4078.9466666666663</v>
      </c>
      <c r="F175" s="14">
        <f t="shared" si="79"/>
        <v>0</v>
      </c>
      <c r="G175" s="13">
        <f t="shared" si="79"/>
        <v>0</v>
      </c>
      <c r="H175" s="15">
        <f t="shared" si="79"/>
        <v>0</v>
      </c>
      <c r="I175" s="13">
        <f t="shared" si="79"/>
        <v>0</v>
      </c>
      <c r="J175" s="16">
        <f t="shared" si="79"/>
        <v>8154.666666666667</v>
      </c>
      <c r="K175" s="15">
        <f t="shared" si="79"/>
        <v>3218.1</v>
      </c>
      <c r="L175" s="14">
        <f t="shared" si="79"/>
        <v>2843.333333333333</v>
      </c>
      <c r="M175" s="106">
        <f t="shared" si="79"/>
        <v>1990.2666666666667</v>
      </c>
      <c r="N175" s="108" t="s">
        <v>81</v>
      </c>
    </row>
    <row r="176" spans="1:14" outlineLevel="1" x14ac:dyDescent="0.2">
      <c r="A176" s="20">
        <f t="shared" si="80"/>
        <v>29269</v>
      </c>
      <c r="B176" s="19" t="str">
        <f t="shared" si="80"/>
        <v>TAMUT</v>
      </c>
      <c r="C176" s="55">
        <f t="shared" si="76"/>
        <v>4414.4885044945286</v>
      </c>
      <c r="D176" s="15">
        <f t="shared" si="79"/>
        <v>0</v>
      </c>
      <c r="E176" s="14">
        <f t="shared" si="79"/>
        <v>1311.5218378278626</v>
      </c>
      <c r="F176" s="14">
        <f t="shared" si="79"/>
        <v>0</v>
      </c>
      <c r="G176" s="13">
        <f t="shared" si="79"/>
        <v>0</v>
      </c>
      <c r="H176" s="15">
        <f t="shared" si="79"/>
        <v>0</v>
      </c>
      <c r="I176" s="13">
        <f t="shared" si="79"/>
        <v>0</v>
      </c>
      <c r="J176" s="16">
        <f t="shared" si="79"/>
        <v>1912</v>
      </c>
      <c r="K176" s="15">
        <f t="shared" si="79"/>
        <v>735.5333333333333</v>
      </c>
      <c r="L176" s="14">
        <f t="shared" si="79"/>
        <v>452.5</v>
      </c>
      <c r="M176" s="106">
        <f t="shared" si="79"/>
        <v>2.9333333333333336</v>
      </c>
      <c r="N176" s="108" t="s">
        <v>82</v>
      </c>
    </row>
    <row r="177" spans="1:14" outlineLevel="1" x14ac:dyDescent="0.2">
      <c r="A177" s="20">
        <f t="shared" si="80"/>
        <v>3652</v>
      </c>
      <c r="B177" s="19" t="str">
        <f t="shared" si="80"/>
        <v>UH</v>
      </c>
      <c r="C177" s="55">
        <f t="shared" si="76"/>
        <v>87828.160888888888</v>
      </c>
      <c r="D177" s="15">
        <f t="shared" si="79"/>
        <v>0</v>
      </c>
      <c r="E177" s="14">
        <f t="shared" si="79"/>
        <v>19142.094222222222</v>
      </c>
      <c r="F177" s="14">
        <f t="shared" si="79"/>
        <v>0</v>
      </c>
      <c r="G177" s="13">
        <f t="shared" si="79"/>
        <v>0</v>
      </c>
      <c r="H177" s="15">
        <f t="shared" si="79"/>
        <v>0</v>
      </c>
      <c r="I177" s="13">
        <f t="shared" si="79"/>
        <v>0</v>
      </c>
      <c r="J177" s="16">
        <f t="shared" si="79"/>
        <v>26984</v>
      </c>
      <c r="K177" s="15">
        <f t="shared" si="79"/>
        <v>12923.966666666665</v>
      </c>
      <c r="L177" s="14">
        <f t="shared" si="79"/>
        <v>14225.833333333332</v>
      </c>
      <c r="M177" s="106">
        <f t="shared" si="79"/>
        <v>14552.266666666668</v>
      </c>
      <c r="N177" s="108" t="s">
        <v>80</v>
      </c>
    </row>
    <row r="178" spans="1:14" outlineLevel="1" x14ac:dyDescent="0.2">
      <c r="A178" s="20">
        <f t="shared" si="80"/>
        <v>11711</v>
      </c>
      <c r="B178" s="19" t="str">
        <f t="shared" si="80"/>
        <v>UHCL</v>
      </c>
      <c r="C178" s="55">
        <f t="shared" si="76"/>
        <v>15530.298755512917</v>
      </c>
      <c r="D178" s="15">
        <f t="shared" si="79"/>
        <v>0</v>
      </c>
      <c r="E178" s="14">
        <f t="shared" si="79"/>
        <v>4335.3987555129188</v>
      </c>
      <c r="F178" s="14">
        <f t="shared" si="79"/>
        <v>0</v>
      </c>
      <c r="G178" s="13">
        <f t="shared" si="79"/>
        <v>0</v>
      </c>
      <c r="H178" s="15">
        <f t="shared" si="79"/>
        <v>0</v>
      </c>
      <c r="I178" s="13">
        <f t="shared" si="79"/>
        <v>0</v>
      </c>
      <c r="J178" s="16">
        <f t="shared" si="79"/>
        <v>6194.666666666667</v>
      </c>
      <c r="K178" s="15">
        <f t="shared" si="79"/>
        <v>2365.2666666666664</v>
      </c>
      <c r="L178" s="14">
        <f t="shared" si="79"/>
        <v>2384.1666666666665</v>
      </c>
      <c r="M178" s="106">
        <f t="shared" si="79"/>
        <v>250.8</v>
      </c>
      <c r="N178" s="108" t="s">
        <v>82</v>
      </c>
    </row>
    <row r="179" spans="1:14" outlineLevel="1" x14ac:dyDescent="0.2">
      <c r="A179" s="20">
        <f t="shared" si="80"/>
        <v>12826</v>
      </c>
      <c r="B179" s="19" t="str">
        <f t="shared" si="80"/>
        <v>UHD</v>
      </c>
      <c r="C179" s="55">
        <f t="shared" si="76"/>
        <v>29226.936666666665</v>
      </c>
      <c r="D179" s="15">
        <f t="shared" si="79"/>
        <v>0</v>
      </c>
      <c r="E179" s="14">
        <f t="shared" si="79"/>
        <v>3168.503333333334</v>
      </c>
      <c r="F179" s="14">
        <f t="shared" si="79"/>
        <v>0</v>
      </c>
      <c r="G179" s="13">
        <f t="shared" si="79"/>
        <v>0</v>
      </c>
      <c r="H179" s="15">
        <f t="shared" si="79"/>
        <v>0</v>
      </c>
      <c r="I179" s="13">
        <f t="shared" si="79"/>
        <v>0</v>
      </c>
      <c r="J179" s="16">
        <f t="shared" si="79"/>
        <v>13448</v>
      </c>
      <c r="K179" s="15">
        <f t="shared" si="79"/>
        <v>5279.0666666666666</v>
      </c>
      <c r="L179" s="14">
        <f t="shared" si="79"/>
        <v>4670.833333333333</v>
      </c>
      <c r="M179" s="106">
        <f t="shared" si="79"/>
        <v>2660.5333333333333</v>
      </c>
      <c r="N179" s="108" t="s">
        <v>82</v>
      </c>
    </row>
    <row r="180" spans="1:14" outlineLevel="1" x14ac:dyDescent="0.2">
      <c r="A180" s="20">
        <f t="shared" si="80"/>
        <v>13231</v>
      </c>
      <c r="B180" s="19" t="str">
        <f t="shared" si="80"/>
        <v>UHV</v>
      </c>
      <c r="C180" s="55">
        <f t="shared" si="76"/>
        <v>7160.7349065386907</v>
      </c>
      <c r="D180" s="15">
        <f t="shared" si="79"/>
        <v>0</v>
      </c>
      <c r="E180" s="14">
        <f t="shared" si="79"/>
        <v>2101.3682398720248</v>
      </c>
      <c r="F180" s="14">
        <f t="shared" si="79"/>
        <v>0</v>
      </c>
      <c r="G180" s="13">
        <f t="shared" si="79"/>
        <v>0</v>
      </c>
      <c r="H180" s="15">
        <f t="shared" si="79"/>
        <v>0</v>
      </c>
      <c r="I180" s="13">
        <f t="shared" si="79"/>
        <v>0</v>
      </c>
      <c r="J180" s="16">
        <f t="shared" si="79"/>
        <v>3072</v>
      </c>
      <c r="K180" s="15">
        <f t="shared" si="79"/>
        <v>1217.2</v>
      </c>
      <c r="L180" s="14">
        <f t="shared" si="79"/>
        <v>740.83333333333326</v>
      </c>
      <c r="M180" s="106">
        <f t="shared" si="79"/>
        <v>29.333333333333336</v>
      </c>
      <c r="N180" s="108" t="s">
        <v>82</v>
      </c>
    </row>
    <row r="181" spans="1:14" outlineLevel="1" x14ac:dyDescent="0.2">
      <c r="A181" s="20">
        <f t="shared" si="80"/>
        <v>3592</v>
      </c>
      <c r="B181" s="19" t="str">
        <f t="shared" si="80"/>
        <v>Midwestern</v>
      </c>
      <c r="C181" s="55">
        <f t="shared" si="76"/>
        <v>16745.518888888892</v>
      </c>
      <c r="D181" s="15">
        <f t="shared" si="79"/>
        <v>0</v>
      </c>
      <c r="E181" s="14">
        <f t="shared" si="79"/>
        <v>3172.7188888888886</v>
      </c>
      <c r="F181" s="14">
        <f t="shared" si="79"/>
        <v>0</v>
      </c>
      <c r="G181" s="13">
        <f t="shared" si="79"/>
        <v>0</v>
      </c>
      <c r="H181" s="15">
        <f t="shared" si="79"/>
        <v>0</v>
      </c>
      <c r="I181" s="13">
        <f t="shared" si="79"/>
        <v>0</v>
      </c>
      <c r="J181" s="16">
        <f t="shared" si="79"/>
        <v>5522.666666666667</v>
      </c>
      <c r="K181" s="15">
        <f t="shared" si="79"/>
        <v>2444.6</v>
      </c>
      <c r="L181" s="14">
        <f t="shared" si="79"/>
        <v>2615</v>
      </c>
      <c r="M181" s="106">
        <f t="shared" si="79"/>
        <v>2990.5333333333333</v>
      </c>
      <c r="N181" s="108" t="s">
        <v>82</v>
      </c>
    </row>
    <row r="182" spans="1:14" outlineLevel="1" x14ac:dyDescent="0.2">
      <c r="A182" s="20">
        <f t="shared" si="80"/>
        <v>3594</v>
      </c>
      <c r="B182" s="19" t="str">
        <f t="shared" si="80"/>
        <v>UNT</v>
      </c>
      <c r="C182" s="55">
        <f t="shared" si="76"/>
        <v>96991.805555555562</v>
      </c>
      <c r="D182" s="15">
        <f t="shared" si="79"/>
        <v>0</v>
      </c>
      <c r="E182" s="14">
        <f t="shared" si="79"/>
        <v>24273.238888888889</v>
      </c>
      <c r="F182" s="14">
        <f t="shared" si="79"/>
        <v>0</v>
      </c>
      <c r="G182" s="13">
        <f t="shared" si="79"/>
        <v>0</v>
      </c>
      <c r="H182" s="15">
        <f t="shared" si="79"/>
        <v>0</v>
      </c>
      <c r="I182" s="13">
        <f t="shared" si="79"/>
        <v>0</v>
      </c>
      <c r="J182" s="16">
        <f t="shared" si="79"/>
        <v>30560</v>
      </c>
      <c r="K182" s="15">
        <f t="shared" si="79"/>
        <v>13369.933333333334</v>
      </c>
      <c r="L182" s="14">
        <f t="shared" si="79"/>
        <v>14105.833333333332</v>
      </c>
      <c r="M182" s="106">
        <f t="shared" si="79"/>
        <v>14682.800000000001</v>
      </c>
      <c r="N182" s="108" t="s">
        <v>80</v>
      </c>
    </row>
    <row r="183" spans="1:14" outlineLevel="1" x14ac:dyDescent="0.2">
      <c r="A183" s="27">
        <f t="shared" si="80"/>
        <v>113594</v>
      </c>
      <c r="B183" s="19" t="str">
        <f t="shared" si="80"/>
        <v>UNTD</v>
      </c>
      <c r="C183" s="55">
        <f t="shared" si="76"/>
        <v>5138.8987500000003</v>
      </c>
      <c r="D183" s="15">
        <f t="shared" ref="D183:M193" si="81">D225*D$155</f>
        <v>0</v>
      </c>
      <c r="E183" s="14">
        <f t="shared" si="81"/>
        <v>1631.1487500000001</v>
      </c>
      <c r="F183" s="14">
        <f t="shared" si="81"/>
        <v>0</v>
      </c>
      <c r="G183" s="13">
        <f t="shared" si="81"/>
        <v>0</v>
      </c>
      <c r="H183" s="15">
        <f t="shared" si="81"/>
        <v>0</v>
      </c>
      <c r="I183" s="13">
        <f t="shared" si="81"/>
        <v>0</v>
      </c>
      <c r="J183" s="16">
        <f t="shared" si="81"/>
        <v>2468</v>
      </c>
      <c r="K183" s="15">
        <f t="shared" si="81"/>
        <v>812.6</v>
      </c>
      <c r="L183" s="14">
        <f t="shared" si="81"/>
        <v>178.75</v>
      </c>
      <c r="M183" s="106">
        <f t="shared" si="81"/>
        <v>48.400000000000006</v>
      </c>
      <c r="N183" s="108" t="s">
        <v>82</v>
      </c>
    </row>
    <row r="184" spans="1:14" outlineLevel="1" x14ac:dyDescent="0.2">
      <c r="A184" s="20">
        <f t="shared" si="80"/>
        <v>3624</v>
      </c>
      <c r="B184" s="19" t="str">
        <f t="shared" si="80"/>
        <v>SFA</v>
      </c>
      <c r="C184" s="55">
        <f t="shared" si="76"/>
        <v>35178.523333333331</v>
      </c>
      <c r="D184" s="15">
        <f t="shared" si="81"/>
        <v>0</v>
      </c>
      <c r="E184" s="14">
        <f t="shared" si="81"/>
        <v>7452.2233333333324</v>
      </c>
      <c r="F184" s="14">
        <f t="shared" si="81"/>
        <v>0</v>
      </c>
      <c r="G184" s="13">
        <f t="shared" si="81"/>
        <v>0</v>
      </c>
      <c r="H184" s="15">
        <f t="shared" si="81"/>
        <v>0</v>
      </c>
      <c r="I184" s="13">
        <f t="shared" si="81"/>
        <v>0</v>
      </c>
      <c r="J184" s="16">
        <f t="shared" si="81"/>
        <v>11682.666666666666</v>
      </c>
      <c r="K184" s="15">
        <f t="shared" si="81"/>
        <v>4707.8666666666668</v>
      </c>
      <c r="L184" s="14">
        <f t="shared" si="81"/>
        <v>5187.5</v>
      </c>
      <c r="M184" s="106">
        <f t="shared" si="81"/>
        <v>6148.2666666666664</v>
      </c>
      <c r="N184" s="108" t="s">
        <v>83</v>
      </c>
    </row>
    <row r="185" spans="1:14" outlineLevel="1" x14ac:dyDescent="0.2">
      <c r="A185" s="20">
        <f t="shared" si="80"/>
        <v>3642</v>
      </c>
      <c r="B185" s="19" t="str">
        <f t="shared" si="80"/>
        <v>TSU</v>
      </c>
      <c r="C185" s="55">
        <f t="shared" si="76"/>
        <v>15443.397222222222</v>
      </c>
      <c r="D185" s="15">
        <f t="shared" si="81"/>
        <v>0</v>
      </c>
      <c r="E185" s="14">
        <f t="shared" si="81"/>
        <v>762.63055555555547</v>
      </c>
      <c r="F185" s="14">
        <f t="shared" si="81"/>
        <v>0</v>
      </c>
      <c r="G185" s="13">
        <f t="shared" si="81"/>
        <v>0</v>
      </c>
      <c r="H185" s="15">
        <f t="shared" si="81"/>
        <v>0</v>
      </c>
      <c r="I185" s="13">
        <f t="shared" si="81"/>
        <v>0</v>
      </c>
      <c r="J185" s="16">
        <f t="shared" si="81"/>
        <v>5330.666666666667</v>
      </c>
      <c r="K185" s="15">
        <f t="shared" si="81"/>
        <v>2783.4666666666662</v>
      </c>
      <c r="L185" s="14">
        <f t="shared" si="81"/>
        <v>2832.5</v>
      </c>
      <c r="M185" s="106">
        <f t="shared" si="81"/>
        <v>3734.1333333333337</v>
      </c>
      <c r="N185" s="108" t="s">
        <v>81</v>
      </c>
    </row>
    <row r="186" spans="1:14" outlineLevel="1" x14ac:dyDescent="0.2">
      <c r="A186" s="20">
        <f t="shared" si="80"/>
        <v>3644</v>
      </c>
      <c r="B186" s="19" t="str">
        <f t="shared" si="80"/>
        <v>TTU</v>
      </c>
      <c r="C186" s="55">
        <f t="shared" si="76"/>
        <v>87755.409333333329</v>
      </c>
      <c r="D186" s="15">
        <f t="shared" si="81"/>
        <v>0</v>
      </c>
      <c r="E186" s="14">
        <f t="shared" si="81"/>
        <v>23949.575999999997</v>
      </c>
      <c r="F186" s="14">
        <f t="shared" si="81"/>
        <v>0</v>
      </c>
      <c r="G186" s="13">
        <f t="shared" si="81"/>
        <v>0</v>
      </c>
      <c r="H186" s="15">
        <f t="shared" si="81"/>
        <v>0</v>
      </c>
      <c r="I186" s="13">
        <f t="shared" si="81"/>
        <v>0</v>
      </c>
      <c r="J186" s="16">
        <f t="shared" si="81"/>
        <v>22224</v>
      </c>
      <c r="K186" s="15">
        <f t="shared" si="81"/>
        <v>11025.066666666666</v>
      </c>
      <c r="L186" s="14">
        <f t="shared" si="81"/>
        <v>13195.833333333332</v>
      </c>
      <c r="M186" s="106">
        <f t="shared" si="81"/>
        <v>17360.933333333334</v>
      </c>
      <c r="N186" s="108" t="s">
        <v>80</v>
      </c>
    </row>
    <row r="187" spans="1:14" outlineLevel="1" x14ac:dyDescent="0.2">
      <c r="A187" s="20">
        <f t="shared" si="80"/>
        <v>3541</v>
      </c>
      <c r="B187" s="19" t="str">
        <f t="shared" si="80"/>
        <v>Angelo</v>
      </c>
      <c r="C187" s="55">
        <f t="shared" si="76"/>
        <v>16909.233555555558</v>
      </c>
      <c r="D187" s="15">
        <f t="shared" si="81"/>
        <v>0</v>
      </c>
      <c r="E187" s="14">
        <f t="shared" si="81"/>
        <v>2981.6002222222223</v>
      </c>
      <c r="F187" s="14">
        <f t="shared" si="81"/>
        <v>0</v>
      </c>
      <c r="G187" s="13">
        <f t="shared" si="81"/>
        <v>0</v>
      </c>
      <c r="H187" s="15">
        <f t="shared" si="81"/>
        <v>0</v>
      </c>
      <c r="I187" s="13">
        <f t="shared" si="81"/>
        <v>0</v>
      </c>
      <c r="J187" s="16">
        <f t="shared" si="81"/>
        <v>5784</v>
      </c>
      <c r="K187" s="15">
        <f t="shared" si="81"/>
        <v>2445.7333333333336</v>
      </c>
      <c r="L187" s="14">
        <f t="shared" si="81"/>
        <v>2584.166666666667</v>
      </c>
      <c r="M187" s="106">
        <f t="shared" si="81"/>
        <v>3113.7333333333336</v>
      </c>
      <c r="N187" s="108" t="s">
        <v>82</v>
      </c>
    </row>
    <row r="188" spans="1:14" outlineLevel="1" x14ac:dyDescent="0.2">
      <c r="A188" s="20">
        <f t="shared" ref="A188:B193" si="82">A37</f>
        <v>3646</v>
      </c>
      <c r="B188" s="19" t="str">
        <f t="shared" si="82"/>
        <v>TWU</v>
      </c>
      <c r="C188" s="55">
        <f t="shared" si="76"/>
        <v>26462.760666666665</v>
      </c>
      <c r="D188" s="15">
        <f t="shared" si="81"/>
        <v>0</v>
      </c>
      <c r="E188" s="14">
        <f t="shared" si="81"/>
        <v>6620.1940000000004</v>
      </c>
      <c r="F188" s="14">
        <f t="shared" si="81"/>
        <v>0</v>
      </c>
      <c r="G188" s="13">
        <f t="shared" si="81"/>
        <v>0</v>
      </c>
      <c r="H188" s="15">
        <f t="shared" si="81"/>
        <v>0</v>
      </c>
      <c r="I188" s="13">
        <f t="shared" si="81"/>
        <v>0</v>
      </c>
      <c r="J188" s="16">
        <f t="shared" si="81"/>
        <v>9976</v>
      </c>
      <c r="K188" s="15">
        <f t="shared" si="81"/>
        <v>3733.2</v>
      </c>
      <c r="L188" s="14">
        <f t="shared" si="81"/>
        <v>3230.833333333333</v>
      </c>
      <c r="M188" s="106">
        <f t="shared" si="81"/>
        <v>2902.5333333333333</v>
      </c>
      <c r="N188" s="108" t="s">
        <v>81</v>
      </c>
    </row>
    <row r="189" spans="1:14" outlineLevel="1" x14ac:dyDescent="0.2">
      <c r="A189" s="20">
        <f t="shared" si="82"/>
        <v>3581</v>
      </c>
      <c r="B189" s="19" t="str">
        <f t="shared" si="82"/>
        <v>Lamar</v>
      </c>
      <c r="C189" s="55">
        <f t="shared" si="76"/>
        <v>22680.849111111111</v>
      </c>
      <c r="D189" s="15">
        <f t="shared" si="81"/>
        <v>0</v>
      </c>
      <c r="E189" s="14">
        <f t="shared" si="81"/>
        <v>3274.6824444444442</v>
      </c>
      <c r="F189" s="14">
        <f t="shared" si="81"/>
        <v>0</v>
      </c>
      <c r="G189" s="13">
        <f t="shared" si="81"/>
        <v>0</v>
      </c>
      <c r="H189" s="15">
        <f t="shared" si="81"/>
        <v>0</v>
      </c>
      <c r="I189" s="13">
        <f t="shared" si="81"/>
        <v>0</v>
      </c>
      <c r="J189" s="16">
        <f t="shared" si="81"/>
        <v>7589.333333333333</v>
      </c>
      <c r="K189" s="15">
        <f t="shared" si="81"/>
        <v>3645.9333333333329</v>
      </c>
      <c r="L189" s="14">
        <f t="shared" si="81"/>
        <v>3722.5</v>
      </c>
      <c r="M189" s="106">
        <f t="shared" si="81"/>
        <v>4448.4000000000005</v>
      </c>
      <c r="N189" s="108" t="s">
        <v>83</v>
      </c>
    </row>
    <row r="190" spans="1:14" outlineLevel="1" x14ac:dyDescent="0.2">
      <c r="A190" s="20">
        <f t="shared" si="82"/>
        <v>3606</v>
      </c>
      <c r="B190" s="19" t="str">
        <f t="shared" si="82"/>
        <v>SHSU</v>
      </c>
      <c r="C190" s="55">
        <f t="shared" si="76"/>
        <v>52140.65111111111</v>
      </c>
      <c r="D190" s="15">
        <f t="shared" si="81"/>
        <v>0</v>
      </c>
      <c r="E190" s="14">
        <f t="shared" si="81"/>
        <v>12638.951111111111</v>
      </c>
      <c r="F190" s="14">
        <f t="shared" si="81"/>
        <v>0</v>
      </c>
      <c r="G190" s="13">
        <f t="shared" si="81"/>
        <v>0</v>
      </c>
      <c r="H190" s="15">
        <f t="shared" si="81"/>
        <v>0</v>
      </c>
      <c r="I190" s="13">
        <f t="shared" si="81"/>
        <v>0</v>
      </c>
      <c r="J190" s="16">
        <f t="shared" si="81"/>
        <v>17709.333333333332</v>
      </c>
      <c r="K190" s="15">
        <f t="shared" si="81"/>
        <v>6620.3666666666668</v>
      </c>
      <c r="L190" s="14">
        <f t="shared" si="81"/>
        <v>7413.3333333333339</v>
      </c>
      <c r="M190" s="106">
        <f t="shared" si="81"/>
        <v>7758.666666666667</v>
      </c>
      <c r="N190" s="108" t="s">
        <v>81</v>
      </c>
    </row>
    <row r="191" spans="1:14" outlineLevel="1" x14ac:dyDescent="0.2">
      <c r="A191" s="20">
        <f t="shared" si="82"/>
        <v>3615</v>
      </c>
      <c r="B191" s="19" t="str">
        <f t="shared" si="82"/>
        <v>TXST</v>
      </c>
      <c r="C191" s="55">
        <f t="shared" si="76"/>
        <v>94400.591</v>
      </c>
      <c r="D191" s="15">
        <f t="shared" si="81"/>
        <v>0</v>
      </c>
      <c r="E191" s="14">
        <f t="shared" si="81"/>
        <v>23754.591</v>
      </c>
      <c r="F191" s="14">
        <f t="shared" si="81"/>
        <v>0</v>
      </c>
      <c r="G191" s="13">
        <f t="shared" si="81"/>
        <v>0</v>
      </c>
      <c r="H191" s="15">
        <f t="shared" si="81"/>
        <v>0</v>
      </c>
      <c r="I191" s="13">
        <f t="shared" si="81"/>
        <v>0</v>
      </c>
      <c r="J191" s="16">
        <f t="shared" si="81"/>
        <v>29402.666666666668</v>
      </c>
      <c r="K191" s="15">
        <f t="shared" si="81"/>
        <v>12699.566666666666</v>
      </c>
      <c r="L191" s="14">
        <f t="shared" si="81"/>
        <v>13947.5</v>
      </c>
      <c r="M191" s="106">
        <f t="shared" si="81"/>
        <v>14596.266666666668</v>
      </c>
      <c r="N191" s="108" t="s">
        <v>80</v>
      </c>
    </row>
    <row r="192" spans="1:14" outlineLevel="1" x14ac:dyDescent="0.2">
      <c r="A192" s="20">
        <f t="shared" si="82"/>
        <v>3625</v>
      </c>
      <c r="B192" s="19" t="str">
        <f t="shared" si="82"/>
        <v>SRSU</v>
      </c>
      <c r="C192" s="55">
        <f t="shared" si="76"/>
        <v>3276.4253333333336</v>
      </c>
      <c r="D192" s="15">
        <f t="shared" si="81"/>
        <v>0</v>
      </c>
      <c r="E192" s="14">
        <f t="shared" si="81"/>
        <v>398.92533333333336</v>
      </c>
      <c r="F192" s="14">
        <f t="shared" si="81"/>
        <v>0</v>
      </c>
      <c r="G192" s="13">
        <f t="shared" si="81"/>
        <v>0</v>
      </c>
      <c r="H192" s="15">
        <f t="shared" si="81"/>
        <v>0</v>
      </c>
      <c r="I192" s="13">
        <f t="shared" si="81"/>
        <v>0</v>
      </c>
      <c r="J192" s="16">
        <f t="shared" si="81"/>
        <v>1304</v>
      </c>
      <c r="K192" s="15">
        <f t="shared" si="81"/>
        <v>510</v>
      </c>
      <c r="L192" s="14">
        <f t="shared" si="81"/>
        <v>484.16666666666663</v>
      </c>
      <c r="M192" s="106">
        <f t="shared" si="81"/>
        <v>579.33333333333337</v>
      </c>
      <c r="N192" s="108" t="s">
        <v>82</v>
      </c>
    </row>
    <row r="193" spans="1:14" outlineLevel="1" x14ac:dyDescent="0.2">
      <c r="A193" s="20">
        <f t="shared" si="82"/>
        <v>20</v>
      </c>
      <c r="B193" s="19" t="str">
        <f t="shared" si="82"/>
        <v>SRRG</v>
      </c>
      <c r="C193" s="55">
        <f t="shared" si="76"/>
        <v>2153.2951696616974</v>
      </c>
      <c r="D193" s="15">
        <f t="shared" si="81"/>
        <v>0</v>
      </c>
      <c r="E193" s="14">
        <f t="shared" si="81"/>
        <v>359.56183632836428</v>
      </c>
      <c r="F193" s="14">
        <f t="shared" si="81"/>
        <v>0</v>
      </c>
      <c r="G193" s="13">
        <f t="shared" si="81"/>
        <v>0</v>
      </c>
      <c r="H193" s="15">
        <f t="shared" si="81"/>
        <v>0</v>
      </c>
      <c r="I193" s="13">
        <f t="shared" si="81"/>
        <v>0</v>
      </c>
      <c r="J193" s="16">
        <f t="shared" si="81"/>
        <v>1152</v>
      </c>
      <c r="K193" s="15">
        <f t="shared" si="81"/>
        <v>391</v>
      </c>
      <c r="L193" s="14">
        <f t="shared" si="81"/>
        <v>231.66666666666669</v>
      </c>
      <c r="M193" s="106">
        <f t="shared" si="81"/>
        <v>19.066666666666666</v>
      </c>
      <c r="N193" s="108" t="s">
        <v>82</v>
      </c>
    </row>
    <row r="194" spans="1:14" ht="13.5" outlineLevel="1" thickBot="1" x14ac:dyDescent="0.25">
      <c r="A194" s="12"/>
      <c r="B194" s="11" t="s">
        <v>11</v>
      </c>
      <c r="C194" s="54">
        <f t="shared" ref="C194:M194" si="83">SUM(C156:C193)</f>
        <v>1402346.2245577995</v>
      </c>
      <c r="D194" s="9">
        <f t="shared" si="83"/>
        <v>0</v>
      </c>
      <c r="E194" s="7">
        <f t="shared" si="83"/>
        <v>343222.64122446562</v>
      </c>
      <c r="F194" s="7">
        <f t="shared" si="83"/>
        <v>0</v>
      </c>
      <c r="G194" s="3">
        <f t="shared" si="83"/>
        <v>0</v>
      </c>
      <c r="H194" s="5">
        <f t="shared" si="83"/>
        <v>0</v>
      </c>
      <c r="I194" s="3">
        <f t="shared" si="83"/>
        <v>0</v>
      </c>
      <c r="J194" s="6">
        <f t="shared" si="83"/>
        <v>435572.00000000006</v>
      </c>
      <c r="K194" s="5">
        <f t="shared" si="83"/>
        <v>194161.53333333333</v>
      </c>
      <c r="L194" s="4">
        <f t="shared" si="83"/>
        <v>205861.25000000003</v>
      </c>
      <c r="M194" s="107">
        <f t="shared" si="83"/>
        <v>223528.8</v>
      </c>
      <c r="N194" s="109"/>
    </row>
    <row r="195" spans="1:14" ht="13.5" thickBot="1" x14ac:dyDescent="0.25">
      <c r="A195" s="42" t="s">
        <v>29</v>
      </c>
      <c r="B195" s="42"/>
      <c r="C195" s="127"/>
      <c r="D195" s="51"/>
      <c r="E195" s="51"/>
      <c r="F195" s="53"/>
      <c r="H195" s="53"/>
      <c r="N195" s="52"/>
    </row>
    <row r="196" spans="1:14" ht="12.75" customHeight="1" outlineLevel="1" x14ac:dyDescent="0.2">
      <c r="A196" s="234" t="s">
        <v>24</v>
      </c>
      <c r="B196" s="236" t="s">
        <v>23</v>
      </c>
      <c r="C196" s="238"/>
      <c r="D196" s="240" t="s">
        <v>28</v>
      </c>
      <c r="E196" s="242" t="s">
        <v>21</v>
      </c>
      <c r="F196" s="236" t="s">
        <v>20</v>
      </c>
      <c r="G196" s="221" t="s">
        <v>19</v>
      </c>
      <c r="H196" s="223" t="s">
        <v>18</v>
      </c>
      <c r="I196" s="225" t="s">
        <v>17</v>
      </c>
      <c r="J196" s="227" t="s">
        <v>16</v>
      </c>
      <c r="K196" s="229" t="s">
        <v>15</v>
      </c>
      <c r="L196" s="230"/>
      <c r="M196" s="231"/>
      <c r="N196" s="52"/>
    </row>
    <row r="197" spans="1:14" s="41" customFormat="1" ht="41.25" customHeight="1" outlineLevel="1" x14ac:dyDescent="0.2">
      <c r="A197" s="235"/>
      <c r="B197" s="237"/>
      <c r="C197" s="239"/>
      <c r="D197" s="241"/>
      <c r="E197" s="243"/>
      <c r="F197" s="237"/>
      <c r="G197" s="222"/>
      <c r="H197" s="224"/>
      <c r="I197" s="226"/>
      <c r="J197" s="228"/>
      <c r="K197" s="188" t="s">
        <v>14</v>
      </c>
      <c r="L197" s="189" t="s">
        <v>13</v>
      </c>
      <c r="M197" s="190" t="s">
        <v>12</v>
      </c>
      <c r="N197" s="52"/>
    </row>
    <row r="198" spans="1:14" outlineLevel="1" x14ac:dyDescent="0.2">
      <c r="A198" s="40">
        <f t="shared" ref="A198:B213" si="84">A156</f>
        <v>3656</v>
      </c>
      <c r="B198" s="39" t="str">
        <f t="shared" si="84"/>
        <v>UTA</v>
      </c>
      <c r="C198" s="18"/>
      <c r="D198" s="36">
        <f t="shared" ref="D198:M213" si="85">AVERAGE(D240,D282,D324)</f>
        <v>5018</v>
      </c>
      <c r="E198" s="201">
        <f>AVERAGE(E240,E282,E324)*D198</f>
        <v>2600.9966666666669</v>
      </c>
      <c r="F198" s="56">
        <f>D198/AVERAGE(F240,F282,F324)*100</f>
        <v>29.603788278048281</v>
      </c>
      <c r="G198" s="35">
        <f t="shared" si="85"/>
        <v>10418.553333333379</v>
      </c>
      <c r="H198" s="36">
        <f t="shared" si="85"/>
        <v>1531.3333333333333</v>
      </c>
      <c r="I198" s="35">
        <f t="shared" si="85"/>
        <v>35</v>
      </c>
      <c r="J198" s="34">
        <f t="shared" si="85"/>
        <v>3116</v>
      </c>
      <c r="K198" s="36">
        <f t="shared" si="85"/>
        <v>6836.333333333333</v>
      </c>
      <c r="L198" s="56">
        <f t="shared" si="85"/>
        <v>3833.6666666666665</v>
      </c>
      <c r="M198" s="35">
        <f t="shared" si="85"/>
        <v>1783.6666666666667</v>
      </c>
      <c r="N198" s="52"/>
    </row>
    <row r="199" spans="1:14" outlineLevel="1" x14ac:dyDescent="0.2">
      <c r="A199" s="20">
        <f t="shared" si="84"/>
        <v>3658</v>
      </c>
      <c r="B199" s="19" t="str">
        <f t="shared" si="84"/>
        <v>UT</v>
      </c>
      <c r="C199" s="18"/>
      <c r="D199" s="15">
        <f t="shared" si="85"/>
        <v>8946.3333333333339</v>
      </c>
      <c r="E199" s="116">
        <f t="shared" ref="E199:E235" si="86">AVERAGE(E241,E283,E325)*D199</f>
        <v>7416.5103333333345</v>
      </c>
      <c r="F199" s="14">
        <f t="shared" ref="F199:F235" si="87">D199/AVERAGE(F241,F283,F325)*100</f>
        <v>26.497692061124674</v>
      </c>
      <c r="G199" s="13">
        <f t="shared" si="85"/>
        <v>19398.350000000519</v>
      </c>
      <c r="H199" s="15">
        <f t="shared" si="85"/>
        <v>1876.3333333333333</v>
      </c>
      <c r="I199" s="13">
        <f t="shared" si="85"/>
        <v>66</v>
      </c>
      <c r="J199" s="16">
        <f t="shared" si="85"/>
        <v>3470.3333333333335</v>
      </c>
      <c r="K199" s="15">
        <f t="shared" si="85"/>
        <v>9598.3333333333339</v>
      </c>
      <c r="L199" s="14">
        <f t="shared" si="85"/>
        <v>9005.6666666666661</v>
      </c>
      <c r="M199" s="13">
        <f t="shared" si="85"/>
        <v>7040.333333333333</v>
      </c>
      <c r="N199" s="52"/>
    </row>
    <row r="200" spans="1:14" outlineLevel="1" x14ac:dyDescent="0.2">
      <c r="A200" s="20">
        <f t="shared" si="84"/>
        <v>9741</v>
      </c>
      <c r="B200" s="19" t="str">
        <f t="shared" si="84"/>
        <v>UTD</v>
      </c>
      <c r="C200" s="18"/>
      <c r="D200" s="15">
        <f t="shared" si="85"/>
        <v>2393</v>
      </c>
      <c r="E200" s="116">
        <f t="shared" si="86"/>
        <v>1682.279</v>
      </c>
      <c r="F200" s="14">
        <f t="shared" si="87"/>
        <v>26.829760516638267</v>
      </c>
      <c r="G200" s="13">
        <f t="shared" si="85"/>
        <v>5101.2033333334393</v>
      </c>
      <c r="H200" s="15">
        <f t="shared" si="85"/>
        <v>421.66666666666669</v>
      </c>
      <c r="I200" s="13">
        <f t="shared" si="85"/>
        <v>32</v>
      </c>
      <c r="J200" s="16">
        <f t="shared" si="85"/>
        <v>1319.6666666666667</v>
      </c>
      <c r="K200" s="15">
        <f t="shared" si="85"/>
        <v>3315</v>
      </c>
      <c r="L200" s="14">
        <f t="shared" si="85"/>
        <v>2134.3333333333335</v>
      </c>
      <c r="M200" s="13">
        <f t="shared" si="85"/>
        <v>1021.3333333333334</v>
      </c>
      <c r="N200" s="52"/>
    </row>
    <row r="201" spans="1:14" outlineLevel="1" x14ac:dyDescent="0.2">
      <c r="A201" s="20">
        <f t="shared" si="84"/>
        <v>3661</v>
      </c>
      <c r="B201" s="19" t="str">
        <f t="shared" si="84"/>
        <v>UTEP</v>
      </c>
      <c r="C201" s="18"/>
      <c r="D201" s="15">
        <f t="shared" si="85"/>
        <v>3057</v>
      </c>
      <c r="E201" s="116">
        <f t="shared" si="86"/>
        <v>1192.2299999999998</v>
      </c>
      <c r="F201" s="14">
        <f t="shared" si="87"/>
        <v>22.870894536023343</v>
      </c>
      <c r="G201" s="13">
        <f t="shared" si="85"/>
        <v>6298.0766666668133</v>
      </c>
      <c r="H201" s="15">
        <f t="shared" si="85"/>
        <v>655</v>
      </c>
      <c r="I201" s="13">
        <f t="shared" si="85"/>
        <v>90</v>
      </c>
      <c r="J201" s="16">
        <f t="shared" si="85"/>
        <v>2464.3333333333335</v>
      </c>
      <c r="K201" s="15">
        <f t="shared" si="85"/>
        <v>4362.666666666667</v>
      </c>
      <c r="L201" s="14">
        <f t="shared" si="85"/>
        <v>3358</v>
      </c>
      <c r="M201" s="13">
        <f t="shared" si="85"/>
        <v>1956</v>
      </c>
      <c r="N201" s="52"/>
    </row>
    <row r="202" spans="1:14" outlineLevel="1" x14ac:dyDescent="0.2">
      <c r="A202" s="20">
        <f t="shared" si="84"/>
        <v>3599</v>
      </c>
      <c r="B202" s="19" t="str">
        <f t="shared" si="84"/>
        <v>UTPA</v>
      </c>
      <c r="C202" s="18"/>
      <c r="D202" s="15">
        <f t="shared" si="85"/>
        <v>2580</v>
      </c>
      <c r="E202" s="116">
        <f t="shared" si="86"/>
        <v>1111.98</v>
      </c>
      <c r="F202" s="14">
        <f t="shared" si="87"/>
        <v>20.492490499497837</v>
      </c>
      <c r="G202" s="13">
        <f t="shared" si="85"/>
        <v>5134.1666666667797</v>
      </c>
      <c r="H202" s="15">
        <f t="shared" si="85"/>
        <v>520.33333333333337</v>
      </c>
      <c r="I202" s="13">
        <f t="shared" si="85"/>
        <v>28</v>
      </c>
      <c r="J202" s="16">
        <f t="shared" si="85"/>
        <v>2338.3333333333335</v>
      </c>
      <c r="K202" s="15">
        <f t="shared" si="85"/>
        <v>4075.3333333333335</v>
      </c>
      <c r="L202" s="14">
        <f t="shared" si="85"/>
        <v>3096</v>
      </c>
      <c r="M202" s="13">
        <f t="shared" si="85"/>
        <v>1939.3333333333333</v>
      </c>
      <c r="N202" s="52"/>
    </row>
    <row r="203" spans="1:14" outlineLevel="1" x14ac:dyDescent="0.2">
      <c r="A203" s="20">
        <f t="shared" si="84"/>
        <v>30646</v>
      </c>
      <c r="B203" s="19" t="str">
        <f t="shared" si="84"/>
        <v>UTB</v>
      </c>
      <c r="C203" s="18"/>
      <c r="D203" s="15">
        <f t="shared" si="85"/>
        <v>1092</v>
      </c>
      <c r="E203" s="116">
        <f t="shared" si="86"/>
        <v>628.17092451302005</v>
      </c>
      <c r="F203" s="14">
        <f t="shared" si="87"/>
        <v>34.461236368736628</v>
      </c>
      <c r="G203" s="13">
        <f t="shared" si="85"/>
        <v>2097.7933333333553</v>
      </c>
      <c r="H203" s="15">
        <f t="shared" si="85"/>
        <v>124.33333333333333</v>
      </c>
      <c r="I203" s="13">
        <f t="shared" si="85"/>
        <v>18.333333333333332</v>
      </c>
      <c r="J203" s="16">
        <f t="shared" si="85"/>
        <v>936.66666666666663</v>
      </c>
      <c r="K203" s="15">
        <f t="shared" si="85"/>
        <v>1326.3333333333333</v>
      </c>
      <c r="L203" s="14">
        <f t="shared" si="85"/>
        <v>556.33333333333337</v>
      </c>
      <c r="M203" s="13">
        <f t="shared" si="85"/>
        <v>100.66666666666667</v>
      </c>
      <c r="N203" s="52"/>
    </row>
    <row r="204" spans="1:14" outlineLevel="1" x14ac:dyDescent="0.2">
      <c r="A204" s="20">
        <f t="shared" si="84"/>
        <v>9930</v>
      </c>
      <c r="B204" s="19" t="str">
        <f t="shared" si="84"/>
        <v>UTPB</v>
      </c>
      <c r="C204" s="18"/>
      <c r="D204" s="15">
        <f t="shared" si="85"/>
        <v>533.33333333333337</v>
      </c>
      <c r="E204" s="116">
        <f t="shared" si="86"/>
        <v>236.8</v>
      </c>
      <c r="F204" s="14">
        <f t="shared" si="87"/>
        <v>23.125174643246009</v>
      </c>
      <c r="G204" s="13">
        <f t="shared" si="85"/>
        <v>1001.5166666666704</v>
      </c>
      <c r="H204" s="15">
        <f t="shared" si="85"/>
        <v>41.333333333333336</v>
      </c>
      <c r="I204" s="13">
        <f t="shared" si="85"/>
        <v>10</v>
      </c>
      <c r="J204" s="16">
        <f t="shared" si="85"/>
        <v>399</v>
      </c>
      <c r="K204" s="15">
        <f t="shared" si="85"/>
        <v>785.66666666666663</v>
      </c>
      <c r="L204" s="14">
        <f t="shared" si="85"/>
        <v>491.66666666666669</v>
      </c>
      <c r="M204" s="13">
        <f t="shared" si="85"/>
        <v>194.33333333333334</v>
      </c>
      <c r="N204" s="52"/>
    </row>
    <row r="205" spans="1:14" outlineLevel="1" x14ac:dyDescent="0.2">
      <c r="A205" s="20">
        <f t="shared" si="84"/>
        <v>10115</v>
      </c>
      <c r="B205" s="19" t="str">
        <f t="shared" si="84"/>
        <v>UTSA</v>
      </c>
      <c r="C205" s="18"/>
      <c r="D205" s="15">
        <f t="shared" si="85"/>
        <v>4119.666666666667</v>
      </c>
      <c r="E205" s="116">
        <f t="shared" si="86"/>
        <v>1737.1261111111112</v>
      </c>
      <c r="F205" s="14">
        <f t="shared" si="87"/>
        <v>20.241034101368403</v>
      </c>
      <c r="G205" s="13">
        <f t="shared" si="85"/>
        <v>8414.213333333224</v>
      </c>
      <c r="H205" s="15">
        <f t="shared" si="85"/>
        <v>392</v>
      </c>
      <c r="I205" s="13">
        <f t="shared" si="85"/>
        <v>49.666666666666664</v>
      </c>
      <c r="J205" s="16">
        <f t="shared" si="85"/>
        <v>3123.6666666666665</v>
      </c>
      <c r="K205" s="15">
        <f t="shared" si="85"/>
        <v>6809.666666666667</v>
      </c>
      <c r="L205" s="14">
        <f t="shared" si="85"/>
        <v>4458.666666666667</v>
      </c>
      <c r="M205" s="13">
        <f t="shared" si="85"/>
        <v>2615.6666666666665</v>
      </c>
      <c r="N205" s="52"/>
    </row>
    <row r="206" spans="1:14" outlineLevel="1" x14ac:dyDescent="0.2">
      <c r="A206" s="20">
        <f t="shared" si="84"/>
        <v>11163</v>
      </c>
      <c r="B206" s="19" t="str">
        <f t="shared" si="84"/>
        <v>UTT</v>
      </c>
      <c r="C206" s="18"/>
      <c r="D206" s="15">
        <f t="shared" si="85"/>
        <v>1190</v>
      </c>
      <c r="E206" s="116">
        <f t="shared" si="86"/>
        <v>613.64333333333343</v>
      </c>
      <c r="F206" s="14">
        <f t="shared" si="87"/>
        <v>29.255740517151896</v>
      </c>
      <c r="G206" s="13">
        <f t="shared" si="85"/>
        <v>2362.6600000000103</v>
      </c>
      <c r="H206" s="15">
        <f t="shared" si="85"/>
        <v>376.66666666666669</v>
      </c>
      <c r="I206" s="13">
        <f t="shared" si="85"/>
        <v>14</v>
      </c>
      <c r="J206" s="16">
        <f t="shared" si="85"/>
        <v>942.33333333333337</v>
      </c>
      <c r="K206" s="15">
        <f t="shared" si="85"/>
        <v>1436.3333333333333</v>
      </c>
      <c r="L206" s="14">
        <f t="shared" si="85"/>
        <v>890</v>
      </c>
      <c r="M206" s="13">
        <f t="shared" si="85"/>
        <v>387.33333333333331</v>
      </c>
      <c r="N206" s="52"/>
    </row>
    <row r="207" spans="1:14" outlineLevel="1" x14ac:dyDescent="0.2">
      <c r="A207" s="20">
        <f t="shared" si="84"/>
        <v>3632</v>
      </c>
      <c r="B207" s="19" t="str">
        <f t="shared" si="84"/>
        <v>TAMU</v>
      </c>
      <c r="C207" s="18"/>
      <c r="D207" s="15">
        <f t="shared" si="85"/>
        <v>8739.6666666666661</v>
      </c>
      <c r="E207" s="116">
        <f t="shared" si="86"/>
        <v>7347.1464444444427</v>
      </c>
      <c r="F207" s="14">
        <f t="shared" si="87"/>
        <v>25.241886570842681</v>
      </c>
      <c r="G207" s="13">
        <f t="shared" si="85"/>
        <v>20104.8166666668</v>
      </c>
      <c r="H207" s="15">
        <f t="shared" si="85"/>
        <v>1763</v>
      </c>
      <c r="I207" s="13">
        <f t="shared" si="85"/>
        <v>126</v>
      </c>
      <c r="J207" s="16">
        <f t="shared" si="85"/>
        <v>3724</v>
      </c>
      <c r="K207" s="15">
        <f t="shared" si="85"/>
        <v>10060.666666666666</v>
      </c>
      <c r="L207" s="14">
        <f t="shared" si="85"/>
        <v>8907.3333333333339</v>
      </c>
      <c r="M207" s="13">
        <f t="shared" si="85"/>
        <v>6897.666666666667</v>
      </c>
      <c r="N207" s="52"/>
    </row>
    <row r="208" spans="1:14" outlineLevel="1" x14ac:dyDescent="0.2">
      <c r="A208" s="20">
        <f t="shared" si="84"/>
        <v>10298</v>
      </c>
      <c r="B208" s="19" t="str">
        <f t="shared" si="84"/>
        <v>TAMUG</v>
      </c>
      <c r="C208" s="18"/>
      <c r="D208" s="15">
        <f t="shared" si="85"/>
        <v>275.33333333333331</v>
      </c>
      <c r="E208" s="116">
        <f t="shared" si="86"/>
        <v>172.72577777777778</v>
      </c>
      <c r="F208" s="14">
        <f t="shared" si="87"/>
        <v>16.399301143583227</v>
      </c>
      <c r="G208" s="13">
        <f t="shared" si="85"/>
        <v>704.02666666666448</v>
      </c>
      <c r="H208" s="15">
        <f t="shared" si="85"/>
        <v>37.333333333333336</v>
      </c>
      <c r="I208" s="13">
        <f t="shared" si="85"/>
        <v>0</v>
      </c>
      <c r="J208" s="16">
        <f t="shared" si="85"/>
        <v>158</v>
      </c>
      <c r="K208" s="15">
        <f t="shared" si="85"/>
        <v>592.33333333333337</v>
      </c>
      <c r="L208" s="14">
        <f t="shared" si="85"/>
        <v>318</v>
      </c>
      <c r="M208" s="13">
        <f t="shared" si="85"/>
        <v>246</v>
      </c>
      <c r="N208" s="52"/>
    </row>
    <row r="209" spans="1:14" outlineLevel="1" x14ac:dyDescent="0.2">
      <c r="A209" s="20">
        <f t="shared" si="84"/>
        <v>3630</v>
      </c>
      <c r="B209" s="19" t="str">
        <f t="shared" si="84"/>
        <v>Prairie View</v>
      </c>
      <c r="C209" s="18"/>
      <c r="D209" s="15">
        <f t="shared" si="85"/>
        <v>936.33333333333337</v>
      </c>
      <c r="E209" s="116">
        <f t="shared" si="86"/>
        <v>348.00388888888887</v>
      </c>
      <c r="F209" s="14">
        <f t="shared" si="87"/>
        <v>15.823688025296873</v>
      </c>
      <c r="G209" s="13">
        <f t="shared" si="85"/>
        <v>2072.9000000000092</v>
      </c>
      <c r="H209" s="15">
        <f t="shared" si="85"/>
        <v>315.66666666666669</v>
      </c>
      <c r="I209" s="13">
        <f t="shared" si="85"/>
        <v>9.6666666666666661</v>
      </c>
      <c r="J209" s="16">
        <f t="shared" si="85"/>
        <v>802.66666666666663</v>
      </c>
      <c r="K209" s="15">
        <f t="shared" si="85"/>
        <v>1668</v>
      </c>
      <c r="L209" s="14">
        <f t="shared" si="85"/>
        <v>1181</v>
      </c>
      <c r="M209" s="13">
        <f t="shared" si="85"/>
        <v>905.33333333333337</v>
      </c>
      <c r="N209" s="52"/>
    </row>
    <row r="210" spans="1:14" outlineLevel="1" x14ac:dyDescent="0.2">
      <c r="A210" s="20">
        <f t="shared" si="84"/>
        <v>3631</v>
      </c>
      <c r="B210" s="19" t="str">
        <f t="shared" si="84"/>
        <v>Tarleton</v>
      </c>
      <c r="C210" s="18"/>
      <c r="D210" s="15">
        <f t="shared" si="85"/>
        <v>1545.3333333333333</v>
      </c>
      <c r="E210" s="116">
        <f t="shared" si="86"/>
        <v>738.66933333333338</v>
      </c>
      <c r="F210" s="14">
        <f t="shared" si="87"/>
        <v>24.559767752325659</v>
      </c>
      <c r="G210" s="13">
        <f t="shared" si="85"/>
        <v>3122.5433333333599</v>
      </c>
      <c r="H210" s="15">
        <f t="shared" si="85"/>
        <v>203</v>
      </c>
      <c r="I210" s="13">
        <f t="shared" si="85"/>
        <v>47.666666666666664</v>
      </c>
      <c r="J210" s="16">
        <f t="shared" si="85"/>
        <v>1195</v>
      </c>
      <c r="K210" s="15">
        <f t="shared" si="85"/>
        <v>2154.3333333333335</v>
      </c>
      <c r="L210" s="14">
        <f t="shared" si="85"/>
        <v>1328.6666666666667</v>
      </c>
      <c r="M210" s="13">
        <f t="shared" si="85"/>
        <v>862.66666666666663</v>
      </c>
      <c r="N210" s="52"/>
    </row>
    <row r="211" spans="1:14" outlineLevel="1" x14ac:dyDescent="0.2">
      <c r="A211" s="27">
        <f t="shared" si="84"/>
        <v>103631</v>
      </c>
      <c r="B211" s="19" t="str">
        <f t="shared" si="84"/>
        <v>TAMUCT</v>
      </c>
      <c r="C211" s="18"/>
      <c r="D211" s="15">
        <f t="shared" si="85"/>
        <v>460.33333333333331</v>
      </c>
      <c r="E211" s="116">
        <f t="shared" si="86"/>
        <v>220.03933333333333</v>
      </c>
      <c r="F211" s="14">
        <f t="shared" si="87"/>
        <v>67.587849522007247</v>
      </c>
      <c r="G211" s="13">
        <f t="shared" si="85"/>
        <v>853.61666666666588</v>
      </c>
      <c r="H211" s="15">
        <f t="shared" si="85"/>
        <v>40.666666666666664</v>
      </c>
      <c r="I211" s="13">
        <f t="shared" si="85"/>
        <v>0</v>
      </c>
      <c r="J211" s="16">
        <f t="shared" si="85"/>
        <v>327</v>
      </c>
      <c r="K211" s="15">
        <f t="shared" si="85"/>
        <v>495</v>
      </c>
      <c r="L211" s="14">
        <f t="shared" si="85"/>
        <v>133</v>
      </c>
      <c r="M211" s="13">
        <f t="shared" si="85"/>
        <v>34</v>
      </c>
      <c r="N211" s="52"/>
    </row>
    <row r="212" spans="1:14" outlineLevel="1" x14ac:dyDescent="0.2">
      <c r="A212" s="20">
        <f t="shared" si="84"/>
        <v>11161</v>
      </c>
      <c r="B212" s="19" t="str">
        <f t="shared" si="84"/>
        <v>TAMUCC</v>
      </c>
      <c r="C212" s="18"/>
      <c r="D212" s="15">
        <f t="shared" si="85"/>
        <v>1388.3333333333333</v>
      </c>
      <c r="E212" s="116">
        <f t="shared" si="86"/>
        <v>705.27333333333331</v>
      </c>
      <c r="F212" s="14">
        <f t="shared" si="87"/>
        <v>21.376514062820775</v>
      </c>
      <c r="G212" s="13">
        <f t="shared" si="85"/>
        <v>2804.2000000000139</v>
      </c>
      <c r="H212" s="15">
        <f t="shared" si="85"/>
        <v>266.33333333333331</v>
      </c>
      <c r="I212" s="13">
        <f t="shared" si="85"/>
        <v>25.666666666666668</v>
      </c>
      <c r="J212" s="16">
        <f t="shared" si="85"/>
        <v>1080</v>
      </c>
      <c r="K212" s="15">
        <f t="shared" si="85"/>
        <v>2054</v>
      </c>
      <c r="L212" s="14">
        <f t="shared" si="85"/>
        <v>1468</v>
      </c>
      <c r="M212" s="13">
        <f t="shared" si="85"/>
        <v>878.33333333333337</v>
      </c>
      <c r="N212" s="52"/>
    </row>
    <row r="213" spans="1:14" outlineLevel="1" x14ac:dyDescent="0.2">
      <c r="A213" s="20">
        <f t="shared" si="84"/>
        <v>3639</v>
      </c>
      <c r="B213" s="19" t="str">
        <f t="shared" si="84"/>
        <v>TAMUK</v>
      </c>
      <c r="C213" s="18"/>
      <c r="D213" s="15">
        <f t="shared" si="85"/>
        <v>761.66666666666663</v>
      </c>
      <c r="E213" s="116">
        <f t="shared" si="86"/>
        <v>306.44388888888892</v>
      </c>
      <c r="F213" s="14">
        <f t="shared" si="87"/>
        <v>17.879499217527385</v>
      </c>
      <c r="G213" s="13">
        <f t="shared" si="85"/>
        <v>1763.4533333333395</v>
      </c>
      <c r="H213" s="15">
        <f t="shared" si="85"/>
        <v>260</v>
      </c>
      <c r="I213" s="13">
        <f t="shared" si="85"/>
        <v>16.666666666666668</v>
      </c>
      <c r="J213" s="16">
        <f t="shared" si="85"/>
        <v>648.33333333333337</v>
      </c>
      <c r="K213" s="15">
        <f t="shared" si="85"/>
        <v>1227.3333333333333</v>
      </c>
      <c r="L213" s="14">
        <f t="shared" si="85"/>
        <v>859.66666666666663</v>
      </c>
      <c r="M213" s="13">
        <f t="shared" si="85"/>
        <v>558.66666666666663</v>
      </c>
      <c r="N213" s="52"/>
    </row>
    <row r="214" spans="1:14" outlineLevel="1" x14ac:dyDescent="0.2">
      <c r="A214" s="27">
        <f t="shared" ref="A214:B229" si="88">A172</f>
        <v>103639</v>
      </c>
      <c r="B214" s="19" t="str">
        <f t="shared" si="88"/>
        <v>TAMUSA</v>
      </c>
      <c r="C214" s="18"/>
      <c r="D214" s="15">
        <f t="shared" ref="D214:M229" si="89">AVERAGE(D256,D298,D340)</f>
        <v>587.66666666666663</v>
      </c>
      <c r="E214" s="116">
        <f t="shared" si="86"/>
        <v>236.43788888888889</v>
      </c>
      <c r="F214" s="14">
        <f t="shared" si="87"/>
        <v>41.598502485370922</v>
      </c>
      <c r="G214" s="13">
        <f t="shared" si="89"/>
        <v>1026.0133333333379</v>
      </c>
      <c r="H214" s="15">
        <f t="shared" si="89"/>
        <v>5</v>
      </c>
      <c r="I214" s="13">
        <f t="shared" si="89"/>
        <v>2</v>
      </c>
      <c r="J214" s="16">
        <f t="shared" si="89"/>
        <v>490.33333333333331</v>
      </c>
      <c r="K214" s="15">
        <f t="shared" si="89"/>
        <v>729.66666666666663</v>
      </c>
      <c r="L214" s="14">
        <f t="shared" si="89"/>
        <v>77.333333333333329</v>
      </c>
      <c r="M214" s="13">
        <f t="shared" si="89"/>
        <v>2.6666666666666665</v>
      </c>
      <c r="N214" s="52"/>
    </row>
    <row r="215" spans="1:14" outlineLevel="1" x14ac:dyDescent="0.2">
      <c r="A215" s="20">
        <f t="shared" si="88"/>
        <v>9651</v>
      </c>
      <c r="B215" s="19" t="str">
        <f t="shared" si="88"/>
        <v>TAMI</v>
      </c>
      <c r="C215" s="18"/>
      <c r="D215" s="15">
        <f t="shared" si="89"/>
        <v>789.66666666666663</v>
      </c>
      <c r="E215" s="116">
        <f t="shared" si="86"/>
        <v>373.77555555555551</v>
      </c>
      <c r="F215" s="14">
        <f t="shared" si="87"/>
        <v>19.326154348180779</v>
      </c>
      <c r="G215" s="13">
        <f t="shared" si="89"/>
        <v>1458.4966666666717</v>
      </c>
      <c r="H215" s="15">
        <f t="shared" si="89"/>
        <v>115.66666666666667</v>
      </c>
      <c r="I215" s="13">
        <f t="shared" si="89"/>
        <v>22.333333333333332</v>
      </c>
      <c r="J215" s="16">
        <f t="shared" si="89"/>
        <v>712.66666666666663</v>
      </c>
      <c r="K215" s="15">
        <f t="shared" si="89"/>
        <v>1406.6666666666667</v>
      </c>
      <c r="L215" s="14">
        <f t="shared" si="89"/>
        <v>1015.6666666666666</v>
      </c>
      <c r="M215" s="13">
        <f t="shared" si="89"/>
        <v>473.66666666666669</v>
      </c>
      <c r="N215" s="52"/>
    </row>
    <row r="216" spans="1:14" outlineLevel="1" x14ac:dyDescent="0.2">
      <c r="A216" s="20">
        <f t="shared" si="88"/>
        <v>3665</v>
      </c>
      <c r="B216" s="19" t="str">
        <f t="shared" si="88"/>
        <v>WTAMU</v>
      </c>
      <c r="C216" s="18"/>
      <c r="D216" s="15">
        <f t="shared" si="89"/>
        <v>1255.6666666666667</v>
      </c>
      <c r="E216" s="116">
        <f t="shared" si="86"/>
        <v>591.00044444444438</v>
      </c>
      <c r="F216" s="14">
        <f t="shared" si="87"/>
        <v>23.187721854032869</v>
      </c>
      <c r="G216" s="13">
        <f t="shared" si="89"/>
        <v>2503.5766666666836</v>
      </c>
      <c r="H216" s="15">
        <f t="shared" si="89"/>
        <v>191.66666666666666</v>
      </c>
      <c r="I216" s="13">
        <f t="shared" si="89"/>
        <v>60.666666666666664</v>
      </c>
      <c r="J216" s="16">
        <f t="shared" si="89"/>
        <v>889.33333333333337</v>
      </c>
      <c r="K216" s="15">
        <f t="shared" si="89"/>
        <v>1791.6666666666667</v>
      </c>
      <c r="L216" s="14">
        <f t="shared" si="89"/>
        <v>1212.6666666666667</v>
      </c>
      <c r="M216" s="13">
        <f t="shared" si="89"/>
        <v>661.33333333333337</v>
      </c>
      <c r="N216" s="52"/>
    </row>
    <row r="217" spans="1:14" outlineLevel="1" x14ac:dyDescent="0.2">
      <c r="A217" s="20">
        <f t="shared" si="88"/>
        <v>3565</v>
      </c>
      <c r="B217" s="19" t="str">
        <f t="shared" si="88"/>
        <v>TAMUC</v>
      </c>
      <c r="C217" s="18"/>
      <c r="D217" s="15">
        <f t="shared" si="89"/>
        <v>1324.3333333333333</v>
      </c>
      <c r="E217" s="116">
        <f t="shared" si="86"/>
        <v>582.70666666666659</v>
      </c>
      <c r="F217" s="14">
        <f t="shared" si="87"/>
        <v>28.19543536269185</v>
      </c>
      <c r="G217" s="13">
        <f t="shared" si="89"/>
        <v>2501.8266666666914</v>
      </c>
      <c r="H217" s="15">
        <f t="shared" si="89"/>
        <v>73</v>
      </c>
      <c r="I217" s="13">
        <f t="shared" si="89"/>
        <v>74.333333333333329</v>
      </c>
      <c r="J217" s="16">
        <f t="shared" si="89"/>
        <v>1019.3333333333334</v>
      </c>
      <c r="K217" s="15">
        <f t="shared" si="89"/>
        <v>1893</v>
      </c>
      <c r="L217" s="14">
        <f t="shared" si="89"/>
        <v>1137.3333333333333</v>
      </c>
      <c r="M217" s="13">
        <f t="shared" si="89"/>
        <v>452.33333333333331</v>
      </c>
      <c r="N217" s="52"/>
    </row>
    <row r="218" spans="1:14" outlineLevel="1" x14ac:dyDescent="0.2">
      <c r="A218" s="20">
        <f t="shared" si="88"/>
        <v>29269</v>
      </c>
      <c r="B218" s="19" t="str">
        <f t="shared" si="88"/>
        <v>TAMUT</v>
      </c>
      <c r="C218" s="18"/>
      <c r="D218" s="15">
        <f t="shared" si="89"/>
        <v>345.66666666666669</v>
      </c>
      <c r="E218" s="116">
        <f t="shared" si="86"/>
        <v>187.3602625468375</v>
      </c>
      <c r="F218" s="14">
        <f t="shared" si="87"/>
        <v>38.766355140186917</v>
      </c>
      <c r="G218" s="13">
        <f t="shared" si="89"/>
        <v>619.90999999999826</v>
      </c>
      <c r="H218" s="15">
        <f t="shared" si="89"/>
        <v>41.666666666666664</v>
      </c>
      <c r="I218" s="13">
        <f t="shared" si="89"/>
        <v>19.333333333333332</v>
      </c>
      <c r="J218" s="16">
        <f t="shared" si="89"/>
        <v>239</v>
      </c>
      <c r="K218" s="15">
        <f t="shared" si="89"/>
        <v>432.66666666666669</v>
      </c>
      <c r="L218" s="14">
        <f t="shared" si="89"/>
        <v>181</v>
      </c>
      <c r="M218" s="13">
        <f t="shared" si="89"/>
        <v>0.66666666666666663</v>
      </c>
      <c r="N218" s="52"/>
    </row>
    <row r="219" spans="1:14" outlineLevel="1" x14ac:dyDescent="0.2">
      <c r="A219" s="20">
        <f t="shared" si="88"/>
        <v>3652</v>
      </c>
      <c r="B219" s="19" t="str">
        <f t="shared" si="88"/>
        <v>UH</v>
      </c>
      <c r="C219" s="18"/>
      <c r="D219" s="15">
        <f t="shared" si="89"/>
        <v>5098.666666666667</v>
      </c>
      <c r="E219" s="116">
        <f t="shared" si="86"/>
        <v>2734.5848888888891</v>
      </c>
      <c r="F219" s="14">
        <f t="shared" si="87"/>
        <v>21.425049678026625</v>
      </c>
      <c r="G219" s="13">
        <f t="shared" si="89"/>
        <v>10580.246666665944</v>
      </c>
      <c r="H219" s="15">
        <f t="shared" si="89"/>
        <v>737</v>
      </c>
      <c r="I219" s="13">
        <f t="shared" si="89"/>
        <v>62.666666666666664</v>
      </c>
      <c r="J219" s="16">
        <f t="shared" si="89"/>
        <v>3373</v>
      </c>
      <c r="K219" s="15">
        <f t="shared" si="89"/>
        <v>7602.333333333333</v>
      </c>
      <c r="L219" s="14">
        <f t="shared" si="89"/>
        <v>5690.333333333333</v>
      </c>
      <c r="M219" s="13">
        <f t="shared" si="89"/>
        <v>3307.3333333333335</v>
      </c>
      <c r="N219" s="52"/>
    </row>
    <row r="220" spans="1:14" outlineLevel="1" x14ac:dyDescent="0.2">
      <c r="A220" s="20">
        <f t="shared" si="88"/>
        <v>11711</v>
      </c>
      <c r="B220" s="19" t="str">
        <f t="shared" si="88"/>
        <v>UHCL</v>
      </c>
      <c r="C220" s="18"/>
      <c r="D220" s="15">
        <f t="shared" si="89"/>
        <v>1190.6666666666667</v>
      </c>
      <c r="E220" s="116">
        <f t="shared" si="86"/>
        <v>619.34267935898833</v>
      </c>
      <c r="F220" s="14">
        <f t="shared" si="87"/>
        <v>39.693593314763234</v>
      </c>
      <c r="G220" s="13">
        <f t="shared" si="89"/>
        <v>2282.9533333333529</v>
      </c>
      <c r="H220" s="15">
        <f t="shared" si="89"/>
        <v>106.66666666666667</v>
      </c>
      <c r="I220" s="13">
        <f t="shared" si="89"/>
        <v>8.3333333333333339</v>
      </c>
      <c r="J220" s="16">
        <f t="shared" si="89"/>
        <v>774.33333333333337</v>
      </c>
      <c r="K220" s="15">
        <f t="shared" si="89"/>
        <v>1391.3333333333333</v>
      </c>
      <c r="L220" s="14">
        <f t="shared" si="89"/>
        <v>953.66666666666663</v>
      </c>
      <c r="M220" s="13">
        <f t="shared" si="89"/>
        <v>57</v>
      </c>
      <c r="N220" s="52"/>
    </row>
    <row r="221" spans="1:14" outlineLevel="1" x14ac:dyDescent="0.2">
      <c r="A221" s="20">
        <f t="shared" si="88"/>
        <v>12826</v>
      </c>
      <c r="B221" s="19" t="str">
        <f t="shared" si="88"/>
        <v>UHD</v>
      </c>
      <c r="C221" s="18"/>
      <c r="D221" s="15">
        <f t="shared" si="89"/>
        <v>2382.3333333333335</v>
      </c>
      <c r="E221" s="116">
        <f t="shared" si="86"/>
        <v>452.64333333333343</v>
      </c>
      <c r="F221" s="14">
        <f t="shared" si="87"/>
        <v>29.833031863086134</v>
      </c>
      <c r="G221" s="13">
        <f t="shared" si="89"/>
        <v>4271.3166666667212</v>
      </c>
      <c r="H221" s="15">
        <f t="shared" si="89"/>
        <v>129.66666666666666</v>
      </c>
      <c r="I221" s="13">
        <f t="shared" si="89"/>
        <v>1.6666666666666667</v>
      </c>
      <c r="J221" s="16">
        <f t="shared" si="89"/>
        <v>1681</v>
      </c>
      <c r="K221" s="15">
        <f t="shared" si="89"/>
        <v>3105.3333333333335</v>
      </c>
      <c r="L221" s="14">
        <f t="shared" si="89"/>
        <v>1868.3333333333333</v>
      </c>
      <c r="M221" s="13">
        <f t="shared" si="89"/>
        <v>604.66666666666663</v>
      </c>
      <c r="N221" s="52"/>
    </row>
    <row r="222" spans="1:14" outlineLevel="1" x14ac:dyDescent="0.2">
      <c r="A222" s="20">
        <f t="shared" si="88"/>
        <v>13231</v>
      </c>
      <c r="B222" s="19" t="str">
        <f t="shared" si="88"/>
        <v>UHV</v>
      </c>
      <c r="C222" s="18"/>
      <c r="D222" s="15">
        <f t="shared" si="89"/>
        <v>576.66666666666663</v>
      </c>
      <c r="E222" s="116">
        <f t="shared" si="86"/>
        <v>300.19546283886069</v>
      </c>
      <c r="F222" s="14">
        <f t="shared" si="87"/>
        <v>40.08464889245883</v>
      </c>
      <c r="G222" s="13">
        <f t="shared" si="89"/>
        <v>1084.4800000000012</v>
      </c>
      <c r="H222" s="15">
        <f t="shared" si="89"/>
        <v>108</v>
      </c>
      <c r="I222" s="13">
        <f t="shared" si="89"/>
        <v>7.333333333333333</v>
      </c>
      <c r="J222" s="16">
        <f t="shared" si="89"/>
        <v>384</v>
      </c>
      <c r="K222" s="15">
        <f t="shared" si="89"/>
        <v>716</v>
      </c>
      <c r="L222" s="14">
        <f t="shared" si="89"/>
        <v>296.33333333333331</v>
      </c>
      <c r="M222" s="13">
        <f t="shared" si="89"/>
        <v>6.666666666666667</v>
      </c>
      <c r="N222" s="52"/>
    </row>
    <row r="223" spans="1:14" outlineLevel="1" x14ac:dyDescent="0.2">
      <c r="A223" s="20">
        <f t="shared" si="88"/>
        <v>3592</v>
      </c>
      <c r="B223" s="19" t="str">
        <f t="shared" si="88"/>
        <v>Midwestern</v>
      </c>
      <c r="C223" s="18"/>
      <c r="D223" s="15">
        <f t="shared" si="89"/>
        <v>1031.6666666666667</v>
      </c>
      <c r="E223" s="116">
        <f t="shared" si="86"/>
        <v>453.24555555555554</v>
      </c>
      <c r="F223" s="14">
        <f t="shared" si="87"/>
        <v>24.122522148034601</v>
      </c>
      <c r="G223" s="13">
        <f t="shared" si="89"/>
        <v>1962.0000000000034</v>
      </c>
      <c r="H223" s="15">
        <f t="shared" si="89"/>
        <v>333.33333333333331</v>
      </c>
      <c r="I223" s="13">
        <f t="shared" si="89"/>
        <v>15</v>
      </c>
      <c r="J223" s="16">
        <f t="shared" si="89"/>
        <v>690.33333333333337</v>
      </c>
      <c r="K223" s="15">
        <f t="shared" si="89"/>
        <v>1438</v>
      </c>
      <c r="L223" s="14">
        <f t="shared" si="89"/>
        <v>1046</v>
      </c>
      <c r="M223" s="13">
        <f t="shared" si="89"/>
        <v>679.66666666666663</v>
      </c>
      <c r="N223" s="52"/>
    </row>
    <row r="224" spans="1:14" outlineLevel="1" x14ac:dyDescent="0.2">
      <c r="A224" s="20">
        <f t="shared" si="88"/>
        <v>3594</v>
      </c>
      <c r="B224" s="19" t="str">
        <f t="shared" si="88"/>
        <v>UNT</v>
      </c>
      <c r="C224" s="18"/>
      <c r="D224" s="15">
        <f t="shared" si="89"/>
        <v>6016.666666666667</v>
      </c>
      <c r="E224" s="116">
        <f t="shared" si="86"/>
        <v>3467.6055555555558</v>
      </c>
      <c r="F224" s="14">
        <f t="shared" si="87"/>
        <v>25.886944566084125</v>
      </c>
      <c r="G224" s="13">
        <f t="shared" si="89"/>
        <v>11411.553333332529</v>
      </c>
      <c r="H224" s="15">
        <f t="shared" si="89"/>
        <v>336.66666666666669</v>
      </c>
      <c r="I224" s="13">
        <f t="shared" si="89"/>
        <v>43.333333333333336</v>
      </c>
      <c r="J224" s="16">
        <f t="shared" si="89"/>
        <v>3820</v>
      </c>
      <c r="K224" s="15">
        <f t="shared" si="89"/>
        <v>7864.666666666667</v>
      </c>
      <c r="L224" s="14">
        <f t="shared" si="89"/>
        <v>5642.333333333333</v>
      </c>
      <c r="M224" s="13">
        <f t="shared" si="89"/>
        <v>3337</v>
      </c>
      <c r="N224" s="52"/>
    </row>
    <row r="225" spans="1:14" outlineLevel="1" x14ac:dyDescent="0.2">
      <c r="A225" s="27">
        <f t="shared" si="88"/>
        <v>113594</v>
      </c>
      <c r="B225" s="19" t="str">
        <f t="shared" si="88"/>
        <v>UNTD</v>
      </c>
      <c r="C225" s="18"/>
      <c r="D225" s="15">
        <f t="shared" si="89"/>
        <v>403.5</v>
      </c>
      <c r="E225" s="116">
        <f t="shared" si="86"/>
        <v>233.02125000000001</v>
      </c>
      <c r="F225" s="14">
        <f t="shared" si="87"/>
        <v>42.647266065388948</v>
      </c>
      <c r="G225" s="13">
        <f t="shared" si="89"/>
        <v>705.85999999999717</v>
      </c>
      <c r="H225" s="15">
        <f t="shared" si="89"/>
        <v>12</v>
      </c>
      <c r="I225" s="13">
        <f t="shared" si="89"/>
        <v>0</v>
      </c>
      <c r="J225" s="16">
        <f t="shared" si="89"/>
        <v>308.5</v>
      </c>
      <c r="K225" s="15">
        <f t="shared" si="89"/>
        <v>478</v>
      </c>
      <c r="L225" s="14">
        <f t="shared" si="89"/>
        <v>71.5</v>
      </c>
      <c r="M225" s="13">
        <f t="shared" si="89"/>
        <v>11</v>
      </c>
      <c r="N225" s="52"/>
    </row>
    <row r="226" spans="1:14" outlineLevel="1" x14ac:dyDescent="0.2">
      <c r="A226" s="20">
        <f t="shared" si="88"/>
        <v>3624</v>
      </c>
      <c r="B226" s="19" t="str">
        <f t="shared" si="88"/>
        <v>SFA</v>
      </c>
      <c r="C226" s="18"/>
      <c r="D226" s="15">
        <f t="shared" si="89"/>
        <v>1921.6666666666667</v>
      </c>
      <c r="E226" s="116">
        <f t="shared" si="86"/>
        <v>1064.6033333333332</v>
      </c>
      <c r="F226" s="14">
        <f t="shared" si="87"/>
        <v>20.257544310083915</v>
      </c>
      <c r="G226" s="13">
        <f t="shared" si="89"/>
        <v>3721.736666666669</v>
      </c>
      <c r="H226" s="15">
        <f t="shared" si="89"/>
        <v>248</v>
      </c>
      <c r="I226" s="13">
        <f t="shared" si="89"/>
        <v>44.666666666666664</v>
      </c>
      <c r="J226" s="16">
        <f t="shared" si="89"/>
        <v>1460.3333333333333</v>
      </c>
      <c r="K226" s="15">
        <f t="shared" si="89"/>
        <v>2769.3333333333335</v>
      </c>
      <c r="L226" s="14">
        <f t="shared" si="89"/>
        <v>2075</v>
      </c>
      <c r="M226" s="13">
        <f t="shared" si="89"/>
        <v>1397.3333333333333</v>
      </c>
      <c r="N226" s="52"/>
    </row>
    <row r="227" spans="1:14" outlineLevel="1" x14ac:dyDescent="0.2">
      <c r="A227" s="20">
        <f t="shared" si="88"/>
        <v>3642</v>
      </c>
      <c r="B227" s="19" t="str">
        <f t="shared" si="88"/>
        <v>TSU</v>
      </c>
      <c r="C227" s="18"/>
      <c r="D227" s="15">
        <f t="shared" si="89"/>
        <v>758.33333333333337</v>
      </c>
      <c r="E227" s="116">
        <f t="shared" si="86"/>
        <v>108.94722222222221</v>
      </c>
      <c r="F227" s="14">
        <f t="shared" si="87"/>
        <v>12.933681010892716</v>
      </c>
      <c r="G227" s="13">
        <f t="shared" si="89"/>
        <v>1488.6533333333352</v>
      </c>
      <c r="H227" s="15">
        <f t="shared" si="89"/>
        <v>134.33333333333334</v>
      </c>
      <c r="I227" s="13">
        <f t="shared" si="89"/>
        <v>3</v>
      </c>
      <c r="J227" s="16">
        <f t="shared" si="89"/>
        <v>666.33333333333337</v>
      </c>
      <c r="K227" s="15">
        <f t="shared" si="89"/>
        <v>1637.3333333333333</v>
      </c>
      <c r="L227" s="14">
        <f t="shared" si="89"/>
        <v>1133</v>
      </c>
      <c r="M227" s="13">
        <f t="shared" si="89"/>
        <v>848.66666666666663</v>
      </c>
      <c r="N227" s="52"/>
    </row>
    <row r="228" spans="1:14" outlineLevel="1" x14ac:dyDescent="0.2">
      <c r="A228" s="20">
        <f t="shared" si="88"/>
        <v>3644</v>
      </c>
      <c r="B228" s="19" t="str">
        <f t="shared" si="88"/>
        <v>TTU</v>
      </c>
      <c r="C228" s="18"/>
      <c r="D228" s="15">
        <f t="shared" si="89"/>
        <v>4674</v>
      </c>
      <c r="E228" s="116">
        <f t="shared" si="86"/>
        <v>3421.3679999999995</v>
      </c>
      <c r="F228" s="14">
        <f t="shared" si="87"/>
        <v>21.061243127033354</v>
      </c>
      <c r="G228" s="13">
        <f t="shared" si="89"/>
        <v>10128.113333332682</v>
      </c>
      <c r="H228" s="15">
        <f t="shared" si="89"/>
        <v>727.33333333333337</v>
      </c>
      <c r="I228" s="13">
        <f t="shared" si="89"/>
        <v>57.333333333333336</v>
      </c>
      <c r="J228" s="16">
        <f t="shared" si="89"/>
        <v>2778</v>
      </c>
      <c r="K228" s="15">
        <f t="shared" si="89"/>
        <v>6485.333333333333</v>
      </c>
      <c r="L228" s="14">
        <f t="shared" si="89"/>
        <v>5278.333333333333</v>
      </c>
      <c r="M228" s="13">
        <f t="shared" si="89"/>
        <v>3945.6666666666665</v>
      </c>
      <c r="N228" s="52"/>
    </row>
    <row r="229" spans="1:14" outlineLevel="1" x14ac:dyDescent="0.2">
      <c r="A229" s="20">
        <f t="shared" si="88"/>
        <v>3541</v>
      </c>
      <c r="B229" s="19" t="str">
        <f t="shared" si="88"/>
        <v>Angelo</v>
      </c>
      <c r="C229" s="18"/>
      <c r="D229" s="15">
        <f t="shared" si="89"/>
        <v>991.33333333333337</v>
      </c>
      <c r="E229" s="116">
        <f t="shared" si="86"/>
        <v>425.94288888888889</v>
      </c>
      <c r="F229" s="14">
        <f t="shared" si="87"/>
        <v>20.305700708264297</v>
      </c>
      <c r="G229" s="13">
        <f t="shared" si="89"/>
        <v>1977.3500000000051</v>
      </c>
      <c r="H229" s="15">
        <f t="shared" si="89"/>
        <v>254.33333333333334</v>
      </c>
      <c r="I229" s="13">
        <f t="shared" si="89"/>
        <v>19.333333333333332</v>
      </c>
      <c r="J229" s="16">
        <f t="shared" si="89"/>
        <v>723</v>
      </c>
      <c r="K229" s="15">
        <f t="shared" si="89"/>
        <v>1438.6666666666667</v>
      </c>
      <c r="L229" s="14">
        <f t="shared" si="89"/>
        <v>1033.6666666666667</v>
      </c>
      <c r="M229" s="13">
        <f t="shared" si="89"/>
        <v>707.66666666666663</v>
      </c>
      <c r="N229" s="52"/>
    </row>
    <row r="230" spans="1:14" outlineLevel="1" x14ac:dyDescent="0.2">
      <c r="A230" s="20">
        <f t="shared" ref="A230:B235" si="90">A188</f>
        <v>3646</v>
      </c>
      <c r="B230" s="19" t="str">
        <f t="shared" si="90"/>
        <v>TWU</v>
      </c>
      <c r="C230" s="18"/>
      <c r="D230" s="15">
        <f t="shared" ref="D230:M235" si="91">AVERAGE(D272,D314,D356)</f>
        <v>1806</v>
      </c>
      <c r="E230" s="116">
        <f t="shared" si="86"/>
        <v>945.74200000000008</v>
      </c>
      <c r="F230" s="14">
        <f t="shared" si="87"/>
        <v>27.545604295039961</v>
      </c>
      <c r="G230" s="13">
        <f t="shared" si="91"/>
        <v>3452.1766666666658</v>
      </c>
      <c r="H230" s="15">
        <f t="shared" si="91"/>
        <v>569.33333333333337</v>
      </c>
      <c r="I230" s="13">
        <f t="shared" si="91"/>
        <v>31.666666666666668</v>
      </c>
      <c r="J230" s="16">
        <f t="shared" si="91"/>
        <v>1247</v>
      </c>
      <c r="K230" s="15">
        <f t="shared" si="91"/>
        <v>2196</v>
      </c>
      <c r="L230" s="14">
        <f t="shared" si="91"/>
        <v>1292.3333333333333</v>
      </c>
      <c r="M230" s="13">
        <f t="shared" si="91"/>
        <v>659.66666666666663</v>
      </c>
      <c r="N230" s="52"/>
    </row>
    <row r="231" spans="1:14" outlineLevel="1" x14ac:dyDescent="0.2">
      <c r="A231" s="20">
        <f t="shared" si="90"/>
        <v>3581</v>
      </c>
      <c r="B231" s="19" t="str">
        <f t="shared" si="90"/>
        <v>Lamar</v>
      </c>
      <c r="C231" s="18"/>
      <c r="D231" s="15">
        <f t="shared" si="91"/>
        <v>1335.3333333333333</v>
      </c>
      <c r="E231" s="116">
        <f t="shared" si="86"/>
        <v>467.81177777777776</v>
      </c>
      <c r="F231" s="14">
        <f t="shared" si="87"/>
        <v>18.354929164452098</v>
      </c>
      <c r="G231" s="13">
        <f t="shared" si="91"/>
        <v>2684.9000000000165</v>
      </c>
      <c r="H231" s="15">
        <f t="shared" si="91"/>
        <v>330</v>
      </c>
      <c r="I231" s="13">
        <f t="shared" si="91"/>
        <v>17</v>
      </c>
      <c r="J231" s="16">
        <f t="shared" si="91"/>
        <v>948.66666666666663</v>
      </c>
      <c r="K231" s="15">
        <f t="shared" si="91"/>
        <v>2144.6666666666665</v>
      </c>
      <c r="L231" s="14">
        <f t="shared" si="91"/>
        <v>1489</v>
      </c>
      <c r="M231" s="13">
        <f t="shared" si="91"/>
        <v>1011</v>
      </c>
      <c r="N231" s="52"/>
    </row>
    <row r="232" spans="1:14" outlineLevel="1" x14ac:dyDescent="0.2">
      <c r="A232" s="20">
        <f t="shared" si="90"/>
        <v>3606</v>
      </c>
      <c r="B232" s="19" t="str">
        <f t="shared" si="90"/>
        <v>SHSU</v>
      </c>
      <c r="C232" s="18"/>
      <c r="D232" s="15">
        <f t="shared" si="91"/>
        <v>3077.6666666666665</v>
      </c>
      <c r="E232" s="116">
        <f t="shared" si="86"/>
        <v>1805.5644444444445</v>
      </c>
      <c r="F232" s="14">
        <f t="shared" si="87"/>
        <v>24.475654239301015</v>
      </c>
      <c r="G232" s="13">
        <f t="shared" si="91"/>
        <v>5837.0766666667887</v>
      </c>
      <c r="H232" s="15">
        <f t="shared" si="91"/>
        <v>167</v>
      </c>
      <c r="I232" s="13">
        <f t="shared" si="91"/>
        <v>61</v>
      </c>
      <c r="J232" s="16">
        <f t="shared" si="91"/>
        <v>2213.6666666666665</v>
      </c>
      <c r="K232" s="15">
        <f t="shared" si="91"/>
        <v>3894.3333333333335</v>
      </c>
      <c r="L232" s="14">
        <f t="shared" si="91"/>
        <v>2965.3333333333335</v>
      </c>
      <c r="M232" s="13">
        <f t="shared" si="91"/>
        <v>1763.3333333333333</v>
      </c>
    </row>
    <row r="233" spans="1:14" outlineLevel="1" x14ac:dyDescent="0.2">
      <c r="A233" s="20">
        <f t="shared" si="90"/>
        <v>3615</v>
      </c>
      <c r="B233" s="19" t="str">
        <f t="shared" si="90"/>
        <v>TXST</v>
      </c>
      <c r="C233" s="18"/>
      <c r="D233" s="15">
        <f t="shared" si="91"/>
        <v>5361</v>
      </c>
      <c r="E233" s="116">
        <f t="shared" si="86"/>
        <v>3393.5129999999999</v>
      </c>
      <c r="F233" s="14">
        <f t="shared" si="87"/>
        <v>23.406891519786395</v>
      </c>
      <c r="G233" s="13">
        <f t="shared" si="91"/>
        <v>10437.309999999357</v>
      </c>
      <c r="H233" s="15">
        <f t="shared" si="91"/>
        <v>488.66666666666669</v>
      </c>
      <c r="I233" s="13">
        <f t="shared" si="91"/>
        <v>66.666666666666671</v>
      </c>
      <c r="J233" s="16">
        <f t="shared" si="91"/>
        <v>3675.3333333333335</v>
      </c>
      <c r="K233" s="15">
        <f t="shared" si="91"/>
        <v>7470.333333333333</v>
      </c>
      <c r="L233" s="14">
        <f t="shared" si="91"/>
        <v>5579</v>
      </c>
      <c r="M233" s="13">
        <f t="shared" si="91"/>
        <v>3317.3333333333335</v>
      </c>
    </row>
    <row r="234" spans="1:14" outlineLevel="1" x14ac:dyDescent="0.2">
      <c r="A234" s="20">
        <f t="shared" si="90"/>
        <v>3625</v>
      </c>
      <c r="B234" s="19" t="str">
        <f t="shared" si="90"/>
        <v>SRSU</v>
      </c>
      <c r="C234" s="18"/>
      <c r="D234" s="15">
        <f t="shared" si="91"/>
        <v>189.33333333333334</v>
      </c>
      <c r="E234" s="116">
        <f t="shared" si="86"/>
        <v>56.989333333333335</v>
      </c>
      <c r="F234" s="14">
        <f t="shared" si="87"/>
        <v>15.518843008324076</v>
      </c>
      <c r="G234" s="13">
        <f t="shared" si="91"/>
        <v>394.32999999999964</v>
      </c>
      <c r="H234" s="15">
        <f t="shared" si="91"/>
        <v>12.666666666666666</v>
      </c>
      <c r="I234" s="13">
        <f t="shared" si="91"/>
        <v>6.333333333333333</v>
      </c>
      <c r="J234" s="16">
        <f t="shared" si="91"/>
        <v>163</v>
      </c>
      <c r="K234" s="15">
        <f t="shared" si="91"/>
        <v>300</v>
      </c>
      <c r="L234" s="14">
        <f t="shared" si="91"/>
        <v>193.66666666666666</v>
      </c>
      <c r="M234" s="13">
        <f t="shared" si="91"/>
        <v>131.66666666666666</v>
      </c>
      <c r="N234" s="41"/>
    </row>
    <row r="235" spans="1:14" outlineLevel="1" x14ac:dyDescent="0.2">
      <c r="A235" s="20">
        <f t="shared" si="90"/>
        <v>20</v>
      </c>
      <c r="B235" s="19" t="str">
        <f t="shared" si="90"/>
        <v>SRRG</v>
      </c>
      <c r="C235" s="18"/>
      <c r="D235" s="15">
        <f t="shared" si="91"/>
        <v>161.66666666666666</v>
      </c>
      <c r="E235" s="116">
        <f t="shared" si="86"/>
        <v>51.365976618337754</v>
      </c>
      <c r="F235" s="14">
        <f t="shared" si="87"/>
        <v>36.596408270033706</v>
      </c>
      <c r="G235" s="13">
        <f t="shared" si="91"/>
        <v>279.16999999999979</v>
      </c>
      <c r="H235" s="15">
        <f t="shared" si="91"/>
        <v>6.333333333333333</v>
      </c>
      <c r="I235" s="13">
        <f t="shared" si="91"/>
        <v>5.666666666666667</v>
      </c>
      <c r="J235" s="16">
        <f t="shared" si="91"/>
        <v>144</v>
      </c>
      <c r="K235" s="15">
        <f t="shared" si="91"/>
        <v>230</v>
      </c>
      <c r="L235" s="14">
        <f t="shared" si="91"/>
        <v>92.666666666666671</v>
      </c>
      <c r="M235" s="13">
        <f t="shared" si="91"/>
        <v>4.333333333333333</v>
      </c>
    </row>
    <row r="236" spans="1:14" ht="13.5" outlineLevel="1" thickBot="1" x14ac:dyDescent="0.25">
      <c r="A236" s="12"/>
      <c r="B236" s="11" t="s">
        <v>11</v>
      </c>
      <c r="C236" s="10"/>
      <c r="D236" s="9">
        <f>SUM(D198:D235)</f>
        <v>84315.833333333314</v>
      </c>
      <c r="E236" s="117">
        <f>SUM(E198:E235)</f>
        <v>49031.80588920939</v>
      </c>
      <c r="F236" s="7">
        <f t="shared" ref="F236:M236" si="92">SUM(F198:F235)</f>
        <v>1017.4700431877567</v>
      </c>
      <c r="G236" s="3">
        <f t="shared" si="92"/>
        <v>172461.13999999844</v>
      </c>
      <c r="H236" s="5">
        <f t="shared" si="92"/>
        <v>13953.333333333332</v>
      </c>
      <c r="I236" s="3">
        <f t="shared" si="92"/>
        <v>1198.3333333333335</v>
      </c>
      <c r="J236" s="6">
        <f t="shared" si="92"/>
        <v>54446.500000000007</v>
      </c>
      <c r="K236" s="5">
        <f t="shared" si="92"/>
        <v>114212.66666666664</v>
      </c>
      <c r="L236" s="4">
        <f t="shared" si="92"/>
        <v>82344.5</v>
      </c>
      <c r="M236" s="3">
        <f t="shared" si="92"/>
        <v>50801.999999999993</v>
      </c>
    </row>
    <row r="237" spans="1:14" ht="13.5" thickBot="1" x14ac:dyDescent="0.25">
      <c r="A237" s="42" t="s">
        <v>27</v>
      </c>
      <c r="B237" s="42"/>
      <c r="C237" s="42"/>
      <c r="D237" s="51"/>
      <c r="F237" s="51"/>
      <c r="J237" s="51"/>
    </row>
    <row r="238" spans="1:14" ht="12.75" customHeight="1" outlineLevel="1" x14ac:dyDescent="0.2">
      <c r="A238" s="234" t="s">
        <v>24</v>
      </c>
      <c r="B238" s="236" t="s">
        <v>23</v>
      </c>
      <c r="C238" s="238"/>
      <c r="D238" s="240" t="s">
        <v>28</v>
      </c>
      <c r="E238" s="242" t="s">
        <v>21</v>
      </c>
      <c r="F238" s="236" t="s">
        <v>20</v>
      </c>
      <c r="G238" s="221" t="s">
        <v>19</v>
      </c>
      <c r="H238" s="223" t="s">
        <v>18</v>
      </c>
      <c r="I238" s="225" t="s">
        <v>17</v>
      </c>
      <c r="J238" s="227" t="s">
        <v>16</v>
      </c>
      <c r="K238" s="229" t="s">
        <v>15</v>
      </c>
      <c r="L238" s="230"/>
      <c r="M238" s="231"/>
    </row>
    <row r="239" spans="1:14" s="41" customFormat="1" ht="36" customHeight="1" outlineLevel="1" thickBot="1" x14ac:dyDescent="0.25">
      <c r="A239" s="235"/>
      <c r="B239" s="237"/>
      <c r="C239" s="239"/>
      <c r="D239" s="241"/>
      <c r="E239" s="243"/>
      <c r="F239" s="237"/>
      <c r="G239" s="222"/>
      <c r="H239" s="224"/>
      <c r="I239" s="226"/>
      <c r="J239" s="228"/>
      <c r="K239" s="188" t="s">
        <v>14</v>
      </c>
      <c r="L239" s="189" t="s">
        <v>13</v>
      </c>
      <c r="M239" s="190" t="s">
        <v>12</v>
      </c>
      <c r="N239" s="1"/>
    </row>
    <row r="240" spans="1:14" outlineLevel="1" x14ac:dyDescent="0.2">
      <c r="A240" s="40">
        <f t="shared" ref="A240:B255" si="93">A198</f>
        <v>3656</v>
      </c>
      <c r="B240" s="39" t="str">
        <f t="shared" si="93"/>
        <v>UTA</v>
      </c>
      <c r="C240" s="38"/>
      <c r="D240" s="33">
        <v>5773</v>
      </c>
      <c r="E240" s="37">
        <v>0.55500000000000005</v>
      </c>
      <c r="F240" s="32">
        <v>17781.466666666667</v>
      </c>
      <c r="G240" s="48">
        <v>12087.560000000249</v>
      </c>
      <c r="H240" s="36">
        <v>2140</v>
      </c>
      <c r="I240" s="35">
        <v>43</v>
      </c>
      <c r="J240" s="34">
        <v>3528</v>
      </c>
      <c r="K240" s="50">
        <v>6893</v>
      </c>
      <c r="L240" s="49">
        <v>3962</v>
      </c>
      <c r="M240" s="48">
        <v>1894</v>
      </c>
    </row>
    <row r="241" spans="1:13" outlineLevel="1" x14ac:dyDescent="0.2">
      <c r="A241" s="20">
        <f t="shared" si="93"/>
        <v>3658</v>
      </c>
      <c r="B241" s="19" t="str">
        <f t="shared" si="93"/>
        <v>UT</v>
      </c>
      <c r="C241" s="18"/>
      <c r="D241" s="15">
        <v>8860</v>
      </c>
      <c r="E241" s="21">
        <v>0.82499999999999996</v>
      </c>
      <c r="F241" s="14">
        <v>33841.466666666667</v>
      </c>
      <c r="G241" s="28">
        <v>19542.67999999996</v>
      </c>
      <c r="H241" s="15">
        <v>1981</v>
      </c>
      <c r="I241" s="13">
        <v>83</v>
      </c>
      <c r="J241" s="16">
        <v>3501</v>
      </c>
      <c r="K241" s="30">
        <v>9260</v>
      </c>
      <c r="L241" s="29">
        <v>8373</v>
      </c>
      <c r="M241" s="28">
        <v>6348</v>
      </c>
    </row>
    <row r="242" spans="1:13" outlineLevel="1" x14ac:dyDescent="0.2">
      <c r="A242" s="20">
        <f t="shared" si="93"/>
        <v>9741</v>
      </c>
      <c r="B242" s="19" t="str">
        <f t="shared" si="93"/>
        <v>UTD</v>
      </c>
      <c r="C242" s="18"/>
      <c r="D242" s="15">
        <v>2510</v>
      </c>
      <c r="E242" s="21">
        <v>0.71900000000000008</v>
      </c>
      <c r="F242" s="14">
        <v>9826.5333333333328</v>
      </c>
      <c r="G242" s="28">
        <v>5443.8700000002518</v>
      </c>
      <c r="H242" s="15">
        <v>449</v>
      </c>
      <c r="I242" s="13">
        <v>33</v>
      </c>
      <c r="J242" s="16">
        <v>1410</v>
      </c>
      <c r="K242" s="30">
        <v>3522</v>
      </c>
      <c r="L242" s="29">
        <v>2348</v>
      </c>
      <c r="M242" s="28">
        <v>1065</v>
      </c>
    </row>
    <row r="243" spans="1:13" outlineLevel="1" x14ac:dyDescent="0.2">
      <c r="A243" s="20">
        <f t="shared" si="93"/>
        <v>3661</v>
      </c>
      <c r="B243" s="19" t="str">
        <f t="shared" si="93"/>
        <v>UTEP</v>
      </c>
      <c r="C243" s="18"/>
      <c r="D243" s="15">
        <v>3132</v>
      </c>
      <c r="E243" s="21">
        <v>0.41200000000000003</v>
      </c>
      <c r="F243" s="14">
        <v>13931.066666666668</v>
      </c>
      <c r="G243" s="28">
        <v>6456.0600000003096</v>
      </c>
      <c r="H243" s="15">
        <v>643</v>
      </c>
      <c r="I243" s="13">
        <v>86</v>
      </c>
      <c r="J243" s="16">
        <v>2590</v>
      </c>
      <c r="K243" s="30">
        <v>4400</v>
      </c>
      <c r="L243" s="29">
        <v>3304</v>
      </c>
      <c r="M243" s="28">
        <v>1986</v>
      </c>
    </row>
    <row r="244" spans="1:13" outlineLevel="1" x14ac:dyDescent="0.2">
      <c r="A244" s="20">
        <f t="shared" si="93"/>
        <v>3599</v>
      </c>
      <c r="B244" s="19" t="str">
        <f t="shared" si="93"/>
        <v>UTPA</v>
      </c>
      <c r="C244" s="18"/>
      <c r="D244" s="15">
        <v>2462</v>
      </c>
      <c r="E244" s="21">
        <v>0.44</v>
      </c>
      <c r="F244" s="14">
        <v>12698.333333333334</v>
      </c>
      <c r="G244" s="28">
        <v>5000.2800000001325</v>
      </c>
      <c r="H244" s="15">
        <v>547</v>
      </c>
      <c r="I244" s="13">
        <v>19</v>
      </c>
      <c r="J244" s="16">
        <v>2247</v>
      </c>
      <c r="K244" s="30">
        <v>3730</v>
      </c>
      <c r="L244" s="29">
        <v>2862</v>
      </c>
      <c r="M244" s="28">
        <v>1896</v>
      </c>
    </row>
    <row r="245" spans="1:13" outlineLevel="1" x14ac:dyDescent="0.2">
      <c r="A245" s="20">
        <f t="shared" si="93"/>
        <v>30646</v>
      </c>
      <c r="B245" s="19" t="str">
        <f t="shared" si="93"/>
        <v>UTB</v>
      </c>
      <c r="C245" s="18"/>
      <c r="D245" s="15">
        <v>1149</v>
      </c>
      <c r="E245" s="17">
        <v>0.52783109404990403</v>
      </c>
      <c r="F245" s="14">
        <v>3400.5333333333333</v>
      </c>
      <c r="G245" s="28">
        <v>2236.3100000000127</v>
      </c>
      <c r="H245" s="15">
        <v>133</v>
      </c>
      <c r="I245" s="13">
        <v>21</v>
      </c>
      <c r="J245" s="16">
        <v>978</v>
      </c>
      <c r="K245" s="30">
        <v>1243</v>
      </c>
      <c r="L245" s="29">
        <v>486</v>
      </c>
      <c r="M245" s="28">
        <v>99</v>
      </c>
    </row>
    <row r="246" spans="1:13" outlineLevel="1" x14ac:dyDescent="0.2">
      <c r="A246" s="20">
        <f t="shared" si="93"/>
        <v>9930</v>
      </c>
      <c r="B246" s="19" t="str">
        <f t="shared" si="93"/>
        <v>UTPB</v>
      </c>
      <c r="C246" s="18"/>
      <c r="D246" s="15">
        <v>546</v>
      </c>
      <c r="E246" s="21">
        <v>0.47899999999999998</v>
      </c>
      <c r="F246" s="14">
        <v>2343.2666666666669</v>
      </c>
      <c r="G246" s="28">
        <v>1054.6599999999951</v>
      </c>
      <c r="H246" s="15">
        <v>51</v>
      </c>
      <c r="I246" s="13">
        <v>7</v>
      </c>
      <c r="J246" s="16">
        <v>411</v>
      </c>
      <c r="K246" s="30">
        <v>742</v>
      </c>
      <c r="L246" s="29">
        <v>535</v>
      </c>
      <c r="M246" s="28">
        <v>210</v>
      </c>
    </row>
    <row r="247" spans="1:13" outlineLevel="1" x14ac:dyDescent="0.2">
      <c r="A247" s="20">
        <f t="shared" si="93"/>
        <v>10115</v>
      </c>
      <c r="B247" s="19" t="str">
        <f t="shared" si="93"/>
        <v>UTSA</v>
      </c>
      <c r="C247" s="18"/>
      <c r="D247" s="15">
        <v>4243</v>
      </c>
      <c r="E247" s="21">
        <v>0.43099999999999999</v>
      </c>
      <c r="F247" s="14">
        <v>21066.866666666665</v>
      </c>
      <c r="G247" s="28">
        <v>8736.7000000001954</v>
      </c>
      <c r="H247" s="15">
        <v>407</v>
      </c>
      <c r="I247" s="13">
        <v>63</v>
      </c>
      <c r="J247" s="16">
        <v>3204</v>
      </c>
      <c r="K247" s="30">
        <v>6815</v>
      </c>
      <c r="L247" s="29">
        <v>4371</v>
      </c>
      <c r="M247" s="28">
        <v>2560</v>
      </c>
    </row>
    <row r="248" spans="1:13" outlineLevel="1" x14ac:dyDescent="0.2">
      <c r="A248" s="20">
        <f t="shared" si="93"/>
        <v>11163</v>
      </c>
      <c r="B248" s="19" t="str">
        <f t="shared" si="93"/>
        <v>UTT</v>
      </c>
      <c r="C248" s="18"/>
      <c r="D248" s="15">
        <v>1144</v>
      </c>
      <c r="E248" s="21">
        <v>0.51800000000000002</v>
      </c>
      <c r="F248" s="14">
        <v>4086.7333333333331</v>
      </c>
      <c r="G248" s="28">
        <v>2263.8699999999944</v>
      </c>
      <c r="H248" s="15">
        <v>392</v>
      </c>
      <c r="I248" s="13">
        <v>23</v>
      </c>
      <c r="J248" s="16">
        <v>886</v>
      </c>
      <c r="K248" s="30">
        <v>1409</v>
      </c>
      <c r="L248" s="29">
        <v>844</v>
      </c>
      <c r="M248" s="28">
        <v>383</v>
      </c>
    </row>
    <row r="249" spans="1:13" outlineLevel="1" x14ac:dyDescent="0.2">
      <c r="A249" s="20">
        <f t="shared" si="93"/>
        <v>3632</v>
      </c>
      <c r="B249" s="19" t="str">
        <f t="shared" si="93"/>
        <v>TAMU</v>
      </c>
      <c r="C249" s="18"/>
      <c r="D249" s="15">
        <v>9020</v>
      </c>
      <c r="E249" s="21">
        <v>0.84200000000000008</v>
      </c>
      <c r="F249" s="14">
        <v>35116.666666666664</v>
      </c>
      <c r="G249" s="28">
        <v>21108.189999999984</v>
      </c>
      <c r="H249" s="15">
        <v>1934</v>
      </c>
      <c r="I249" s="13">
        <v>137</v>
      </c>
      <c r="J249" s="16">
        <v>3915</v>
      </c>
      <c r="K249" s="30">
        <v>10547</v>
      </c>
      <c r="L249" s="29">
        <v>8924</v>
      </c>
      <c r="M249" s="28">
        <v>6938</v>
      </c>
    </row>
    <row r="250" spans="1:13" outlineLevel="1" x14ac:dyDescent="0.2">
      <c r="A250" s="20">
        <f t="shared" si="93"/>
        <v>10298</v>
      </c>
      <c r="B250" s="19" t="str">
        <f t="shared" si="93"/>
        <v>TAMUG</v>
      </c>
      <c r="C250" s="18"/>
      <c r="D250" s="15">
        <v>314</v>
      </c>
      <c r="E250" s="21">
        <v>0.626</v>
      </c>
      <c r="F250" s="14">
        <v>1769.4666666666667</v>
      </c>
      <c r="G250" s="28">
        <v>826.3399999999923</v>
      </c>
      <c r="H250" s="15">
        <v>46</v>
      </c>
      <c r="I250" s="13">
        <v>0</v>
      </c>
      <c r="J250" s="16">
        <v>186</v>
      </c>
      <c r="K250" s="30">
        <v>607</v>
      </c>
      <c r="L250" s="29">
        <v>296</v>
      </c>
      <c r="M250" s="28">
        <v>263</v>
      </c>
    </row>
    <row r="251" spans="1:13" outlineLevel="1" x14ac:dyDescent="0.2">
      <c r="A251" s="20">
        <f t="shared" si="93"/>
        <v>3630</v>
      </c>
      <c r="B251" s="19" t="str">
        <f t="shared" si="93"/>
        <v>Prairie View</v>
      </c>
      <c r="C251" s="18"/>
      <c r="D251" s="15">
        <v>1026</v>
      </c>
      <c r="E251" s="21">
        <v>0.40299999999999997</v>
      </c>
      <c r="F251" s="14">
        <v>5822.8</v>
      </c>
      <c r="G251" s="28">
        <v>2288.9700000000062</v>
      </c>
      <c r="H251" s="15">
        <v>373</v>
      </c>
      <c r="I251" s="13">
        <v>11</v>
      </c>
      <c r="J251" s="16">
        <v>877</v>
      </c>
      <c r="K251" s="30">
        <v>1701</v>
      </c>
      <c r="L251" s="29">
        <v>1132</v>
      </c>
      <c r="M251" s="28">
        <v>871</v>
      </c>
    </row>
    <row r="252" spans="1:13" outlineLevel="1" x14ac:dyDescent="0.2">
      <c r="A252" s="20">
        <f t="shared" si="93"/>
        <v>3631</v>
      </c>
      <c r="B252" s="19" t="str">
        <f t="shared" si="93"/>
        <v>Tarleton</v>
      </c>
      <c r="C252" s="18"/>
      <c r="D252" s="15">
        <v>1662</v>
      </c>
      <c r="E252" s="21">
        <v>0.47600000000000003</v>
      </c>
      <c r="F252" s="14">
        <v>6766.4</v>
      </c>
      <c r="G252" s="28">
        <v>3337.2399999999966</v>
      </c>
      <c r="H252" s="15">
        <v>229</v>
      </c>
      <c r="I252" s="13">
        <v>49</v>
      </c>
      <c r="J252" s="16">
        <v>1296</v>
      </c>
      <c r="K252" s="30">
        <v>2227</v>
      </c>
      <c r="L252" s="29">
        <v>1216</v>
      </c>
      <c r="M252" s="28">
        <v>845</v>
      </c>
    </row>
    <row r="253" spans="1:13" outlineLevel="1" x14ac:dyDescent="0.2">
      <c r="A253" s="27">
        <f t="shared" si="93"/>
        <v>103631</v>
      </c>
      <c r="B253" s="19" t="str">
        <f t="shared" si="93"/>
        <v>TAMUCT</v>
      </c>
      <c r="C253" s="18"/>
      <c r="D253" s="15">
        <v>469</v>
      </c>
      <c r="E253" s="21">
        <f>E252</f>
        <v>0.47600000000000003</v>
      </c>
      <c r="F253" s="14">
        <v>684.13333333333333</v>
      </c>
      <c r="G253" s="28">
        <v>882.20999999999208</v>
      </c>
      <c r="H253" s="15">
        <v>42</v>
      </c>
      <c r="I253" s="13">
        <v>0</v>
      </c>
      <c r="J253" s="16">
        <v>329</v>
      </c>
      <c r="K253" s="30">
        <v>550</v>
      </c>
      <c r="L253" s="29">
        <v>119</v>
      </c>
      <c r="M253" s="28">
        <v>5</v>
      </c>
    </row>
    <row r="254" spans="1:13" outlineLevel="1" x14ac:dyDescent="0.2">
      <c r="A254" s="20">
        <f t="shared" si="93"/>
        <v>11161</v>
      </c>
      <c r="B254" s="19" t="str">
        <f t="shared" si="93"/>
        <v>TAMUCC</v>
      </c>
      <c r="C254" s="18"/>
      <c r="D254" s="15">
        <v>1515</v>
      </c>
      <c r="E254" s="21">
        <v>0.51</v>
      </c>
      <c r="F254" s="14">
        <v>6742.2</v>
      </c>
      <c r="G254" s="28">
        <v>3028.8999999999978</v>
      </c>
      <c r="H254" s="15">
        <v>310</v>
      </c>
      <c r="I254" s="13">
        <v>23</v>
      </c>
      <c r="J254" s="16">
        <v>1182</v>
      </c>
      <c r="K254" s="30">
        <v>1957</v>
      </c>
      <c r="L254" s="29">
        <v>1470</v>
      </c>
      <c r="M254" s="28">
        <v>959</v>
      </c>
    </row>
    <row r="255" spans="1:13" outlineLevel="1" x14ac:dyDescent="0.2">
      <c r="A255" s="20">
        <f t="shared" si="93"/>
        <v>3639</v>
      </c>
      <c r="B255" s="19" t="str">
        <f t="shared" si="93"/>
        <v>TAMUK</v>
      </c>
      <c r="C255" s="18"/>
      <c r="D255" s="15">
        <v>855</v>
      </c>
      <c r="E255" s="21">
        <v>0.39200000000000002</v>
      </c>
      <c r="F255" s="14">
        <v>4577.5333333333338</v>
      </c>
      <c r="G255" s="28">
        <v>1952.6200000000099</v>
      </c>
      <c r="H255" s="15">
        <v>298</v>
      </c>
      <c r="I255" s="13">
        <v>19</v>
      </c>
      <c r="J255" s="16">
        <v>742</v>
      </c>
      <c r="K255" s="30">
        <v>1343</v>
      </c>
      <c r="L255" s="29">
        <v>910</v>
      </c>
      <c r="M255" s="28">
        <v>571</v>
      </c>
    </row>
    <row r="256" spans="1:13" outlineLevel="1" x14ac:dyDescent="0.2">
      <c r="A256" s="27">
        <f t="shared" ref="A256:B271" si="94">A214</f>
        <v>103639</v>
      </c>
      <c r="B256" s="19" t="str">
        <f t="shared" si="94"/>
        <v>TAMUSA</v>
      </c>
      <c r="C256" s="18"/>
      <c r="D256" s="15">
        <v>647</v>
      </c>
      <c r="E256" s="21">
        <f>E255</f>
        <v>0.39200000000000002</v>
      </c>
      <c r="F256" s="14">
        <v>1673.0666666666666</v>
      </c>
      <c r="G256" s="28">
        <v>1155.5399999999984</v>
      </c>
      <c r="H256" s="15">
        <v>10</v>
      </c>
      <c r="I256" s="13">
        <v>4</v>
      </c>
      <c r="J256" s="16">
        <v>549</v>
      </c>
      <c r="K256" s="30">
        <v>887</v>
      </c>
      <c r="L256" s="29">
        <v>190</v>
      </c>
      <c r="M256" s="28">
        <v>1</v>
      </c>
    </row>
    <row r="257" spans="1:13" outlineLevel="1" x14ac:dyDescent="0.2">
      <c r="A257" s="20">
        <f t="shared" si="94"/>
        <v>9651</v>
      </c>
      <c r="B257" s="19" t="str">
        <f t="shared" si="94"/>
        <v>TAMI</v>
      </c>
      <c r="C257" s="18"/>
      <c r="D257" s="15">
        <v>805</v>
      </c>
      <c r="E257" s="21">
        <v>0.45700000000000002</v>
      </c>
      <c r="F257" s="14">
        <v>4312.1333333333332</v>
      </c>
      <c r="G257" s="28">
        <v>1498.7699999999936</v>
      </c>
      <c r="H257" s="15">
        <v>142</v>
      </c>
      <c r="I257" s="13">
        <v>23</v>
      </c>
      <c r="J257" s="16">
        <v>737</v>
      </c>
      <c r="K257" s="30">
        <v>1292</v>
      </c>
      <c r="L257" s="29">
        <v>1039</v>
      </c>
      <c r="M257" s="28">
        <v>488</v>
      </c>
    </row>
    <row r="258" spans="1:13" outlineLevel="1" x14ac:dyDescent="0.2">
      <c r="A258" s="20">
        <f t="shared" si="94"/>
        <v>3665</v>
      </c>
      <c r="B258" s="19" t="str">
        <f t="shared" si="94"/>
        <v>WTAMU</v>
      </c>
      <c r="C258" s="18"/>
      <c r="D258" s="15">
        <v>1253</v>
      </c>
      <c r="E258" s="21">
        <v>0.48200000000000004</v>
      </c>
      <c r="F258" s="14">
        <v>5523.2</v>
      </c>
      <c r="G258" s="28">
        <v>2523.9800000000132</v>
      </c>
      <c r="H258" s="15">
        <v>175</v>
      </c>
      <c r="I258" s="13">
        <v>60</v>
      </c>
      <c r="J258" s="16">
        <v>902</v>
      </c>
      <c r="K258" s="30">
        <v>1631</v>
      </c>
      <c r="L258" s="29">
        <v>1213</v>
      </c>
      <c r="M258" s="28">
        <v>689</v>
      </c>
    </row>
    <row r="259" spans="1:13" outlineLevel="1" x14ac:dyDescent="0.2">
      <c r="A259" s="20">
        <f t="shared" si="94"/>
        <v>3565</v>
      </c>
      <c r="B259" s="19" t="str">
        <f t="shared" si="94"/>
        <v>TAMUC</v>
      </c>
      <c r="C259" s="18"/>
      <c r="D259" s="15">
        <v>1507</v>
      </c>
      <c r="E259" s="21">
        <v>0.44600000000000001</v>
      </c>
      <c r="F259" s="14">
        <v>5135.2666666666664</v>
      </c>
      <c r="G259" s="28">
        <v>2861.9500000000121</v>
      </c>
      <c r="H259" s="15">
        <v>89</v>
      </c>
      <c r="I259" s="13">
        <v>81</v>
      </c>
      <c r="J259" s="16">
        <v>1172</v>
      </c>
      <c r="K259" s="30">
        <v>2056</v>
      </c>
      <c r="L259" s="29">
        <v>1174</v>
      </c>
      <c r="M259" s="28">
        <v>457</v>
      </c>
    </row>
    <row r="260" spans="1:13" outlineLevel="1" x14ac:dyDescent="0.2">
      <c r="A260" s="20">
        <f t="shared" si="94"/>
        <v>29269</v>
      </c>
      <c r="B260" s="19" t="str">
        <f t="shared" si="94"/>
        <v>TAMUT</v>
      </c>
      <c r="C260" s="18"/>
      <c r="D260" s="15">
        <v>376</v>
      </c>
      <c r="E260" s="17">
        <v>0.49242424242424243</v>
      </c>
      <c r="F260" s="14">
        <v>1101.2666666666667</v>
      </c>
      <c r="G260" s="28">
        <v>680.4399999999946</v>
      </c>
      <c r="H260" s="15">
        <v>47</v>
      </c>
      <c r="I260" s="13">
        <v>25</v>
      </c>
      <c r="J260" s="16">
        <v>277</v>
      </c>
      <c r="K260" s="30">
        <v>484</v>
      </c>
      <c r="L260" s="29">
        <v>219</v>
      </c>
      <c r="M260" s="28">
        <v>1</v>
      </c>
    </row>
    <row r="261" spans="1:13" outlineLevel="1" x14ac:dyDescent="0.2">
      <c r="A261" s="20">
        <f t="shared" si="94"/>
        <v>3652</v>
      </c>
      <c r="B261" s="19" t="str">
        <f t="shared" si="94"/>
        <v>UH</v>
      </c>
      <c r="C261" s="18"/>
      <c r="D261" s="15">
        <v>5426</v>
      </c>
      <c r="E261" s="21">
        <v>0.53600000000000003</v>
      </c>
      <c r="F261" s="14">
        <v>24760.400000000001</v>
      </c>
      <c r="G261" s="28">
        <v>11378.949999999324</v>
      </c>
      <c r="H261" s="15">
        <v>835</v>
      </c>
      <c r="I261" s="13">
        <v>60</v>
      </c>
      <c r="J261" s="16">
        <v>3688</v>
      </c>
      <c r="K261" s="30">
        <v>7823</v>
      </c>
      <c r="L261" s="29">
        <v>5667</v>
      </c>
      <c r="M261" s="28">
        <v>3232</v>
      </c>
    </row>
    <row r="262" spans="1:13" outlineLevel="1" x14ac:dyDescent="0.2">
      <c r="A262" s="20">
        <f t="shared" si="94"/>
        <v>11711</v>
      </c>
      <c r="B262" s="19" t="str">
        <f t="shared" si="94"/>
        <v>UHCL</v>
      </c>
      <c r="C262" s="18"/>
      <c r="D262" s="15">
        <v>1251</v>
      </c>
      <c r="E262" s="17">
        <v>0.51671732522796354</v>
      </c>
      <c r="F262" s="14">
        <v>3079.2666666666669</v>
      </c>
      <c r="G262" s="28">
        <v>2423.7000000000025</v>
      </c>
      <c r="H262" s="15">
        <v>119</v>
      </c>
      <c r="I262" s="13">
        <v>9</v>
      </c>
      <c r="J262" s="16">
        <v>839</v>
      </c>
      <c r="K262" s="30">
        <v>1391</v>
      </c>
      <c r="L262" s="29">
        <v>1014</v>
      </c>
      <c r="M262" s="28">
        <v>37</v>
      </c>
    </row>
    <row r="263" spans="1:13" outlineLevel="1" x14ac:dyDescent="0.2">
      <c r="A263" s="20">
        <f t="shared" si="94"/>
        <v>12826</v>
      </c>
      <c r="B263" s="19" t="str">
        <f t="shared" si="94"/>
        <v>UHD</v>
      </c>
      <c r="C263" s="18"/>
      <c r="D263" s="15">
        <v>2351</v>
      </c>
      <c r="E263" s="21">
        <v>0.17399999999999999</v>
      </c>
      <c r="F263" s="14">
        <v>8043.8</v>
      </c>
      <c r="G263" s="28">
        <v>4292.430000000033</v>
      </c>
      <c r="H263" s="15">
        <v>134</v>
      </c>
      <c r="I263" s="13">
        <v>3</v>
      </c>
      <c r="J263" s="16">
        <v>1694</v>
      </c>
      <c r="K263" s="30">
        <v>3011</v>
      </c>
      <c r="L263" s="29">
        <v>1820</v>
      </c>
      <c r="M263" s="28">
        <v>590</v>
      </c>
    </row>
    <row r="264" spans="1:13" outlineLevel="1" x14ac:dyDescent="0.2">
      <c r="A264" s="20">
        <f t="shared" si="94"/>
        <v>13231</v>
      </c>
      <c r="B264" s="19" t="str">
        <f t="shared" si="94"/>
        <v>UHV</v>
      </c>
      <c r="C264" s="18"/>
      <c r="D264" s="15">
        <v>619</v>
      </c>
      <c r="E264" s="17">
        <v>0.47520661157024796</v>
      </c>
      <c r="F264" s="14">
        <v>1685.8666666666666</v>
      </c>
      <c r="G264" s="28">
        <v>1187.5899999999924</v>
      </c>
      <c r="H264" s="15">
        <v>134</v>
      </c>
      <c r="I264" s="13">
        <v>9</v>
      </c>
      <c r="J264" s="16">
        <v>418</v>
      </c>
      <c r="K264" s="30">
        <v>776</v>
      </c>
      <c r="L264" s="29">
        <v>334</v>
      </c>
      <c r="M264" s="28">
        <v>6</v>
      </c>
    </row>
    <row r="265" spans="1:13" outlineLevel="1" x14ac:dyDescent="0.2">
      <c r="A265" s="20">
        <f t="shared" si="94"/>
        <v>3592</v>
      </c>
      <c r="B265" s="19" t="str">
        <f t="shared" si="94"/>
        <v>Midwestern</v>
      </c>
      <c r="C265" s="18"/>
      <c r="D265" s="15">
        <v>1066</v>
      </c>
      <c r="E265" s="21">
        <v>0.46299999999999997</v>
      </c>
      <c r="F265" s="14">
        <v>4147.7333333333336</v>
      </c>
      <c r="G265" s="28">
        <v>2062.1399999999949</v>
      </c>
      <c r="H265" s="15">
        <v>358</v>
      </c>
      <c r="I265" s="13">
        <v>15</v>
      </c>
      <c r="J265" s="16">
        <v>723</v>
      </c>
      <c r="K265" s="30">
        <v>1310</v>
      </c>
      <c r="L265" s="29">
        <v>979</v>
      </c>
      <c r="M265" s="28">
        <v>683</v>
      </c>
    </row>
    <row r="266" spans="1:13" outlineLevel="1" x14ac:dyDescent="0.2">
      <c r="A266" s="20">
        <f t="shared" si="94"/>
        <v>3594</v>
      </c>
      <c r="B266" s="19" t="str">
        <f t="shared" si="94"/>
        <v>UNT</v>
      </c>
      <c r="C266" s="18"/>
      <c r="D266" s="15">
        <v>5843</v>
      </c>
      <c r="E266" s="21">
        <v>0.56799999999999995</v>
      </c>
      <c r="F266" s="14">
        <v>23213.466666666667</v>
      </c>
      <c r="G266" s="28">
        <v>11338.869999999399</v>
      </c>
      <c r="H266" s="15">
        <v>368</v>
      </c>
      <c r="I266" s="13">
        <v>56</v>
      </c>
      <c r="J266" s="16">
        <v>3771</v>
      </c>
      <c r="K266" s="30">
        <v>7310</v>
      </c>
      <c r="L266" s="29">
        <v>5432</v>
      </c>
      <c r="M266" s="28">
        <v>3116</v>
      </c>
    </row>
    <row r="267" spans="1:13" outlineLevel="1" x14ac:dyDescent="0.2">
      <c r="A267" s="27">
        <f t="shared" si="94"/>
        <v>113594</v>
      </c>
      <c r="B267" s="19" t="str">
        <f t="shared" si="94"/>
        <v>UNTD</v>
      </c>
      <c r="C267" s="18"/>
      <c r="D267" s="15">
        <v>419</v>
      </c>
      <c r="E267" s="21">
        <f>E266</f>
        <v>0.56799999999999995</v>
      </c>
      <c r="F267" s="14">
        <v>983.4666666666667</v>
      </c>
      <c r="G267" s="28">
        <v>742.11999999999398</v>
      </c>
      <c r="H267" s="15">
        <v>14</v>
      </c>
      <c r="I267" s="13">
        <v>0</v>
      </c>
      <c r="J267" s="16">
        <v>313</v>
      </c>
      <c r="K267" s="30">
        <v>469</v>
      </c>
      <c r="L267" s="29">
        <v>80</v>
      </c>
      <c r="M267" s="28">
        <v>4</v>
      </c>
    </row>
    <row r="268" spans="1:13" outlineLevel="1" x14ac:dyDescent="0.2">
      <c r="A268" s="20">
        <f t="shared" si="94"/>
        <v>3624</v>
      </c>
      <c r="B268" s="19" t="str">
        <f t="shared" si="94"/>
        <v>SFA</v>
      </c>
      <c r="C268" s="18"/>
      <c r="D268" s="15">
        <v>2011</v>
      </c>
      <c r="E268" s="21">
        <v>0.55299999999999994</v>
      </c>
      <c r="F268" s="14">
        <v>9507.3333333333339</v>
      </c>
      <c r="G268" s="28">
        <v>3932.9399999999569</v>
      </c>
      <c r="H268" s="15">
        <v>273</v>
      </c>
      <c r="I268" s="13">
        <v>42</v>
      </c>
      <c r="J268" s="16">
        <v>1513</v>
      </c>
      <c r="K268" s="30">
        <v>2605</v>
      </c>
      <c r="L268" s="29">
        <v>2125</v>
      </c>
      <c r="M268" s="28">
        <v>1473</v>
      </c>
    </row>
    <row r="269" spans="1:13" outlineLevel="1" x14ac:dyDescent="0.2">
      <c r="A269" s="20">
        <f t="shared" si="94"/>
        <v>3642</v>
      </c>
      <c r="B269" s="19" t="str">
        <f t="shared" si="94"/>
        <v>TSU</v>
      </c>
      <c r="C269" s="18"/>
      <c r="D269" s="15">
        <v>737</v>
      </c>
      <c r="E269" s="21">
        <v>0.14099999999999999</v>
      </c>
      <c r="F269" s="14">
        <v>5767.1333333333332</v>
      </c>
      <c r="G269" s="28">
        <v>1478.8299999999929</v>
      </c>
      <c r="H269" s="15">
        <v>154</v>
      </c>
      <c r="I269" s="13">
        <v>5</v>
      </c>
      <c r="J269" s="16">
        <v>641</v>
      </c>
      <c r="K269" s="30">
        <v>1349</v>
      </c>
      <c r="L269" s="29">
        <v>988</v>
      </c>
      <c r="M269" s="28">
        <v>760</v>
      </c>
    </row>
    <row r="270" spans="1:13" outlineLevel="1" x14ac:dyDescent="0.2">
      <c r="A270" s="20">
        <f t="shared" si="94"/>
        <v>3644</v>
      </c>
      <c r="B270" s="19" t="str">
        <f t="shared" si="94"/>
        <v>TTU</v>
      </c>
      <c r="C270" s="18"/>
      <c r="D270" s="15">
        <v>4941</v>
      </c>
      <c r="E270" s="21">
        <v>0.73599999999999999</v>
      </c>
      <c r="F270" s="14">
        <v>22627.599999999999</v>
      </c>
      <c r="G270" s="28">
        <v>10741.019999999262</v>
      </c>
      <c r="H270" s="15">
        <v>839</v>
      </c>
      <c r="I270" s="13">
        <v>67</v>
      </c>
      <c r="J270" s="16">
        <v>3071</v>
      </c>
      <c r="K270" s="30">
        <v>6449</v>
      </c>
      <c r="L270" s="29">
        <v>5332</v>
      </c>
      <c r="M270" s="28">
        <v>4048</v>
      </c>
    </row>
    <row r="271" spans="1:13" outlineLevel="1" x14ac:dyDescent="0.2">
      <c r="A271" s="20">
        <f t="shared" si="94"/>
        <v>3541</v>
      </c>
      <c r="B271" s="19" t="str">
        <f t="shared" si="94"/>
        <v>Angelo</v>
      </c>
      <c r="C271" s="18"/>
      <c r="D271" s="15">
        <v>1073</v>
      </c>
      <c r="E271" s="21">
        <v>0.40799999999999997</v>
      </c>
      <c r="F271" s="14">
        <v>4921.333333333333</v>
      </c>
      <c r="G271" s="28">
        <v>2141.5100000000025</v>
      </c>
      <c r="H271" s="15">
        <v>304</v>
      </c>
      <c r="I271" s="13">
        <v>19</v>
      </c>
      <c r="J271" s="16">
        <v>773</v>
      </c>
      <c r="K271" s="30">
        <v>1398</v>
      </c>
      <c r="L271" s="29">
        <v>1022</v>
      </c>
      <c r="M271" s="28">
        <v>707</v>
      </c>
    </row>
    <row r="272" spans="1:13" outlineLevel="1" x14ac:dyDescent="0.2">
      <c r="A272" s="20">
        <f t="shared" ref="A272:B277" si="95">A230</f>
        <v>3646</v>
      </c>
      <c r="B272" s="19" t="str">
        <f t="shared" si="95"/>
        <v>TWU</v>
      </c>
      <c r="C272" s="18"/>
      <c r="D272" s="15">
        <v>1919</v>
      </c>
      <c r="E272" s="21">
        <v>0.54200000000000004</v>
      </c>
      <c r="F272" s="14">
        <v>6999.5333333333338</v>
      </c>
      <c r="G272" s="28">
        <v>3704.3199999999606</v>
      </c>
      <c r="H272" s="15">
        <v>571</v>
      </c>
      <c r="I272" s="13">
        <v>30</v>
      </c>
      <c r="J272" s="16">
        <v>1326</v>
      </c>
      <c r="K272" s="30">
        <v>2425</v>
      </c>
      <c r="L272" s="29">
        <v>1247</v>
      </c>
      <c r="M272" s="28">
        <v>703</v>
      </c>
    </row>
    <row r="273" spans="1:14" outlineLevel="1" x14ac:dyDescent="0.2">
      <c r="A273" s="20">
        <f t="shared" si="95"/>
        <v>3581</v>
      </c>
      <c r="B273" s="19" t="str">
        <f t="shared" si="95"/>
        <v>Lamar</v>
      </c>
      <c r="C273" s="18"/>
      <c r="D273" s="15">
        <v>1380</v>
      </c>
      <c r="E273" s="21">
        <v>0.35899999999999999</v>
      </c>
      <c r="F273" s="14">
        <v>7404.4666666666662</v>
      </c>
      <c r="G273" s="28">
        <v>2721.5300000000057</v>
      </c>
      <c r="H273" s="15">
        <v>318</v>
      </c>
      <c r="I273" s="13">
        <v>18</v>
      </c>
      <c r="J273" s="16">
        <v>995</v>
      </c>
      <c r="K273" s="30">
        <v>2074</v>
      </c>
      <c r="L273" s="29">
        <v>1486</v>
      </c>
      <c r="M273" s="28">
        <v>1002</v>
      </c>
    </row>
    <row r="274" spans="1:14" outlineLevel="1" x14ac:dyDescent="0.2">
      <c r="A274" s="20">
        <f t="shared" si="95"/>
        <v>3606</v>
      </c>
      <c r="B274" s="19" t="str">
        <f t="shared" si="95"/>
        <v>SHSU</v>
      </c>
      <c r="C274" s="18"/>
      <c r="D274" s="15">
        <v>2978</v>
      </c>
      <c r="E274" s="21">
        <v>0.57799999999999996</v>
      </c>
      <c r="F274" s="14">
        <v>12574.466666666667</v>
      </c>
      <c r="G274" s="28">
        <v>5694.020000000286</v>
      </c>
      <c r="H274" s="15">
        <v>172</v>
      </c>
      <c r="I274" s="13">
        <v>51</v>
      </c>
      <c r="J274" s="16">
        <v>2163</v>
      </c>
      <c r="K274" s="30">
        <v>3894</v>
      </c>
      <c r="L274" s="29">
        <v>2915</v>
      </c>
      <c r="M274" s="28">
        <v>1704</v>
      </c>
    </row>
    <row r="275" spans="1:14" outlineLevel="1" x14ac:dyDescent="0.2">
      <c r="A275" s="20">
        <f t="shared" si="95"/>
        <v>3615</v>
      </c>
      <c r="B275" s="19" t="str">
        <f t="shared" si="95"/>
        <v>TXST</v>
      </c>
      <c r="C275" s="18"/>
      <c r="D275" s="15">
        <v>5435</v>
      </c>
      <c r="E275" s="21">
        <v>0.61399999999999999</v>
      </c>
      <c r="F275" s="14">
        <v>24028</v>
      </c>
      <c r="G275" s="28">
        <v>10677.06999999951</v>
      </c>
      <c r="H275" s="15">
        <v>582</v>
      </c>
      <c r="I275" s="13">
        <v>67</v>
      </c>
      <c r="J275" s="16">
        <v>3816</v>
      </c>
      <c r="K275" s="30">
        <v>7425</v>
      </c>
      <c r="L275" s="29">
        <v>5561</v>
      </c>
      <c r="M275" s="28">
        <v>3333</v>
      </c>
    </row>
    <row r="276" spans="1:14" outlineLevel="1" x14ac:dyDescent="0.2">
      <c r="A276" s="20">
        <f t="shared" si="95"/>
        <v>3625</v>
      </c>
      <c r="B276" s="19" t="str">
        <f t="shared" si="95"/>
        <v>SRSU</v>
      </c>
      <c r="C276" s="18"/>
      <c r="D276" s="15">
        <v>191</v>
      </c>
      <c r="E276" s="21">
        <v>0.32600000000000001</v>
      </c>
      <c r="F276" s="14">
        <v>1229</v>
      </c>
      <c r="G276" s="28">
        <v>409.0499999999999</v>
      </c>
      <c r="H276" s="15">
        <v>10</v>
      </c>
      <c r="I276" s="13">
        <v>5</v>
      </c>
      <c r="J276" s="16">
        <v>167</v>
      </c>
      <c r="K276" s="30">
        <v>284</v>
      </c>
      <c r="L276" s="29">
        <v>188</v>
      </c>
      <c r="M276" s="28">
        <v>144</v>
      </c>
      <c r="N276" s="41"/>
    </row>
    <row r="277" spans="1:14" outlineLevel="1" x14ac:dyDescent="0.2">
      <c r="A277" s="20">
        <f t="shared" si="95"/>
        <v>20</v>
      </c>
      <c r="B277" s="19" t="str">
        <f t="shared" si="95"/>
        <v>SRRG</v>
      </c>
      <c r="C277" s="18"/>
      <c r="D277" s="15">
        <v>154</v>
      </c>
      <c r="E277" s="17">
        <v>0.25423728813559321</v>
      </c>
      <c r="F277" s="14">
        <v>436.8</v>
      </c>
      <c r="G277" s="28">
        <v>268.06000000000023</v>
      </c>
      <c r="H277" s="15">
        <v>6</v>
      </c>
      <c r="I277" s="13">
        <v>1</v>
      </c>
      <c r="J277" s="16">
        <v>138</v>
      </c>
      <c r="K277" s="30">
        <v>215</v>
      </c>
      <c r="L277" s="29">
        <v>91</v>
      </c>
      <c r="M277" s="28">
        <v>6</v>
      </c>
    </row>
    <row r="278" spans="1:14" ht="13.5" outlineLevel="1" thickBot="1" x14ac:dyDescent="0.25">
      <c r="A278" s="12"/>
      <c r="B278" s="11" t="s">
        <v>11</v>
      </c>
      <c r="C278" s="10"/>
      <c r="D278" s="9">
        <f>SUM(D240:D277)</f>
        <v>87062</v>
      </c>
      <c r="E278" s="8">
        <v>0.58700000000000008</v>
      </c>
      <c r="F278" s="7">
        <f t="shared" ref="F278:M278" si="96">SUM(F240:F277)</f>
        <v>359610.06666666665</v>
      </c>
      <c r="G278" s="3">
        <f t="shared" si="96"/>
        <v>180161.28999999876</v>
      </c>
      <c r="H278" s="5">
        <f t="shared" si="96"/>
        <v>15629</v>
      </c>
      <c r="I278" s="3">
        <f t="shared" si="96"/>
        <v>1267</v>
      </c>
      <c r="J278" s="6">
        <f t="shared" si="96"/>
        <v>56968</v>
      </c>
      <c r="K278" s="5">
        <f t="shared" si="96"/>
        <v>113504</v>
      </c>
      <c r="L278" s="4">
        <f t="shared" si="96"/>
        <v>81268</v>
      </c>
      <c r="M278" s="3">
        <f t="shared" si="96"/>
        <v>50077</v>
      </c>
    </row>
    <row r="279" spans="1:14" ht="13.5" thickBot="1" x14ac:dyDescent="0.25">
      <c r="A279" s="42" t="s">
        <v>26</v>
      </c>
      <c r="B279" s="42"/>
      <c r="C279" s="42"/>
      <c r="D279" s="42"/>
      <c r="F279" s="42"/>
      <c r="J279" s="42"/>
    </row>
    <row r="280" spans="1:14" ht="12.75" customHeight="1" outlineLevel="1" x14ac:dyDescent="0.2">
      <c r="A280" s="234" t="s">
        <v>24</v>
      </c>
      <c r="B280" s="236" t="s">
        <v>23</v>
      </c>
      <c r="C280" s="238"/>
      <c r="D280" s="240" t="s">
        <v>28</v>
      </c>
      <c r="E280" s="242" t="s">
        <v>21</v>
      </c>
      <c r="F280" s="236" t="s">
        <v>20</v>
      </c>
      <c r="G280" s="221" t="s">
        <v>19</v>
      </c>
      <c r="H280" s="223" t="s">
        <v>18</v>
      </c>
      <c r="I280" s="225" t="s">
        <v>17</v>
      </c>
      <c r="J280" s="227" t="s">
        <v>16</v>
      </c>
      <c r="K280" s="229" t="s">
        <v>15</v>
      </c>
      <c r="L280" s="230"/>
      <c r="M280" s="231"/>
    </row>
    <row r="281" spans="1:14" s="41" customFormat="1" ht="40.5" customHeight="1" outlineLevel="1" thickBot="1" x14ac:dyDescent="0.25">
      <c r="A281" s="235"/>
      <c r="B281" s="237"/>
      <c r="C281" s="239"/>
      <c r="D281" s="241"/>
      <c r="E281" s="243"/>
      <c r="F281" s="237"/>
      <c r="G281" s="222"/>
      <c r="H281" s="224"/>
      <c r="I281" s="226"/>
      <c r="J281" s="228"/>
      <c r="K281" s="188" t="s">
        <v>14</v>
      </c>
      <c r="L281" s="189" t="s">
        <v>13</v>
      </c>
      <c r="M281" s="190" t="s">
        <v>12</v>
      </c>
      <c r="N281" s="1"/>
    </row>
    <row r="282" spans="1:14" outlineLevel="1" x14ac:dyDescent="0.2">
      <c r="A282" s="40">
        <f t="shared" ref="A282:B297" si="97">A240</f>
        <v>3656</v>
      </c>
      <c r="B282" s="39" t="str">
        <f t="shared" si="97"/>
        <v>UTA</v>
      </c>
      <c r="C282" s="38"/>
      <c r="D282" s="33">
        <v>5103</v>
      </c>
      <c r="E282" s="37">
        <v>0.49299999999999999</v>
      </c>
      <c r="F282" s="32">
        <v>17372</v>
      </c>
      <c r="G282" s="31">
        <v>10527.860000000002</v>
      </c>
      <c r="H282" s="36">
        <v>1620</v>
      </c>
      <c r="I282" s="35">
        <v>26</v>
      </c>
      <c r="J282" s="34">
        <v>3158</v>
      </c>
      <c r="K282" s="33">
        <v>6986</v>
      </c>
      <c r="L282" s="32">
        <v>3903</v>
      </c>
      <c r="M282" s="31">
        <v>1733</v>
      </c>
    </row>
    <row r="283" spans="1:14" outlineLevel="1" x14ac:dyDescent="0.2">
      <c r="A283" s="20">
        <f t="shared" si="97"/>
        <v>3658</v>
      </c>
      <c r="B283" s="19" t="str">
        <f t="shared" si="97"/>
        <v>UT</v>
      </c>
      <c r="C283" s="18"/>
      <c r="D283" s="15">
        <v>9027</v>
      </c>
      <c r="E283" s="21">
        <v>0.83299999999999996</v>
      </c>
      <c r="F283" s="14">
        <v>33709.866666666669</v>
      </c>
      <c r="G283" s="13">
        <v>19422.050000001858</v>
      </c>
      <c r="H283" s="15">
        <v>1894</v>
      </c>
      <c r="I283" s="13">
        <v>60</v>
      </c>
      <c r="J283" s="16">
        <v>3475</v>
      </c>
      <c r="K283" s="15">
        <v>9939</v>
      </c>
      <c r="L283" s="14">
        <v>8895</v>
      </c>
      <c r="M283" s="13">
        <v>7485</v>
      </c>
    </row>
    <row r="284" spans="1:14" outlineLevel="1" x14ac:dyDescent="0.2">
      <c r="A284" s="20">
        <f t="shared" si="97"/>
        <v>9741</v>
      </c>
      <c r="B284" s="19" t="str">
        <f t="shared" si="97"/>
        <v>UTD</v>
      </c>
      <c r="C284" s="18"/>
      <c r="D284" s="15">
        <v>2314</v>
      </c>
      <c r="E284" s="21">
        <v>0.68299999999999994</v>
      </c>
      <c r="F284" s="14">
        <v>8822.2000000000007</v>
      </c>
      <c r="G284" s="13">
        <v>4904.1700000000228</v>
      </c>
      <c r="H284" s="15">
        <v>424</v>
      </c>
      <c r="I284" s="13">
        <v>27</v>
      </c>
      <c r="J284" s="16">
        <v>1294</v>
      </c>
      <c r="K284" s="15">
        <v>3345</v>
      </c>
      <c r="L284" s="14">
        <v>2105</v>
      </c>
      <c r="M284" s="13">
        <v>1076</v>
      </c>
    </row>
    <row r="285" spans="1:14" outlineLevel="1" x14ac:dyDescent="0.2">
      <c r="A285" s="20">
        <f t="shared" si="97"/>
        <v>3661</v>
      </c>
      <c r="B285" s="19" t="str">
        <f t="shared" si="97"/>
        <v>UTEP</v>
      </c>
      <c r="C285" s="18"/>
      <c r="D285" s="15">
        <v>3008</v>
      </c>
      <c r="E285" s="21">
        <v>0.38400000000000001</v>
      </c>
      <c r="F285" s="14">
        <v>13376</v>
      </c>
      <c r="G285" s="13">
        <v>6142.7200000000885</v>
      </c>
      <c r="H285" s="15">
        <v>613</v>
      </c>
      <c r="I285" s="13">
        <v>91</v>
      </c>
      <c r="J285" s="16">
        <v>2409</v>
      </c>
      <c r="K285" s="15">
        <v>4488</v>
      </c>
      <c r="L285" s="14">
        <v>3404</v>
      </c>
      <c r="M285" s="13">
        <v>1910</v>
      </c>
    </row>
    <row r="286" spans="1:14" outlineLevel="1" x14ac:dyDescent="0.2">
      <c r="A286" s="20">
        <f t="shared" si="97"/>
        <v>3599</v>
      </c>
      <c r="B286" s="19" t="str">
        <f t="shared" si="97"/>
        <v>UTPA</v>
      </c>
      <c r="C286" s="18"/>
      <c r="D286" s="15">
        <v>2658</v>
      </c>
      <c r="E286" s="21">
        <v>0.46399999999999997</v>
      </c>
      <c r="F286" s="14">
        <v>12499.266666666666</v>
      </c>
      <c r="G286" s="13">
        <v>5231.3300000001427</v>
      </c>
      <c r="H286" s="15">
        <v>534</v>
      </c>
      <c r="I286" s="13">
        <v>34</v>
      </c>
      <c r="J286" s="16">
        <v>2427</v>
      </c>
      <c r="K286" s="15">
        <v>4142</v>
      </c>
      <c r="L286" s="14">
        <v>3290</v>
      </c>
      <c r="M286" s="13">
        <v>1998</v>
      </c>
    </row>
    <row r="287" spans="1:14" outlineLevel="1" x14ac:dyDescent="0.2">
      <c r="A287" s="20">
        <f t="shared" si="97"/>
        <v>30646</v>
      </c>
      <c r="B287" s="19" t="str">
        <f t="shared" si="97"/>
        <v>UTB</v>
      </c>
      <c r="C287" s="18"/>
      <c r="D287" s="15">
        <v>1075</v>
      </c>
      <c r="E287" s="17">
        <v>0.55124653739612184</v>
      </c>
      <c r="F287" s="14">
        <v>3116.2</v>
      </c>
      <c r="G287" s="13">
        <v>2052.0600000000218</v>
      </c>
      <c r="H287" s="15">
        <v>132</v>
      </c>
      <c r="I287" s="13">
        <v>15</v>
      </c>
      <c r="J287" s="16">
        <v>916</v>
      </c>
      <c r="K287" s="15">
        <v>1359</v>
      </c>
      <c r="L287" s="14">
        <v>600</v>
      </c>
      <c r="M287" s="13">
        <v>131</v>
      </c>
    </row>
    <row r="288" spans="1:14" outlineLevel="1" x14ac:dyDescent="0.2">
      <c r="A288" s="20">
        <f t="shared" si="97"/>
        <v>9930</v>
      </c>
      <c r="B288" s="19" t="str">
        <f t="shared" si="97"/>
        <v>UTPB</v>
      </c>
      <c r="C288" s="18"/>
      <c r="D288" s="15">
        <v>541</v>
      </c>
      <c r="E288" s="21">
        <v>0.40700000000000003</v>
      </c>
      <c r="F288" s="14">
        <v>2416</v>
      </c>
      <c r="G288" s="13">
        <v>1005.1500000000051</v>
      </c>
      <c r="H288" s="15">
        <v>40</v>
      </c>
      <c r="I288" s="13">
        <v>10</v>
      </c>
      <c r="J288" s="16">
        <v>407</v>
      </c>
      <c r="K288" s="15">
        <v>908</v>
      </c>
      <c r="L288" s="14">
        <v>490</v>
      </c>
      <c r="M288" s="13">
        <v>191</v>
      </c>
    </row>
    <row r="289" spans="1:13" outlineLevel="1" x14ac:dyDescent="0.2">
      <c r="A289" s="20">
        <f t="shared" si="97"/>
        <v>10115</v>
      </c>
      <c r="B289" s="19" t="str">
        <f t="shared" si="97"/>
        <v>UTSA</v>
      </c>
      <c r="C289" s="18"/>
      <c r="D289" s="15">
        <v>4148</v>
      </c>
      <c r="E289" s="21">
        <v>0.39400000000000002</v>
      </c>
      <c r="F289" s="14">
        <v>20284.733333333334</v>
      </c>
      <c r="G289" s="13">
        <v>8398.8499999997166</v>
      </c>
      <c r="H289" s="15">
        <v>394</v>
      </c>
      <c r="I289" s="13">
        <v>47</v>
      </c>
      <c r="J289" s="16">
        <v>3211</v>
      </c>
      <c r="K289" s="15">
        <v>6802</v>
      </c>
      <c r="L289" s="14">
        <v>4390</v>
      </c>
      <c r="M289" s="13">
        <v>2699</v>
      </c>
    </row>
    <row r="290" spans="1:13" outlineLevel="1" x14ac:dyDescent="0.2">
      <c r="A290" s="20">
        <f t="shared" si="97"/>
        <v>11163</v>
      </c>
      <c r="B290" s="19" t="str">
        <f t="shared" si="97"/>
        <v>UTT</v>
      </c>
      <c r="C290" s="18"/>
      <c r="D290" s="15">
        <v>1188</v>
      </c>
      <c r="E290" s="21">
        <v>0.53300000000000003</v>
      </c>
      <c r="F290" s="14">
        <v>4030.7333333333331</v>
      </c>
      <c r="G290" s="13">
        <v>2364.9800000000037</v>
      </c>
      <c r="H290" s="15">
        <v>366</v>
      </c>
      <c r="I290" s="13">
        <v>9</v>
      </c>
      <c r="J290" s="16">
        <v>939</v>
      </c>
      <c r="K290" s="15">
        <v>1496</v>
      </c>
      <c r="L290" s="14">
        <v>905</v>
      </c>
      <c r="M290" s="13">
        <v>401</v>
      </c>
    </row>
    <row r="291" spans="1:13" outlineLevel="1" x14ac:dyDescent="0.2">
      <c r="A291" s="20">
        <f t="shared" si="97"/>
        <v>3632</v>
      </c>
      <c r="B291" s="19" t="str">
        <f t="shared" si="97"/>
        <v>TAMU</v>
      </c>
      <c r="C291" s="18"/>
      <c r="D291" s="15">
        <v>8748</v>
      </c>
      <c r="E291" s="21">
        <v>0.84399999999999997</v>
      </c>
      <c r="F291" s="14">
        <v>34425.133333333331</v>
      </c>
      <c r="G291" s="13">
        <v>20060.050000001262</v>
      </c>
      <c r="H291" s="15">
        <v>1775</v>
      </c>
      <c r="I291" s="13">
        <v>133</v>
      </c>
      <c r="J291" s="16">
        <v>3727</v>
      </c>
      <c r="K291" s="15">
        <v>9623</v>
      </c>
      <c r="L291" s="14">
        <v>8962</v>
      </c>
      <c r="M291" s="13">
        <v>6823</v>
      </c>
    </row>
    <row r="292" spans="1:13" outlineLevel="1" x14ac:dyDescent="0.2">
      <c r="A292" s="20">
        <f t="shared" si="97"/>
        <v>10298</v>
      </c>
      <c r="B292" s="19" t="str">
        <f t="shared" si="97"/>
        <v>TAMUG</v>
      </c>
      <c r="C292" s="18"/>
      <c r="D292" s="15">
        <v>250</v>
      </c>
      <c r="E292" s="21">
        <v>0.66400000000000003</v>
      </c>
      <c r="F292" s="14">
        <v>1668.1333333333334</v>
      </c>
      <c r="G292" s="13">
        <v>648.89999999999895</v>
      </c>
      <c r="H292" s="15">
        <v>35</v>
      </c>
      <c r="I292" s="13">
        <v>0</v>
      </c>
      <c r="J292" s="16">
        <v>151</v>
      </c>
      <c r="K292" s="15">
        <v>600</v>
      </c>
      <c r="L292" s="14">
        <v>336</v>
      </c>
      <c r="M292" s="13">
        <v>234</v>
      </c>
    </row>
    <row r="293" spans="1:13" outlineLevel="1" x14ac:dyDescent="0.2">
      <c r="A293" s="20">
        <f t="shared" si="97"/>
        <v>3630</v>
      </c>
      <c r="B293" s="19" t="str">
        <f t="shared" si="97"/>
        <v>Prairie View</v>
      </c>
      <c r="C293" s="18"/>
      <c r="D293" s="15">
        <v>904</v>
      </c>
      <c r="E293" s="21">
        <v>0.37</v>
      </c>
      <c r="F293" s="46">
        <v>6088.2666666666664</v>
      </c>
      <c r="G293" s="13">
        <v>1934.240000000003</v>
      </c>
      <c r="H293" s="15">
        <v>279</v>
      </c>
      <c r="I293" s="13">
        <v>10</v>
      </c>
      <c r="J293" s="16">
        <v>775</v>
      </c>
      <c r="K293" s="15">
        <v>1660</v>
      </c>
      <c r="L293" s="14">
        <v>1237</v>
      </c>
      <c r="M293" s="13">
        <v>905</v>
      </c>
    </row>
    <row r="294" spans="1:13" outlineLevel="1" x14ac:dyDescent="0.2">
      <c r="A294" s="20">
        <f t="shared" si="97"/>
        <v>3631</v>
      </c>
      <c r="B294" s="19" t="str">
        <f t="shared" si="97"/>
        <v>Tarleton</v>
      </c>
      <c r="C294" s="18"/>
      <c r="D294" s="15">
        <v>1552</v>
      </c>
      <c r="E294" s="21">
        <v>0.48299999999999998</v>
      </c>
      <c r="F294" s="46">
        <v>6264.4666666666662</v>
      </c>
      <c r="G294" s="13">
        <v>3063.9600000000341</v>
      </c>
      <c r="H294" s="15">
        <v>197</v>
      </c>
      <c r="I294" s="45">
        <v>56</v>
      </c>
      <c r="J294" s="16">
        <v>1196</v>
      </c>
      <c r="K294" s="47">
        <v>2096</v>
      </c>
      <c r="L294" s="46">
        <v>1464</v>
      </c>
      <c r="M294" s="45">
        <v>840</v>
      </c>
    </row>
    <row r="295" spans="1:13" outlineLevel="1" x14ac:dyDescent="0.2">
      <c r="A295" s="27">
        <f t="shared" si="97"/>
        <v>103631</v>
      </c>
      <c r="B295" s="19" t="str">
        <f t="shared" si="97"/>
        <v>TAMUCT</v>
      </c>
      <c r="C295" s="18"/>
      <c r="D295" s="15">
        <v>462</v>
      </c>
      <c r="E295" s="21">
        <v>0.48299999999999998</v>
      </c>
      <c r="F295" s="46">
        <v>700.66666666666663</v>
      </c>
      <c r="G295" s="13">
        <v>846.68000000000006</v>
      </c>
      <c r="H295" s="15">
        <v>36</v>
      </c>
      <c r="I295" s="45">
        <v>0</v>
      </c>
      <c r="J295" s="16">
        <v>330</v>
      </c>
      <c r="K295" s="47">
        <v>555</v>
      </c>
      <c r="L295" s="46">
        <v>143</v>
      </c>
      <c r="M295" s="45">
        <v>66</v>
      </c>
    </row>
    <row r="296" spans="1:13" outlineLevel="1" x14ac:dyDescent="0.2">
      <c r="A296" s="20">
        <f t="shared" si="97"/>
        <v>11161</v>
      </c>
      <c r="B296" s="19" t="str">
        <f t="shared" si="97"/>
        <v>TAMUCC</v>
      </c>
      <c r="C296" s="18"/>
      <c r="D296" s="15">
        <v>1315</v>
      </c>
      <c r="E296" s="21">
        <v>0.51100000000000001</v>
      </c>
      <c r="F296" s="46">
        <v>6609.8666666666668</v>
      </c>
      <c r="G296" s="13">
        <v>2639.1300000000101</v>
      </c>
      <c r="H296" s="15">
        <v>252</v>
      </c>
      <c r="I296" s="45">
        <v>25</v>
      </c>
      <c r="J296" s="16">
        <v>1034</v>
      </c>
      <c r="K296" s="15">
        <v>2126</v>
      </c>
      <c r="L296" s="14">
        <v>1577</v>
      </c>
      <c r="M296" s="13">
        <v>864</v>
      </c>
    </row>
    <row r="297" spans="1:13" outlineLevel="1" x14ac:dyDescent="0.2">
      <c r="A297" s="20">
        <f t="shared" si="97"/>
        <v>3639</v>
      </c>
      <c r="B297" s="19" t="str">
        <f t="shared" si="97"/>
        <v>TAMUK</v>
      </c>
      <c r="C297" s="18"/>
      <c r="D297" s="15">
        <v>738</v>
      </c>
      <c r="E297" s="21">
        <v>0.39799999999999996</v>
      </c>
      <c r="F297" s="46">
        <v>4394.2</v>
      </c>
      <c r="G297" s="13">
        <v>1735.8600000000065</v>
      </c>
      <c r="H297" s="15">
        <v>246</v>
      </c>
      <c r="I297" s="45">
        <v>16</v>
      </c>
      <c r="J297" s="16">
        <v>613</v>
      </c>
      <c r="K297" s="47">
        <v>1180</v>
      </c>
      <c r="L297" s="46">
        <v>879</v>
      </c>
      <c r="M297" s="45">
        <v>555</v>
      </c>
    </row>
    <row r="298" spans="1:13" outlineLevel="1" x14ac:dyDescent="0.2">
      <c r="A298" s="27">
        <f t="shared" ref="A298:B313" si="98">A256</f>
        <v>103639</v>
      </c>
      <c r="B298" s="19" t="str">
        <f t="shared" si="98"/>
        <v>TAMUSA</v>
      </c>
      <c r="C298" s="18"/>
      <c r="D298" s="15">
        <v>620</v>
      </c>
      <c r="E298" s="21">
        <v>0.39799999999999996</v>
      </c>
      <c r="F298" s="46">
        <v>1492.4</v>
      </c>
      <c r="G298" s="13">
        <v>1078.0000000000073</v>
      </c>
      <c r="H298" s="15">
        <v>1</v>
      </c>
      <c r="I298" s="45">
        <v>0</v>
      </c>
      <c r="J298" s="16">
        <v>520</v>
      </c>
      <c r="K298" s="47">
        <v>995</v>
      </c>
      <c r="L298" s="46">
        <v>37</v>
      </c>
      <c r="M298" s="45">
        <v>2</v>
      </c>
    </row>
    <row r="299" spans="1:13" outlineLevel="1" x14ac:dyDescent="0.2">
      <c r="A299" s="20">
        <f t="shared" si="98"/>
        <v>9651</v>
      </c>
      <c r="B299" s="19" t="str">
        <f t="shared" si="98"/>
        <v>TAMI</v>
      </c>
      <c r="C299" s="18"/>
      <c r="D299" s="15">
        <v>766</v>
      </c>
      <c r="E299" s="21">
        <v>0.503</v>
      </c>
      <c r="F299" s="14">
        <v>4126.8</v>
      </c>
      <c r="G299" s="13">
        <v>1400.4200000000046</v>
      </c>
      <c r="H299" s="15">
        <v>120</v>
      </c>
      <c r="I299" s="13">
        <v>18</v>
      </c>
      <c r="J299" s="16">
        <v>688</v>
      </c>
      <c r="K299" s="15">
        <v>1515</v>
      </c>
      <c r="L299" s="14">
        <v>1027</v>
      </c>
      <c r="M299" s="13">
        <v>486</v>
      </c>
    </row>
    <row r="300" spans="1:13" outlineLevel="1" x14ac:dyDescent="0.2">
      <c r="A300" s="20">
        <f t="shared" si="98"/>
        <v>3665</v>
      </c>
      <c r="B300" s="19" t="str">
        <f t="shared" si="98"/>
        <v>WTAMU</v>
      </c>
      <c r="C300" s="18"/>
      <c r="D300" s="15">
        <v>1294</v>
      </c>
      <c r="E300" s="21">
        <v>0.47399999999999998</v>
      </c>
      <c r="F300" s="14">
        <v>5457.666666666667</v>
      </c>
      <c r="G300" s="13">
        <v>2570.7800000000157</v>
      </c>
      <c r="H300" s="15">
        <v>184</v>
      </c>
      <c r="I300" s="13">
        <v>58</v>
      </c>
      <c r="J300" s="16">
        <v>913</v>
      </c>
      <c r="K300" s="15">
        <v>1871</v>
      </c>
      <c r="L300" s="14">
        <v>1264</v>
      </c>
      <c r="M300" s="13">
        <v>664</v>
      </c>
    </row>
    <row r="301" spans="1:13" outlineLevel="1" x14ac:dyDescent="0.2">
      <c r="A301" s="20">
        <f t="shared" si="98"/>
        <v>3565</v>
      </c>
      <c r="B301" s="19" t="str">
        <f t="shared" si="98"/>
        <v>TAMUC</v>
      </c>
      <c r="C301" s="18"/>
      <c r="D301" s="15">
        <v>1313</v>
      </c>
      <c r="E301" s="21">
        <v>0.42600000000000005</v>
      </c>
      <c r="F301" s="14">
        <v>4783.5333333333338</v>
      </c>
      <c r="G301" s="13">
        <v>2463.6900000000296</v>
      </c>
      <c r="H301" s="15">
        <v>71</v>
      </c>
      <c r="I301" s="13">
        <v>77</v>
      </c>
      <c r="J301" s="16">
        <v>1002</v>
      </c>
      <c r="K301" s="15">
        <v>1911</v>
      </c>
      <c r="L301" s="14">
        <v>1200</v>
      </c>
      <c r="M301" s="13">
        <v>477</v>
      </c>
    </row>
    <row r="302" spans="1:13" outlineLevel="1" x14ac:dyDescent="0.2">
      <c r="A302" s="20">
        <f t="shared" si="98"/>
        <v>29269</v>
      </c>
      <c r="B302" s="19" t="str">
        <f t="shared" si="98"/>
        <v>TAMUT</v>
      </c>
      <c r="C302" s="18"/>
      <c r="D302" s="15">
        <v>335</v>
      </c>
      <c r="E302" s="17">
        <v>0.56028368794326244</v>
      </c>
      <c r="F302" s="14">
        <v>879.13333333333333</v>
      </c>
      <c r="G302" s="13">
        <v>609.83000000000015</v>
      </c>
      <c r="H302" s="15">
        <v>48</v>
      </c>
      <c r="I302" s="13">
        <v>18</v>
      </c>
      <c r="J302" s="16">
        <v>230</v>
      </c>
      <c r="K302" s="15">
        <v>411</v>
      </c>
      <c r="L302" s="14">
        <v>186</v>
      </c>
      <c r="M302" s="13">
        <v>1</v>
      </c>
    </row>
    <row r="303" spans="1:13" outlineLevel="1" x14ac:dyDescent="0.2">
      <c r="A303" s="20">
        <f t="shared" si="98"/>
        <v>3652</v>
      </c>
      <c r="B303" s="19" t="str">
        <f t="shared" si="98"/>
        <v>UH</v>
      </c>
      <c r="C303" s="18"/>
      <c r="D303" s="15">
        <v>5092</v>
      </c>
      <c r="E303" s="21">
        <v>0.54200000000000004</v>
      </c>
      <c r="F303" s="14">
        <v>23853.933333333334</v>
      </c>
      <c r="G303" s="13">
        <v>10569.339999999527</v>
      </c>
      <c r="H303" s="15">
        <v>720</v>
      </c>
      <c r="I303" s="13">
        <v>74</v>
      </c>
      <c r="J303" s="16">
        <v>3340</v>
      </c>
      <c r="K303" s="15">
        <v>7467</v>
      </c>
      <c r="L303" s="14">
        <v>5804</v>
      </c>
      <c r="M303" s="13">
        <v>3314</v>
      </c>
    </row>
    <row r="304" spans="1:13" outlineLevel="1" x14ac:dyDescent="0.2">
      <c r="A304" s="20">
        <f t="shared" si="98"/>
        <v>11711</v>
      </c>
      <c r="B304" s="19" t="str">
        <f t="shared" si="98"/>
        <v>UHCL</v>
      </c>
      <c r="C304" s="18"/>
      <c r="D304" s="15">
        <v>1197</v>
      </c>
      <c r="E304" s="17">
        <v>0.53820033955857383</v>
      </c>
      <c r="F304" s="14">
        <v>3046.8</v>
      </c>
      <c r="G304" s="13">
        <v>2293.9500000000248</v>
      </c>
      <c r="H304" s="15">
        <v>113</v>
      </c>
      <c r="I304" s="13">
        <v>8</v>
      </c>
      <c r="J304" s="16">
        <v>777</v>
      </c>
      <c r="K304" s="15">
        <v>1434</v>
      </c>
      <c r="L304" s="14">
        <v>959</v>
      </c>
      <c r="M304" s="13">
        <v>53</v>
      </c>
    </row>
    <row r="305" spans="1:14" outlineLevel="1" x14ac:dyDescent="0.2">
      <c r="A305" s="20">
        <f t="shared" si="98"/>
        <v>12826</v>
      </c>
      <c r="B305" s="19" t="str">
        <f t="shared" si="98"/>
        <v>UHD</v>
      </c>
      <c r="C305" s="18"/>
      <c r="D305" s="15">
        <v>2437</v>
      </c>
      <c r="E305" s="21">
        <v>0.215</v>
      </c>
      <c r="F305" s="14">
        <v>7949.2666666666664</v>
      </c>
      <c r="G305" s="13">
        <v>4368.2100000000464</v>
      </c>
      <c r="H305" s="15">
        <v>143</v>
      </c>
      <c r="I305" s="13">
        <v>0</v>
      </c>
      <c r="J305" s="16">
        <v>1730</v>
      </c>
      <c r="K305" s="15">
        <v>3223</v>
      </c>
      <c r="L305" s="14">
        <v>1896</v>
      </c>
      <c r="M305" s="13">
        <v>618</v>
      </c>
    </row>
    <row r="306" spans="1:14" outlineLevel="1" x14ac:dyDescent="0.2">
      <c r="A306" s="20">
        <f t="shared" si="98"/>
        <v>13231</v>
      </c>
      <c r="B306" s="19" t="str">
        <f t="shared" si="98"/>
        <v>UHV</v>
      </c>
      <c r="C306" s="18"/>
      <c r="D306" s="15">
        <v>596</v>
      </c>
      <c r="E306" s="17">
        <v>0.5339366515837104</v>
      </c>
      <c r="F306" s="14">
        <v>1494.2</v>
      </c>
      <c r="G306" s="13">
        <v>1103.6999999999998</v>
      </c>
      <c r="H306" s="15">
        <v>118</v>
      </c>
      <c r="I306" s="13">
        <v>11</v>
      </c>
      <c r="J306" s="16">
        <v>397</v>
      </c>
      <c r="K306" s="15">
        <v>718</v>
      </c>
      <c r="L306" s="14">
        <v>286</v>
      </c>
      <c r="M306" s="13">
        <v>6</v>
      </c>
    </row>
    <row r="307" spans="1:14" outlineLevel="1" x14ac:dyDescent="0.2">
      <c r="A307" s="20">
        <f t="shared" si="98"/>
        <v>3592</v>
      </c>
      <c r="B307" s="19" t="str">
        <f t="shared" si="98"/>
        <v>Midwestern</v>
      </c>
      <c r="C307" s="18"/>
      <c r="D307" s="15">
        <v>1027</v>
      </c>
      <c r="E307" s="21">
        <v>0.443</v>
      </c>
      <c r="F307" s="14">
        <v>4387.7333333333336</v>
      </c>
      <c r="G307" s="13">
        <v>1924.84</v>
      </c>
      <c r="H307" s="15">
        <v>340</v>
      </c>
      <c r="I307" s="13">
        <v>11</v>
      </c>
      <c r="J307" s="16">
        <v>675</v>
      </c>
      <c r="K307" s="15">
        <v>1507</v>
      </c>
      <c r="L307" s="14">
        <v>1079</v>
      </c>
      <c r="M307" s="13">
        <v>734</v>
      </c>
    </row>
    <row r="308" spans="1:14" outlineLevel="1" x14ac:dyDescent="0.2">
      <c r="A308" s="20">
        <f t="shared" si="98"/>
        <v>3594</v>
      </c>
      <c r="B308" s="19" t="str">
        <f t="shared" si="98"/>
        <v>UNT</v>
      </c>
      <c r="C308" s="18"/>
      <c r="D308" s="15">
        <v>6183</v>
      </c>
      <c r="E308" s="21">
        <v>0.58700000000000008</v>
      </c>
      <c r="F308" s="14">
        <v>23168.733333333334</v>
      </c>
      <c r="G308" s="13">
        <v>11731.089999999795</v>
      </c>
      <c r="H308" s="15">
        <v>345</v>
      </c>
      <c r="I308" s="13">
        <v>47</v>
      </c>
      <c r="J308" s="16">
        <v>3942</v>
      </c>
      <c r="K308" s="15">
        <v>7957</v>
      </c>
      <c r="L308" s="14">
        <v>5891</v>
      </c>
      <c r="M308" s="13">
        <v>3310</v>
      </c>
    </row>
    <row r="309" spans="1:14" outlineLevel="1" x14ac:dyDescent="0.2">
      <c r="A309" s="27">
        <f t="shared" si="98"/>
        <v>113594</v>
      </c>
      <c r="B309" s="19" t="str">
        <f t="shared" si="98"/>
        <v>UNTD</v>
      </c>
      <c r="C309" s="18"/>
      <c r="D309" s="30">
        <v>388</v>
      </c>
      <c r="E309" s="44">
        <v>0.58700000000000008</v>
      </c>
      <c r="F309" s="29">
        <v>908.8</v>
      </c>
      <c r="G309" s="28">
        <v>669.60000000000036</v>
      </c>
      <c r="H309" s="30">
        <v>10</v>
      </c>
      <c r="I309" s="28"/>
      <c r="J309" s="43">
        <v>304</v>
      </c>
      <c r="K309" s="30">
        <v>487</v>
      </c>
      <c r="L309" s="29">
        <v>63</v>
      </c>
      <c r="M309" s="28">
        <v>18</v>
      </c>
    </row>
    <row r="310" spans="1:14" outlineLevel="1" x14ac:dyDescent="0.2">
      <c r="A310" s="20">
        <f t="shared" si="98"/>
        <v>3624</v>
      </c>
      <c r="B310" s="19" t="str">
        <f t="shared" si="98"/>
        <v>SFA</v>
      </c>
      <c r="C310" s="18"/>
      <c r="D310" s="15">
        <v>1880</v>
      </c>
      <c r="E310" s="21">
        <v>0.53900000000000003</v>
      </c>
      <c r="F310" s="14">
        <v>9440.9333333333325</v>
      </c>
      <c r="G310" s="13">
        <v>3606.8600000000297</v>
      </c>
      <c r="H310" s="15">
        <v>241</v>
      </c>
      <c r="I310" s="13">
        <v>49</v>
      </c>
      <c r="J310" s="16">
        <v>1446</v>
      </c>
      <c r="K310" s="15">
        <v>3040</v>
      </c>
      <c r="L310" s="14">
        <v>2166</v>
      </c>
      <c r="M310" s="13">
        <v>1402</v>
      </c>
    </row>
    <row r="311" spans="1:14" outlineLevel="1" x14ac:dyDescent="0.2">
      <c r="A311" s="20">
        <f t="shared" si="98"/>
        <v>3642</v>
      </c>
      <c r="B311" s="19" t="str">
        <f t="shared" si="98"/>
        <v>TSU</v>
      </c>
      <c r="C311" s="18"/>
      <c r="D311" s="15">
        <v>721</v>
      </c>
      <c r="E311" s="21">
        <v>0.14099999999999999</v>
      </c>
      <c r="F311" s="14">
        <v>5912.8</v>
      </c>
      <c r="G311" s="13">
        <v>1385.6100000000063</v>
      </c>
      <c r="H311" s="15">
        <v>122</v>
      </c>
      <c r="I311" s="13">
        <v>2</v>
      </c>
      <c r="J311" s="16">
        <v>635</v>
      </c>
      <c r="K311" s="15">
        <v>1692</v>
      </c>
      <c r="L311" s="14">
        <v>1274</v>
      </c>
      <c r="M311" s="13">
        <v>870</v>
      </c>
    </row>
    <row r="312" spans="1:14" outlineLevel="1" x14ac:dyDescent="0.2">
      <c r="A312" s="20">
        <f t="shared" si="98"/>
        <v>3644</v>
      </c>
      <c r="B312" s="19" t="str">
        <f t="shared" si="98"/>
        <v>TTU</v>
      </c>
      <c r="C312" s="18"/>
      <c r="D312" s="15">
        <v>4605</v>
      </c>
      <c r="E312" s="21">
        <v>0.7320000000000001</v>
      </c>
      <c r="F312" s="14">
        <v>22527.466666666667</v>
      </c>
      <c r="G312" s="13">
        <v>9815.7899999997753</v>
      </c>
      <c r="H312" s="15">
        <v>687</v>
      </c>
      <c r="I312" s="13">
        <v>62</v>
      </c>
      <c r="J312" s="16">
        <v>2724</v>
      </c>
      <c r="K312" s="15">
        <v>6577</v>
      </c>
      <c r="L312" s="14">
        <v>5355</v>
      </c>
      <c r="M312" s="13">
        <v>3957</v>
      </c>
    </row>
    <row r="313" spans="1:14" outlineLevel="1" x14ac:dyDescent="0.2">
      <c r="A313" s="20">
        <f t="shared" si="98"/>
        <v>3541</v>
      </c>
      <c r="B313" s="19" t="str">
        <f t="shared" si="98"/>
        <v>Angelo</v>
      </c>
      <c r="C313" s="18"/>
      <c r="D313" s="15">
        <v>960</v>
      </c>
      <c r="E313" s="21">
        <v>0.441</v>
      </c>
      <c r="F313" s="14">
        <v>4895.666666666667</v>
      </c>
      <c r="G313" s="13">
        <v>1856.9499999999953</v>
      </c>
      <c r="H313" s="15">
        <v>242</v>
      </c>
      <c r="I313" s="13">
        <v>21</v>
      </c>
      <c r="J313" s="16">
        <v>720</v>
      </c>
      <c r="K313" s="15">
        <v>1444</v>
      </c>
      <c r="L313" s="14">
        <v>1071</v>
      </c>
      <c r="M313" s="13">
        <v>708</v>
      </c>
    </row>
    <row r="314" spans="1:14" outlineLevel="1" x14ac:dyDescent="0.2">
      <c r="A314" s="20">
        <f t="shared" ref="A314:B319" si="99">A272</f>
        <v>3646</v>
      </c>
      <c r="B314" s="19" t="str">
        <f t="shared" si="99"/>
        <v>TWU</v>
      </c>
      <c r="C314" s="18"/>
      <c r="D314" s="15">
        <v>1725</v>
      </c>
      <c r="E314" s="21">
        <v>0.48399999999999999</v>
      </c>
      <c r="F314" s="14">
        <v>6598.2</v>
      </c>
      <c r="G314" s="13">
        <v>3227.0100000000139</v>
      </c>
      <c r="H314" s="15">
        <v>523</v>
      </c>
      <c r="I314" s="13">
        <v>34</v>
      </c>
      <c r="J314" s="16">
        <v>1201</v>
      </c>
      <c r="K314" s="15">
        <v>2121</v>
      </c>
      <c r="L314" s="14">
        <v>1259</v>
      </c>
      <c r="M314" s="13">
        <v>608</v>
      </c>
    </row>
    <row r="315" spans="1:14" outlineLevel="1" x14ac:dyDescent="0.2">
      <c r="A315" s="20">
        <f t="shared" si="99"/>
        <v>3581</v>
      </c>
      <c r="B315" s="19" t="str">
        <f t="shared" si="99"/>
        <v>Lamar</v>
      </c>
      <c r="C315" s="18"/>
      <c r="D315" s="15">
        <v>1340</v>
      </c>
      <c r="E315" s="21">
        <v>0.35399999999999998</v>
      </c>
      <c r="F315" s="14">
        <v>7247.8</v>
      </c>
      <c r="G315" s="13">
        <v>2695.0800000000122</v>
      </c>
      <c r="H315" s="15">
        <v>358</v>
      </c>
      <c r="I315" s="13">
        <v>16</v>
      </c>
      <c r="J315" s="16">
        <v>943</v>
      </c>
      <c r="K315" s="15">
        <v>2317</v>
      </c>
      <c r="L315" s="14">
        <v>1577</v>
      </c>
      <c r="M315" s="13">
        <v>1000</v>
      </c>
    </row>
    <row r="316" spans="1:14" outlineLevel="1" x14ac:dyDescent="0.2">
      <c r="A316" s="20">
        <f t="shared" si="99"/>
        <v>3606</v>
      </c>
      <c r="B316" s="19" t="str">
        <f t="shared" si="99"/>
        <v>SHSU</v>
      </c>
      <c r="C316" s="18"/>
      <c r="D316" s="15">
        <v>3013</v>
      </c>
      <c r="E316" s="21">
        <v>0.60299999999999998</v>
      </c>
      <c r="F316" s="14">
        <v>12631.666666666666</v>
      </c>
      <c r="G316" s="13">
        <v>5628.5800000000427</v>
      </c>
      <c r="H316" s="15">
        <v>166</v>
      </c>
      <c r="I316" s="13">
        <v>63</v>
      </c>
      <c r="J316" s="16">
        <v>2160</v>
      </c>
      <c r="K316" s="15">
        <v>3940</v>
      </c>
      <c r="L316" s="14">
        <v>2970</v>
      </c>
      <c r="M316" s="13">
        <v>1716</v>
      </c>
    </row>
    <row r="317" spans="1:14" outlineLevel="1" x14ac:dyDescent="0.2">
      <c r="A317" s="20">
        <f t="shared" si="99"/>
        <v>3615</v>
      </c>
      <c r="B317" s="19" t="str">
        <f t="shared" si="99"/>
        <v>TXST</v>
      </c>
      <c r="C317" s="18"/>
      <c r="D317" s="15">
        <v>5349</v>
      </c>
      <c r="E317" s="21">
        <v>0.6409999999999999</v>
      </c>
      <c r="F317" s="14">
        <v>22917.933333333334</v>
      </c>
      <c r="G317" s="13">
        <v>10250.389999999717</v>
      </c>
      <c r="H317" s="15">
        <v>445</v>
      </c>
      <c r="I317" s="13">
        <v>65</v>
      </c>
      <c r="J317" s="16">
        <v>3665</v>
      </c>
      <c r="K317" s="15">
        <v>7685</v>
      </c>
      <c r="L317" s="14">
        <v>5748</v>
      </c>
      <c r="M317" s="13">
        <v>3317</v>
      </c>
    </row>
    <row r="318" spans="1:14" outlineLevel="1" x14ac:dyDescent="0.2">
      <c r="A318" s="20">
        <f t="shared" si="99"/>
        <v>3625</v>
      </c>
      <c r="B318" s="19" t="str">
        <f t="shared" si="99"/>
        <v>SRSU</v>
      </c>
      <c r="C318" s="18"/>
      <c r="D318" s="15">
        <v>196</v>
      </c>
      <c r="E318" s="21">
        <v>0.29199999999999998</v>
      </c>
      <c r="F318" s="14">
        <v>1200.1333333333334</v>
      </c>
      <c r="G318" s="13">
        <v>405.49999999999949</v>
      </c>
      <c r="H318" s="15">
        <v>18</v>
      </c>
      <c r="I318" s="13">
        <v>4</v>
      </c>
      <c r="J318" s="16">
        <v>166</v>
      </c>
      <c r="K318" s="15">
        <v>298</v>
      </c>
      <c r="L318" s="14">
        <v>217</v>
      </c>
      <c r="M318" s="13">
        <v>136</v>
      </c>
      <c r="N318" s="41"/>
    </row>
    <row r="319" spans="1:14" outlineLevel="1" x14ac:dyDescent="0.2">
      <c r="A319" s="20">
        <f t="shared" si="99"/>
        <v>20</v>
      </c>
      <c r="B319" s="19" t="str">
        <f t="shared" si="99"/>
        <v>SRRG</v>
      </c>
      <c r="C319" s="18"/>
      <c r="D319" s="15">
        <v>163</v>
      </c>
      <c r="E319" s="17">
        <v>0.33750000000000002</v>
      </c>
      <c r="F319" s="14">
        <v>472.13333333333333</v>
      </c>
      <c r="G319" s="13">
        <v>281.52999999999975</v>
      </c>
      <c r="H319" s="15">
        <v>5</v>
      </c>
      <c r="I319" s="13">
        <v>7</v>
      </c>
      <c r="J319" s="16">
        <v>145</v>
      </c>
      <c r="K319" s="15">
        <v>224</v>
      </c>
      <c r="L319" s="14">
        <v>97</v>
      </c>
      <c r="M319" s="13">
        <v>2</v>
      </c>
    </row>
    <row r="320" spans="1:14" ht="13.5" outlineLevel="1" thickBot="1" x14ac:dyDescent="0.25">
      <c r="A320" s="12"/>
      <c r="B320" s="11" t="s">
        <v>11</v>
      </c>
      <c r="C320" s="10"/>
      <c r="D320" s="9">
        <f>SUM(D282:D319)</f>
        <v>84231</v>
      </c>
      <c r="E320" s="8">
        <v>0.58399999999999996</v>
      </c>
      <c r="F320" s="7">
        <f t="shared" ref="F320:M320" si="100">SUM(F282:F319)</f>
        <v>351171.46666666673</v>
      </c>
      <c r="G320" s="3">
        <f t="shared" si="100"/>
        <v>170914.74000000223</v>
      </c>
      <c r="H320" s="5">
        <f t="shared" si="100"/>
        <v>13857</v>
      </c>
      <c r="I320" s="3">
        <f t="shared" si="100"/>
        <v>1204</v>
      </c>
      <c r="J320" s="6">
        <f t="shared" si="100"/>
        <v>54385</v>
      </c>
      <c r="K320" s="5">
        <f t="shared" si="100"/>
        <v>116139</v>
      </c>
      <c r="L320" s="4">
        <f t="shared" si="100"/>
        <v>84006</v>
      </c>
      <c r="M320" s="3">
        <f t="shared" si="100"/>
        <v>51310</v>
      </c>
    </row>
    <row r="321" spans="1:15" ht="13.5" thickBot="1" x14ac:dyDescent="0.25">
      <c r="A321" s="42" t="s">
        <v>25</v>
      </c>
      <c r="B321" s="42"/>
      <c r="C321" s="42"/>
      <c r="D321" s="42"/>
      <c r="F321" s="42"/>
      <c r="J321" s="42"/>
    </row>
    <row r="322" spans="1:15" ht="12.75" customHeight="1" outlineLevel="1" x14ac:dyDescent="0.2">
      <c r="A322" s="234" t="s">
        <v>24</v>
      </c>
      <c r="B322" s="236" t="s">
        <v>23</v>
      </c>
      <c r="C322" s="238"/>
      <c r="D322" s="240" t="s">
        <v>28</v>
      </c>
      <c r="E322" s="242" t="s">
        <v>21</v>
      </c>
      <c r="F322" s="236" t="s">
        <v>20</v>
      </c>
      <c r="G322" s="221" t="s">
        <v>19</v>
      </c>
      <c r="H322" s="223" t="s">
        <v>18</v>
      </c>
      <c r="I322" s="225" t="s">
        <v>17</v>
      </c>
      <c r="J322" s="227" t="s">
        <v>16</v>
      </c>
      <c r="K322" s="229" t="s">
        <v>15</v>
      </c>
      <c r="L322" s="230"/>
      <c r="M322" s="231"/>
    </row>
    <row r="323" spans="1:15" s="41" customFormat="1" ht="39.75" customHeight="1" outlineLevel="1" thickBot="1" x14ac:dyDescent="0.25">
      <c r="A323" s="235"/>
      <c r="B323" s="237"/>
      <c r="C323" s="239"/>
      <c r="D323" s="241"/>
      <c r="E323" s="243"/>
      <c r="F323" s="237"/>
      <c r="G323" s="222"/>
      <c r="H323" s="224"/>
      <c r="I323" s="226"/>
      <c r="J323" s="228"/>
      <c r="K323" s="188" t="s">
        <v>14</v>
      </c>
      <c r="L323" s="189" t="s">
        <v>13</v>
      </c>
      <c r="M323" s="190" t="s">
        <v>12</v>
      </c>
      <c r="N323" s="1"/>
    </row>
    <row r="324" spans="1:15" outlineLevel="1" x14ac:dyDescent="0.2">
      <c r="A324" s="40">
        <f t="shared" ref="A324:B339" si="101">A282</f>
        <v>3656</v>
      </c>
      <c r="B324" s="39" t="str">
        <f t="shared" si="101"/>
        <v>UTA</v>
      </c>
      <c r="C324" s="38"/>
      <c r="D324" s="33">
        <v>4178</v>
      </c>
      <c r="E324" s="37">
        <v>0.50700000000000001</v>
      </c>
      <c r="F324" s="32">
        <v>15698.133333333333</v>
      </c>
      <c r="G324" s="31">
        <v>8640.2399999998797</v>
      </c>
      <c r="H324" s="36">
        <v>834</v>
      </c>
      <c r="I324" s="35">
        <v>36</v>
      </c>
      <c r="J324" s="34">
        <v>2662</v>
      </c>
      <c r="K324" s="33">
        <v>6630</v>
      </c>
      <c r="L324" s="32">
        <v>3636</v>
      </c>
      <c r="M324" s="31">
        <v>1724</v>
      </c>
    </row>
    <row r="325" spans="1:15" outlineLevel="1" x14ac:dyDescent="0.2">
      <c r="A325" s="20">
        <f t="shared" si="101"/>
        <v>3658</v>
      </c>
      <c r="B325" s="19" t="str">
        <f t="shared" si="101"/>
        <v>UT</v>
      </c>
      <c r="C325" s="18"/>
      <c r="D325" s="15">
        <v>8952</v>
      </c>
      <c r="E325" s="21">
        <v>0.82899999999999996</v>
      </c>
      <c r="F325" s="14">
        <v>33736.73333333333</v>
      </c>
      <c r="G325" s="13">
        <v>19230.319999999745</v>
      </c>
      <c r="H325" s="15">
        <v>1754</v>
      </c>
      <c r="I325" s="13">
        <v>55</v>
      </c>
      <c r="J325" s="16">
        <v>3435</v>
      </c>
      <c r="K325" s="15">
        <v>9596</v>
      </c>
      <c r="L325" s="14">
        <v>9749</v>
      </c>
      <c r="M325" s="13">
        <v>7288</v>
      </c>
      <c r="O325" s="2"/>
    </row>
    <row r="326" spans="1:15" outlineLevel="1" x14ac:dyDescent="0.2">
      <c r="A326" s="20">
        <f t="shared" si="101"/>
        <v>9741</v>
      </c>
      <c r="B326" s="19" t="str">
        <f t="shared" si="101"/>
        <v>UTD</v>
      </c>
      <c r="C326" s="18"/>
      <c r="D326" s="15">
        <v>2355</v>
      </c>
      <c r="E326" s="21">
        <v>0.70699999999999996</v>
      </c>
      <c r="F326" s="14">
        <v>8108.8666666666668</v>
      </c>
      <c r="G326" s="13">
        <v>4955.5700000000443</v>
      </c>
      <c r="H326" s="15">
        <v>392</v>
      </c>
      <c r="I326" s="13">
        <v>36</v>
      </c>
      <c r="J326" s="16">
        <v>1255</v>
      </c>
      <c r="K326" s="15">
        <v>3078</v>
      </c>
      <c r="L326" s="14">
        <v>1950</v>
      </c>
      <c r="M326" s="13">
        <v>923</v>
      </c>
      <c r="O326" s="2"/>
    </row>
    <row r="327" spans="1:15" outlineLevel="1" x14ac:dyDescent="0.2">
      <c r="A327" s="20">
        <f t="shared" si="101"/>
        <v>3661</v>
      </c>
      <c r="B327" s="19" t="str">
        <f t="shared" si="101"/>
        <v>UTEP</v>
      </c>
      <c r="C327" s="18"/>
      <c r="D327" s="15">
        <v>3031</v>
      </c>
      <c r="E327" s="21">
        <v>0.374</v>
      </c>
      <c r="F327" s="14">
        <v>12791.933333333332</v>
      </c>
      <c r="G327" s="13">
        <v>6295.4500000000389</v>
      </c>
      <c r="H327" s="15">
        <v>709</v>
      </c>
      <c r="I327" s="13">
        <v>93</v>
      </c>
      <c r="J327" s="16">
        <v>2394</v>
      </c>
      <c r="K327" s="15">
        <v>4200</v>
      </c>
      <c r="L327" s="14">
        <v>3366</v>
      </c>
      <c r="M327" s="13">
        <v>1972</v>
      </c>
      <c r="O327" s="2"/>
    </row>
    <row r="328" spans="1:15" outlineLevel="1" x14ac:dyDescent="0.2">
      <c r="A328" s="20">
        <f t="shared" si="101"/>
        <v>3599</v>
      </c>
      <c r="B328" s="19" t="str">
        <f t="shared" si="101"/>
        <v>UTPA</v>
      </c>
      <c r="C328" s="18"/>
      <c r="D328" s="15">
        <v>2620</v>
      </c>
      <c r="E328" s="21">
        <v>0.38900000000000001</v>
      </c>
      <c r="F328" s="14">
        <v>12572.333333333334</v>
      </c>
      <c r="G328" s="13">
        <v>5170.8900000000631</v>
      </c>
      <c r="H328" s="15">
        <v>480</v>
      </c>
      <c r="I328" s="13">
        <v>31</v>
      </c>
      <c r="J328" s="16">
        <v>2341</v>
      </c>
      <c r="K328" s="15">
        <v>4354</v>
      </c>
      <c r="L328" s="14">
        <v>3136</v>
      </c>
      <c r="M328" s="13">
        <v>1924</v>
      </c>
      <c r="O328" s="2"/>
    </row>
    <row r="329" spans="1:15" outlineLevel="1" x14ac:dyDescent="0.2">
      <c r="A329" s="20">
        <f t="shared" si="101"/>
        <v>30646</v>
      </c>
      <c r="B329" s="19" t="str">
        <f t="shared" si="101"/>
        <v>UTB</v>
      </c>
      <c r="C329" s="18"/>
      <c r="D329" s="15">
        <v>1052</v>
      </c>
      <c r="E329" s="17">
        <v>0.64666666666666661</v>
      </c>
      <c r="F329" s="14">
        <v>2989.6</v>
      </c>
      <c r="G329" s="13">
        <v>2005.0100000000309</v>
      </c>
      <c r="H329" s="15">
        <v>108</v>
      </c>
      <c r="I329" s="13">
        <v>19</v>
      </c>
      <c r="J329" s="16">
        <v>916</v>
      </c>
      <c r="K329" s="15">
        <v>1377</v>
      </c>
      <c r="L329" s="14">
        <v>583</v>
      </c>
      <c r="M329" s="13">
        <v>72</v>
      </c>
      <c r="O329" s="2"/>
    </row>
    <row r="330" spans="1:15" outlineLevel="1" x14ac:dyDescent="0.2">
      <c r="A330" s="20">
        <f t="shared" si="101"/>
        <v>9930</v>
      </c>
      <c r="B330" s="19" t="str">
        <f t="shared" si="101"/>
        <v>UTPB</v>
      </c>
      <c r="C330" s="18"/>
      <c r="D330" s="15">
        <v>513</v>
      </c>
      <c r="E330" s="21">
        <v>0.44600000000000001</v>
      </c>
      <c r="F330" s="14">
        <v>2159.6</v>
      </c>
      <c r="G330" s="13">
        <v>944.74000000001092</v>
      </c>
      <c r="H330" s="15">
        <v>33</v>
      </c>
      <c r="I330" s="13">
        <v>13</v>
      </c>
      <c r="J330" s="16">
        <v>379</v>
      </c>
      <c r="K330" s="15">
        <v>707</v>
      </c>
      <c r="L330" s="14">
        <v>450</v>
      </c>
      <c r="M330" s="13">
        <v>182</v>
      </c>
      <c r="O330" s="2"/>
    </row>
    <row r="331" spans="1:15" outlineLevel="1" x14ac:dyDescent="0.2">
      <c r="A331" s="20">
        <f t="shared" si="101"/>
        <v>10115</v>
      </c>
      <c r="B331" s="19" t="str">
        <f t="shared" si="101"/>
        <v>UTSA</v>
      </c>
      <c r="C331" s="18"/>
      <c r="D331" s="15">
        <v>3968</v>
      </c>
      <c r="E331" s="21">
        <v>0.44</v>
      </c>
      <c r="F331" s="14">
        <v>19707.533333333333</v>
      </c>
      <c r="G331" s="13">
        <v>8107.0899999997582</v>
      </c>
      <c r="H331" s="15">
        <v>375</v>
      </c>
      <c r="I331" s="13">
        <v>39</v>
      </c>
      <c r="J331" s="16">
        <v>2956</v>
      </c>
      <c r="K331" s="15">
        <v>6812</v>
      </c>
      <c r="L331" s="14">
        <v>4615</v>
      </c>
      <c r="M331" s="13">
        <v>2588</v>
      </c>
      <c r="O331" s="2"/>
    </row>
    <row r="332" spans="1:15" outlineLevel="1" x14ac:dyDescent="0.2">
      <c r="A332" s="20">
        <f t="shared" si="101"/>
        <v>11163</v>
      </c>
      <c r="B332" s="19" t="str">
        <f t="shared" si="101"/>
        <v>UTT</v>
      </c>
      <c r="C332" s="18"/>
      <c r="D332" s="15">
        <v>1238</v>
      </c>
      <c r="E332" s="21">
        <v>0.496</v>
      </c>
      <c r="F332" s="14">
        <v>4085.2666666666669</v>
      </c>
      <c r="G332" s="13">
        <v>2459.1300000000315</v>
      </c>
      <c r="H332" s="15">
        <v>372</v>
      </c>
      <c r="I332" s="13">
        <v>10</v>
      </c>
      <c r="J332" s="16">
        <v>1002</v>
      </c>
      <c r="K332" s="15">
        <v>1404</v>
      </c>
      <c r="L332" s="14">
        <v>921</v>
      </c>
      <c r="M332" s="13">
        <v>378</v>
      </c>
      <c r="O332" s="2"/>
    </row>
    <row r="333" spans="1:15" outlineLevel="1" x14ac:dyDescent="0.2">
      <c r="A333" s="20">
        <f t="shared" si="101"/>
        <v>3632</v>
      </c>
      <c r="B333" s="19" t="str">
        <f t="shared" si="101"/>
        <v>TAMU</v>
      </c>
      <c r="C333" s="18"/>
      <c r="D333" s="15">
        <v>8451</v>
      </c>
      <c r="E333" s="21">
        <v>0.83599999999999997</v>
      </c>
      <c r="F333" s="14">
        <v>34329.199999999997</v>
      </c>
      <c r="G333" s="13">
        <v>19146.209999999159</v>
      </c>
      <c r="H333" s="15">
        <v>1580</v>
      </c>
      <c r="I333" s="13">
        <v>108</v>
      </c>
      <c r="J333" s="16">
        <v>3530</v>
      </c>
      <c r="K333" s="15">
        <v>10012</v>
      </c>
      <c r="L333" s="14">
        <v>8836</v>
      </c>
      <c r="M333" s="13">
        <v>6932</v>
      </c>
      <c r="O333" s="2"/>
    </row>
    <row r="334" spans="1:15" outlineLevel="1" x14ac:dyDescent="0.2">
      <c r="A334" s="20">
        <f t="shared" si="101"/>
        <v>10298</v>
      </c>
      <c r="B334" s="19" t="str">
        <f t="shared" si="101"/>
        <v>TAMUG</v>
      </c>
      <c r="C334" s="18"/>
      <c r="D334" s="15">
        <v>262</v>
      </c>
      <c r="E334" s="21">
        <v>0.59199999999999997</v>
      </c>
      <c r="F334" s="14">
        <v>1599.2</v>
      </c>
      <c r="G334" s="13">
        <v>636.84000000000231</v>
      </c>
      <c r="H334" s="15">
        <v>31</v>
      </c>
      <c r="I334" s="13">
        <v>0</v>
      </c>
      <c r="J334" s="16">
        <v>137</v>
      </c>
      <c r="K334" s="15">
        <v>570</v>
      </c>
      <c r="L334" s="14">
        <v>322</v>
      </c>
      <c r="M334" s="13">
        <v>241</v>
      </c>
      <c r="O334" s="2"/>
    </row>
    <row r="335" spans="1:15" outlineLevel="1" x14ac:dyDescent="0.2">
      <c r="A335" s="20">
        <f t="shared" si="101"/>
        <v>3630</v>
      </c>
      <c r="B335" s="19" t="str">
        <f t="shared" si="101"/>
        <v>Prairie View</v>
      </c>
      <c r="C335" s="18"/>
      <c r="D335" s="15">
        <v>879</v>
      </c>
      <c r="E335" s="21">
        <v>0.34200000000000003</v>
      </c>
      <c r="F335" s="14">
        <v>5840.8</v>
      </c>
      <c r="G335" s="13">
        <v>1995.4900000000189</v>
      </c>
      <c r="H335" s="15">
        <v>295</v>
      </c>
      <c r="I335" s="13">
        <v>8</v>
      </c>
      <c r="J335" s="16">
        <v>756</v>
      </c>
      <c r="K335" s="15">
        <v>1643</v>
      </c>
      <c r="L335" s="14">
        <v>1174</v>
      </c>
      <c r="M335" s="13">
        <v>940</v>
      </c>
      <c r="O335" s="2"/>
    </row>
    <row r="336" spans="1:15" outlineLevel="1" x14ac:dyDescent="0.2">
      <c r="A336" s="20">
        <f t="shared" si="101"/>
        <v>3631</v>
      </c>
      <c r="B336" s="19" t="str">
        <f t="shared" si="101"/>
        <v>Tarleton</v>
      </c>
      <c r="C336" s="18"/>
      <c r="D336" s="15">
        <v>1422</v>
      </c>
      <c r="E336" s="21">
        <v>0.47499999999999998</v>
      </c>
      <c r="F336" s="14">
        <v>5845.5333333333338</v>
      </c>
      <c r="G336" s="13">
        <v>2966.430000000048</v>
      </c>
      <c r="H336" s="15">
        <v>183</v>
      </c>
      <c r="I336" s="13">
        <v>38</v>
      </c>
      <c r="J336" s="16">
        <v>1093</v>
      </c>
      <c r="K336" s="15">
        <v>2140</v>
      </c>
      <c r="L336" s="14">
        <v>1306</v>
      </c>
      <c r="M336" s="13">
        <v>903</v>
      </c>
      <c r="O336" s="2"/>
    </row>
    <row r="337" spans="1:15" outlineLevel="1" x14ac:dyDescent="0.2">
      <c r="A337" s="27">
        <f t="shared" si="101"/>
        <v>103631</v>
      </c>
      <c r="B337" s="19" t="str">
        <f t="shared" si="101"/>
        <v>TAMUCT</v>
      </c>
      <c r="C337" s="18"/>
      <c r="D337" s="15">
        <v>450</v>
      </c>
      <c r="E337" s="21">
        <v>0.47499999999999998</v>
      </c>
      <c r="F337" s="14">
        <v>658.4666666666667</v>
      </c>
      <c r="G337" s="13">
        <v>831.96000000000549</v>
      </c>
      <c r="H337" s="15">
        <v>44</v>
      </c>
      <c r="I337" s="13"/>
      <c r="J337" s="16">
        <v>322</v>
      </c>
      <c r="K337" s="15">
        <v>380</v>
      </c>
      <c r="L337" s="14">
        <v>137</v>
      </c>
      <c r="M337" s="13">
        <v>31</v>
      </c>
      <c r="O337" s="2"/>
    </row>
    <row r="338" spans="1:15" outlineLevel="1" x14ac:dyDescent="0.2">
      <c r="A338" s="20">
        <f t="shared" si="101"/>
        <v>11161</v>
      </c>
      <c r="B338" s="19" t="str">
        <f t="shared" si="101"/>
        <v>TAMUCC</v>
      </c>
      <c r="C338" s="18"/>
      <c r="D338" s="15">
        <v>1335</v>
      </c>
      <c r="E338" s="21">
        <v>0.503</v>
      </c>
      <c r="F338" s="14">
        <v>6131.9333333333334</v>
      </c>
      <c r="G338" s="13">
        <v>2744.5700000000347</v>
      </c>
      <c r="H338" s="15">
        <v>237</v>
      </c>
      <c r="I338" s="13">
        <v>29</v>
      </c>
      <c r="J338" s="16">
        <v>1024</v>
      </c>
      <c r="K338" s="15">
        <v>2079</v>
      </c>
      <c r="L338" s="14">
        <v>1357</v>
      </c>
      <c r="M338" s="13">
        <v>812</v>
      </c>
      <c r="O338" s="2"/>
    </row>
    <row r="339" spans="1:15" outlineLevel="1" x14ac:dyDescent="0.2">
      <c r="A339" s="20">
        <f t="shared" si="101"/>
        <v>3639</v>
      </c>
      <c r="B339" s="19" t="str">
        <f t="shared" si="101"/>
        <v>TAMUK</v>
      </c>
      <c r="C339" s="18"/>
      <c r="D339" s="15">
        <v>692</v>
      </c>
      <c r="E339" s="21">
        <v>0.41699999999999998</v>
      </c>
      <c r="F339" s="14">
        <v>3808.2666666666669</v>
      </c>
      <c r="G339" s="13">
        <v>1601.8800000000022</v>
      </c>
      <c r="H339" s="15">
        <v>236</v>
      </c>
      <c r="I339" s="13">
        <v>15</v>
      </c>
      <c r="J339" s="16">
        <v>590</v>
      </c>
      <c r="K339" s="15">
        <v>1159</v>
      </c>
      <c r="L339" s="14">
        <v>790</v>
      </c>
      <c r="M339" s="13">
        <v>550</v>
      </c>
      <c r="O339" s="2"/>
    </row>
    <row r="340" spans="1:15" outlineLevel="1" x14ac:dyDescent="0.2">
      <c r="A340" s="27">
        <f t="shared" ref="A340:B355" si="102">A298</f>
        <v>103639</v>
      </c>
      <c r="B340" s="19" t="str">
        <f t="shared" si="102"/>
        <v>TAMUSA</v>
      </c>
      <c r="C340" s="18"/>
      <c r="D340" s="15">
        <v>496</v>
      </c>
      <c r="E340" s="21">
        <v>0.41699999999999998</v>
      </c>
      <c r="F340" s="14">
        <v>1072.6666666666667</v>
      </c>
      <c r="G340" s="13">
        <v>844.50000000000807</v>
      </c>
      <c r="H340" s="15">
        <v>4</v>
      </c>
      <c r="I340" s="13"/>
      <c r="J340" s="16">
        <v>402</v>
      </c>
      <c r="K340" s="15">
        <v>307</v>
      </c>
      <c r="L340" s="14">
        <v>5</v>
      </c>
      <c r="M340" s="13">
        <v>5</v>
      </c>
      <c r="O340" s="2"/>
    </row>
    <row r="341" spans="1:15" outlineLevel="1" x14ac:dyDescent="0.2">
      <c r="A341" s="20">
        <f t="shared" si="102"/>
        <v>9651</v>
      </c>
      <c r="B341" s="19" t="str">
        <f t="shared" si="102"/>
        <v>TAMI</v>
      </c>
      <c r="C341" s="18"/>
      <c r="D341" s="15">
        <v>798</v>
      </c>
      <c r="E341" s="21">
        <v>0.46</v>
      </c>
      <c r="F341" s="14">
        <v>3819.0666666666666</v>
      </c>
      <c r="G341" s="13">
        <v>1476.3000000000168</v>
      </c>
      <c r="H341" s="15">
        <v>85</v>
      </c>
      <c r="I341" s="13">
        <v>26</v>
      </c>
      <c r="J341" s="16">
        <v>713</v>
      </c>
      <c r="K341" s="15">
        <v>1413</v>
      </c>
      <c r="L341" s="14">
        <v>981</v>
      </c>
      <c r="M341" s="13">
        <v>447</v>
      </c>
      <c r="O341" s="2"/>
    </row>
    <row r="342" spans="1:15" outlineLevel="1" x14ac:dyDescent="0.2">
      <c r="A342" s="20">
        <f t="shared" si="102"/>
        <v>3665</v>
      </c>
      <c r="B342" s="19" t="str">
        <f t="shared" si="102"/>
        <v>WTAMU</v>
      </c>
      <c r="C342" s="18"/>
      <c r="D342" s="15">
        <v>1220</v>
      </c>
      <c r="E342" s="21">
        <v>0.45600000000000002</v>
      </c>
      <c r="F342" s="14">
        <v>5264.8</v>
      </c>
      <c r="G342" s="13">
        <v>2415.9700000000216</v>
      </c>
      <c r="H342" s="15">
        <v>216</v>
      </c>
      <c r="I342" s="13">
        <v>64</v>
      </c>
      <c r="J342" s="16">
        <v>853</v>
      </c>
      <c r="K342" s="15">
        <v>1873</v>
      </c>
      <c r="L342" s="14">
        <v>1161</v>
      </c>
      <c r="M342" s="13">
        <v>631</v>
      </c>
      <c r="O342" s="2"/>
    </row>
    <row r="343" spans="1:15" outlineLevel="1" x14ac:dyDescent="0.2">
      <c r="A343" s="20">
        <f t="shared" si="102"/>
        <v>3565</v>
      </c>
      <c r="B343" s="19" t="str">
        <f t="shared" si="102"/>
        <v>TAMUC</v>
      </c>
      <c r="C343" s="18"/>
      <c r="D343" s="15">
        <v>1153</v>
      </c>
      <c r="E343" s="21">
        <v>0.44800000000000001</v>
      </c>
      <c r="F343" s="14">
        <v>4172.1333333333332</v>
      </c>
      <c r="G343" s="13">
        <v>2179.8400000000324</v>
      </c>
      <c r="H343" s="15">
        <v>59</v>
      </c>
      <c r="I343" s="13">
        <v>65</v>
      </c>
      <c r="J343" s="16">
        <v>884</v>
      </c>
      <c r="K343" s="15">
        <v>1712</v>
      </c>
      <c r="L343" s="14">
        <v>1038</v>
      </c>
      <c r="M343" s="13">
        <v>423</v>
      </c>
      <c r="O343" s="2"/>
    </row>
    <row r="344" spans="1:15" outlineLevel="1" x14ac:dyDescent="0.2">
      <c r="A344" s="20">
        <f t="shared" si="102"/>
        <v>29269</v>
      </c>
      <c r="B344" s="19" t="str">
        <f t="shared" si="102"/>
        <v>TAMUT</v>
      </c>
      <c r="C344" s="18"/>
      <c r="D344" s="15">
        <v>326</v>
      </c>
      <c r="E344" s="17">
        <v>0.57336956521739135</v>
      </c>
      <c r="F344" s="14">
        <v>694.6</v>
      </c>
      <c r="G344" s="13">
        <v>569.46</v>
      </c>
      <c r="H344" s="15">
        <v>30</v>
      </c>
      <c r="I344" s="13">
        <v>15</v>
      </c>
      <c r="J344" s="16">
        <v>210</v>
      </c>
      <c r="K344" s="15">
        <v>403</v>
      </c>
      <c r="L344" s="14">
        <v>138</v>
      </c>
      <c r="M344" s="13">
        <v>0</v>
      </c>
      <c r="O344" s="2"/>
    </row>
    <row r="345" spans="1:15" outlineLevel="1" x14ac:dyDescent="0.2">
      <c r="A345" s="20">
        <f t="shared" si="102"/>
        <v>3652</v>
      </c>
      <c r="B345" s="19" t="str">
        <f t="shared" si="102"/>
        <v>UH</v>
      </c>
      <c r="C345" s="18"/>
      <c r="D345" s="15">
        <v>4778</v>
      </c>
      <c r="E345" s="21">
        <v>0.53100000000000003</v>
      </c>
      <c r="F345" s="14">
        <v>22778.733333333334</v>
      </c>
      <c r="G345" s="13">
        <v>9792.4499999989821</v>
      </c>
      <c r="H345" s="15">
        <v>656</v>
      </c>
      <c r="I345" s="13">
        <v>54</v>
      </c>
      <c r="J345" s="16">
        <v>3091</v>
      </c>
      <c r="K345" s="15">
        <v>7517</v>
      </c>
      <c r="L345" s="14">
        <v>5600</v>
      </c>
      <c r="M345" s="13">
        <v>3376</v>
      </c>
      <c r="O345" s="2"/>
    </row>
    <row r="346" spans="1:15" outlineLevel="1" x14ac:dyDescent="0.2">
      <c r="A346" s="20">
        <f t="shared" si="102"/>
        <v>11711</v>
      </c>
      <c r="B346" s="19" t="str">
        <f t="shared" si="102"/>
        <v>UHCL</v>
      </c>
      <c r="C346" s="18"/>
      <c r="D346" s="15">
        <v>1124</v>
      </c>
      <c r="E346" s="17">
        <v>0.50557620817843862</v>
      </c>
      <c r="F346" s="14">
        <v>2872.8666666666668</v>
      </c>
      <c r="G346" s="13">
        <v>2131.2100000000323</v>
      </c>
      <c r="H346" s="15">
        <v>88</v>
      </c>
      <c r="I346" s="13">
        <v>8</v>
      </c>
      <c r="J346" s="16">
        <v>707</v>
      </c>
      <c r="K346" s="15">
        <v>1349</v>
      </c>
      <c r="L346" s="14">
        <v>888</v>
      </c>
      <c r="M346" s="13">
        <v>81</v>
      </c>
      <c r="O346" s="2"/>
    </row>
    <row r="347" spans="1:15" outlineLevel="1" x14ac:dyDescent="0.2">
      <c r="A347" s="20">
        <f t="shared" si="102"/>
        <v>12826</v>
      </c>
      <c r="B347" s="19" t="str">
        <f t="shared" si="102"/>
        <v>UHD</v>
      </c>
      <c r="C347" s="18"/>
      <c r="D347" s="15">
        <v>2359</v>
      </c>
      <c r="E347" s="21">
        <v>0.18099999999999999</v>
      </c>
      <c r="F347" s="14">
        <v>7963.6</v>
      </c>
      <c r="G347" s="13">
        <v>4153.3100000000841</v>
      </c>
      <c r="H347" s="15">
        <v>112</v>
      </c>
      <c r="I347" s="13">
        <v>2</v>
      </c>
      <c r="J347" s="16">
        <v>1619</v>
      </c>
      <c r="K347" s="15">
        <v>3082</v>
      </c>
      <c r="L347" s="14">
        <v>1889</v>
      </c>
      <c r="M347" s="13">
        <v>606</v>
      </c>
      <c r="O347" s="2"/>
    </row>
    <row r="348" spans="1:15" outlineLevel="1" x14ac:dyDescent="0.2">
      <c r="A348" s="20">
        <f t="shared" si="102"/>
        <v>13231</v>
      </c>
      <c r="B348" s="19" t="str">
        <f t="shared" si="102"/>
        <v>UHV</v>
      </c>
      <c r="C348" s="18"/>
      <c r="D348" s="15">
        <v>515</v>
      </c>
      <c r="E348" s="17">
        <v>0.55256723716381417</v>
      </c>
      <c r="F348" s="14">
        <v>1135.8</v>
      </c>
      <c r="G348" s="13">
        <v>962.15000000001089</v>
      </c>
      <c r="H348" s="15">
        <v>72</v>
      </c>
      <c r="I348" s="13">
        <v>2</v>
      </c>
      <c r="J348" s="16">
        <v>337</v>
      </c>
      <c r="K348" s="15">
        <v>654</v>
      </c>
      <c r="L348" s="14">
        <v>269</v>
      </c>
      <c r="M348" s="13">
        <v>8</v>
      </c>
      <c r="O348" s="2"/>
    </row>
    <row r="349" spans="1:15" outlineLevel="1" x14ac:dyDescent="0.2">
      <c r="A349" s="20">
        <f t="shared" si="102"/>
        <v>3592</v>
      </c>
      <c r="B349" s="19" t="str">
        <f t="shared" si="102"/>
        <v>Midwestern</v>
      </c>
      <c r="C349" s="18"/>
      <c r="D349" s="15">
        <v>1002</v>
      </c>
      <c r="E349" s="21">
        <v>0.41199999999999998</v>
      </c>
      <c r="F349" s="14">
        <v>4294.8666666666668</v>
      </c>
      <c r="G349" s="13">
        <v>1899.0200000000148</v>
      </c>
      <c r="H349" s="15">
        <v>302</v>
      </c>
      <c r="I349" s="13">
        <v>19</v>
      </c>
      <c r="J349" s="16">
        <v>673</v>
      </c>
      <c r="K349" s="15">
        <v>1497</v>
      </c>
      <c r="L349" s="14">
        <v>1080</v>
      </c>
      <c r="M349" s="13">
        <v>622</v>
      </c>
      <c r="O349" s="2"/>
    </row>
    <row r="350" spans="1:15" outlineLevel="1" x14ac:dyDescent="0.2">
      <c r="A350" s="20">
        <f t="shared" si="102"/>
        <v>3594</v>
      </c>
      <c r="B350" s="19" t="str">
        <f t="shared" si="102"/>
        <v>UNT</v>
      </c>
      <c r="C350" s="18"/>
      <c r="D350" s="15">
        <v>6024</v>
      </c>
      <c r="E350" s="21">
        <v>0.57399999999999995</v>
      </c>
      <c r="F350" s="14">
        <f>22506.0666666667+838</f>
        <v>23344.066666666698</v>
      </c>
      <c r="G350" s="13">
        <v>11164.699999998398</v>
      </c>
      <c r="H350" s="15">
        <v>297</v>
      </c>
      <c r="I350" s="13">
        <v>27</v>
      </c>
      <c r="J350" s="16">
        <v>3747</v>
      </c>
      <c r="K350" s="30">
        <v>8327</v>
      </c>
      <c r="L350" s="29">
        <v>5604</v>
      </c>
      <c r="M350" s="28">
        <v>3585</v>
      </c>
      <c r="O350" s="2"/>
    </row>
    <row r="351" spans="1:15" outlineLevel="1" x14ac:dyDescent="0.2">
      <c r="A351" s="27">
        <f t="shared" si="102"/>
        <v>113594</v>
      </c>
      <c r="B351" s="19" t="str">
        <f t="shared" si="102"/>
        <v>UNTD</v>
      </c>
      <c r="C351" s="18"/>
      <c r="D351" s="24"/>
      <c r="E351" s="26"/>
      <c r="F351" s="23"/>
      <c r="G351" s="22"/>
      <c r="H351" s="24"/>
      <c r="I351" s="22"/>
      <c r="J351" s="25"/>
      <c r="K351" s="24"/>
      <c r="L351" s="23"/>
      <c r="M351" s="22"/>
      <c r="O351" s="2"/>
    </row>
    <row r="352" spans="1:15" outlineLevel="1" x14ac:dyDescent="0.2">
      <c r="A352" s="20">
        <f t="shared" si="102"/>
        <v>3624</v>
      </c>
      <c r="B352" s="19" t="str">
        <f t="shared" si="102"/>
        <v>SFA</v>
      </c>
      <c r="C352" s="18"/>
      <c r="D352" s="15">
        <v>1874</v>
      </c>
      <c r="E352" s="21">
        <v>0.56999999999999995</v>
      </c>
      <c r="F352" s="14">
        <v>9510.2666666666664</v>
      </c>
      <c r="G352" s="13">
        <v>3625.4100000000203</v>
      </c>
      <c r="H352" s="15">
        <v>230</v>
      </c>
      <c r="I352" s="13">
        <v>43</v>
      </c>
      <c r="J352" s="16">
        <v>1422</v>
      </c>
      <c r="K352" s="15">
        <v>2663</v>
      </c>
      <c r="L352" s="14">
        <v>1934</v>
      </c>
      <c r="M352" s="13">
        <v>1317</v>
      </c>
      <c r="O352" s="2"/>
    </row>
    <row r="353" spans="1:15" outlineLevel="1" x14ac:dyDescent="0.2">
      <c r="A353" s="20">
        <f t="shared" si="102"/>
        <v>3642</v>
      </c>
      <c r="B353" s="19" t="str">
        <f t="shared" si="102"/>
        <v>TSU</v>
      </c>
      <c r="C353" s="18"/>
      <c r="D353" s="15">
        <v>817</v>
      </c>
      <c r="E353" s="21">
        <v>0.14899999999999999</v>
      </c>
      <c r="F353" s="14">
        <v>5909.8</v>
      </c>
      <c r="G353" s="13">
        <v>1601.5200000000066</v>
      </c>
      <c r="H353" s="15">
        <v>127</v>
      </c>
      <c r="I353" s="13">
        <v>2</v>
      </c>
      <c r="J353" s="16">
        <v>723</v>
      </c>
      <c r="K353" s="15">
        <v>1871</v>
      </c>
      <c r="L353" s="14">
        <v>1137</v>
      </c>
      <c r="M353" s="13">
        <v>916</v>
      </c>
      <c r="O353" s="2"/>
    </row>
    <row r="354" spans="1:15" outlineLevel="1" x14ac:dyDescent="0.2">
      <c r="A354" s="20">
        <f t="shared" si="102"/>
        <v>3644</v>
      </c>
      <c r="B354" s="19" t="str">
        <f t="shared" si="102"/>
        <v>TTU</v>
      </c>
      <c r="C354" s="18"/>
      <c r="D354" s="15">
        <v>4476</v>
      </c>
      <c r="E354" s="21">
        <v>0.72799999999999998</v>
      </c>
      <c r="F354" s="14">
        <v>21422.2</v>
      </c>
      <c r="G354" s="13">
        <v>9827.5299999990111</v>
      </c>
      <c r="H354" s="15">
        <v>656</v>
      </c>
      <c r="I354" s="13">
        <v>43</v>
      </c>
      <c r="J354" s="16">
        <v>2539</v>
      </c>
      <c r="K354" s="15">
        <v>6430</v>
      </c>
      <c r="L354" s="14">
        <v>5148</v>
      </c>
      <c r="M354" s="13">
        <v>3832</v>
      </c>
      <c r="O354" s="2"/>
    </row>
    <row r="355" spans="1:15" outlineLevel="1" x14ac:dyDescent="0.2">
      <c r="A355" s="20">
        <f t="shared" si="102"/>
        <v>3541</v>
      </c>
      <c r="B355" s="19" t="str">
        <f t="shared" si="102"/>
        <v>Angelo</v>
      </c>
      <c r="C355" s="18"/>
      <c r="D355" s="15">
        <v>941</v>
      </c>
      <c r="E355" s="21">
        <v>0.44</v>
      </c>
      <c r="F355" s="14">
        <v>4829.1333333333332</v>
      </c>
      <c r="G355" s="13">
        <v>1933.5900000000179</v>
      </c>
      <c r="H355" s="15">
        <v>217</v>
      </c>
      <c r="I355" s="13">
        <v>18</v>
      </c>
      <c r="J355" s="16">
        <v>676</v>
      </c>
      <c r="K355" s="15">
        <v>1474</v>
      </c>
      <c r="L355" s="14">
        <v>1008</v>
      </c>
      <c r="M355" s="13">
        <v>708</v>
      </c>
      <c r="O355" s="2"/>
    </row>
    <row r="356" spans="1:15" outlineLevel="1" x14ac:dyDescent="0.2">
      <c r="A356" s="20">
        <f t="shared" ref="A356:B361" si="103">A314</f>
        <v>3646</v>
      </c>
      <c r="B356" s="19" t="str">
        <f t="shared" si="103"/>
        <v>TWU</v>
      </c>
      <c r="C356" s="18"/>
      <c r="D356" s="15">
        <v>1774</v>
      </c>
      <c r="E356" s="21">
        <v>0.54500000000000004</v>
      </c>
      <c r="F356" s="14">
        <v>6071.4666666666662</v>
      </c>
      <c r="G356" s="13">
        <v>3425.2000000000221</v>
      </c>
      <c r="H356" s="15">
        <v>614</v>
      </c>
      <c r="I356" s="13">
        <v>31</v>
      </c>
      <c r="J356" s="16">
        <v>1214</v>
      </c>
      <c r="K356" s="15">
        <v>2042</v>
      </c>
      <c r="L356" s="14">
        <v>1371</v>
      </c>
      <c r="M356" s="13">
        <v>668</v>
      </c>
      <c r="O356" s="2"/>
    </row>
    <row r="357" spans="1:15" outlineLevel="1" x14ac:dyDescent="0.2">
      <c r="A357" s="20">
        <f t="shared" si="103"/>
        <v>3581</v>
      </c>
      <c r="B357" s="19" t="str">
        <f t="shared" si="103"/>
        <v>Lamar</v>
      </c>
      <c r="C357" s="18"/>
      <c r="D357" s="15">
        <v>1286</v>
      </c>
      <c r="E357" s="21">
        <v>0.33800000000000002</v>
      </c>
      <c r="F357" s="14">
        <v>7172.9333333333334</v>
      </c>
      <c r="G357" s="13">
        <v>2638.0900000000311</v>
      </c>
      <c r="H357" s="15">
        <v>314</v>
      </c>
      <c r="I357" s="13">
        <v>17</v>
      </c>
      <c r="J357" s="16">
        <v>908</v>
      </c>
      <c r="K357" s="15">
        <v>2043</v>
      </c>
      <c r="L357" s="14">
        <v>1404</v>
      </c>
      <c r="M357" s="13">
        <v>1031</v>
      </c>
      <c r="O357" s="2"/>
    </row>
    <row r="358" spans="1:15" outlineLevel="1" x14ac:dyDescent="0.2">
      <c r="A358" s="20">
        <f t="shared" si="103"/>
        <v>3606</v>
      </c>
      <c r="B358" s="19" t="str">
        <f t="shared" si="103"/>
        <v>SHSU</v>
      </c>
      <c r="C358" s="18"/>
      <c r="D358" s="15">
        <v>3242</v>
      </c>
      <c r="E358" s="21">
        <v>0.57899999999999996</v>
      </c>
      <c r="F358" s="14">
        <v>12517.066666666668</v>
      </c>
      <c r="G358" s="13">
        <v>6188.6300000000374</v>
      </c>
      <c r="H358" s="15">
        <v>163</v>
      </c>
      <c r="I358" s="13">
        <v>69</v>
      </c>
      <c r="J358" s="16">
        <v>2318</v>
      </c>
      <c r="K358" s="15">
        <v>3849</v>
      </c>
      <c r="L358" s="14">
        <v>3011</v>
      </c>
      <c r="M358" s="13">
        <v>1870</v>
      </c>
      <c r="O358" s="2"/>
    </row>
    <row r="359" spans="1:15" outlineLevel="1" x14ac:dyDescent="0.2">
      <c r="A359" s="20">
        <f t="shared" si="103"/>
        <v>3615</v>
      </c>
      <c r="B359" s="19" t="str">
        <f t="shared" si="103"/>
        <v>TXST</v>
      </c>
      <c r="C359" s="18"/>
      <c r="D359" s="15">
        <v>5299</v>
      </c>
      <c r="E359" s="21">
        <v>0.64400000000000002</v>
      </c>
      <c r="F359" s="14">
        <v>21764.6</v>
      </c>
      <c r="G359" s="13">
        <v>10384.469999998846</v>
      </c>
      <c r="H359" s="15">
        <v>439</v>
      </c>
      <c r="I359" s="13">
        <v>68</v>
      </c>
      <c r="J359" s="16">
        <v>3545</v>
      </c>
      <c r="K359" s="15">
        <v>7301</v>
      </c>
      <c r="L359" s="14">
        <v>5428</v>
      </c>
      <c r="M359" s="13">
        <v>3302</v>
      </c>
      <c r="O359" s="2"/>
    </row>
    <row r="360" spans="1:15" outlineLevel="1" x14ac:dyDescent="0.2">
      <c r="A360" s="20">
        <f t="shared" si="103"/>
        <v>3625</v>
      </c>
      <c r="B360" s="19" t="str">
        <f t="shared" si="103"/>
        <v>SRSU</v>
      </c>
      <c r="C360" s="18"/>
      <c r="D360" s="15">
        <v>181</v>
      </c>
      <c r="E360" s="21">
        <v>0.28499999999999998</v>
      </c>
      <c r="F360" s="14">
        <v>1230.9333333333334</v>
      </c>
      <c r="G360" s="13">
        <v>368.43999999999954</v>
      </c>
      <c r="H360" s="15">
        <v>10</v>
      </c>
      <c r="I360" s="13">
        <v>10</v>
      </c>
      <c r="J360" s="16">
        <v>156</v>
      </c>
      <c r="K360" s="15">
        <v>318</v>
      </c>
      <c r="L360" s="14">
        <v>176</v>
      </c>
      <c r="M360" s="13">
        <v>115</v>
      </c>
      <c r="O360" s="2"/>
    </row>
    <row r="361" spans="1:15" outlineLevel="1" x14ac:dyDescent="0.2">
      <c r="A361" s="20">
        <f t="shared" si="103"/>
        <v>20</v>
      </c>
      <c r="B361" s="19" t="str">
        <f t="shared" si="103"/>
        <v>SRRG</v>
      </c>
      <c r="C361" s="18"/>
      <c r="D361" s="15">
        <v>168</v>
      </c>
      <c r="E361" s="17">
        <v>0.36144578313253012</v>
      </c>
      <c r="F361" s="14">
        <v>416.33333333333331</v>
      </c>
      <c r="G361" s="13">
        <v>287.9199999999995</v>
      </c>
      <c r="H361" s="15">
        <v>8</v>
      </c>
      <c r="I361" s="13">
        <v>9</v>
      </c>
      <c r="J361" s="16">
        <v>149</v>
      </c>
      <c r="K361" s="15">
        <v>251</v>
      </c>
      <c r="L361" s="14">
        <v>90</v>
      </c>
      <c r="M361" s="13">
        <v>5</v>
      </c>
      <c r="O361" s="2"/>
    </row>
    <row r="362" spans="1:15" ht="13.5" outlineLevel="1" thickBot="1" x14ac:dyDescent="0.25">
      <c r="A362" s="12"/>
      <c r="B362" s="11" t="s">
        <v>11</v>
      </c>
      <c r="C362" s="10"/>
      <c r="D362" s="9">
        <f>SUM(D324:D361)</f>
        <v>81251</v>
      </c>
      <c r="E362" s="8">
        <v>0.56799999999999995</v>
      </c>
      <c r="F362" s="7">
        <f t="shared" ref="F362:M362" si="104">SUM(F324:F361)</f>
        <v>338321.33333333337</v>
      </c>
      <c r="G362" s="3">
        <f t="shared" si="104"/>
        <v>165601.52999999447</v>
      </c>
      <c r="H362" s="5">
        <f t="shared" si="104"/>
        <v>12362</v>
      </c>
      <c r="I362" s="3">
        <f t="shared" si="104"/>
        <v>1122</v>
      </c>
      <c r="J362" s="6">
        <f t="shared" si="104"/>
        <v>51678</v>
      </c>
      <c r="K362" s="5">
        <f t="shared" si="104"/>
        <v>112517</v>
      </c>
      <c r="L362" s="4">
        <f t="shared" si="104"/>
        <v>81688</v>
      </c>
      <c r="M362" s="3">
        <f t="shared" si="104"/>
        <v>51008</v>
      </c>
      <c r="O362" s="2"/>
    </row>
    <row r="363" spans="1:15" x14ac:dyDescent="0.2">
      <c r="O363" s="2"/>
    </row>
    <row r="365" spans="1:15" x14ac:dyDescent="0.2">
      <c r="A365" s="1" t="s">
        <v>10</v>
      </c>
    </row>
    <row r="366" spans="1:15" x14ac:dyDescent="0.2">
      <c r="A366" s="1" t="s">
        <v>9</v>
      </c>
    </row>
    <row r="367" spans="1:15" x14ac:dyDescent="0.2">
      <c r="A367" s="1" t="s">
        <v>8</v>
      </c>
    </row>
    <row r="368" spans="1:15" x14ac:dyDescent="0.2">
      <c r="A368" s="1" t="s">
        <v>7</v>
      </c>
    </row>
    <row r="369" spans="1:1" x14ac:dyDescent="0.2">
      <c r="A369" s="1" t="s">
        <v>6</v>
      </c>
    </row>
    <row r="370" spans="1:1" x14ac:dyDescent="0.2">
      <c r="A370" s="1" t="s">
        <v>5</v>
      </c>
    </row>
    <row r="371" spans="1:1" x14ac:dyDescent="0.2">
      <c r="A371" s="1" t="s">
        <v>4</v>
      </c>
    </row>
    <row r="372" spans="1:1" x14ac:dyDescent="0.2">
      <c r="A372" s="1" t="s">
        <v>3</v>
      </c>
    </row>
    <row r="373" spans="1:1" x14ac:dyDescent="0.2">
      <c r="A373" s="1" t="s">
        <v>2</v>
      </c>
    </row>
    <row r="374" spans="1:1" x14ac:dyDescent="0.2">
      <c r="A374" s="1" t="s">
        <v>1</v>
      </c>
    </row>
    <row r="375" spans="1:1" x14ac:dyDescent="0.2">
      <c r="A375" s="1" t="s">
        <v>0</v>
      </c>
    </row>
  </sheetData>
  <mergeCells count="89">
    <mergeCell ref="O3:Q3"/>
    <mergeCell ref="A1:M1"/>
    <mergeCell ref="A3:A4"/>
    <mergeCell ref="B3:B4"/>
    <mergeCell ref="C3:C4"/>
    <mergeCell ref="D3:G3"/>
    <mergeCell ref="H3:H4"/>
    <mergeCell ref="I3:I4"/>
    <mergeCell ref="J3:J4"/>
    <mergeCell ref="K3:M3"/>
    <mergeCell ref="J46:J47"/>
    <mergeCell ref="K46:M46"/>
    <mergeCell ref="A88:A89"/>
    <mergeCell ref="B88:B89"/>
    <mergeCell ref="C88:C89"/>
    <mergeCell ref="D88:G88"/>
    <mergeCell ref="H88:H89"/>
    <mergeCell ref="I88:I89"/>
    <mergeCell ref="J88:J89"/>
    <mergeCell ref="K88:M88"/>
    <mergeCell ref="A46:A47"/>
    <mergeCell ref="B46:B47"/>
    <mergeCell ref="C46:C47"/>
    <mergeCell ref="D46:G46"/>
    <mergeCell ref="H46:H47"/>
    <mergeCell ref="I46:I47"/>
    <mergeCell ref="N88:N89"/>
    <mergeCell ref="C129:C130"/>
    <mergeCell ref="D129:G129"/>
    <mergeCell ref="H129:H130"/>
    <mergeCell ref="I129:I130"/>
    <mergeCell ref="J129:J130"/>
    <mergeCell ref="K129:M129"/>
    <mergeCell ref="N129:N130"/>
    <mergeCell ref="J153:J154"/>
    <mergeCell ref="K153:M153"/>
    <mergeCell ref="A155:C155"/>
    <mergeCell ref="A196:A197"/>
    <mergeCell ref="B196:B197"/>
    <mergeCell ref="C196:C197"/>
    <mergeCell ref="D196:D197"/>
    <mergeCell ref="E196:E197"/>
    <mergeCell ref="F196:F197"/>
    <mergeCell ref="G196:G197"/>
    <mergeCell ref="A153:A154"/>
    <mergeCell ref="B153:B154"/>
    <mergeCell ref="C153:C154"/>
    <mergeCell ref="D153:G153"/>
    <mergeCell ref="H153:H154"/>
    <mergeCell ref="I153:I154"/>
    <mergeCell ref="H196:H197"/>
    <mergeCell ref="I196:I197"/>
    <mergeCell ref="J196:J197"/>
    <mergeCell ref="K196:M196"/>
    <mergeCell ref="A238:A239"/>
    <mergeCell ref="B238:B239"/>
    <mergeCell ref="C238:C239"/>
    <mergeCell ref="D238:D239"/>
    <mergeCell ref="E238:E239"/>
    <mergeCell ref="F238:F239"/>
    <mergeCell ref="I238:I239"/>
    <mergeCell ref="J238:J239"/>
    <mergeCell ref="K238:M238"/>
    <mergeCell ref="A280:A281"/>
    <mergeCell ref="B280:B281"/>
    <mergeCell ref="C280:C281"/>
    <mergeCell ref="D280:D281"/>
    <mergeCell ref="E280:E281"/>
    <mergeCell ref="N46:N47"/>
    <mergeCell ref="N153:N154"/>
    <mergeCell ref="A322:A323"/>
    <mergeCell ref="B322:B323"/>
    <mergeCell ref="C322:C323"/>
    <mergeCell ref="D322:D323"/>
    <mergeCell ref="E322:E323"/>
    <mergeCell ref="F322:F323"/>
    <mergeCell ref="F280:F281"/>
    <mergeCell ref="G280:G281"/>
    <mergeCell ref="H280:H281"/>
    <mergeCell ref="I280:I281"/>
    <mergeCell ref="J280:J281"/>
    <mergeCell ref="K280:M280"/>
    <mergeCell ref="G238:G239"/>
    <mergeCell ref="H238:H239"/>
    <mergeCell ref="G322:G323"/>
    <mergeCell ref="H322:H323"/>
    <mergeCell ref="I322:I323"/>
    <mergeCell ref="J322:J323"/>
    <mergeCell ref="K322:M322"/>
  </mergeCells>
  <conditionalFormatting sqref="D142:M142">
    <cfRule type="colorScale" priority="135">
      <colorScale>
        <cfvo type="min"/>
        <cfvo type="max"/>
        <color theme="6" tint="0.79998168889431442"/>
        <color theme="6" tint="-0.499984740745262"/>
      </colorScale>
    </cfRule>
  </conditionalFormatting>
  <conditionalFormatting sqref="D131:M135">
    <cfRule type="cellIs" dxfId="134" priority="142" operator="equal">
      <formula>$D$150</formula>
    </cfRule>
    <cfRule type="cellIs" dxfId="133" priority="143" operator="equal">
      <formula>$E$150</formula>
    </cfRule>
    <cfRule type="cellIs" dxfId="132" priority="144" operator="equal">
      <formula>$F$150</formula>
    </cfRule>
    <cfRule type="cellIs" dxfId="131" priority="145" operator="equal">
      <formula>$G$150</formula>
    </cfRule>
    <cfRule type="cellIs" dxfId="130" priority="146" operator="equal">
      <formula>$H$150</formula>
    </cfRule>
    <cfRule type="cellIs" dxfId="129" priority="147" operator="equal">
      <formula>$I$150</formula>
    </cfRule>
    <cfRule type="cellIs" dxfId="128" priority="148" operator="equal">
      <formula>$J$150</formula>
    </cfRule>
    <cfRule type="cellIs" dxfId="127" priority="149" operator="equal">
      <formula>$K$150</formula>
    </cfRule>
    <cfRule type="cellIs" dxfId="126" priority="150" operator="equal">
      <formula>$L$150</formula>
    </cfRule>
  </conditionalFormatting>
  <conditionalFormatting sqref="D90:M127">
    <cfRule type="cellIs" dxfId="125" priority="1" operator="equal">
      <formula>$D$150</formula>
    </cfRule>
    <cfRule type="cellIs" dxfId="124" priority="2" operator="equal">
      <formula>$E$150</formula>
    </cfRule>
    <cfRule type="cellIs" dxfId="123" priority="3" operator="equal">
      <formula>$F$150</formula>
    </cfRule>
    <cfRule type="cellIs" dxfId="122" priority="4" operator="equal">
      <formula>$G$150</formula>
    </cfRule>
    <cfRule type="cellIs" dxfId="121" priority="5" operator="equal">
      <formula>$H$150</formula>
    </cfRule>
    <cfRule type="cellIs" dxfId="120" priority="6" operator="equal">
      <formula>$I$150</formula>
    </cfRule>
    <cfRule type="cellIs" dxfId="119" priority="7" operator="equal">
      <formula>$J$150</formula>
    </cfRule>
    <cfRule type="cellIs" dxfId="118" priority="8" operator="equal">
      <formula>$K$150</formula>
    </cfRule>
    <cfRule type="cellIs" dxfId="117" priority="9" operator="equal">
      <formula>$L$150</formula>
    </cfRule>
  </conditionalFormatting>
  <pageMargins left="0.25" right="0.25" top="0.5" bottom="0.2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U396"/>
  <sheetViews>
    <sheetView showGridLines="0" zoomScale="70" zoomScaleNormal="70" workbookViewId="0">
      <pane xSplit="2" ySplit="4" topLeftCell="C122" activePane="bottomRight" state="frozen"/>
      <selection activeCell="C5" sqref="C5"/>
      <selection pane="topRight" activeCell="C5" sqref="C5"/>
      <selection pane="bottomLeft" activeCell="C5" sqref="C5"/>
      <selection pane="bottomRight" activeCell="A2" sqref="A2"/>
    </sheetView>
  </sheetViews>
  <sheetFormatPr defaultRowHeight="12.75" outlineLevelRow="1" x14ac:dyDescent="0.2"/>
  <cols>
    <col min="1" max="1" width="7.28515625" style="1" customWidth="1"/>
    <col min="2" max="2" width="10.85546875" style="1" bestFit="1" customWidth="1"/>
    <col min="3" max="3" width="13.7109375" style="1" bestFit="1" customWidth="1"/>
    <col min="4" max="4" width="13.140625" style="1" customWidth="1"/>
    <col min="5" max="5" width="12.5703125" style="1" customWidth="1"/>
    <col min="6" max="6" width="13" style="1" customWidth="1"/>
    <col min="7" max="7" width="12.42578125" style="1" customWidth="1"/>
    <col min="8" max="8" width="12.85546875" style="1" customWidth="1"/>
    <col min="9" max="9" width="12.28515625" style="1" customWidth="1"/>
    <col min="10" max="10" width="12.42578125" style="1" customWidth="1"/>
    <col min="11" max="13" width="12.5703125" style="1" bestFit="1" customWidth="1"/>
    <col min="14" max="14" width="14.28515625" style="154" customWidth="1"/>
    <col min="15" max="15" width="16.42578125" style="1" customWidth="1"/>
    <col min="16" max="16" width="14.85546875" style="1" customWidth="1"/>
    <col min="17" max="17" width="16.85546875" style="1" customWidth="1"/>
    <col min="18" max="18" width="9.140625" style="1"/>
    <col min="19" max="19" width="11.140625" style="1" customWidth="1"/>
    <col min="20" max="20" width="11.28515625" style="1" bestFit="1" customWidth="1"/>
    <col min="21" max="21" width="10.5703125" style="1" bestFit="1" customWidth="1"/>
    <col min="22" max="16384" width="9.140625" style="1"/>
  </cols>
  <sheetData>
    <row r="1" spans="1:21" ht="41.25" customHeight="1" x14ac:dyDescent="0.2">
      <c r="A1" s="257" t="s">
        <v>99</v>
      </c>
      <c r="B1" s="257"/>
      <c r="C1" s="257"/>
      <c r="D1" s="257"/>
      <c r="E1" s="257"/>
      <c r="F1" s="257"/>
      <c r="G1" s="257"/>
      <c r="H1" s="257"/>
      <c r="I1" s="257"/>
      <c r="J1" s="257"/>
      <c r="K1" s="257"/>
      <c r="L1" s="257"/>
      <c r="M1" s="257"/>
    </row>
    <row r="2" spans="1:21" ht="13.5" thickBot="1" x14ac:dyDescent="0.25">
      <c r="A2" s="72"/>
      <c r="B2" s="71"/>
      <c r="C2" s="71"/>
      <c r="D2" s="71"/>
      <c r="E2" s="71"/>
      <c r="F2" s="71"/>
      <c r="G2" s="71"/>
      <c r="H2" s="71"/>
    </row>
    <row r="3" spans="1:21" ht="12.75" customHeight="1" thickBot="1" x14ac:dyDescent="0.25">
      <c r="A3" s="258" t="s">
        <v>24</v>
      </c>
      <c r="B3" s="260" t="s">
        <v>23</v>
      </c>
      <c r="C3" s="262" t="s">
        <v>74</v>
      </c>
      <c r="D3" s="248" t="s">
        <v>35</v>
      </c>
      <c r="E3" s="248"/>
      <c r="F3" s="248"/>
      <c r="G3" s="248"/>
      <c r="H3" s="250" t="s">
        <v>18</v>
      </c>
      <c r="I3" s="225" t="s">
        <v>17</v>
      </c>
      <c r="J3" s="227" t="s">
        <v>16</v>
      </c>
      <c r="K3" s="229" t="s">
        <v>34</v>
      </c>
      <c r="L3" s="230"/>
      <c r="M3" s="231"/>
      <c r="O3" s="254" t="s">
        <v>94</v>
      </c>
      <c r="P3" s="255"/>
      <c r="Q3" s="256"/>
    </row>
    <row r="4" spans="1:21" ht="54" customHeight="1" thickBot="1" x14ac:dyDescent="0.25">
      <c r="A4" s="267"/>
      <c r="B4" s="268"/>
      <c r="C4" s="269"/>
      <c r="D4" s="122"/>
      <c r="E4" s="123" t="s">
        <v>33</v>
      </c>
      <c r="F4" s="123" t="s">
        <v>32</v>
      </c>
      <c r="G4" s="124" t="s">
        <v>31</v>
      </c>
      <c r="H4" s="264"/>
      <c r="I4" s="265"/>
      <c r="J4" s="266"/>
      <c r="K4" s="125" t="s">
        <v>14</v>
      </c>
      <c r="L4" s="126" t="s">
        <v>13</v>
      </c>
      <c r="M4" s="135" t="s">
        <v>12</v>
      </c>
      <c r="O4" s="157" t="s">
        <v>87</v>
      </c>
      <c r="P4" s="121" t="s">
        <v>92</v>
      </c>
      <c r="Q4" s="158" t="s">
        <v>93</v>
      </c>
      <c r="S4" s="204" t="s">
        <v>96</v>
      </c>
    </row>
    <row r="5" spans="1:21" x14ac:dyDescent="0.2">
      <c r="A5" s="40">
        <v>3656</v>
      </c>
      <c r="B5" s="39" t="s">
        <v>73</v>
      </c>
      <c r="C5" s="70">
        <f>SUM(D5:M5)</f>
        <v>12249899.483238775</v>
      </c>
      <c r="D5" s="82">
        <f>D48/$C$86*$C$43</f>
        <v>0</v>
      </c>
      <c r="E5" s="67">
        <f t="shared" ref="E5:M5" si="0">E48/$C$86*$C$43</f>
        <v>3363613.7025375129</v>
      </c>
      <c r="F5" s="67">
        <f t="shared" si="0"/>
        <v>0</v>
      </c>
      <c r="G5" s="66">
        <f t="shared" si="0"/>
        <v>0</v>
      </c>
      <c r="H5" s="68">
        <f t="shared" si="0"/>
        <v>0</v>
      </c>
      <c r="I5" s="66">
        <f t="shared" si="0"/>
        <v>0</v>
      </c>
      <c r="J5" s="69">
        <f t="shared" si="0"/>
        <v>5526331.8394007282</v>
      </c>
      <c r="K5" s="68">
        <f t="shared" si="0"/>
        <v>1717633.1611062812</v>
      </c>
      <c r="L5" s="67">
        <f t="shared" si="0"/>
        <v>1062365.3202046521</v>
      </c>
      <c r="M5" s="66">
        <f t="shared" si="0"/>
        <v>579955.45998959907</v>
      </c>
      <c r="O5" s="74">
        <v>5.3941374102444546E-2</v>
      </c>
      <c r="P5" s="119">
        <f t="shared" ref="P5:P42" si="1">MIN(0,C48/$C$86-O5+$P$44)*-1*$Q$43</f>
        <v>0</v>
      </c>
      <c r="Q5" s="159">
        <f t="shared" ref="Q5:Q42" si="2">C5+P5</f>
        <v>12249899.483238775</v>
      </c>
      <c r="S5" s="205">
        <f>Q5-O5*$Q$43</f>
        <v>-426323.43083569221</v>
      </c>
      <c r="T5" s="202"/>
      <c r="U5" s="203"/>
    </row>
    <row r="6" spans="1:21" x14ac:dyDescent="0.2">
      <c r="A6" s="20">
        <v>3658</v>
      </c>
      <c r="B6" s="19" t="s">
        <v>72</v>
      </c>
      <c r="C6" s="55">
        <f t="shared" ref="C6:C42" si="3">SUM(D6:M6)</f>
        <v>25036693.292718768</v>
      </c>
      <c r="D6" s="15">
        <f t="shared" ref="D6:M21" si="4">D49/$C$86*$C$43</f>
        <v>0</v>
      </c>
      <c r="E6" s="14">
        <f t="shared" si="4"/>
        <v>11509253.864987629</v>
      </c>
      <c r="F6" s="14">
        <f t="shared" si="4"/>
        <v>0</v>
      </c>
      <c r="G6" s="13">
        <f t="shared" si="4"/>
        <v>0</v>
      </c>
      <c r="H6" s="15">
        <f t="shared" si="4"/>
        <v>0</v>
      </c>
      <c r="I6" s="13">
        <f t="shared" si="4"/>
        <v>0</v>
      </c>
      <c r="J6" s="16">
        <f t="shared" si="4"/>
        <v>4103169.3610042068</v>
      </c>
      <c r="K6" s="15">
        <f t="shared" si="4"/>
        <v>1205793.7216357545</v>
      </c>
      <c r="L6" s="14">
        <f t="shared" si="4"/>
        <v>2495602.456827153</v>
      </c>
      <c r="M6" s="13">
        <f t="shared" si="4"/>
        <v>5722873.8882640256</v>
      </c>
      <c r="O6" s="74">
        <v>9.7535367886092073E-2</v>
      </c>
      <c r="P6" s="120">
        <f t="shared" si="1"/>
        <v>0</v>
      </c>
      <c r="Q6" s="160">
        <f t="shared" si="2"/>
        <v>25036693.292718768</v>
      </c>
      <c r="S6" s="206">
        <f t="shared" ref="S6:S43" si="5">Q6-O6*$Q$43</f>
        <v>2115881.8394871317</v>
      </c>
      <c r="T6" s="202"/>
      <c r="U6" s="203"/>
    </row>
    <row r="7" spans="1:21" x14ac:dyDescent="0.2">
      <c r="A7" s="20">
        <v>9741</v>
      </c>
      <c r="B7" s="19" t="s">
        <v>71</v>
      </c>
      <c r="C7" s="55">
        <f t="shared" si="3"/>
        <v>6317461.6685519228</v>
      </c>
      <c r="D7" s="15">
        <f t="shared" si="4"/>
        <v>0</v>
      </c>
      <c r="E7" s="14">
        <f t="shared" si="4"/>
        <v>2610631.5790751972</v>
      </c>
      <c r="F7" s="14">
        <f t="shared" si="4"/>
        <v>0</v>
      </c>
      <c r="G7" s="13">
        <f t="shared" si="4"/>
        <v>0</v>
      </c>
      <c r="H7" s="15">
        <f t="shared" si="4"/>
        <v>0</v>
      </c>
      <c r="I7" s="13">
        <f t="shared" si="4"/>
        <v>0</v>
      </c>
      <c r="J7" s="16">
        <f t="shared" si="4"/>
        <v>1950394.7147507027</v>
      </c>
      <c r="K7" s="15">
        <f t="shared" si="4"/>
        <v>832895.88898541953</v>
      </c>
      <c r="L7" s="14">
        <f t="shared" si="4"/>
        <v>591455.10349277372</v>
      </c>
      <c r="M7" s="13">
        <f t="shared" si="4"/>
        <v>332084.3822478287</v>
      </c>
      <c r="O7" s="74">
        <v>3.0845130992374833E-2</v>
      </c>
      <c r="P7" s="120">
        <f t="shared" si="1"/>
        <v>0</v>
      </c>
      <c r="Q7" s="160">
        <f t="shared" si="2"/>
        <v>6317461.6685519228</v>
      </c>
      <c r="S7" s="206">
        <f t="shared" si="5"/>
        <v>-931144.11465616338</v>
      </c>
      <c r="T7" s="202"/>
      <c r="U7" s="203"/>
    </row>
    <row r="8" spans="1:21" x14ac:dyDescent="0.2">
      <c r="A8" s="20">
        <v>3661</v>
      </c>
      <c r="B8" s="19" t="s">
        <v>70</v>
      </c>
      <c r="C8" s="55">
        <f t="shared" si="3"/>
        <v>8674424.7090408318</v>
      </c>
      <c r="D8" s="15">
        <f t="shared" si="4"/>
        <v>0</v>
      </c>
      <c r="E8" s="14">
        <f t="shared" si="4"/>
        <v>925076.42534942855</v>
      </c>
      <c r="F8" s="14">
        <f t="shared" si="4"/>
        <v>0</v>
      </c>
      <c r="G8" s="13">
        <f t="shared" si="4"/>
        <v>0</v>
      </c>
      <c r="H8" s="15">
        <f t="shared" si="4"/>
        <v>0</v>
      </c>
      <c r="I8" s="13">
        <f t="shared" si="4"/>
        <v>0</v>
      </c>
      <c r="J8" s="16">
        <f t="shared" si="4"/>
        <v>4370578.8712761644</v>
      </c>
      <c r="K8" s="15">
        <f t="shared" si="4"/>
        <v>548061.40749327152</v>
      </c>
      <c r="L8" s="14">
        <f t="shared" si="4"/>
        <v>1240734.8040160758</v>
      </c>
      <c r="M8" s="13">
        <f t="shared" si="4"/>
        <v>1589973.2009058902</v>
      </c>
      <c r="O8" s="74">
        <v>3.8067899960727944E-2</v>
      </c>
      <c r="P8" s="120">
        <f t="shared" si="1"/>
        <v>0</v>
      </c>
      <c r="Q8" s="160">
        <f t="shared" si="2"/>
        <v>8674424.7090408318</v>
      </c>
      <c r="S8" s="206">
        <f t="shared" si="5"/>
        <v>-271531.78173023462</v>
      </c>
      <c r="T8" s="202"/>
      <c r="U8" s="203"/>
    </row>
    <row r="9" spans="1:21" x14ac:dyDescent="0.2">
      <c r="A9" s="20">
        <v>3599</v>
      </c>
      <c r="B9" s="19" t="s">
        <v>69</v>
      </c>
      <c r="C9" s="55">
        <f t="shared" si="3"/>
        <v>8243862.759551513</v>
      </c>
      <c r="D9" s="15">
        <f t="shared" si="4"/>
        <v>0</v>
      </c>
      <c r="E9" s="14">
        <f t="shared" si="4"/>
        <v>1150411.674995661</v>
      </c>
      <c r="F9" s="14">
        <f t="shared" si="4"/>
        <v>0</v>
      </c>
      <c r="G9" s="13">
        <f t="shared" si="4"/>
        <v>0</v>
      </c>
      <c r="H9" s="15">
        <f t="shared" si="4"/>
        <v>0</v>
      </c>
      <c r="I9" s="13">
        <f t="shared" si="4"/>
        <v>0</v>
      </c>
      <c r="J9" s="16">
        <f t="shared" si="4"/>
        <v>4147113.5915057883</v>
      </c>
      <c r="K9" s="15">
        <f t="shared" si="4"/>
        <v>511965.06479314924</v>
      </c>
      <c r="L9" s="14">
        <f t="shared" si="4"/>
        <v>857947.05626126518</v>
      </c>
      <c r="M9" s="13">
        <f t="shared" si="4"/>
        <v>1576425.3719956491</v>
      </c>
      <c r="O9" s="74">
        <v>3.6041180893975448E-2</v>
      </c>
      <c r="P9" s="120">
        <f t="shared" si="1"/>
        <v>0</v>
      </c>
      <c r="Q9" s="160">
        <f t="shared" si="2"/>
        <v>8243862.759551513</v>
      </c>
      <c r="S9" s="206">
        <f t="shared" si="5"/>
        <v>-225814.75053271744</v>
      </c>
      <c r="T9" s="202"/>
      <c r="U9" s="203"/>
    </row>
    <row r="10" spans="1:21" x14ac:dyDescent="0.2">
      <c r="A10" s="20">
        <v>30646</v>
      </c>
      <c r="B10" s="19" t="s">
        <v>68</v>
      </c>
      <c r="C10" s="55">
        <f t="shared" si="3"/>
        <v>2993703.7459334293</v>
      </c>
      <c r="D10" s="15">
        <f t="shared" si="4"/>
        <v>0</v>
      </c>
      <c r="E10" s="14">
        <f t="shared" si="4"/>
        <v>812351.80202498718</v>
      </c>
      <c r="F10" s="14">
        <f t="shared" si="4"/>
        <v>0</v>
      </c>
      <c r="G10" s="13">
        <f t="shared" si="4"/>
        <v>0</v>
      </c>
      <c r="H10" s="15">
        <f t="shared" si="4"/>
        <v>0</v>
      </c>
      <c r="I10" s="13">
        <f t="shared" si="4"/>
        <v>0</v>
      </c>
      <c r="J10" s="16">
        <f t="shared" si="4"/>
        <v>1661210.1485575573</v>
      </c>
      <c r="K10" s="15">
        <f t="shared" si="4"/>
        <v>333242.10580924927</v>
      </c>
      <c r="L10" s="14">
        <f t="shared" si="4"/>
        <v>154168.13489449309</v>
      </c>
      <c r="M10" s="13">
        <f t="shared" si="4"/>
        <v>32731.554647142391</v>
      </c>
      <c r="O10" s="74">
        <v>1.3127311227878089E-2</v>
      </c>
      <c r="P10" s="120">
        <f t="shared" si="1"/>
        <v>0</v>
      </c>
      <c r="Q10" s="160">
        <f t="shared" si="2"/>
        <v>2993703.7459334293</v>
      </c>
      <c r="S10" s="206">
        <f t="shared" si="5"/>
        <v>-91214.392617921345</v>
      </c>
      <c r="T10" s="202"/>
      <c r="U10" s="203"/>
    </row>
    <row r="11" spans="1:21" x14ac:dyDescent="0.2">
      <c r="A11" s="20">
        <v>9930</v>
      </c>
      <c r="B11" s="19" t="s">
        <v>67</v>
      </c>
      <c r="C11" s="55">
        <f t="shared" si="3"/>
        <v>1410704.6339031502</v>
      </c>
      <c r="D11" s="15">
        <f t="shared" si="4"/>
        <v>0</v>
      </c>
      <c r="E11" s="14">
        <f t="shared" si="4"/>
        <v>306230.19820384867</v>
      </c>
      <c r="F11" s="14">
        <f t="shared" si="4"/>
        <v>0</v>
      </c>
      <c r="G11" s="13">
        <f t="shared" si="4"/>
        <v>0</v>
      </c>
      <c r="H11" s="15">
        <f t="shared" si="4"/>
        <v>0</v>
      </c>
      <c r="I11" s="13">
        <f t="shared" si="4"/>
        <v>0</v>
      </c>
      <c r="J11" s="16">
        <f t="shared" si="4"/>
        <v>707640.05260619079</v>
      </c>
      <c r="K11" s="15">
        <f t="shared" si="4"/>
        <v>197399.25694707225</v>
      </c>
      <c r="L11" s="14">
        <f t="shared" si="4"/>
        <v>136248.05210867422</v>
      </c>
      <c r="M11" s="13">
        <f t="shared" si="4"/>
        <v>63187.074037364277</v>
      </c>
      <c r="O11" s="74">
        <v>6.658597974462911E-3</v>
      </c>
      <c r="P11" s="120">
        <f t="shared" si="1"/>
        <v>0</v>
      </c>
      <c r="Q11" s="160">
        <f t="shared" si="2"/>
        <v>1410704.6339031502</v>
      </c>
      <c r="S11" s="206">
        <f t="shared" si="5"/>
        <v>-154065.89009563392</v>
      </c>
      <c r="T11" s="202"/>
      <c r="U11" s="203"/>
    </row>
    <row r="12" spans="1:21" x14ac:dyDescent="0.2">
      <c r="A12" s="20">
        <v>10115</v>
      </c>
      <c r="B12" s="19" t="s">
        <v>66</v>
      </c>
      <c r="C12" s="55">
        <f t="shared" si="3"/>
        <v>11596742.537770456</v>
      </c>
      <c r="D12" s="15">
        <f t="shared" si="4"/>
        <v>0</v>
      </c>
      <c r="E12" s="14">
        <f t="shared" si="4"/>
        <v>2246454.7014807281</v>
      </c>
      <c r="F12" s="14">
        <f t="shared" si="4"/>
        <v>0</v>
      </c>
      <c r="G12" s="13">
        <f t="shared" si="4"/>
        <v>0</v>
      </c>
      <c r="H12" s="15">
        <f t="shared" si="4"/>
        <v>0</v>
      </c>
      <c r="I12" s="13">
        <f t="shared" si="4"/>
        <v>0</v>
      </c>
      <c r="J12" s="16">
        <f t="shared" si="4"/>
        <v>5539928.9331433699</v>
      </c>
      <c r="K12" s="15">
        <f t="shared" si="4"/>
        <v>1710933.1438997623</v>
      </c>
      <c r="L12" s="14">
        <f t="shared" si="4"/>
        <v>823707.99774265604</v>
      </c>
      <c r="M12" s="13">
        <f t="shared" si="4"/>
        <v>1275717.7615039386</v>
      </c>
      <c r="O12" s="74">
        <v>5.1993931386758195E-2</v>
      </c>
      <c r="P12" s="120">
        <f t="shared" si="1"/>
        <v>0</v>
      </c>
      <c r="Q12" s="160">
        <f t="shared" si="2"/>
        <v>11596742.537770456</v>
      </c>
      <c r="S12" s="206">
        <f t="shared" si="5"/>
        <v>-621831.33811772056</v>
      </c>
      <c r="T12" s="202"/>
      <c r="U12" s="203"/>
    </row>
    <row r="13" spans="1:21" x14ac:dyDescent="0.2">
      <c r="A13" s="20">
        <v>11163</v>
      </c>
      <c r="B13" s="19" t="s">
        <v>65</v>
      </c>
      <c r="C13" s="55">
        <f t="shared" si="3"/>
        <v>3198277.2301377412</v>
      </c>
      <c r="D13" s="15">
        <f t="shared" si="4"/>
        <v>0</v>
      </c>
      <c r="E13" s="14">
        <f t="shared" si="4"/>
        <v>793564.69422777474</v>
      </c>
      <c r="F13" s="14">
        <f t="shared" si="4"/>
        <v>0</v>
      </c>
      <c r="G13" s="13">
        <f t="shared" si="4"/>
        <v>0</v>
      </c>
      <c r="H13" s="15">
        <f t="shared" si="4"/>
        <v>0</v>
      </c>
      <c r="I13" s="13">
        <f t="shared" si="4"/>
        <v>0</v>
      </c>
      <c r="J13" s="16">
        <f t="shared" si="4"/>
        <v>1671260.1743673361</v>
      </c>
      <c r="K13" s="15">
        <f t="shared" si="4"/>
        <v>360879.676786141</v>
      </c>
      <c r="L13" s="14">
        <f t="shared" si="4"/>
        <v>246632.06720688823</v>
      </c>
      <c r="M13" s="13">
        <f t="shared" si="4"/>
        <v>125940.61754960084</v>
      </c>
      <c r="O13" s="74">
        <v>1.2069401585431769E-2</v>
      </c>
      <c r="P13" s="120">
        <f t="shared" si="1"/>
        <v>0</v>
      </c>
      <c r="Q13" s="160">
        <f t="shared" si="2"/>
        <v>3198277.2301377412</v>
      </c>
      <c r="S13" s="206">
        <f t="shared" si="5"/>
        <v>361967.85756127536</v>
      </c>
      <c r="T13" s="202"/>
      <c r="U13" s="203"/>
    </row>
    <row r="14" spans="1:21" x14ac:dyDescent="0.2">
      <c r="A14" s="20">
        <v>3632</v>
      </c>
      <c r="B14" s="19" t="s">
        <v>64</v>
      </c>
      <c r="C14" s="55">
        <f t="shared" si="3"/>
        <v>25143837.529276215</v>
      </c>
      <c r="D14" s="15">
        <f t="shared" si="4"/>
        <v>0</v>
      </c>
      <c r="E14" s="14">
        <f t="shared" si="4"/>
        <v>11401612.053622924</v>
      </c>
      <c r="F14" s="14">
        <f t="shared" si="4"/>
        <v>0</v>
      </c>
      <c r="G14" s="13">
        <f t="shared" si="4"/>
        <v>0</v>
      </c>
      <c r="H14" s="15">
        <f t="shared" si="4"/>
        <v>0</v>
      </c>
      <c r="I14" s="13">
        <f t="shared" si="4"/>
        <v>0</v>
      </c>
      <c r="J14" s="16">
        <f t="shared" si="4"/>
        <v>4403093.6606607428</v>
      </c>
      <c r="K14" s="15">
        <f t="shared" si="4"/>
        <v>1263874.4957947675</v>
      </c>
      <c r="L14" s="14">
        <f t="shared" si="4"/>
        <v>2468352.8464054191</v>
      </c>
      <c r="M14" s="13">
        <f t="shared" si="4"/>
        <v>5606904.4727923628</v>
      </c>
      <c r="O14" s="74">
        <v>0.10514316433214833</v>
      </c>
      <c r="P14" s="120">
        <f t="shared" si="1"/>
        <v>0</v>
      </c>
      <c r="Q14" s="160">
        <f t="shared" si="2"/>
        <v>25143837.529276215</v>
      </c>
      <c r="S14" s="206">
        <f t="shared" si="5"/>
        <v>435193.9112213552</v>
      </c>
      <c r="T14" s="202"/>
      <c r="U14" s="203"/>
    </row>
    <row r="15" spans="1:21" x14ac:dyDescent="0.2">
      <c r="A15" s="20">
        <v>10298</v>
      </c>
      <c r="B15" s="19" t="s">
        <v>63</v>
      </c>
      <c r="C15" s="55">
        <f t="shared" si="3"/>
        <v>1250890.2565671925</v>
      </c>
      <c r="D15" s="15">
        <f t="shared" si="4"/>
        <v>0</v>
      </c>
      <c r="E15" s="14">
        <f t="shared" si="4"/>
        <v>335053.94318287255</v>
      </c>
      <c r="F15" s="14">
        <f t="shared" si="4"/>
        <v>0</v>
      </c>
      <c r="G15" s="13">
        <f t="shared" si="4"/>
        <v>0</v>
      </c>
      <c r="H15" s="15">
        <f t="shared" si="4"/>
        <v>0</v>
      </c>
      <c r="I15" s="13">
        <f t="shared" si="4"/>
        <v>0</v>
      </c>
      <c r="J15" s="16">
        <f t="shared" si="4"/>
        <v>420327.55004427867</v>
      </c>
      <c r="K15" s="15">
        <f t="shared" si="4"/>
        <v>167427.14872478397</v>
      </c>
      <c r="L15" s="14">
        <f t="shared" si="4"/>
        <v>88122.468957067933</v>
      </c>
      <c r="M15" s="13">
        <f t="shared" si="4"/>
        <v>239959.14565818952</v>
      </c>
      <c r="O15" s="74">
        <v>7.0859752523080169E-3</v>
      </c>
      <c r="P15" s="120">
        <f t="shared" si="1"/>
        <v>0</v>
      </c>
      <c r="Q15" s="160">
        <f t="shared" si="2"/>
        <v>1250890.2565671925</v>
      </c>
      <c r="S15" s="206">
        <f t="shared" si="5"/>
        <v>-414313.92772519146</v>
      </c>
      <c r="T15" s="202"/>
      <c r="U15" s="203"/>
    </row>
    <row r="16" spans="1:21" x14ac:dyDescent="0.2">
      <c r="A16" s="20">
        <v>3630</v>
      </c>
      <c r="B16" s="19" t="s">
        <v>62</v>
      </c>
      <c r="C16" s="55">
        <f t="shared" si="3"/>
        <v>3090168.1828917451</v>
      </c>
      <c r="D16" s="15">
        <f t="shared" si="4"/>
        <v>0</v>
      </c>
      <c r="E16" s="14">
        <f t="shared" si="4"/>
        <v>180015.70924012596</v>
      </c>
      <c r="F16" s="14">
        <f t="shared" si="4"/>
        <v>0</v>
      </c>
      <c r="G16" s="13">
        <f t="shared" si="4"/>
        <v>0</v>
      </c>
      <c r="H16" s="15">
        <f t="shared" si="4"/>
        <v>0</v>
      </c>
      <c r="I16" s="13">
        <f t="shared" si="4"/>
        <v>0</v>
      </c>
      <c r="J16" s="16">
        <f t="shared" si="4"/>
        <v>1423556.5970557288</v>
      </c>
      <c r="K16" s="15">
        <f t="shared" si="4"/>
        <v>314314.55720083247</v>
      </c>
      <c r="L16" s="14">
        <f t="shared" si="4"/>
        <v>436363.2529907641</v>
      </c>
      <c r="M16" s="13">
        <f t="shared" si="4"/>
        <v>735918.06640429399</v>
      </c>
      <c r="O16" s="74">
        <v>1.5279410782616385E-2</v>
      </c>
      <c r="P16" s="120">
        <f t="shared" si="1"/>
        <v>0</v>
      </c>
      <c r="Q16" s="160">
        <f t="shared" si="2"/>
        <v>3090168.1828917451</v>
      </c>
      <c r="S16" s="206">
        <f t="shared" si="5"/>
        <v>-500493.35102310544</v>
      </c>
      <c r="T16" s="202"/>
      <c r="U16" s="203"/>
    </row>
    <row r="17" spans="1:21" x14ac:dyDescent="0.2">
      <c r="A17" s="20">
        <v>3631</v>
      </c>
      <c r="B17" s="19" t="s">
        <v>61</v>
      </c>
      <c r="C17" s="55">
        <f t="shared" si="3"/>
        <v>4287030.3956833566</v>
      </c>
      <c r="D17" s="15">
        <f t="shared" si="4"/>
        <v>0</v>
      </c>
      <c r="E17" s="14">
        <f t="shared" si="4"/>
        <v>955248.54879126442</v>
      </c>
      <c r="F17" s="14">
        <f t="shared" si="4"/>
        <v>0</v>
      </c>
      <c r="G17" s="13">
        <f t="shared" si="4"/>
        <v>0</v>
      </c>
      <c r="H17" s="15">
        <f t="shared" si="4"/>
        <v>0</v>
      </c>
      <c r="I17" s="13">
        <f t="shared" si="4"/>
        <v>0</v>
      </c>
      <c r="J17" s="16">
        <f t="shared" si="4"/>
        <v>2119373.0898857093</v>
      </c>
      <c r="K17" s="15">
        <f t="shared" si="4"/>
        <v>405958.23005375307</v>
      </c>
      <c r="L17" s="14">
        <f t="shared" si="4"/>
        <v>245462.02743736748</v>
      </c>
      <c r="M17" s="13">
        <f t="shared" si="4"/>
        <v>560988.49951526162</v>
      </c>
      <c r="O17" s="74">
        <v>1.9985241623354359E-2</v>
      </c>
      <c r="P17" s="120">
        <f t="shared" si="1"/>
        <v>0</v>
      </c>
      <c r="Q17" s="160">
        <f t="shared" si="2"/>
        <v>4287030.3956833566</v>
      </c>
      <c r="S17" s="206">
        <f t="shared" si="5"/>
        <v>-409501.38580491766</v>
      </c>
      <c r="T17" s="202"/>
      <c r="U17" s="203"/>
    </row>
    <row r="18" spans="1:21" x14ac:dyDescent="0.2">
      <c r="A18" s="65">
        <v>103631</v>
      </c>
      <c r="B18" s="19" t="s">
        <v>60</v>
      </c>
      <c r="C18" s="55">
        <f t="shared" si="3"/>
        <v>1036781.2306043101</v>
      </c>
      <c r="D18" s="15">
        <f t="shared" si="4"/>
        <v>0</v>
      </c>
      <c r="E18" s="14">
        <f t="shared" si="4"/>
        <v>284555.273054516</v>
      </c>
      <c r="F18" s="14">
        <f t="shared" si="4"/>
        <v>0</v>
      </c>
      <c r="G18" s="13">
        <f t="shared" si="4"/>
        <v>0</v>
      </c>
      <c r="H18" s="15">
        <f t="shared" si="4"/>
        <v>0</v>
      </c>
      <c r="I18" s="13">
        <f t="shared" si="4"/>
        <v>0</v>
      </c>
      <c r="J18" s="16">
        <f t="shared" si="4"/>
        <v>579945.60702311876</v>
      </c>
      <c r="K18" s="15">
        <f t="shared" si="4"/>
        <v>124369.06939601287</v>
      </c>
      <c r="L18" s="14">
        <f t="shared" si="4"/>
        <v>36856.252739905773</v>
      </c>
      <c r="M18" s="13">
        <f t="shared" si="4"/>
        <v>11055.028390756701</v>
      </c>
      <c r="O18" s="74">
        <v>3.4527219750504121E-3</v>
      </c>
      <c r="P18" s="120">
        <f t="shared" si="1"/>
        <v>0</v>
      </c>
      <c r="Q18" s="160">
        <f t="shared" si="2"/>
        <v>1036781.2306043101</v>
      </c>
      <c r="S18" s="206">
        <f t="shared" si="5"/>
        <v>225391.56646746316</v>
      </c>
      <c r="T18" s="202"/>
      <c r="U18" s="203"/>
    </row>
    <row r="19" spans="1:21" x14ac:dyDescent="0.2">
      <c r="A19" s="20">
        <v>11161</v>
      </c>
      <c r="B19" s="19" t="s">
        <v>59</v>
      </c>
      <c r="C19" s="55">
        <f t="shared" si="3"/>
        <v>4063492.6966093499</v>
      </c>
      <c r="D19" s="15">
        <f t="shared" si="4"/>
        <v>0</v>
      </c>
      <c r="E19" s="14">
        <f t="shared" si="4"/>
        <v>912060.77979119786</v>
      </c>
      <c r="F19" s="14">
        <f t="shared" si="4"/>
        <v>0</v>
      </c>
      <c r="G19" s="13">
        <f t="shared" si="4"/>
        <v>0</v>
      </c>
      <c r="H19" s="15">
        <f t="shared" si="4"/>
        <v>0</v>
      </c>
      <c r="I19" s="13">
        <f t="shared" si="4"/>
        <v>0</v>
      </c>
      <c r="J19" s="16">
        <f t="shared" si="4"/>
        <v>1915416.6837460804</v>
      </c>
      <c r="K19" s="15">
        <f t="shared" si="4"/>
        <v>258034.41266607115</v>
      </c>
      <c r="L19" s="14">
        <f t="shared" si="4"/>
        <v>406804.35355023813</v>
      </c>
      <c r="M19" s="13">
        <f t="shared" si="4"/>
        <v>571176.46685576276</v>
      </c>
      <c r="O19" s="74">
        <v>1.9224284187157891E-2</v>
      </c>
      <c r="P19" s="120">
        <f t="shared" si="1"/>
        <v>0</v>
      </c>
      <c r="Q19" s="160">
        <f t="shared" si="2"/>
        <v>4063492.6966093499</v>
      </c>
      <c r="S19" s="206">
        <f t="shared" si="5"/>
        <v>-454214.0873727547</v>
      </c>
      <c r="T19" s="202"/>
      <c r="U19" s="203"/>
    </row>
    <row r="20" spans="1:21" x14ac:dyDescent="0.2">
      <c r="A20" s="20">
        <v>3639</v>
      </c>
      <c r="B20" s="19" t="s">
        <v>58</v>
      </c>
      <c r="C20" s="55">
        <f t="shared" si="3"/>
        <v>2313559.848692961</v>
      </c>
      <c r="D20" s="15">
        <f t="shared" si="4"/>
        <v>0</v>
      </c>
      <c r="E20" s="14">
        <f t="shared" si="4"/>
        <v>237776.28251554721</v>
      </c>
      <c r="F20" s="14">
        <f t="shared" si="4"/>
        <v>0</v>
      </c>
      <c r="G20" s="13">
        <f t="shared" si="4"/>
        <v>0</v>
      </c>
      <c r="H20" s="15">
        <f t="shared" si="4"/>
        <v>0</v>
      </c>
      <c r="I20" s="13">
        <f t="shared" si="4"/>
        <v>0</v>
      </c>
      <c r="J20" s="16">
        <f t="shared" si="4"/>
        <v>1149841.1882364587</v>
      </c>
      <c r="K20" s="15">
        <f t="shared" si="4"/>
        <v>154184.14596502334</v>
      </c>
      <c r="L20" s="14">
        <f t="shared" si="4"/>
        <v>317635.00690465153</v>
      </c>
      <c r="M20" s="13">
        <f t="shared" si="4"/>
        <v>454123.22507128003</v>
      </c>
      <c r="O20" s="74">
        <v>1.296528221607569E-2</v>
      </c>
      <c r="P20" s="120">
        <f t="shared" si="1"/>
        <v>0</v>
      </c>
      <c r="Q20" s="160">
        <f t="shared" si="2"/>
        <v>2313559.848692961</v>
      </c>
      <c r="S20" s="206">
        <f t="shared" si="5"/>
        <v>-733281.47208482632</v>
      </c>
      <c r="T20" s="202"/>
      <c r="U20" s="203"/>
    </row>
    <row r="21" spans="1:21" x14ac:dyDescent="0.2">
      <c r="A21" s="65">
        <v>103639</v>
      </c>
      <c r="B21" s="19" t="s">
        <v>57</v>
      </c>
      <c r="C21" s="55">
        <f t="shared" si="3"/>
        <v>1381011.2209431562</v>
      </c>
      <c r="D21" s="15">
        <f t="shared" si="4"/>
        <v>0</v>
      </c>
      <c r="E21" s="14">
        <f t="shared" si="4"/>
        <v>305761.91544486483</v>
      </c>
      <c r="F21" s="14">
        <f t="shared" si="4"/>
        <v>0</v>
      </c>
      <c r="G21" s="13">
        <f t="shared" si="4"/>
        <v>0</v>
      </c>
      <c r="H21" s="15">
        <f t="shared" si="4"/>
        <v>0</v>
      </c>
      <c r="I21" s="13">
        <f t="shared" si="4"/>
        <v>0</v>
      </c>
      <c r="J21" s="16">
        <f t="shared" si="4"/>
        <v>869622.82154027291</v>
      </c>
      <c r="K21" s="15">
        <f t="shared" si="4"/>
        <v>183329.22081338192</v>
      </c>
      <c r="L21" s="14">
        <f t="shared" si="4"/>
        <v>21430.2020943813</v>
      </c>
      <c r="M21" s="13">
        <f t="shared" si="4"/>
        <v>867.06105025542752</v>
      </c>
      <c r="O21" s="74">
        <v>5.939285915308113E-3</v>
      </c>
      <c r="P21" s="120">
        <f t="shared" si="1"/>
        <v>0</v>
      </c>
      <c r="Q21" s="160">
        <f t="shared" si="2"/>
        <v>1381011.2209431562</v>
      </c>
      <c r="S21" s="206">
        <f t="shared" si="5"/>
        <v>-14720.969154250342</v>
      </c>
      <c r="T21" s="202"/>
      <c r="U21" s="203"/>
    </row>
    <row r="22" spans="1:21" x14ac:dyDescent="0.2">
      <c r="A22" s="20">
        <v>9651</v>
      </c>
      <c r="B22" s="19" t="s">
        <v>56</v>
      </c>
      <c r="C22" s="55">
        <f t="shared" si="3"/>
        <v>2541661.7907998129</v>
      </c>
      <c r="D22" s="15">
        <f t="shared" ref="D22:M37" si="6">D65/$C$86*$C$43</f>
        <v>0</v>
      </c>
      <c r="E22" s="14">
        <f t="shared" si="6"/>
        <v>483367.24012471037</v>
      </c>
      <c r="F22" s="14">
        <f t="shared" si="6"/>
        <v>0</v>
      </c>
      <c r="G22" s="13">
        <f t="shared" si="6"/>
        <v>0</v>
      </c>
      <c r="H22" s="15">
        <f t="shared" si="6"/>
        <v>0</v>
      </c>
      <c r="I22" s="13">
        <f t="shared" si="6"/>
        <v>0</v>
      </c>
      <c r="J22" s="16">
        <f t="shared" si="6"/>
        <v>1263938.5400768886</v>
      </c>
      <c r="K22" s="15">
        <f t="shared" si="6"/>
        <v>265069.43073291628</v>
      </c>
      <c r="L22" s="14">
        <f t="shared" si="6"/>
        <v>375274.86081367714</v>
      </c>
      <c r="M22" s="13">
        <f t="shared" si="6"/>
        <v>154011.71905162034</v>
      </c>
      <c r="O22" s="74">
        <v>1.0886031395541047E-2</v>
      </c>
      <c r="P22" s="120">
        <f t="shared" si="1"/>
        <v>0</v>
      </c>
      <c r="Q22" s="160">
        <f t="shared" si="2"/>
        <v>2541661.7907998129</v>
      </c>
      <c r="S22" s="206">
        <f t="shared" si="5"/>
        <v>-16555.587152332999</v>
      </c>
      <c r="T22" s="202"/>
      <c r="U22" s="203"/>
    </row>
    <row r="23" spans="1:21" x14ac:dyDescent="0.2">
      <c r="A23" s="20">
        <v>3665</v>
      </c>
      <c r="B23" s="19" t="s">
        <v>55</v>
      </c>
      <c r="C23" s="55">
        <f t="shared" si="3"/>
        <v>3342782.0271027754</v>
      </c>
      <c r="D23" s="15">
        <f t="shared" si="6"/>
        <v>0</v>
      </c>
      <c r="E23" s="14">
        <f t="shared" si="6"/>
        <v>764282.86841547664</v>
      </c>
      <c r="F23" s="14">
        <f t="shared" si="6"/>
        <v>0</v>
      </c>
      <c r="G23" s="13">
        <f t="shared" si="6"/>
        <v>0</v>
      </c>
      <c r="H23" s="15">
        <f t="shared" si="6"/>
        <v>0</v>
      </c>
      <c r="I23" s="13">
        <f t="shared" si="6"/>
        <v>0</v>
      </c>
      <c r="J23" s="16">
        <f t="shared" si="6"/>
        <v>1577262.8741464638</v>
      </c>
      <c r="K23" s="15">
        <f t="shared" si="6"/>
        <v>450157.40606300958</v>
      </c>
      <c r="L23" s="14">
        <f t="shared" si="6"/>
        <v>336047.73801447923</v>
      </c>
      <c r="M23" s="13">
        <f t="shared" si="6"/>
        <v>215031.14046334603</v>
      </c>
      <c r="O23" s="74">
        <v>1.5183466872892367E-2</v>
      </c>
      <c r="P23" s="120">
        <f t="shared" si="1"/>
        <v>0</v>
      </c>
      <c r="Q23" s="160">
        <f t="shared" si="2"/>
        <v>3342782.0271027754</v>
      </c>
      <c r="S23" s="206">
        <f t="shared" si="5"/>
        <v>-225332.68802693114</v>
      </c>
      <c r="T23" s="202"/>
      <c r="U23" s="203"/>
    </row>
    <row r="24" spans="1:21" x14ac:dyDescent="0.2">
      <c r="A24" s="20">
        <v>3565</v>
      </c>
      <c r="B24" s="19" t="s">
        <v>54</v>
      </c>
      <c r="C24" s="55">
        <f t="shared" si="3"/>
        <v>3499244.0968099609</v>
      </c>
      <c r="D24" s="15">
        <f t="shared" si="6"/>
        <v>0</v>
      </c>
      <c r="E24" s="14">
        <f t="shared" si="6"/>
        <v>753557.33964542777</v>
      </c>
      <c r="F24" s="14">
        <f t="shared" si="6"/>
        <v>0</v>
      </c>
      <c r="G24" s="13">
        <f t="shared" si="6"/>
        <v>0</v>
      </c>
      <c r="H24" s="15">
        <f t="shared" si="6"/>
        <v>0</v>
      </c>
      <c r="I24" s="13">
        <f t="shared" si="6"/>
        <v>0</v>
      </c>
      <c r="J24" s="16">
        <f t="shared" si="6"/>
        <v>1807822.289782566</v>
      </c>
      <c r="K24" s="15">
        <f t="shared" si="6"/>
        <v>475617.47144778253</v>
      </c>
      <c r="L24" s="14">
        <f t="shared" si="6"/>
        <v>315171.76528460771</v>
      </c>
      <c r="M24" s="13">
        <f t="shared" si="6"/>
        <v>147075.23064957687</v>
      </c>
      <c r="O24" s="74">
        <v>1.411122580581306E-2</v>
      </c>
      <c r="P24" s="120">
        <f t="shared" si="1"/>
        <v>0</v>
      </c>
      <c r="Q24" s="160">
        <f t="shared" si="2"/>
        <v>3499244.0968099609</v>
      </c>
      <c r="S24" s="206">
        <f t="shared" si="5"/>
        <v>183106.03244389175</v>
      </c>
      <c r="T24" s="202"/>
      <c r="U24" s="203"/>
    </row>
    <row r="25" spans="1:21" x14ac:dyDescent="0.2">
      <c r="A25" s="20">
        <v>29269</v>
      </c>
      <c r="B25" s="19" t="s">
        <v>53</v>
      </c>
      <c r="C25" s="55">
        <f t="shared" si="3"/>
        <v>825251.55814366951</v>
      </c>
      <c r="D25" s="15">
        <f t="shared" si="6"/>
        <v>0</v>
      </c>
      <c r="E25" s="14">
        <f t="shared" si="6"/>
        <v>242294.63824004718</v>
      </c>
      <c r="F25" s="14">
        <f t="shared" si="6"/>
        <v>0</v>
      </c>
      <c r="G25" s="13">
        <f t="shared" si="6"/>
        <v>0</v>
      </c>
      <c r="H25" s="15">
        <f t="shared" si="6"/>
        <v>0</v>
      </c>
      <c r="I25" s="13">
        <f t="shared" si="6"/>
        <v>0</v>
      </c>
      <c r="J25" s="16">
        <f t="shared" si="6"/>
        <v>423874.61797714187</v>
      </c>
      <c r="K25" s="15">
        <f t="shared" si="6"/>
        <v>108707.77917577419</v>
      </c>
      <c r="L25" s="14">
        <f t="shared" si="6"/>
        <v>50157.757488142444</v>
      </c>
      <c r="M25" s="13">
        <f t="shared" si="6"/>
        <v>216.76526256385688</v>
      </c>
      <c r="O25" s="74">
        <v>2.885126155730112E-3</v>
      </c>
      <c r="P25" s="120">
        <f t="shared" si="1"/>
        <v>0</v>
      </c>
      <c r="Q25" s="160">
        <f t="shared" si="2"/>
        <v>825251.55814366951</v>
      </c>
      <c r="S25" s="206">
        <f t="shared" si="5"/>
        <v>147246.91154709319</v>
      </c>
      <c r="T25" s="202"/>
      <c r="U25" s="203"/>
    </row>
    <row r="26" spans="1:21" x14ac:dyDescent="0.2">
      <c r="A26" s="20">
        <v>3652</v>
      </c>
      <c r="B26" s="19" t="s">
        <v>52</v>
      </c>
      <c r="C26" s="55">
        <f t="shared" si="3"/>
        <v>14201165.733928675</v>
      </c>
      <c r="D26" s="15">
        <f t="shared" si="6"/>
        <v>0</v>
      </c>
      <c r="E26" s="14">
        <f t="shared" si="6"/>
        <v>3536370.2387233693</v>
      </c>
      <c r="F26" s="14">
        <f t="shared" si="6"/>
        <v>0</v>
      </c>
      <c r="G26" s="13">
        <f t="shared" si="6"/>
        <v>0</v>
      </c>
      <c r="H26" s="15">
        <f t="shared" si="6"/>
        <v>0</v>
      </c>
      <c r="I26" s="13">
        <f t="shared" si="6"/>
        <v>0</v>
      </c>
      <c r="J26" s="16">
        <f t="shared" si="6"/>
        <v>5982130.0687736385</v>
      </c>
      <c r="K26" s="15">
        <f t="shared" si="6"/>
        <v>955045.57768177264</v>
      </c>
      <c r="L26" s="14">
        <f t="shared" si="6"/>
        <v>1576874.9135913064</v>
      </c>
      <c r="M26" s="13">
        <f t="shared" si="6"/>
        <v>2150744.935158588</v>
      </c>
      <c r="O26" s="74">
        <v>6.680079885949769E-2</v>
      </c>
      <c r="P26" s="120">
        <f t="shared" si="1"/>
        <v>303648.62166373973</v>
      </c>
      <c r="Q26" s="160">
        <f t="shared" si="2"/>
        <v>14504814.355592415</v>
      </c>
      <c r="S26" s="206">
        <f t="shared" si="5"/>
        <v>-1193373.3763895426</v>
      </c>
      <c r="T26" s="202"/>
      <c r="U26" s="203"/>
    </row>
    <row r="27" spans="1:21" x14ac:dyDescent="0.2">
      <c r="A27" s="20">
        <v>11711</v>
      </c>
      <c r="B27" s="19" t="s">
        <v>51</v>
      </c>
      <c r="C27" s="55">
        <f t="shared" si="3"/>
        <v>2807321.7590708416</v>
      </c>
      <c r="D27" s="15">
        <f t="shared" si="6"/>
        <v>0</v>
      </c>
      <c r="E27" s="14">
        <f t="shared" si="6"/>
        <v>800935.0990549227</v>
      </c>
      <c r="F27" s="14">
        <f t="shared" si="6"/>
        <v>0</v>
      </c>
      <c r="G27" s="13">
        <f t="shared" si="6"/>
        <v>0</v>
      </c>
      <c r="H27" s="15">
        <f t="shared" si="6"/>
        <v>0</v>
      </c>
      <c r="I27" s="13">
        <f t="shared" si="6"/>
        <v>0</v>
      </c>
      <c r="J27" s="16">
        <f t="shared" si="6"/>
        <v>1373306.4680068349</v>
      </c>
      <c r="K27" s="15">
        <f t="shared" si="6"/>
        <v>262180.04831260483</v>
      </c>
      <c r="L27" s="14">
        <f t="shared" si="6"/>
        <v>352366.71374726953</v>
      </c>
      <c r="M27" s="13">
        <f t="shared" si="6"/>
        <v>18533.42994920976</v>
      </c>
      <c r="O27" s="74">
        <v>1.0972897764284933E-2</v>
      </c>
      <c r="P27" s="120">
        <f t="shared" si="1"/>
        <v>0</v>
      </c>
      <c r="Q27" s="160">
        <f t="shared" si="2"/>
        <v>2807321.7590708416</v>
      </c>
      <c r="S27" s="206">
        <f t="shared" si="5"/>
        <v>228690.78446388245</v>
      </c>
      <c r="T27" s="202"/>
      <c r="U27" s="203"/>
    </row>
    <row r="28" spans="1:21" x14ac:dyDescent="0.2">
      <c r="A28" s="20">
        <v>12826</v>
      </c>
      <c r="B28" s="19" t="s">
        <v>50</v>
      </c>
      <c r="C28" s="55">
        <f t="shared" si="3"/>
        <v>5194726.927134241</v>
      </c>
      <c r="D28" s="15">
        <f t="shared" si="6"/>
        <v>0</v>
      </c>
      <c r="E28" s="14">
        <f t="shared" si="6"/>
        <v>351215.51777614211</v>
      </c>
      <c r="F28" s="14">
        <f t="shared" si="6"/>
        <v>0</v>
      </c>
      <c r="G28" s="13">
        <f t="shared" si="6"/>
        <v>0</v>
      </c>
      <c r="H28" s="15">
        <f t="shared" si="6"/>
        <v>0</v>
      </c>
      <c r="I28" s="13">
        <f t="shared" si="6"/>
        <v>0</v>
      </c>
      <c r="J28" s="16">
        <f t="shared" si="6"/>
        <v>2981310.5975714452</v>
      </c>
      <c r="K28" s="15">
        <f t="shared" si="6"/>
        <v>975271.25462395279</v>
      </c>
      <c r="L28" s="14">
        <f t="shared" si="6"/>
        <v>690323.46401728271</v>
      </c>
      <c r="M28" s="13">
        <f t="shared" si="6"/>
        <v>196606.09314541816</v>
      </c>
      <c r="O28" s="74">
        <v>2.262163232206927E-2</v>
      </c>
      <c r="P28" s="120">
        <f t="shared" si="1"/>
        <v>0</v>
      </c>
      <c r="Q28" s="160">
        <f t="shared" si="2"/>
        <v>5194726.927134241</v>
      </c>
      <c r="S28" s="206">
        <f t="shared" si="5"/>
        <v>-121356.66855203733</v>
      </c>
      <c r="T28" s="202"/>
      <c r="U28" s="203"/>
    </row>
    <row r="29" spans="1:21" x14ac:dyDescent="0.2">
      <c r="A29" s="20">
        <v>13231</v>
      </c>
      <c r="B29" s="19" t="s">
        <v>49</v>
      </c>
      <c r="C29" s="55">
        <f t="shared" si="3"/>
        <v>1333431.8033004338</v>
      </c>
      <c r="D29" s="15">
        <f t="shared" si="6"/>
        <v>0</v>
      </c>
      <c r="E29" s="14">
        <f t="shared" si="6"/>
        <v>388213.328061826</v>
      </c>
      <c r="F29" s="14">
        <f t="shared" si="6"/>
        <v>0</v>
      </c>
      <c r="G29" s="13">
        <f t="shared" si="6"/>
        <v>0</v>
      </c>
      <c r="H29" s="15">
        <f t="shared" si="6"/>
        <v>0</v>
      </c>
      <c r="I29" s="13">
        <f t="shared" si="6"/>
        <v>0</v>
      </c>
      <c r="J29" s="16">
        <f t="shared" si="6"/>
        <v>681037.04310971743</v>
      </c>
      <c r="K29" s="15">
        <f t="shared" si="6"/>
        <v>179895.46199504082</v>
      </c>
      <c r="L29" s="14">
        <f t="shared" si="6"/>
        <v>82118.317508211097</v>
      </c>
      <c r="M29" s="13">
        <f t="shared" si="6"/>
        <v>2167.6526256385687</v>
      </c>
      <c r="O29" s="74">
        <v>5.6229417841748381E-3</v>
      </c>
      <c r="P29" s="120">
        <f t="shared" si="1"/>
        <v>0</v>
      </c>
      <c r="Q29" s="160">
        <f t="shared" si="2"/>
        <v>1333431.8033004338</v>
      </c>
      <c r="S29" s="206">
        <f t="shared" si="5"/>
        <v>12040.484019346768</v>
      </c>
      <c r="T29" s="202"/>
      <c r="U29" s="203"/>
    </row>
    <row r="30" spans="1:21" x14ac:dyDescent="0.2">
      <c r="A30" s="20">
        <v>3592</v>
      </c>
      <c r="B30" s="19" t="s">
        <v>48</v>
      </c>
      <c r="C30" s="55">
        <f t="shared" si="3"/>
        <v>2722963.1479494935</v>
      </c>
      <c r="D30" s="15">
        <f t="shared" si="6"/>
        <v>0</v>
      </c>
      <c r="E30" s="14">
        <f t="shared" si="6"/>
        <v>586137.99118577398</v>
      </c>
      <c r="F30" s="14">
        <f t="shared" si="6"/>
        <v>0</v>
      </c>
      <c r="G30" s="13">
        <f t="shared" si="6"/>
        <v>0</v>
      </c>
      <c r="H30" s="15">
        <f t="shared" si="6"/>
        <v>0</v>
      </c>
      <c r="I30" s="13">
        <f t="shared" si="6"/>
        <v>0</v>
      </c>
      <c r="J30" s="16">
        <f t="shared" si="6"/>
        <v>1224329.614826584</v>
      </c>
      <c r="K30" s="15">
        <f t="shared" si="6"/>
        <v>180649.21393077425</v>
      </c>
      <c r="L30" s="14">
        <f t="shared" si="6"/>
        <v>289861.95763865742</v>
      </c>
      <c r="M30" s="13">
        <f t="shared" si="6"/>
        <v>441984.37036770408</v>
      </c>
      <c r="O30" s="74">
        <v>1.0364568727977754E-2</v>
      </c>
      <c r="P30" s="120">
        <f t="shared" si="1"/>
        <v>0</v>
      </c>
      <c r="Q30" s="160">
        <f t="shared" si="2"/>
        <v>2722963.1479494935</v>
      </c>
      <c r="S30" s="206">
        <f t="shared" si="5"/>
        <v>287289.49687472126</v>
      </c>
      <c r="T30" s="202"/>
      <c r="U30" s="203"/>
    </row>
    <row r="31" spans="1:21" x14ac:dyDescent="0.2">
      <c r="A31" s="20">
        <v>3594</v>
      </c>
      <c r="B31" s="19" t="s">
        <v>47</v>
      </c>
      <c r="C31" s="55">
        <f t="shared" si="3"/>
        <v>15980825.412783038</v>
      </c>
      <c r="D31" s="15">
        <f t="shared" si="6"/>
        <v>0</v>
      </c>
      <c r="E31" s="14">
        <f t="shared" si="6"/>
        <v>4484313.9213283136</v>
      </c>
      <c r="F31" s="14">
        <f t="shared" si="6"/>
        <v>0</v>
      </c>
      <c r="G31" s="13">
        <f t="shared" si="6"/>
        <v>0</v>
      </c>
      <c r="H31" s="15">
        <f t="shared" si="6"/>
        <v>0</v>
      </c>
      <c r="I31" s="13">
        <f t="shared" si="6"/>
        <v>0</v>
      </c>
      <c r="J31" s="16">
        <f t="shared" si="6"/>
        <v>6774899.7517685434</v>
      </c>
      <c r="K31" s="15">
        <f t="shared" si="6"/>
        <v>988001.28731633944</v>
      </c>
      <c r="L31" s="14">
        <f t="shared" si="6"/>
        <v>1563573.4088430698</v>
      </c>
      <c r="M31" s="13">
        <f t="shared" si="6"/>
        <v>2170037.043526771</v>
      </c>
      <c r="O31" s="74">
        <v>5.9972196847224775E-2</v>
      </c>
      <c r="P31" s="120">
        <f t="shared" si="1"/>
        <v>0</v>
      </c>
      <c r="Q31" s="160">
        <f t="shared" si="2"/>
        <v>15980825.412783038</v>
      </c>
      <c r="S31" s="206">
        <f t="shared" si="5"/>
        <v>1887359.1536852159</v>
      </c>
      <c r="T31" s="202"/>
      <c r="U31" s="203"/>
    </row>
    <row r="32" spans="1:21" x14ac:dyDescent="0.2">
      <c r="A32" s="65">
        <v>113594</v>
      </c>
      <c r="B32" s="19" t="s">
        <v>46</v>
      </c>
      <c r="C32" s="55">
        <f t="shared" si="3"/>
        <v>991966.87539570779</v>
      </c>
      <c r="D32" s="15">
        <f t="shared" si="6"/>
        <v>0</v>
      </c>
      <c r="E32" s="14">
        <f t="shared" si="6"/>
        <v>301343.51171118481</v>
      </c>
      <c r="F32" s="14">
        <f t="shared" si="6"/>
        <v>0</v>
      </c>
      <c r="G32" s="13">
        <f t="shared" si="6"/>
        <v>0</v>
      </c>
      <c r="H32" s="15">
        <f t="shared" si="6"/>
        <v>0</v>
      </c>
      <c r="I32" s="13">
        <f t="shared" si="6"/>
        <v>0</v>
      </c>
      <c r="J32" s="16">
        <f t="shared" si="6"/>
        <v>547135.22864413494</v>
      </c>
      <c r="K32" s="15">
        <f t="shared" si="6"/>
        <v>120097.80842685686</v>
      </c>
      <c r="L32" s="14">
        <f t="shared" si="6"/>
        <v>19813.699781227537</v>
      </c>
      <c r="M32" s="13">
        <f t="shared" si="6"/>
        <v>3576.6268323036384</v>
      </c>
      <c r="O32" s="74">
        <v>2.8602942419239919E-3</v>
      </c>
      <c r="P32" s="120">
        <f t="shared" si="1"/>
        <v>0</v>
      </c>
      <c r="Q32" s="160">
        <f t="shared" si="2"/>
        <v>991966.87539570779</v>
      </c>
      <c r="S32" s="206">
        <f t="shared" si="5"/>
        <v>319797.72854356968</v>
      </c>
      <c r="T32" s="202"/>
      <c r="U32" s="203"/>
    </row>
    <row r="33" spans="1:21" x14ac:dyDescent="0.2">
      <c r="A33" s="20">
        <v>3624</v>
      </c>
      <c r="B33" s="19" t="s">
        <v>45</v>
      </c>
      <c r="C33" s="55">
        <f t="shared" si="3"/>
        <v>5798289.1095136907</v>
      </c>
      <c r="D33" s="15">
        <f t="shared" si="6"/>
        <v>0</v>
      </c>
      <c r="E33" s="14">
        <f t="shared" si="6"/>
        <v>1376747.0007396308</v>
      </c>
      <c r="F33" s="14">
        <f t="shared" si="6"/>
        <v>0</v>
      </c>
      <c r="G33" s="13">
        <f t="shared" si="6"/>
        <v>0</v>
      </c>
      <c r="H33" s="15">
        <f t="shared" si="6"/>
        <v>0</v>
      </c>
      <c r="I33" s="13">
        <f t="shared" si="6"/>
        <v>0</v>
      </c>
      <c r="J33" s="16">
        <f t="shared" si="6"/>
        <v>2589950.7689788816</v>
      </c>
      <c r="K33" s="15">
        <f t="shared" si="6"/>
        <v>347898.39344851009</v>
      </c>
      <c r="L33" s="14">
        <f t="shared" si="6"/>
        <v>575012.96567898092</v>
      </c>
      <c r="M33" s="13">
        <f t="shared" si="6"/>
        <v>908679.98066768795</v>
      </c>
      <c r="O33" s="74">
        <v>2.3435865298122357E-2</v>
      </c>
      <c r="P33" s="120">
        <f t="shared" si="1"/>
        <v>0</v>
      </c>
      <c r="Q33" s="160">
        <f t="shared" si="2"/>
        <v>5798289.1095136907</v>
      </c>
      <c r="S33" s="206">
        <f t="shared" si="5"/>
        <v>290860.76445493661</v>
      </c>
      <c r="T33" s="202"/>
      <c r="U33" s="203"/>
    </row>
    <row r="34" spans="1:21" x14ac:dyDescent="0.2">
      <c r="A34" s="20">
        <v>3642</v>
      </c>
      <c r="B34" s="19" t="s">
        <v>44</v>
      </c>
      <c r="C34" s="55">
        <f t="shared" si="3"/>
        <v>2655140.2531832075</v>
      </c>
      <c r="D34" s="15">
        <f t="shared" si="6"/>
        <v>0</v>
      </c>
      <c r="E34" s="14">
        <f t="shared" si="6"/>
        <v>56356.299754847729</v>
      </c>
      <c r="F34" s="14">
        <f t="shared" si="6"/>
        <v>0</v>
      </c>
      <c r="G34" s="13">
        <f t="shared" si="6"/>
        <v>0</v>
      </c>
      <c r="H34" s="15">
        <f t="shared" si="6"/>
        <v>0</v>
      </c>
      <c r="I34" s="13">
        <f t="shared" si="6"/>
        <v>0</v>
      </c>
      <c r="J34" s="16">
        <f t="shared" si="6"/>
        <v>1181764.7996322268</v>
      </c>
      <c r="K34" s="15">
        <f t="shared" si="6"/>
        <v>308535.79236020963</v>
      </c>
      <c r="L34" s="14">
        <f t="shared" si="6"/>
        <v>418627.91332644847</v>
      </c>
      <c r="M34" s="13">
        <f t="shared" si="6"/>
        <v>689855.4481094745</v>
      </c>
      <c r="O34" s="74">
        <v>1.3524899052819646E-2</v>
      </c>
      <c r="P34" s="120">
        <f t="shared" si="1"/>
        <v>0</v>
      </c>
      <c r="Q34" s="160">
        <f t="shared" si="2"/>
        <v>2655140.2531832075</v>
      </c>
      <c r="S34" s="206">
        <f t="shared" si="5"/>
        <v>-523211.02422940917</v>
      </c>
      <c r="T34" s="202"/>
      <c r="U34" s="203"/>
    </row>
    <row r="35" spans="1:21" x14ac:dyDescent="0.2">
      <c r="A35" s="20">
        <v>3644</v>
      </c>
      <c r="B35" s="19" t="s">
        <v>43</v>
      </c>
      <c r="C35" s="55">
        <f t="shared" si="3"/>
        <v>14258430.616776688</v>
      </c>
      <c r="D35" s="15">
        <f t="shared" si="6"/>
        <v>0</v>
      </c>
      <c r="E35" s="14">
        <f t="shared" si="6"/>
        <v>5309423.3147042496</v>
      </c>
      <c r="F35" s="14">
        <f t="shared" si="6"/>
        <v>0</v>
      </c>
      <c r="G35" s="13">
        <f t="shared" si="6"/>
        <v>0</v>
      </c>
      <c r="H35" s="15">
        <f t="shared" si="6"/>
        <v>0</v>
      </c>
      <c r="I35" s="13">
        <f t="shared" si="6"/>
        <v>0</v>
      </c>
      <c r="J35" s="16">
        <f t="shared" si="6"/>
        <v>4105731.132289052</v>
      </c>
      <c r="K35" s="15">
        <f t="shared" si="6"/>
        <v>814722.09231273609</v>
      </c>
      <c r="L35" s="14">
        <f t="shared" si="6"/>
        <v>1462703.6645022754</v>
      </c>
      <c r="M35" s="13">
        <f t="shared" si="6"/>
        <v>2565850.4129683734</v>
      </c>
      <c r="O35" s="74">
        <v>6.3345925146063756E-2</v>
      </c>
      <c r="P35" s="120">
        <f t="shared" si="1"/>
        <v>0</v>
      </c>
      <c r="Q35" s="160">
        <f t="shared" si="2"/>
        <v>14258430.616776688</v>
      </c>
      <c r="S35" s="206">
        <f t="shared" si="5"/>
        <v>-627861.79254829511</v>
      </c>
      <c r="T35" s="202"/>
      <c r="U35" s="203"/>
    </row>
    <row r="36" spans="1:21" x14ac:dyDescent="0.2">
      <c r="A36" s="20">
        <v>3541</v>
      </c>
      <c r="B36" s="19" t="s">
        <v>42</v>
      </c>
      <c r="C36" s="55">
        <f t="shared" si="3"/>
        <v>2765347.152998135</v>
      </c>
      <c r="D36" s="15">
        <f t="shared" si="6"/>
        <v>0</v>
      </c>
      <c r="E36" s="14">
        <f t="shared" si="6"/>
        <v>440664.10570258222</v>
      </c>
      <c r="F36" s="14">
        <f t="shared" si="6"/>
        <v>0</v>
      </c>
      <c r="G36" s="13">
        <f t="shared" si="6"/>
        <v>0</v>
      </c>
      <c r="H36" s="15">
        <f t="shared" si="6"/>
        <v>0</v>
      </c>
      <c r="I36" s="13">
        <f t="shared" si="6"/>
        <v>0</v>
      </c>
      <c r="J36" s="16">
        <f t="shared" si="6"/>
        <v>1282265.0577300151</v>
      </c>
      <c r="K36" s="15">
        <f t="shared" si="6"/>
        <v>180732.96414585577</v>
      </c>
      <c r="L36" s="14">
        <f t="shared" si="6"/>
        <v>286444.20989084669</v>
      </c>
      <c r="M36" s="13">
        <f t="shared" si="6"/>
        <v>575240.81552883517</v>
      </c>
      <c r="O36" s="74">
        <v>1.2561069385453944E-2</v>
      </c>
      <c r="P36" s="120">
        <f t="shared" si="1"/>
        <v>0</v>
      </c>
      <c r="Q36" s="160">
        <f t="shared" si="2"/>
        <v>2765347.152998135</v>
      </c>
      <c r="S36" s="206">
        <f t="shared" si="5"/>
        <v>-186504.15258354181</v>
      </c>
      <c r="T36" s="202"/>
      <c r="U36" s="203"/>
    </row>
    <row r="37" spans="1:21" x14ac:dyDescent="0.2">
      <c r="A37" s="20">
        <v>3646</v>
      </c>
      <c r="B37" s="19" t="s">
        <v>41</v>
      </c>
      <c r="C37" s="55">
        <f t="shared" si="3"/>
        <v>4558992.345955397</v>
      </c>
      <c r="D37" s="15">
        <f t="shared" si="6"/>
        <v>0</v>
      </c>
      <c r="E37" s="14">
        <f t="shared" si="6"/>
        <v>1223035.304517332</v>
      </c>
      <c r="F37" s="14">
        <f t="shared" si="6"/>
        <v>0</v>
      </c>
      <c r="G37" s="13">
        <f t="shared" si="6"/>
        <v>0</v>
      </c>
      <c r="H37" s="15">
        <f t="shared" si="6"/>
        <v>0</v>
      </c>
      <c r="I37" s="13">
        <f t="shared" si="6"/>
        <v>0</v>
      </c>
      <c r="J37" s="16">
        <f t="shared" si="6"/>
        <v>2211596.8561401502</v>
      </c>
      <c r="K37" s="15">
        <f t="shared" si="6"/>
        <v>551746.41695685696</v>
      </c>
      <c r="L37" s="14">
        <f t="shared" si="6"/>
        <v>358124.54103412194</v>
      </c>
      <c r="M37" s="13">
        <f t="shared" si="6"/>
        <v>214489.22730693634</v>
      </c>
      <c r="O37" s="74">
        <v>1.8983457031793705E-2</v>
      </c>
      <c r="P37" s="120">
        <f t="shared" si="1"/>
        <v>0</v>
      </c>
      <c r="Q37" s="160">
        <f t="shared" si="2"/>
        <v>4558992.345955397</v>
      </c>
      <c r="S37" s="206">
        <f t="shared" si="5"/>
        <v>97879.943483876064</v>
      </c>
      <c r="T37" s="202"/>
      <c r="U37" s="203"/>
    </row>
    <row r="38" spans="1:21" x14ac:dyDescent="0.2">
      <c r="A38" s="20">
        <v>3581</v>
      </c>
      <c r="B38" s="19" t="s">
        <v>40</v>
      </c>
      <c r="C38" s="55">
        <f t="shared" si="3"/>
        <v>3700595.5592499496</v>
      </c>
      <c r="D38" s="15">
        <f t="shared" ref="D38:M42" si="7">D81/$C$86*$C$43</f>
        <v>0</v>
      </c>
      <c r="E38" s="14">
        <f t="shared" si="7"/>
        <v>241990.02268747246</v>
      </c>
      <c r="F38" s="14">
        <f t="shared" si="7"/>
        <v>0</v>
      </c>
      <c r="G38" s="13">
        <f t="shared" si="7"/>
        <v>0</v>
      </c>
      <c r="H38" s="15">
        <f t="shared" si="7"/>
        <v>0</v>
      </c>
      <c r="I38" s="13">
        <f t="shared" si="7"/>
        <v>0</v>
      </c>
      <c r="J38" s="16">
        <f t="shared" si="7"/>
        <v>1682492.5561547356</v>
      </c>
      <c r="K38" s="15">
        <f t="shared" si="7"/>
        <v>404136.6628757306</v>
      </c>
      <c r="L38" s="14">
        <f t="shared" si="7"/>
        <v>550165.01583678892</v>
      </c>
      <c r="M38" s="13">
        <f t="shared" si="7"/>
        <v>821811.30169522227</v>
      </c>
      <c r="O38" s="74">
        <v>1.8519296567582645E-2</v>
      </c>
      <c r="P38" s="120">
        <f t="shared" si="1"/>
        <v>0</v>
      </c>
      <c r="Q38" s="160">
        <f t="shared" si="2"/>
        <v>3700595.5592499496</v>
      </c>
      <c r="S38" s="206">
        <f t="shared" si="5"/>
        <v>-651439.13413197175</v>
      </c>
      <c r="T38" s="202"/>
      <c r="U38" s="203"/>
    </row>
    <row r="39" spans="1:21" x14ac:dyDescent="0.2">
      <c r="A39" s="20">
        <v>3606</v>
      </c>
      <c r="B39" s="19" t="s">
        <v>39</v>
      </c>
      <c r="C39" s="55">
        <f t="shared" si="3"/>
        <v>8718624.8292927071</v>
      </c>
      <c r="D39" s="15">
        <f t="shared" si="7"/>
        <v>0</v>
      </c>
      <c r="E39" s="14">
        <f t="shared" si="7"/>
        <v>2334959.280794105</v>
      </c>
      <c r="F39" s="14">
        <f t="shared" si="7"/>
        <v>0</v>
      </c>
      <c r="G39" s="13">
        <f t="shared" si="7"/>
        <v>0</v>
      </c>
      <c r="H39" s="15">
        <f t="shared" si="7"/>
        <v>0</v>
      </c>
      <c r="I39" s="13">
        <f t="shared" si="7"/>
        <v>0</v>
      </c>
      <c r="J39" s="16">
        <f t="shared" si="7"/>
        <v>3926013.0236906535</v>
      </c>
      <c r="K39" s="15">
        <f t="shared" si="7"/>
        <v>489226.88139852474</v>
      </c>
      <c r="L39" s="14">
        <f t="shared" si="7"/>
        <v>821737.40444662096</v>
      </c>
      <c r="M39" s="13">
        <f t="shared" si="7"/>
        <v>1146688.2389628028</v>
      </c>
      <c r="O39" s="74">
        <v>3.2554270941238916E-2</v>
      </c>
      <c r="P39" s="120">
        <f t="shared" si="1"/>
        <v>0</v>
      </c>
      <c r="Q39" s="160">
        <f t="shared" si="2"/>
        <v>8718624.8292927071</v>
      </c>
      <c r="S39" s="206">
        <f t="shared" si="5"/>
        <v>1068371.1581015615</v>
      </c>
      <c r="T39" s="202"/>
      <c r="U39" s="203"/>
    </row>
    <row r="40" spans="1:21" x14ac:dyDescent="0.2">
      <c r="A40" s="20">
        <v>3615</v>
      </c>
      <c r="B40" s="19" t="s">
        <v>85</v>
      </c>
      <c r="C40" s="55">
        <f t="shared" si="3"/>
        <v>15548559.536430065</v>
      </c>
      <c r="D40" s="15">
        <f t="shared" si="7"/>
        <v>0</v>
      </c>
      <c r="E40" s="14">
        <f t="shared" si="7"/>
        <v>4388497.2913738899</v>
      </c>
      <c r="F40" s="14">
        <f t="shared" si="7"/>
        <v>0</v>
      </c>
      <c r="G40" s="13">
        <f t="shared" si="7"/>
        <v>0</v>
      </c>
      <c r="H40" s="15">
        <f t="shared" si="7"/>
        <v>0</v>
      </c>
      <c r="I40" s="13">
        <f t="shared" si="7"/>
        <v>0</v>
      </c>
      <c r="J40" s="16">
        <f t="shared" si="7"/>
        <v>6518328.5046247775</v>
      </c>
      <c r="K40" s="15">
        <f t="shared" si="7"/>
        <v>938463.0350956379</v>
      </c>
      <c r="L40" s="14">
        <f t="shared" si="7"/>
        <v>1546022.8123002579</v>
      </c>
      <c r="M40" s="13">
        <f t="shared" si="7"/>
        <v>2157247.8930355036</v>
      </c>
      <c r="O40" s="74">
        <v>6.1387457427191858E-2</v>
      </c>
      <c r="P40" s="120">
        <f t="shared" si="1"/>
        <v>0</v>
      </c>
      <c r="Q40" s="160">
        <f t="shared" si="2"/>
        <v>15548559.536430065</v>
      </c>
      <c r="S40" s="206">
        <f t="shared" si="5"/>
        <v>1122507.0410399772</v>
      </c>
      <c r="T40" s="202"/>
      <c r="U40" s="203"/>
    </row>
    <row r="41" spans="1:21" x14ac:dyDescent="0.2">
      <c r="A41" s="20">
        <v>3625</v>
      </c>
      <c r="B41" s="19" t="s">
        <v>38</v>
      </c>
      <c r="C41" s="55">
        <f t="shared" si="3"/>
        <v>554636.43981998961</v>
      </c>
      <c r="D41" s="15">
        <f t="shared" si="7"/>
        <v>0</v>
      </c>
      <c r="E41" s="14">
        <f t="shared" si="7"/>
        <v>29479.484530695721</v>
      </c>
      <c r="F41" s="14">
        <f t="shared" si="7"/>
        <v>0</v>
      </c>
      <c r="G41" s="13">
        <f t="shared" si="7"/>
        <v>0</v>
      </c>
      <c r="H41" s="15">
        <f t="shared" si="7"/>
        <v>0</v>
      </c>
      <c r="I41" s="13">
        <f t="shared" si="7"/>
        <v>0</v>
      </c>
      <c r="J41" s="16">
        <f t="shared" si="7"/>
        <v>289086.03652834357</v>
      </c>
      <c r="K41" s="15">
        <f t="shared" si="7"/>
        <v>75375.193573341123</v>
      </c>
      <c r="L41" s="14">
        <f t="shared" si="7"/>
        <v>53667.876796704884</v>
      </c>
      <c r="M41" s="13">
        <f t="shared" si="7"/>
        <v>107027.84839090431</v>
      </c>
      <c r="O41" s="74">
        <v>2.5717361648878246E-3</v>
      </c>
      <c r="P41" s="120">
        <f t="shared" si="1"/>
        <v>0</v>
      </c>
      <c r="Q41" s="160">
        <f t="shared" si="2"/>
        <v>554636.43981998961</v>
      </c>
      <c r="S41" s="206">
        <f t="shared" si="5"/>
        <v>-49721.558928649174</v>
      </c>
      <c r="T41" s="202"/>
      <c r="U41" s="203"/>
    </row>
    <row r="42" spans="1:21" x14ac:dyDescent="0.2">
      <c r="A42" s="20">
        <v>20</v>
      </c>
      <c r="B42" s="19" t="s">
        <v>37</v>
      </c>
      <c r="C42" s="64">
        <f t="shared" si="3"/>
        <v>407852.98058295605</v>
      </c>
      <c r="D42" s="15">
        <f t="shared" si="7"/>
        <v>0</v>
      </c>
      <c r="E42" s="14">
        <f t="shared" si="7"/>
        <v>53141.260813404813</v>
      </c>
      <c r="F42" s="14">
        <f t="shared" si="7"/>
        <v>0</v>
      </c>
      <c r="G42" s="13">
        <f t="shared" si="7"/>
        <v>0</v>
      </c>
      <c r="H42" s="15">
        <f t="shared" si="7"/>
        <v>0</v>
      </c>
      <c r="I42" s="13">
        <f t="shared" si="7"/>
        <v>0</v>
      </c>
      <c r="J42" s="16">
        <f t="shared" si="7"/>
        <v>255388.89116614405</v>
      </c>
      <c r="K42" s="15">
        <f t="shared" si="7"/>
        <v>72234.560507785252</v>
      </c>
      <c r="L42" s="14">
        <f t="shared" si="7"/>
        <v>25679.293888956905</v>
      </c>
      <c r="M42" s="13">
        <f t="shared" si="7"/>
        <v>1408.9742066650695</v>
      </c>
      <c r="O42" s="74">
        <v>1.4792799135503695E-3</v>
      </c>
      <c r="P42" s="120">
        <f t="shared" si="1"/>
        <v>0</v>
      </c>
      <c r="Q42" s="160">
        <f t="shared" si="2"/>
        <v>407852.98058295605</v>
      </c>
      <c r="S42" s="206">
        <f t="shared" si="5"/>
        <v>60222.200898619194</v>
      </c>
      <c r="T42" s="202"/>
      <c r="U42" s="203"/>
    </row>
    <row r="43" spans="1:21" ht="13.5" thickBot="1" x14ac:dyDescent="0.25">
      <c r="A43" s="12"/>
      <c r="B43" s="11" t="s">
        <v>11</v>
      </c>
      <c r="C43" s="62">
        <f>Q43-P43</f>
        <v>234696351.37833625</v>
      </c>
      <c r="D43" s="62">
        <f t="shared" ref="D43:M43" si="8">SUM(D5:D42)</f>
        <v>0</v>
      </c>
      <c r="E43" s="61">
        <f t="shared" si="8"/>
        <v>66475998.208411485</v>
      </c>
      <c r="F43" s="61">
        <f t="shared" si="8"/>
        <v>0</v>
      </c>
      <c r="G43" s="60">
        <f t="shared" si="8"/>
        <v>0</v>
      </c>
      <c r="H43" s="62">
        <f t="shared" si="8"/>
        <v>0</v>
      </c>
      <c r="I43" s="60">
        <f t="shared" si="8"/>
        <v>0</v>
      </c>
      <c r="J43" s="63">
        <f t="shared" si="8"/>
        <v>91238469.606423408</v>
      </c>
      <c r="K43" s="62">
        <f t="shared" si="8"/>
        <v>19434059.44045274</v>
      </c>
      <c r="L43" s="61">
        <f t="shared" si="8"/>
        <v>23379657.69826436</v>
      </c>
      <c r="M43" s="60">
        <f t="shared" si="8"/>
        <v>34168166.424784355</v>
      </c>
      <c r="O43" s="161">
        <f>SUM(O5:O42)</f>
        <v>1.0000000000000002</v>
      </c>
      <c r="P43" s="119">
        <f>SUM(P5:P42)</f>
        <v>303648.62166373973</v>
      </c>
      <c r="Q43" s="162">
        <v>235000000</v>
      </c>
      <c r="S43" s="207">
        <f t="shared" si="5"/>
        <v>0</v>
      </c>
      <c r="T43" s="202"/>
      <c r="U43" s="203"/>
    </row>
    <row r="44" spans="1:21" ht="13.5" thickBot="1" x14ac:dyDescent="0.25">
      <c r="A44" s="59"/>
      <c r="C44" s="88"/>
      <c r="D44" s="89"/>
      <c r="E44" s="58"/>
      <c r="F44" s="58"/>
      <c r="G44" s="58"/>
      <c r="H44" s="58"/>
      <c r="I44" s="58"/>
      <c r="J44" s="58"/>
      <c r="K44" s="58"/>
      <c r="L44" s="58"/>
      <c r="M44" s="58"/>
      <c r="O44" s="163" t="s">
        <v>91</v>
      </c>
      <c r="P44" s="164">
        <v>5.0000000000000001E-3</v>
      </c>
      <c r="Q44" s="165"/>
    </row>
    <row r="45" spans="1:21" ht="13.5" thickBot="1" x14ac:dyDescent="0.25">
      <c r="A45" s="57" t="s">
        <v>76</v>
      </c>
    </row>
    <row r="46" spans="1:21" ht="12.75" customHeight="1" outlineLevel="1" x14ac:dyDescent="0.2">
      <c r="A46" s="234" t="s">
        <v>24</v>
      </c>
      <c r="B46" s="236" t="s">
        <v>23</v>
      </c>
      <c r="C46" s="238" t="s">
        <v>36</v>
      </c>
      <c r="D46" s="247" t="s">
        <v>35</v>
      </c>
      <c r="E46" s="248"/>
      <c r="F46" s="248"/>
      <c r="G46" s="249"/>
      <c r="H46" s="250" t="s">
        <v>18</v>
      </c>
      <c r="I46" s="225" t="s">
        <v>17</v>
      </c>
      <c r="J46" s="227" t="s">
        <v>16</v>
      </c>
      <c r="K46" s="229" t="s">
        <v>34</v>
      </c>
      <c r="L46" s="230"/>
      <c r="M46" s="231"/>
      <c r="N46" s="277"/>
    </row>
    <row r="47" spans="1:21" ht="51.75" outlineLevel="1" thickBot="1" x14ac:dyDescent="0.25">
      <c r="A47" s="273"/>
      <c r="B47" s="270"/>
      <c r="C47" s="274"/>
      <c r="D47" s="152"/>
      <c r="E47" s="123" t="s">
        <v>33</v>
      </c>
      <c r="F47" s="123" t="s">
        <v>32</v>
      </c>
      <c r="G47" s="128" t="s">
        <v>31</v>
      </c>
      <c r="H47" s="264"/>
      <c r="I47" s="265"/>
      <c r="J47" s="266"/>
      <c r="K47" s="125" t="s">
        <v>14</v>
      </c>
      <c r="L47" s="126" t="s">
        <v>13</v>
      </c>
      <c r="M47" s="135" t="s">
        <v>12</v>
      </c>
      <c r="N47" s="277"/>
    </row>
    <row r="48" spans="1:21" outlineLevel="1" x14ac:dyDescent="0.2">
      <c r="A48" s="20">
        <f t="shared" ref="A48:B63" si="9">A5</f>
        <v>3656</v>
      </c>
      <c r="B48" s="19" t="str">
        <f t="shared" si="9"/>
        <v>UTA</v>
      </c>
      <c r="C48" s="55">
        <f t="shared" ref="C48:C85" si="10">SUM(D48:M48)</f>
        <v>16576.935833333337</v>
      </c>
      <c r="D48" s="15">
        <f t="shared" ref="D48:M48" si="11">D90*D177</f>
        <v>0</v>
      </c>
      <c r="E48" s="14">
        <f t="shared" si="11"/>
        <v>4551.7441666666673</v>
      </c>
      <c r="F48" s="14">
        <f t="shared" si="11"/>
        <v>0</v>
      </c>
      <c r="G48" s="13">
        <f t="shared" si="11"/>
        <v>0</v>
      </c>
      <c r="H48" s="36">
        <f t="shared" si="11"/>
        <v>0</v>
      </c>
      <c r="I48" s="35">
        <f t="shared" si="11"/>
        <v>0</v>
      </c>
      <c r="J48" s="34">
        <f t="shared" si="11"/>
        <v>7478.4</v>
      </c>
      <c r="K48" s="36">
        <f t="shared" si="11"/>
        <v>2324.3533333333335</v>
      </c>
      <c r="L48" s="56">
        <f t="shared" si="11"/>
        <v>1437.6249999999998</v>
      </c>
      <c r="M48" s="35">
        <f t="shared" si="11"/>
        <v>784.8133333333335</v>
      </c>
      <c r="N48" s="153"/>
    </row>
    <row r="49" spans="1:14" outlineLevel="1" x14ac:dyDescent="0.2">
      <c r="A49" s="20">
        <f t="shared" si="9"/>
        <v>3658</v>
      </c>
      <c r="B49" s="19" t="str">
        <f t="shared" si="9"/>
        <v>UT</v>
      </c>
      <c r="C49" s="55">
        <f t="shared" si="10"/>
        <v>33880.413366666668</v>
      </c>
      <c r="D49" s="15">
        <f t="shared" ref="D49:M49" si="12">D91*D178</f>
        <v>0</v>
      </c>
      <c r="E49" s="14">
        <f t="shared" si="12"/>
        <v>15574.671700000003</v>
      </c>
      <c r="F49" s="14">
        <f t="shared" si="12"/>
        <v>0</v>
      </c>
      <c r="G49" s="13">
        <f t="shared" si="12"/>
        <v>0</v>
      </c>
      <c r="H49" s="15">
        <f t="shared" si="12"/>
        <v>0</v>
      </c>
      <c r="I49" s="13">
        <f t="shared" si="12"/>
        <v>0</v>
      </c>
      <c r="J49" s="16">
        <f t="shared" si="12"/>
        <v>5552.5333333333338</v>
      </c>
      <c r="K49" s="15">
        <f t="shared" si="12"/>
        <v>1631.7166666666669</v>
      </c>
      <c r="L49" s="14">
        <f t="shared" si="12"/>
        <v>3377.1249999999995</v>
      </c>
      <c r="M49" s="13">
        <f t="shared" si="12"/>
        <v>7744.3666666666668</v>
      </c>
      <c r="N49" s="85"/>
    </row>
    <row r="50" spans="1:14" outlineLevel="1" x14ac:dyDescent="0.2">
      <c r="A50" s="20">
        <f t="shared" si="9"/>
        <v>9741</v>
      </c>
      <c r="B50" s="19" t="str">
        <f t="shared" si="9"/>
        <v>UTD</v>
      </c>
      <c r="C50" s="55">
        <f t="shared" si="10"/>
        <v>8548.9809000000005</v>
      </c>
      <c r="D50" s="15">
        <f t="shared" ref="D50:M50" si="13">D92*D179</f>
        <v>0</v>
      </c>
      <c r="E50" s="14">
        <f t="shared" si="13"/>
        <v>3532.7858999999999</v>
      </c>
      <c r="F50" s="14">
        <f t="shared" si="13"/>
        <v>0</v>
      </c>
      <c r="G50" s="13">
        <f t="shared" si="13"/>
        <v>0</v>
      </c>
      <c r="H50" s="15">
        <f t="shared" si="13"/>
        <v>0</v>
      </c>
      <c r="I50" s="13">
        <f t="shared" si="13"/>
        <v>0</v>
      </c>
      <c r="J50" s="16">
        <f t="shared" si="13"/>
        <v>2639.3333333333335</v>
      </c>
      <c r="K50" s="15">
        <f t="shared" si="13"/>
        <v>1127.1000000000001</v>
      </c>
      <c r="L50" s="14">
        <f t="shared" si="13"/>
        <v>800.37500000000011</v>
      </c>
      <c r="M50" s="13">
        <f t="shared" si="13"/>
        <v>449.38666666666671</v>
      </c>
      <c r="N50" s="85"/>
    </row>
    <row r="51" spans="1:14" outlineLevel="1" x14ac:dyDescent="0.2">
      <c r="A51" s="20">
        <f t="shared" si="9"/>
        <v>3661</v>
      </c>
      <c r="B51" s="19" t="str">
        <f t="shared" si="9"/>
        <v>UTEP</v>
      </c>
      <c r="C51" s="55">
        <f t="shared" si="10"/>
        <v>11738.494833333334</v>
      </c>
      <c r="D51" s="15">
        <f t="shared" ref="D51:M51" si="14">D93*D180</f>
        <v>0</v>
      </c>
      <c r="E51" s="14">
        <f t="shared" si="14"/>
        <v>1251.8414999999998</v>
      </c>
      <c r="F51" s="14">
        <f t="shared" si="14"/>
        <v>0</v>
      </c>
      <c r="G51" s="13">
        <f t="shared" si="14"/>
        <v>0</v>
      </c>
      <c r="H51" s="15">
        <f t="shared" si="14"/>
        <v>0</v>
      </c>
      <c r="I51" s="13">
        <f t="shared" si="14"/>
        <v>0</v>
      </c>
      <c r="J51" s="16">
        <f t="shared" si="14"/>
        <v>5914.4000000000005</v>
      </c>
      <c r="K51" s="15">
        <f t="shared" si="14"/>
        <v>741.65333333333342</v>
      </c>
      <c r="L51" s="14">
        <f t="shared" si="14"/>
        <v>1679</v>
      </c>
      <c r="M51" s="13">
        <f t="shared" si="14"/>
        <v>2151.6000000000004</v>
      </c>
      <c r="N51" s="85"/>
    </row>
    <row r="52" spans="1:14" outlineLevel="1" x14ac:dyDescent="0.2">
      <c r="A52" s="20">
        <f t="shared" si="9"/>
        <v>3599</v>
      </c>
      <c r="B52" s="19" t="str">
        <f t="shared" si="9"/>
        <v>UTPA</v>
      </c>
      <c r="C52" s="55">
        <f t="shared" si="10"/>
        <v>11155.845333333333</v>
      </c>
      <c r="D52" s="15">
        <f t="shared" ref="D52:M52" si="15">D94*D181</f>
        <v>0</v>
      </c>
      <c r="E52" s="14">
        <f t="shared" si="15"/>
        <v>1556.7720000000002</v>
      </c>
      <c r="F52" s="14">
        <f t="shared" si="15"/>
        <v>0</v>
      </c>
      <c r="G52" s="13">
        <f t="shared" si="15"/>
        <v>0</v>
      </c>
      <c r="H52" s="15">
        <f t="shared" si="15"/>
        <v>0</v>
      </c>
      <c r="I52" s="13">
        <f t="shared" si="15"/>
        <v>0</v>
      </c>
      <c r="J52" s="16">
        <f t="shared" si="15"/>
        <v>5612</v>
      </c>
      <c r="K52" s="15">
        <f t="shared" si="15"/>
        <v>692.80666666666673</v>
      </c>
      <c r="L52" s="14">
        <f t="shared" si="15"/>
        <v>1161</v>
      </c>
      <c r="M52" s="13">
        <f t="shared" si="15"/>
        <v>2133.2666666666669</v>
      </c>
      <c r="N52" s="85"/>
    </row>
    <row r="53" spans="1:14" outlineLevel="1" x14ac:dyDescent="0.2">
      <c r="A53" s="20">
        <f t="shared" si="9"/>
        <v>30646</v>
      </c>
      <c r="B53" s="19" t="str">
        <f t="shared" si="9"/>
        <v>UTB</v>
      </c>
      <c r="C53" s="55">
        <f t="shared" si="10"/>
        <v>4051.1707845644519</v>
      </c>
      <c r="D53" s="15">
        <f t="shared" ref="D53:M53" si="16">D95*D182</f>
        <v>0</v>
      </c>
      <c r="E53" s="14">
        <f t="shared" si="16"/>
        <v>1099.299117897785</v>
      </c>
      <c r="F53" s="14">
        <f t="shared" si="16"/>
        <v>0</v>
      </c>
      <c r="G53" s="13">
        <f t="shared" si="16"/>
        <v>0</v>
      </c>
      <c r="H53" s="15">
        <f t="shared" si="16"/>
        <v>0</v>
      </c>
      <c r="I53" s="13">
        <f t="shared" si="16"/>
        <v>0</v>
      </c>
      <c r="J53" s="16">
        <f t="shared" si="16"/>
        <v>2248</v>
      </c>
      <c r="K53" s="15">
        <f t="shared" si="16"/>
        <v>450.95333333333332</v>
      </c>
      <c r="L53" s="14">
        <f t="shared" si="16"/>
        <v>208.62500000000003</v>
      </c>
      <c r="M53" s="13">
        <f t="shared" si="16"/>
        <v>44.293333333333344</v>
      </c>
      <c r="N53" s="85"/>
    </row>
    <row r="54" spans="1:14" outlineLevel="1" x14ac:dyDescent="0.2">
      <c r="A54" s="20">
        <f t="shared" si="9"/>
        <v>9930</v>
      </c>
      <c r="B54" s="19" t="str">
        <f t="shared" si="9"/>
        <v>UTPB</v>
      </c>
      <c r="C54" s="55">
        <f t="shared" si="10"/>
        <v>1909.0083333333332</v>
      </c>
      <c r="D54" s="15">
        <f t="shared" ref="D54:M54" si="17">D96*D183</f>
        <v>0</v>
      </c>
      <c r="E54" s="14">
        <f t="shared" si="17"/>
        <v>414.40000000000003</v>
      </c>
      <c r="F54" s="14">
        <f t="shared" si="17"/>
        <v>0</v>
      </c>
      <c r="G54" s="13">
        <f t="shared" si="17"/>
        <v>0</v>
      </c>
      <c r="H54" s="15">
        <f t="shared" si="17"/>
        <v>0</v>
      </c>
      <c r="I54" s="13">
        <f t="shared" si="17"/>
        <v>0</v>
      </c>
      <c r="J54" s="16">
        <f t="shared" si="17"/>
        <v>957.59999999999991</v>
      </c>
      <c r="K54" s="15">
        <f t="shared" si="17"/>
        <v>267.12666666666667</v>
      </c>
      <c r="L54" s="14">
        <f t="shared" si="17"/>
        <v>184.375</v>
      </c>
      <c r="M54" s="13">
        <f t="shared" si="17"/>
        <v>85.506666666666689</v>
      </c>
      <c r="N54" s="85"/>
    </row>
    <row r="55" spans="1:14" outlineLevel="1" x14ac:dyDescent="0.2">
      <c r="A55" s="20">
        <f t="shared" si="9"/>
        <v>10115</v>
      </c>
      <c r="B55" s="19" t="str">
        <f t="shared" si="9"/>
        <v>UTSA</v>
      </c>
      <c r="C55" s="55">
        <f t="shared" si="10"/>
        <v>15693.064027777777</v>
      </c>
      <c r="D55" s="15">
        <f t="shared" ref="D55:M55" si="18">D97*D184</f>
        <v>0</v>
      </c>
      <c r="E55" s="14">
        <f t="shared" si="18"/>
        <v>3039.9706944444447</v>
      </c>
      <c r="F55" s="14">
        <f t="shared" si="18"/>
        <v>0</v>
      </c>
      <c r="G55" s="13">
        <f t="shared" si="18"/>
        <v>0</v>
      </c>
      <c r="H55" s="15">
        <f t="shared" si="18"/>
        <v>0</v>
      </c>
      <c r="I55" s="13">
        <f t="shared" si="18"/>
        <v>0</v>
      </c>
      <c r="J55" s="16">
        <f t="shared" si="18"/>
        <v>7496.7999999999993</v>
      </c>
      <c r="K55" s="15">
        <f t="shared" si="18"/>
        <v>2315.2866666666669</v>
      </c>
      <c r="L55" s="14">
        <f t="shared" si="18"/>
        <v>1114.6666666666667</v>
      </c>
      <c r="M55" s="13">
        <f t="shared" si="18"/>
        <v>1726.3400000000001</v>
      </c>
      <c r="N55" s="85"/>
    </row>
    <row r="56" spans="1:14" outlineLevel="1" x14ac:dyDescent="0.2">
      <c r="A56" s="20">
        <f t="shared" si="9"/>
        <v>11163</v>
      </c>
      <c r="B56" s="19" t="str">
        <f t="shared" si="9"/>
        <v>UTT</v>
      </c>
      <c r="C56" s="55">
        <f t="shared" si="10"/>
        <v>4328.0058333333327</v>
      </c>
      <c r="D56" s="15">
        <f t="shared" ref="D56:M56" si="19">D98*D185</f>
        <v>0</v>
      </c>
      <c r="E56" s="14">
        <f t="shared" si="19"/>
        <v>1073.8758333333335</v>
      </c>
      <c r="F56" s="14">
        <f t="shared" si="19"/>
        <v>0</v>
      </c>
      <c r="G56" s="13">
        <f t="shared" si="19"/>
        <v>0</v>
      </c>
      <c r="H56" s="15">
        <f t="shared" si="19"/>
        <v>0</v>
      </c>
      <c r="I56" s="13">
        <f t="shared" si="19"/>
        <v>0</v>
      </c>
      <c r="J56" s="16">
        <f t="shared" si="19"/>
        <v>2261.6</v>
      </c>
      <c r="K56" s="15">
        <f t="shared" si="19"/>
        <v>488.3533333333333</v>
      </c>
      <c r="L56" s="14">
        <f t="shared" si="19"/>
        <v>333.75</v>
      </c>
      <c r="M56" s="13">
        <f t="shared" si="19"/>
        <v>170.42666666666668</v>
      </c>
      <c r="N56" s="85"/>
    </row>
    <row r="57" spans="1:14" outlineLevel="1" x14ac:dyDescent="0.2">
      <c r="A57" s="20">
        <f t="shared" si="9"/>
        <v>3632</v>
      </c>
      <c r="B57" s="19" t="str">
        <f t="shared" si="9"/>
        <v>TAMU</v>
      </c>
      <c r="C57" s="55">
        <f t="shared" si="10"/>
        <v>34025.404199999997</v>
      </c>
      <c r="D57" s="15">
        <f t="shared" ref="D57:M57" si="20">D99*D186</f>
        <v>0</v>
      </c>
      <c r="E57" s="14">
        <f t="shared" si="20"/>
        <v>15429.00753333333</v>
      </c>
      <c r="F57" s="14">
        <f t="shared" si="20"/>
        <v>0</v>
      </c>
      <c r="G57" s="13">
        <f t="shared" si="20"/>
        <v>0</v>
      </c>
      <c r="H57" s="15">
        <f t="shared" si="20"/>
        <v>0</v>
      </c>
      <c r="I57" s="13">
        <f t="shared" si="20"/>
        <v>0</v>
      </c>
      <c r="J57" s="16">
        <f t="shared" si="20"/>
        <v>5958.4000000000005</v>
      </c>
      <c r="K57" s="15">
        <f t="shared" si="20"/>
        <v>1710.3133333333333</v>
      </c>
      <c r="L57" s="14">
        <f t="shared" si="20"/>
        <v>3340.2500000000005</v>
      </c>
      <c r="M57" s="13">
        <f t="shared" si="20"/>
        <v>7587.4333333333343</v>
      </c>
      <c r="N57" s="85"/>
    </row>
    <row r="58" spans="1:14" outlineLevel="1" x14ac:dyDescent="0.2">
      <c r="A58" s="20">
        <f t="shared" si="9"/>
        <v>10298</v>
      </c>
      <c r="B58" s="19" t="str">
        <f t="shared" si="9"/>
        <v>TAMUG</v>
      </c>
      <c r="C58" s="55">
        <f t="shared" si="10"/>
        <v>1692.7426666666668</v>
      </c>
      <c r="D58" s="15">
        <f t="shared" ref="D58:M58" si="21">D100*D187*1.5</f>
        <v>0</v>
      </c>
      <c r="E58" s="14">
        <f t="shared" si="21"/>
        <v>453.40516666666667</v>
      </c>
      <c r="F58" s="14">
        <f t="shared" si="21"/>
        <v>0</v>
      </c>
      <c r="G58" s="13">
        <f t="shared" si="21"/>
        <v>0</v>
      </c>
      <c r="H58" s="15">
        <f t="shared" si="21"/>
        <v>0</v>
      </c>
      <c r="I58" s="13">
        <f t="shared" si="21"/>
        <v>0</v>
      </c>
      <c r="J58" s="16">
        <f t="shared" si="21"/>
        <v>568.79999999999995</v>
      </c>
      <c r="K58" s="15">
        <f t="shared" si="21"/>
        <v>226.5675</v>
      </c>
      <c r="L58" s="14">
        <f t="shared" si="21"/>
        <v>119.25</v>
      </c>
      <c r="M58" s="13">
        <f t="shared" si="21"/>
        <v>324.72000000000003</v>
      </c>
      <c r="N58" s="85"/>
    </row>
    <row r="59" spans="1:14" outlineLevel="1" x14ac:dyDescent="0.2">
      <c r="A59" s="20">
        <f t="shared" si="9"/>
        <v>3630</v>
      </c>
      <c r="B59" s="19" t="str">
        <f t="shared" si="9"/>
        <v>Prairie View</v>
      </c>
      <c r="C59" s="55">
        <f t="shared" si="10"/>
        <v>4181.7093888888885</v>
      </c>
      <c r="D59" s="15">
        <f t="shared" ref="D59:M59" si="22">D101*D188</f>
        <v>0</v>
      </c>
      <c r="E59" s="14">
        <f t="shared" si="22"/>
        <v>243.60272222222221</v>
      </c>
      <c r="F59" s="14">
        <f t="shared" si="22"/>
        <v>0</v>
      </c>
      <c r="G59" s="13">
        <f t="shared" si="22"/>
        <v>0</v>
      </c>
      <c r="H59" s="15">
        <f t="shared" si="22"/>
        <v>0</v>
      </c>
      <c r="I59" s="13">
        <f t="shared" si="22"/>
        <v>0</v>
      </c>
      <c r="J59" s="16">
        <f t="shared" si="22"/>
        <v>1926.3999999999999</v>
      </c>
      <c r="K59" s="15">
        <f t="shared" si="22"/>
        <v>425.34</v>
      </c>
      <c r="L59" s="14">
        <f t="shared" si="22"/>
        <v>590.5</v>
      </c>
      <c r="M59" s="13">
        <f t="shared" si="22"/>
        <v>995.86666666666679</v>
      </c>
      <c r="N59" s="85"/>
    </row>
    <row r="60" spans="1:14" outlineLevel="1" x14ac:dyDescent="0.2">
      <c r="A60" s="20">
        <f t="shared" si="9"/>
        <v>3631</v>
      </c>
      <c r="B60" s="19" t="str">
        <f t="shared" si="9"/>
        <v>Tarleton</v>
      </c>
      <c r="C60" s="55">
        <f t="shared" si="10"/>
        <v>5801.3396666666667</v>
      </c>
      <c r="D60" s="15">
        <f t="shared" ref="D60:M60" si="23">D102*D189</f>
        <v>0</v>
      </c>
      <c r="E60" s="14">
        <f t="shared" si="23"/>
        <v>1292.6713333333335</v>
      </c>
      <c r="F60" s="14">
        <f t="shared" si="23"/>
        <v>0</v>
      </c>
      <c r="G60" s="13">
        <f t="shared" si="23"/>
        <v>0</v>
      </c>
      <c r="H60" s="15">
        <f t="shared" si="23"/>
        <v>0</v>
      </c>
      <c r="I60" s="13">
        <f t="shared" si="23"/>
        <v>0</v>
      </c>
      <c r="J60" s="16">
        <f t="shared" si="23"/>
        <v>2868</v>
      </c>
      <c r="K60" s="15">
        <f t="shared" si="23"/>
        <v>549.35500000000002</v>
      </c>
      <c r="L60" s="14">
        <f t="shared" si="23"/>
        <v>332.16666666666674</v>
      </c>
      <c r="M60" s="13">
        <f t="shared" si="23"/>
        <v>759.14666666666676</v>
      </c>
      <c r="N60" s="85"/>
    </row>
    <row r="61" spans="1:14" outlineLevel="1" x14ac:dyDescent="0.2">
      <c r="A61" s="27">
        <f t="shared" si="9"/>
        <v>103631</v>
      </c>
      <c r="B61" s="19" t="str">
        <f t="shared" si="9"/>
        <v>TAMUCT</v>
      </c>
      <c r="C61" s="55">
        <f t="shared" si="10"/>
        <v>1403.0038333333332</v>
      </c>
      <c r="D61" s="15">
        <f t="shared" ref="D61:M61" si="24">D103*D190</f>
        <v>0</v>
      </c>
      <c r="E61" s="14">
        <f t="shared" si="24"/>
        <v>385.06883333333332</v>
      </c>
      <c r="F61" s="14">
        <f t="shared" si="24"/>
        <v>0</v>
      </c>
      <c r="G61" s="13">
        <f t="shared" si="24"/>
        <v>0</v>
      </c>
      <c r="H61" s="15">
        <f t="shared" si="24"/>
        <v>0</v>
      </c>
      <c r="I61" s="13">
        <f t="shared" si="24"/>
        <v>0</v>
      </c>
      <c r="J61" s="16">
        <f t="shared" si="24"/>
        <v>784.8</v>
      </c>
      <c r="K61" s="15">
        <f t="shared" si="24"/>
        <v>168.3</v>
      </c>
      <c r="L61" s="14">
        <f t="shared" si="24"/>
        <v>49.875</v>
      </c>
      <c r="M61" s="13">
        <f t="shared" si="24"/>
        <v>14.960000000000003</v>
      </c>
      <c r="N61" s="85"/>
    </row>
    <row r="62" spans="1:14" outlineLevel="1" x14ac:dyDescent="0.2">
      <c r="A62" s="20">
        <f t="shared" si="9"/>
        <v>11161</v>
      </c>
      <c r="B62" s="19" t="str">
        <f t="shared" si="9"/>
        <v>TAMUCC</v>
      </c>
      <c r="C62" s="55">
        <f t="shared" si="10"/>
        <v>5498.8416666666672</v>
      </c>
      <c r="D62" s="15">
        <f t="shared" ref="D62:M62" si="25">D104*D191</f>
        <v>0</v>
      </c>
      <c r="E62" s="14">
        <f t="shared" si="25"/>
        <v>1234.2283333333332</v>
      </c>
      <c r="F62" s="14">
        <f t="shared" si="25"/>
        <v>0</v>
      </c>
      <c r="G62" s="13">
        <f t="shared" si="25"/>
        <v>0</v>
      </c>
      <c r="H62" s="15">
        <f t="shared" si="25"/>
        <v>0</v>
      </c>
      <c r="I62" s="13">
        <f t="shared" si="25"/>
        <v>0</v>
      </c>
      <c r="J62" s="16">
        <f t="shared" si="25"/>
        <v>2592</v>
      </c>
      <c r="K62" s="15">
        <f t="shared" si="25"/>
        <v>349.18</v>
      </c>
      <c r="L62" s="14">
        <f t="shared" si="25"/>
        <v>550.5</v>
      </c>
      <c r="M62" s="13">
        <f t="shared" si="25"/>
        <v>772.93333333333339</v>
      </c>
      <c r="N62" s="85"/>
    </row>
    <row r="63" spans="1:14" outlineLevel="1" x14ac:dyDescent="0.2">
      <c r="A63" s="20">
        <f t="shared" si="9"/>
        <v>3639</v>
      </c>
      <c r="B63" s="19" t="str">
        <f t="shared" si="9"/>
        <v>TAMUK</v>
      </c>
      <c r="C63" s="55">
        <f t="shared" si="10"/>
        <v>3130.7794166666667</v>
      </c>
      <c r="D63" s="15">
        <f t="shared" ref="D63:M63" si="26">D105*D192</f>
        <v>0</v>
      </c>
      <c r="E63" s="14">
        <f t="shared" si="26"/>
        <v>321.76608333333337</v>
      </c>
      <c r="F63" s="14">
        <f t="shared" si="26"/>
        <v>0</v>
      </c>
      <c r="G63" s="13">
        <f t="shared" si="26"/>
        <v>0</v>
      </c>
      <c r="H63" s="15">
        <f t="shared" si="26"/>
        <v>0</v>
      </c>
      <c r="I63" s="13">
        <f t="shared" si="26"/>
        <v>0</v>
      </c>
      <c r="J63" s="16">
        <f t="shared" si="26"/>
        <v>1556</v>
      </c>
      <c r="K63" s="15">
        <f t="shared" si="26"/>
        <v>208.64666666666668</v>
      </c>
      <c r="L63" s="14">
        <f t="shared" si="26"/>
        <v>429.83333333333331</v>
      </c>
      <c r="M63" s="13">
        <f t="shared" si="26"/>
        <v>614.5333333333333</v>
      </c>
      <c r="N63" s="85"/>
    </row>
    <row r="64" spans="1:14" outlineLevel="1" x14ac:dyDescent="0.2">
      <c r="A64" s="27">
        <f t="shared" ref="A64:B79" si="27">A21</f>
        <v>103639</v>
      </c>
      <c r="B64" s="19" t="str">
        <f t="shared" si="27"/>
        <v>TAMUSA</v>
      </c>
      <c r="C64" s="55">
        <f t="shared" si="10"/>
        <v>1868.8263055555556</v>
      </c>
      <c r="D64" s="15">
        <f t="shared" ref="D64:M64" si="28">D106*D193</f>
        <v>0</v>
      </c>
      <c r="E64" s="14">
        <f t="shared" si="28"/>
        <v>413.76630555555556</v>
      </c>
      <c r="F64" s="14">
        <f t="shared" si="28"/>
        <v>0</v>
      </c>
      <c r="G64" s="13">
        <f t="shared" si="28"/>
        <v>0</v>
      </c>
      <c r="H64" s="15">
        <f t="shared" si="28"/>
        <v>0</v>
      </c>
      <c r="I64" s="13">
        <f t="shared" si="28"/>
        <v>0</v>
      </c>
      <c r="J64" s="16">
        <f t="shared" si="28"/>
        <v>1176.8</v>
      </c>
      <c r="K64" s="15">
        <f t="shared" si="28"/>
        <v>248.08666666666664</v>
      </c>
      <c r="L64" s="14">
        <f t="shared" si="28"/>
        <v>28.999999999999996</v>
      </c>
      <c r="M64" s="13">
        <f t="shared" si="28"/>
        <v>1.1733333333333336</v>
      </c>
      <c r="N64" s="85"/>
    </row>
    <row r="65" spans="1:14" outlineLevel="1" x14ac:dyDescent="0.2">
      <c r="A65" s="20">
        <f t="shared" si="27"/>
        <v>9651</v>
      </c>
      <c r="B65" s="19" t="str">
        <f t="shared" si="27"/>
        <v>TAMI</v>
      </c>
      <c r="C65" s="55">
        <f t="shared" si="10"/>
        <v>3439.4538888888887</v>
      </c>
      <c r="D65" s="15">
        <f t="shared" ref="D65:M65" si="29">D107*D194</f>
        <v>0</v>
      </c>
      <c r="E65" s="14">
        <f t="shared" si="29"/>
        <v>654.10722222222216</v>
      </c>
      <c r="F65" s="14">
        <f t="shared" si="29"/>
        <v>0</v>
      </c>
      <c r="G65" s="13">
        <f t="shared" si="29"/>
        <v>0</v>
      </c>
      <c r="H65" s="15">
        <f t="shared" si="29"/>
        <v>0</v>
      </c>
      <c r="I65" s="13">
        <f t="shared" si="29"/>
        <v>0</v>
      </c>
      <c r="J65" s="16">
        <f t="shared" si="29"/>
        <v>1710.3999999999999</v>
      </c>
      <c r="K65" s="15">
        <f t="shared" si="29"/>
        <v>358.7</v>
      </c>
      <c r="L65" s="14">
        <f t="shared" si="29"/>
        <v>507.83333333333331</v>
      </c>
      <c r="M65" s="13">
        <f t="shared" si="29"/>
        <v>208.41333333333338</v>
      </c>
      <c r="N65" s="85"/>
    </row>
    <row r="66" spans="1:14" outlineLevel="1" x14ac:dyDescent="0.2">
      <c r="A66" s="20">
        <f t="shared" si="27"/>
        <v>3665</v>
      </c>
      <c r="B66" s="19" t="str">
        <f t="shared" si="27"/>
        <v>WTAMU</v>
      </c>
      <c r="C66" s="55">
        <f t="shared" si="10"/>
        <v>4523.5541111111115</v>
      </c>
      <c r="D66" s="15">
        <f t="shared" ref="D66:M66" si="30">D108*D195</f>
        <v>0</v>
      </c>
      <c r="E66" s="14">
        <f t="shared" si="30"/>
        <v>1034.2507777777778</v>
      </c>
      <c r="F66" s="14">
        <f t="shared" si="30"/>
        <v>0</v>
      </c>
      <c r="G66" s="13">
        <f t="shared" si="30"/>
        <v>0</v>
      </c>
      <c r="H66" s="15">
        <f t="shared" si="30"/>
        <v>0</v>
      </c>
      <c r="I66" s="13">
        <f t="shared" si="30"/>
        <v>0</v>
      </c>
      <c r="J66" s="16">
        <f t="shared" si="30"/>
        <v>2134.4</v>
      </c>
      <c r="K66" s="15">
        <f t="shared" si="30"/>
        <v>609.16666666666674</v>
      </c>
      <c r="L66" s="14">
        <f t="shared" si="30"/>
        <v>454.75000000000006</v>
      </c>
      <c r="M66" s="13">
        <f t="shared" si="30"/>
        <v>290.98666666666674</v>
      </c>
      <c r="N66" s="85"/>
    </row>
    <row r="67" spans="1:14" outlineLevel="1" x14ac:dyDescent="0.2">
      <c r="A67" s="20">
        <f t="shared" si="27"/>
        <v>3565</v>
      </c>
      <c r="B67" s="19" t="str">
        <f t="shared" si="27"/>
        <v>TAMUC</v>
      </c>
      <c r="C67" s="55">
        <f t="shared" si="10"/>
        <v>4735.2833333333338</v>
      </c>
      <c r="D67" s="15">
        <f t="shared" ref="D67:M67" si="31">D109*D196</f>
        <v>0</v>
      </c>
      <c r="E67" s="14">
        <f t="shared" si="31"/>
        <v>1019.7366666666666</v>
      </c>
      <c r="F67" s="14">
        <f t="shared" si="31"/>
        <v>0</v>
      </c>
      <c r="G67" s="13">
        <f t="shared" si="31"/>
        <v>0</v>
      </c>
      <c r="H67" s="15">
        <f t="shared" si="31"/>
        <v>0</v>
      </c>
      <c r="I67" s="13">
        <f t="shared" si="31"/>
        <v>0</v>
      </c>
      <c r="J67" s="16">
        <f t="shared" si="31"/>
        <v>2446.4</v>
      </c>
      <c r="K67" s="15">
        <f t="shared" si="31"/>
        <v>643.62</v>
      </c>
      <c r="L67" s="14">
        <f t="shared" si="31"/>
        <v>426.49999999999994</v>
      </c>
      <c r="M67" s="13">
        <f t="shared" si="31"/>
        <v>199.02666666666667</v>
      </c>
      <c r="N67" s="85"/>
    </row>
    <row r="68" spans="1:14" outlineLevel="1" x14ac:dyDescent="0.2">
      <c r="A68" s="20">
        <f t="shared" si="27"/>
        <v>29269</v>
      </c>
      <c r="B68" s="19" t="str">
        <f t="shared" si="27"/>
        <v>TAMUT</v>
      </c>
      <c r="C68" s="55">
        <f t="shared" si="10"/>
        <v>1116.7554594569656</v>
      </c>
      <c r="D68" s="15">
        <f t="shared" ref="D68:M68" si="32">D110*D197</f>
        <v>0</v>
      </c>
      <c r="E68" s="14">
        <f t="shared" si="32"/>
        <v>327.88045945696564</v>
      </c>
      <c r="F68" s="14">
        <f t="shared" si="32"/>
        <v>0</v>
      </c>
      <c r="G68" s="13">
        <f t="shared" si="32"/>
        <v>0</v>
      </c>
      <c r="H68" s="15">
        <f t="shared" si="32"/>
        <v>0</v>
      </c>
      <c r="I68" s="13">
        <f t="shared" si="32"/>
        <v>0</v>
      </c>
      <c r="J68" s="16">
        <f t="shared" si="32"/>
        <v>573.6</v>
      </c>
      <c r="K68" s="15">
        <f t="shared" si="32"/>
        <v>147.10666666666665</v>
      </c>
      <c r="L68" s="14">
        <f t="shared" si="32"/>
        <v>67.875</v>
      </c>
      <c r="M68" s="13">
        <f t="shared" si="32"/>
        <v>0.29333333333333339</v>
      </c>
      <c r="N68" s="85"/>
    </row>
    <row r="69" spans="1:14" outlineLevel="1" x14ac:dyDescent="0.2">
      <c r="A69" s="20">
        <f t="shared" si="27"/>
        <v>3652</v>
      </c>
      <c r="B69" s="19" t="str">
        <f t="shared" si="27"/>
        <v>UH</v>
      </c>
      <c r="C69" s="55">
        <f t="shared" si="10"/>
        <v>19217.448555555558</v>
      </c>
      <c r="D69" s="15">
        <f t="shared" ref="D69:M69" si="33">D111*D198</f>
        <v>0</v>
      </c>
      <c r="E69" s="14">
        <f t="shared" si="33"/>
        <v>4785.5235555555555</v>
      </c>
      <c r="F69" s="14">
        <f t="shared" si="33"/>
        <v>0</v>
      </c>
      <c r="G69" s="13">
        <f t="shared" si="33"/>
        <v>0</v>
      </c>
      <c r="H69" s="15">
        <f t="shared" si="33"/>
        <v>0</v>
      </c>
      <c r="I69" s="13">
        <f t="shared" si="33"/>
        <v>0</v>
      </c>
      <c r="J69" s="16">
        <f t="shared" si="33"/>
        <v>8095.2</v>
      </c>
      <c r="K69" s="15">
        <f t="shared" si="33"/>
        <v>1292.3966666666665</v>
      </c>
      <c r="L69" s="14">
        <f t="shared" si="33"/>
        <v>2133.8749999999995</v>
      </c>
      <c r="M69" s="13">
        <f t="shared" si="33"/>
        <v>2910.4533333333338</v>
      </c>
      <c r="N69" s="85"/>
    </row>
    <row r="70" spans="1:14" outlineLevel="1" x14ac:dyDescent="0.2">
      <c r="A70" s="20">
        <f t="shared" si="27"/>
        <v>11711</v>
      </c>
      <c r="B70" s="19" t="str">
        <f t="shared" si="27"/>
        <v>UHCL</v>
      </c>
      <c r="C70" s="55">
        <f t="shared" si="10"/>
        <v>3798.9530222115632</v>
      </c>
      <c r="D70" s="15">
        <f t="shared" ref="D70:M70" si="34">D112*D199</f>
        <v>0</v>
      </c>
      <c r="E70" s="14">
        <f t="shared" si="34"/>
        <v>1083.8496888782297</v>
      </c>
      <c r="F70" s="14">
        <f t="shared" si="34"/>
        <v>0</v>
      </c>
      <c r="G70" s="13">
        <f t="shared" si="34"/>
        <v>0</v>
      </c>
      <c r="H70" s="15">
        <f t="shared" si="34"/>
        <v>0</v>
      </c>
      <c r="I70" s="13">
        <f t="shared" si="34"/>
        <v>0</v>
      </c>
      <c r="J70" s="16">
        <f t="shared" si="34"/>
        <v>1858.4</v>
      </c>
      <c r="K70" s="15">
        <f t="shared" si="34"/>
        <v>354.78999999999996</v>
      </c>
      <c r="L70" s="14">
        <f t="shared" si="34"/>
        <v>476.83333333333331</v>
      </c>
      <c r="M70" s="13">
        <f t="shared" si="34"/>
        <v>25.080000000000002</v>
      </c>
      <c r="N70" s="85"/>
    </row>
    <row r="71" spans="1:14" outlineLevel="1" x14ac:dyDescent="0.2">
      <c r="A71" s="20">
        <f t="shared" si="27"/>
        <v>12826</v>
      </c>
      <c r="B71" s="19" t="str">
        <f t="shared" si="27"/>
        <v>UHD</v>
      </c>
      <c r="C71" s="55">
        <f t="shared" si="10"/>
        <v>7029.6621666666661</v>
      </c>
      <c r="D71" s="15">
        <f t="shared" ref="D71:M71" si="35">D113*D200</f>
        <v>0</v>
      </c>
      <c r="E71" s="14">
        <f t="shared" si="35"/>
        <v>475.27550000000008</v>
      </c>
      <c r="F71" s="14">
        <f t="shared" si="35"/>
        <v>0</v>
      </c>
      <c r="G71" s="13">
        <f t="shared" si="35"/>
        <v>0</v>
      </c>
      <c r="H71" s="15">
        <f t="shared" si="35"/>
        <v>0</v>
      </c>
      <c r="I71" s="13">
        <f t="shared" si="35"/>
        <v>0</v>
      </c>
      <c r="J71" s="16">
        <f t="shared" si="35"/>
        <v>4034.3999999999996</v>
      </c>
      <c r="K71" s="15">
        <f t="shared" si="35"/>
        <v>1319.7666666666667</v>
      </c>
      <c r="L71" s="14">
        <f t="shared" si="35"/>
        <v>934.16666666666663</v>
      </c>
      <c r="M71" s="13">
        <f t="shared" si="35"/>
        <v>266.05333333333334</v>
      </c>
      <c r="N71" s="85"/>
    </row>
    <row r="72" spans="1:14" outlineLevel="1" x14ac:dyDescent="0.2">
      <c r="A72" s="20">
        <f t="shared" si="27"/>
        <v>13231</v>
      </c>
      <c r="B72" s="19" t="str">
        <f t="shared" si="27"/>
        <v>UHV</v>
      </c>
      <c r="C72" s="55">
        <f t="shared" si="10"/>
        <v>1804.4403933013396</v>
      </c>
      <c r="D72" s="15">
        <f t="shared" ref="D72:M72" si="36">D114*D201</f>
        <v>0</v>
      </c>
      <c r="E72" s="14">
        <f t="shared" si="36"/>
        <v>525.3420599680062</v>
      </c>
      <c r="F72" s="14">
        <f t="shared" si="36"/>
        <v>0</v>
      </c>
      <c r="G72" s="13">
        <f t="shared" si="36"/>
        <v>0</v>
      </c>
      <c r="H72" s="15">
        <f t="shared" si="36"/>
        <v>0</v>
      </c>
      <c r="I72" s="13">
        <f t="shared" si="36"/>
        <v>0</v>
      </c>
      <c r="J72" s="16">
        <f t="shared" si="36"/>
        <v>921.59999999999991</v>
      </c>
      <c r="K72" s="15">
        <f t="shared" si="36"/>
        <v>243.44000000000003</v>
      </c>
      <c r="L72" s="14">
        <f t="shared" si="36"/>
        <v>111.12499999999999</v>
      </c>
      <c r="M72" s="13">
        <f t="shared" si="36"/>
        <v>2.9333333333333336</v>
      </c>
      <c r="N72" s="85"/>
    </row>
    <row r="73" spans="1:14" outlineLevel="1" x14ac:dyDescent="0.2">
      <c r="A73" s="20">
        <f t="shared" si="27"/>
        <v>3592</v>
      </c>
      <c r="B73" s="19" t="str">
        <f t="shared" si="27"/>
        <v>Midwestern</v>
      </c>
      <c r="C73" s="55">
        <f t="shared" si="10"/>
        <v>3684.7963888888889</v>
      </c>
      <c r="D73" s="15">
        <f t="shared" ref="D73:M73" si="37">D115*D202</f>
        <v>0</v>
      </c>
      <c r="E73" s="14">
        <f t="shared" si="37"/>
        <v>793.17972222222215</v>
      </c>
      <c r="F73" s="14">
        <f t="shared" si="37"/>
        <v>0</v>
      </c>
      <c r="G73" s="13">
        <f t="shared" si="37"/>
        <v>0</v>
      </c>
      <c r="H73" s="15">
        <f t="shared" si="37"/>
        <v>0</v>
      </c>
      <c r="I73" s="13">
        <f t="shared" si="37"/>
        <v>0</v>
      </c>
      <c r="J73" s="16">
        <f t="shared" si="37"/>
        <v>1656.8</v>
      </c>
      <c r="K73" s="15">
        <f t="shared" si="37"/>
        <v>244.46</v>
      </c>
      <c r="L73" s="14">
        <f t="shared" si="37"/>
        <v>392.25</v>
      </c>
      <c r="M73" s="13">
        <f t="shared" si="37"/>
        <v>598.10666666666668</v>
      </c>
      <c r="N73" s="85"/>
    </row>
    <row r="74" spans="1:14" outlineLevel="1" x14ac:dyDescent="0.2">
      <c r="A74" s="20">
        <f t="shared" si="27"/>
        <v>3594</v>
      </c>
      <c r="B74" s="19" t="str">
        <f t="shared" si="27"/>
        <v>UNT</v>
      </c>
      <c r="C74" s="55">
        <f t="shared" si="10"/>
        <v>21625.738055555557</v>
      </c>
      <c r="D74" s="15">
        <f t="shared" ref="D74:M74" si="38">D116*D203</f>
        <v>0</v>
      </c>
      <c r="E74" s="14">
        <f t="shared" si="38"/>
        <v>6068.3097222222223</v>
      </c>
      <c r="F74" s="14">
        <f t="shared" si="38"/>
        <v>0</v>
      </c>
      <c r="G74" s="13">
        <f t="shared" si="38"/>
        <v>0</v>
      </c>
      <c r="H74" s="15">
        <f t="shared" si="38"/>
        <v>0</v>
      </c>
      <c r="I74" s="13">
        <f t="shared" si="38"/>
        <v>0</v>
      </c>
      <c r="J74" s="16">
        <f t="shared" si="38"/>
        <v>9168</v>
      </c>
      <c r="K74" s="15">
        <f t="shared" si="38"/>
        <v>1336.9933333333336</v>
      </c>
      <c r="L74" s="14">
        <f t="shared" si="38"/>
        <v>2115.8749999999995</v>
      </c>
      <c r="M74" s="13">
        <f t="shared" si="38"/>
        <v>2936.5600000000004</v>
      </c>
      <c r="N74" s="85"/>
    </row>
    <row r="75" spans="1:14" outlineLevel="1" x14ac:dyDescent="0.2">
      <c r="A75" s="27">
        <f t="shared" si="27"/>
        <v>113594</v>
      </c>
      <c r="B75" s="19" t="str">
        <f t="shared" si="27"/>
        <v>UNTD</v>
      </c>
      <c r="C75" s="55">
        <f t="shared" si="10"/>
        <v>1342.3596874999998</v>
      </c>
      <c r="D75" s="15">
        <f t="shared" ref="D75:M75" si="39">D117*D204</f>
        <v>0</v>
      </c>
      <c r="E75" s="14">
        <f t="shared" si="39"/>
        <v>407.78718750000002</v>
      </c>
      <c r="F75" s="14">
        <f t="shared" si="39"/>
        <v>0</v>
      </c>
      <c r="G75" s="13">
        <f t="shared" si="39"/>
        <v>0</v>
      </c>
      <c r="H75" s="15">
        <f t="shared" si="39"/>
        <v>0</v>
      </c>
      <c r="I75" s="13">
        <f t="shared" si="39"/>
        <v>0</v>
      </c>
      <c r="J75" s="16">
        <f t="shared" si="39"/>
        <v>740.4</v>
      </c>
      <c r="K75" s="15">
        <f t="shared" si="39"/>
        <v>162.52000000000001</v>
      </c>
      <c r="L75" s="14">
        <f t="shared" si="39"/>
        <v>26.8125</v>
      </c>
      <c r="M75" s="13">
        <f t="shared" si="39"/>
        <v>4.8400000000000007</v>
      </c>
      <c r="N75" s="85"/>
    </row>
    <row r="76" spans="1:14" outlineLevel="1" x14ac:dyDescent="0.2">
      <c r="A76" s="20">
        <f t="shared" si="27"/>
        <v>3624</v>
      </c>
      <c r="B76" s="19" t="str">
        <f t="shared" si="27"/>
        <v>SFA</v>
      </c>
      <c r="C76" s="55">
        <f t="shared" si="10"/>
        <v>7846.4208333333336</v>
      </c>
      <c r="D76" s="15">
        <f t="shared" ref="D76:M76" si="40">D118*D205</f>
        <v>0</v>
      </c>
      <c r="E76" s="14">
        <f t="shared" si="40"/>
        <v>1863.0558333333331</v>
      </c>
      <c r="F76" s="14">
        <f t="shared" si="40"/>
        <v>0</v>
      </c>
      <c r="G76" s="13">
        <f t="shared" si="40"/>
        <v>0</v>
      </c>
      <c r="H76" s="15">
        <f t="shared" si="40"/>
        <v>0</v>
      </c>
      <c r="I76" s="13">
        <f t="shared" si="40"/>
        <v>0</v>
      </c>
      <c r="J76" s="16">
        <f t="shared" si="40"/>
        <v>3504.7999999999997</v>
      </c>
      <c r="K76" s="15">
        <f t="shared" si="40"/>
        <v>470.78666666666669</v>
      </c>
      <c r="L76" s="14">
        <f t="shared" si="40"/>
        <v>778.125</v>
      </c>
      <c r="M76" s="13">
        <f t="shared" si="40"/>
        <v>1229.6533333333334</v>
      </c>
      <c r="N76" s="85"/>
    </row>
    <row r="77" spans="1:14" outlineLevel="1" x14ac:dyDescent="0.2">
      <c r="A77" s="20">
        <f t="shared" si="27"/>
        <v>3642</v>
      </c>
      <c r="B77" s="19" t="str">
        <f t="shared" si="27"/>
        <v>TSU</v>
      </c>
      <c r="C77" s="55">
        <f t="shared" si="10"/>
        <v>3593.0163888888887</v>
      </c>
      <c r="D77" s="15">
        <f t="shared" ref="D77:M77" si="41">D119*D206</f>
        <v>0</v>
      </c>
      <c r="E77" s="14">
        <f t="shared" si="41"/>
        <v>76.263055555555553</v>
      </c>
      <c r="F77" s="14">
        <f t="shared" si="41"/>
        <v>0</v>
      </c>
      <c r="G77" s="13">
        <f t="shared" si="41"/>
        <v>0</v>
      </c>
      <c r="H77" s="15">
        <f t="shared" si="41"/>
        <v>0</v>
      </c>
      <c r="I77" s="13">
        <f t="shared" si="41"/>
        <v>0</v>
      </c>
      <c r="J77" s="16">
        <f t="shared" si="41"/>
        <v>1599.2</v>
      </c>
      <c r="K77" s="15">
        <f t="shared" si="41"/>
        <v>417.51999999999992</v>
      </c>
      <c r="L77" s="14">
        <f t="shared" si="41"/>
        <v>566.5</v>
      </c>
      <c r="M77" s="13">
        <f t="shared" si="41"/>
        <v>933.53333333333342</v>
      </c>
      <c r="N77" s="85"/>
    </row>
    <row r="78" spans="1:14" outlineLevel="1" x14ac:dyDescent="0.2">
      <c r="A78" s="20">
        <f t="shared" si="27"/>
        <v>3644</v>
      </c>
      <c r="B78" s="19" t="str">
        <f t="shared" si="27"/>
        <v>TTU</v>
      </c>
      <c r="C78" s="55">
        <f t="shared" si="10"/>
        <v>19294.941133333334</v>
      </c>
      <c r="D78" s="15">
        <f t="shared" ref="D78:M78" si="42">D120*D207</f>
        <v>0</v>
      </c>
      <c r="E78" s="14">
        <f t="shared" si="42"/>
        <v>7184.8727999999992</v>
      </c>
      <c r="F78" s="14">
        <f t="shared" si="42"/>
        <v>0</v>
      </c>
      <c r="G78" s="13">
        <f t="shared" si="42"/>
        <v>0</v>
      </c>
      <c r="H78" s="15">
        <f t="shared" si="42"/>
        <v>0</v>
      </c>
      <c r="I78" s="13">
        <f t="shared" si="42"/>
        <v>0</v>
      </c>
      <c r="J78" s="16">
        <f t="shared" si="42"/>
        <v>5556</v>
      </c>
      <c r="K78" s="15">
        <f t="shared" si="42"/>
        <v>1102.5066666666667</v>
      </c>
      <c r="L78" s="14">
        <f t="shared" si="42"/>
        <v>1979.3749999999998</v>
      </c>
      <c r="M78" s="13">
        <f t="shared" si="42"/>
        <v>3472.186666666667</v>
      </c>
      <c r="N78" s="85"/>
    </row>
    <row r="79" spans="1:14" outlineLevel="1" x14ac:dyDescent="0.2">
      <c r="A79" s="20">
        <f t="shared" si="27"/>
        <v>3541</v>
      </c>
      <c r="B79" s="19" t="str">
        <f t="shared" si="27"/>
        <v>Angelo</v>
      </c>
      <c r="C79" s="55">
        <f t="shared" si="10"/>
        <v>3742.1517111111111</v>
      </c>
      <c r="D79" s="15">
        <f t="shared" ref="D79:M79" si="43">D121*D208</f>
        <v>0</v>
      </c>
      <c r="E79" s="14">
        <f t="shared" si="43"/>
        <v>596.32004444444453</v>
      </c>
      <c r="F79" s="14">
        <f t="shared" si="43"/>
        <v>0</v>
      </c>
      <c r="G79" s="13">
        <f t="shared" si="43"/>
        <v>0</v>
      </c>
      <c r="H79" s="15">
        <f t="shared" si="43"/>
        <v>0</v>
      </c>
      <c r="I79" s="13">
        <f t="shared" si="43"/>
        <v>0</v>
      </c>
      <c r="J79" s="16">
        <f t="shared" si="43"/>
        <v>1735.2</v>
      </c>
      <c r="K79" s="15">
        <f t="shared" si="43"/>
        <v>244.57333333333338</v>
      </c>
      <c r="L79" s="14">
        <f t="shared" si="43"/>
        <v>387.62500000000006</v>
      </c>
      <c r="M79" s="13">
        <f t="shared" si="43"/>
        <v>778.43333333333339</v>
      </c>
      <c r="N79" s="85"/>
    </row>
    <row r="80" spans="1:14" outlineLevel="1" x14ac:dyDescent="0.2">
      <c r="A80" s="20">
        <f t="shared" ref="A80:B85" si="44">A37</f>
        <v>3646</v>
      </c>
      <c r="B80" s="19" t="str">
        <f t="shared" si="44"/>
        <v>TWU</v>
      </c>
      <c r="C80" s="55">
        <f t="shared" si="10"/>
        <v>6169.3668333333335</v>
      </c>
      <c r="D80" s="15">
        <f t="shared" ref="D80:M80" si="45">D122*D209</f>
        <v>0</v>
      </c>
      <c r="E80" s="14">
        <f t="shared" si="45"/>
        <v>1655.0485000000001</v>
      </c>
      <c r="F80" s="14">
        <f t="shared" si="45"/>
        <v>0</v>
      </c>
      <c r="G80" s="13">
        <f t="shared" si="45"/>
        <v>0</v>
      </c>
      <c r="H80" s="15">
        <f t="shared" si="45"/>
        <v>0</v>
      </c>
      <c r="I80" s="13">
        <f t="shared" si="45"/>
        <v>0</v>
      </c>
      <c r="J80" s="16">
        <f t="shared" si="45"/>
        <v>2992.7999999999997</v>
      </c>
      <c r="K80" s="15">
        <f t="shared" si="45"/>
        <v>746.64</v>
      </c>
      <c r="L80" s="14">
        <f t="shared" si="45"/>
        <v>484.62499999999994</v>
      </c>
      <c r="M80" s="13">
        <f t="shared" si="45"/>
        <v>290.25333333333333</v>
      </c>
      <c r="N80" s="85"/>
    </row>
    <row r="81" spans="1:14" outlineLevel="1" x14ac:dyDescent="0.2">
      <c r="A81" s="20">
        <f t="shared" si="44"/>
        <v>3581</v>
      </c>
      <c r="B81" s="19" t="str">
        <f t="shared" si="44"/>
        <v>Lamar</v>
      </c>
      <c r="C81" s="55">
        <f t="shared" si="10"/>
        <v>5007.7582444444442</v>
      </c>
      <c r="D81" s="15">
        <f t="shared" ref="D81:M81" si="46">D123*D210</f>
        <v>0</v>
      </c>
      <c r="E81" s="14">
        <f t="shared" si="46"/>
        <v>327.46824444444445</v>
      </c>
      <c r="F81" s="14">
        <f t="shared" si="46"/>
        <v>0</v>
      </c>
      <c r="G81" s="13">
        <f t="shared" si="46"/>
        <v>0</v>
      </c>
      <c r="H81" s="15">
        <f t="shared" si="46"/>
        <v>0</v>
      </c>
      <c r="I81" s="13">
        <f t="shared" si="46"/>
        <v>0</v>
      </c>
      <c r="J81" s="16">
        <f t="shared" si="46"/>
        <v>2276.7999999999997</v>
      </c>
      <c r="K81" s="15">
        <f t="shared" si="46"/>
        <v>546.88999999999987</v>
      </c>
      <c r="L81" s="14">
        <f t="shared" si="46"/>
        <v>744.5</v>
      </c>
      <c r="M81" s="13">
        <f t="shared" si="46"/>
        <v>1112.1000000000001</v>
      </c>
      <c r="N81" s="85"/>
    </row>
    <row r="82" spans="1:14" outlineLevel="1" x14ac:dyDescent="0.2">
      <c r="A82" s="20">
        <f t="shared" si="44"/>
        <v>3606</v>
      </c>
      <c r="B82" s="19" t="str">
        <f t="shared" si="44"/>
        <v>SHSU</v>
      </c>
      <c r="C82" s="55">
        <f t="shared" si="10"/>
        <v>11798.307777777778</v>
      </c>
      <c r="D82" s="15">
        <f t="shared" ref="D82:M82" si="47">D124*D211</f>
        <v>0</v>
      </c>
      <c r="E82" s="14">
        <f t="shared" si="47"/>
        <v>3159.7377777777779</v>
      </c>
      <c r="F82" s="14">
        <f t="shared" si="47"/>
        <v>0</v>
      </c>
      <c r="G82" s="13">
        <f t="shared" si="47"/>
        <v>0</v>
      </c>
      <c r="H82" s="15">
        <f t="shared" si="47"/>
        <v>0</v>
      </c>
      <c r="I82" s="13">
        <f t="shared" si="47"/>
        <v>0</v>
      </c>
      <c r="J82" s="16">
        <f t="shared" si="47"/>
        <v>5312.7999999999993</v>
      </c>
      <c r="K82" s="15">
        <f t="shared" si="47"/>
        <v>662.03666666666675</v>
      </c>
      <c r="L82" s="14">
        <f t="shared" si="47"/>
        <v>1112</v>
      </c>
      <c r="M82" s="13">
        <f t="shared" si="47"/>
        <v>1551.7333333333336</v>
      </c>
      <c r="N82" s="85"/>
    </row>
    <row r="83" spans="1:14" outlineLevel="1" x14ac:dyDescent="0.2">
      <c r="A83" s="20">
        <f t="shared" si="44"/>
        <v>3615</v>
      </c>
      <c r="B83" s="19" t="str">
        <f t="shared" si="44"/>
        <v>TXST</v>
      </c>
      <c r="C83" s="55">
        <f t="shared" si="10"/>
        <v>21040.782749999998</v>
      </c>
      <c r="D83" s="15">
        <f t="shared" ref="D83:M83" si="48">D125*D212</f>
        <v>0</v>
      </c>
      <c r="E83" s="14">
        <f t="shared" si="48"/>
        <v>5938.6477500000001</v>
      </c>
      <c r="F83" s="14">
        <f t="shared" si="48"/>
        <v>0</v>
      </c>
      <c r="G83" s="13">
        <f t="shared" si="48"/>
        <v>0</v>
      </c>
      <c r="H83" s="15">
        <f t="shared" si="48"/>
        <v>0</v>
      </c>
      <c r="I83" s="13">
        <f t="shared" si="48"/>
        <v>0</v>
      </c>
      <c r="J83" s="16">
        <f t="shared" si="48"/>
        <v>8820.7999999999993</v>
      </c>
      <c r="K83" s="15">
        <f t="shared" si="48"/>
        <v>1269.9566666666667</v>
      </c>
      <c r="L83" s="14">
        <f t="shared" si="48"/>
        <v>2092.125</v>
      </c>
      <c r="M83" s="13">
        <f t="shared" si="48"/>
        <v>2919.253333333334</v>
      </c>
      <c r="N83" s="85"/>
    </row>
    <row r="84" spans="1:14" outlineLevel="1" x14ac:dyDescent="0.2">
      <c r="A84" s="20">
        <f t="shared" si="44"/>
        <v>3625</v>
      </c>
      <c r="B84" s="19" t="str">
        <f t="shared" si="44"/>
        <v>SRSU</v>
      </c>
      <c r="C84" s="55">
        <f t="shared" si="10"/>
        <v>750.55086666666671</v>
      </c>
      <c r="D84" s="15">
        <f t="shared" ref="D84:M84" si="49">D126*D213</f>
        <v>0</v>
      </c>
      <c r="E84" s="14">
        <f t="shared" si="49"/>
        <v>39.89253333333334</v>
      </c>
      <c r="F84" s="14">
        <f t="shared" si="49"/>
        <v>0</v>
      </c>
      <c r="G84" s="13">
        <f t="shared" si="49"/>
        <v>0</v>
      </c>
      <c r="H84" s="15">
        <f t="shared" si="49"/>
        <v>0</v>
      </c>
      <c r="I84" s="13">
        <f t="shared" si="49"/>
        <v>0</v>
      </c>
      <c r="J84" s="16">
        <f t="shared" si="49"/>
        <v>391.2</v>
      </c>
      <c r="K84" s="15">
        <f t="shared" si="49"/>
        <v>102</v>
      </c>
      <c r="L84" s="14">
        <f t="shared" si="49"/>
        <v>72.624999999999986</v>
      </c>
      <c r="M84" s="13">
        <f t="shared" si="49"/>
        <v>144.83333333333334</v>
      </c>
      <c r="N84" s="85"/>
    </row>
    <row r="85" spans="1:14" outlineLevel="1" x14ac:dyDescent="0.2">
      <c r="A85" s="20">
        <f t="shared" si="44"/>
        <v>20</v>
      </c>
      <c r="B85" s="19" t="str">
        <f t="shared" si="44"/>
        <v>SRRG</v>
      </c>
      <c r="C85" s="55">
        <f t="shared" si="10"/>
        <v>551.9190339323394</v>
      </c>
      <c r="D85" s="15">
        <f t="shared" ref="D85:M85" si="50">D127*D214</f>
        <v>0</v>
      </c>
      <c r="E85" s="14">
        <f t="shared" si="50"/>
        <v>71.912367265672856</v>
      </c>
      <c r="F85" s="14">
        <f t="shared" si="50"/>
        <v>0</v>
      </c>
      <c r="G85" s="13">
        <f t="shared" si="50"/>
        <v>0</v>
      </c>
      <c r="H85" s="15">
        <f t="shared" si="50"/>
        <v>0</v>
      </c>
      <c r="I85" s="13">
        <f t="shared" si="50"/>
        <v>0</v>
      </c>
      <c r="J85" s="16">
        <f t="shared" si="50"/>
        <v>345.59999999999997</v>
      </c>
      <c r="K85" s="15">
        <f t="shared" si="50"/>
        <v>97.75</v>
      </c>
      <c r="L85" s="14">
        <f t="shared" si="50"/>
        <v>34.75</v>
      </c>
      <c r="M85" s="13">
        <f t="shared" si="50"/>
        <v>1.9066666666666667</v>
      </c>
      <c r="N85" s="85"/>
    </row>
    <row r="86" spans="1:14" ht="13.5" outlineLevel="1" thickBot="1" x14ac:dyDescent="0.25">
      <c r="A86" s="12"/>
      <c r="B86" s="11" t="s">
        <v>11</v>
      </c>
      <c r="C86" s="54">
        <f t="shared" ref="C86:M86" si="51">SUM(C48:C85)</f>
        <v>317598.22702541103</v>
      </c>
      <c r="D86" s="9">
        <f t="shared" si="51"/>
        <v>0</v>
      </c>
      <c r="E86" s="7">
        <f t="shared" si="51"/>
        <v>89957.338692077756</v>
      </c>
      <c r="F86" s="7">
        <f t="shared" si="51"/>
        <v>0</v>
      </c>
      <c r="G86" s="3">
        <f t="shared" si="51"/>
        <v>0</v>
      </c>
      <c r="H86" s="5">
        <f t="shared" si="51"/>
        <v>0</v>
      </c>
      <c r="I86" s="3">
        <f t="shared" si="51"/>
        <v>0</v>
      </c>
      <c r="J86" s="6">
        <f t="shared" si="51"/>
        <v>123466.66666666669</v>
      </c>
      <c r="K86" s="5">
        <f t="shared" si="51"/>
        <v>26298.759166666663</v>
      </c>
      <c r="L86" s="4">
        <f t="shared" si="51"/>
        <v>31638.0625</v>
      </c>
      <c r="M86" s="3">
        <f t="shared" si="51"/>
        <v>46237.400000000016</v>
      </c>
    </row>
    <row r="87" spans="1:14" ht="13.5" thickBot="1" x14ac:dyDescent="0.25">
      <c r="A87" s="57" t="s">
        <v>30</v>
      </c>
    </row>
    <row r="88" spans="1:14" ht="12.75" customHeight="1" outlineLevel="1" x14ac:dyDescent="0.2">
      <c r="A88" s="234" t="s">
        <v>24</v>
      </c>
      <c r="B88" s="236" t="s">
        <v>23</v>
      </c>
      <c r="C88" s="238" t="s">
        <v>77</v>
      </c>
      <c r="D88" s="247" t="s">
        <v>35</v>
      </c>
      <c r="E88" s="248"/>
      <c r="F88" s="248"/>
      <c r="G88" s="249"/>
      <c r="H88" s="250" t="s">
        <v>18</v>
      </c>
      <c r="I88" s="225" t="s">
        <v>17</v>
      </c>
      <c r="J88" s="227" t="s">
        <v>16</v>
      </c>
      <c r="K88" s="229" t="s">
        <v>34</v>
      </c>
      <c r="L88" s="230"/>
      <c r="M88" s="231"/>
      <c r="N88" s="277"/>
    </row>
    <row r="89" spans="1:14" ht="51.75" outlineLevel="1" thickBot="1" x14ac:dyDescent="0.25">
      <c r="A89" s="273"/>
      <c r="B89" s="270"/>
      <c r="C89" s="274"/>
      <c r="D89" s="147"/>
      <c r="E89" s="148" t="s">
        <v>33</v>
      </c>
      <c r="F89" s="148" t="s">
        <v>32</v>
      </c>
      <c r="G89" s="149" t="s">
        <v>31</v>
      </c>
      <c r="H89" s="279"/>
      <c r="I89" s="280"/>
      <c r="J89" s="278"/>
      <c r="K89" s="150" t="s">
        <v>14</v>
      </c>
      <c r="L89" s="151" t="s">
        <v>13</v>
      </c>
      <c r="M89" s="166" t="s">
        <v>12</v>
      </c>
      <c r="N89" s="277"/>
    </row>
    <row r="90" spans="1:14" outlineLevel="1" x14ac:dyDescent="0.2">
      <c r="A90" s="20">
        <f t="shared" ref="A90:B105" si="52">A5</f>
        <v>3656</v>
      </c>
      <c r="B90" s="19" t="str">
        <f t="shared" si="52"/>
        <v>UTA</v>
      </c>
      <c r="C90" s="143">
        <f>SUM(D90:M90)-I90</f>
        <v>1</v>
      </c>
      <c r="D90" s="96">
        <f>HLOOKUP(D131,$D$170:$L$171,2,0)</f>
        <v>0</v>
      </c>
      <c r="E90" s="96">
        <f>HLOOKUP(E131,$D$170:$L$171,2,0)</f>
        <v>0.25</v>
      </c>
      <c r="F90" s="96">
        <f>HLOOKUP(F131,$D$170:$L$171,2,0)</f>
        <v>0</v>
      </c>
      <c r="G90" s="96">
        <f>HLOOKUP(G131,$D$170:$L$171,2,0)</f>
        <v>0</v>
      </c>
      <c r="H90" s="96">
        <f>HLOOKUP(H131,$D$170:$L$171,2,0)</f>
        <v>0</v>
      </c>
      <c r="I90" s="96">
        <f>H90</f>
        <v>0</v>
      </c>
      <c r="J90" s="96">
        <f>HLOOKUP(J131,$D$170:$L$171,2,0)</f>
        <v>0.3</v>
      </c>
      <c r="K90" s="96">
        <f>HLOOKUP(K131,$D$170:$L$171,2,0)</f>
        <v>0.2</v>
      </c>
      <c r="L90" s="96">
        <f>HLOOKUP(L131,$D$170:$L$171,2,0)</f>
        <v>0.15</v>
      </c>
      <c r="M90" s="97">
        <f>HLOOKUP(M131,$D$170:$L$171,2,0)</f>
        <v>0.1</v>
      </c>
      <c r="N90" s="153"/>
    </row>
    <row r="91" spans="1:14" outlineLevel="1" x14ac:dyDescent="0.2">
      <c r="A91" s="20">
        <f t="shared" si="52"/>
        <v>3658</v>
      </c>
      <c r="B91" s="19" t="str">
        <f t="shared" si="52"/>
        <v>UT</v>
      </c>
      <c r="C91" s="142">
        <f t="shared" ref="C91:C127" si="53">SUM(D91:M91)</f>
        <v>1</v>
      </c>
      <c r="D91" s="96">
        <f t="shared" ref="D91:H91" si="54">HLOOKUP(D132,$D$170:$L$171,2,0)</f>
        <v>0</v>
      </c>
      <c r="E91" s="96">
        <f t="shared" si="54"/>
        <v>0.3</v>
      </c>
      <c r="F91" s="96">
        <f t="shared" si="54"/>
        <v>0</v>
      </c>
      <c r="G91" s="96">
        <f t="shared" si="54"/>
        <v>0</v>
      </c>
      <c r="H91" s="96">
        <f t="shared" si="54"/>
        <v>0</v>
      </c>
      <c r="I91" s="96">
        <f t="shared" ref="I91:I127" si="55">H91</f>
        <v>0</v>
      </c>
      <c r="J91" s="96">
        <f t="shared" ref="J91:M91" si="56">HLOOKUP(J132,$D$170:$L$171,2,0)</f>
        <v>0.2</v>
      </c>
      <c r="K91" s="96">
        <f t="shared" si="56"/>
        <v>0.1</v>
      </c>
      <c r="L91" s="96">
        <f t="shared" si="56"/>
        <v>0.15</v>
      </c>
      <c r="M91" s="97">
        <f t="shared" si="56"/>
        <v>0.25</v>
      </c>
      <c r="N91" s="85"/>
    </row>
    <row r="92" spans="1:14" outlineLevel="1" x14ac:dyDescent="0.2">
      <c r="A92" s="20">
        <f t="shared" si="52"/>
        <v>9741</v>
      </c>
      <c r="B92" s="19" t="str">
        <f t="shared" si="52"/>
        <v>UTD</v>
      </c>
      <c r="C92" s="142">
        <f t="shared" si="53"/>
        <v>1</v>
      </c>
      <c r="D92" s="96">
        <f t="shared" ref="D92:H92" si="57">HLOOKUP(D133,$D$170:$L$171,2,0)</f>
        <v>0</v>
      </c>
      <c r="E92" s="96">
        <f t="shared" si="57"/>
        <v>0.3</v>
      </c>
      <c r="F92" s="96">
        <f t="shared" si="57"/>
        <v>0</v>
      </c>
      <c r="G92" s="96">
        <f t="shared" si="57"/>
        <v>0</v>
      </c>
      <c r="H92" s="96">
        <f t="shared" si="57"/>
        <v>0</v>
      </c>
      <c r="I92" s="96">
        <f t="shared" si="55"/>
        <v>0</v>
      </c>
      <c r="J92" s="96">
        <f t="shared" ref="J92:M92" si="58">HLOOKUP(J133,$D$170:$L$171,2,0)</f>
        <v>0.25</v>
      </c>
      <c r="K92" s="96">
        <f t="shared" si="58"/>
        <v>0.2</v>
      </c>
      <c r="L92" s="96">
        <f t="shared" si="58"/>
        <v>0.15</v>
      </c>
      <c r="M92" s="97">
        <f t="shared" si="58"/>
        <v>0.1</v>
      </c>
      <c r="N92" s="85"/>
    </row>
    <row r="93" spans="1:14" outlineLevel="1" x14ac:dyDescent="0.2">
      <c r="A93" s="20">
        <f t="shared" si="52"/>
        <v>3661</v>
      </c>
      <c r="B93" s="19" t="str">
        <f t="shared" si="52"/>
        <v>UTEP</v>
      </c>
      <c r="C93" s="142">
        <f t="shared" si="53"/>
        <v>1</v>
      </c>
      <c r="D93" s="96">
        <f t="shared" ref="D93:H93" si="59">HLOOKUP(D134,$D$170:$L$171,2,0)</f>
        <v>0</v>
      </c>
      <c r="E93" s="96">
        <f t="shared" si="59"/>
        <v>0.15</v>
      </c>
      <c r="F93" s="96">
        <f t="shared" si="59"/>
        <v>0</v>
      </c>
      <c r="G93" s="96">
        <f t="shared" si="59"/>
        <v>0</v>
      </c>
      <c r="H93" s="96">
        <f t="shared" si="59"/>
        <v>0</v>
      </c>
      <c r="I93" s="96">
        <f t="shared" si="55"/>
        <v>0</v>
      </c>
      <c r="J93" s="96">
        <f t="shared" ref="J93:M93" si="60">HLOOKUP(J134,$D$170:$L$171,2,0)</f>
        <v>0.3</v>
      </c>
      <c r="K93" s="96">
        <f t="shared" si="60"/>
        <v>0.1</v>
      </c>
      <c r="L93" s="96">
        <f t="shared" si="60"/>
        <v>0.2</v>
      </c>
      <c r="M93" s="97">
        <f t="shared" si="60"/>
        <v>0.25</v>
      </c>
      <c r="N93" s="85"/>
    </row>
    <row r="94" spans="1:14" outlineLevel="1" x14ac:dyDescent="0.2">
      <c r="A94" s="20">
        <f t="shared" si="52"/>
        <v>3599</v>
      </c>
      <c r="B94" s="19" t="str">
        <f t="shared" si="52"/>
        <v>UTPA</v>
      </c>
      <c r="C94" s="142">
        <f t="shared" si="53"/>
        <v>1</v>
      </c>
      <c r="D94" s="96">
        <f t="shared" ref="D94:H94" si="61">HLOOKUP(D135,$D$170:$L$171,2,0)</f>
        <v>0</v>
      </c>
      <c r="E94" s="96">
        <f t="shared" si="61"/>
        <v>0.2</v>
      </c>
      <c r="F94" s="96">
        <f t="shared" si="61"/>
        <v>0</v>
      </c>
      <c r="G94" s="96">
        <f t="shared" si="61"/>
        <v>0</v>
      </c>
      <c r="H94" s="96">
        <f t="shared" si="61"/>
        <v>0</v>
      </c>
      <c r="I94" s="96">
        <f t="shared" si="55"/>
        <v>0</v>
      </c>
      <c r="J94" s="96">
        <f t="shared" ref="J94:M94" si="62">HLOOKUP(J135,$D$170:$L$171,2,0)</f>
        <v>0.3</v>
      </c>
      <c r="K94" s="96">
        <f t="shared" si="62"/>
        <v>0.1</v>
      </c>
      <c r="L94" s="96">
        <f t="shared" si="62"/>
        <v>0.15</v>
      </c>
      <c r="M94" s="97">
        <f t="shared" si="62"/>
        <v>0.25</v>
      </c>
      <c r="N94" s="85"/>
    </row>
    <row r="95" spans="1:14" outlineLevel="1" x14ac:dyDescent="0.2">
      <c r="A95" s="20">
        <f t="shared" si="52"/>
        <v>30646</v>
      </c>
      <c r="B95" s="19" t="str">
        <f t="shared" si="52"/>
        <v>UTB</v>
      </c>
      <c r="C95" s="142">
        <f t="shared" si="53"/>
        <v>1</v>
      </c>
      <c r="D95" s="96">
        <f t="shared" ref="D95:H95" si="63">HLOOKUP(D136,$D$170:$L$171,2,0)</f>
        <v>0</v>
      </c>
      <c r="E95" s="96">
        <f t="shared" si="63"/>
        <v>0.25</v>
      </c>
      <c r="F95" s="96">
        <f t="shared" si="63"/>
        <v>0</v>
      </c>
      <c r="G95" s="96">
        <f t="shared" si="63"/>
        <v>0</v>
      </c>
      <c r="H95" s="96">
        <f t="shared" si="63"/>
        <v>0</v>
      </c>
      <c r="I95" s="96">
        <f t="shared" si="55"/>
        <v>0</v>
      </c>
      <c r="J95" s="96">
        <f t="shared" ref="J95:M95" si="64">HLOOKUP(J136,$D$170:$L$171,2,0)</f>
        <v>0.3</v>
      </c>
      <c r="K95" s="96">
        <f t="shared" si="64"/>
        <v>0.2</v>
      </c>
      <c r="L95" s="96">
        <f t="shared" si="64"/>
        <v>0.15</v>
      </c>
      <c r="M95" s="97">
        <f t="shared" si="64"/>
        <v>0.1</v>
      </c>
      <c r="N95" s="85"/>
    </row>
    <row r="96" spans="1:14" outlineLevel="1" x14ac:dyDescent="0.2">
      <c r="A96" s="20">
        <f t="shared" si="52"/>
        <v>9930</v>
      </c>
      <c r="B96" s="19" t="str">
        <f t="shared" si="52"/>
        <v>UTPB</v>
      </c>
      <c r="C96" s="142">
        <f t="shared" si="53"/>
        <v>1</v>
      </c>
      <c r="D96" s="96">
        <f t="shared" ref="D96:H96" si="65">HLOOKUP(D137,$D$170:$L$171,2,0)</f>
        <v>0</v>
      </c>
      <c r="E96" s="96">
        <f t="shared" si="65"/>
        <v>0.25</v>
      </c>
      <c r="F96" s="96">
        <f t="shared" si="65"/>
        <v>0</v>
      </c>
      <c r="G96" s="96">
        <f t="shared" si="65"/>
        <v>0</v>
      </c>
      <c r="H96" s="96">
        <f t="shared" si="65"/>
        <v>0</v>
      </c>
      <c r="I96" s="96">
        <f t="shared" si="55"/>
        <v>0</v>
      </c>
      <c r="J96" s="96">
        <f t="shared" ref="J96:M96" si="66">HLOOKUP(J137,$D$170:$L$171,2,0)</f>
        <v>0.3</v>
      </c>
      <c r="K96" s="96">
        <f t="shared" si="66"/>
        <v>0.2</v>
      </c>
      <c r="L96" s="96">
        <f t="shared" si="66"/>
        <v>0.15</v>
      </c>
      <c r="M96" s="97">
        <f t="shared" si="66"/>
        <v>0.1</v>
      </c>
      <c r="N96" s="85"/>
    </row>
    <row r="97" spans="1:14" outlineLevel="1" x14ac:dyDescent="0.2">
      <c r="A97" s="20">
        <f t="shared" si="52"/>
        <v>10115</v>
      </c>
      <c r="B97" s="19" t="str">
        <f t="shared" si="52"/>
        <v>UTSA</v>
      </c>
      <c r="C97" s="142">
        <f t="shared" si="53"/>
        <v>1</v>
      </c>
      <c r="D97" s="96">
        <f t="shared" ref="D97:H97" si="67">HLOOKUP(D138,$D$170:$L$171,2,0)</f>
        <v>0</v>
      </c>
      <c r="E97" s="96">
        <f t="shared" si="67"/>
        <v>0.25</v>
      </c>
      <c r="F97" s="96">
        <f t="shared" si="67"/>
        <v>0</v>
      </c>
      <c r="G97" s="96">
        <f t="shared" si="67"/>
        <v>0</v>
      </c>
      <c r="H97" s="96">
        <f t="shared" si="67"/>
        <v>0</v>
      </c>
      <c r="I97" s="96">
        <f t="shared" si="55"/>
        <v>0</v>
      </c>
      <c r="J97" s="96">
        <f t="shared" ref="J97:M97" si="68">HLOOKUP(J138,$D$170:$L$171,2,0)</f>
        <v>0.3</v>
      </c>
      <c r="K97" s="96">
        <f t="shared" si="68"/>
        <v>0.2</v>
      </c>
      <c r="L97" s="96">
        <f t="shared" si="68"/>
        <v>0.1</v>
      </c>
      <c r="M97" s="97">
        <f t="shared" si="68"/>
        <v>0.15</v>
      </c>
      <c r="N97" s="85"/>
    </row>
    <row r="98" spans="1:14" outlineLevel="1" x14ac:dyDescent="0.2">
      <c r="A98" s="20">
        <f t="shared" si="52"/>
        <v>11163</v>
      </c>
      <c r="B98" s="19" t="str">
        <f t="shared" si="52"/>
        <v>UTT</v>
      </c>
      <c r="C98" s="142">
        <f t="shared" si="53"/>
        <v>1</v>
      </c>
      <c r="D98" s="96">
        <f t="shared" ref="D98:H98" si="69">HLOOKUP(D139,$D$170:$L$171,2,0)</f>
        <v>0</v>
      </c>
      <c r="E98" s="96">
        <f t="shared" si="69"/>
        <v>0.25</v>
      </c>
      <c r="F98" s="96">
        <f t="shared" si="69"/>
        <v>0</v>
      </c>
      <c r="G98" s="96">
        <f t="shared" si="69"/>
        <v>0</v>
      </c>
      <c r="H98" s="96">
        <f t="shared" si="69"/>
        <v>0</v>
      </c>
      <c r="I98" s="96">
        <f t="shared" si="55"/>
        <v>0</v>
      </c>
      <c r="J98" s="96">
        <f t="shared" ref="J98:M98" si="70">HLOOKUP(J139,$D$170:$L$171,2,0)</f>
        <v>0.3</v>
      </c>
      <c r="K98" s="96">
        <f t="shared" si="70"/>
        <v>0.2</v>
      </c>
      <c r="L98" s="96">
        <f t="shared" si="70"/>
        <v>0.15</v>
      </c>
      <c r="M98" s="97">
        <f t="shared" si="70"/>
        <v>0.1</v>
      </c>
      <c r="N98" s="85"/>
    </row>
    <row r="99" spans="1:14" outlineLevel="1" x14ac:dyDescent="0.2">
      <c r="A99" s="20">
        <f t="shared" si="52"/>
        <v>3632</v>
      </c>
      <c r="B99" s="19" t="str">
        <f t="shared" si="52"/>
        <v>TAMU</v>
      </c>
      <c r="C99" s="142">
        <f t="shared" si="53"/>
        <v>1</v>
      </c>
      <c r="D99" s="96">
        <f t="shared" ref="D99:H99" si="71">HLOOKUP(D140,$D$170:$L$171,2,0)</f>
        <v>0</v>
      </c>
      <c r="E99" s="96">
        <f t="shared" si="71"/>
        <v>0.3</v>
      </c>
      <c r="F99" s="96">
        <f t="shared" si="71"/>
        <v>0</v>
      </c>
      <c r="G99" s="96">
        <f t="shared" si="71"/>
        <v>0</v>
      </c>
      <c r="H99" s="96">
        <f t="shared" si="71"/>
        <v>0</v>
      </c>
      <c r="I99" s="96">
        <f t="shared" si="55"/>
        <v>0</v>
      </c>
      <c r="J99" s="96">
        <f t="shared" ref="J99:M99" si="72">HLOOKUP(J140,$D$170:$L$171,2,0)</f>
        <v>0.2</v>
      </c>
      <c r="K99" s="96">
        <f t="shared" si="72"/>
        <v>0.1</v>
      </c>
      <c r="L99" s="96">
        <f t="shared" si="72"/>
        <v>0.15</v>
      </c>
      <c r="M99" s="97">
        <f t="shared" si="72"/>
        <v>0.25</v>
      </c>
      <c r="N99" s="85"/>
    </row>
    <row r="100" spans="1:14" outlineLevel="1" x14ac:dyDescent="0.2">
      <c r="A100" s="20">
        <f t="shared" si="52"/>
        <v>10298</v>
      </c>
      <c r="B100" s="19" t="str">
        <f t="shared" si="52"/>
        <v>TAMUG</v>
      </c>
      <c r="C100" s="142">
        <f t="shared" si="53"/>
        <v>1</v>
      </c>
      <c r="D100" s="96">
        <f t="shared" ref="D100:H100" si="73">HLOOKUP(D141,$D$170:$L$171,2,0)</f>
        <v>0</v>
      </c>
      <c r="E100" s="96">
        <f t="shared" si="73"/>
        <v>0.25</v>
      </c>
      <c r="F100" s="96">
        <f t="shared" si="73"/>
        <v>0</v>
      </c>
      <c r="G100" s="96">
        <f t="shared" si="73"/>
        <v>0</v>
      </c>
      <c r="H100" s="96">
        <f t="shared" si="73"/>
        <v>0</v>
      </c>
      <c r="I100" s="96">
        <f t="shared" si="55"/>
        <v>0</v>
      </c>
      <c r="J100" s="96">
        <f t="shared" ref="J100:M100" si="74">HLOOKUP(J141,$D$170:$L$171,2,0)</f>
        <v>0.3</v>
      </c>
      <c r="K100" s="96">
        <f t="shared" si="74"/>
        <v>0.15</v>
      </c>
      <c r="L100" s="96">
        <f t="shared" si="74"/>
        <v>0.1</v>
      </c>
      <c r="M100" s="97">
        <f t="shared" si="74"/>
        <v>0.2</v>
      </c>
      <c r="N100" s="85"/>
    </row>
    <row r="101" spans="1:14" outlineLevel="1" x14ac:dyDescent="0.2">
      <c r="A101" s="20">
        <f t="shared" si="52"/>
        <v>3630</v>
      </c>
      <c r="B101" s="19" t="str">
        <f t="shared" si="52"/>
        <v>Prairie View</v>
      </c>
      <c r="C101" s="142">
        <f t="shared" si="53"/>
        <v>1</v>
      </c>
      <c r="D101" s="96">
        <f t="shared" ref="D101:H101" si="75">HLOOKUP(D142,$D$170:$L$171,2,0)</f>
        <v>0</v>
      </c>
      <c r="E101" s="96">
        <f t="shared" si="75"/>
        <v>0.1</v>
      </c>
      <c r="F101" s="96">
        <f t="shared" si="75"/>
        <v>0</v>
      </c>
      <c r="G101" s="96">
        <f t="shared" si="75"/>
        <v>0</v>
      </c>
      <c r="H101" s="96">
        <f t="shared" si="75"/>
        <v>0</v>
      </c>
      <c r="I101" s="96">
        <f t="shared" si="55"/>
        <v>0</v>
      </c>
      <c r="J101" s="96">
        <f t="shared" ref="J101:M101" si="76">HLOOKUP(J142,$D$170:$L$171,2,0)</f>
        <v>0.3</v>
      </c>
      <c r="K101" s="96">
        <f t="shared" si="76"/>
        <v>0.15</v>
      </c>
      <c r="L101" s="96">
        <f t="shared" si="76"/>
        <v>0.2</v>
      </c>
      <c r="M101" s="97">
        <f t="shared" si="76"/>
        <v>0.25</v>
      </c>
      <c r="N101" s="85"/>
    </row>
    <row r="102" spans="1:14" outlineLevel="1" x14ac:dyDescent="0.2">
      <c r="A102" s="20">
        <f t="shared" si="52"/>
        <v>3631</v>
      </c>
      <c r="B102" s="19" t="str">
        <f t="shared" si="52"/>
        <v>Tarleton</v>
      </c>
      <c r="C102" s="142">
        <f t="shared" si="53"/>
        <v>1</v>
      </c>
      <c r="D102" s="96">
        <f t="shared" ref="D102:H102" si="77">HLOOKUP(D143,$D$170:$L$171,2,0)</f>
        <v>0</v>
      </c>
      <c r="E102" s="96">
        <f t="shared" si="77"/>
        <v>0.25</v>
      </c>
      <c r="F102" s="96">
        <f t="shared" si="77"/>
        <v>0</v>
      </c>
      <c r="G102" s="96">
        <f t="shared" si="77"/>
        <v>0</v>
      </c>
      <c r="H102" s="96">
        <f t="shared" si="77"/>
        <v>0</v>
      </c>
      <c r="I102" s="96">
        <f t="shared" si="55"/>
        <v>0</v>
      </c>
      <c r="J102" s="96">
        <f t="shared" ref="J102:M102" si="78">HLOOKUP(J143,$D$170:$L$171,2,0)</f>
        <v>0.3</v>
      </c>
      <c r="K102" s="96">
        <f t="shared" si="78"/>
        <v>0.15</v>
      </c>
      <c r="L102" s="96">
        <f t="shared" si="78"/>
        <v>0.1</v>
      </c>
      <c r="M102" s="97">
        <f t="shared" si="78"/>
        <v>0.2</v>
      </c>
      <c r="N102" s="85"/>
    </row>
    <row r="103" spans="1:14" outlineLevel="1" x14ac:dyDescent="0.2">
      <c r="A103" s="27">
        <f t="shared" si="52"/>
        <v>103631</v>
      </c>
      <c r="B103" s="19" t="str">
        <f t="shared" si="52"/>
        <v>TAMUCT</v>
      </c>
      <c r="C103" s="142">
        <f t="shared" si="53"/>
        <v>1</v>
      </c>
      <c r="D103" s="96">
        <f t="shared" ref="D103:H103" si="79">HLOOKUP(D144,$D$170:$L$171,2,0)</f>
        <v>0</v>
      </c>
      <c r="E103" s="96">
        <f t="shared" si="79"/>
        <v>0.25</v>
      </c>
      <c r="F103" s="96">
        <f t="shared" si="79"/>
        <v>0</v>
      </c>
      <c r="G103" s="96">
        <f t="shared" si="79"/>
        <v>0</v>
      </c>
      <c r="H103" s="96">
        <f t="shared" si="79"/>
        <v>0</v>
      </c>
      <c r="I103" s="96">
        <f t="shared" si="55"/>
        <v>0</v>
      </c>
      <c r="J103" s="96">
        <f t="shared" ref="J103:M103" si="80">HLOOKUP(J144,$D$170:$L$171,2,0)</f>
        <v>0.3</v>
      </c>
      <c r="K103" s="96">
        <f t="shared" si="80"/>
        <v>0.2</v>
      </c>
      <c r="L103" s="96">
        <f t="shared" si="80"/>
        <v>0.15</v>
      </c>
      <c r="M103" s="97">
        <f t="shared" si="80"/>
        <v>0.1</v>
      </c>
      <c r="N103" s="85"/>
    </row>
    <row r="104" spans="1:14" outlineLevel="1" x14ac:dyDescent="0.2">
      <c r="A104" s="20">
        <f t="shared" si="52"/>
        <v>11161</v>
      </c>
      <c r="B104" s="19" t="str">
        <f t="shared" si="52"/>
        <v>TAMUCC</v>
      </c>
      <c r="C104" s="142">
        <f t="shared" si="53"/>
        <v>1</v>
      </c>
      <c r="D104" s="96">
        <f t="shared" ref="D104:H104" si="81">HLOOKUP(D145,$D$170:$L$171,2,0)</f>
        <v>0</v>
      </c>
      <c r="E104" s="96">
        <f t="shared" si="81"/>
        <v>0.25</v>
      </c>
      <c r="F104" s="96">
        <f t="shared" si="81"/>
        <v>0</v>
      </c>
      <c r="G104" s="96">
        <f t="shared" si="81"/>
        <v>0</v>
      </c>
      <c r="H104" s="96">
        <f t="shared" si="81"/>
        <v>0</v>
      </c>
      <c r="I104" s="96">
        <f t="shared" si="55"/>
        <v>0</v>
      </c>
      <c r="J104" s="96">
        <f t="shared" ref="J104:M104" si="82">HLOOKUP(J145,$D$170:$L$171,2,0)</f>
        <v>0.3</v>
      </c>
      <c r="K104" s="96">
        <f t="shared" si="82"/>
        <v>0.1</v>
      </c>
      <c r="L104" s="96">
        <f t="shared" si="82"/>
        <v>0.15</v>
      </c>
      <c r="M104" s="97">
        <f t="shared" si="82"/>
        <v>0.2</v>
      </c>
      <c r="N104" s="85"/>
    </row>
    <row r="105" spans="1:14" outlineLevel="1" x14ac:dyDescent="0.2">
      <c r="A105" s="20">
        <f t="shared" si="52"/>
        <v>3639</v>
      </c>
      <c r="B105" s="19" t="str">
        <f t="shared" si="52"/>
        <v>TAMUK</v>
      </c>
      <c r="C105" s="142">
        <f t="shared" si="53"/>
        <v>1</v>
      </c>
      <c r="D105" s="96">
        <f t="shared" ref="D105:H105" si="83">HLOOKUP(D146,$D$170:$L$171,2,0)</f>
        <v>0</v>
      </c>
      <c r="E105" s="96">
        <f t="shared" si="83"/>
        <v>0.15</v>
      </c>
      <c r="F105" s="96">
        <f t="shared" si="83"/>
        <v>0</v>
      </c>
      <c r="G105" s="96">
        <f t="shared" si="83"/>
        <v>0</v>
      </c>
      <c r="H105" s="96">
        <f t="shared" si="83"/>
        <v>0</v>
      </c>
      <c r="I105" s="96">
        <f t="shared" si="55"/>
        <v>0</v>
      </c>
      <c r="J105" s="96">
        <f t="shared" ref="J105:M105" si="84">HLOOKUP(J146,$D$170:$L$171,2,0)</f>
        <v>0.3</v>
      </c>
      <c r="K105" s="96">
        <f t="shared" si="84"/>
        <v>0.1</v>
      </c>
      <c r="L105" s="96">
        <f t="shared" si="84"/>
        <v>0.2</v>
      </c>
      <c r="M105" s="97">
        <f t="shared" si="84"/>
        <v>0.25</v>
      </c>
      <c r="N105" s="85"/>
    </row>
    <row r="106" spans="1:14" outlineLevel="1" x14ac:dyDescent="0.2">
      <c r="A106" s="27">
        <f t="shared" ref="A106:B121" si="85">A21</f>
        <v>103639</v>
      </c>
      <c r="B106" s="19" t="str">
        <f t="shared" si="85"/>
        <v>TAMUSA</v>
      </c>
      <c r="C106" s="142">
        <f t="shared" si="53"/>
        <v>1</v>
      </c>
      <c r="D106" s="96">
        <f t="shared" ref="D106:H106" si="86">HLOOKUP(D147,$D$170:$L$171,2,0)</f>
        <v>0</v>
      </c>
      <c r="E106" s="96">
        <f t="shared" si="86"/>
        <v>0.25</v>
      </c>
      <c r="F106" s="96">
        <f t="shared" si="86"/>
        <v>0</v>
      </c>
      <c r="G106" s="96">
        <f t="shared" si="86"/>
        <v>0</v>
      </c>
      <c r="H106" s="96">
        <f t="shared" si="86"/>
        <v>0</v>
      </c>
      <c r="I106" s="96">
        <f t="shared" si="55"/>
        <v>0</v>
      </c>
      <c r="J106" s="96">
        <f t="shared" ref="J106:M106" si="87">HLOOKUP(J147,$D$170:$L$171,2,0)</f>
        <v>0.3</v>
      </c>
      <c r="K106" s="96">
        <f t="shared" si="87"/>
        <v>0.2</v>
      </c>
      <c r="L106" s="96">
        <f t="shared" si="87"/>
        <v>0.15</v>
      </c>
      <c r="M106" s="97">
        <f t="shared" si="87"/>
        <v>0.1</v>
      </c>
      <c r="N106" s="85"/>
    </row>
    <row r="107" spans="1:14" outlineLevel="1" x14ac:dyDescent="0.2">
      <c r="A107" s="20">
        <f t="shared" si="85"/>
        <v>9651</v>
      </c>
      <c r="B107" s="19" t="str">
        <f t="shared" si="85"/>
        <v>TAMI</v>
      </c>
      <c r="C107" s="142">
        <f t="shared" si="53"/>
        <v>1.0000000000000002</v>
      </c>
      <c r="D107" s="96">
        <f t="shared" ref="D107:H107" si="88">HLOOKUP(D148,$D$170:$L$171,2,0)</f>
        <v>0</v>
      </c>
      <c r="E107" s="96">
        <f t="shared" si="88"/>
        <v>0.25</v>
      </c>
      <c r="F107" s="96">
        <f t="shared" si="88"/>
        <v>0</v>
      </c>
      <c r="G107" s="96">
        <f t="shared" si="88"/>
        <v>0</v>
      </c>
      <c r="H107" s="96">
        <f t="shared" si="88"/>
        <v>0</v>
      </c>
      <c r="I107" s="96">
        <f t="shared" si="55"/>
        <v>0</v>
      </c>
      <c r="J107" s="96">
        <f t="shared" ref="J107:M107" si="89">HLOOKUP(J148,$D$170:$L$171,2,0)</f>
        <v>0.3</v>
      </c>
      <c r="K107" s="96">
        <f t="shared" si="89"/>
        <v>0.15</v>
      </c>
      <c r="L107" s="96">
        <f t="shared" si="89"/>
        <v>0.2</v>
      </c>
      <c r="M107" s="97">
        <f t="shared" si="89"/>
        <v>0.1</v>
      </c>
      <c r="N107" s="85"/>
    </row>
    <row r="108" spans="1:14" outlineLevel="1" x14ac:dyDescent="0.2">
      <c r="A108" s="20">
        <f t="shared" si="85"/>
        <v>3665</v>
      </c>
      <c r="B108" s="19" t="str">
        <f t="shared" si="85"/>
        <v>WTAMU</v>
      </c>
      <c r="C108" s="142">
        <f t="shared" si="53"/>
        <v>1</v>
      </c>
      <c r="D108" s="96">
        <f t="shared" ref="D108:H108" si="90">HLOOKUP(D149,$D$170:$L$171,2,0)</f>
        <v>0</v>
      </c>
      <c r="E108" s="96">
        <f t="shared" si="90"/>
        <v>0.25</v>
      </c>
      <c r="F108" s="96">
        <f t="shared" si="90"/>
        <v>0</v>
      </c>
      <c r="G108" s="96">
        <f t="shared" si="90"/>
        <v>0</v>
      </c>
      <c r="H108" s="96">
        <f t="shared" si="90"/>
        <v>0</v>
      </c>
      <c r="I108" s="96">
        <f t="shared" si="55"/>
        <v>0</v>
      </c>
      <c r="J108" s="96">
        <f t="shared" ref="J108:M108" si="91">HLOOKUP(J149,$D$170:$L$171,2,0)</f>
        <v>0.3</v>
      </c>
      <c r="K108" s="96">
        <f t="shared" si="91"/>
        <v>0.2</v>
      </c>
      <c r="L108" s="96">
        <f t="shared" si="91"/>
        <v>0.15</v>
      </c>
      <c r="M108" s="97">
        <f t="shared" si="91"/>
        <v>0.1</v>
      </c>
      <c r="N108" s="85"/>
    </row>
    <row r="109" spans="1:14" outlineLevel="1" x14ac:dyDescent="0.2">
      <c r="A109" s="20">
        <f t="shared" si="85"/>
        <v>3565</v>
      </c>
      <c r="B109" s="19" t="str">
        <f t="shared" si="85"/>
        <v>TAMUC</v>
      </c>
      <c r="C109" s="142">
        <f t="shared" si="53"/>
        <v>1</v>
      </c>
      <c r="D109" s="96">
        <f t="shared" ref="D109:H109" si="92">HLOOKUP(D150,$D$170:$L$171,2,0)</f>
        <v>0</v>
      </c>
      <c r="E109" s="96">
        <f t="shared" si="92"/>
        <v>0.25</v>
      </c>
      <c r="F109" s="96">
        <f t="shared" si="92"/>
        <v>0</v>
      </c>
      <c r="G109" s="96">
        <f t="shared" si="92"/>
        <v>0</v>
      </c>
      <c r="H109" s="96">
        <f t="shared" si="92"/>
        <v>0</v>
      </c>
      <c r="I109" s="96">
        <f t="shared" si="55"/>
        <v>0</v>
      </c>
      <c r="J109" s="96">
        <f t="shared" ref="J109:M109" si="93">HLOOKUP(J150,$D$170:$L$171,2,0)</f>
        <v>0.3</v>
      </c>
      <c r="K109" s="96">
        <f t="shared" si="93"/>
        <v>0.2</v>
      </c>
      <c r="L109" s="96">
        <f t="shared" si="93"/>
        <v>0.15</v>
      </c>
      <c r="M109" s="97">
        <f t="shared" si="93"/>
        <v>0.1</v>
      </c>
      <c r="N109" s="85"/>
    </row>
    <row r="110" spans="1:14" outlineLevel="1" x14ac:dyDescent="0.2">
      <c r="A110" s="20">
        <f t="shared" si="85"/>
        <v>29269</v>
      </c>
      <c r="B110" s="19" t="str">
        <f t="shared" si="85"/>
        <v>TAMUT</v>
      </c>
      <c r="C110" s="142">
        <f t="shared" si="53"/>
        <v>1</v>
      </c>
      <c r="D110" s="96">
        <f t="shared" ref="D110:H110" si="94">HLOOKUP(D151,$D$170:$L$171,2,0)</f>
        <v>0</v>
      </c>
      <c r="E110" s="96">
        <f t="shared" si="94"/>
        <v>0.25</v>
      </c>
      <c r="F110" s="96">
        <f t="shared" si="94"/>
        <v>0</v>
      </c>
      <c r="G110" s="96">
        <f t="shared" si="94"/>
        <v>0</v>
      </c>
      <c r="H110" s="96">
        <f t="shared" si="94"/>
        <v>0</v>
      </c>
      <c r="I110" s="96">
        <f t="shared" si="55"/>
        <v>0</v>
      </c>
      <c r="J110" s="96">
        <f t="shared" ref="J110:M110" si="95">HLOOKUP(J151,$D$170:$L$171,2,0)</f>
        <v>0.3</v>
      </c>
      <c r="K110" s="96">
        <f t="shared" si="95"/>
        <v>0.2</v>
      </c>
      <c r="L110" s="96">
        <f t="shared" si="95"/>
        <v>0.15</v>
      </c>
      <c r="M110" s="97">
        <f t="shared" si="95"/>
        <v>0.1</v>
      </c>
      <c r="N110" s="85"/>
    </row>
    <row r="111" spans="1:14" outlineLevel="1" x14ac:dyDescent="0.2">
      <c r="A111" s="20">
        <f t="shared" si="85"/>
        <v>3652</v>
      </c>
      <c r="B111" s="19" t="str">
        <f t="shared" si="85"/>
        <v>UH</v>
      </c>
      <c r="C111" s="142">
        <f t="shared" si="53"/>
        <v>1</v>
      </c>
      <c r="D111" s="96">
        <f t="shared" ref="D111:H111" si="96">HLOOKUP(D152,$D$170:$L$171,2,0)</f>
        <v>0</v>
      </c>
      <c r="E111" s="96">
        <f t="shared" si="96"/>
        <v>0.25</v>
      </c>
      <c r="F111" s="96">
        <f t="shared" si="96"/>
        <v>0</v>
      </c>
      <c r="G111" s="96">
        <f t="shared" si="96"/>
        <v>0</v>
      </c>
      <c r="H111" s="96">
        <f t="shared" si="96"/>
        <v>0</v>
      </c>
      <c r="I111" s="96">
        <f t="shared" si="55"/>
        <v>0</v>
      </c>
      <c r="J111" s="96">
        <f t="shared" ref="J111:M111" si="97">HLOOKUP(J152,$D$170:$L$171,2,0)</f>
        <v>0.3</v>
      </c>
      <c r="K111" s="96">
        <f t="shared" si="97"/>
        <v>0.1</v>
      </c>
      <c r="L111" s="96">
        <f t="shared" si="97"/>
        <v>0.15</v>
      </c>
      <c r="M111" s="97">
        <f t="shared" si="97"/>
        <v>0.2</v>
      </c>
      <c r="N111" s="85"/>
    </row>
    <row r="112" spans="1:14" outlineLevel="1" x14ac:dyDescent="0.2">
      <c r="A112" s="20">
        <f t="shared" si="85"/>
        <v>11711</v>
      </c>
      <c r="B112" s="19" t="str">
        <f t="shared" si="85"/>
        <v>UHCL</v>
      </c>
      <c r="C112" s="142">
        <f t="shared" si="53"/>
        <v>1.0000000000000002</v>
      </c>
      <c r="D112" s="96">
        <f t="shared" ref="D112:H112" si="98">HLOOKUP(D153,$D$170:$L$171,2,0)</f>
        <v>0</v>
      </c>
      <c r="E112" s="96">
        <f t="shared" si="98"/>
        <v>0.25</v>
      </c>
      <c r="F112" s="96">
        <f t="shared" si="98"/>
        <v>0</v>
      </c>
      <c r="G112" s="96">
        <f t="shared" si="98"/>
        <v>0</v>
      </c>
      <c r="H112" s="96">
        <f t="shared" si="98"/>
        <v>0</v>
      </c>
      <c r="I112" s="96">
        <f t="shared" si="55"/>
        <v>0</v>
      </c>
      <c r="J112" s="96">
        <f t="shared" ref="J112:M112" si="99">HLOOKUP(J153,$D$170:$L$171,2,0)</f>
        <v>0.3</v>
      </c>
      <c r="K112" s="96">
        <f t="shared" si="99"/>
        <v>0.15</v>
      </c>
      <c r="L112" s="96">
        <f t="shared" si="99"/>
        <v>0.2</v>
      </c>
      <c r="M112" s="97">
        <f t="shared" si="99"/>
        <v>0.1</v>
      </c>
      <c r="N112" s="85"/>
    </row>
    <row r="113" spans="1:17" outlineLevel="1" x14ac:dyDescent="0.2">
      <c r="A113" s="20">
        <f t="shared" si="85"/>
        <v>12826</v>
      </c>
      <c r="B113" s="19" t="str">
        <f t="shared" si="85"/>
        <v>UHD</v>
      </c>
      <c r="C113" s="142">
        <f t="shared" si="53"/>
        <v>0.99999999999999989</v>
      </c>
      <c r="D113" s="96">
        <f t="shared" ref="D113:H113" si="100">HLOOKUP(D154,$D$170:$L$171,2,0)</f>
        <v>0</v>
      </c>
      <c r="E113" s="96">
        <f t="shared" si="100"/>
        <v>0.15</v>
      </c>
      <c r="F113" s="96">
        <f t="shared" si="100"/>
        <v>0</v>
      </c>
      <c r="G113" s="96">
        <f t="shared" si="100"/>
        <v>0</v>
      </c>
      <c r="H113" s="96">
        <f t="shared" si="100"/>
        <v>0</v>
      </c>
      <c r="I113" s="96">
        <f t="shared" si="55"/>
        <v>0</v>
      </c>
      <c r="J113" s="96">
        <f t="shared" ref="J113:M113" si="101">HLOOKUP(J154,$D$170:$L$171,2,0)</f>
        <v>0.3</v>
      </c>
      <c r="K113" s="96">
        <f t="shared" si="101"/>
        <v>0.25</v>
      </c>
      <c r="L113" s="96">
        <f t="shared" si="101"/>
        <v>0.2</v>
      </c>
      <c r="M113" s="97">
        <f t="shared" si="101"/>
        <v>0.1</v>
      </c>
      <c r="N113" s="85"/>
    </row>
    <row r="114" spans="1:17" outlineLevel="1" x14ac:dyDescent="0.2">
      <c r="A114" s="20">
        <f t="shared" si="85"/>
        <v>13231</v>
      </c>
      <c r="B114" s="19" t="str">
        <f t="shared" si="85"/>
        <v>UHV</v>
      </c>
      <c r="C114" s="142">
        <f t="shared" si="53"/>
        <v>1</v>
      </c>
      <c r="D114" s="96">
        <f t="shared" ref="D114:H114" si="102">HLOOKUP(D155,$D$170:$L$171,2,0)</f>
        <v>0</v>
      </c>
      <c r="E114" s="96">
        <f t="shared" si="102"/>
        <v>0.25</v>
      </c>
      <c r="F114" s="96">
        <f t="shared" si="102"/>
        <v>0</v>
      </c>
      <c r="G114" s="96">
        <f t="shared" si="102"/>
        <v>0</v>
      </c>
      <c r="H114" s="96">
        <f t="shared" si="102"/>
        <v>0</v>
      </c>
      <c r="I114" s="96">
        <f t="shared" si="55"/>
        <v>0</v>
      </c>
      <c r="J114" s="96">
        <f t="shared" ref="J114:M114" si="103">HLOOKUP(J155,$D$170:$L$171,2,0)</f>
        <v>0.3</v>
      </c>
      <c r="K114" s="96">
        <f t="shared" si="103"/>
        <v>0.2</v>
      </c>
      <c r="L114" s="96">
        <f t="shared" si="103"/>
        <v>0.15</v>
      </c>
      <c r="M114" s="97">
        <f t="shared" si="103"/>
        <v>0.1</v>
      </c>
      <c r="N114" s="85"/>
    </row>
    <row r="115" spans="1:17" outlineLevel="1" x14ac:dyDescent="0.2">
      <c r="A115" s="20">
        <f t="shared" si="85"/>
        <v>3592</v>
      </c>
      <c r="B115" s="19" t="str">
        <f t="shared" si="85"/>
        <v>Midwestern</v>
      </c>
      <c r="C115" s="142">
        <f t="shared" si="53"/>
        <v>1</v>
      </c>
      <c r="D115" s="96">
        <f t="shared" ref="D115:H115" si="104">HLOOKUP(D156,$D$170:$L$171,2,0)</f>
        <v>0</v>
      </c>
      <c r="E115" s="96">
        <f t="shared" si="104"/>
        <v>0.25</v>
      </c>
      <c r="F115" s="96">
        <f t="shared" si="104"/>
        <v>0</v>
      </c>
      <c r="G115" s="96">
        <f t="shared" si="104"/>
        <v>0</v>
      </c>
      <c r="H115" s="96">
        <f t="shared" si="104"/>
        <v>0</v>
      </c>
      <c r="I115" s="96">
        <f t="shared" si="55"/>
        <v>0</v>
      </c>
      <c r="J115" s="96">
        <f t="shared" ref="J115:M115" si="105">HLOOKUP(J156,$D$170:$L$171,2,0)</f>
        <v>0.3</v>
      </c>
      <c r="K115" s="96">
        <f t="shared" si="105"/>
        <v>0.1</v>
      </c>
      <c r="L115" s="96">
        <f t="shared" si="105"/>
        <v>0.15</v>
      </c>
      <c r="M115" s="97">
        <f t="shared" si="105"/>
        <v>0.2</v>
      </c>
      <c r="N115" s="85"/>
    </row>
    <row r="116" spans="1:17" outlineLevel="1" x14ac:dyDescent="0.2">
      <c r="A116" s="20">
        <f t="shared" si="85"/>
        <v>3594</v>
      </c>
      <c r="B116" s="19" t="str">
        <f t="shared" si="85"/>
        <v>UNT</v>
      </c>
      <c r="C116" s="142">
        <f t="shared" si="53"/>
        <v>1</v>
      </c>
      <c r="D116" s="96">
        <f t="shared" ref="D116:H116" si="106">HLOOKUP(D157,$D$170:$L$171,2,0)</f>
        <v>0</v>
      </c>
      <c r="E116" s="96">
        <f t="shared" si="106"/>
        <v>0.25</v>
      </c>
      <c r="F116" s="96">
        <f t="shared" si="106"/>
        <v>0</v>
      </c>
      <c r="G116" s="96">
        <f t="shared" si="106"/>
        <v>0</v>
      </c>
      <c r="H116" s="96">
        <f t="shared" si="106"/>
        <v>0</v>
      </c>
      <c r="I116" s="96">
        <f t="shared" si="55"/>
        <v>0</v>
      </c>
      <c r="J116" s="96">
        <f t="shared" ref="J116:M116" si="107">HLOOKUP(J157,$D$170:$L$171,2,0)</f>
        <v>0.3</v>
      </c>
      <c r="K116" s="96">
        <f t="shared" si="107"/>
        <v>0.1</v>
      </c>
      <c r="L116" s="96">
        <f t="shared" si="107"/>
        <v>0.15</v>
      </c>
      <c r="M116" s="97">
        <f t="shared" si="107"/>
        <v>0.2</v>
      </c>
      <c r="N116" s="85"/>
      <c r="Q116" s="87"/>
    </row>
    <row r="117" spans="1:17" outlineLevel="1" x14ac:dyDescent="0.2">
      <c r="A117" s="27">
        <f t="shared" si="85"/>
        <v>113594</v>
      </c>
      <c r="B117" s="19" t="str">
        <f t="shared" si="85"/>
        <v>UNTD</v>
      </c>
      <c r="C117" s="142">
        <f t="shared" si="53"/>
        <v>1</v>
      </c>
      <c r="D117" s="96">
        <f t="shared" ref="D117:H117" si="108">HLOOKUP(D158,$D$170:$L$171,2,0)</f>
        <v>0</v>
      </c>
      <c r="E117" s="96">
        <f t="shared" si="108"/>
        <v>0.25</v>
      </c>
      <c r="F117" s="96">
        <f t="shared" si="108"/>
        <v>0</v>
      </c>
      <c r="G117" s="96">
        <f t="shared" si="108"/>
        <v>0</v>
      </c>
      <c r="H117" s="96">
        <f t="shared" si="108"/>
        <v>0</v>
      </c>
      <c r="I117" s="96">
        <f t="shared" si="55"/>
        <v>0</v>
      </c>
      <c r="J117" s="96">
        <f t="shared" ref="J117:M117" si="109">HLOOKUP(J158,$D$170:$L$171,2,0)</f>
        <v>0.3</v>
      </c>
      <c r="K117" s="96">
        <f t="shared" si="109"/>
        <v>0.2</v>
      </c>
      <c r="L117" s="96">
        <f t="shared" si="109"/>
        <v>0.15</v>
      </c>
      <c r="M117" s="97">
        <f t="shared" si="109"/>
        <v>0.1</v>
      </c>
      <c r="N117" s="85"/>
    </row>
    <row r="118" spans="1:17" outlineLevel="1" x14ac:dyDescent="0.2">
      <c r="A118" s="20">
        <f t="shared" si="85"/>
        <v>3624</v>
      </c>
      <c r="B118" s="19" t="str">
        <f t="shared" si="85"/>
        <v>SFA</v>
      </c>
      <c r="C118" s="142">
        <f t="shared" si="53"/>
        <v>1</v>
      </c>
      <c r="D118" s="96">
        <f t="shared" ref="D118:H118" si="110">HLOOKUP(D159,$D$170:$L$171,2,0)</f>
        <v>0</v>
      </c>
      <c r="E118" s="96">
        <f t="shared" si="110"/>
        <v>0.25</v>
      </c>
      <c r="F118" s="96">
        <f t="shared" si="110"/>
        <v>0</v>
      </c>
      <c r="G118" s="96">
        <f t="shared" si="110"/>
        <v>0</v>
      </c>
      <c r="H118" s="96">
        <f t="shared" si="110"/>
        <v>0</v>
      </c>
      <c r="I118" s="96">
        <f t="shared" si="55"/>
        <v>0</v>
      </c>
      <c r="J118" s="96">
        <f t="shared" ref="J118:M118" si="111">HLOOKUP(J159,$D$170:$L$171,2,0)</f>
        <v>0.3</v>
      </c>
      <c r="K118" s="96">
        <f t="shared" si="111"/>
        <v>0.1</v>
      </c>
      <c r="L118" s="96">
        <f t="shared" si="111"/>
        <v>0.15</v>
      </c>
      <c r="M118" s="97">
        <f t="shared" si="111"/>
        <v>0.2</v>
      </c>
      <c r="N118" s="85"/>
    </row>
    <row r="119" spans="1:17" outlineLevel="1" x14ac:dyDescent="0.2">
      <c r="A119" s="20">
        <f t="shared" si="85"/>
        <v>3642</v>
      </c>
      <c r="B119" s="19" t="str">
        <f t="shared" si="85"/>
        <v>TSU</v>
      </c>
      <c r="C119" s="142">
        <f t="shared" si="53"/>
        <v>1</v>
      </c>
      <c r="D119" s="96">
        <f t="shared" ref="D119:H119" si="112">HLOOKUP(D160,$D$170:$L$171,2,0)</f>
        <v>0</v>
      </c>
      <c r="E119" s="96">
        <f t="shared" si="112"/>
        <v>0.1</v>
      </c>
      <c r="F119" s="96">
        <f t="shared" si="112"/>
        <v>0</v>
      </c>
      <c r="G119" s="96">
        <f t="shared" si="112"/>
        <v>0</v>
      </c>
      <c r="H119" s="96">
        <f t="shared" si="112"/>
        <v>0</v>
      </c>
      <c r="I119" s="96">
        <f t="shared" si="55"/>
        <v>0</v>
      </c>
      <c r="J119" s="96">
        <f t="shared" ref="J119:M119" si="113">HLOOKUP(J160,$D$170:$L$171,2,0)</f>
        <v>0.3</v>
      </c>
      <c r="K119" s="96">
        <f t="shared" si="113"/>
        <v>0.15</v>
      </c>
      <c r="L119" s="96">
        <f t="shared" si="113"/>
        <v>0.2</v>
      </c>
      <c r="M119" s="97">
        <f t="shared" si="113"/>
        <v>0.25</v>
      </c>
      <c r="N119" s="85"/>
    </row>
    <row r="120" spans="1:17" outlineLevel="1" x14ac:dyDescent="0.2">
      <c r="A120" s="20">
        <f t="shared" si="85"/>
        <v>3644</v>
      </c>
      <c r="B120" s="19" t="str">
        <f t="shared" si="85"/>
        <v>TTU</v>
      </c>
      <c r="C120" s="142">
        <f t="shared" si="53"/>
        <v>1</v>
      </c>
      <c r="D120" s="96">
        <f t="shared" ref="D120:H120" si="114">HLOOKUP(D161,$D$170:$L$171,2,0)</f>
        <v>0</v>
      </c>
      <c r="E120" s="96">
        <f t="shared" si="114"/>
        <v>0.3</v>
      </c>
      <c r="F120" s="96">
        <f t="shared" si="114"/>
        <v>0</v>
      </c>
      <c r="G120" s="96">
        <f t="shared" si="114"/>
        <v>0</v>
      </c>
      <c r="H120" s="96">
        <f t="shared" si="114"/>
        <v>0</v>
      </c>
      <c r="I120" s="96">
        <f t="shared" si="55"/>
        <v>0</v>
      </c>
      <c r="J120" s="96">
        <f t="shared" ref="J120:M120" si="115">HLOOKUP(J161,$D$170:$L$171,2,0)</f>
        <v>0.25</v>
      </c>
      <c r="K120" s="96">
        <f t="shared" si="115"/>
        <v>0.1</v>
      </c>
      <c r="L120" s="96">
        <f t="shared" si="115"/>
        <v>0.15</v>
      </c>
      <c r="M120" s="97">
        <f t="shared" si="115"/>
        <v>0.2</v>
      </c>
      <c r="N120" s="85"/>
    </row>
    <row r="121" spans="1:17" outlineLevel="1" x14ac:dyDescent="0.2">
      <c r="A121" s="20">
        <f t="shared" si="85"/>
        <v>3541</v>
      </c>
      <c r="B121" s="19" t="str">
        <f t="shared" si="85"/>
        <v>Angelo</v>
      </c>
      <c r="C121" s="142">
        <f t="shared" si="53"/>
        <v>1</v>
      </c>
      <c r="D121" s="96">
        <f t="shared" ref="D121:H121" si="116">HLOOKUP(D162,$D$170:$L$171,2,0)</f>
        <v>0</v>
      </c>
      <c r="E121" s="96">
        <f t="shared" si="116"/>
        <v>0.2</v>
      </c>
      <c r="F121" s="96">
        <f t="shared" si="116"/>
        <v>0</v>
      </c>
      <c r="G121" s="96">
        <f t="shared" si="116"/>
        <v>0</v>
      </c>
      <c r="H121" s="96">
        <f t="shared" si="116"/>
        <v>0</v>
      </c>
      <c r="I121" s="96">
        <f t="shared" si="55"/>
        <v>0</v>
      </c>
      <c r="J121" s="96">
        <f t="shared" ref="J121:M121" si="117">HLOOKUP(J162,$D$170:$L$171,2,0)</f>
        <v>0.3</v>
      </c>
      <c r="K121" s="96">
        <f t="shared" si="117"/>
        <v>0.1</v>
      </c>
      <c r="L121" s="96">
        <f t="shared" si="117"/>
        <v>0.15</v>
      </c>
      <c r="M121" s="97">
        <f t="shared" si="117"/>
        <v>0.25</v>
      </c>
      <c r="N121" s="85"/>
    </row>
    <row r="122" spans="1:17" outlineLevel="1" x14ac:dyDescent="0.2">
      <c r="A122" s="20">
        <f t="shared" ref="A122:B127" si="118">A37</f>
        <v>3646</v>
      </c>
      <c r="B122" s="19" t="str">
        <f t="shared" si="118"/>
        <v>TWU</v>
      </c>
      <c r="C122" s="142">
        <f t="shared" si="53"/>
        <v>1</v>
      </c>
      <c r="D122" s="96">
        <f t="shared" ref="D122:H122" si="119">HLOOKUP(D163,$D$170:$L$171,2,0)</f>
        <v>0</v>
      </c>
      <c r="E122" s="96">
        <f t="shared" si="119"/>
        <v>0.25</v>
      </c>
      <c r="F122" s="96">
        <f t="shared" si="119"/>
        <v>0</v>
      </c>
      <c r="G122" s="96">
        <f t="shared" si="119"/>
        <v>0</v>
      </c>
      <c r="H122" s="96">
        <f t="shared" si="119"/>
        <v>0</v>
      </c>
      <c r="I122" s="96">
        <f t="shared" si="55"/>
        <v>0</v>
      </c>
      <c r="J122" s="96">
        <f t="shared" ref="J122:M122" si="120">HLOOKUP(J163,$D$170:$L$171,2,0)</f>
        <v>0.3</v>
      </c>
      <c r="K122" s="96">
        <f t="shared" si="120"/>
        <v>0.2</v>
      </c>
      <c r="L122" s="96">
        <f t="shared" si="120"/>
        <v>0.15</v>
      </c>
      <c r="M122" s="97">
        <f t="shared" si="120"/>
        <v>0.1</v>
      </c>
      <c r="N122" s="85"/>
    </row>
    <row r="123" spans="1:17" outlineLevel="1" x14ac:dyDescent="0.2">
      <c r="A123" s="20">
        <f t="shared" si="118"/>
        <v>3581</v>
      </c>
      <c r="B123" s="19" t="str">
        <f t="shared" si="118"/>
        <v>Lamar</v>
      </c>
      <c r="C123" s="142">
        <f t="shared" si="53"/>
        <v>1</v>
      </c>
      <c r="D123" s="96">
        <f t="shared" ref="D123:H123" si="121">HLOOKUP(D164,$D$170:$L$171,2,0)</f>
        <v>0</v>
      </c>
      <c r="E123" s="96">
        <f t="shared" si="121"/>
        <v>0.1</v>
      </c>
      <c r="F123" s="96">
        <f t="shared" si="121"/>
        <v>0</v>
      </c>
      <c r="G123" s="96">
        <f t="shared" si="121"/>
        <v>0</v>
      </c>
      <c r="H123" s="96">
        <f t="shared" si="121"/>
        <v>0</v>
      </c>
      <c r="I123" s="96">
        <f t="shared" si="55"/>
        <v>0</v>
      </c>
      <c r="J123" s="96">
        <f t="shared" ref="J123:M123" si="122">HLOOKUP(J164,$D$170:$L$171,2,0)</f>
        <v>0.3</v>
      </c>
      <c r="K123" s="96">
        <f t="shared" si="122"/>
        <v>0.15</v>
      </c>
      <c r="L123" s="96">
        <f t="shared" si="122"/>
        <v>0.2</v>
      </c>
      <c r="M123" s="97">
        <f t="shared" si="122"/>
        <v>0.25</v>
      </c>
      <c r="N123" s="85"/>
    </row>
    <row r="124" spans="1:17" outlineLevel="1" x14ac:dyDescent="0.2">
      <c r="A124" s="20">
        <f t="shared" si="118"/>
        <v>3606</v>
      </c>
      <c r="B124" s="19" t="str">
        <f t="shared" si="118"/>
        <v>SHSU</v>
      </c>
      <c r="C124" s="142">
        <f t="shared" si="53"/>
        <v>1</v>
      </c>
      <c r="D124" s="96">
        <f t="shared" ref="D124:H124" si="123">HLOOKUP(D165,$D$170:$L$171,2,0)</f>
        <v>0</v>
      </c>
      <c r="E124" s="96">
        <f t="shared" si="123"/>
        <v>0.25</v>
      </c>
      <c r="F124" s="96">
        <f t="shared" si="123"/>
        <v>0</v>
      </c>
      <c r="G124" s="96">
        <f t="shared" si="123"/>
        <v>0</v>
      </c>
      <c r="H124" s="96">
        <f t="shared" si="123"/>
        <v>0</v>
      </c>
      <c r="I124" s="96">
        <f t="shared" si="55"/>
        <v>0</v>
      </c>
      <c r="J124" s="96">
        <f t="shared" ref="J124:M124" si="124">HLOOKUP(J165,$D$170:$L$171,2,0)</f>
        <v>0.3</v>
      </c>
      <c r="K124" s="96">
        <f t="shared" si="124"/>
        <v>0.1</v>
      </c>
      <c r="L124" s="96">
        <f t="shared" si="124"/>
        <v>0.15</v>
      </c>
      <c r="M124" s="97">
        <f t="shared" si="124"/>
        <v>0.2</v>
      </c>
      <c r="N124" s="85"/>
    </row>
    <row r="125" spans="1:17" outlineLevel="1" x14ac:dyDescent="0.2">
      <c r="A125" s="20">
        <f t="shared" si="118"/>
        <v>3615</v>
      </c>
      <c r="B125" s="19" t="str">
        <f t="shared" si="118"/>
        <v>TXST</v>
      </c>
      <c r="C125" s="142">
        <f t="shared" si="53"/>
        <v>1</v>
      </c>
      <c r="D125" s="96">
        <f t="shared" ref="D125:H125" si="125">HLOOKUP(D166,$D$170:$L$171,2,0)</f>
        <v>0</v>
      </c>
      <c r="E125" s="96">
        <f t="shared" si="125"/>
        <v>0.25</v>
      </c>
      <c r="F125" s="96">
        <f t="shared" si="125"/>
        <v>0</v>
      </c>
      <c r="G125" s="96">
        <f t="shared" si="125"/>
        <v>0</v>
      </c>
      <c r="H125" s="96">
        <f t="shared" si="125"/>
        <v>0</v>
      </c>
      <c r="I125" s="96">
        <f t="shared" si="55"/>
        <v>0</v>
      </c>
      <c r="J125" s="96">
        <f t="shared" ref="J125:M125" si="126">HLOOKUP(J166,$D$170:$L$171,2,0)</f>
        <v>0.3</v>
      </c>
      <c r="K125" s="96">
        <f t="shared" si="126"/>
        <v>0.1</v>
      </c>
      <c r="L125" s="96">
        <f t="shared" si="126"/>
        <v>0.15</v>
      </c>
      <c r="M125" s="97">
        <f t="shared" si="126"/>
        <v>0.2</v>
      </c>
      <c r="N125" s="85"/>
    </row>
    <row r="126" spans="1:17" outlineLevel="1" x14ac:dyDescent="0.2">
      <c r="A126" s="20">
        <f t="shared" si="118"/>
        <v>3625</v>
      </c>
      <c r="B126" s="19" t="str">
        <f t="shared" si="118"/>
        <v>SRSU</v>
      </c>
      <c r="C126" s="142">
        <f t="shared" si="53"/>
        <v>1</v>
      </c>
      <c r="D126" s="96">
        <f t="shared" ref="D126:H126" si="127">HLOOKUP(D167,$D$170:$L$171,2,0)</f>
        <v>0</v>
      </c>
      <c r="E126" s="96">
        <f t="shared" si="127"/>
        <v>0.1</v>
      </c>
      <c r="F126" s="96">
        <f t="shared" si="127"/>
        <v>0</v>
      </c>
      <c r="G126" s="96">
        <f t="shared" si="127"/>
        <v>0</v>
      </c>
      <c r="H126" s="96">
        <f t="shared" si="127"/>
        <v>0</v>
      </c>
      <c r="I126" s="96">
        <f t="shared" si="55"/>
        <v>0</v>
      </c>
      <c r="J126" s="96">
        <f t="shared" ref="J126:M126" si="128">HLOOKUP(J167,$D$170:$L$171,2,0)</f>
        <v>0.3</v>
      </c>
      <c r="K126" s="96">
        <f t="shared" si="128"/>
        <v>0.2</v>
      </c>
      <c r="L126" s="96">
        <f t="shared" si="128"/>
        <v>0.15</v>
      </c>
      <c r="M126" s="97">
        <f t="shared" si="128"/>
        <v>0.25</v>
      </c>
      <c r="N126" s="85"/>
    </row>
    <row r="127" spans="1:17" ht="13.5" outlineLevel="1" thickBot="1" x14ac:dyDescent="0.25">
      <c r="A127" s="136">
        <f t="shared" si="118"/>
        <v>20</v>
      </c>
      <c r="B127" s="137" t="str">
        <f t="shared" si="118"/>
        <v>SRRG</v>
      </c>
      <c r="C127" s="167">
        <f t="shared" si="53"/>
        <v>1</v>
      </c>
      <c r="D127" s="146">
        <f t="shared" ref="D127:H127" si="129">HLOOKUP(D168,$D$170:$L$171,2,0)</f>
        <v>0</v>
      </c>
      <c r="E127" s="146">
        <f t="shared" si="129"/>
        <v>0.2</v>
      </c>
      <c r="F127" s="146">
        <f t="shared" si="129"/>
        <v>0</v>
      </c>
      <c r="G127" s="146">
        <f t="shared" si="129"/>
        <v>0</v>
      </c>
      <c r="H127" s="146">
        <f t="shared" si="129"/>
        <v>0</v>
      </c>
      <c r="I127" s="146">
        <f t="shared" si="55"/>
        <v>0</v>
      </c>
      <c r="J127" s="146">
        <f t="shared" ref="J127:M127" si="130">HLOOKUP(J168,$D$170:$L$171,2,0)</f>
        <v>0.3</v>
      </c>
      <c r="K127" s="146">
        <f t="shared" si="130"/>
        <v>0.25</v>
      </c>
      <c r="L127" s="146">
        <f t="shared" si="130"/>
        <v>0.15</v>
      </c>
      <c r="M127" s="168">
        <f t="shared" si="130"/>
        <v>0.1</v>
      </c>
      <c r="N127" s="85"/>
    </row>
    <row r="128" spans="1:17" collapsed="1" x14ac:dyDescent="0.2">
      <c r="A128" s="86" t="s">
        <v>95</v>
      </c>
      <c r="B128" s="59"/>
      <c r="C128" s="90"/>
      <c r="D128" s="111"/>
      <c r="E128" s="111"/>
      <c r="F128" s="111"/>
      <c r="G128" s="111"/>
      <c r="H128" s="111"/>
      <c r="I128" s="111"/>
      <c r="J128" s="111"/>
      <c r="K128" s="111"/>
      <c r="L128" s="111"/>
      <c r="M128" s="111"/>
      <c r="N128" s="85"/>
    </row>
    <row r="129" spans="1:14" hidden="1" outlineLevel="1" x14ac:dyDescent="0.2">
      <c r="A129" s="258" t="s">
        <v>24</v>
      </c>
      <c r="B129" s="260" t="s">
        <v>23</v>
      </c>
      <c r="C129" s="262" t="s">
        <v>74</v>
      </c>
      <c r="D129" s="248" t="s">
        <v>35</v>
      </c>
      <c r="E129" s="248"/>
      <c r="F129" s="248"/>
      <c r="G129" s="248"/>
      <c r="H129" s="250" t="s">
        <v>18</v>
      </c>
      <c r="I129" s="225" t="s">
        <v>17</v>
      </c>
      <c r="J129" s="227" t="s">
        <v>16</v>
      </c>
      <c r="K129" s="229" t="s">
        <v>34</v>
      </c>
      <c r="L129" s="230"/>
      <c r="M129" s="231"/>
      <c r="N129" s="85"/>
    </row>
    <row r="130" spans="1:14" ht="51.75" hidden="1" outlineLevel="1" thickBot="1" x14ac:dyDescent="0.25">
      <c r="A130" s="267"/>
      <c r="B130" s="268"/>
      <c r="C130" s="269"/>
      <c r="D130" s="122"/>
      <c r="E130" s="123" t="s">
        <v>33</v>
      </c>
      <c r="F130" s="123" t="s">
        <v>32</v>
      </c>
      <c r="G130" s="124" t="s">
        <v>31</v>
      </c>
      <c r="H130" s="264"/>
      <c r="I130" s="265"/>
      <c r="J130" s="266"/>
      <c r="K130" s="125" t="s">
        <v>14</v>
      </c>
      <c r="L130" s="126" t="s">
        <v>13</v>
      </c>
      <c r="M130" s="135" t="s">
        <v>12</v>
      </c>
      <c r="N130" s="85"/>
    </row>
    <row r="131" spans="1:14" hidden="1" outlineLevel="1" x14ac:dyDescent="0.2">
      <c r="A131" s="20">
        <f t="shared" ref="A131:B150" si="131">A90</f>
        <v>3656</v>
      </c>
      <c r="B131" s="19" t="str">
        <f t="shared" si="131"/>
        <v>UTA</v>
      </c>
      <c r="C131" s="90"/>
      <c r="D131" s="98">
        <f>RANK(D177,$D177:$M177)</f>
        <v>6</v>
      </c>
      <c r="E131" s="99">
        <f t="shared" ref="E131:M131" si="132">RANK(E177,$D177:$M177)</f>
        <v>2</v>
      </c>
      <c r="F131" s="99">
        <f t="shared" si="132"/>
        <v>6</v>
      </c>
      <c r="G131" s="100">
        <f t="shared" si="132"/>
        <v>6</v>
      </c>
      <c r="H131" s="98">
        <f t="shared" si="132"/>
        <v>6</v>
      </c>
      <c r="I131" s="100">
        <f t="shared" si="132"/>
        <v>6</v>
      </c>
      <c r="J131" s="101">
        <f t="shared" si="132"/>
        <v>1</v>
      </c>
      <c r="K131" s="98">
        <f t="shared" si="132"/>
        <v>3</v>
      </c>
      <c r="L131" s="99">
        <f t="shared" si="132"/>
        <v>4</v>
      </c>
      <c r="M131" s="100">
        <f t="shared" si="132"/>
        <v>5</v>
      </c>
      <c r="N131" s="85"/>
    </row>
    <row r="132" spans="1:14" hidden="1" outlineLevel="1" x14ac:dyDescent="0.2">
      <c r="A132" s="20">
        <f t="shared" si="131"/>
        <v>3658</v>
      </c>
      <c r="B132" s="19" t="str">
        <f t="shared" si="131"/>
        <v>UT</v>
      </c>
      <c r="C132" s="90"/>
      <c r="D132" s="102">
        <f t="shared" ref="D132:M132" si="133">RANK(D178,$D178:$M178)</f>
        <v>6</v>
      </c>
      <c r="E132" s="103">
        <f t="shared" si="133"/>
        <v>1</v>
      </c>
      <c r="F132" s="103">
        <f t="shared" si="133"/>
        <v>6</v>
      </c>
      <c r="G132" s="104">
        <f t="shared" si="133"/>
        <v>6</v>
      </c>
      <c r="H132" s="102">
        <f t="shared" si="133"/>
        <v>6</v>
      </c>
      <c r="I132" s="104">
        <f t="shared" si="133"/>
        <v>6</v>
      </c>
      <c r="J132" s="102">
        <f t="shared" si="133"/>
        <v>3</v>
      </c>
      <c r="K132" s="102">
        <f t="shared" si="133"/>
        <v>5</v>
      </c>
      <c r="L132" s="103">
        <f t="shared" si="133"/>
        <v>4</v>
      </c>
      <c r="M132" s="104">
        <f t="shared" si="133"/>
        <v>2</v>
      </c>
      <c r="N132" s="85"/>
    </row>
    <row r="133" spans="1:14" hidden="1" outlineLevel="1" x14ac:dyDescent="0.2">
      <c r="A133" s="20">
        <f t="shared" si="131"/>
        <v>9741</v>
      </c>
      <c r="B133" s="19" t="str">
        <f t="shared" si="131"/>
        <v>UTD</v>
      </c>
      <c r="C133" s="90"/>
      <c r="D133" s="102">
        <f t="shared" ref="D133:M133" si="134">RANK(D179,$D179:$M179)</f>
        <v>6</v>
      </c>
      <c r="E133" s="103">
        <f t="shared" si="134"/>
        <v>1</v>
      </c>
      <c r="F133" s="103">
        <f t="shared" si="134"/>
        <v>6</v>
      </c>
      <c r="G133" s="104">
        <f t="shared" si="134"/>
        <v>6</v>
      </c>
      <c r="H133" s="102">
        <f t="shared" si="134"/>
        <v>6</v>
      </c>
      <c r="I133" s="104">
        <f t="shared" si="134"/>
        <v>6</v>
      </c>
      <c r="J133" s="102">
        <f t="shared" si="134"/>
        <v>2</v>
      </c>
      <c r="K133" s="102">
        <f t="shared" si="134"/>
        <v>3</v>
      </c>
      <c r="L133" s="103">
        <f t="shared" si="134"/>
        <v>4</v>
      </c>
      <c r="M133" s="104">
        <f t="shared" si="134"/>
        <v>5</v>
      </c>
      <c r="N133" s="85"/>
    </row>
    <row r="134" spans="1:14" hidden="1" outlineLevel="1" x14ac:dyDescent="0.2">
      <c r="A134" s="20">
        <f t="shared" si="131"/>
        <v>3661</v>
      </c>
      <c r="B134" s="19" t="str">
        <f t="shared" si="131"/>
        <v>UTEP</v>
      </c>
      <c r="C134" s="90"/>
      <c r="D134" s="102">
        <f t="shared" ref="D134:M134" si="135">RANK(D180,$D180:$M180)</f>
        <v>6</v>
      </c>
      <c r="E134" s="103">
        <f t="shared" si="135"/>
        <v>4</v>
      </c>
      <c r="F134" s="103">
        <f t="shared" si="135"/>
        <v>6</v>
      </c>
      <c r="G134" s="104">
        <f t="shared" si="135"/>
        <v>6</v>
      </c>
      <c r="H134" s="102">
        <f t="shared" si="135"/>
        <v>6</v>
      </c>
      <c r="I134" s="104">
        <f t="shared" si="135"/>
        <v>6</v>
      </c>
      <c r="J134" s="102">
        <f t="shared" si="135"/>
        <v>1</v>
      </c>
      <c r="K134" s="102">
        <f t="shared" si="135"/>
        <v>5</v>
      </c>
      <c r="L134" s="103">
        <f t="shared" si="135"/>
        <v>3</v>
      </c>
      <c r="M134" s="104">
        <f t="shared" si="135"/>
        <v>2</v>
      </c>
      <c r="N134" s="85"/>
    </row>
    <row r="135" spans="1:14" hidden="1" outlineLevel="1" x14ac:dyDescent="0.2">
      <c r="A135" s="20">
        <f t="shared" si="131"/>
        <v>3599</v>
      </c>
      <c r="B135" s="19" t="str">
        <f t="shared" si="131"/>
        <v>UTPA</v>
      </c>
      <c r="C135" s="90"/>
      <c r="D135" s="102">
        <f t="shared" ref="D135:M135" si="136">RANK(D181,$D181:$M181)</f>
        <v>6</v>
      </c>
      <c r="E135" s="103">
        <f t="shared" si="136"/>
        <v>3</v>
      </c>
      <c r="F135" s="103">
        <f t="shared" si="136"/>
        <v>6</v>
      </c>
      <c r="G135" s="104">
        <f t="shared" si="136"/>
        <v>6</v>
      </c>
      <c r="H135" s="102">
        <f t="shared" si="136"/>
        <v>6</v>
      </c>
      <c r="I135" s="104">
        <f t="shared" si="136"/>
        <v>6</v>
      </c>
      <c r="J135" s="102">
        <f t="shared" si="136"/>
        <v>1</v>
      </c>
      <c r="K135" s="102">
        <f t="shared" si="136"/>
        <v>5</v>
      </c>
      <c r="L135" s="103">
        <f t="shared" si="136"/>
        <v>4</v>
      </c>
      <c r="M135" s="104">
        <f t="shared" si="136"/>
        <v>2</v>
      </c>
      <c r="N135" s="85"/>
    </row>
    <row r="136" spans="1:14" hidden="1" outlineLevel="1" x14ac:dyDescent="0.2">
      <c r="A136" s="20">
        <f t="shared" si="131"/>
        <v>30646</v>
      </c>
      <c r="B136" s="19" t="str">
        <f t="shared" si="131"/>
        <v>UTB</v>
      </c>
      <c r="C136" s="90"/>
      <c r="D136" s="102">
        <f t="shared" ref="D136:M136" si="137">RANK(D182,$D182:$M182)</f>
        <v>6</v>
      </c>
      <c r="E136" s="103">
        <f t="shared" si="137"/>
        <v>2</v>
      </c>
      <c r="F136" s="103">
        <f t="shared" si="137"/>
        <v>6</v>
      </c>
      <c r="G136" s="104">
        <f t="shared" si="137"/>
        <v>6</v>
      </c>
      <c r="H136" s="102">
        <f t="shared" si="137"/>
        <v>6</v>
      </c>
      <c r="I136" s="104">
        <f t="shared" si="137"/>
        <v>6</v>
      </c>
      <c r="J136" s="102">
        <f t="shared" si="137"/>
        <v>1</v>
      </c>
      <c r="K136" s="102">
        <f t="shared" si="137"/>
        <v>3</v>
      </c>
      <c r="L136" s="103">
        <f t="shared" si="137"/>
        <v>4</v>
      </c>
      <c r="M136" s="104">
        <f t="shared" si="137"/>
        <v>5</v>
      </c>
      <c r="N136" s="85"/>
    </row>
    <row r="137" spans="1:14" hidden="1" outlineLevel="1" x14ac:dyDescent="0.2">
      <c r="A137" s="20">
        <f t="shared" si="131"/>
        <v>9930</v>
      </c>
      <c r="B137" s="19" t="str">
        <f t="shared" si="131"/>
        <v>UTPB</v>
      </c>
      <c r="C137" s="90"/>
      <c r="D137" s="102">
        <f t="shared" ref="D137:M137" si="138">RANK(D183,$D183:$M183)</f>
        <v>6</v>
      </c>
      <c r="E137" s="103">
        <f t="shared" si="138"/>
        <v>2</v>
      </c>
      <c r="F137" s="103">
        <f t="shared" si="138"/>
        <v>6</v>
      </c>
      <c r="G137" s="104">
        <f t="shared" si="138"/>
        <v>6</v>
      </c>
      <c r="H137" s="102">
        <f t="shared" si="138"/>
        <v>6</v>
      </c>
      <c r="I137" s="104">
        <f t="shared" si="138"/>
        <v>6</v>
      </c>
      <c r="J137" s="102">
        <f t="shared" si="138"/>
        <v>1</v>
      </c>
      <c r="K137" s="102">
        <f t="shared" si="138"/>
        <v>3</v>
      </c>
      <c r="L137" s="103">
        <f t="shared" si="138"/>
        <v>4</v>
      </c>
      <c r="M137" s="104">
        <f t="shared" si="138"/>
        <v>5</v>
      </c>
      <c r="N137" s="85"/>
    </row>
    <row r="138" spans="1:14" hidden="1" outlineLevel="1" x14ac:dyDescent="0.2">
      <c r="A138" s="20">
        <f t="shared" si="131"/>
        <v>10115</v>
      </c>
      <c r="B138" s="19" t="str">
        <f t="shared" si="131"/>
        <v>UTSA</v>
      </c>
      <c r="C138" s="90"/>
      <c r="D138" s="102">
        <f t="shared" ref="D138:M138" si="139">RANK(D184,$D184:$M184)</f>
        <v>6</v>
      </c>
      <c r="E138" s="103">
        <f t="shared" si="139"/>
        <v>2</v>
      </c>
      <c r="F138" s="103">
        <f t="shared" si="139"/>
        <v>6</v>
      </c>
      <c r="G138" s="104">
        <f t="shared" si="139"/>
        <v>6</v>
      </c>
      <c r="H138" s="102">
        <f t="shared" si="139"/>
        <v>6</v>
      </c>
      <c r="I138" s="104">
        <f t="shared" si="139"/>
        <v>6</v>
      </c>
      <c r="J138" s="102">
        <f t="shared" si="139"/>
        <v>1</v>
      </c>
      <c r="K138" s="102">
        <f t="shared" si="139"/>
        <v>3</v>
      </c>
      <c r="L138" s="103">
        <f t="shared" si="139"/>
        <v>5</v>
      </c>
      <c r="M138" s="104">
        <f t="shared" si="139"/>
        <v>4</v>
      </c>
      <c r="N138" s="85"/>
    </row>
    <row r="139" spans="1:14" hidden="1" outlineLevel="1" x14ac:dyDescent="0.2">
      <c r="A139" s="20">
        <f t="shared" si="131"/>
        <v>11163</v>
      </c>
      <c r="B139" s="19" t="str">
        <f t="shared" si="131"/>
        <v>UTT</v>
      </c>
      <c r="C139" s="90"/>
      <c r="D139" s="102">
        <f t="shared" ref="D139:M139" si="140">RANK(D185,$D185:$M185)</f>
        <v>6</v>
      </c>
      <c r="E139" s="103">
        <f t="shared" si="140"/>
        <v>2</v>
      </c>
      <c r="F139" s="103">
        <f t="shared" si="140"/>
        <v>6</v>
      </c>
      <c r="G139" s="104">
        <f t="shared" si="140"/>
        <v>6</v>
      </c>
      <c r="H139" s="102">
        <f t="shared" si="140"/>
        <v>6</v>
      </c>
      <c r="I139" s="104">
        <f t="shared" si="140"/>
        <v>6</v>
      </c>
      <c r="J139" s="102">
        <f t="shared" si="140"/>
        <v>1</v>
      </c>
      <c r="K139" s="102">
        <f t="shared" si="140"/>
        <v>3</v>
      </c>
      <c r="L139" s="103">
        <f t="shared" si="140"/>
        <v>4</v>
      </c>
      <c r="M139" s="104">
        <f t="shared" si="140"/>
        <v>5</v>
      </c>
      <c r="N139" s="85"/>
    </row>
    <row r="140" spans="1:14" hidden="1" outlineLevel="1" x14ac:dyDescent="0.2">
      <c r="A140" s="20">
        <f t="shared" si="131"/>
        <v>3632</v>
      </c>
      <c r="B140" s="19" t="str">
        <f t="shared" si="131"/>
        <v>TAMU</v>
      </c>
      <c r="C140" s="90"/>
      <c r="D140" s="102">
        <f t="shared" ref="D140:M140" si="141">RANK(D186,$D186:$M186)</f>
        <v>6</v>
      </c>
      <c r="E140" s="103">
        <f t="shared" si="141"/>
        <v>1</v>
      </c>
      <c r="F140" s="103">
        <f t="shared" si="141"/>
        <v>6</v>
      </c>
      <c r="G140" s="104">
        <f t="shared" si="141"/>
        <v>6</v>
      </c>
      <c r="H140" s="102">
        <f t="shared" si="141"/>
        <v>6</v>
      </c>
      <c r="I140" s="104">
        <f t="shared" si="141"/>
        <v>6</v>
      </c>
      <c r="J140" s="102">
        <f t="shared" si="141"/>
        <v>3</v>
      </c>
      <c r="K140" s="102">
        <f t="shared" si="141"/>
        <v>5</v>
      </c>
      <c r="L140" s="103">
        <f t="shared" si="141"/>
        <v>4</v>
      </c>
      <c r="M140" s="104">
        <f t="shared" si="141"/>
        <v>2</v>
      </c>
      <c r="N140" s="85"/>
    </row>
    <row r="141" spans="1:14" hidden="1" outlineLevel="1" x14ac:dyDescent="0.2">
      <c r="A141" s="20">
        <f t="shared" si="131"/>
        <v>10298</v>
      </c>
      <c r="B141" s="19" t="str">
        <f t="shared" si="131"/>
        <v>TAMUG</v>
      </c>
      <c r="C141" s="90"/>
      <c r="D141" s="102">
        <f t="shared" ref="D141:M141" si="142">RANK(D187,$D187:$M187)</f>
        <v>6</v>
      </c>
      <c r="E141" s="103">
        <f t="shared" si="142"/>
        <v>2</v>
      </c>
      <c r="F141" s="103">
        <f t="shared" si="142"/>
        <v>6</v>
      </c>
      <c r="G141" s="104">
        <f t="shared" si="142"/>
        <v>6</v>
      </c>
      <c r="H141" s="102">
        <f t="shared" si="142"/>
        <v>6</v>
      </c>
      <c r="I141" s="104">
        <f t="shared" si="142"/>
        <v>6</v>
      </c>
      <c r="J141" s="102">
        <f t="shared" si="142"/>
        <v>1</v>
      </c>
      <c r="K141" s="102">
        <f t="shared" si="142"/>
        <v>4</v>
      </c>
      <c r="L141" s="103">
        <f t="shared" si="142"/>
        <v>5</v>
      </c>
      <c r="M141" s="104">
        <f t="shared" si="142"/>
        <v>3</v>
      </c>
      <c r="N141" s="85"/>
    </row>
    <row r="142" spans="1:14" hidden="1" outlineLevel="1" x14ac:dyDescent="0.2">
      <c r="A142" s="20">
        <f t="shared" si="131"/>
        <v>3630</v>
      </c>
      <c r="B142" s="19" t="str">
        <f t="shared" si="131"/>
        <v>Prairie View</v>
      </c>
      <c r="C142" s="90"/>
      <c r="D142" s="102">
        <f t="shared" ref="D142:M142" si="143">RANK(D188,$D188:$M188)</f>
        <v>6</v>
      </c>
      <c r="E142" s="103">
        <f t="shared" si="143"/>
        <v>5</v>
      </c>
      <c r="F142" s="103">
        <f t="shared" si="143"/>
        <v>6</v>
      </c>
      <c r="G142" s="104">
        <f t="shared" si="143"/>
        <v>6</v>
      </c>
      <c r="H142" s="102">
        <f t="shared" si="143"/>
        <v>6</v>
      </c>
      <c r="I142" s="104">
        <f t="shared" si="143"/>
        <v>6</v>
      </c>
      <c r="J142" s="102">
        <f t="shared" si="143"/>
        <v>1</v>
      </c>
      <c r="K142" s="102">
        <f t="shared" si="143"/>
        <v>4</v>
      </c>
      <c r="L142" s="103">
        <f t="shared" si="143"/>
        <v>3</v>
      </c>
      <c r="M142" s="104">
        <f t="shared" si="143"/>
        <v>2</v>
      </c>
      <c r="N142" s="85"/>
    </row>
    <row r="143" spans="1:14" hidden="1" outlineLevel="1" x14ac:dyDescent="0.2">
      <c r="A143" s="20">
        <f t="shared" si="131"/>
        <v>3631</v>
      </c>
      <c r="B143" s="19" t="str">
        <f t="shared" si="131"/>
        <v>Tarleton</v>
      </c>
      <c r="C143" s="90"/>
      <c r="D143" s="102">
        <f t="shared" ref="D143:M143" si="144">RANK(D189,$D189:$M189)</f>
        <v>6</v>
      </c>
      <c r="E143" s="103">
        <f t="shared" si="144"/>
        <v>2</v>
      </c>
      <c r="F143" s="103">
        <f t="shared" si="144"/>
        <v>6</v>
      </c>
      <c r="G143" s="104">
        <f t="shared" si="144"/>
        <v>6</v>
      </c>
      <c r="H143" s="102">
        <f t="shared" si="144"/>
        <v>6</v>
      </c>
      <c r="I143" s="104">
        <f t="shared" si="144"/>
        <v>6</v>
      </c>
      <c r="J143" s="102">
        <f t="shared" si="144"/>
        <v>1</v>
      </c>
      <c r="K143" s="102">
        <f t="shared" si="144"/>
        <v>4</v>
      </c>
      <c r="L143" s="103">
        <f t="shared" si="144"/>
        <v>5</v>
      </c>
      <c r="M143" s="104">
        <f t="shared" si="144"/>
        <v>3</v>
      </c>
      <c r="N143" s="85"/>
    </row>
    <row r="144" spans="1:14" hidden="1" outlineLevel="1" x14ac:dyDescent="0.2">
      <c r="A144" s="27">
        <f t="shared" si="131"/>
        <v>103631</v>
      </c>
      <c r="B144" s="19" t="str">
        <f t="shared" si="131"/>
        <v>TAMUCT</v>
      </c>
      <c r="C144" s="90"/>
      <c r="D144" s="102">
        <f t="shared" ref="D144:M144" si="145">RANK(D190,$D190:$M190)</f>
        <v>6</v>
      </c>
      <c r="E144" s="103">
        <f t="shared" si="145"/>
        <v>2</v>
      </c>
      <c r="F144" s="103">
        <f t="shared" si="145"/>
        <v>6</v>
      </c>
      <c r="G144" s="104">
        <f t="shared" si="145"/>
        <v>6</v>
      </c>
      <c r="H144" s="102">
        <f t="shared" si="145"/>
        <v>6</v>
      </c>
      <c r="I144" s="104">
        <f t="shared" si="145"/>
        <v>6</v>
      </c>
      <c r="J144" s="102">
        <f t="shared" si="145"/>
        <v>1</v>
      </c>
      <c r="K144" s="102">
        <f t="shared" si="145"/>
        <v>3</v>
      </c>
      <c r="L144" s="103">
        <f t="shared" si="145"/>
        <v>4</v>
      </c>
      <c r="M144" s="104">
        <f t="shared" si="145"/>
        <v>5</v>
      </c>
      <c r="N144" s="85"/>
    </row>
    <row r="145" spans="1:14" hidden="1" outlineLevel="1" x14ac:dyDescent="0.2">
      <c r="A145" s="20">
        <f t="shared" si="131"/>
        <v>11161</v>
      </c>
      <c r="B145" s="19" t="str">
        <f t="shared" si="131"/>
        <v>TAMUCC</v>
      </c>
      <c r="C145" s="90"/>
      <c r="D145" s="102">
        <f t="shared" ref="D145:M145" si="146">RANK(D191,$D191:$M191)</f>
        <v>6</v>
      </c>
      <c r="E145" s="103">
        <f t="shared" si="146"/>
        <v>2</v>
      </c>
      <c r="F145" s="103">
        <f t="shared" si="146"/>
        <v>6</v>
      </c>
      <c r="G145" s="104">
        <f t="shared" si="146"/>
        <v>6</v>
      </c>
      <c r="H145" s="102">
        <f t="shared" si="146"/>
        <v>6</v>
      </c>
      <c r="I145" s="104">
        <f t="shared" si="146"/>
        <v>6</v>
      </c>
      <c r="J145" s="102">
        <f t="shared" si="146"/>
        <v>1</v>
      </c>
      <c r="K145" s="102">
        <f t="shared" si="146"/>
        <v>5</v>
      </c>
      <c r="L145" s="103">
        <f t="shared" si="146"/>
        <v>4</v>
      </c>
      <c r="M145" s="104">
        <f t="shared" si="146"/>
        <v>3</v>
      </c>
      <c r="N145" s="85"/>
    </row>
    <row r="146" spans="1:14" hidden="1" outlineLevel="1" x14ac:dyDescent="0.2">
      <c r="A146" s="20">
        <f t="shared" si="131"/>
        <v>3639</v>
      </c>
      <c r="B146" s="19" t="str">
        <f t="shared" si="131"/>
        <v>TAMUK</v>
      </c>
      <c r="C146" s="90"/>
      <c r="D146" s="102">
        <f t="shared" ref="D146:M146" si="147">RANK(D192,$D192:$M192)</f>
        <v>6</v>
      </c>
      <c r="E146" s="103">
        <f t="shared" si="147"/>
        <v>4</v>
      </c>
      <c r="F146" s="103">
        <f t="shared" si="147"/>
        <v>6</v>
      </c>
      <c r="G146" s="104">
        <f t="shared" si="147"/>
        <v>6</v>
      </c>
      <c r="H146" s="102">
        <f t="shared" si="147"/>
        <v>6</v>
      </c>
      <c r="I146" s="104">
        <f t="shared" si="147"/>
        <v>6</v>
      </c>
      <c r="J146" s="102">
        <f t="shared" si="147"/>
        <v>1</v>
      </c>
      <c r="K146" s="102">
        <f t="shared" si="147"/>
        <v>5</v>
      </c>
      <c r="L146" s="103">
        <f t="shared" si="147"/>
        <v>3</v>
      </c>
      <c r="M146" s="104">
        <f t="shared" si="147"/>
        <v>2</v>
      </c>
      <c r="N146" s="85"/>
    </row>
    <row r="147" spans="1:14" hidden="1" outlineLevel="1" x14ac:dyDescent="0.2">
      <c r="A147" s="27">
        <f t="shared" si="131"/>
        <v>103639</v>
      </c>
      <c r="B147" s="19" t="str">
        <f t="shared" si="131"/>
        <v>TAMUSA</v>
      </c>
      <c r="C147" s="90"/>
      <c r="D147" s="102">
        <f t="shared" ref="D147:M147" si="148">RANK(D193,$D193:$M193)</f>
        <v>6</v>
      </c>
      <c r="E147" s="103">
        <f t="shared" si="148"/>
        <v>2</v>
      </c>
      <c r="F147" s="103">
        <f t="shared" si="148"/>
        <v>6</v>
      </c>
      <c r="G147" s="104">
        <f t="shared" si="148"/>
        <v>6</v>
      </c>
      <c r="H147" s="102">
        <f t="shared" si="148"/>
        <v>6</v>
      </c>
      <c r="I147" s="104">
        <f t="shared" si="148"/>
        <v>6</v>
      </c>
      <c r="J147" s="102">
        <f t="shared" si="148"/>
        <v>1</v>
      </c>
      <c r="K147" s="102">
        <f t="shared" si="148"/>
        <v>3</v>
      </c>
      <c r="L147" s="103">
        <f t="shared" si="148"/>
        <v>4</v>
      </c>
      <c r="M147" s="104">
        <f t="shared" si="148"/>
        <v>5</v>
      </c>
      <c r="N147" s="85"/>
    </row>
    <row r="148" spans="1:14" hidden="1" outlineLevel="1" x14ac:dyDescent="0.2">
      <c r="A148" s="20">
        <f t="shared" si="131"/>
        <v>9651</v>
      </c>
      <c r="B148" s="19" t="str">
        <f t="shared" si="131"/>
        <v>TAMI</v>
      </c>
      <c r="C148" s="90"/>
      <c r="D148" s="102">
        <f t="shared" ref="D148:M148" si="149">RANK(D194,$D194:$M194)</f>
        <v>6</v>
      </c>
      <c r="E148" s="103">
        <f t="shared" si="149"/>
        <v>2</v>
      </c>
      <c r="F148" s="103">
        <f t="shared" si="149"/>
        <v>6</v>
      </c>
      <c r="G148" s="104">
        <f t="shared" si="149"/>
        <v>6</v>
      </c>
      <c r="H148" s="102">
        <f t="shared" si="149"/>
        <v>6</v>
      </c>
      <c r="I148" s="104">
        <f t="shared" si="149"/>
        <v>6</v>
      </c>
      <c r="J148" s="102">
        <f t="shared" si="149"/>
        <v>1</v>
      </c>
      <c r="K148" s="102">
        <f t="shared" si="149"/>
        <v>4</v>
      </c>
      <c r="L148" s="103">
        <f t="shared" si="149"/>
        <v>3</v>
      </c>
      <c r="M148" s="104">
        <f t="shared" si="149"/>
        <v>5</v>
      </c>
      <c r="N148" s="85"/>
    </row>
    <row r="149" spans="1:14" hidden="1" outlineLevel="1" x14ac:dyDescent="0.2">
      <c r="A149" s="20">
        <f t="shared" si="131"/>
        <v>3665</v>
      </c>
      <c r="B149" s="19" t="str">
        <f t="shared" si="131"/>
        <v>WTAMU</v>
      </c>
      <c r="C149" s="90"/>
      <c r="D149" s="102">
        <f t="shared" ref="D149:M149" si="150">RANK(D195,$D195:$M195)</f>
        <v>6</v>
      </c>
      <c r="E149" s="103">
        <f t="shared" si="150"/>
        <v>2</v>
      </c>
      <c r="F149" s="103">
        <f t="shared" si="150"/>
        <v>6</v>
      </c>
      <c r="G149" s="104">
        <f t="shared" si="150"/>
        <v>6</v>
      </c>
      <c r="H149" s="102">
        <f t="shared" si="150"/>
        <v>6</v>
      </c>
      <c r="I149" s="104">
        <f t="shared" si="150"/>
        <v>6</v>
      </c>
      <c r="J149" s="102">
        <f t="shared" si="150"/>
        <v>1</v>
      </c>
      <c r="K149" s="102">
        <f t="shared" si="150"/>
        <v>3</v>
      </c>
      <c r="L149" s="103">
        <f t="shared" si="150"/>
        <v>4</v>
      </c>
      <c r="M149" s="104">
        <f t="shared" si="150"/>
        <v>5</v>
      </c>
      <c r="N149" s="85"/>
    </row>
    <row r="150" spans="1:14" hidden="1" outlineLevel="1" x14ac:dyDescent="0.2">
      <c r="A150" s="20">
        <f t="shared" si="131"/>
        <v>3565</v>
      </c>
      <c r="B150" s="19" t="str">
        <f t="shared" si="131"/>
        <v>TAMUC</v>
      </c>
      <c r="C150" s="90"/>
      <c r="D150" s="102">
        <f t="shared" ref="D150:M150" si="151">RANK(D196,$D196:$M196)</f>
        <v>6</v>
      </c>
      <c r="E150" s="103">
        <f t="shared" si="151"/>
        <v>2</v>
      </c>
      <c r="F150" s="103">
        <f t="shared" si="151"/>
        <v>6</v>
      </c>
      <c r="G150" s="104">
        <f t="shared" si="151"/>
        <v>6</v>
      </c>
      <c r="H150" s="102">
        <f t="shared" si="151"/>
        <v>6</v>
      </c>
      <c r="I150" s="104">
        <f t="shared" si="151"/>
        <v>6</v>
      </c>
      <c r="J150" s="102">
        <f t="shared" si="151"/>
        <v>1</v>
      </c>
      <c r="K150" s="102">
        <f t="shared" si="151"/>
        <v>3</v>
      </c>
      <c r="L150" s="103">
        <f t="shared" si="151"/>
        <v>4</v>
      </c>
      <c r="M150" s="104">
        <f t="shared" si="151"/>
        <v>5</v>
      </c>
      <c r="N150" s="85"/>
    </row>
    <row r="151" spans="1:14" hidden="1" outlineLevel="1" x14ac:dyDescent="0.2">
      <c r="A151" s="20">
        <f t="shared" ref="A151:B168" si="152">A110</f>
        <v>29269</v>
      </c>
      <c r="B151" s="19" t="str">
        <f t="shared" si="152"/>
        <v>TAMUT</v>
      </c>
      <c r="C151" s="90"/>
      <c r="D151" s="102">
        <f t="shared" ref="D151:M151" si="153">RANK(D197,$D197:$M197)</f>
        <v>6</v>
      </c>
      <c r="E151" s="103">
        <f t="shared" si="153"/>
        <v>2</v>
      </c>
      <c r="F151" s="103">
        <f t="shared" si="153"/>
        <v>6</v>
      </c>
      <c r="G151" s="104">
        <f t="shared" si="153"/>
        <v>6</v>
      </c>
      <c r="H151" s="102">
        <f t="shared" si="153"/>
        <v>6</v>
      </c>
      <c r="I151" s="104">
        <f t="shared" si="153"/>
        <v>6</v>
      </c>
      <c r="J151" s="102">
        <f t="shared" si="153"/>
        <v>1</v>
      </c>
      <c r="K151" s="102">
        <f t="shared" si="153"/>
        <v>3</v>
      </c>
      <c r="L151" s="103">
        <f t="shared" si="153"/>
        <v>4</v>
      </c>
      <c r="M151" s="104">
        <f t="shared" si="153"/>
        <v>5</v>
      </c>
      <c r="N151" s="85"/>
    </row>
    <row r="152" spans="1:14" hidden="1" outlineLevel="1" x14ac:dyDescent="0.2">
      <c r="A152" s="20">
        <f t="shared" si="152"/>
        <v>3652</v>
      </c>
      <c r="B152" s="19" t="str">
        <f t="shared" si="152"/>
        <v>UH</v>
      </c>
      <c r="C152" s="90"/>
      <c r="D152" s="102">
        <f t="shared" ref="D152:M152" si="154">RANK(D198,$D198:$M198)</f>
        <v>6</v>
      </c>
      <c r="E152" s="103">
        <f t="shared" si="154"/>
        <v>2</v>
      </c>
      <c r="F152" s="103">
        <f t="shared" si="154"/>
        <v>6</v>
      </c>
      <c r="G152" s="104">
        <f t="shared" si="154"/>
        <v>6</v>
      </c>
      <c r="H152" s="102">
        <f t="shared" si="154"/>
        <v>6</v>
      </c>
      <c r="I152" s="104">
        <f t="shared" si="154"/>
        <v>6</v>
      </c>
      <c r="J152" s="102">
        <f t="shared" si="154"/>
        <v>1</v>
      </c>
      <c r="K152" s="102">
        <f t="shared" si="154"/>
        <v>5</v>
      </c>
      <c r="L152" s="103">
        <f t="shared" si="154"/>
        <v>4</v>
      </c>
      <c r="M152" s="104">
        <f t="shared" si="154"/>
        <v>3</v>
      </c>
      <c r="N152" s="85"/>
    </row>
    <row r="153" spans="1:14" hidden="1" outlineLevel="1" x14ac:dyDescent="0.2">
      <c r="A153" s="20">
        <f t="shared" si="152"/>
        <v>11711</v>
      </c>
      <c r="B153" s="19" t="str">
        <f t="shared" si="152"/>
        <v>UHCL</v>
      </c>
      <c r="C153" s="90"/>
      <c r="D153" s="102">
        <f t="shared" ref="D153:M153" si="155">RANK(D199,$D199:$M199)</f>
        <v>6</v>
      </c>
      <c r="E153" s="103">
        <f t="shared" si="155"/>
        <v>2</v>
      </c>
      <c r="F153" s="103">
        <f t="shared" si="155"/>
        <v>6</v>
      </c>
      <c r="G153" s="104">
        <f t="shared" si="155"/>
        <v>6</v>
      </c>
      <c r="H153" s="102">
        <f t="shared" si="155"/>
        <v>6</v>
      </c>
      <c r="I153" s="104">
        <f t="shared" si="155"/>
        <v>6</v>
      </c>
      <c r="J153" s="102">
        <f t="shared" si="155"/>
        <v>1</v>
      </c>
      <c r="K153" s="102">
        <f t="shared" si="155"/>
        <v>4</v>
      </c>
      <c r="L153" s="103">
        <f t="shared" si="155"/>
        <v>3</v>
      </c>
      <c r="M153" s="104">
        <f t="shared" si="155"/>
        <v>5</v>
      </c>
      <c r="N153" s="85"/>
    </row>
    <row r="154" spans="1:14" hidden="1" outlineLevel="1" x14ac:dyDescent="0.2">
      <c r="A154" s="20">
        <f t="shared" si="152"/>
        <v>12826</v>
      </c>
      <c r="B154" s="19" t="str">
        <f t="shared" si="152"/>
        <v>UHD</v>
      </c>
      <c r="C154" s="90"/>
      <c r="D154" s="102">
        <f t="shared" ref="D154:M154" si="156">RANK(D200,$D200:$M200)</f>
        <v>6</v>
      </c>
      <c r="E154" s="103">
        <f t="shared" si="156"/>
        <v>4</v>
      </c>
      <c r="F154" s="103">
        <f t="shared" si="156"/>
        <v>6</v>
      </c>
      <c r="G154" s="104">
        <f t="shared" si="156"/>
        <v>6</v>
      </c>
      <c r="H154" s="102">
        <f t="shared" si="156"/>
        <v>6</v>
      </c>
      <c r="I154" s="104">
        <f t="shared" si="156"/>
        <v>6</v>
      </c>
      <c r="J154" s="102">
        <f t="shared" si="156"/>
        <v>1</v>
      </c>
      <c r="K154" s="102">
        <f t="shared" si="156"/>
        <v>2</v>
      </c>
      <c r="L154" s="103">
        <f t="shared" si="156"/>
        <v>3</v>
      </c>
      <c r="M154" s="104">
        <f t="shared" si="156"/>
        <v>5</v>
      </c>
      <c r="N154" s="85"/>
    </row>
    <row r="155" spans="1:14" hidden="1" outlineLevel="1" x14ac:dyDescent="0.2">
      <c r="A155" s="20">
        <f t="shared" si="152"/>
        <v>13231</v>
      </c>
      <c r="B155" s="19" t="str">
        <f t="shared" si="152"/>
        <v>UHV</v>
      </c>
      <c r="C155" s="90"/>
      <c r="D155" s="102">
        <f t="shared" ref="D155:M155" si="157">RANK(D201,$D201:$M201)</f>
        <v>6</v>
      </c>
      <c r="E155" s="103">
        <f t="shared" si="157"/>
        <v>2</v>
      </c>
      <c r="F155" s="103">
        <f t="shared" si="157"/>
        <v>6</v>
      </c>
      <c r="G155" s="104">
        <f t="shared" si="157"/>
        <v>6</v>
      </c>
      <c r="H155" s="102">
        <f t="shared" si="157"/>
        <v>6</v>
      </c>
      <c r="I155" s="104">
        <f t="shared" si="157"/>
        <v>6</v>
      </c>
      <c r="J155" s="102">
        <f t="shared" si="157"/>
        <v>1</v>
      </c>
      <c r="K155" s="102">
        <f t="shared" si="157"/>
        <v>3</v>
      </c>
      <c r="L155" s="103">
        <f t="shared" si="157"/>
        <v>4</v>
      </c>
      <c r="M155" s="104">
        <f t="shared" si="157"/>
        <v>5</v>
      </c>
      <c r="N155" s="85"/>
    </row>
    <row r="156" spans="1:14" hidden="1" outlineLevel="1" x14ac:dyDescent="0.2">
      <c r="A156" s="20">
        <f t="shared" si="152"/>
        <v>3592</v>
      </c>
      <c r="B156" s="19" t="str">
        <f t="shared" si="152"/>
        <v>Midwestern</v>
      </c>
      <c r="C156" s="90"/>
      <c r="D156" s="102">
        <f t="shared" ref="D156:M156" si="158">RANK(D202,$D202:$M202)</f>
        <v>6</v>
      </c>
      <c r="E156" s="103">
        <f t="shared" si="158"/>
        <v>2</v>
      </c>
      <c r="F156" s="103">
        <f t="shared" si="158"/>
        <v>6</v>
      </c>
      <c r="G156" s="104">
        <f t="shared" si="158"/>
        <v>6</v>
      </c>
      <c r="H156" s="102">
        <f t="shared" si="158"/>
        <v>6</v>
      </c>
      <c r="I156" s="104">
        <f t="shared" si="158"/>
        <v>6</v>
      </c>
      <c r="J156" s="102">
        <f t="shared" si="158"/>
        <v>1</v>
      </c>
      <c r="K156" s="102">
        <f t="shared" si="158"/>
        <v>5</v>
      </c>
      <c r="L156" s="103">
        <f t="shared" si="158"/>
        <v>4</v>
      </c>
      <c r="M156" s="104">
        <f t="shared" si="158"/>
        <v>3</v>
      </c>
      <c r="N156" s="85"/>
    </row>
    <row r="157" spans="1:14" hidden="1" outlineLevel="1" x14ac:dyDescent="0.2">
      <c r="A157" s="20">
        <f t="shared" si="152"/>
        <v>3594</v>
      </c>
      <c r="B157" s="19" t="str">
        <f t="shared" si="152"/>
        <v>UNT</v>
      </c>
      <c r="C157" s="90"/>
      <c r="D157" s="102">
        <f t="shared" ref="D157:M157" si="159">RANK(D203,$D203:$M203)</f>
        <v>6</v>
      </c>
      <c r="E157" s="103">
        <f t="shared" si="159"/>
        <v>2</v>
      </c>
      <c r="F157" s="103">
        <f t="shared" si="159"/>
        <v>6</v>
      </c>
      <c r="G157" s="104">
        <f t="shared" si="159"/>
        <v>6</v>
      </c>
      <c r="H157" s="102">
        <f t="shared" si="159"/>
        <v>6</v>
      </c>
      <c r="I157" s="104">
        <f t="shared" si="159"/>
        <v>6</v>
      </c>
      <c r="J157" s="102">
        <f t="shared" si="159"/>
        <v>1</v>
      </c>
      <c r="K157" s="102">
        <f t="shared" si="159"/>
        <v>5</v>
      </c>
      <c r="L157" s="103">
        <f t="shared" si="159"/>
        <v>4</v>
      </c>
      <c r="M157" s="104">
        <f t="shared" si="159"/>
        <v>3</v>
      </c>
      <c r="N157" s="85"/>
    </row>
    <row r="158" spans="1:14" hidden="1" outlineLevel="1" x14ac:dyDescent="0.2">
      <c r="A158" s="27">
        <f t="shared" si="152"/>
        <v>113594</v>
      </c>
      <c r="B158" s="19" t="str">
        <f t="shared" si="152"/>
        <v>UNTD</v>
      </c>
      <c r="C158" s="90"/>
      <c r="D158" s="102">
        <f t="shared" ref="D158:M158" si="160">RANK(D204,$D204:$M204)</f>
        <v>6</v>
      </c>
      <c r="E158" s="103">
        <f t="shared" si="160"/>
        <v>2</v>
      </c>
      <c r="F158" s="103">
        <f t="shared" si="160"/>
        <v>6</v>
      </c>
      <c r="G158" s="104">
        <f t="shared" si="160"/>
        <v>6</v>
      </c>
      <c r="H158" s="102">
        <f t="shared" si="160"/>
        <v>6</v>
      </c>
      <c r="I158" s="104">
        <f t="shared" si="160"/>
        <v>6</v>
      </c>
      <c r="J158" s="102">
        <f t="shared" si="160"/>
        <v>1</v>
      </c>
      <c r="K158" s="102">
        <f t="shared" si="160"/>
        <v>3</v>
      </c>
      <c r="L158" s="103">
        <f t="shared" si="160"/>
        <v>4</v>
      </c>
      <c r="M158" s="104">
        <f t="shared" si="160"/>
        <v>5</v>
      </c>
      <c r="N158" s="85"/>
    </row>
    <row r="159" spans="1:14" hidden="1" outlineLevel="1" x14ac:dyDescent="0.2">
      <c r="A159" s="20">
        <f t="shared" si="152"/>
        <v>3624</v>
      </c>
      <c r="B159" s="19" t="str">
        <f t="shared" si="152"/>
        <v>SFA</v>
      </c>
      <c r="C159" s="90"/>
      <c r="D159" s="102">
        <f t="shared" ref="D159:M159" si="161">RANK(D205,$D205:$M205)</f>
        <v>6</v>
      </c>
      <c r="E159" s="103">
        <f t="shared" si="161"/>
        <v>2</v>
      </c>
      <c r="F159" s="103">
        <f t="shared" si="161"/>
        <v>6</v>
      </c>
      <c r="G159" s="104">
        <f t="shared" si="161"/>
        <v>6</v>
      </c>
      <c r="H159" s="102">
        <f t="shared" si="161"/>
        <v>6</v>
      </c>
      <c r="I159" s="104">
        <f t="shared" si="161"/>
        <v>6</v>
      </c>
      <c r="J159" s="102">
        <f t="shared" si="161"/>
        <v>1</v>
      </c>
      <c r="K159" s="102">
        <f t="shared" si="161"/>
        <v>5</v>
      </c>
      <c r="L159" s="103">
        <f t="shared" si="161"/>
        <v>4</v>
      </c>
      <c r="M159" s="104">
        <f t="shared" si="161"/>
        <v>3</v>
      </c>
      <c r="N159" s="85"/>
    </row>
    <row r="160" spans="1:14" hidden="1" outlineLevel="1" x14ac:dyDescent="0.2">
      <c r="A160" s="20">
        <f t="shared" si="152"/>
        <v>3642</v>
      </c>
      <c r="B160" s="19" t="str">
        <f t="shared" si="152"/>
        <v>TSU</v>
      </c>
      <c r="C160" s="90"/>
      <c r="D160" s="102">
        <f t="shared" ref="D160:M160" si="162">RANK(D206,$D206:$M206)</f>
        <v>6</v>
      </c>
      <c r="E160" s="103">
        <f t="shared" si="162"/>
        <v>5</v>
      </c>
      <c r="F160" s="103">
        <f t="shared" si="162"/>
        <v>6</v>
      </c>
      <c r="G160" s="104">
        <f t="shared" si="162"/>
        <v>6</v>
      </c>
      <c r="H160" s="102">
        <f t="shared" si="162"/>
        <v>6</v>
      </c>
      <c r="I160" s="104">
        <f t="shared" si="162"/>
        <v>6</v>
      </c>
      <c r="J160" s="102">
        <f t="shared" si="162"/>
        <v>1</v>
      </c>
      <c r="K160" s="102">
        <f t="shared" si="162"/>
        <v>4</v>
      </c>
      <c r="L160" s="103">
        <f t="shared" si="162"/>
        <v>3</v>
      </c>
      <c r="M160" s="104">
        <f t="shared" si="162"/>
        <v>2</v>
      </c>
      <c r="N160" s="85"/>
    </row>
    <row r="161" spans="1:14" hidden="1" outlineLevel="1" x14ac:dyDescent="0.2">
      <c r="A161" s="20">
        <f t="shared" si="152"/>
        <v>3644</v>
      </c>
      <c r="B161" s="19" t="str">
        <f t="shared" si="152"/>
        <v>TTU</v>
      </c>
      <c r="C161" s="90"/>
      <c r="D161" s="102">
        <f t="shared" ref="D161:M161" si="163">RANK(D207,$D207:$M207)</f>
        <v>6</v>
      </c>
      <c r="E161" s="103">
        <f t="shared" si="163"/>
        <v>1</v>
      </c>
      <c r="F161" s="103">
        <f t="shared" si="163"/>
        <v>6</v>
      </c>
      <c r="G161" s="104">
        <f t="shared" si="163"/>
        <v>6</v>
      </c>
      <c r="H161" s="102">
        <f t="shared" si="163"/>
        <v>6</v>
      </c>
      <c r="I161" s="104">
        <f t="shared" si="163"/>
        <v>6</v>
      </c>
      <c r="J161" s="102">
        <f t="shared" si="163"/>
        <v>2</v>
      </c>
      <c r="K161" s="102">
        <f t="shared" si="163"/>
        <v>5</v>
      </c>
      <c r="L161" s="103">
        <f t="shared" si="163"/>
        <v>4</v>
      </c>
      <c r="M161" s="104">
        <f t="shared" si="163"/>
        <v>3</v>
      </c>
      <c r="N161" s="85"/>
    </row>
    <row r="162" spans="1:14" hidden="1" outlineLevel="1" x14ac:dyDescent="0.2">
      <c r="A162" s="20">
        <f t="shared" si="152"/>
        <v>3541</v>
      </c>
      <c r="B162" s="19" t="str">
        <f t="shared" si="152"/>
        <v>Angelo</v>
      </c>
      <c r="C162" s="90"/>
      <c r="D162" s="102">
        <f t="shared" ref="D162:M162" si="164">RANK(D208,$D208:$M208)</f>
        <v>6</v>
      </c>
      <c r="E162" s="103">
        <f t="shared" si="164"/>
        <v>3</v>
      </c>
      <c r="F162" s="103">
        <f t="shared" si="164"/>
        <v>6</v>
      </c>
      <c r="G162" s="104">
        <f t="shared" si="164"/>
        <v>6</v>
      </c>
      <c r="H162" s="102">
        <f t="shared" si="164"/>
        <v>6</v>
      </c>
      <c r="I162" s="104">
        <f t="shared" si="164"/>
        <v>6</v>
      </c>
      <c r="J162" s="102">
        <f t="shared" si="164"/>
        <v>1</v>
      </c>
      <c r="K162" s="102">
        <f t="shared" si="164"/>
        <v>5</v>
      </c>
      <c r="L162" s="103">
        <f t="shared" si="164"/>
        <v>4</v>
      </c>
      <c r="M162" s="104">
        <f t="shared" si="164"/>
        <v>2</v>
      </c>
      <c r="N162" s="85"/>
    </row>
    <row r="163" spans="1:14" hidden="1" outlineLevel="1" x14ac:dyDescent="0.2">
      <c r="A163" s="20">
        <f t="shared" si="152"/>
        <v>3646</v>
      </c>
      <c r="B163" s="19" t="str">
        <f t="shared" si="152"/>
        <v>TWU</v>
      </c>
      <c r="C163" s="90"/>
      <c r="D163" s="102">
        <f t="shared" ref="D163:M163" si="165">RANK(D209,$D209:$M209)</f>
        <v>6</v>
      </c>
      <c r="E163" s="103">
        <f t="shared" si="165"/>
        <v>2</v>
      </c>
      <c r="F163" s="103">
        <f t="shared" si="165"/>
        <v>6</v>
      </c>
      <c r="G163" s="104">
        <f t="shared" si="165"/>
        <v>6</v>
      </c>
      <c r="H163" s="102">
        <f t="shared" si="165"/>
        <v>6</v>
      </c>
      <c r="I163" s="104">
        <f t="shared" si="165"/>
        <v>6</v>
      </c>
      <c r="J163" s="102">
        <f t="shared" si="165"/>
        <v>1</v>
      </c>
      <c r="K163" s="102">
        <f t="shared" si="165"/>
        <v>3</v>
      </c>
      <c r="L163" s="103">
        <f t="shared" si="165"/>
        <v>4</v>
      </c>
      <c r="M163" s="104">
        <f t="shared" si="165"/>
        <v>5</v>
      </c>
      <c r="N163" s="85"/>
    </row>
    <row r="164" spans="1:14" hidden="1" outlineLevel="1" x14ac:dyDescent="0.2">
      <c r="A164" s="20">
        <f t="shared" si="152"/>
        <v>3581</v>
      </c>
      <c r="B164" s="19" t="str">
        <f t="shared" si="152"/>
        <v>Lamar</v>
      </c>
      <c r="C164" s="90"/>
      <c r="D164" s="102">
        <f t="shared" ref="D164:M164" si="166">RANK(D210,$D210:$M210)</f>
        <v>6</v>
      </c>
      <c r="E164" s="103">
        <f t="shared" si="166"/>
        <v>5</v>
      </c>
      <c r="F164" s="103">
        <f t="shared" si="166"/>
        <v>6</v>
      </c>
      <c r="G164" s="104">
        <f t="shared" si="166"/>
        <v>6</v>
      </c>
      <c r="H164" s="102">
        <f t="shared" si="166"/>
        <v>6</v>
      </c>
      <c r="I164" s="104">
        <f t="shared" si="166"/>
        <v>6</v>
      </c>
      <c r="J164" s="102">
        <f t="shared" si="166"/>
        <v>1</v>
      </c>
      <c r="K164" s="102">
        <f t="shared" si="166"/>
        <v>4</v>
      </c>
      <c r="L164" s="103">
        <f t="shared" si="166"/>
        <v>3</v>
      </c>
      <c r="M164" s="104">
        <f t="shared" si="166"/>
        <v>2</v>
      </c>
      <c r="N164" s="85"/>
    </row>
    <row r="165" spans="1:14" hidden="1" outlineLevel="1" x14ac:dyDescent="0.2">
      <c r="A165" s="20">
        <f t="shared" si="152"/>
        <v>3606</v>
      </c>
      <c r="B165" s="19" t="str">
        <f t="shared" si="152"/>
        <v>SHSU</v>
      </c>
      <c r="C165" s="90"/>
      <c r="D165" s="102">
        <f t="shared" ref="D165:M165" si="167">RANK(D211,$D211:$M211)</f>
        <v>6</v>
      </c>
      <c r="E165" s="103">
        <f t="shared" si="167"/>
        <v>2</v>
      </c>
      <c r="F165" s="103">
        <f t="shared" si="167"/>
        <v>6</v>
      </c>
      <c r="G165" s="104">
        <f t="shared" si="167"/>
        <v>6</v>
      </c>
      <c r="H165" s="102">
        <f t="shared" si="167"/>
        <v>6</v>
      </c>
      <c r="I165" s="104">
        <f t="shared" si="167"/>
        <v>6</v>
      </c>
      <c r="J165" s="102">
        <f t="shared" si="167"/>
        <v>1</v>
      </c>
      <c r="K165" s="102">
        <f t="shared" si="167"/>
        <v>5</v>
      </c>
      <c r="L165" s="103">
        <f t="shared" si="167"/>
        <v>4</v>
      </c>
      <c r="M165" s="104">
        <f t="shared" si="167"/>
        <v>3</v>
      </c>
      <c r="N165" s="85"/>
    </row>
    <row r="166" spans="1:14" hidden="1" outlineLevel="1" x14ac:dyDescent="0.2">
      <c r="A166" s="20">
        <f t="shared" si="152"/>
        <v>3615</v>
      </c>
      <c r="B166" s="19" t="str">
        <f t="shared" si="152"/>
        <v>TXST</v>
      </c>
      <c r="C166" s="90"/>
      <c r="D166" s="102">
        <f t="shared" ref="D166:M166" si="168">RANK(D212,$D212:$M212)</f>
        <v>6</v>
      </c>
      <c r="E166" s="103">
        <f t="shared" si="168"/>
        <v>2</v>
      </c>
      <c r="F166" s="103">
        <f t="shared" si="168"/>
        <v>6</v>
      </c>
      <c r="G166" s="104">
        <f t="shared" si="168"/>
        <v>6</v>
      </c>
      <c r="H166" s="102">
        <f t="shared" si="168"/>
        <v>6</v>
      </c>
      <c r="I166" s="104">
        <f t="shared" si="168"/>
        <v>6</v>
      </c>
      <c r="J166" s="102">
        <f t="shared" si="168"/>
        <v>1</v>
      </c>
      <c r="K166" s="102">
        <f t="shared" si="168"/>
        <v>5</v>
      </c>
      <c r="L166" s="103">
        <f t="shared" si="168"/>
        <v>4</v>
      </c>
      <c r="M166" s="104">
        <f t="shared" si="168"/>
        <v>3</v>
      </c>
      <c r="N166" s="85"/>
    </row>
    <row r="167" spans="1:14" hidden="1" outlineLevel="1" x14ac:dyDescent="0.2">
      <c r="A167" s="20">
        <f t="shared" si="152"/>
        <v>3625</v>
      </c>
      <c r="B167" s="19" t="str">
        <f t="shared" si="152"/>
        <v>SRSU</v>
      </c>
      <c r="C167" s="90"/>
      <c r="D167" s="102">
        <f t="shared" ref="D167:M167" si="169">RANK(D213,$D213:$M213)</f>
        <v>6</v>
      </c>
      <c r="E167" s="103">
        <f t="shared" si="169"/>
        <v>5</v>
      </c>
      <c r="F167" s="103">
        <f t="shared" si="169"/>
        <v>6</v>
      </c>
      <c r="G167" s="104">
        <f t="shared" si="169"/>
        <v>6</v>
      </c>
      <c r="H167" s="102">
        <f t="shared" si="169"/>
        <v>6</v>
      </c>
      <c r="I167" s="104">
        <f t="shared" si="169"/>
        <v>6</v>
      </c>
      <c r="J167" s="102">
        <f t="shared" si="169"/>
        <v>1</v>
      </c>
      <c r="K167" s="102">
        <f t="shared" si="169"/>
        <v>3</v>
      </c>
      <c r="L167" s="103">
        <f t="shared" si="169"/>
        <v>4</v>
      </c>
      <c r="M167" s="104">
        <f t="shared" si="169"/>
        <v>2</v>
      </c>
      <c r="N167" s="85"/>
    </row>
    <row r="168" spans="1:14" ht="13.5" hidden="1" outlineLevel="1" thickBot="1" x14ac:dyDescent="0.25">
      <c r="A168" s="136">
        <f t="shared" si="152"/>
        <v>20</v>
      </c>
      <c r="B168" s="137" t="str">
        <f t="shared" si="152"/>
        <v>SRRG</v>
      </c>
      <c r="C168" s="138"/>
      <c r="D168" s="139">
        <f>RANK(D214,$D214:$M214)</f>
        <v>6</v>
      </c>
      <c r="E168" s="140">
        <f t="shared" ref="E168:M168" si="170">RANK(E214,$D214:$M214)</f>
        <v>3</v>
      </c>
      <c r="F168" s="140">
        <f t="shared" si="170"/>
        <v>6</v>
      </c>
      <c r="G168" s="141">
        <f t="shared" si="170"/>
        <v>6</v>
      </c>
      <c r="H168" s="139">
        <f t="shared" si="170"/>
        <v>6</v>
      </c>
      <c r="I168" s="141">
        <f t="shared" si="170"/>
        <v>6</v>
      </c>
      <c r="J168" s="139">
        <f t="shared" si="170"/>
        <v>1</v>
      </c>
      <c r="K168" s="139">
        <f t="shared" si="170"/>
        <v>2</v>
      </c>
      <c r="L168" s="140">
        <f t="shared" si="170"/>
        <v>4</v>
      </c>
      <c r="M168" s="141">
        <f t="shared" si="170"/>
        <v>5</v>
      </c>
      <c r="N168" s="85"/>
    </row>
    <row r="169" spans="1:14" ht="13.5" thickBot="1" x14ac:dyDescent="0.25">
      <c r="C169" s="90"/>
      <c r="D169" s="91"/>
      <c r="E169" s="91"/>
      <c r="F169" s="91"/>
      <c r="G169" s="91"/>
      <c r="H169" s="91"/>
      <c r="I169" s="91"/>
      <c r="J169" s="91"/>
      <c r="K169" s="91"/>
      <c r="L169" s="91"/>
      <c r="M169" s="91"/>
      <c r="N169" s="85"/>
    </row>
    <row r="170" spans="1:14" x14ac:dyDescent="0.2">
      <c r="D170" s="113">
        <v>1</v>
      </c>
      <c r="E170" s="114">
        <v>2</v>
      </c>
      <c r="F170" s="114">
        <v>3</v>
      </c>
      <c r="G170" s="114">
        <v>4</v>
      </c>
      <c r="H170" s="114">
        <v>5</v>
      </c>
      <c r="I170" s="114">
        <v>6</v>
      </c>
      <c r="J170" s="114">
        <v>7</v>
      </c>
      <c r="K170" s="114">
        <v>8</v>
      </c>
      <c r="L170" s="114">
        <v>9</v>
      </c>
      <c r="M170" s="115" t="s">
        <v>11</v>
      </c>
    </row>
    <row r="171" spans="1:14" ht="13.5" thickBot="1" x14ac:dyDescent="0.25">
      <c r="D171" s="178">
        <v>0.3</v>
      </c>
      <c r="E171" s="179">
        <v>0.25</v>
      </c>
      <c r="F171" s="180">
        <v>0.2</v>
      </c>
      <c r="G171" s="181">
        <v>0.15</v>
      </c>
      <c r="H171" s="144">
        <v>0.1</v>
      </c>
      <c r="I171" s="182">
        <v>0</v>
      </c>
      <c r="J171" s="183">
        <v>0</v>
      </c>
      <c r="K171" s="185">
        <v>0</v>
      </c>
      <c r="L171" s="184">
        <v>0</v>
      </c>
      <c r="M171" s="112">
        <f>SUM(D171:L171)</f>
        <v>1</v>
      </c>
    </row>
    <row r="172" spans="1:14" x14ac:dyDescent="0.2">
      <c r="C172" s="90"/>
      <c r="D172" s="91"/>
      <c r="E172" s="91"/>
      <c r="F172" s="91"/>
      <c r="G172" s="91"/>
      <c r="H172" s="91"/>
      <c r="I172" s="91"/>
      <c r="J172" s="91"/>
      <c r="K172" s="91"/>
      <c r="L172" s="91"/>
      <c r="M172" s="91"/>
      <c r="N172" s="85"/>
    </row>
    <row r="173" spans="1:14" ht="13.5" thickBot="1" x14ac:dyDescent="0.25">
      <c r="A173" s="57" t="s">
        <v>75</v>
      </c>
    </row>
    <row r="174" spans="1:14" ht="12.75" customHeight="1" outlineLevel="1" x14ac:dyDescent="0.2">
      <c r="A174" s="234" t="s">
        <v>24</v>
      </c>
      <c r="B174" s="236" t="s">
        <v>23</v>
      </c>
      <c r="C174" s="238" t="s">
        <v>36</v>
      </c>
      <c r="D174" s="247" t="s">
        <v>35</v>
      </c>
      <c r="E174" s="248"/>
      <c r="F174" s="248"/>
      <c r="G174" s="249"/>
      <c r="H174" s="250" t="s">
        <v>18</v>
      </c>
      <c r="I174" s="225" t="s">
        <v>17</v>
      </c>
      <c r="J174" s="227" t="s">
        <v>16</v>
      </c>
      <c r="K174" s="229" t="s">
        <v>34</v>
      </c>
      <c r="L174" s="230"/>
      <c r="M174" s="231"/>
      <c r="N174" s="277"/>
    </row>
    <row r="175" spans="1:14" ht="51.75" outlineLevel="1" thickBot="1" x14ac:dyDescent="0.25">
      <c r="A175" s="273"/>
      <c r="B175" s="270"/>
      <c r="C175" s="274"/>
      <c r="D175" s="152"/>
      <c r="E175" s="123" t="s">
        <v>33</v>
      </c>
      <c r="F175" s="123" t="s">
        <v>32</v>
      </c>
      <c r="G175" s="128" t="s">
        <v>31</v>
      </c>
      <c r="H175" s="264"/>
      <c r="I175" s="265"/>
      <c r="J175" s="266"/>
      <c r="K175" s="125" t="s">
        <v>14</v>
      </c>
      <c r="L175" s="126" t="s">
        <v>13</v>
      </c>
      <c r="M175" s="135" t="s">
        <v>12</v>
      </c>
      <c r="N175" s="277"/>
    </row>
    <row r="176" spans="1:14" outlineLevel="1" x14ac:dyDescent="0.2">
      <c r="A176" s="244" t="s">
        <v>78</v>
      </c>
      <c r="B176" s="245"/>
      <c r="C176" s="246"/>
      <c r="D176" s="129">
        <v>0</v>
      </c>
      <c r="E176" s="130">
        <v>7</v>
      </c>
      <c r="F176" s="130">
        <v>0</v>
      </c>
      <c r="G176" s="131">
        <v>0</v>
      </c>
      <c r="H176" s="132">
        <v>0</v>
      </c>
      <c r="I176" s="133">
        <v>0</v>
      </c>
      <c r="J176" s="134">
        <v>8</v>
      </c>
      <c r="K176" s="129">
        <v>1.7</v>
      </c>
      <c r="L176" s="130">
        <v>2.5</v>
      </c>
      <c r="M176" s="131">
        <v>4.4000000000000004</v>
      </c>
    </row>
    <row r="177" spans="1:14" outlineLevel="1" x14ac:dyDescent="0.2">
      <c r="A177" s="20">
        <f t="shared" ref="A177:B196" si="171">A5</f>
        <v>3656</v>
      </c>
      <c r="B177" s="19" t="str">
        <f t="shared" si="171"/>
        <v>UTA</v>
      </c>
      <c r="C177" s="55">
        <f t="shared" ref="C177:C214" si="172">SUM(D177:M177)</f>
        <v>72189.043333333335</v>
      </c>
      <c r="D177" s="15">
        <f t="shared" ref="D177:F192" si="173">D219*D$176</f>
        <v>0</v>
      </c>
      <c r="E177" s="14">
        <f>E219*E$176</f>
        <v>18206.976666666669</v>
      </c>
      <c r="F177" s="14">
        <f>F219*F$176</f>
        <v>0</v>
      </c>
      <c r="G177" s="13">
        <f t="shared" ref="G177:M192" si="174">G219*G$176</f>
        <v>0</v>
      </c>
      <c r="H177" s="36">
        <f t="shared" si="174"/>
        <v>0</v>
      </c>
      <c r="I177" s="35">
        <f t="shared" si="174"/>
        <v>0</v>
      </c>
      <c r="J177" s="34">
        <f t="shared" si="174"/>
        <v>24928</v>
      </c>
      <c r="K177" s="36">
        <f t="shared" si="174"/>
        <v>11621.766666666666</v>
      </c>
      <c r="L177" s="56">
        <f t="shared" si="174"/>
        <v>9584.1666666666661</v>
      </c>
      <c r="M177" s="35">
        <f t="shared" si="174"/>
        <v>7848.1333333333341</v>
      </c>
      <c r="N177" s="153"/>
    </row>
    <row r="178" spans="1:14" outlineLevel="1" x14ac:dyDescent="0.2">
      <c r="A178" s="20">
        <f t="shared" si="171"/>
        <v>3658</v>
      </c>
      <c r="B178" s="19" t="str">
        <f t="shared" si="171"/>
        <v>UT</v>
      </c>
      <c r="C178" s="55">
        <f t="shared" si="172"/>
        <v>149487.03900000002</v>
      </c>
      <c r="D178" s="15">
        <f t="shared" si="173"/>
        <v>0</v>
      </c>
      <c r="E178" s="14">
        <f t="shared" si="173"/>
        <v>51915.572333333344</v>
      </c>
      <c r="F178" s="14">
        <f t="shared" si="173"/>
        <v>0</v>
      </c>
      <c r="G178" s="13">
        <f t="shared" si="174"/>
        <v>0</v>
      </c>
      <c r="H178" s="15">
        <f t="shared" si="174"/>
        <v>0</v>
      </c>
      <c r="I178" s="13">
        <f t="shared" si="174"/>
        <v>0</v>
      </c>
      <c r="J178" s="16">
        <f t="shared" si="174"/>
        <v>27762.666666666668</v>
      </c>
      <c r="K178" s="15">
        <f t="shared" si="174"/>
        <v>16317.166666666668</v>
      </c>
      <c r="L178" s="14">
        <f t="shared" si="174"/>
        <v>22514.166666666664</v>
      </c>
      <c r="M178" s="13">
        <f t="shared" si="174"/>
        <v>30977.466666666667</v>
      </c>
      <c r="N178" s="85"/>
    </row>
    <row r="179" spans="1:14" outlineLevel="1" x14ac:dyDescent="0.2">
      <c r="A179" s="20">
        <f t="shared" si="171"/>
        <v>9741</v>
      </c>
      <c r="B179" s="19" t="str">
        <f t="shared" si="171"/>
        <v>UTD</v>
      </c>
      <c r="C179" s="55">
        <f t="shared" si="172"/>
        <v>37798.486333333334</v>
      </c>
      <c r="D179" s="15">
        <f t="shared" si="173"/>
        <v>0</v>
      </c>
      <c r="E179" s="14">
        <f t="shared" si="173"/>
        <v>11775.953</v>
      </c>
      <c r="F179" s="14">
        <f t="shared" si="173"/>
        <v>0</v>
      </c>
      <c r="G179" s="13">
        <f t="shared" si="174"/>
        <v>0</v>
      </c>
      <c r="H179" s="15">
        <f t="shared" si="174"/>
        <v>0</v>
      </c>
      <c r="I179" s="13">
        <f t="shared" si="174"/>
        <v>0</v>
      </c>
      <c r="J179" s="16">
        <f t="shared" si="174"/>
        <v>10557.333333333334</v>
      </c>
      <c r="K179" s="15">
        <f t="shared" si="174"/>
        <v>5635.5</v>
      </c>
      <c r="L179" s="14">
        <f t="shared" si="174"/>
        <v>5335.8333333333339</v>
      </c>
      <c r="M179" s="13">
        <f t="shared" si="174"/>
        <v>4493.8666666666668</v>
      </c>
      <c r="N179" s="85"/>
    </row>
    <row r="180" spans="1:14" outlineLevel="1" x14ac:dyDescent="0.2">
      <c r="A180" s="20">
        <f t="shared" si="171"/>
        <v>3661</v>
      </c>
      <c r="B180" s="19" t="str">
        <f t="shared" si="171"/>
        <v>UTEP</v>
      </c>
      <c r="C180" s="55">
        <f t="shared" si="172"/>
        <v>52478.21</v>
      </c>
      <c r="D180" s="15">
        <f t="shared" si="173"/>
        <v>0</v>
      </c>
      <c r="E180" s="14">
        <f t="shared" si="173"/>
        <v>8345.6099999999988</v>
      </c>
      <c r="F180" s="14">
        <f t="shared" si="173"/>
        <v>0</v>
      </c>
      <c r="G180" s="13">
        <f t="shared" si="174"/>
        <v>0</v>
      </c>
      <c r="H180" s="15">
        <f t="shared" si="174"/>
        <v>0</v>
      </c>
      <c r="I180" s="13">
        <f t="shared" si="174"/>
        <v>0</v>
      </c>
      <c r="J180" s="16">
        <f t="shared" si="174"/>
        <v>19714.666666666668</v>
      </c>
      <c r="K180" s="15">
        <f t="shared" si="174"/>
        <v>7416.5333333333338</v>
      </c>
      <c r="L180" s="14">
        <f t="shared" si="174"/>
        <v>8395</v>
      </c>
      <c r="M180" s="13">
        <f t="shared" si="174"/>
        <v>8606.4000000000015</v>
      </c>
      <c r="N180" s="85"/>
    </row>
    <row r="181" spans="1:14" outlineLevel="1" x14ac:dyDescent="0.2">
      <c r="A181" s="20">
        <f t="shared" si="171"/>
        <v>3599</v>
      </c>
      <c r="B181" s="19" t="str">
        <f t="shared" si="171"/>
        <v>UTPA</v>
      </c>
      <c r="C181" s="55">
        <f t="shared" si="172"/>
        <v>49691.66</v>
      </c>
      <c r="D181" s="15">
        <f t="shared" si="173"/>
        <v>0</v>
      </c>
      <c r="E181" s="14">
        <f t="shared" si="173"/>
        <v>7783.8600000000006</v>
      </c>
      <c r="F181" s="14">
        <f t="shared" si="173"/>
        <v>0</v>
      </c>
      <c r="G181" s="13">
        <f t="shared" si="174"/>
        <v>0</v>
      </c>
      <c r="H181" s="15">
        <f t="shared" si="174"/>
        <v>0</v>
      </c>
      <c r="I181" s="13">
        <f t="shared" si="174"/>
        <v>0</v>
      </c>
      <c r="J181" s="16">
        <f t="shared" si="174"/>
        <v>18706.666666666668</v>
      </c>
      <c r="K181" s="15">
        <f t="shared" si="174"/>
        <v>6928.0666666666666</v>
      </c>
      <c r="L181" s="14">
        <f t="shared" si="174"/>
        <v>7740</v>
      </c>
      <c r="M181" s="13">
        <f t="shared" si="174"/>
        <v>8533.0666666666675</v>
      </c>
      <c r="N181" s="85"/>
    </row>
    <row r="182" spans="1:14" outlineLevel="1" x14ac:dyDescent="0.2">
      <c r="A182" s="20">
        <f t="shared" si="171"/>
        <v>30646</v>
      </c>
      <c r="B182" s="19" t="str">
        <f t="shared" si="171"/>
        <v>UTB</v>
      </c>
      <c r="C182" s="55">
        <f t="shared" si="172"/>
        <v>15979.063138257807</v>
      </c>
      <c r="D182" s="15">
        <f t="shared" si="173"/>
        <v>0</v>
      </c>
      <c r="E182" s="14">
        <f t="shared" si="173"/>
        <v>4397.1964715911399</v>
      </c>
      <c r="F182" s="14">
        <f t="shared" si="173"/>
        <v>0</v>
      </c>
      <c r="G182" s="13">
        <f t="shared" si="174"/>
        <v>0</v>
      </c>
      <c r="H182" s="15">
        <f t="shared" si="174"/>
        <v>0</v>
      </c>
      <c r="I182" s="13">
        <f t="shared" si="174"/>
        <v>0</v>
      </c>
      <c r="J182" s="16">
        <f t="shared" si="174"/>
        <v>7493.333333333333</v>
      </c>
      <c r="K182" s="15">
        <f t="shared" si="174"/>
        <v>2254.7666666666664</v>
      </c>
      <c r="L182" s="14">
        <f t="shared" si="174"/>
        <v>1390.8333333333335</v>
      </c>
      <c r="M182" s="13">
        <f t="shared" si="174"/>
        <v>442.93333333333339</v>
      </c>
      <c r="N182" s="85"/>
    </row>
    <row r="183" spans="1:14" outlineLevel="1" x14ac:dyDescent="0.2">
      <c r="A183" s="20">
        <f t="shared" si="171"/>
        <v>9930</v>
      </c>
      <c r="B183" s="19" t="str">
        <f t="shared" si="171"/>
        <v>UTPB</v>
      </c>
      <c r="C183" s="55">
        <f t="shared" si="172"/>
        <v>8269.4666666666672</v>
      </c>
      <c r="D183" s="15">
        <f t="shared" si="173"/>
        <v>0</v>
      </c>
      <c r="E183" s="14">
        <f t="shared" si="173"/>
        <v>1657.6000000000001</v>
      </c>
      <c r="F183" s="14">
        <f t="shared" si="173"/>
        <v>0</v>
      </c>
      <c r="G183" s="13">
        <f t="shared" si="174"/>
        <v>0</v>
      </c>
      <c r="H183" s="15">
        <f t="shared" si="174"/>
        <v>0</v>
      </c>
      <c r="I183" s="13">
        <f t="shared" si="174"/>
        <v>0</v>
      </c>
      <c r="J183" s="16">
        <f t="shared" si="174"/>
        <v>3192</v>
      </c>
      <c r="K183" s="15">
        <f t="shared" si="174"/>
        <v>1335.6333333333332</v>
      </c>
      <c r="L183" s="14">
        <f t="shared" si="174"/>
        <v>1229.1666666666667</v>
      </c>
      <c r="M183" s="13">
        <f t="shared" si="174"/>
        <v>855.06666666666683</v>
      </c>
      <c r="N183" s="85"/>
    </row>
    <row r="184" spans="1:14" outlineLevel="1" x14ac:dyDescent="0.2">
      <c r="A184" s="20">
        <f t="shared" si="171"/>
        <v>10115</v>
      </c>
      <c r="B184" s="19" t="str">
        <f t="shared" si="171"/>
        <v>UTSA</v>
      </c>
      <c r="C184" s="55">
        <f t="shared" si="172"/>
        <v>71381.249444444446</v>
      </c>
      <c r="D184" s="15">
        <f t="shared" si="173"/>
        <v>0</v>
      </c>
      <c r="E184" s="14">
        <f t="shared" si="173"/>
        <v>12159.882777777779</v>
      </c>
      <c r="F184" s="14">
        <f t="shared" si="173"/>
        <v>0</v>
      </c>
      <c r="G184" s="13">
        <f t="shared" si="174"/>
        <v>0</v>
      </c>
      <c r="H184" s="15">
        <f t="shared" si="174"/>
        <v>0</v>
      </c>
      <c r="I184" s="13">
        <f t="shared" si="174"/>
        <v>0</v>
      </c>
      <c r="J184" s="16">
        <f t="shared" si="174"/>
        <v>24989.333333333332</v>
      </c>
      <c r="K184" s="15">
        <f t="shared" si="174"/>
        <v>11576.433333333334</v>
      </c>
      <c r="L184" s="14">
        <f t="shared" si="174"/>
        <v>11146.666666666668</v>
      </c>
      <c r="M184" s="13">
        <f t="shared" si="174"/>
        <v>11508.933333333334</v>
      </c>
      <c r="N184" s="85"/>
    </row>
    <row r="185" spans="1:14" outlineLevel="1" x14ac:dyDescent="0.2">
      <c r="A185" s="20">
        <f t="shared" si="171"/>
        <v>11163</v>
      </c>
      <c r="B185" s="19" t="str">
        <f t="shared" si="171"/>
        <v>UTT</v>
      </c>
      <c r="C185" s="55">
        <f t="shared" si="172"/>
        <v>18205.203333333335</v>
      </c>
      <c r="D185" s="15">
        <f t="shared" si="173"/>
        <v>0</v>
      </c>
      <c r="E185" s="14">
        <f t="shared" si="173"/>
        <v>4295.503333333334</v>
      </c>
      <c r="F185" s="14">
        <f t="shared" si="173"/>
        <v>0</v>
      </c>
      <c r="G185" s="13">
        <f t="shared" si="174"/>
        <v>0</v>
      </c>
      <c r="H185" s="15">
        <f t="shared" si="174"/>
        <v>0</v>
      </c>
      <c r="I185" s="13">
        <f t="shared" si="174"/>
        <v>0</v>
      </c>
      <c r="J185" s="16">
        <f t="shared" si="174"/>
        <v>7538.666666666667</v>
      </c>
      <c r="K185" s="15">
        <f t="shared" si="174"/>
        <v>2441.7666666666664</v>
      </c>
      <c r="L185" s="14">
        <f t="shared" si="174"/>
        <v>2225</v>
      </c>
      <c r="M185" s="13">
        <f t="shared" si="174"/>
        <v>1704.2666666666667</v>
      </c>
      <c r="N185" s="85"/>
    </row>
    <row r="186" spans="1:14" outlineLevel="1" x14ac:dyDescent="0.2">
      <c r="A186" s="20">
        <f t="shared" si="171"/>
        <v>3632</v>
      </c>
      <c r="B186" s="19" t="str">
        <f t="shared" si="171"/>
        <v>TAMU</v>
      </c>
      <c r="C186" s="55">
        <f t="shared" si="172"/>
        <v>150943.2251111111</v>
      </c>
      <c r="D186" s="15">
        <f t="shared" si="173"/>
        <v>0</v>
      </c>
      <c r="E186" s="14">
        <f t="shared" si="173"/>
        <v>51430.025111111099</v>
      </c>
      <c r="F186" s="14">
        <f t="shared" si="173"/>
        <v>0</v>
      </c>
      <c r="G186" s="13">
        <f t="shared" si="174"/>
        <v>0</v>
      </c>
      <c r="H186" s="15">
        <f t="shared" si="174"/>
        <v>0</v>
      </c>
      <c r="I186" s="13">
        <f t="shared" si="174"/>
        <v>0</v>
      </c>
      <c r="J186" s="16">
        <f t="shared" si="174"/>
        <v>29792</v>
      </c>
      <c r="K186" s="15">
        <f t="shared" si="174"/>
        <v>17103.133333333331</v>
      </c>
      <c r="L186" s="14">
        <f t="shared" si="174"/>
        <v>22268.333333333336</v>
      </c>
      <c r="M186" s="13">
        <f t="shared" si="174"/>
        <v>30349.733333333337</v>
      </c>
      <c r="N186" s="85"/>
    </row>
    <row r="187" spans="1:14" outlineLevel="1" x14ac:dyDescent="0.2">
      <c r="A187" s="20">
        <f t="shared" si="171"/>
        <v>10298</v>
      </c>
      <c r="B187" s="19" t="str">
        <f t="shared" si="171"/>
        <v>TAMUG</v>
      </c>
      <c r="C187" s="55">
        <f t="shared" si="172"/>
        <v>5357.4471111111106</v>
      </c>
      <c r="D187" s="15">
        <f>D229*D$176</f>
        <v>0</v>
      </c>
      <c r="E187" s="14">
        <f t="shared" si="173"/>
        <v>1209.0804444444445</v>
      </c>
      <c r="F187" s="14">
        <f t="shared" si="173"/>
        <v>0</v>
      </c>
      <c r="G187" s="13">
        <f t="shared" si="174"/>
        <v>0</v>
      </c>
      <c r="H187" s="15">
        <f t="shared" si="174"/>
        <v>0</v>
      </c>
      <c r="I187" s="13">
        <f t="shared" si="174"/>
        <v>0</v>
      </c>
      <c r="J187" s="16">
        <f t="shared" si="174"/>
        <v>1264</v>
      </c>
      <c r="K187" s="15">
        <f t="shared" si="174"/>
        <v>1006.9666666666667</v>
      </c>
      <c r="L187" s="14">
        <f t="shared" si="174"/>
        <v>795</v>
      </c>
      <c r="M187" s="13">
        <f t="shared" si="174"/>
        <v>1082.4000000000001</v>
      </c>
      <c r="N187" s="85"/>
    </row>
    <row r="188" spans="1:14" outlineLevel="1" x14ac:dyDescent="0.2">
      <c r="A188" s="20">
        <f t="shared" si="171"/>
        <v>3630</v>
      </c>
      <c r="B188" s="19" t="str">
        <f t="shared" si="171"/>
        <v>Prairie View</v>
      </c>
      <c r="C188" s="55">
        <f t="shared" si="172"/>
        <v>18628.927222222221</v>
      </c>
      <c r="D188" s="15">
        <f t="shared" ref="D188:M203" si="175">D230*D$176</f>
        <v>0</v>
      </c>
      <c r="E188" s="14">
        <f t="shared" si="173"/>
        <v>2436.027222222222</v>
      </c>
      <c r="F188" s="14">
        <f t="shared" si="173"/>
        <v>0</v>
      </c>
      <c r="G188" s="13">
        <f t="shared" si="174"/>
        <v>0</v>
      </c>
      <c r="H188" s="15">
        <f t="shared" si="174"/>
        <v>0</v>
      </c>
      <c r="I188" s="13">
        <f t="shared" si="174"/>
        <v>0</v>
      </c>
      <c r="J188" s="16">
        <f t="shared" si="174"/>
        <v>6421.333333333333</v>
      </c>
      <c r="K188" s="15">
        <f t="shared" si="174"/>
        <v>2835.6</v>
      </c>
      <c r="L188" s="14">
        <f t="shared" si="174"/>
        <v>2952.5</v>
      </c>
      <c r="M188" s="13">
        <f t="shared" si="174"/>
        <v>3983.4666666666672</v>
      </c>
      <c r="N188" s="85"/>
    </row>
    <row r="189" spans="1:14" outlineLevel="1" x14ac:dyDescent="0.2">
      <c r="A189" s="20">
        <f t="shared" si="171"/>
        <v>3631</v>
      </c>
      <c r="B189" s="19" t="str">
        <f t="shared" si="171"/>
        <v>Tarleton</v>
      </c>
      <c r="C189" s="55">
        <f t="shared" si="172"/>
        <v>25510.452000000005</v>
      </c>
      <c r="D189" s="15">
        <f t="shared" si="175"/>
        <v>0</v>
      </c>
      <c r="E189" s="14">
        <f t="shared" si="173"/>
        <v>5170.6853333333338</v>
      </c>
      <c r="F189" s="14">
        <f t="shared" si="173"/>
        <v>0</v>
      </c>
      <c r="G189" s="13">
        <f t="shared" si="174"/>
        <v>0</v>
      </c>
      <c r="H189" s="15">
        <f t="shared" si="174"/>
        <v>0</v>
      </c>
      <c r="I189" s="13">
        <f t="shared" si="174"/>
        <v>0</v>
      </c>
      <c r="J189" s="16">
        <f t="shared" si="174"/>
        <v>9560</v>
      </c>
      <c r="K189" s="15">
        <f t="shared" si="174"/>
        <v>3662.3666666666668</v>
      </c>
      <c r="L189" s="14">
        <f t="shared" si="174"/>
        <v>3321.666666666667</v>
      </c>
      <c r="M189" s="13">
        <f t="shared" si="174"/>
        <v>3795.7333333333336</v>
      </c>
      <c r="N189" s="85"/>
    </row>
    <row r="190" spans="1:14" outlineLevel="1" x14ac:dyDescent="0.2">
      <c r="A190" s="27">
        <f t="shared" si="171"/>
        <v>103631</v>
      </c>
      <c r="B190" s="19" t="str">
        <f t="shared" si="171"/>
        <v>TAMUCT</v>
      </c>
      <c r="C190" s="55">
        <f t="shared" si="172"/>
        <v>5479.8753333333334</v>
      </c>
      <c r="D190" s="15">
        <f t="shared" si="175"/>
        <v>0</v>
      </c>
      <c r="E190" s="14">
        <f t="shared" si="173"/>
        <v>1540.2753333333333</v>
      </c>
      <c r="F190" s="14">
        <f t="shared" si="173"/>
        <v>0</v>
      </c>
      <c r="G190" s="13">
        <f t="shared" si="174"/>
        <v>0</v>
      </c>
      <c r="H190" s="15">
        <f t="shared" si="174"/>
        <v>0</v>
      </c>
      <c r="I190" s="13">
        <f t="shared" si="174"/>
        <v>0</v>
      </c>
      <c r="J190" s="16">
        <f t="shared" si="174"/>
        <v>2616</v>
      </c>
      <c r="K190" s="15">
        <f t="shared" si="174"/>
        <v>841.5</v>
      </c>
      <c r="L190" s="14">
        <f t="shared" si="174"/>
        <v>332.5</v>
      </c>
      <c r="M190" s="13">
        <f t="shared" si="174"/>
        <v>149.60000000000002</v>
      </c>
      <c r="N190" s="85"/>
    </row>
    <row r="191" spans="1:14" outlineLevel="1" x14ac:dyDescent="0.2">
      <c r="A191" s="20">
        <f t="shared" si="171"/>
        <v>11161</v>
      </c>
      <c r="B191" s="19" t="str">
        <f t="shared" si="171"/>
        <v>TAMUCC</v>
      </c>
      <c r="C191" s="55">
        <f t="shared" si="172"/>
        <v>24603.38</v>
      </c>
      <c r="D191" s="15">
        <f t="shared" si="175"/>
        <v>0</v>
      </c>
      <c r="E191" s="14">
        <f t="shared" si="173"/>
        <v>4936.913333333333</v>
      </c>
      <c r="F191" s="14">
        <f t="shared" si="173"/>
        <v>0</v>
      </c>
      <c r="G191" s="13">
        <f t="shared" si="174"/>
        <v>0</v>
      </c>
      <c r="H191" s="15">
        <f t="shared" si="174"/>
        <v>0</v>
      </c>
      <c r="I191" s="13">
        <f t="shared" si="174"/>
        <v>0</v>
      </c>
      <c r="J191" s="16">
        <f t="shared" si="174"/>
        <v>8640</v>
      </c>
      <c r="K191" s="15">
        <f t="shared" si="174"/>
        <v>3491.7999999999997</v>
      </c>
      <c r="L191" s="14">
        <f t="shared" si="174"/>
        <v>3670</v>
      </c>
      <c r="M191" s="13">
        <f t="shared" si="174"/>
        <v>3864.666666666667</v>
      </c>
      <c r="N191" s="85"/>
    </row>
    <row r="192" spans="1:14" outlineLevel="1" x14ac:dyDescent="0.2">
      <c r="A192" s="20">
        <f t="shared" si="171"/>
        <v>3639</v>
      </c>
      <c r="B192" s="19" t="str">
        <f t="shared" si="171"/>
        <v>TAMUK</v>
      </c>
      <c r="C192" s="55">
        <f t="shared" si="172"/>
        <v>14025.540555555555</v>
      </c>
      <c r="D192" s="15">
        <f t="shared" si="175"/>
        <v>0</v>
      </c>
      <c r="E192" s="14">
        <f t="shared" si="173"/>
        <v>2145.1072222222224</v>
      </c>
      <c r="F192" s="14">
        <f t="shared" si="173"/>
        <v>0</v>
      </c>
      <c r="G192" s="13">
        <f t="shared" si="174"/>
        <v>0</v>
      </c>
      <c r="H192" s="15">
        <f t="shared" si="174"/>
        <v>0</v>
      </c>
      <c r="I192" s="13">
        <f t="shared" si="174"/>
        <v>0</v>
      </c>
      <c r="J192" s="16">
        <f t="shared" si="174"/>
        <v>5186.666666666667</v>
      </c>
      <c r="K192" s="15">
        <f t="shared" si="174"/>
        <v>2086.4666666666667</v>
      </c>
      <c r="L192" s="14">
        <f t="shared" si="174"/>
        <v>2149.1666666666665</v>
      </c>
      <c r="M192" s="13">
        <f t="shared" si="174"/>
        <v>2458.1333333333332</v>
      </c>
      <c r="N192" s="85"/>
    </row>
    <row r="193" spans="1:14" outlineLevel="1" x14ac:dyDescent="0.2">
      <c r="A193" s="27">
        <f t="shared" si="171"/>
        <v>103639</v>
      </c>
      <c r="B193" s="19" t="str">
        <f t="shared" si="171"/>
        <v>TAMUSA</v>
      </c>
      <c r="C193" s="55">
        <f t="shared" si="172"/>
        <v>7023.2318888888885</v>
      </c>
      <c r="D193" s="15">
        <f t="shared" si="175"/>
        <v>0</v>
      </c>
      <c r="E193" s="14">
        <f t="shared" si="175"/>
        <v>1655.0652222222222</v>
      </c>
      <c r="F193" s="14">
        <f t="shared" si="175"/>
        <v>0</v>
      </c>
      <c r="G193" s="13">
        <f t="shared" si="175"/>
        <v>0</v>
      </c>
      <c r="H193" s="15">
        <f t="shared" si="175"/>
        <v>0</v>
      </c>
      <c r="I193" s="13">
        <f t="shared" si="175"/>
        <v>0</v>
      </c>
      <c r="J193" s="16">
        <f t="shared" si="175"/>
        <v>3922.6666666666665</v>
      </c>
      <c r="K193" s="15">
        <f t="shared" si="175"/>
        <v>1240.4333333333332</v>
      </c>
      <c r="L193" s="14">
        <f t="shared" si="175"/>
        <v>193.33333333333331</v>
      </c>
      <c r="M193" s="13">
        <f t="shared" si="175"/>
        <v>11.733333333333334</v>
      </c>
      <c r="N193" s="85"/>
    </row>
    <row r="194" spans="1:14" outlineLevel="1" x14ac:dyDescent="0.2">
      <c r="A194" s="20">
        <f t="shared" si="171"/>
        <v>9651</v>
      </c>
      <c r="B194" s="19" t="str">
        <f t="shared" si="171"/>
        <v>TAMI</v>
      </c>
      <c r="C194" s="55">
        <f t="shared" si="172"/>
        <v>15332.395555555555</v>
      </c>
      <c r="D194" s="15">
        <f t="shared" si="175"/>
        <v>0</v>
      </c>
      <c r="E194" s="14">
        <f t="shared" si="175"/>
        <v>2616.4288888888887</v>
      </c>
      <c r="F194" s="14">
        <f t="shared" si="175"/>
        <v>0</v>
      </c>
      <c r="G194" s="13">
        <f t="shared" si="175"/>
        <v>0</v>
      </c>
      <c r="H194" s="15">
        <f t="shared" si="175"/>
        <v>0</v>
      </c>
      <c r="I194" s="13">
        <f t="shared" si="175"/>
        <v>0</v>
      </c>
      <c r="J194" s="16">
        <f t="shared" si="175"/>
        <v>5701.333333333333</v>
      </c>
      <c r="K194" s="15">
        <f t="shared" si="175"/>
        <v>2391.3333333333335</v>
      </c>
      <c r="L194" s="14">
        <f t="shared" si="175"/>
        <v>2539.1666666666665</v>
      </c>
      <c r="M194" s="13">
        <f t="shared" si="175"/>
        <v>2084.1333333333337</v>
      </c>
      <c r="N194" s="85"/>
    </row>
    <row r="195" spans="1:14" outlineLevel="1" x14ac:dyDescent="0.2">
      <c r="A195" s="20">
        <f t="shared" si="171"/>
        <v>3665</v>
      </c>
      <c r="B195" s="19" t="str">
        <f t="shared" si="171"/>
        <v>WTAMU</v>
      </c>
      <c r="C195" s="55">
        <f t="shared" si="172"/>
        <v>20239.036444444446</v>
      </c>
      <c r="D195" s="15">
        <f t="shared" si="175"/>
        <v>0</v>
      </c>
      <c r="E195" s="14">
        <f t="shared" si="175"/>
        <v>4137.0031111111111</v>
      </c>
      <c r="F195" s="14">
        <f t="shared" si="175"/>
        <v>0</v>
      </c>
      <c r="G195" s="13">
        <f t="shared" si="175"/>
        <v>0</v>
      </c>
      <c r="H195" s="15">
        <f t="shared" si="175"/>
        <v>0</v>
      </c>
      <c r="I195" s="13">
        <f t="shared" si="175"/>
        <v>0</v>
      </c>
      <c r="J195" s="16">
        <f t="shared" si="175"/>
        <v>7114.666666666667</v>
      </c>
      <c r="K195" s="15">
        <f t="shared" si="175"/>
        <v>3045.8333333333335</v>
      </c>
      <c r="L195" s="14">
        <f t="shared" si="175"/>
        <v>3031.666666666667</v>
      </c>
      <c r="M195" s="13">
        <f t="shared" si="175"/>
        <v>2909.8666666666672</v>
      </c>
      <c r="N195" s="85"/>
    </row>
    <row r="196" spans="1:14" outlineLevel="1" x14ac:dyDescent="0.2">
      <c r="A196" s="20">
        <f t="shared" si="171"/>
        <v>3565</v>
      </c>
      <c r="B196" s="19" t="str">
        <f t="shared" si="171"/>
        <v>TAMUC</v>
      </c>
      <c r="C196" s="55">
        <f t="shared" si="172"/>
        <v>20285.313333333332</v>
      </c>
      <c r="D196" s="15">
        <f t="shared" si="175"/>
        <v>0</v>
      </c>
      <c r="E196" s="14">
        <f t="shared" si="175"/>
        <v>4078.9466666666663</v>
      </c>
      <c r="F196" s="14">
        <f t="shared" si="175"/>
        <v>0</v>
      </c>
      <c r="G196" s="13">
        <f t="shared" si="175"/>
        <v>0</v>
      </c>
      <c r="H196" s="15">
        <f t="shared" si="175"/>
        <v>0</v>
      </c>
      <c r="I196" s="13">
        <f t="shared" si="175"/>
        <v>0</v>
      </c>
      <c r="J196" s="16">
        <f t="shared" si="175"/>
        <v>8154.666666666667</v>
      </c>
      <c r="K196" s="15">
        <f t="shared" si="175"/>
        <v>3218.1</v>
      </c>
      <c r="L196" s="14">
        <f t="shared" si="175"/>
        <v>2843.333333333333</v>
      </c>
      <c r="M196" s="13">
        <f t="shared" si="175"/>
        <v>1990.2666666666667</v>
      </c>
      <c r="N196" s="85"/>
    </row>
    <row r="197" spans="1:14" outlineLevel="1" x14ac:dyDescent="0.2">
      <c r="A197" s="20">
        <f t="shared" ref="A197:B214" si="176">A25</f>
        <v>29269</v>
      </c>
      <c r="B197" s="19" t="str">
        <f t="shared" si="176"/>
        <v>TAMUT</v>
      </c>
      <c r="C197" s="55">
        <f t="shared" si="172"/>
        <v>4414.4885044945286</v>
      </c>
      <c r="D197" s="15">
        <f t="shared" si="175"/>
        <v>0</v>
      </c>
      <c r="E197" s="14">
        <f t="shared" si="175"/>
        <v>1311.5218378278626</v>
      </c>
      <c r="F197" s="14">
        <f t="shared" si="175"/>
        <v>0</v>
      </c>
      <c r="G197" s="13">
        <f t="shared" si="175"/>
        <v>0</v>
      </c>
      <c r="H197" s="15">
        <f t="shared" si="175"/>
        <v>0</v>
      </c>
      <c r="I197" s="13">
        <f t="shared" si="175"/>
        <v>0</v>
      </c>
      <c r="J197" s="16">
        <f t="shared" si="175"/>
        <v>1912</v>
      </c>
      <c r="K197" s="15">
        <f t="shared" si="175"/>
        <v>735.5333333333333</v>
      </c>
      <c r="L197" s="14">
        <f t="shared" si="175"/>
        <v>452.5</v>
      </c>
      <c r="M197" s="13">
        <f t="shared" si="175"/>
        <v>2.9333333333333336</v>
      </c>
      <c r="N197" s="85"/>
    </row>
    <row r="198" spans="1:14" outlineLevel="1" x14ac:dyDescent="0.2">
      <c r="A198" s="20">
        <f t="shared" si="176"/>
        <v>3652</v>
      </c>
      <c r="B198" s="19" t="str">
        <f t="shared" si="176"/>
        <v>UH</v>
      </c>
      <c r="C198" s="55">
        <f t="shared" si="172"/>
        <v>87828.160888888888</v>
      </c>
      <c r="D198" s="15">
        <f t="shared" si="175"/>
        <v>0</v>
      </c>
      <c r="E198" s="14">
        <f t="shared" si="175"/>
        <v>19142.094222222222</v>
      </c>
      <c r="F198" s="14">
        <f t="shared" si="175"/>
        <v>0</v>
      </c>
      <c r="G198" s="13">
        <f t="shared" si="175"/>
        <v>0</v>
      </c>
      <c r="H198" s="15">
        <f t="shared" si="175"/>
        <v>0</v>
      </c>
      <c r="I198" s="13">
        <f t="shared" si="175"/>
        <v>0</v>
      </c>
      <c r="J198" s="16">
        <f t="shared" si="175"/>
        <v>26984</v>
      </c>
      <c r="K198" s="15">
        <f t="shared" si="175"/>
        <v>12923.966666666665</v>
      </c>
      <c r="L198" s="14">
        <f t="shared" si="175"/>
        <v>14225.833333333332</v>
      </c>
      <c r="M198" s="13">
        <f t="shared" si="175"/>
        <v>14552.266666666668</v>
      </c>
      <c r="N198" s="85"/>
    </row>
    <row r="199" spans="1:14" outlineLevel="1" x14ac:dyDescent="0.2">
      <c r="A199" s="20">
        <f t="shared" si="176"/>
        <v>11711</v>
      </c>
      <c r="B199" s="19" t="str">
        <f t="shared" si="176"/>
        <v>UHCL</v>
      </c>
      <c r="C199" s="55">
        <f t="shared" si="172"/>
        <v>15530.298755512917</v>
      </c>
      <c r="D199" s="15">
        <f t="shared" si="175"/>
        <v>0</v>
      </c>
      <c r="E199" s="14">
        <f t="shared" si="175"/>
        <v>4335.3987555129188</v>
      </c>
      <c r="F199" s="14">
        <f t="shared" si="175"/>
        <v>0</v>
      </c>
      <c r="G199" s="13">
        <f t="shared" si="175"/>
        <v>0</v>
      </c>
      <c r="H199" s="15">
        <f t="shared" si="175"/>
        <v>0</v>
      </c>
      <c r="I199" s="13">
        <f t="shared" si="175"/>
        <v>0</v>
      </c>
      <c r="J199" s="16">
        <f t="shared" si="175"/>
        <v>6194.666666666667</v>
      </c>
      <c r="K199" s="15">
        <f t="shared" si="175"/>
        <v>2365.2666666666664</v>
      </c>
      <c r="L199" s="14">
        <f t="shared" si="175"/>
        <v>2384.1666666666665</v>
      </c>
      <c r="M199" s="13">
        <f t="shared" si="175"/>
        <v>250.8</v>
      </c>
      <c r="N199" s="85"/>
    </row>
    <row r="200" spans="1:14" outlineLevel="1" x14ac:dyDescent="0.2">
      <c r="A200" s="20">
        <f t="shared" si="176"/>
        <v>12826</v>
      </c>
      <c r="B200" s="19" t="str">
        <f t="shared" si="176"/>
        <v>UHD</v>
      </c>
      <c r="C200" s="55">
        <f t="shared" si="172"/>
        <v>29226.936666666665</v>
      </c>
      <c r="D200" s="15">
        <f t="shared" si="175"/>
        <v>0</v>
      </c>
      <c r="E200" s="14">
        <f t="shared" si="175"/>
        <v>3168.503333333334</v>
      </c>
      <c r="F200" s="14">
        <f t="shared" si="175"/>
        <v>0</v>
      </c>
      <c r="G200" s="13">
        <f t="shared" si="175"/>
        <v>0</v>
      </c>
      <c r="H200" s="15">
        <f t="shared" si="175"/>
        <v>0</v>
      </c>
      <c r="I200" s="13">
        <f t="shared" si="175"/>
        <v>0</v>
      </c>
      <c r="J200" s="16">
        <f t="shared" si="175"/>
        <v>13448</v>
      </c>
      <c r="K200" s="15">
        <f t="shared" si="175"/>
        <v>5279.0666666666666</v>
      </c>
      <c r="L200" s="14">
        <f t="shared" si="175"/>
        <v>4670.833333333333</v>
      </c>
      <c r="M200" s="13">
        <f t="shared" si="175"/>
        <v>2660.5333333333333</v>
      </c>
      <c r="N200" s="85"/>
    </row>
    <row r="201" spans="1:14" outlineLevel="1" x14ac:dyDescent="0.2">
      <c r="A201" s="20">
        <f t="shared" si="176"/>
        <v>13231</v>
      </c>
      <c r="B201" s="19" t="str">
        <f t="shared" si="176"/>
        <v>UHV</v>
      </c>
      <c r="C201" s="55">
        <f t="shared" si="172"/>
        <v>7160.7349065386907</v>
      </c>
      <c r="D201" s="15">
        <f t="shared" si="175"/>
        <v>0</v>
      </c>
      <c r="E201" s="14">
        <f t="shared" si="175"/>
        <v>2101.3682398720248</v>
      </c>
      <c r="F201" s="14">
        <f t="shared" si="175"/>
        <v>0</v>
      </c>
      <c r="G201" s="13">
        <f t="shared" si="175"/>
        <v>0</v>
      </c>
      <c r="H201" s="15">
        <f t="shared" si="175"/>
        <v>0</v>
      </c>
      <c r="I201" s="13">
        <f t="shared" si="175"/>
        <v>0</v>
      </c>
      <c r="J201" s="16">
        <f t="shared" si="175"/>
        <v>3072</v>
      </c>
      <c r="K201" s="15">
        <f t="shared" si="175"/>
        <v>1217.2</v>
      </c>
      <c r="L201" s="14">
        <f t="shared" si="175"/>
        <v>740.83333333333326</v>
      </c>
      <c r="M201" s="13">
        <f t="shared" si="175"/>
        <v>29.333333333333336</v>
      </c>
      <c r="N201" s="85"/>
    </row>
    <row r="202" spans="1:14" outlineLevel="1" x14ac:dyDescent="0.2">
      <c r="A202" s="20">
        <f t="shared" si="176"/>
        <v>3592</v>
      </c>
      <c r="B202" s="19" t="str">
        <f t="shared" si="176"/>
        <v>Midwestern</v>
      </c>
      <c r="C202" s="55">
        <f t="shared" si="172"/>
        <v>16745.518888888892</v>
      </c>
      <c r="D202" s="15">
        <f t="shared" si="175"/>
        <v>0</v>
      </c>
      <c r="E202" s="14">
        <f t="shared" si="175"/>
        <v>3172.7188888888886</v>
      </c>
      <c r="F202" s="14">
        <f t="shared" si="175"/>
        <v>0</v>
      </c>
      <c r="G202" s="13">
        <f t="shared" si="175"/>
        <v>0</v>
      </c>
      <c r="H202" s="15">
        <f t="shared" si="175"/>
        <v>0</v>
      </c>
      <c r="I202" s="13">
        <f t="shared" si="175"/>
        <v>0</v>
      </c>
      <c r="J202" s="16">
        <f t="shared" si="175"/>
        <v>5522.666666666667</v>
      </c>
      <c r="K202" s="15">
        <f t="shared" si="175"/>
        <v>2444.6</v>
      </c>
      <c r="L202" s="14">
        <f t="shared" si="175"/>
        <v>2615</v>
      </c>
      <c r="M202" s="13">
        <f t="shared" si="175"/>
        <v>2990.5333333333333</v>
      </c>
      <c r="N202" s="85"/>
    </row>
    <row r="203" spans="1:14" outlineLevel="1" x14ac:dyDescent="0.2">
      <c r="A203" s="20">
        <f t="shared" si="176"/>
        <v>3594</v>
      </c>
      <c r="B203" s="19" t="str">
        <f t="shared" si="176"/>
        <v>UNT</v>
      </c>
      <c r="C203" s="55">
        <f t="shared" si="172"/>
        <v>96991.805555555562</v>
      </c>
      <c r="D203" s="15">
        <f t="shared" si="175"/>
        <v>0</v>
      </c>
      <c r="E203" s="14">
        <f t="shared" si="175"/>
        <v>24273.238888888889</v>
      </c>
      <c r="F203" s="14">
        <f t="shared" si="175"/>
        <v>0</v>
      </c>
      <c r="G203" s="13">
        <f t="shared" si="175"/>
        <v>0</v>
      </c>
      <c r="H203" s="15">
        <f t="shared" si="175"/>
        <v>0</v>
      </c>
      <c r="I203" s="13">
        <f t="shared" si="175"/>
        <v>0</v>
      </c>
      <c r="J203" s="16">
        <f t="shared" si="175"/>
        <v>30560</v>
      </c>
      <c r="K203" s="15">
        <f t="shared" si="175"/>
        <v>13369.933333333334</v>
      </c>
      <c r="L203" s="14">
        <f t="shared" si="175"/>
        <v>14105.833333333332</v>
      </c>
      <c r="M203" s="13">
        <f t="shared" si="175"/>
        <v>14682.800000000001</v>
      </c>
      <c r="N203" s="85"/>
    </row>
    <row r="204" spans="1:14" outlineLevel="1" x14ac:dyDescent="0.2">
      <c r="A204" s="27">
        <f t="shared" si="176"/>
        <v>113594</v>
      </c>
      <c r="B204" s="19" t="str">
        <f t="shared" si="176"/>
        <v>UNTD</v>
      </c>
      <c r="C204" s="55">
        <f t="shared" si="172"/>
        <v>5138.8987500000003</v>
      </c>
      <c r="D204" s="15">
        <f t="shared" ref="D204:M214" si="177">D246*D$176</f>
        <v>0</v>
      </c>
      <c r="E204" s="14">
        <f t="shared" si="177"/>
        <v>1631.1487500000001</v>
      </c>
      <c r="F204" s="14">
        <f t="shared" si="177"/>
        <v>0</v>
      </c>
      <c r="G204" s="13">
        <f t="shared" si="177"/>
        <v>0</v>
      </c>
      <c r="H204" s="15">
        <f t="shared" si="177"/>
        <v>0</v>
      </c>
      <c r="I204" s="13">
        <f t="shared" si="177"/>
        <v>0</v>
      </c>
      <c r="J204" s="16">
        <f t="shared" si="177"/>
        <v>2468</v>
      </c>
      <c r="K204" s="15">
        <f t="shared" si="177"/>
        <v>812.6</v>
      </c>
      <c r="L204" s="14">
        <f t="shared" si="177"/>
        <v>178.75</v>
      </c>
      <c r="M204" s="13">
        <f t="shared" si="177"/>
        <v>48.400000000000006</v>
      </c>
      <c r="N204" s="85"/>
    </row>
    <row r="205" spans="1:14" outlineLevel="1" x14ac:dyDescent="0.2">
      <c r="A205" s="20">
        <f t="shared" si="176"/>
        <v>3624</v>
      </c>
      <c r="B205" s="19" t="str">
        <f t="shared" si="176"/>
        <v>SFA</v>
      </c>
      <c r="C205" s="55">
        <f t="shared" si="172"/>
        <v>35178.523333333331</v>
      </c>
      <c r="D205" s="15">
        <f t="shared" si="177"/>
        <v>0</v>
      </c>
      <c r="E205" s="14">
        <f t="shared" si="177"/>
        <v>7452.2233333333324</v>
      </c>
      <c r="F205" s="14">
        <f t="shared" si="177"/>
        <v>0</v>
      </c>
      <c r="G205" s="13">
        <f t="shared" si="177"/>
        <v>0</v>
      </c>
      <c r="H205" s="15">
        <f t="shared" si="177"/>
        <v>0</v>
      </c>
      <c r="I205" s="13">
        <f t="shared" si="177"/>
        <v>0</v>
      </c>
      <c r="J205" s="16">
        <f t="shared" si="177"/>
        <v>11682.666666666666</v>
      </c>
      <c r="K205" s="15">
        <f t="shared" si="177"/>
        <v>4707.8666666666668</v>
      </c>
      <c r="L205" s="14">
        <f t="shared" si="177"/>
        <v>5187.5</v>
      </c>
      <c r="M205" s="13">
        <f t="shared" si="177"/>
        <v>6148.2666666666664</v>
      </c>
      <c r="N205" s="85"/>
    </row>
    <row r="206" spans="1:14" outlineLevel="1" x14ac:dyDescent="0.2">
      <c r="A206" s="20">
        <f t="shared" si="176"/>
        <v>3642</v>
      </c>
      <c r="B206" s="19" t="str">
        <f t="shared" si="176"/>
        <v>TSU</v>
      </c>
      <c r="C206" s="55">
        <f t="shared" si="172"/>
        <v>15443.397222222222</v>
      </c>
      <c r="D206" s="15">
        <f t="shared" si="177"/>
        <v>0</v>
      </c>
      <c r="E206" s="14">
        <f t="shared" si="177"/>
        <v>762.63055555555547</v>
      </c>
      <c r="F206" s="14">
        <f t="shared" si="177"/>
        <v>0</v>
      </c>
      <c r="G206" s="13">
        <f t="shared" si="177"/>
        <v>0</v>
      </c>
      <c r="H206" s="15">
        <f t="shared" si="177"/>
        <v>0</v>
      </c>
      <c r="I206" s="13">
        <f t="shared" si="177"/>
        <v>0</v>
      </c>
      <c r="J206" s="16">
        <f t="shared" si="177"/>
        <v>5330.666666666667</v>
      </c>
      <c r="K206" s="15">
        <f t="shared" si="177"/>
        <v>2783.4666666666662</v>
      </c>
      <c r="L206" s="14">
        <f t="shared" si="177"/>
        <v>2832.5</v>
      </c>
      <c r="M206" s="13">
        <f t="shared" si="177"/>
        <v>3734.1333333333337</v>
      </c>
      <c r="N206" s="85"/>
    </row>
    <row r="207" spans="1:14" outlineLevel="1" x14ac:dyDescent="0.2">
      <c r="A207" s="20">
        <f t="shared" si="176"/>
        <v>3644</v>
      </c>
      <c r="B207" s="19" t="str">
        <f t="shared" si="176"/>
        <v>TTU</v>
      </c>
      <c r="C207" s="55">
        <f t="shared" si="172"/>
        <v>87755.409333333329</v>
      </c>
      <c r="D207" s="15">
        <f t="shared" si="177"/>
        <v>0</v>
      </c>
      <c r="E207" s="14">
        <f t="shared" si="177"/>
        <v>23949.575999999997</v>
      </c>
      <c r="F207" s="14">
        <f t="shared" si="177"/>
        <v>0</v>
      </c>
      <c r="G207" s="13">
        <f t="shared" si="177"/>
        <v>0</v>
      </c>
      <c r="H207" s="15">
        <f t="shared" si="177"/>
        <v>0</v>
      </c>
      <c r="I207" s="13">
        <f t="shared" si="177"/>
        <v>0</v>
      </c>
      <c r="J207" s="16">
        <f t="shared" si="177"/>
        <v>22224</v>
      </c>
      <c r="K207" s="15">
        <f t="shared" si="177"/>
        <v>11025.066666666666</v>
      </c>
      <c r="L207" s="14">
        <f t="shared" si="177"/>
        <v>13195.833333333332</v>
      </c>
      <c r="M207" s="13">
        <f t="shared" si="177"/>
        <v>17360.933333333334</v>
      </c>
      <c r="N207" s="85"/>
    </row>
    <row r="208" spans="1:14" outlineLevel="1" x14ac:dyDescent="0.2">
      <c r="A208" s="20">
        <f t="shared" si="176"/>
        <v>3541</v>
      </c>
      <c r="B208" s="19" t="str">
        <f t="shared" si="176"/>
        <v>Angelo</v>
      </c>
      <c r="C208" s="55">
        <f t="shared" si="172"/>
        <v>16909.233555555558</v>
      </c>
      <c r="D208" s="15">
        <f t="shared" si="177"/>
        <v>0</v>
      </c>
      <c r="E208" s="14">
        <f t="shared" si="177"/>
        <v>2981.6002222222223</v>
      </c>
      <c r="F208" s="14">
        <f t="shared" si="177"/>
        <v>0</v>
      </c>
      <c r="G208" s="13">
        <f t="shared" si="177"/>
        <v>0</v>
      </c>
      <c r="H208" s="15">
        <f t="shared" si="177"/>
        <v>0</v>
      </c>
      <c r="I208" s="13">
        <f t="shared" si="177"/>
        <v>0</v>
      </c>
      <c r="J208" s="16">
        <f t="shared" si="177"/>
        <v>5784</v>
      </c>
      <c r="K208" s="15">
        <f t="shared" si="177"/>
        <v>2445.7333333333336</v>
      </c>
      <c r="L208" s="14">
        <f t="shared" si="177"/>
        <v>2584.166666666667</v>
      </c>
      <c r="M208" s="13">
        <f t="shared" si="177"/>
        <v>3113.7333333333336</v>
      </c>
      <c r="N208" s="85"/>
    </row>
    <row r="209" spans="1:14" outlineLevel="1" x14ac:dyDescent="0.2">
      <c r="A209" s="20">
        <f t="shared" si="176"/>
        <v>3646</v>
      </c>
      <c r="B209" s="19" t="str">
        <f t="shared" si="176"/>
        <v>TWU</v>
      </c>
      <c r="C209" s="55">
        <f t="shared" si="172"/>
        <v>26462.760666666665</v>
      </c>
      <c r="D209" s="15">
        <f t="shared" si="177"/>
        <v>0</v>
      </c>
      <c r="E209" s="14">
        <f t="shared" si="177"/>
        <v>6620.1940000000004</v>
      </c>
      <c r="F209" s="14">
        <f t="shared" si="177"/>
        <v>0</v>
      </c>
      <c r="G209" s="13">
        <f t="shared" si="177"/>
        <v>0</v>
      </c>
      <c r="H209" s="15">
        <f t="shared" si="177"/>
        <v>0</v>
      </c>
      <c r="I209" s="13">
        <f t="shared" si="177"/>
        <v>0</v>
      </c>
      <c r="J209" s="16">
        <f t="shared" si="177"/>
        <v>9976</v>
      </c>
      <c r="K209" s="15">
        <f t="shared" si="177"/>
        <v>3733.2</v>
      </c>
      <c r="L209" s="14">
        <f t="shared" si="177"/>
        <v>3230.833333333333</v>
      </c>
      <c r="M209" s="13">
        <f t="shared" si="177"/>
        <v>2902.5333333333333</v>
      </c>
      <c r="N209" s="85"/>
    </row>
    <row r="210" spans="1:14" outlineLevel="1" x14ac:dyDescent="0.2">
      <c r="A210" s="20">
        <f t="shared" si="176"/>
        <v>3581</v>
      </c>
      <c r="B210" s="19" t="str">
        <f t="shared" si="176"/>
        <v>Lamar</v>
      </c>
      <c r="C210" s="55">
        <f t="shared" si="172"/>
        <v>22680.849111111111</v>
      </c>
      <c r="D210" s="15">
        <f t="shared" si="177"/>
        <v>0</v>
      </c>
      <c r="E210" s="14">
        <f t="shared" si="177"/>
        <v>3274.6824444444442</v>
      </c>
      <c r="F210" s="14">
        <f t="shared" si="177"/>
        <v>0</v>
      </c>
      <c r="G210" s="13">
        <f t="shared" si="177"/>
        <v>0</v>
      </c>
      <c r="H210" s="15">
        <f t="shared" si="177"/>
        <v>0</v>
      </c>
      <c r="I210" s="13">
        <f t="shared" si="177"/>
        <v>0</v>
      </c>
      <c r="J210" s="16">
        <f t="shared" si="177"/>
        <v>7589.333333333333</v>
      </c>
      <c r="K210" s="15">
        <f t="shared" si="177"/>
        <v>3645.9333333333329</v>
      </c>
      <c r="L210" s="14">
        <f t="shared" si="177"/>
        <v>3722.5</v>
      </c>
      <c r="M210" s="13">
        <f t="shared" si="177"/>
        <v>4448.4000000000005</v>
      </c>
      <c r="N210" s="85"/>
    </row>
    <row r="211" spans="1:14" outlineLevel="1" x14ac:dyDescent="0.2">
      <c r="A211" s="20">
        <f t="shared" si="176"/>
        <v>3606</v>
      </c>
      <c r="B211" s="19" t="str">
        <f t="shared" si="176"/>
        <v>SHSU</v>
      </c>
      <c r="C211" s="55">
        <f t="shared" si="172"/>
        <v>52140.65111111111</v>
      </c>
      <c r="D211" s="15">
        <f t="shared" si="177"/>
        <v>0</v>
      </c>
      <c r="E211" s="14">
        <f t="shared" si="177"/>
        <v>12638.951111111111</v>
      </c>
      <c r="F211" s="14">
        <f t="shared" si="177"/>
        <v>0</v>
      </c>
      <c r="G211" s="13">
        <f t="shared" si="177"/>
        <v>0</v>
      </c>
      <c r="H211" s="15">
        <f t="shared" si="177"/>
        <v>0</v>
      </c>
      <c r="I211" s="13">
        <f t="shared" si="177"/>
        <v>0</v>
      </c>
      <c r="J211" s="16">
        <f t="shared" si="177"/>
        <v>17709.333333333332</v>
      </c>
      <c r="K211" s="15">
        <f t="shared" si="177"/>
        <v>6620.3666666666668</v>
      </c>
      <c r="L211" s="14">
        <f t="shared" si="177"/>
        <v>7413.3333333333339</v>
      </c>
      <c r="M211" s="13">
        <f t="shared" si="177"/>
        <v>7758.666666666667</v>
      </c>
      <c r="N211" s="85"/>
    </row>
    <row r="212" spans="1:14" outlineLevel="1" x14ac:dyDescent="0.2">
      <c r="A212" s="20">
        <f t="shared" si="176"/>
        <v>3615</v>
      </c>
      <c r="B212" s="19" t="str">
        <f t="shared" si="176"/>
        <v>TXST</v>
      </c>
      <c r="C212" s="55">
        <f t="shared" si="172"/>
        <v>94400.591</v>
      </c>
      <c r="D212" s="15">
        <f t="shared" si="177"/>
        <v>0</v>
      </c>
      <c r="E212" s="14">
        <f t="shared" si="177"/>
        <v>23754.591</v>
      </c>
      <c r="F212" s="14">
        <f t="shared" si="177"/>
        <v>0</v>
      </c>
      <c r="G212" s="13">
        <f t="shared" si="177"/>
        <v>0</v>
      </c>
      <c r="H212" s="15">
        <f t="shared" si="177"/>
        <v>0</v>
      </c>
      <c r="I212" s="13">
        <f t="shared" si="177"/>
        <v>0</v>
      </c>
      <c r="J212" s="16">
        <f t="shared" si="177"/>
        <v>29402.666666666668</v>
      </c>
      <c r="K212" s="15">
        <f t="shared" si="177"/>
        <v>12699.566666666666</v>
      </c>
      <c r="L212" s="14">
        <f t="shared" si="177"/>
        <v>13947.5</v>
      </c>
      <c r="M212" s="13">
        <f t="shared" si="177"/>
        <v>14596.266666666668</v>
      </c>
      <c r="N212" s="85"/>
    </row>
    <row r="213" spans="1:14" outlineLevel="1" x14ac:dyDescent="0.2">
      <c r="A213" s="20">
        <f t="shared" si="176"/>
        <v>3625</v>
      </c>
      <c r="B213" s="19" t="str">
        <f t="shared" si="176"/>
        <v>SRSU</v>
      </c>
      <c r="C213" s="55">
        <f t="shared" si="172"/>
        <v>3276.4253333333336</v>
      </c>
      <c r="D213" s="15">
        <f t="shared" si="177"/>
        <v>0</v>
      </c>
      <c r="E213" s="14">
        <f t="shared" si="177"/>
        <v>398.92533333333336</v>
      </c>
      <c r="F213" s="14">
        <f t="shared" si="177"/>
        <v>0</v>
      </c>
      <c r="G213" s="13">
        <f t="shared" si="177"/>
        <v>0</v>
      </c>
      <c r="H213" s="15">
        <f t="shared" si="177"/>
        <v>0</v>
      </c>
      <c r="I213" s="13">
        <f t="shared" si="177"/>
        <v>0</v>
      </c>
      <c r="J213" s="16">
        <f t="shared" si="177"/>
        <v>1304</v>
      </c>
      <c r="K213" s="15">
        <f t="shared" si="177"/>
        <v>510</v>
      </c>
      <c r="L213" s="14">
        <f t="shared" si="177"/>
        <v>484.16666666666663</v>
      </c>
      <c r="M213" s="13">
        <f t="shared" si="177"/>
        <v>579.33333333333337</v>
      </c>
      <c r="N213" s="85"/>
    </row>
    <row r="214" spans="1:14" outlineLevel="1" x14ac:dyDescent="0.2">
      <c r="A214" s="20">
        <f t="shared" si="176"/>
        <v>20</v>
      </c>
      <c r="B214" s="19" t="str">
        <f t="shared" si="176"/>
        <v>SRRG</v>
      </c>
      <c r="C214" s="55">
        <f t="shared" si="172"/>
        <v>2153.2951696616974</v>
      </c>
      <c r="D214" s="15">
        <f t="shared" si="177"/>
        <v>0</v>
      </c>
      <c r="E214" s="14">
        <f t="shared" si="177"/>
        <v>359.56183632836428</v>
      </c>
      <c r="F214" s="14">
        <f t="shared" si="177"/>
        <v>0</v>
      </c>
      <c r="G214" s="13">
        <f t="shared" si="177"/>
        <v>0</v>
      </c>
      <c r="H214" s="15">
        <f t="shared" si="177"/>
        <v>0</v>
      </c>
      <c r="I214" s="13">
        <f t="shared" si="177"/>
        <v>0</v>
      </c>
      <c r="J214" s="16">
        <f t="shared" si="177"/>
        <v>1152</v>
      </c>
      <c r="K214" s="15">
        <f t="shared" si="177"/>
        <v>391</v>
      </c>
      <c r="L214" s="14">
        <f t="shared" si="177"/>
        <v>231.66666666666669</v>
      </c>
      <c r="M214" s="13">
        <f t="shared" si="177"/>
        <v>19.066666666666666</v>
      </c>
      <c r="N214" s="85"/>
    </row>
    <row r="215" spans="1:14" ht="13.5" outlineLevel="1" thickBot="1" x14ac:dyDescent="0.25">
      <c r="A215" s="12"/>
      <c r="B215" s="11" t="s">
        <v>11</v>
      </c>
      <c r="C215" s="54">
        <f t="shared" ref="C215:M215" si="178">SUM(C177:C214)</f>
        <v>1402346.2245577995</v>
      </c>
      <c r="D215" s="9">
        <f t="shared" si="178"/>
        <v>0</v>
      </c>
      <c r="E215" s="7">
        <f t="shared" si="178"/>
        <v>343222.64122446562</v>
      </c>
      <c r="F215" s="7">
        <f t="shared" si="178"/>
        <v>0</v>
      </c>
      <c r="G215" s="3">
        <f t="shared" si="178"/>
        <v>0</v>
      </c>
      <c r="H215" s="5">
        <f t="shared" si="178"/>
        <v>0</v>
      </c>
      <c r="I215" s="3">
        <f t="shared" si="178"/>
        <v>0</v>
      </c>
      <c r="J215" s="6">
        <f t="shared" si="178"/>
        <v>435572.00000000006</v>
      </c>
      <c r="K215" s="5">
        <f t="shared" si="178"/>
        <v>194161.53333333333</v>
      </c>
      <c r="L215" s="4">
        <f t="shared" si="178"/>
        <v>205861.25000000003</v>
      </c>
      <c r="M215" s="3">
        <f t="shared" si="178"/>
        <v>223528.8</v>
      </c>
      <c r="N215" s="155"/>
    </row>
    <row r="216" spans="1:14" ht="13.5" thickBot="1" x14ac:dyDescent="0.25">
      <c r="A216" s="42" t="s">
        <v>29</v>
      </c>
      <c r="B216" s="42"/>
      <c r="C216" s="127"/>
      <c r="D216" s="51"/>
      <c r="E216" s="51"/>
      <c r="F216" s="53"/>
      <c r="H216" s="53"/>
      <c r="N216" s="155"/>
    </row>
    <row r="217" spans="1:14" ht="12.75" customHeight="1" outlineLevel="1" x14ac:dyDescent="0.2">
      <c r="A217" s="234" t="s">
        <v>24</v>
      </c>
      <c r="B217" s="236" t="s">
        <v>23</v>
      </c>
      <c r="C217" s="238"/>
      <c r="D217" s="240" t="s">
        <v>28</v>
      </c>
      <c r="E217" s="242" t="s">
        <v>21</v>
      </c>
      <c r="F217" s="236" t="s">
        <v>20</v>
      </c>
      <c r="G217" s="221" t="s">
        <v>19</v>
      </c>
      <c r="H217" s="223" t="s">
        <v>18</v>
      </c>
      <c r="I217" s="225" t="s">
        <v>17</v>
      </c>
      <c r="J217" s="227" t="s">
        <v>16</v>
      </c>
      <c r="K217" s="229" t="s">
        <v>15</v>
      </c>
      <c r="L217" s="230"/>
      <c r="M217" s="231"/>
      <c r="N217" s="155"/>
    </row>
    <row r="218" spans="1:14" s="41" customFormat="1" ht="41.25" customHeight="1" outlineLevel="1" thickBot="1" x14ac:dyDescent="0.25">
      <c r="A218" s="273"/>
      <c r="B218" s="270"/>
      <c r="C218" s="274"/>
      <c r="D218" s="275"/>
      <c r="E218" s="276"/>
      <c r="F218" s="270"/>
      <c r="G218" s="271"/>
      <c r="H218" s="272"/>
      <c r="I218" s="265"/>
      <c r="J218" s="266"/>
      <c r="K218" s="125" t="s">
        <v>14</v>
      </c>
      <c r="L218" s="126" t="s">
        <v>13</v>
      </c>
      <c r="M218" s="135" t="s">
        <v>12</v>
      </c>
      <c r="N218" s="155"/>
    </row>
    <row r="219" spans="1:14" outlineLevel="1" x14ac:dyDescent="0.2">
      <c r="A219" s="20">
        <f t="shared" ref="A219:B234" si="179">A177</f>
        <v>3656</v>
      </c>
      <c r="B219" s="19" t="str">
        <f t="shared" si="179"/>
        <v>UTA</v>
      </c>
      <c r="C219" s="38"/>
      <c r="D219" s="33">
        <f t="shared" ref="D219:M234" si="180">AVERAGE(D261,D303,D345)</f>
        <v>5018</v>
      </c>
      <c r="E219" s="118">
        <f>AVERAGE(E261,E303,E345)*D219</f>
        <v>2600.9966666666669</v>
      </c>
      <c r="F219" s="32">
        <f>D219/AVERAGE(F261,F303,F345)*100</f>
        <v>29.603788278048281</v>
      </c>
      <c r="G219" s="31">
        <f t="shared" si="180"/>
        <v>10418.553333333379</v>
      </c>
      <c r="H219" s="36">
        <f t="shared" si="180"/>
        <v>1531.3333333333333</v>
      </c>
      <c r="I219" s="35">
        <f t="shared" si="180"/>
        <v>35</v>
      </c>
      <c r="J219" s="34">
        <f t="shared" si="180"/>
        <v>3116</v>
      </c>
      <c r="K219" s="33">
        <f t="shared" si="180"/>
        <v>6836.333333333333</v>
      </c>
      <c r="L219" s="32">
        <f t="shared" si="180"/>
        <v>3833.6666666666665</v>
      </c>
      <c r="M219" s="31">
        <f t="shared" si="180"/>
        <v>1783.6666666666667</v>
      </c>
      <c r="N219" s="155"/>
    </row>
    <row r="220" spans="1:14" outlineLevel="1" x14ac:dyDescent="0.2">
      <c r="A220" s="20">
        <f t="shared" si="179"/>
        <v>3658</v>
      </c>
      <c r="B220" s="19" t="str">
        <f t="shared" si="179"/>
        <v>UT</v>
      </c>
      <c r="C220" s="18"/>
      <c r="D220" s="15">
        <f t="shared" si="180"/>
        <v>8946.3333333333339</v>
      </c>
      <c r="E220" s="116">
        <f t="shared" ref="E220:E256" si="181">AVERAGE(E262,E304,E346)*D220</f>
        <v>7416.5103333333345</v>
      </c>
      <c r="F220" s="14">
        <f t="shared" ref="F220:F256" si="182">D220/AVERAGE(F262,F304,F346)*100</f>
        <v>26.497692061124674</v>
      </c>
      <c r="G220" s="13">
        <f t="shared" si="180"/>
        <v>19398.350000000519</v>
      </c>
      <c r="H220" s="15">
        <f t="shared" si="180"/>
        <v>1876.3333333333333</v>
      </c>
      <c r="I220" s="13">
        <f t="shared" si="180"/>
        <v>66</v>
      </c>
      <c r="J220" s="16">
        <f t="shared" si="180"/>
        <v>3470.3333333333335</v>
      </c>
      <c r="K220" s="15">
        <f t="shared" si="180"/>
        <v>9598.3333333333339</v>
      </c>
      <c r="L220" s="14">
        <f t="shared" si="180"/>
        <v>9005.6666666666661</v>
      </c>
      <c r="M220" s="13">
        <f t="shared" si="180"/>
        <v>7040.333333333333</v>
      </c>
      <c r="N220" s="155"/>
    </row>
    <row r="221" spans="1:14" outlineLevel="1" x14ac:dyDescent="0.2">
      <c r="A221" s="20">
        <f t="shared" si="179"/>
        <v>9741</v>
      </c>
      <c r="B221" s="19" t="str">
        <f t="shared" si="179"/>
        <v>UTD</v>
      </c>
      <c r="C221" s="18"/>
      <c r="D221" s="15">
        <f t="shared" si="180"/>
        <v>2393</v>
      </c>
      <c r="E221" s="116">
        <f t="shared" si="181"/>
        <v>1682.279</v>
      </c>
      <c r="F221" s="14">
        <f t="shared" si="182"/>
        <v>26.829760516638267</v>
      </c>
      <c r="G221" s="13">
        <f t="shared" si="180"/>
        <v>5101.2033333334393</v>
      </c>
      <c r="H221" s="15">
        <f t="shared" si="180"/>
        <v>421.66666666666669</v>
      </c>
      <c r="I221" s="13">
        <f t="shared" si="180"/>
        <v>32</v>
      </c>
      <c r="J221" s="16">
        <f t="shared" si="180"/>
        <v>1319.6666666666667</v>
      </c>
      <c r="K221" s="15">
        <f t="shared" si="180"/>
        <v>3315</v>
      </c>
      <c r="L221" s="14">
        <f t="shared" si="180"/>
        <v>2134.3333333333335</v>
      </c>
      <c r="M221" s="13">
        <f t="shared" si="180"/>
        <v>1021.3333333333334</v>
      </c>
      <c r="N221" s="155"/>
    </row>
    <row r="222" spans="1:14" outlineLevel="1" x14ac:dyDescent="0.2">
      <c r="A222" s="20">
        <f t="shared" si="179"/>
        <v>3661</v>
      </c>
      <c r="B222" s="19" t="str">
        <f t="shared" si="179"/>
        <v>UTEP</v>
      </c>
      <c r="C222" s="18"/>
      <c r="D222" s="15">
        <f t="shared" si="180"/>
        <v>3057</v>
      </c>
      <c r="E222" s="116">
        <f t="shared" si="181"/>
        <v>1192.2299999999998</v>
      </c>
      <c r="F222" s="14">
        <f t="shared" si="182"/>
        <v>22.870894536023343</v>
      </c>
      <c r="G222" s="13">
        <f t="shared" si="180"/>
        <v>6298.0766666668133</v>
      </c>
      <c r="H222" s="15">
        <f t="shared" si="180"/>
        <v>655</v>
      </c>
      <c r="I222" s="13">
        <f t="shared" si="180"/>
        <v>90</v>
      </c>
      <c r="J222" s="16">
        <f t="shared" si="180"/>
        <v>2464.3333333333335</v>
      </c>
      <c r="K222" s="15">
        <f t="shared" si="180"/>
        <v>4362.666666666667</v>
      </c>
      <c r="L222" s="14">
        <f t="shared" si="180"/>
        <v>3358</v>
      </c>
      <c r="M222" s="13">
        <f t="shared" si="180"/>
        <v>1956</v>
      </c>
      <c r="N222" s="155"/>
    </row>
    <row r="223" spans="1:14" outlineLevel="1" x14ac:dyDescent="0.2">
      <c r="A223" s="20">
        <f t="shared" si="179"/>
        <v>3599</v>
      </c>
      <c r="B223" s="19" t="str">
        <f t="shared" si="179"/>
        <v>UTPA</v>
      </c>
      <c r="C223" s="18"/>
      <c r="D223" s="15">
        <f t="shared" si="180"/>
        <v>2580</v>
      </c>
      <c r="E223" s="116">
        <f t="shared" si="181"/>
        <v>1111.98</v>
      </c>
      <c r="F223" s="14">
        <f t="shared" si="182"/>
        <v>20.492490499497837</v>
      </c>
      <c r="G223" s="13">
        <f t="shared" si="180"/>
        <v>5134.1666666667797</v>
      </c>
      <c r="H223" s="15">
        <f t="shared" si="180"/>
        <v>520.33333333333337</v>
      </c>
      <c r="I223" s="13">
        <f t="shared" si="180"/>
        <v>28</v>
      </c>
      <c r="J223" s="16">
        <f t="shared" si="180"/>
        <v>2338.3333333333335</v>
      </c>
      <c r="K223" s="15">
        <f t="shared" si="180"/>
        <v>4075.3333333333335</v>
      </c>
      <c r="L223" s="14">
        <f t="shared" si="180"/>
        <v>3096</v>
      </c>
      <c r="M223" s="13">
        <f t="shared" si="180"/>
        <v>1939.3333333333333</v>
      </c>
      <c r="N223" s="155"/>
    </row>
    <row r="224" spans="1:14" outlineLevel="1" x14ac:dyDescent="0.2">
      <c r="A224" s="20">
        <f t="shared" si="179"/>
        <v>30646</v>
      </c>
      <c r="B224" s="19" t="str">
        <f t="shared" si="179"/>
        <v>UTB</v>
      </c>
      <c r="C224" s="18"/>
      <c r="D224" s="15">
        <f t="shared" si="180"/>
        <v>1092</v>
      </c>
      <c r="E224" s="116">
        <f t="shared" si="181"/>
        <v>628.17092451302005</v>
      </c>
      <c r="F224" s="14">
        <f t="shared" si="182"/>
        <v>34.461236368736628</v>
      </c>
      <c r="G224" s="13">
        <f t="shared" si="180"/>
        <v>2097.7933333333553</v>
      </c>
      <c r="H224" s="15">
        <f t="shared" si="180"/>
        <v>124.33333333333333</v>
      </c>
      <c r="I224" s="13">
        <f t="shared" si="180"/>
        <v>18.333333333333332</v>
      </c>
      <c r="J224" s="16">
        <f t="shared" si="180"/>
        <v>936.66666666666663</v>
      </c>
      <c r="K224" s="15">
        <f t="shared" si="180"/>
        <v>1326.3333333333333</v>
      </c>
      <c r="L224" s="14">
        <f t="shared" si="180"/>
        <v>556.33333333333337</v>
      </c>
      <c r="M224" s="13">
        <f t="shared" si="180"/>
        <v>100.66666666666667</v>
      </c>
      <c r="N224" s="155"/>
    </row>
    <row r="225" spans="1:14" outlineLevel="1" x14ac:dyDescent="0.2">
      <c r="A225" s="20">
        <f t="shared" si="179"/>
        <v>9930</v>
      </c>
      <c r="B225" s="19" t="str">
        <f t="shared" si="179"/>
        <v>UTPB</v>
      </c>
      <c r="C225" s="18"/>
      <c r="D225" s="15">
        <f t="shared" si="180"/>
        <v>533.33333333333337</v>
      </c>
      <c r="E225" s="116">
        <f t="shared" si="181"/>
        <v>236.8</v>
      </c>
      <c r="F225" s="14">
        <f t="shared" si="182"/>
        <v>23.125174643246009</v>
      </c>
      <c r="G225" s="13">
        <f t="shared" si="180"/>
        <v>1001.5166666666704</v>
      </c>
      <c r="H225" s="15">
        <f t="shared" si="180"/>
        <v>41.333333333333336</v>
      </c>
      <c r="I225" s="13">
        <f t="shared" si="180"/>
        <v>10</v>
      </c>
      <c r="J225" s="16">
        <f t="shared" si="180"/>
        <v>399</v>
      </c>
      <c r="K225" s="15">
        <f t="shared" si="180"/>
        <v>785.66666666666663</v>
      </c>
      <c r="L225" s="14">
        <f t="shared" si="180"/>
        <v>491.66666666666669</v>
      </c>
      <c r="M225" s="13">
        <f t="shared" si="180"/>
        <v>194.33333333333334</v>
      </c>
      <c r="N225" s="155"/>
    </row>
    <row r="226" spans="1:14" outlineLevel="1" x14ac:dyDescent="0.2">
      <c r="A226" s="20">
        <f t="shared" si="179"/>
        <v>10115</v>
      </c>
      <c r="B226" s="19" t="str">
        <f t="shared" si="179"/>
        <v>UTSA</v>
      </c>
      <c r="C226" s="18"/>
      <c r="D226" s="15">
        <f t="shared" si="180"/>
        <v>4119.666666666667</v>
      </c>
      <c r="E226" s="116">
        <f t="shared" si="181"/>
        <v>1737.1261111111112</v>
      </c>
      <c r="F226" s="14">
        <f t="shared" si="182"/>
        <v>20.241034101368403</v>
      </c>
      <c r="G226" s="13">
        <f t="shared" si="180"/>
        <v>8414.213333333224</v>
      </c>
      <c r="H226" s="15">
        <f t="shared" si="180"/>
        <v>392</v>
      </c>
      <c r="I226" s="13">
        <f t="shared" si="180"/>
        <v>49.666666666666664</v>
      </c>
      <c r="J226" s="16">
        <f t="shared" si="180"/>
        <v>3123.6666666666665</v>
      </c>
      <c r="K226" s="15">
        <f t="shared" si="180"/>
        <v>6809.666666666667</v>
      </c>
      <c r="L226" s="14">
        <f t="shared" si="180"/>
        <v>4458.666666666667</v>
      </c>
      <c r="M226" s="13">
        <f t="shared" si="180"/>
        <v>2615.6666666666665</v>
      </c>
      <c r="N226" s="155"/>
    </row>
    <row r="227" spans="1:14" outlineLevel="1" x14ac:dyDescent="0.2">
      <c r="A227" s="20">
        <f t="shared" si="179"/>
        <v>11163</v>
      </c>
      <c r="B227" s="19" t="str">
        <f t="shared" si="179"/>
        <v>UTT</v>
      </c>
      <c r="C227" s="18"/>
      <c r="D227" s="15">
        <f t="shared" si="180"/>
        <v>1190</v>
      </c>
      <c r="E227" s="116">
        <f t="shared" si="181"/>
        <v>613.64333333333343</v>
      </c>
      <c r="F227" s="14">
        <f t="shared" si="182"/>
        <v>29.255740517151896</v>
      </c>
      <c r="G227" s="13">
        <f t="shared" si="180"/>
        <v>2362.6600000000103</v>
      </c>
      <c r="H227" s="15">
        <f t="shared" si="180"/>
        <v>376.66666666666669</v>
      </c>
      <c r="I227" s="13">
        <f t="shared" si="180"/>
        <v>14</v>
      </c>
      <c r="J227" s="16">
        <f t="shared" si="180"/>
        <v>942.33333333333337</v>
      </c>
      <c r="K227" s="15">
        <f t="shared" si="180"/>
        <v>1436.3333333333333</v>
      </c>
      <c r="L227" s="14">
        <f t="shared" si="180"/>
        <v>890</v>
      </c>
      <c r="M227" s="13">
        <f t="shared" si="180"/>
        <v>387.33333333333331</v>
      </c>
      <c r="N227" s="155"/>
    </row>
    <row r="228" spans="1:14" outlineLevel="1" x14ac:dyDescent="0.2">
      <c r="A228" s="20">
        <f t="shared" si="179"/>
        <v>3632</v>
      </c>
      <c r="B228" s="19" t="str">
        <f t="shared" si="179"/>
        <v>TAMU</v>
      </c>
      <c r="C228" s="18"/>
      <c r="D228" s="15">
        <f t="shared" si="180"/>
        <v>8739.6666666666661</v>
      </c>
      <c r="E228" s="116">
        <f t="shared" si="181"/>
        <v>7347.1464444444427</v>
      </c>
      <c r="F228" s="14">
        <f t="shared" si="182"/>
        <v>25.241886570842681</v>
      </c>
      <c r="G228" s="13">
        <f t="shared" si="180"/>
        <v>20104.8166666668</v>
      </c>
      <c r="H228" s="15">
        <f t="shared" si="180"/>
        <v>1763</v>
      </c>
      <c r="I228" s="13">
        <f t="shared" si="180"/>
        <v>126</v>
      </c>
      <c r="J228" s="16">
        <f t="shared" si="180"/>
        <v>3724</v>
      </c>
      <c r="K228" s="15">
        <f t="shared" si="180"/>
        <v>10060.666666666666</v>
      </c>
      <c r="L228" s="14">
        <f t="shared" si="180"/>
        <v>8907.3333333333339</v>
      </c>
      <c r="M228" s="13">
        <f t="shared" si="180"/>
        <v>6897.666666666667</v>
      </c>
      <c r="N228" s="155"/>
    </row>
    <row r="229" spans="1:14" outlineLevel="1" x14ac:dyDescent="0.2">
      <c r="A229" s="20">
        <f t="shared" si="179"/>
        <v>10298</v>
      </c>
      <c r="B229" s="19" t="str">
        <f t="shared" si="179"/>
        <v>TAMUG</v>
      </c>
      <c r="C229" s="18"/>
      <c r="D229" s="15">
        <f t="shared" si="180"/>
        <v>275.33333333333331</v>
      </c>
      <c r="E229" s="116">
        <f t="shared" si="181"/>
        <v>172.72577777777778</v>
      </c>
      <c r="F229" s="14">
        <f t="shared" si="182"/>
        <v>16.399301143583227</v>
      </c>
      <c r="G229" s="13">
        <f t="shared" si="180"/>
        <v>704.02666666666448</v>
      </c>
      <c r="H229" s="15">
        <f t="shared" si="180"/>
        <v>37.333333333333336</v>
      </c>
      <c r="I229" s="13">
        <f t="shared" si="180"/>
        <v>0</v>
      </c>
      <c r="J229" s="16">
        <f t="shared" si="180"/>
        <v>158</v>
      </c>
      <c r="K229" s="15">
        <f t="shared" si="180"/>
        <v>592.33333333333337</v>
      </c>
      <c r="L229" s="14">
        <f t="shared" si="180"/>
        <v>318</v>
      </c>
      <c r="M229" s="13">
        <f t="shared" si="180"/>
        <v>246</v>
      </c>
      <c r="N229" s="155"/>
    </row>
    <row r="230" spans="1:14" outlineLevel="1" x14ac:dyDescent="0.2">
      <c r="A230" s="20">
        <f t="shared" si="179"/>
        <v>3630</v>
      </c>
      <c r="B230" s="19" t="str">
        <f t="shared" si="179"/>
        <v>Prairie View</v>
      </c>
      <c r="C230" s="18"/>
      <c r="D230" s="15">
        <f t="shared" si="180"/>
        <v>936.33333333333337</v>
      </c>
      <c r="E230" s="116">
        <f t="shared" si="181"/>
        <v>348.00388888888887</v>
      </c>
      <c r="F230" s="14">
        <f t="shared" si="182"/>
        <v>15.823688025296873</v>
      </c>
      <c r="G230" s="13">
        <f t="shared" si="180"/>
        <v>2072.9000000000092</v>
      </c>
      <c r="H230" s="15">
        <f t="shared" si="180"/>
        <v>315.66666666666669</v>
      </c>
      <c r="I230" s="13">
        <f t="shared" si="180"/>
        <v>9.6666666666666661</v>
      </c>
      <c r="J230" s="16">
        <f t="shared" si="180"/>
        <v>802.66666666666663</v>
      </c>
      <c r="K230" s="15">
        <f t="shared" si="180"/>
        <v>1668</v>
      </c>
      <c r="L230" s="14">
        <f t="shared" si="180"/>
        <v>1181</v>
      </c>
      <c r="M230" s="13">
        <f t="shared" si="180"/>
        <v>905.33333333333337</v>
      </c>
      <c r="N230" s="155"/>
    </row>
    <row r="231" spans="1:14" outlineLevel="1" x14ac:dyDescent="0.2">
      <c r="A231" s="20">
        <f t="shared" si="179"/>
        <v>3631</v>
      </c>
      <c r="B231" s="19" t="str">
        <f t="shared" si="179"/>
        <v>Tarleton</v>
      </c>
      <c r="C231" s="18"/>
      <c r="D231" s="15">
        <f t="shared" si="180"/>
        <v>1545.3333333333333</v>
      </c>
      <c r="E231" s="116">
        <f t="shared" si="181"/>
        <v>738.66933333333338</v>
      </c>
      <c r="F231" s="14">
        <f t="shared" si="182"/>
        <v>24.559767752325659</v>
      </c>
      <c r="G231" s="13">
        <f t="shared" si="180"/>
        <v>3122.5433333333599</v>
      </c>
      <c r="H231" s="15">
        <f t="shared" si="180"/>
        <v>203</v>
      </c>
      <c r="I231" s="13">
        <f t="shared" si="180"/>
        <v>47.666666666666664</v>
      </c>
      <c r="J231" s="16">
        <f t="shared" si="180"/>
        <v>1195</v>
      </c>
      <c r="K231" s="15">
        <f t="shared" si="180"/>
        <v>2154.3333333333335</v>
      </c>
      <c r="L231" s="14">
        <f t="shared" si="180"/>
        <v>1328.6666666666667</v>
      </c>
      <c r="M231" s="13">
        <f t="shared" si="180"/>
        <v>862.66666666666663</v>
      </c>
      <c r="N231" s="155"/>
    </row>
    <row r="232" spans="1:14" outlineLevel="1" x14ac:dyDescent="0.2">
      <c r="A232" s="27">
        <f t="shared" si="179"/>
        <v>103631</v>
      </c>
      <c r="B232" s="19" t="str">
        <f t="shared" si="179"/>
        <v>TAMUCT</v>
      </c>
      <c r="C232" s="18"/>
      <c r="D232" s="15">
        <f t="shared" si="180"/>
        <v>460.33333333333331</v>
      </c>
      <c r="E232" s="116">
        <f t="shared" si="181"/>
        <v>220.03933333333333</v>
      </c>
      <c r="F232" s="14">
        <f t="shared" si="182"/>
        <v>67.587849522007247</v>
      </c>
      <c r="G232" s="13">
        <f t="shared" si="180"/>
        <v>853.61666666666588</v>
      </c>
      <c r="H232" s="15">
        <f t="shared" si="180"/>
        <v>40.666666666666664</v>
      </c>
      <c r="I232" s="13">
        <f t="shared" si="180"/>
        <v>0</v>
      </c>
      <c r="J232" s="16">
        <f t="shared" si="180"/>
        <v>327</v>
      </c>
      <c r="K232" s="15">
        <f t="shared" si="180"/>
        <v>495</v>
      </c>
      <c r="L232" s="14">
        <f t="shared" si="180"/>
        <v>133</v>
      </c>
      <c r="M232" s="13">
        <f t="shared" si="180"/>
        <v>34</v>
      </c>
      <c r="N232" s="155"/>
    </row>
    <row r="233" spans="1:14" outlineLevel="1" x14ac:dyDescent="0.2">
      <c r="A233" s="20">
        <f t="shared" si="179"/>
        <v>11161</v>
      </c>
      <c r="B233" s="19" t="str">
        <f t="shared" si="179"/>
        <v>TAMUCC</v>
      </c>
      <c r="C233" s="18"/>
      <c r="D233" s="15">
        <f t="shared" si="180"/>
        <v>1388.3333333333333</v>
      </c>
      <c r="E233" s="116">
        <f t="shared" si="181"/>
        <v>705.27333333333331</v>
      </c>
      <c r="F233" s="14">
        <f t="shared" si="182"/>
        <v>21.376514062820775</v>
      </c>
      <c r="G233" s="13">
        <f t="shared" si="180"/>
        <v>2804.2000000000139</v>
      </c>
      <c r="H233" s="15">
        <f t="shared" si="180"/>
        <v>266.33333333333331</v>
      </c>
      <c r="I233" s="13">
        <f t="shared" si="180"/>
        <v>25.666666666666668</v>
      </c>
      <c r="J233" s="16">
        <f t="shared" si="180"/>
        <v>1080</v>
      </c>
      <c r="K233" s="15">
        <f t="shared" si="180"/>
        <v>2054</v>
      </c>
      <c r="L233" s="14">
        <f t="shared" si="180"/>
        <v>1468</v>
      </c>
      <c r="M233" s="13">
        <f t="shared" si="180"/>
        <v>878.33333333333337</v>
      </c>
      <c r="N233" s="155"/>
    </row>
    <row r="234" spans="1:14" outlineLevel="1" x14ac:dyDescent="0.2">
      <c r="A234" s="20">
        <f t="shared" si="179"/>
        <v>3639</v>
      </c>
      <c r="B234" s="19" t="str">
        <f t="shared" si="179"/>
        <v>TAMUK</v>
      </c>
      <c r="C234" s="18"/>
      <c r="D234" s="15">
        <f t="shared" si="180"/>
        <v>761.66666666666663</v>
      </c>
      <c r="E234" s="116">
        <f t="shared" si="181"/>
        <v>306.44388888888892</v>
      </c>
      <c r="F234" s="14">
        <f t="shared" si="182"/>
        <v>17.879499217527385</v>
      </c>
      <c r="G234" s="13">
        <f t="shared" si="180"/>
        <v>1763.4533333333395</v>
      </c>
      <c r="H234" s="15">
        <f t="shared" si="180"/>
        <v>260</v>
      </c>
      <c r="I234" s="13">
        <f t="shared" si="180"/>
        <v>16.666666666666668</v>
      </c>
      <c r="J234" s="16">
        <f t="shared" si="180"/>
        <v>648.33333333333337</v>
      </c>
      <c r="K234" s="15">
        <f t="shared" si="180"/>
        <v>1227.3333333333333</v>
      </c>
      <c r="L234" s="14">
        <f t="shared" si="180"/>
        <v>859.66666666666663</v>
      </c>
      <c r="M234" s="13">
        <f t="shared" si="180"/>
        <v>558.66666666666663</v>
      </c>
      <c r="N234" s="155"/>
    </row>
    <row r="235" spans="1:14" outlineLevel="1" x14ac:dyDescent="0.2">
      <c r="A235" s="27">
        <f t="shared" ref="A235:B250" si="183">A193</f>
        <v>103639</v>
      </c>
      <c r="B235" s="19" t="str">
        <f t="shared" si="183"/>
        <v>TAMUSA</v>
      </c>
      <c r="C235" s="18"/>
      <c r="D235" s="15">
        <f t="shared" ref="D235:M250" si="184">AVERAGE(D277,D319,D361)</f>
        <v>587.66666666666663</v>
      </c>
      <c r="E235" s="116">
        <f t="shared" si="181"/>
        <v>236.43788888888889</v>
      </c>
      <c r="F235" s="14">
        <f t="shared" si="182"/>
        <v>41.598502485370922</v>
      </c>
      <c r="G235" s="13">
        <f t="shared" si="184"/>
        <v>1026.0133333333379</v>
      </c>
      <c r="H235" s="15">
        <f t="shared" si="184"/>
        <v>5</v>
      </c>
      <c r="I235" s="13">
        <f t="shared" si="184"/>
        <v>2</v>
      </c>
      <c r="J235" s="16">
        <f t="shared" si="184"/>
        <v>490.33333333333331</v>
      </c>
      <c r="K235" s="15">
        <f t="shared" si="184"/>
        <v>729.66666666666663</v>
      </c>
      <c r="L235" s="14">
        <f t="shared" si="184"/>
        <v>77.333333333333329</v>
      </c>
      <c r="M235" s="13">
        <f t="shared" si="184"/>
        <v>2.6666666666666665</v>
      </c>
      <c r="N235" s="155"/>
    </row>
    <row r="236" spans="1:14" outlineLevel="1" x14ac:dyDescent="0.2">
      <c r="A236" s="20">
        <f t="shared" si="183"/>
        <v>9651</v>
      </c>
      <c r="B236" s="19" t="str">
        <f t="shared" si="183"/>
        <v>TAMI</v>
      </c>
      <c r="C236" s="18"/>
      <c r="D236" s="15">
        <f t="shared" si="184"/>
        <v>789.66666666666663</v>
      </c>
      <c r="E236" s="116">
        <f t="shared" si="181"/>
        <v>373.77555555555551</v>
      </c>
      <c r="F236" s="14">
        <f t="shared" si="182"/>
        <v>19.326154348180779</v>
      </c>
      <c r="G236" s="13">
        <f t="shared" si="184"/>
        <v>1458.4966666666717</v>
      </c>
      <c r="H236" s="15">
        <f t="shared" si="184"/>
        <v>115.66666666666667</v>
      </c>
      <c r="I236" s="13">
        <f t="shared" si="184"/>
        <v>22.333333333333332</v>
      </c>
      <c r="J236" s="16">
        <f t="shared" si="184"/>
        <v>712.66666666666663</v>
      </c>
      <c r="K236" s="15">
        <f t="shared" si="184"/>
        <v>1406.6666666666667</v>
      </c>
      <c r="L236" s="14">
        <f t="shared" si="184"/>
        <v>1015.6666666666666</v>
      </c>
      <c r="M236" s="13">
        <f t="shared" si="184"/>
        <v>473.66666666666669</v>
      </c>
      <c r="N236" s="155"/>
    </row>
    <row r="237" spans="1:14" outlineLevel="1" x14ac:dyDescent="0.2">
      <c r="A237" s="20">
        <f t="shared" si="183"/>
        <v>3665</v>
      </c>
      <c r="B237" s="19" t="str">
        <f t="shared" si="183"/>
        <v>WTAMU</v>
      </c>
      <c r="C237" s="18"/>
      <c r="D237" s="15">
        <f t="shared" si="184"/>
        <v>1255.6666666666667</v>
      </c>
      <c r="E237" s="116">
        <f t="shared" si="181"/>
        <v>591.00044444444438</v>
      </c>
      <c r="F237" s="14">
        <f t="shared" si="182"/>
        <v>23.187721854032869</v>
      </c>
      <c r="G237" s="13">
        <f t="shared" si="184"/>
        <v>2503.5766666666836</v>
      </c>
      <c r="H237" s="15">
        <f t="shared" si="184"/>
        <v>191.66666666666666</v>
      </c>
      <c r="I237" s="13">
        <f t="shared" si="184"/>
        <v>60.666666666666664</v>
      </c>
      <c r="J237" s="16">
        <f t="shared" si="184"/>
        <v>889.33333333333337</v>
      </c>
      <c r="K237" s="15">
        <f t="shared" si="184"/>
        <v>1791.6666666666667</v>
      </c>
      <c r="L237" s="14">
        <f t="shared" si="184"/>
        <v>1212.6666666666667</v>
      </c>
      <c r="M237" s="13">
        <f t="shared" si="184"/>
        <v>661.33333333333337</v>
      </c>
      <c r="N237" s="155"/>
    </row>
    <row r="238" spans="1:14" outlineLevel="1" x14ac:dyDescent="0.2">
      <c r="A238" s="20">
        <f t="shared" si="183"/>
        <v>3565</v>
      </c>
      <c r="B238" s="19" t="str">
        <f t="shared" si="183"/>
        <v>TAMUC</v>
      </c>
      <c r="C238" s="18"/>
      <c r="D238" s="15">
        <f t="shared" si="184"/>
        <v>1324.3333333333333</v>
      </c>
      <c r="E238" s="116">
        <f t="shared" si="181"/>
        <v>582.70666666666659</v>
      </c>
      <c r="F238" s="14">
        <f t="shared" si="182"/>
        <v>28.19543536269185</v>
      </c>
      <c r="G238" s="13">
        <f t="shared" si="184"/>
        <v>2501.8266666666914</v>
      </c>
      <c r="H238" s="15">
        <f t="shared" si="184"/>
        <v>73</v>
      </c>
      <c r="I238" s="13">
        <f t="shared" si="184"/>
        <v>74.333333333333329</v>
      </c>
      <c r="J238" s="16">
        <f t="shared" si="184"/>
        <v>1019.3333333333334</v>
      </c>
      <c r="K238" s="15">
        <f t="shared" si="184"/>
        <v>1893</v>
      </c>
      <c r="L238" s="14">
        <f t="shared" si="184"/>
        <v>1137.3333333333333</v>
      </c>
      <c r="M238" s="13">
        <f t="shared" si="184"/>
        <v>452.33333333333331</v>
      </c>
      <c r="N238" s="155"/>
    </row>
    <row r="239" spans="1:14" outlineLevel="1" x14ac:dyDescent="0.2">
      <c r="A239" s="20">
        <f t="shared" si="183"/>
        <v>29269</v>
      </c>
      <c r="B239" s="19" t="str">
        <f t="shared" si="183"/>
        <v>TAMUT</v>
      </c>
      <c r="C239" s="18"/>
      <c r="D239" s="15">
        <f t="shared" si="184"/>
        <v>345.66666666666669</v>
      </c>
      <c r="E239" s="116">
        <f t="shared" si="181"/>
        <v>187.3602625468375</v>
      </c>
      <c r="F239" s="14">
        <f t="shared" si="182"/>
        <v>38.766355140186917</v>
      </c>
      <c r="G239" s="13">
        <f t="shared" si="184"/>
        <v>619.90999999999826</v>
      </c>
      <c r="H239" s="15">
        <f t="shared" si="184"/>
        <v>41.666666666666664</v>
      </c>
      <c r="I239" s="13">
        <f t="shared" si="184"/>
        <v>19.333333333333332</v>
      </c>
      <c r="J239" s="16">
        <f t="shared" si="184"/>
        <v>239</v>
      </c>
      <c r="K239" s="15">
        <f t="shared" si="184"/>
        <v>432.66666666666669</v>
      </c>
      <c r="L239" s="14">
        <f t="shared" si="184"/>
        <v>181</v>
      </c>
      <c r="M239" s="13">
        <f t="shared" si="184"/>
        <v>0.66666666666666663</v>
      </c>
      <c r="N239" s="155"/>
    </row>
    <row r="240" spans="1:14" outlineLevel="1" x14ac:dyDescent="0.2">
      <c r="A240" s="20">
        <f t="shared" si="183"/>
        <v>3652</v>
      </c>
      <c r="B240" s="19" t="str">
        <f t="shared" si="183"/>
        <v>UH</v>
      </c>
      <c r="C240" s="18"/>
      <c r="D240" s="15">
        <f t="shared" si="184"/>
        <v>5098.666666666667</v>
      </c>
      <c r="E240" s="116">
        <f t="shared" si="181"/>
        <v>2734.5848888888891</v>
      </c>
      <c r="F240" s="14">
        <f t="shared" si="182"/>
        <v>21.425049678026625</v>
      </c>
      <c r="G240" s="13">
        <f t="shared" si="184"/>
        <v>10580.246666665944</v>
      </c>
      <c r="H240" s="15">
        <f t="shared" si="184"/>
        <v>737</v>
      </c>
      <c r="I240" s="13">
        <f t="shared" si="184"/>
        <v>62.666666666666664</v>
      </c>
      <c r="J240" s="16">
        <f t="shared" si="184"/>
        <v>3373</v>
      </c>
      <c r="K240" s="15">
        <f t="shared" si="184"/>
        <v>7602.333333333333</v>
      </c>
      <c r="L240" s="14">
        <f t="shared" si="184"/>
        <v>5690.333333333333</v>
      </c>
      <c r="M240" s="13">
        <f t="shared" si="184"/>
        <v>3307.3333333333335</v>
      </c>
      <c r="N240" s="155"/>
    </row>
    <row r="241" spans="1:14" outlineLevel="1" x14ac:dyDescent="0.2">
      <c r="A241" s="20">
        <f t="shared" si="183"/>
        <v>11711</v>
      </c>
      <c r="B241" s="19" t="str">
        <f t="shared" si="183"/>
        <v>UHCL</v>
      </c>
      <c r="C241" s="18"/>
      <c r="D241" s="15">
        <f t="shared" si="184"/>
        <v>1190.6666666666667</v>
      </c>
      <c r="E241" s="116">
        <f t="shared" si="181"/>
        <v>619.34267935898833</v>
      </c>
      <c r="F241" s="14">
        <f t="shared" si="182"/>
        <v>39.693593314763234</v>
      </c>
      <c r="G241" s="13">
        <f t="shared" si="184"/>
        <v>2282.9533333333529</v>
      </c>
      <c r="H241" s="15">
        <f t="shared" si="184"/>
        <v>106.66666666666667</v>
      </c>
      <c r="I241" s="13">
        <f t="shared" si="184"/>
        <v>8.3333333333333339</v>
      </c>
      <c r="J241" s="16">
        <f t="shared" si="184"/>
        <v>774.33333333333337</v>
      </c>
      <c r="K241" s="15">
        <f t="shared" si="184"/>
        <v>1391.3333333333333</v>
      </c>
      <c r="L241" s="14">
        <f t="shared" si="184"/>
        <v>953.66666666666663</v>
      </c>
      <c r="M241" s="13">
        <f t="shared" si="184"/>
        <v>57</v>
      </c>
      <c r="N241" s="155"/>
    </row>
    <row r="242" spans="1:14" outlineLevel="1" x14ac:dyDescent="0.2">
      <c r="A242" s="20">
        <f t="shared" si="183"/>
        <v>12826</v>
      </c>
      <c r="B242" s="19" t="str">
        <f t="shared" si="183"/>
        <v>UHD</v>
      </c>
      <c r="C242" s="18"/>
      <c r="D242" s="15">
        <f t="shared" si="184"/>
        <v>2382.3333333333335</v>
      </c>
      <c r="E242" s="116">
        <f t="shared" si="181"/>
        <v>452.64333333333343</v>
      </c>
      <c r="F242" s="14">
        <f t="shared" si="182"/>
        <v>29.833031863086134</v>
      </c>
      <c r="G242" s="13">
        <f t="shared" si="184"/>
        <v>4271.3166666667212</v>
      </c>
      <c r="H242" s="15">
        <f t="shared" si="184"/>
        <v>129.66666666666666</v>
      </c>
      <c r="I242" s="13">
        <f t="shared" si="184"/>
        <v>1.6666666666666667</v>
      </c>
      <c r="J242" s="16">
        <f t="shared" si="184"/>
        <v>1681</v>
      </c>
      <c r="K242" s="15">
        <f t="shared" si="184"/>
        <v>3105.3333333333335</v>
      </c>
      <c r="L242" s="14">
        <f t="shared" si="184"/>
        <v>1868.3333333333333</v>
      </c>
      <c r="M242" s="13">
        <f t="shared" si="184"/>
        <v>604.66666666666663</v>
      </c>
      <c r="N242" s="155"/>
    </row>
    <row r="243" spans="1:14" outlineLevel="1" x14ac:dyDescent="0.2">
      <c r="A243" s="20">
        <f t="shared" si="183"/>
        <v>13231</v>
      </c>
      <c r="B243" s="19" t="str">
        <f t="shared" si="183"/>
        <v>UHV</v>
      </c>
      <c r="C243" s="18"/>
      <c r="D243" s="15">
        <f t="shared" si="184"/>
        <v>576.66666666666663</v>
      </c>
      <c r="E243" s="116">
        <f t="shared" si="181"/>
        <v>300.19546283886069</v>
      </c>
      <c r="F243" s="14">
        <f t="shared" si="182"/>
        <v>40.08464889245883</v>
      </c>
      <c r="G243" s="13">
        <f t="shared" si="184"/>
        <v>1084.4800000000012</v>
      </c>
      <c r="H243" s="15">
        <f t="shared" si="184"/>
        <v>108</v>
      </c>
      <c r="I243" s="13">
        <f t="shared" si="184"/>
        <v>7.333333333333333</v>
      </c>
      <c r="J243" s="16">
        <f t="shared" si="184"/>
        <v>384</v>
      </c>
      <c r="K243" s="15">
        <f t="shared" si="184"/>
        <v>716</v>
      </c>
      <c r="L243" s="14">
        <f t="shared" si="184"/>
        <v>296.33333333333331</v>
      </c>
      <c r="M243" s="13">
        <f t="shared" si="184"/>
        <v>6.666666666666667</v>
      </c>
      <c r="N243" s="155"/>
    </row>
    <row r="244" spans="1:14" outlineLevel="1" x14ac:dyDescent="0.2">
      <c r="A244" s="20">
        <f t="shared" si="183"/>
        <v>3592</v>
      </c>
      <c r="B244" s="19" t="str">
        <f t="shared" si="183"/>
        <v>Midwestern</v>
      </c>
      <c r="C244" s="18"/>
      <c r="D244" s="15">
        <f t="shared" si="184"/>
        <v>1031.6666666666667</v>
      </c>
      <c r="E244" s="116">
        <f t="shared" si="181"/>
        <v>453.24555555555554</v>
      </c>
      <c r="F244" s="14">
        <f t="shared" si="182"/>
        <v>24.122522148034601</v>
      </c>
      <c r="G244" s="13">
        <f t="shared" si="184"/>
        <v>1962.0000000000034</v>
      </c>
      <c r="H244" s="15">
        <f t="shared" si="184"/>
        <v>333.33333333333331</v>
      </c>
      <c r="I244" s="13">
        <f t="shared" si="184"/>
        <v>15</v>
      </c>
      <c r="J244" s="16">
        <f t="shared" si="184"/>
        <v>690.33333333333337</v>
      </c>
      <c r="K244" s="15">
        <f t="shared" si="184"/>
        <v>1438</v>
      </c>
      <c r="L244" s="14">
        <f t="shared" si="184"/>
        <v>1046</v>
      </c>
      <c r="M244" s="13">
        <f t="shared" si="184"/>
        <v>679.66666666666663</v>
      </c>
      <c r="N244" s="155"/>
    </row>
    <row r="245" spans="1:14" outlineLevel="1" x14ac:dyDescent="0.2">
      <c r="A245" s="20">
        <f t="shared" si="183"/>
        <v>3594</v>
      </c>
      <c r="B245" s="19" t="str">
        <f t="shared" si="183"/>
        <v>UNT</v>
      </c>
      <c r="C245" s="18"/>
      <c r="D245" s="15">
        <f t="shared" si="184"/>
        <v>6016.666666666667</v>
      </c>
      <c r="E245" s="116">
        <f t="shared" si="181"/>
        <v>3467.6055555555558</v>
      </c>
      <c r="F245" s="14">
        <f t="shared" si="182"/>
        <v>25.886944566084125</v>
      </c>
      <c r="G245" s="13">
        <f t="shared" si="184"/>
        <v>11411.553333332529</v>
      </c>
      <c r="H245" s="15">
        <f t="shared" si="184"/>
        <v>336.66666666666669</v>
      </c>
      <c r="I245" s="13">
        <f t="shared" si="184"/>
        <v>43.333333333333336</v>
      </c>
      <c r="J245" s="16">
        <f t="shared" si="184"/>
        <v>3820</v>
      </c>
      <c r="K245" s="15">
        <f t="shared" si="184"/>
        <v>7864.666666666667</v>
      </c>
      <c r="L245" s="14">
        <f t="shared" si="184"/>
        <v>5642.333333333333</v>
      </c>
      <c r="M245" s="13">
        <f t="shared" si="184"/>
        <v>3337</v>
      </c>
      <c r="N245" s="155"/>
    </row>
    <row r="246" spans="1:14" outlineLevel="1" x14ac:dyDescent="0.2">
      <c r="A246" s="27">
        <f t="shared" si="183"/>
        <v>113594</v>
      </c>
      <c r="B246" s="19" t="str">
        <f t="shared" si="183"/>
        <v>UNTD</v>
      </c>
      <c r="C246" s="18"/>
      <c r="D246" s="15">
        <f t="shared" si="184"/>
        <v>403.5</v>
      </c>
      <c r="E246" s="116">
        <f t="shared" si="181"/>
        <v>233.02125000000001</v>
      </c>
      <c r="F246" s="14">
        <f t="shared" si="182"/>
        <v>42.647266065388948</v>
      </c>
      <c r="G246" s="13">
        <f t="shared" si="184"/>
        <v>705.85999999999717</v>
      </c>
      <c r="H246" s="15">
        <f t="shared" si="184"/>
        <v>12</v>
      </c>
      <c r="I246" s="13">
        <f t="shared" si="184"/>
        <v>0</v>
      </c>
      <c r="J246" s="16">
        <f t="shared" si="184"/>
        <v>308.5</v>
      </c>
      <c r="K246" s="15">
        <f t="shared" si="184"/>
        <v>478</v>
      </c>
      <c r="L246" s="14">
        <f t="shared" si="184"/>
        <v>71.5</v>
      </c>
      <c r="M246" s="13">
        <f t="shared" si="184"/>
        <v>11</v>
      </c>
      <c r="N246" s="155"/>
    </row>
    <row r="247" spans="1:14" outlineLevel="1" x14ac:dyDescent="0.2">
      <c r="A247" s="20">
        <f t="shared" si="183"/>
        <v>3624</v>
      </c>
      <c r="B247" s="19" t="str">
        <f t="shared" si="183"/>
        <v>SFA</v>
      </c>
      <c r="C247" s="18"/>
      <c r="D247" s="15">
        <f t="shared" si="184"/>
        <v>1921.6666666666667</v>
      </c>
      <c r="E247" s="116">
        <f t="shared" si="181"/>
        <v>1064.6033333333332</v>
      </c>
      <c r="F247" s="14">
        <f t="shared" si="182"/>
        <v>20.257544310083915</v>
      </c>
      <c r="G247" s="13">
        <f t="shared" si="184"/>
        <v>3721.736666666669</v>
      </c>
      <c r="H247" s="15">
        <f t="shared" si="184"/>
        <v>248</v>
      </c>
      <c r="I247" s="13">
        <f t="shared" si="184"/>
        <v>44.666666666666664</v>
      </c>
      <c r="J247" s="16">
        <f t="shared" si="184"/>
        <v>1460.3333333333333</v>
      </c>
      <c r="K247" s="15">
        <f t="shared" si="184"/>
        <v>2769.3333333333335</v>
      </c>
      <c r="L247" s="14">
        <f t="shared" si="184"/>
        <v>2075</v>
      </c>
      <c r="M247" s="13">
        <f t="shared" si="184"/>
        <v>1397.3333333333333</v>
      </c>
      <c r="N247" s="155"/>
    </row>
    <row r="248" spans="1:14" outlineLevel="1" x14ac:dyDescent="0.2">
      <c r="A248" s="20">
        <f t="shared" si="183"/>
        <v>3642</v>
      </c>
      <c r="B248" s="19" t="str">
        <f t="shared" si="183"/>
        <v>TSU</v>
      </c>
      <c r="C248" s="18"/>
      <c r="D248" s="15">
        <f t="shared" si="184"/>
        <v>758.33333333333337</v>
      </c>
      <c r="E248" s="116">
        <f t="shared" si="181"/>
        <v>108.94722222222221</v>
      </c>
      <c r="F248" s="14">
        <f t="shared" si="182"/>
        <v>12.933681010892716</v>
      </c>
      <c r="G248" s="13">
        <f t="shared" si="184"/>
        <v>1488.6533333333352</v>
      </c>
      <c r="H248" s="15">
        <f t="shared" si="184"/>
        <v>134.33333333333334</v>
      </c>
      <c r="I248" s="13">
        <f t="shared" si="184"/>
        <v>3</v>
      </c>
      <c r="J248" s="16">
        <f t="shared" si="184"/>
        <v>666.33333333333337</v>
      </c>
      <c r="K248" s="15">
        <f t="shared" si="184"/>
        <v>1637.3333333333333</v>
      </c>
      <c r="L248" s="14">
        <f t="shared" si="184"/>
        <v>1133</v>
      </c>
      <c r="M248" s="13">
        <f t="shared" si="184"/>
        <v>848.66666666666663</v>
      </c>
      <c r="N248" s="155"/>
    </row>
    <row r="249" spans="1:14" outlineLevel="1" x14ac:dyDescent="0.2">
      <c r="A249" s="20">
        <f t="shared" si="183"/>
        <v>3644</v>
      </c>
      <c r="B249" s="19" t="str">
        <f t="shared" si="183"/>
        <v>TTU</v>
      </c>
      <c r="C249" s="18"/>
      <c r="D249" s="15">
        <f t="shared" si="184"/>
        <v>4674</v>
      </c>
      <c r="E249" s="116">
        <f t="shared" si="181"/>
        <v>3421.3679999999995</v>
      </c>
      <c r="F249" s="14">
        <f t="shared" si="182"/>
        <v>21.061243127033354</v>
      </c>
      <c r="G249" s="13">
        <f t="shared" si="184"/>
        <v>10128.113333332682</v>
      </c>
      <c r="H249" s="15">
        <f t="shared" si="184"/>
        <v>727.33333333333337</v>
      </c>
      <c r="I249" s="13">
        <f t="shared" si="184"/>
        <v>57.333333333333336</v>
      </c>
      <c r="J249" s="16">
        <f t="shared" si="184"/>
        <v>2778</v>
      </c>
      <c r="K249" s="15">
        <f t="shared" si="184"/>
        <v>6485.333333333333</v>
      </c>
      <c r="L249" s="14">
        <f t="shared" si="184"/>
        <v>5278.333333333333</v>
      </c>
      <c r="M249" s="13">
        <f t="shared" si="184"/>
        <v>3945.6666666666665</v>
      </c>
      <c r="N249" s="155"/>
    </row>
    <row r="250" spans="1:14" outlineLevel="1" x14ac:dyDescent="0.2">
      <c r="A250" s="20">
        <f t="shared" si="183"/>
        <v>3541</v>
      </c>
      <c r="B250" s="19" t="str">
        <f t="shared" si="183"/>
        <v>Angelo</v>
      </c>
      <c r="C250" s="18"/>
      <c r="D250" s="15">
        <f t="shared" si="184"/>
        <v>991.33333333333337</v>
      </c>
      <c r="E250" s="116">
        <f t="shared" si="181"/>
        <v>425.94288888888889</v>
      </c>
      <c r="F250" s="14">
        <f t="shared" si="182"/>
        <v>20.305700708264297</v>
      </c>
      <c r="G250" s="13">
        <f t="shared" si="184"/>
        <v>1977.3500000000051</v>
      </c>
      <c r="H250" s="15">
        <f t="shared" si="184"/>
        <v>254.33333333333334</v>
      </c>
      <c r="I250" s="13">
        <f t="shared" si="184"/>
        <v>19.333333333333332</v>
      </c>
      <c r="J250" s="16">
        <f t="shared" si="184"/>
        <v>723</v>
      </c>
      <c r="K250" s="15">
        <f t="shared" si="184"/>
        <v>1438.6666666666667</v>
      </c>
      <c r="L250" s="14">
        <f t="shared" si="184"/>
        <v>1033.6666666666667</v>
      </c>
      <c r="M250" s="13">
        <f t="shared" si="184"/>
        <v>707.66666666666663</v>
      </c>
      <c r="N250" s="155"/>
    </row>
    <row r="251" spans="1:14" outlineLevel="1" x14ac:dyDescent="0.2">
      <c r="A251" s="20">
        <f t="shared" ref="A251:B256" si="185">A209</f>
        <v>3646</v>
      </c>
      <c r="B251" s="19" t="str">
        <f t="shared" si="185"/>
        <v>TWU</v>
      </c>
      <c r="C251" s="18"/>
      <c r="D251" s="15">
        <f t="shared" ref="D251:M256" si="186">AVERAGE(D293,D335,D377)</f>
        <v>1806</v>
      </c>
      <c r="E251" s="116">
        <f t="shared" si="181"/>
        <v>945.74200000000008</v>
      </c>
      <c r="F251" s="14">
        <f t="shared" si="182"/>
        <v>27.545604295039961</v>
      </c>
      <c r="G251" s="13">
        <f t="shared" si="186"/>
        <v>3452.1766666666658</v>
      </c>
      <c r="H251" s="15">
        <f t="shared" si="186"/>
        <v>569.33333333333337</v>
      </c>
      <c r="I251" s="13">
        <f t="shared" si="186"/>
        <v>31.666666666666668</v>
      </c>
      <c r="J251" s="16">
        <f t="shared" si="186"/>
        <v>1247</v>
      </c>
      <c r="K251" s="15">
        <f t="shared" si="186"/>
        <v>2196</v>
      </c>
      <c r="L251" s="14">
        <f t="shared" si="186"/>
        <v>1292.3333333333333</v>
      </c>
      <c r="M251" s="13">
        <f t="shared" si="186"/>
        <v>659.66666666666663</v>
      </c>
      <c r="N251" s="155"/>
    </row>
    <row r="252" spans="1:14" outlineLevel="1" x14ac:dyDescent="0.2">
      <c r="A252" s="20">
        <f t="shared" si="185"/>
        <v>3581</v>
      </c>
      <c r="B252" s="19" t="str">
        <f t="shared" si="185"/>
        <v>Lamar</v>
      </c>
      <c r="C252" s="18"/>
      <c r="D252" s="15">
        <f t="shared" si="186"/>
        <v>1335.3333333333333</v>
      </c>
      <c r="E252" s="116">
        <f t="shared" si="181"/>
        <v>467.81177777777776</v>
      </c>
      <c r="F252" s="14">
        <f t="shared" si="182"/>
        <v>18.354929164452098</v>
      </c>
      <c r="G252" s="13">
        <f t="shared" si="186"/>
        <v>2684.9000000000165</v>
      </c>
      <c r="H252" s="15">
        <f t="shared" si="186"/>
        <v>330</v>
      </c>
      <c r="I252" s="13">
        <f t="shared" si="186"/>
        <v>17</v>
      </c>
      <c r="J252" s="16">
        <f t="shared" si="186"/>
        <v>948.66666666666663</v>
      </c>
      <c r="K252" s="15">
        <f t="shared" si="186"/>
        <v>2144.6666666666665</v>
      </c>
      <c r="L252" s="14">
        <f t="shared" si="186"/>
        <v>1489</v>
      </c>
      <c r="M252" s="13">
        <f t="shared" si="186"/>
        <v>1011</v>
      </c>
      <c r="N252" s="155"/>
    </row>
    <row r="253" spans="1:14" outlineLevel="1" x14ac:dyDescent="0.2">
      <c r="A253" s="20">
        <f t="shared" si="185"/>
        <v>3606</v>
      </c>
      <c r="B253" s="19" t="str">
        <f t="shared" si="185"/>
        <v>SHSU</v>
      </c>
      <c r="C253" s="18"/>
      <c r="D253" s="15">
        <f t="shared" si="186"/>
        <v>3077.6666666666665</v>
      </c>
      <c r="E253" s="116">
        <f t="shared" si="181"/>
        <v>1805.5644444444445</v>
      </c>
      <c r="F253" s="14">
        <f t="shared" si="182"/>
        <v>24.475654239301015</v>
      </c>
      <c r="G253" s="13">
        <f t="shared" si="186"/>
        <v>5837.0766666667887</v>
      </c>
      <c r="H253" s="15">
        <f t="shared" si="186"/>
        <v>167</v>
      </c>
      <c r="I253" s="13">
        <f t="shared" si="186"/>
        <v>61</v>
      </c>
      <c r="J253" s="16">
        <f t="shared" si="186"/>
        <v>2213.6666666666665</v>
      </c>
      <c r="K253" s="15">
        <f t="shared" si="186"/>
        <v>3894.3333333333335</v>
      </c>
      <c r="L253" s="14">
        <f t="shared" si="186"/>
        <v>2965.3333333333335</v>
      </c>
      <c r="M253" s="13">
        <f t="shared" si="186"/>
        <v>1763.3333333333333</v>
      </c>
    </row>
    <row r="254" spans="1:14" outlineLevel="1" x14ac:dyDescent="0.2">
      <c r="A254" s="20">
        <f t="shared" si="185"/>
        <v>3615</v>
      </c>
      <c r="B254" s="19" t="str">
        <f t="shared" si="185"/>
        <v>TXST</v>
      </c>
      <c r="C254" s="18"/>
      <c r="D254" s="15">
        <f t="shared" si="186"/>
        <v>5361</v>
      </c>
      <c r="E254" s="116">
        <f t="shared" si="181"/>
        <v>3393.5129999999999</v>
      </c>
      <c r="F254" s="14">
        <f t="shared" si="182"/>
        <v>23.406891519786395</v>
      </c>
      <c r="G254" s="13">
        <f t="shared" si="186"/>
        <v>10437.309999999357</v>
      </c>
      <c r="H254" s="15">
        <f t="shared" si="186"/>
        <v>488.66666666666669</v>
      </c>
      <c r="I254" s="13">
        <f t="shared" si="186"/>
        <v>66.666666666666671</v>
      </c>
      <c r="J254" s="16">
        <f t="shared" si="186"/>
        <v>3675.3333333333335</v>
      </c>
      <c r="K254" s="15">
        <f t="shared" si="186"/>
        <v>7470.333333333333</v>
      </c>
      <c r="L254" s="14">
        <f t="shared" si="186"/>
        <v>5579</v>
      </c>
      <c r="M254" s="13">
        <f t="shared" si="186"/>
        <v>3317.3333333333335</v>
      </c>
    </row>
    <row r="255" spans="1:14" outlineLevel="1" x14ac:dyDescent="0.2">
      <c r="A255" s="20">
        <f t="shared" si="185"/>
        <v>3625</v>
      </c>
      <c r="B255" s="19" t="str">
        <f t="shared" si="185"/>
        <v>SRSU</v>
      </c>
      <c r="C255" s="18"/>
      <c r="D255" s="15">
        <f t="shared" si="186"/>
        <v>189.33333333333334</v>
      </c>
      <c r="E255" s="116">
        <f t="shared" si="181"/>
        <v>56.989333333333335</v>
      </c>
      <c r="F255" s="14">
        <f t="shared" si="182"/>
        <v>15.518843008324076</v>
      </c>
      <c r="G255" s="13">
        <f t="shared" si="186"/>
        <v>394.32999999999964</v>
      </c>
      <c r="H255" s="15">
        <f t="shared" si="186"/>
        <v>12.666666666666666</v>
      </c>
      <c r="I255" s="13">
        <f t="shared" si="186"/>
        <v>6.333333333333333</v>
      </c>
      <c r="J255" s="16">
        <f t="shared" si="186"/>
        <v>163</v>
      </c>
      <c r="K255" s="15">
        <f t="shared" si="186"/>
        <v>300</v>
      </c>
      <c r="L255" s="14">
        <f t="shared" si="186"/>
        <v>193.66666666666666</v>
      </c>
      <c r="M255" s="13">
        <f t="shared" si="186"/>
        <v>131.66666666666666</v>
      </c>
      <c r="N255" s="156"/>
    </row>
    <row r="256" spans="1:14" outlineLevel="1" x14ac:dyDescent="0.2">
      <c r="A256" s="20">
        <f t="shared" si="185"/>
        <v>20</v>
      </c>
      <c r="B256" s="19" t="str">
        <f t="shared" si="185"/>
        <v>SRRG</v>
      </c>
      <c r="C256" s="18"/>
      <c r="D256" s="15">
        <f t="shared" si="186"/>
        <v>161.66666666666666</v>
      </c>
      <c r="E256" s="116">
        <f t="shared" si="181"/>
        <v>51.365976618337754</v>
      </c>
      <c r="F256" s="14">
        <f t="shared" si="182"/>
        <v>36.596408270033706</v>
      </c>
      <c r="G256" s="13">
        <f t="shared" si="186"/>
        <v>279.16999999999979</v>
      </c>
      <c r="H256" s="15">
        <f t="shared" si="186"/>
        <v>6.333333333333333</v>
      </c>
      <c r="I256" s="13">
        <f t="shared" si="186"/>
        <v>5.666666666666667</v>
      </c>
      <c r="J256" s="16">
        <f t="shared" si="186"/>
        <v>144</v>
      </c>
      <c r="K256" s="15">
        <f t="shared" si="186"/>
        <v>230</v>
      </c>
      <c r="L256" s="14">
        <f t="shared" si="186"/>
        <v>92.666666666666671</v>
      </c>
      <c r="M256" s="13">
        <f t="shared" si="186"/>
        <v>4.333333333333333</v>
      </c>
    </row>
    <row r="257" spans="1:14" ht="13.5" outlineLevel="1" thickBot="1" x14ac:dyDescent="0.25">
      <c r="A257" s="12"/>
      <c r="B257" s="11" t="s">
        <v>11</v>
      </c>
      <c r="C257" s="10"/>
      <c r="D257" s="9">
        <f>SUM(D219:D256)</f>
        <v>84315.833333333314</v>
      </c>
      <c r="E257" s="117">
        <f>SUM(E219:E256)</f>
        <v>49031.80588920939</v>
      </c>
      <c r="F257" s="7">
        <f t="shared" ref="F257:M257" si="187">SUM(F219:F256)</f>
        <v>1017.4700431877567</v>
      </c>
      <c r="G257" s="3">
        <f t="shared" si="187"/>
        <v>172461.13999999844</v>
      </c>
      <c r="H257" s="5">
        <f t="shared" si="187"/>
        <v>13953.333333333332</v>
      </c>
      <c r="I257" s="3">
        <f t="shared" si="187"/>
        <v>1198.3333333333335</v>
      </c>
      <c r="J257" s="6">
        <f t="shared" si="187"/>
        <v>54446.500000000007</v>
      </c>
      <c r="K257" s="5">
        <f t="shared" si="187"/>
        <v>114212.66666666664</v>
      </c>
      <c r="L257" s="4">
        <f t="shared" si="187"/>
        <v>82344.5</v>
      </c>
      <c r="M257" s="3">
        <f t="shared" si="187"/>
        <v>50801.999999999993</v>
      </c>
    </row>
    <row r="258" spans="1:14" ht="13.5" thickBot="1" x14ac:dyDescent="0.25">
      <c r="A258" s="42" t="s">
        <v>27</v>
      </c>
      <c r="B258" s="42"/>
      <c r="C258" s="42"/>
      <c r="D258" s="51"/>
      <c r="F258" s="51"/>
      <c r="J258" s="51"/>
    </row>
    <row r="259" spans="1:14" ht="12.75" customHeight="1" outlineLevel="1" x14ac:dyDescent="0.2">
      <c r="A259" s="234" t="s">
        <v>24</v>
      </c>
      <c r="B259" s="236" t="s">
        <v>23</v>
      </c>
      <c r="C259" s="238"/>
      <c r="D259" s="240" t="s">
        <v>22</v>
      </c>
      <c r="E259" s="242" t="s">
        <v>21</v>
      </c>
      <c r="F259" s="236" t="s">
        <v>20</v>
      </c>
      <c r="G259" s="221" t="s">
        <v>19</v>
      </c>
      <c r="H259" s="223" t="s">
        <v>18</v>
      </c>
      <c r="I259" s="225" t="s">
        <v>17</v>
      </c>
      <c r="J259" s="227" t="s">
        <v>16</v>
      </c>
      <c r="K259" s="229" t="s">
        <v>15</v>
      </c>
      <c r="L259" s="230"/>
      <c r="M259" s="231"/>
    </row>
    <row r="260" spans="1:14" s="41" customFormat="1" ht="36" customHeight="1" outlineLevel="1" thickBot="1" x14ac:dyDescent="0.25">
      <c r="A260" s="273"/>
      <c r="B260" s="270"/>
      <c r="C260" s="274"/>
      <c r="D260" s="275"/>
      <c r="E260" s="276"/>
      <c r="F260" s="270"/>
      <c r="G260" s="271"/>
      <c r="H260" s="272"/>
      <c r="I260" s="265"/>
      <c r="J260" s="266"/>
      <c r="K260" s="125" t="s">
        <v>14</v>
      </c>
      <c r="L260" s="126" t="s">
        <v>13</v>
      </c>
      <c r="M260" s="135" t="s">
        <v>12</v>
      </c>
      <c r="N260" s="154"/>
    </row>
    <row r="261" spans="1:14" outlineLevel="1" x14ac:dyDescent="0.2">
      <c r="A261" s="40">
        <f t="shared" ref="A261:B276" si="188">A219</f>
        <v>3656</v>
      </c>
      <c r="B261" s="39" t="str">
        <f t="shared" si="188"/>
        <v>UTA</v>
      </c>
      <c r="C261" s="38"/>
      <c r="D261" s="33">
        <v>5773</v>
      </c>
      <c r="E261" s="37">
        <v>0.55500000000000005</v>
      </c>
      <c r="F261" s="32">
        <v>17781.466666666667</v>
      </c>
      <c r="G261" s="48">
        <v>12087.560000000249</v>
      </c>
      <c r="H261" s="36">
        <v>2140</v>
      </c>
      <c r="I261" s="35">
        <v>43</v>
      </c>
      <c r="J261" s="34">
        <v>3528</v>
      </c>
      <c r="K261" s="50">
        <v>6893</v>
      </c>
      <c r="L261" s="49">
        <v>3962</v>
      </c>
      <c r="M261" s="48">
        <v>1894</v>
      </c>
    </row>
    <row r="262" spans="1:14" outlineLevel="1" x14ac:dyDescent="0.2">
      <c r="A262" s="20">
        <f t="shared" si="188"/>
        <v>3658</v>
      </c>
      <c r="B262" s="19" t="str">
        <f t="shared" si="188"/>
        <v>UT</v>
      </c>
      <c r="C262" s="18"/>
      <c r="D262" s="15">
        <v>8860</v>
      </c>
      <c r="E262" s="21">
        <v>0.82499999999999996</v>
      </c>
      <c r="F262" s="14">
        <v>33841.466666666667</v>
      </c>
      <c r="G262" s="28">
        <v>19542.67999999996</v>
      </c>
      <c r="H262" s="15">
        <v>1981</v>
      </c>
      <c r="I262" s="13">
        <v>83</v>
      </c>
      <c r="J262" s="16">
        <v>3501</v>
      </c>
      <c r="K262" s="30">
        <v>9260</v>
      </c>
      <c r="L262" s="29">
        <v>8373</v>
      </c>
      <c r="M262" s="28">
        <v>6348</v>
      </c>
    </row>
    <row r="263" spans="1:14" outlineLevel="1" x14ac:dyDescent="0.2">
      <c r="A263" s="20">
        <f t="shared" si="188"/>
        <v>9741</v>
      </c>
      <c r="B263" s="19" t="str">
        <f t="shared" si="188"/>
        <v>UTD</v>
      </c>
      <c r="C263" s="18"/>
      <c r="D263" s="15">
        <v>2510</v>
      </c>
      <c r="E263" s="21">
        <v>0.71900000000000008</v>
      </c>
      <c r="F263" s="14">
        <v>9826.5333333333328</v>
      </c>
      <c r="G263" s="28">
        <v>5443.8700000002518</v>
      </c>
      <c r="H263" s="15">
        <v>449</v>
      </c>
      <c r="I263" s="13">
        <v>33</v>
      </c>
      <c r="J263" s="16">
        <v>1410</v>
      </c>
      <c r="K263" s="30">
        <v>3522</v>
      </c>
      <c r="L263" s="29">
        <v>2348</v>
      </c>
      <c r="M263" s="28">
        <v>1065</v>
      </c>
    </row>
    <row r="264" spans="1:14" outlineLevel="1" x14ac:dyDescent="0.2">
      <c r="A264" s="20">
        <f t="shared" si="188"/>
        <v>3661</v>
      </c>
      <c r="B264" s="19" t="str">
        <f t="shared" si="188"/>
        <v>UTEP</v>
      </c>
      <c r="C264" s="18"/>
      <c r="D264" s="15">
        <v>3132</v>
      </c>
      <c r="E264" s="21">
        <v>0.41200000000000003</v>
      </c>
      <c r="F264" s="14">
        <v>13931.066666666668</v>
      </c>
      <c r="G264" s="28">
        <v>6456.0600000003096</v>
      </c>
      <c r="H264" s="15">
        <v>643</v>
      </c>
      <c r="I264" s="13">
        <v>86</v>
      </c>
      <c r="J264" s="16">
        <v>2590</v>
      </c>
      <c r="K264" s="30">
        <v>4400</v>
      </c>
      <c r="L264" s="29">
        <v>3304</v>
      </c>
      <c r="M264" s="28">
        <v>1986</v>
      </c>
    </row>
    <row r="265" spans="1:14" outlineLevel="1" x14ac:dyDescent="0.2">
      <c r="A265" s="20">
        <f t="shared" si="188"/>
        <v>3599</v>
      </c>
      <c r="B265" s="19" t="str">
        <f t="shared" si="188"/>
        <v>UTPA</v>
      </c>
      <c r="C265" s="18"/>
      <c r="D265" s="15">
        <v>2462</v>
      </c>
      <c r="E265" s="21">
        <v>0.44</v>
      </c>
      <c r="F265" s="14">
        <v>12698.333333333334</v>
      </c>
      <c r="G265" s="28">
        <v>5000.2800000001325</v>
      </c>
      <c r="H265" s="15">
        <v>547</v>
      </c>
      <c r="I265" s="13">
        <v>19</v>
      </c>
      <c r="J265" s="16">
        <v>2247</v>
      </c>
      <c r="K265" s="30">
        <v>3730</v>
      </c>
      <c r="L265" s="29">
        <v>2862</v>
      </c>
      <c r="M265" s="28">
        <v>1896</v>
      </c>
    </row>
    <row r="266" spans="1:14" outlineLevel="1" x14ac:dyDescent="0.2">
      <c r="A266" s="20">
        <f t="shared" si="188"/>
        <v>30646</v>
      </c>
      <c r="B266" s="19" t="str">
        <f t="shared" si="188"/>
        <v>UTB</v>
      </c>
      <c r="C266" s="18"/>
      <c r="D266" s="15">
        <v>1149</v>
      </c>
      <c r="E266" s="17">
        <v>0.52783109404990403</v>
      </c>
      <c r="F266" s="14">
        <v>3400.5333333333333</v>
      </c>
      <c r="G266" s="28">
        <v>2236.3100000000127</v>
      </c>
      <c r="H266" s="15">
        <v>133</v>
      </c>
      <c r="I266" s="13">
        <v>21</v>
      </c>
      <c r="J266" s="16">
        <v>978</v>
      </c>
      <c r="K266" s="30">
        <v>1243</v>
      </c>
      <c r="L266" s="29">
        <v>486</v>
      </c>
      <c r="M266" s="28">
        <v>99</v>
      </c>
    </row>
    <row r="267" spans="1:14" outlineLevel="1" x14ac:dyDescent="0.2">
      <c r="A267" s="20">
        <f t="shared" si="188"/>
        <v>9930</v>
      </c>
      <c r="B267" s="19" t="str">
        <f t="shared" si="188"/>
        <v>UTPB</v>
      </c>
      <c r="C267" s="18"/>
      <c r="D267" s="15">
        <v>546</v>
      </c>
      <c r="E267" s="21">
        <v>0.47899999999999998</v>
      </c>
      <c r="F267" s="14">
        <v>2343.2666666666669</v>
      </c>
      <c r="G267" s="28">
        <v>1054.6599999999951</v>
      </c>
      <c r="H267" s="15">
        <v>51</v>
      </c>
      <c r="I267" s="13">
        <v>7</v>
      </c>
      <c r="J267" s="16">
        <v>411</v>
      </c>
      <c r="K267" s="30">
        <v>742</v>
      </c>
      <c r="L267" s="29">
        <v>535</v>
      </c>
      <c r="M267" s="28">
        <v>210</v>
      </c>
    </row>
    <row r="268" spans="1:14" outlineLevel="1" x14ac:dyDescent="0.2">
      <c r="A268" s="20">
        <f t="shared" si="188"/>
        <v>10115</v>
      </c>
      <c r="B268" s="19" t="str">
        <f t="shared" si="188"/>
        <v>UTSA</v>
      </c>
      <c r="C268" s="18"/>
      <c r="D268" s="15">
        <v>4243</v>
      </c>
      <c r="E268" s="21">
        <v>0.43099999999999999</v>
      </c>
      <c r="F268" s="14">
        <v>21066.866666666665</v>
      </c>
      <c r="G268" s="28">
        <v>8736.7000000001954</v>
      </c>
      <c r="H268" s="15">
        <v>407</v>
      </c>
      <c r="I268" s="13">
        <v>63</v>
      </c>
      <c r="J268" s="16">
        <v>3204</v>
      </c>
      <c r="K268" s="30">
        <v>6815</v>
      </c>
      <c r="L268" s="29">
        <v>4371</v>
      </c>
      <c r="M268" s="28">
        <v>2560</v>
      </c>
    </row>
    <row r="269" spans="1:14" outlineLevel="1" x14ac:dyDescent="0.2">
      <c r="A269" s="20">
        <f t="shared" si="188"/>
        <v>11163</v>
      </c>
      <c r="B269" s="19" t="str">
        <f t="shared" si="188"/>
        <v>UTT</v>
      </c>
      <c r="C269" s="18"/>
      <c r="D269" s="15">
        <v>1144</v>
      </c>
      <c r="E269" s="21">
        <v>0.51800000000000002</v>
      </c>
      <c r="F269" s="14">
        <v>4086.7333333333331</v>
      </c>
      <c r="G269" s="28">
        <v>2263.8699999999944</v>
      </c>
      <c r="H269" s="15">
        <v>392</v>
      </c>
      <c r="I269" s="13">
        <v>23</v>
      </c>
      <c r="J269" s="16">
        <v>886</v>
      </c>
      <c r="K269" s="30">
        <v>1409</v>
      </c>
      <c r="L269" s="29">
        <v>844</v>
      </c>
      <c r="M269" s="28">
        <v>383</v>
      </c>
    </row>
    <row r="270" spans="1:14" outlineLevel="1" x14ac:dyDescent="0.2">
      <c r="A270" s="20">
        <f t="shared" si="188"/>
        <v>3632</v>
      </c>
      <c r="B270" s="19" t="str">
        <f t="shared" si="188"/>
        <v>TAMU</v>
      </c>
      <c r="C270" s="18"/>
      <c r="D270" s="15">
        <v>9020</v>
      </c>
      <c r="E270" s="21">
        <v>0.84200000000000008</v>
      </c>
      <c r="F270" s="14">
        <v>35116.666666666664</v>
      </c>
      <c r="G270" s="28">
        <v>21108.189999999984</v>
      </c>
      <c r="H270" s="15">
        <v>1934</v>
      </c>
      <c r="I270" s="13">
        <v>137</v>
      </c>
      <c r="J270" s="16">
        <v>3915</v>
      </c>
      <c r="K270" s="30">
        <v>10547</v>
      </c>
      <c r="L270" s="29">
        <v>8924</v>
      </c>
      <c r="M270" s="28">
        <v>6938</v>
      </c>
    </row>
    <row r="271" spans="1:14" outlineLevel="1" x14ac:dyDescent="0.2">
      <c r="A271" s="20">
        <f t="shared" si="188"/>
        <v>10298</v>
      </c>
      <c r="B271" s="19" t="str">
        <f t="shared" si="188"/>
        <v>TAMUG</v>
      </c>
      <c r="C271" s="18"/>
      <c r="D271" s="15">
        <v>314</v>
      </c>
      <c r="E271" s="21">
        <v>0.626</v>
      </c>
      <c r="F271" s="14">
        <v>1769.4666666666667</v>
      </c>
      <c r="G271" s="28">
        <v>826.3399999999923</v>
      </c>
      <c r="H271" s="15">
        <v>46</v>
      </c>
      <c r="I271" s="13">
        <v>0</v>
      </c>
      <c r="J271" s="16">
        <v>186</v>
      </c>
      <c r="K271" s="30">
        <v>607</v>
      </c>
      <c r="L271" s="29">
        <v>296</v>
      </c>
      <c r="M271" s="28">
        <v>263</v>
      </c>
    </row>
    <row r="272" spans="1:14" outlineLevel="1" x14ac:dyDescent="0.2">
      <c r="A272" s="20">
        <f t="shared" si="188"/>
        <v>3630</v>
      </c>
      <c r="B272" s="19" t="str">
        <f t="shared" si="188"/>
        <v>Prairie View</v>
      </c>
      <c r="C272" s="18"/>
      <c r="D272" s="15">
        <v>1026</v>
      </c>
      <c r="E272" s="21">
        <v>0.40299999999999997</v>
      </c>
      <c r="F272" s="14">
        <v>5822.8</v>
      </c>
      <c r="G272" s="28">
        <v>2288.9700000000062</v>
      </c>
      <c r="H272" s="15">
        <v>373</v>
      </c>
      <c r="I272" s="13">
        <v>11</v>
      </c>
      <c r="J272" s="16">
        <v>877</v>
      </c>
      <c r="K272" s="30">
        <v>1701</v>
      </c>
      <c r="L272" s="29">
        <v>1132</v>
      </c>
      <c r="M272" s="28">
        <v>871</v>
      </c>
    </row>
    <row r="273" spans="1:13" outlineLevel="1" x14ac:dyDescent="0.2">
      <c r="A273" s="20">
        <f t="shared" si="188"/>
        <v>3631</v>
      </c>
      <c r="B273" s="19" t="str">
        <f t="shared" si="188"/>
        <v>Tarleton</v>
      </c>
      <c r="C273" s="18"/>
      <c r="D273" s="15">
        <v>1662</v>
      </c>
      <c r="E273" s="21">
        <v>0.47600000000000003</v>
      </c>
      <c r="F273" s="14">
        <v>6766.4</v>
      </c>
      <c r="G273" s="28">
        <v>3337.2399999999966</v>
      </c>
      <c r="H273" s="15">
        <v>229</v>
      </c>
      <c r="I273" s="13">
        <v>49</v>
      </c>
      <c r="J273" s="16">
        <v>1296</v>
      </c>
      <c r="K273" s="30">
        <v>2227</v>
      </c>
      <c r="L273" s="29">
        <v>1216</v>
      </c>
      <c r="M273" s="28">
        <v>845</v>
      </c>
    </row>
    <row r="274" spans="1:13" outlineLevel="1" x14ac:dyDescent="0.2">
      <c r="A274" s="27">
        <f t="shared" si="188"/>
        <v>103631</v>
      </c>
      <c r="B274" s="19" t="str">
        <f t="shared" si="188"/>
        <v>TAMUCT</v>
      </c>
      <c r="C274" s="18"/>
      <c r="D274" s="15">
        <v>469</v>
      </c>
      <c r="E274" s="21">
        <f>E273</f>
        <v>0.47600000000000003</v>
      </c>
      <c r="F274" s="14">
        <v>684.13333333333333</v>
      </c>
      <c r="G274" s="28">
        <v>882.20999999999208</v>
      </c>
      <c r="H274" s="15">
        <v>42</v>
      </c>
      <c r="I274" s="13">
        <v>0</v>
      </c>
      <c r="J274" s="16">
        <v>329</v>
      </c>
      <c r="K274" s="30">
        <v>550</v>
      </c>
      <c r="L274" s="29">
        <v>119</v>
      </c>
      <c r="M274" s="28">
        <v>5</v>
      </c>
    </row>
    <row r="275" spans="1:13" outlineLevel="1" x14ac:dyDescent="0.2">
      <c r="A275" s="20">
        <f t="shared" si="188"/>
        <v>11161</v>
      </c>
      <c r="B275" s="19" t="str">
        <f t="shared" si="188"/>
        <v>TAMUCC</v>
      </c>
      <c r="C275" s="18"/>
      <c r="D275" s="15">
        <v>1515</v>
      </c>
      <c r="E275" s="21">
        <v>0.51</v>
      </c>
      <c r="F275" s="14">
        <v>6742.2</v>
      </c>
      <c r="G275" s="28">
        <v>3028.8999999999978</v>
      </c>
      <c r="H275" s="15">
        <v>310</v>
      </c>
      <c r="I275" s="13">
        <v>23</v>
      </c>
      <c r="J275" s="16">
        <v>1182</v>
      </c>
      <c r="K275" s="30">
        <v>1957</v>
      </c>
      <c r="L275" s="29">
        <v>1470</v>
      </c>
      <c r="M275" s="28">
        <v>959</v>
      </c>
    </row>
    <row r="276" spans="1:13" outlineLevel="1" x14ac:dyDescent="0.2">
      <c r="A276" s="20">
        <f t="shared" si="188"/>
        <v>3639</v>
      </c>
      <c r="B276" s="19" t="str">
        <f t="shared" si="188"/>
        <v>TAMUK</v>
      </c>
      <c r="C276" s="18"/>
      <c r="D276" s="15">
        <v>855</v>
      </c>
      <c r="E276" s="21">
        <v>0.39200000000000002</v>
      </c>
      <c r="F276" s="14">
        <v>4577.5333333333338</v>
      </c>
      <c r="G276" s="28">
        <v>1952.6200000000099</v>
      </c>
      <c r="H276" s="15">
        <v>298</v>
      </c>
      <c r="I276" s="13">
        <v>19</v>
      </c>
      <c r="J276" s="16">
        <v>742</v>
      </c>
      <c r="K276" s="30">
        <v>1343</v>
      </c>
      <c r="L276" s="29">
        <v>910</v>
      </c>
      <c r="M276" s="28">
        <v>571</v>
      </c>
    </row>
    <row r="277" spans="1:13" outlineLevel="1" x14ac:dyDescent="0.2">
      <c r="A277" s="27">
        <f t="shared" ref="A277:B292" si="189">A235</f>
        <v>103639</v>
      </c>
      <c r="B277" s="19" t="str">
        <f t="shared" si="189"/>
        <v>TAMUSA</v>
      </c>
      <c r="C277" s="18"/>
      <c r="D277" s="15">
        <v>647</v>
      </c>
      <c r="E277" s="21">
        <f>E276</f>
        <v>0.39200000000000002</v>
      </c>
      <c r="F277" s="14">
        <v>1673.0666666666666</v>
      </c>
      <c r="G277" s="28">
        <v>1155.5399999999984</v>
      </c>
      <c r="H277" s="15">
        <v>10</v>
      </c>
      <c r="I277" s="13">
        <v>4</v>
      </c>
      <c r="J277" s="16">
        <v>549</v>
      </c>
      <c r="K277" s="30">
        <v>887</v>
      </c>
      <c r="L277" s="29">
        <v>190</v>
      </c>
      <c r="M277" s="28">
        <v>1</v>
      </c>
    </row>
    <row r="278" spans="1:13" outlineLevel="1" x14ac:dyDescent="0.2">
      <c r="A278" s="20">
        <f t="shared" si="189"/>
        <v>9651</v>
      </c>
      <c r="B278" s="19" t="str">
        <f t="shared" si="189"/>
        <v>TAMI</v>
      </c>
      <c r="C278" s="18"/>
      <c r="D278" s="15">
        <v>805</v>
      </c>
      <c r="E278" s="21">
        <v>0.45700000000000002</v>
      </c>
      <c r="F278" s="14">
        <v>4312.1333333333332</v>
      </c>
      <c r="G278" s="28">
        <v>1498.7699999999936</v>
      </c>
      <c r="H278" s="15">
        <v>142</v>
      </c>
      <c r="I278" s="13">
        <v>23</v>
      </c>
      <c r="J278" s="16">
        <v>737</v>
      </c>
      <c r="K278" s="30">
        <v>1292</v>
      </c>
      <c r="L278" s="29">
        <v>1039</v>
      </c>
      <c r="M278" s="28">
        <v>488</v>
      </c>
    </row>
    <row r="279" spans="1:13" outlineLevel="1" x14ac:dyDescent="0.2">
      <c r="A279" s="20">
        <f t="shared" si="189"/>
        <v>3665</v>
      </c>
      <c r="B279" s="19" t="str">
        <f t="shared" si="189"/>
        <v>WTAMU</v>
      </c>
      <c r="C279" s="18"/>
      <c r="D279" s="15">
        <v>1253</v>
      </c>
      <c r="E279" s="21">
        <v>0.48200000000000004</v>
      </c>
      <c r="F279" s="14">
        <v>5523.2</v>
      </c>
      <c r="G279" s="28">
        <v>2523.9800000000132</v>
      </c>
      <c r="H279" s="15">
        <v>175</v>
      </c>
      <c r="I279" s="13">
        <v>60</v>
      </c>
      <c r="J279" s="16">
        <v>902</v>
      </c>
      <c r="K279" s="30">
        <v>1631</v>
      </c>
      <c r="L279" s="29">
        <v>1213</v>
      </c>
      <c r="M279" s="28">
        <v>689</v>
      </c>
    </row>
    <row r="280" spans="1:13" outlineLevel="1" x14ac:dyDescent="0.2">
      <c r="A280" s="20">
        <f t="shared" si="189"/>
        <v>3565</v>
      </c>
      <c r="B280" s="19" t="str">
        <f t="shared" si="189"/>
        <v>TAMUC</v>
      </c>
      <c r="C280" s="18"/>
      <c r="D280" s="15">
        <v>1507</v>
      </c>
      <c r="E280" s="21">
        <v>0.44600000000000001</v>
      </c>
      <c r="F280" s="14">
        <v>5135.2666666666664</v>
      </c>
      <c r="G280" s="28">
        <v>2861.9500000000121</v>
      </c>
      <c r="H280" s="15">
        <v>89</v>
      </c>
      <c r="I280" s="13">
        <v>81</v>
      </c>
      <c r="J280" s="16">
        <v>1172</v>
      </c>
      <c r="K280" s="30">
        <v>2056</v>
      </c>
      <c r="L280" s="29">
        <v>1174</v>
      </c>
      <c r="M280" s="28">
        <v>457</v>
      </c>
    </row>
    <row r="281" spans="1:13" outlineLevel="1" x14ac:dyDescent="0.2">
      <c r="A281" s="20">
        <f t="shared" si="189"/>
        <v>29269</v>
      </c>
      <c r="B281" s="19" t="str">
        <f t="shared" si="189"/>
        <v>TAMUT</v>
      </c>
      <c r="C281" s="18"/>
      <c r="D281" s="15">
        <v>376</v>
      </c>
      <c r="E281" s="17">
        <v>0.49242424242424243</v>
      </c>
      <c r="F281" s="14">
        <v>1101.2666666666667</v>
      </c>
      <c r="G281" s="28">
        <v>680.4399999999946</v>
      </c>
      <c r="H281" s="15">
        <v>47</v>
      </c>
      <c r="I281" s="13">
        <v>25</v>
      </c>
      <c r="J281" s="16">
        <v>277</v>
      </c>
      <c r="K281" s="30">
        <v>484</v>
      </c>
      <c r="L281" s="29">
        <v>219</v>
      </c>
      <c r="M281" s="28">
        <v>1</v>
      </c>
    </row>
    <row r="282" spans="1:13" outlineLevel="1" x14ac:dyDescent="0.2">
      <c r="A282" s="20">
        <f t="shared" si="189"/>
        <v>3652</v>
      </c>
      <c r="B282" s="19" t="str">
        <f t="shared" si="189"/>
        <v>UH</v>
      </c>
      <c r="C282" s="18"/>
      <c r="D282" s="15">
        <v>5426</v>
      </c>
      <c r="E282" s="21">
        <v>0.53600000000000003</v>
      </c>
      <c r="F282" s="14">
        <v>24760.400000000001</v>
      </c>
      <c r="G282" s="28">
        <v>11378.949999999324</v>
      </c>
      <c r="H282" s="15">
        <v>835</v>
      </c>
      <c r="I282" s="13">
        <v>60</v>
      </c>
      <c r="J282" s="16">
        <v>3688</v>
      </c>
      <c r="K282" s="30">
        <v>7823</v>
      </c>
      <c r="L282" s="29">
        <v>5667</v>
      </c>
      <c r="M282" s="28">
        <v>3232</v>
      </c>
    </row>
    <row r="283" spans="1:13" outlineLevel="1" x14ac:dyDescent="0.2">
      <c r="A283" s="20">
        <f t="shared" si="189"/>
        <v>11711</v>
      </c>
      <c r="B283" s="19" t="str">
        <f t="shared" si="189"/>
        <v>UHCL</v>
      </c>
      <c r="C283" s="18"/>
      <c r="D283" s="15">
        <v>1251</v>
      </c>
      <c r="E283" s="17">
        <v>0.51671732522796354</v>
      </c>
      <c r="F283" s="14">
        <v>3079.2666666666669</v>
      </c>
      <c r="G283" s="28">
        <v>2423.7000000000025</v>
      </c>
      <c r="H283" s="15">
        <v>119</v>
      </c>
      <c r="I283" s="13">
        <v>9</v>
      </c>
      <c r="J283" s="16">
        <v>839</v>
      </c>
      <c r="K283" s="30">
        <v>1391</v>
      </c>
      <c r="L283" s="29">
        <v>1014</v>
      </c>
      <c r="M283" s="28">
        <v>37</v>
      </c>
    </row>
    <row r="284" spans="1:13" outlineLevel="1" x14ac:dyDescent="0.2">
      <c r="A284" s="20">
        <f t="shared" si="189"/>
        <v>12826</v>
      </c>
      <c r="B284" s="19" t="str">
        <f t="shared" si="189"/>
        <v>UHD</v>
      </c>
      <c r="C284" s="18"/>
      <c r="D284" s="15">
        <v>2351</v>
      </c>
      <c r="E284" s="21">
        <v>0.17399999999999999</v>
      </c>
      <c r="F284" s="14">
        <v>8043.8</v>
      </c>
      <c r="G284" s="28">
        <v>4292.430000000033</v>
      </c>
      <c r="H284" s="15">
        <v>134</v>
      </c>
      <c r="I284" s="13">
        <v>3</v>
      </c>
      <c r="J284" s="16">
        <v>1694</v>
      </c>
      <c r="K284" s="30">
        <v>3011</v>
      </c>
      <c r="L284" s="29">
        <v>1820</v>
      </c>
      <c r="M284" s="28">
        <v>590</v>
      </c>
    </row>
    <row r="285" spans="1:13" outlineLevel="1" x14ac:dyDescent="0.2">
      <c r="A285" s="20">
        <f t="shared" si="189"/>
        <v>13231</v>
      </c>
      <c r="B285" s="19" t="str">
        <f t="shared" si="189"/>
        <v>UHV</v>
      </c>
      <c r="C285" s="18"/>
      <c r="D285" s="15">
        <v>619</v>
      </c>
      <c r="E285" s="17">
        <v>0.47520661157024796</v>
      </c>
      <c r="F285" s="14">
        <v>1685.8666666666666</v>
      </c>
      <c r="G285" s="28">
        <v>1187.5899999999924</v>
      </c>
      <c r="H285" s="15">
        <v>134</v>
      </c>
      <c r="I285" s="13">
        <v>9</v>
      </c>
      <c r="J285" s="16">
        <v>418</v>
      </c>
      <c r="K285" s="30">
        <v>776</v>
      </c>
      <c r="L285" s="29">
        <v>334</v>
      </c>
      <c r="M285" s="28">
        <v>6</v>
      </c>
    </row>
    <row r="286" spans="1:13" outlineLevel="1" x14ac:dyDescent="0.2">
      <c r="A286" s="20">
        <f t="shared" si="189"/>
        <v>3592</v>
      </c>
      <c r="B286" s="19" t="str">
        <f t="shared" si="189"/>
        <v>Midwestern</v>
      </c>
      <c r="C286" s="18"/>
      <c r="D286" s="15">
        <v>1066</v>
      </c>
      <c r="E286" s="21">
        <v>0.46299999999999997</v>
      </c>
      <c r="F286" s="14">
        <v>4147.7333333333336</v>
      </c>
      <c r="G286" s="28">
        <v>2062.1399999999949</v>
      </c>
      <c r="H286" s="15">
        <v>358</v>
      </c>
      <c r="I286" s="13">
        <v>15</v>
      </c>
      <c r="J286" s="16">
        <v>723</v>
      </c>
      <c r="K286" s="30">
        <v>1310</v>
      </c>
      <c r="L286" s="29">
        <v>979</v>
      </c>
      <c r="M286" s="28">
        <v>683</v>
      </c>
    </row>
    <row r="287" spans="1:13" outlineLevel="1" x14ac:dyDescent="0.2">
      <c r="A287" s="20">
        <f t="shared" si="189"/>
        <v>3594</v>
      </c>
      <c r="B287" s="19" t="str">
        <f t="shared" si="189"/>
        <v>UNT</v>
      </c>
      <c r="C287" s="18"/>
      <c r="D287" s="15">
        <v>5843</v>
      </c>
      <c r="E287" s="21">
        <v>0.56799999999999995</v>
      </c>
      <c r="F287" s="14">
        <v>23213.466666666667</v>
      </c>
      <c r="G287" s="28">
        <v>11338.869999999399</v>
      </c>
      <c r="H287" s="15">
        <v>368</v>
      </c>
      <c r="I287" s="13">
        <v>56</v>
      </c>
      <c r="J287" s="16">
        <v>3771</v>
      </c>
      <c r="K287" s="30">
        <v>7310</v>
      </c>
      <c r="L287" s="29">
        <v>5432</v>
      </c>
      <c r="M287" s="28">
        <v>3116</v>
      </c>
    </row>
    <row r="288" spans="1:13" outlineLevel="1" x14ac:dyDescent="0.2">
      <c r="A288" s="27">
        <f t="shared" si="189"/>
        <v>113594</v>
      </c>
      <c r="B288" s="19" t="str">
        <f t="shared" si="189"/>
        <v>UNTD</v>
      </c>
      <c r="C288" s="18"/>
      <c r="D288" s="15">
        <v>419</v>
      </c>
      <c r="E288" s="21">
        <f>E287</f>
        <v>0.56799999999999995</v>
      </c>
      <c r="F288" s="14">
        <v>983.4666666666667</v>
      </c>
      <c r="G288" s="28">
        <v>742.11999999999398</v>
      </c>
      <c r="H288" s="15">
        <v>14</v>
      </c>
      <c r="I288" s="13">
        <v>0</v>
      </c>
      <c r="J288" s="16">
        <v>313</v>
      </c>
      <c r="K288" s="30">
        <v>469</v>
      </c>
      <c r="L288" s="29">
        <v>80</v>
      </c>
      <c r="M288" s="28">
        <v>4</v>
      </c>
    </row>
    <row r="289" spans="1:14" outlineLevel="1" x14ac:dyDescent="0.2">
      <c r="A289" s="20">
        <f t="shared" si="189"/>
        <v>3624</v>
      </c>
      <c r="B289" s="19" t="str">
        <f t="shared" si="189"/>
        <v>SFA</v>
      </c>
      <c r="C289" s="18"/>
      <c r="D289" s="15">
        <v>2011</v>
      </c>
      <c r="E289" s="21">
        <v>0.55299999999999994</v>
      </c>
      <c r="F289" s="14">
        <v>9507.3333333333339</v>
      </c>
      <c r="G289" s="28">
        <v>3932.9399999999569</v>
      </c>
      <c r="H289" s="15">
        <v>273</v>
      </c>
      <c r="I289" s="13">
        <v>42</v>
      </c>
      <c r="J289" s="16">
        <v>1513</v>
      </c>
      <c r="K289" s="30">
        <v>2605</v>
      </c>
      <c r="L289" s="29">
        <v>2125</v>
      </c>
      <c r="M289" s="28">
        <v>1473</v>
      </c>
    </row>
    <row r="290" spans="1:14" outlineLevel="1" x14ac:dyDescent="0.2">
      <c r="A290" s="20">
        <f t="shared" si="189"/>
        <v>3642</v>
      </c>
      <c r="B290" s="19" t="str">
        <f t="shared" si="189"/>
        <v>TSU</v>
      </c>
      <c r="C290" s="18"/>
      <c r="D290" s="15">
        <v>737</v>
      </c>
      <c r="E290" s="21">
        <v>0.14099999999999999</v>
      </c>
      <c r="F290" s="14">
        <v>5767.1333333333332</v>
      </c>
      <c r="G290" s="28">
        <v>1478.8299999999929</v>
      </c>
      <c r="H290" s="15">
        <v>154</v>
      </c>
      <c r="I290" s="13">
        <v>5</v>
      </c>
      <c r="J290" s="16">
        <v>641</v>
      </c>
      <c r="K290" s="30">
        <v>1349</v>
      </c>
      <c r="L290" s="29">
        <v>988</v>
      </c>
      <c r="M290" s="28">
        <v>760</v>
      </c>
    </row>
    <row r="291" spans="1:14" outlineLevel="1" x14ac:dyDescent="0.2">
      <c r="A291" s="20">
        <f t="shared" si="189"/>
        <v>3644</v>
      </c>
      <c r="B291" s="19" t="str">
        <f t="shared" si="189"/>
        <v>TTU</v>
      </c>
      <c r="C291" s="18"/>
      <c r="D291" s="15">
        <v>4941</v>
      </c>
      <c r="E291" s="21">
        <v>0.73599999999999999</v>
      </c>
      <c r="F291" s="14">
        <v>22627.599999999999</v>
      </c>
      <c r="G291" s="28">
        <v>10741.019999999262</v>
      </c>
      <c r="H291" s="15">
        <v>839</v>
      </c>
      <c r="I291" s="13">
        <v>67</v>
      </c>
      <c r="J291" s="16">
        <v>3071</v>
      </c>
      <c r="K291" s="30">
        <v>6449</v>
      </c>
      <c r="L291" s="29">
        <v>5332</v>
      </c>
      <c r="M291" s="28">
        <v>4048</v>
      </c>
    </row>
    <row r="292" spans="1:14" outlineLevel="1" x14ac:dyDescent="0.2">
      <c r="A292" s="20">
        <f t="shared" si="189"/>
        <v>3541</v>
      </c>
      <c r="B292" s="19" t="str">
        <f t="shared" si="189"/>
        <v>Angelo</v>
      </c>
      <c r="C292" s="18"/>
      <c r="D292" s="15">
        <v>1073</v>
      </c>
      <c r="E292" s="21">
        <v>0.40799999999999997</v>
      </c>
      <c r="F292" s="14">
        <v>4921.333333333333</v>
      </c>
      <c r="G292" s="28">
        <v>2141.5100000000025</v>
      </c>
      <c r="H292" s="15">
        <v>304</v>
      </c>
      <c r="I292" s="13">
        <v>19</v>
      </c>
      <c r="J292" s="16">
        <v>773</v>
      </c>
      <c r="K292" s="30">
        <v>1398</v>
      </c>
      <c r="L292" s="29">
        <v>1022</v>
      </c>
      <c r="M292" s="28">
        <v>707</v>
      </c>
    </row>
    <row r="293" spans="1:14" outlineLevel="1" x14ac:dyDescent="0.2">
      <c r="A293" s="20">
        <f t="shared" ref="A293:B298" si="190">A251</f>
        <v>3646</v>
      </c>
      <c r="B293" s="19" t="str">
        <f t="shared" si="190"/>
        <v>TWU</v>
      </c>
      <c r="C293" s="18"/>
      <c r="D293" s="15">
        <v>1919</v>
      </c>
      <c r="E293" s="21">
        <v>0.54200000000000004</v>
      </c>
      <c r="F293" s="14">
        <v>6999.5333333333338</v>
      </c>
      <c r="G293" s="28">
        <v>3704.3199999999606</v>
      </c>
      <c r="H293" s="15">
        <v>571</v>
      </c>
      <c r="I293" s="13">
        <v>30</v>
      </c>
      <c r="J293" s="16">
        <v>1326</v>
      </c>
      <c r="K293" s="30">
        <v>2425</v>
      </c>
      <c r="L293" s="29">
        <v>1247</v>
      </c>
      <c r="M293" s="28">
        <v>703</v>
      </c>
    </row>
    <row r="294" spans="1:14" outlineLevel="1" x14ac:dyDescent="0.2">
      <c r="A294" s="20">
        <f t="shared" si="190"/>
        <v>3581</v>
      </c>
      <c r="B294" s="19" t="str">
        <f t="shared" si="190"/>
        <v>Lamar</v>
      </c>
      <c r="C294" s="18"/>
      <c r="D294" s="15">
        <v>1380</v>
      </c>
      <c r="E294" s="21">
        <v>0.35899999999999999</v>
      </c>
      <c r="F294" s="14">
        <v>7404.4666666666662</v>
      </c>
      <c r="G294" s="28">
        <v>2721.5300000000057</v>
      </c>
      <c r="H294" s="15">
        <v>318</v>
      </c>
      <c r="I294" s="13">
        <v>18</v>
      </c>
      <c r="J294" s="16">
        <v>995</v>
      </c>
      <c r="K294" s="30">
        <v>2074</v>
      </c>
      <c r="L294" s="29">
        <v>1486</v>
      </c>
      <c r="M294" s="28">
        <v>1002</v>
      </c>
    </row>
    <row r="295" spans="1:14" outlineLevel="1" x14ac:dyDescent="0.2">
      <c r="A295" s="20">
        <f t="shared" si="190"/>
        <v>3606</v>
      </c>
      <c r="B295" s="19" t="str">
        <f t="shared" si="190"/>
        <v>SHSU</v>
      </c>
      <c r="C295" s="18"/>
      <c r="D295" s="15">
        <v>2978</v>
      </c>
      <c r="E295" s="21">
        <v>0.57799999999999996</v>
      </c>
      <c r="F295" s="14">
        <v>12574.466666666667</v>
      </c>
      <c r="G295" s="28">
        <v>5694.020000000286</v>
      </c>
      <c r="H295" s="15">
        <v>172</v>
      </c>
      <c r="I295" s="13">
        <v>51</v>
      </c>
      <c r="J295" s="16">
        <v>2163</v>
      </c>
      <c r="K295" s="30">
        <v>3894</v>
      </c>
      <c r="L295" s="29">
        <v>2915</v>
      </c>
      <c r="M295" s="28">
        <v>1704</v>
      </c>
    </row>
    <row r="296" spans="1:14" outlineLevel="1" x14ac:dyDescent="0.2">
      <c r="A296" s="20">
        <f t="shared" si="190"/>
        <v>3615</v>
      </c>
      <c r="B296" s="19" t="str">
        <f t="shared" si="190"/>
        <v>TXST</v>
      </c>
      <c r="C296" s="18"/>
      <c r="D296" s="15">
        <v>5435</v>
      </c>
      <c r="E296" s="21">
        <v>0.61399999999999999</v>
      </c>
      <c r="F296" s="14">
        <v>24028</v>
      </c>
      <c r="G296" s="28">
        <v>10677.06999999951</v>
      </c>
      <c r="H296" s="15">
        <v>582</v>
      </c>
      <c r="I296" s="13">
        <v>67</v>
      </c>
      <c r="J296" s="16">
        <v>3816</v>
      </c>
      <c r="K296" s="30">
        <v>7425</v>
      </c>
      <c r="L296" s="29">
        <v>5561</v>
      </c>
      <c r="M296" s="28">
        <v>3333</v>
      </c>
    </row>
    <row r="297" spans="1:14" outlineLevel="1" x14ac:dyDescent="0.2">
      <c r="A297" s="20">
        <f t="shared" si="190"/>
        <v>3625</v>
      </c>
      <c r="B297" s="19" t="str">
        <f t="shared" si="190"/>
        <v>SRSU</v>
      </c>
      <c r="C297" s="18"/>
      <c r="D297" s="15">
        <v>191</v>
      </c>
      <c r="E297" s="21">
        <v>0.32600000000000001</v>
      </c>
      <c r="F297" s="14">
        <v>1229</v>
      </c>
      <c r="G297" s="28">
        <v>409.0499999999999</v>
      </c>
      <c r="H297" s="15">
        <v>10</v>
      </c>
      <c r="I297" s="13">
        <v>5</v>
      </c>
      <c r="J297" s="16">
        <v>167</v>
      </c>
      <c r="K297" s="30">
        <v>284</v>
      </c>
      <c r="L297" s="29">
        <v>188</v>
      </c>
      <c r="M297" s="28">
        <v>144</v>
      </c>
      <c r="N297" s="156"/>
    </row>
    <row r="298" spans="1:14" outlineLevel="1" x14ac:dyDescent="0.2">
      <c r="A298" s="20">
        <f t="shared" si="190"/>
        <v>20</v>
      </c>
      <c r="B298" s="19" t="str">
        <f t="shared" si="190"/>
        <v>SRRG</v>
      </c>
      <c r="C298" s="18"/>
      <c r="D298" s="15">
        <v>154</v>
      </c>
      <c r="E298" s="17">
        <v>0.25423728813559321</v>
      </c>
      <c r="F298" s="14">
        <v>436.8</v>
      </c>
      <c r="G298" s="28">
        <v>268.06000000000023</v>
      </c>
      <c r="H298" s="15">
        <v>6</v>
      </c>
      <c r="I298" s="13">
        <v>1</v>
      </c>
      <c r="J298" s="16">
        <v>138</v>
      </c>
      <c r="K298" s="30">
        <v>215</v>
      </c>
      <c r="L298" s="29">
        <v>91</v>
      </c>
      <c r="M298" s="28">
        <v>6</v>
      </c>
    </row>
    <row r="299" spans="1:14" ht="13.5" outlineLevel="1" thickBot="1" x14ac:dyDescent="0.25">
      <c r="A299" s="12"/>
      <c r="B299" s="11" t="s">
        <v>11</v>
      </c>
      <c r="C299" s="10"/>
      <c r="D299" s="9">
        <f>SUM(D261:D298)</f>
        <v>87062</v>
      </c>
      <c r="E299" s="8">
        <v>0.58700000000000008</v>
      </c>
      <c r="F299" s="7">
        <f t="shared" ref="F299:M299" si="191">SUM(F261:F298)</f>
        <v>359610.06666666665</v>
      </c>
      <c r="G299" s="3">
        <f t="shared" si="191"/>
        <v>180161.28999999876</v>
      </c>
      <c r="H299" s="5">
        <f t="shared" si="191"/>
        <v>15629</v>
      </c>
      <c r="I299" s="3">
        <f t="shared" si="191"/>
        <v>1267</v>
      </c>
      <c r="J299" s="6">
        <f t="shared" si="191"/>
        <v>56968</v>
      </c>
      <c r="K299" s="5">
        <f t="shared" si="191"/>
        <v>113504</v>
      </c>
      <c r="L299" s="4">
        <f t="shared" si="191"/>
        <v>81268</v>
      </c>
      <c r="M299" s="3">
        <f t="shared" si="191"/>
        <v>50077</v>
      </c>
    </row>
    <row r="300" spans="1:14" ht="13.5" thickBot="1" x14ac:dyDescent="0.25">
      <c r="A300" s="42" t="s">
        <v>26</v>
      </c>
      <c r="B300" s="42"/>
      <c r="C300" s="42"/>
      <c r="D300" s="42"/>
      <c r="F300" s="42"/>
      <c r="J300" s="42"/>
    </row>
    <row r="301" spans="1:14" ht="12.75" customHeight="1" outlineLevel="1" x14ac:dyDescent="0.2">
      <c r="A301" s="234" t="s">
        <v>24</v>
      </c>
      <c r="B301" s="236" t="s">
        <v>23</v>
      </c>
      <c r="C301" s="238"/>
      <c r="D301" s="240" t="s">
        <v>22</v>
      </c>
      <c r="E301" s="242" t="s">
        <v>21</v>
      </c>
      <c r="F301" s="236" t="s">
        <v>20</v>
      </c>
      <c r="G301" s="221" t="s">
        <v>19</v>
      </c>
      <c r="H301" s="223" t="s">
        <v>18</v>
      </c>
      <c r="I301" s="225" t="s">
        <v>17</v>
      </c>
      <c r="J301" s="227" t="s">
        <v>16</v>
      </c>
      <c r="K301" s="229" t="s">
        <v>15</v>
      </c>
      <c r="L301" s="230"/>
      <c r="M301" s="231"/>
    </row>
    <row r="302" spans="1:14" s="41" customFormat="1" ht="40.5" customHeight="1" outlineLevel="1" thickBot="1" x14ac:dyDescent="0.25">
      <c r="A302" s="273"/>
      <c r="B302" s="270"/>
      <c r="C302" s="274"/>
      <c r="D302" s="275"/>
      <c r="E302" s="276"/>
      <c r="F302" s="270"/>
      <c r="G302" s="271"/>
      <c r="H302" s="272"/>
      <c r="I302" s="265"/>
      <c r="J302" s="266"/>
      <c r="K302" s="125" t="s">
        <v>14</v>
      </c>
      <c r="L302" s="126" t="s">
        <v>13</v>
      </c>
      <c r="M302" s="135" t="s">
        <v>12</v>
      </c>
      <c r="N302" s="154"/>
    </row>
    <row r="303" spans="1:14" outlineLevel="1" x14ac:dyDescent="0.2">
      <c r="A303" s="40">
        <f t="shared" ref="A303:B318" si="192">A261</f>
        <v>3656</v>
      </c>
      <c r="B303" s="39" t="str">
        <f t="shared" si="192"/>
        <v>UTA</v>
      </c>
      <c r="C303" s="38"/>
      <c r="D303" s="33">
        <v>5103</v>
      </c>
      <c r="E303" s="37">
        <v>0.49299999999999999</v>
      </c>
      <c r="F303" s="32">
        <v>17372</v>
      </c>
      <c r="G303" s="31">
        <v>10527.860000000002</v>
      </c>
      <c r="H303" s="36">
        <v>1620</v>
      </c>
      <c r="I303" s="35">
        <v>26</v>
      </c>
      <c r="J303" s="34">
        <v>3158</v>
      </c>
      <c r="K303" s="33">
        <v>6986</v>
      </c>
      <c r="L303" s="32">
        <v>3903</v>
      </c>
      <c r="M303" s="31">
        <v>1733</v>
      </c>
    </row>
    <row r="304" spans="1:14" outlineLevel="1" x14ac:dyDescent="0.2">
      <c r="A304" s="20">
        <f t="shared" si="192"/>
        <v>3658</v>
      </c>
      <c r="B304" s="19" t="str">
        <f t="shared" si="192"/>
        <v>UT</v>
      </c>
      <c r="C304" s="18"/>
      <c r="D304" s="15">
        <v>9027</v>
      </c>
      <c r="E304" s="21">
        <v>0.83299999999999996</v>
      </c>
      <c r="F304" s="14">
        <v>33709.866666666669</v>
      </c>
      <c r="G304" s="13">
        <v>19422.050000001858</v>
      </c>
      <c r="H304" s="15">
        <v>1894</v>
      </c>
      <c r="I304" s="13">
        <v>60</v>
      </c>
      <c r="J304" s="16">
        <v>3475</v>
      </c>
      <c r="K304" s="15">
        <v>9939</v>
      </c>
      <c r="L304" s="14">
        <v>8895</v>
      </c>
      <c r="M304" s="13">
        <v>7485</v>
      </c>
    </row>
    <row r="305" spans="1:13" outlineLevel="1" x14ac:dyDescent="0.2">
      <c r="A305" s="20">
        <f t="shared" si="192"/>
        <v>9741</v>
      </c>
      <c r="B305" s="19" t="str">
        <f t="shared" si="192"/>
        <v>UTD</v>
      </c>
      <c r="C305" s="18"/>
      <c r="D305" s="15">
        <v>2314</v>
      </c>
      <c r="E305" s="21">
        <v>0.68299999999999994</v>
      </c>
      <c r="F305" s="14">
        <v>8822.2000000000007</v>
      </c>
      <c r="G305" s="13">
        <v>4904.1700000000228</v>
      </c>
      <c r="H305" s="15">
        <v>424</v>
      </c>
      <c r="I305" s="13">
        <v>27</v>
      </c>
      <c r="J305" s="16">
        <v>1294</v>
      </c>
      <c r="K305" s="15">
        <v>3345</v>
      </c>
      <c r="L305" s="14">
        <v>2105</v>
      </c>
      <c r="M305" s="13">
        <v>1076</v>
      </c>
    </row>
    <row r="306" spans="1:13" outlineLevel="1" x14ac:dyDescent="0.2">
      <c r="A306" s="20">
        <f t="shared" si="192"/>
        <v>3661</v>
      </c>
      <c r="B306" s="19" t="str">
        <f t="shared" si="192"/>
        <v>UTEP</v>
      </c>
      <c r="C306" s="18"/>
      <c r="D306" s="15">
        <v>3008</v>
      </c>
      <c r="E306" s="21">
        <v>0.38400000000000001</v>
      </c>
      <c r="F306" s="14">
        <v>13376</v>
      </c>
      <c r="G306" s="13">
        <v>6142.7200000000885</v>
      </c>
      <c r="H306" s="15">
        <v>613</v>
      </c>
      <c r="I306" s="13">
        <v>91</v>
      </c>
      <c r="J306" s="16">
        <v>2409</v>
      </c>
      <c r="K306" s="15">
        <v>4488</v>
      </c>
      <c r="L306" s="14">
        <v>3404</v>
      </c>
      <c r="M306" s="13">
        <v>1910</v>
      </c>
    </row>
    <row r="307" spans="1:13" outlineLevel="1" x14ac:dyDescent="0.2">
      <c r="A307" s="20">
        <f t="shared" si="192"/>
        <v>3599</v>
      </c>
      <c r="B307" s="19" t="str">
        <f t="shared" si="192"/>
        <v>UTPA</v>
      </c>
      <c r="C307" s="18"/>
      <c r="D307" s="15">
        <v>2658</v>
      </c>
      <c r="E307" s="21">
        <v>0.46399999999999997</v>
      </c>
      <c r="F307" s="14">
        <v>12499.266666666666</v>
      </c>
      <c r="G307" s="13">
        <v>5231.3300000001427</v>
      </c>
      <c r="H307" s="15">
        <v>534</v>
      </c>
      <c r="I307" s="13">
        <v>34</v>
      </c>
      <c r="J307" s="16">
        <v>2427</v>
      </c>
      <c r="K307" s="15">
        <v>4142</v>
      </c>
      <c r="L307" s="14">
        <v>3290</v>
      </c>
      <c r="M307" s="13">
        <v>1998</v>
      </c>
    </row>
    <row r="308" spans="1:13" outlineLevel="1" x14ac:dyDescent="0.2">
      <c r="A308" s="20">
        <f t="shared" si="192"/>
        <v>30646</v>
      </c>
      <c r="B308" s="19" t="str">
        <f t="shared" si="192"/>
        <v>UTB</v>
      </c>
      <c r="C308" s="18"/>
      <c r="D308" s="15">
        <v>1075</v>
      </c>
      <c r="E308" s="17">
        <v>0.55124653739612184</v>
      </c>
      <c r="F308" s="14">
        <v>3116.2</v>
      </c>
      <c r="G308" s="13">
        <v>2052.0600000000218</v>
      </c>
      <c r="H308" s="15">
        <v>132</v>
      </c>
      <c r="I308" s="13">
        <v>15</v>
      </c>
      <c r="J308" s="16">
        <v>916</v>
      </c>
      <c r="K308" s="15">
        <v>1359</v>
      </c>
      <c r="L308" s="14">
        <v>600</v>
      </c>
      <c r="M308" s="13">
        <v>131</v>
      </c>
    </row>
    <row r="309" spans="1:13" outlineLevel="1" x14ac:dyDescent="0.2">
      <c r="A309" s="20">
        <f t="shared" si="192"/>
        <v>9930</v>
      </c>
      <c r="B309" s="19" t="str">
        <f t="shared" si="192"/>
        <v>UTPB</v>
      </c>
      <c r="C309" s="18"/>
      <c r="D309" s="15">
        <v>541</v>
      </c>
      <c r="E309" s="21">
        <v>0.40700000000000003</v>
      </c>
      <c r="F309" s="14">
        <v>2416</v>
      </c>
      <c r="G309" s="13">
        <v>1005.1500000000051</v>
      </c>
      <c r="H309" s="15">
        <v>40</v>
      </c>
      <c r="I309" s="13">
        <v>10</v>
      </c>
      <c r="J309" s="16">
        <v>407</v>
      </c>
      <c r="K309" s="15">
        <v>908</v>
      </c>
      <c r="L309" s="14">
        <v>490</v>
      </c>
      <c r="M309" s="13">
        <v>191</v>
      </c>
    </row>
    <row r="310" spans="1:13" outlineLevel="1" x14ac:dyDescent="0.2">
      <c r="A310" s="20">
        <f t="shared" si="192"/>
        <v>10115</v>
      </c>
      <c r="B310" s="19" t="str">
        <f t="shared" si="192"/>
        <v>UTSA</v>
      </c>
      <c r="C310" s="18"/>
      <c r="D310" s="15">
        <v>4148</v>
      </c>
      <c r="E310" s="21">
        <v>0.39400000000000002</v>
      </c>
      <c r="F310" s="14">
        <v>20284.733333333334</v>
      </c>
      <c r="G310" s="13">
        <v>8398.8499999997166</v>
      </c>
      <c r="H310" s="15">
        <v>394</v>
      </c>
      <c r="I310" s="13">
        <v>47</v>
      </c>
      <c r="J310" s="16">
        <v>3211</v>
      </c>
      <c r="K310" s="15">
        <v>6802</v>
      </c>
      <c r="L310" s="14">
        <v>4390</v>
      </c>
      <c r="M310" s="13">
        <v>2699</v>
      </c>
    </row>
    <row r="311" spans="1:13" outlineLevel="1" x14ac:dyDescent="0.2">
      <c r="A311" s="20">
        <f t="shared" si="192"/>
        <v>11163</v>
      </c>
      <c r="B311" s="19" t="str">
        <f t="shared" si="192"/>
        <v>UTT</v>
      </c>
      <c r="C311" s="18"/>
      <c r="D311" s="15">
        <v>1188</v>
      </c>
      <c r="E311" s="21">
        <v>0.53300000000000003</v>
      </c>
      <c r="F311" s="14">
        <v>4030.7333333333331</v>
      </c>
      <c r="G311" s="13">
        <v>2364.9800000000037</v>
      </c>
      <c r="H311" s="15">
        <v>366</v>
      </c>
      <c r="I311" s="13">
        <v>9</v>
      </c>
      <c r="J311" s="16">
        <v>939</v>
      </c>
      <c r="K311" s="15">
        <v>1496</v>
      </c>
      <c r="L311" s="14">
        <v>905</v>
      </c>
      <c r="M311" s="13">
        <v>401</v>
      </c>
    </row>
    <row r="312" spans="1:13" outlineLevel="1" x14ac:dyDescent="0.2">
      <c r="A312" s="20">
        <f t="shared" si="192"/>
        <v>3632</v>
      </c>
      <c r="B312" s="19" t="str">
        <f t="shared" si="192"/>
        <v>TAMU</v>
      </c>
      <c r="C312" s="18"/>
      <c r="D312" s="15">
        <v>8748</v>
      </c>
      <c r="E312" s="21">
        <v>0.84399999999999997</v>
      </c>
      <c r="F312" s="14">
        <v>34425.133333333331</v>
      </c>
      <c r="G312" s="13">
        <v>20060.050000001262</v>
      </c>
      <c r="H312" s="15">
        <v>1775</v>
      </c>
      <c r="I312" s="13">
        <v>133</v>
      </c>
      <c r="J312" s="16">
        <v>3727</v>
      </c>
      <c r="K312" s="15">
        <v>9623</v>
      </c>
      <c r="L312" s="14">
        <v>8962</v>
      </c>
      <c r="M312" s="13">
        <v>6823</v>
      </c>
    </row>
    <row r="313" spans="1:13" outlineLevel="1" x14ac:dyDescent="0.2">
      <c r="A313" s="20">
        <f t="shared" si="192"/>
        <v>10298</v>
      </c>
      <c r="B313" s="19" t="str">
        <f t="shared" si="192"/>
        <v>TAMUG</v>
      </c>
      <c r="C313" s="18"/>
      <c r="D313" s="15">
        <v>250</v>
      </c>
      <c r="E313" s="21">
        <v>0.66400000000000003</v>
      </c>
      <c r="F313" s="14">
        <v>1668.1333333333334</v>
      </c>
      <c r="G313" s="13">
        <v>648.89999999999895</v>
      </c>
      <c r="H313" s="15">
        <v>35</v>
      </c>
      <c r="I313" s="13">
        <v>0</v>
      </c>
      <c r="J313" s="16">
        <v>151</v>
      </c>
      <c r="K313" s="15">
        <v>600</v>
      </c>
      <c r="L313" s="14">
        <v>336</v>
      </c>
      <c r="M313" s="13">
        <v>234</v>
      </c>
    </row>
    <row r="314" spans="1:13" outlineLevel="1" x14ac:dyDescent="0.2">
      <c r="A314" s="20">
        <f t="shared" si="192"/>
        <v>3630</v>
      </c>
      <c r="B314" s="19" t="str">
        <f t="shared" si="192"/>
        <v>Prairie View</v>
      </c>
      <c r="C314" s="18"/>
      <c r="D314" s="15">
        <v>904</v>
      </c>
      <c r="E314" s="21">
        <v>0.37</v>
      </c>
      <c r="F314" s="46">
        <v>6088.2666666666664</v>
      </c>
      <c r="G314" s="13">
        <v>1934.240000000003</v>
      </c>
      <c r="H314" s="15">
        <v>279</v>
      </c>
      <c r="I314" s="13">
        <v>10</v>
      </c>
      <c r="J314" s="16">
        <v>775</v>
      </c>
      <c r="K314" s="15">
        <v>1660</v>
      </c>
      <c r="L314" s="14">
        <v>1237</v>
      </c>
      <c r="M314" s="13">
        <v>905</v>
      </c>
    </row>
    <row r="315" spans="1:13" outlineLevel="1" x14ac:dyDescent="0.2">
      <c r="A315" s="20">
        <f t="shared" si="192"/>
        <v>3631</v>
      </c>
      <c r="B315" s="19" t="str">
        <f t="shared" si="192"/>
        <v>Tarleton</v>
      </c>
      <c r="C315" s="18"/>
      <c r="D315" s="15">
        <v>1552</v>
      </c>
      <c r="E315" s="21">
        <v>0.48299999999999998</v>
      </c>
      <c r="F315" s="46">
        <v>6264.4666666666662</v>
      </c>
      <c r="G315" s="13">
        <v>3063.9600000000341</v>
      </c>
      <c r="H315" s="15">
        <v>197</v>
      </c>
      <c r="I315" s="45">
        <v>56</v>
      </c>
      <c r="J315" s="16">
        <v>1196</v>
      </c>
      <c r="K315" s="47">
        <v>2096</v>
      </c>
      <c r="L315" s="46">
        <v>1464</v>
      </c>
      <c r="M315" s="45">
        <v>840</v>
      </c>
    </row>
    <row r="316" spans="1:13" outlineLevel="1" x14ac:dyDescent="0.2">
      <c r="A316" s="27">
        <f t="shared" si="192"/>
        <v>103631</v>
      </c>
      <c r="B316" s="19" t="str">
        <f t="shared" si="192"/>
        <v>TAMUCT</v>
      </c>
      <c r="C316" s="18"/>
      <c r="D316" s="15">
        <v>462</v>
      </c>
      <c r="E316" s="21">
        <v>0.48299999999999998</v>
      </c>
      <c r="F316" s="46">
        <v>700.66666666666663</v>
      </c>
      <c r="G316" s="13">
        <v>846.68000000000006</v>
      </c>
      <c r="H316" s="15">
        <v>36</v>
      </c>
      <c r="I316" s="45">
        <v>0</v>
      </c>
      <c r="J316" s="16">
        <v>330</v>
      </c>
      <c r="K316" s="47">
        <v>555</v>
      </c>
      <c r="L316" s="46">
        <v>143</v>
      </c>
      <c r="M316" s="45">
        <v>66</v>
      </c>
    </row>
    <row r="317" spans="1:13" outlineLevel="1" x14ac:dyDescent="0.2">
      <c r="A317" s="20">
        <f t="shared" si="192"/>
        <v>11161</v>
      </c>
      <c r="B317" s="19" t="str">
        <f t="shared" si="192"/>
        <v>TAMUCC</v>
      </c>
      <c r="C317" s="18"/>
      <c r="D317" s="15">
        <v>1315</v>
      </c>
      <c r="E317" s="21">
        <v>0.51100000000000001</v>
      </c>
      <c r="F317" s="46">
        <v>6609.8666666666668</v>
      </c>
      <c r="G317" s="13">
        <v>2639.1300000000101</v>
      </c>
      <c r="H317" s="15">
        <v>252</v>
      </c>
      <c r="I317" s="45">
        <v>25</v>
      </c>
      <c r="J317" s="16">
        <v>1034</v>
      </c>
      <c r="K317" s="15">
        <v>2126</v>
      </c>
      <c r="L317" s="14">
        <v>1577</v>
      </c>
      <c r="M317" s="13">
        <v>864</v>
      </c>
    </row>
    <row r="318" spans="1:13" outlineLevel="1" x14ac:dyDescent="0.2">
      <c r="A318" s="20">
        <f t="shared" si="192"/>
        <v>3639</v>
      </c>
      <c r="B318" s="19" t="str">
        <f t="shared" si="192"/>
        <v>TAMUK</v>
      </c>
      <c r="C318" s="18"/>
      <c r="D318" s="15">
        <v>738</v>
      </c>
      <c r="E318" s="21">
        <v>0.39799999999999996</v>
      </c>
      <c r="F318" s="46">
        <v>4394.2</v>
      </c>
      <c r="G318" s="13">
        <v>1735.8600000000065</v>
      </c>
      <c r="H318" s="15">
        <v>246</v>
      </c>
      <c r="I318" s="45">
        <v>16</v>
      </c>
      <c r="J318" s="16">
        <v>613</v>
      </c>
      <c r="K318" s="47">
        <v>1180</v>
      </c>
      <c r="L318" s="46">
        <v>879</v>
      </c>
      <c r="M318" s="45">
        <v>555</v>
      </c>
    </row>
    <row r="319" spans="1:13" outlineLevel="1" x14ac:dyDescent="0.2">
      <c r="A319" s="27">
        <f t="shared" ref="A319:B334" si="193">A277</f>
        <v>103639</v>
      </c>
      <c r="B319" s="19" t="str">
        <f t="shared" si="193"/>
        <v>TAMUSA</v>
      </c>
      <c r="C319" s="18"/>
      <c r="D319" s="15">
        <v>620</v>
      </c>
      <c r="E319" s="21">
        <v>0.39799999999999996</v>
      </c>
      <c r="F319" s="46">
        <v>1492.4</v>
      </c>
      <c r="G319" s="13">
        <v>1078.0000000000073</v>
      </c>
      <c r="H319" s="15">
        <v>1</v>
      </c>
      <c r="I319" s="45">
        <v>0</v>
      </c>
      <c r="J319" s="16">
        <v>520</v>
      </c>
      <c r="K319" s="47">
        <v>995</v>
      </c>
      <c r="L319" s="46">
        <v>37</v>
      </c>
      <c r="M319" s="45">
        <v>2</v>
      </c>
    </row>
    <row r="320" spans="1:13" outlineLevel="1" x14ac:dyDescent="0.2">
      <c r="A320" s="20">
        <f t="shared" si="193"/>
        <v>9651</v>
      </c>
      <c r="B320" s="19" t="str">
        <f t="shared" si="193"/>
        <v>TAMI</v>
      </c>
      <c r="C320" s="18"/>
      <c r="D320" s="15">
        <v>766</v>
      </c>
      <c r="E320" s="21">
        <v>0.503</v>
      </c>
      <c r="F320" s="14">
        <v>4126.8</v>
      </c>
      <c r="G320" s="13">
        <v>1400.4200000000046</v>
      </c>
      <c r="H320" s="15">
        <v>120</v>
      </c>
      <c r="I320" s="13">
        <v>18</v>
      </c>
      <c r="J320" s="16">
        <v>688</v>
      </c>
      <c r="K320" s="15">
        <v>1515</v>
      </c>
      <c r="L320" s="14">
        <v>1027</v>
      </c>
      <c r="M320" s="13">
        <v>486</v>
      </c>
    </row>
    <row r="321" spans="1:13" outlineLevel="1" x14ac:dyDescent="0.2">
      <c r="A321" s="20">
        <f t="shared" si="193"/>
        <v>3665</v>
      </c>
      <c r="B321" s="19" t="str">
        <f t="shared" si="193"/>
        <v>WTAMU</v>
      </c>
      <c r="C321" s="18"/>
      <c r="D321" s="15">
        <v>1294</v>
      </c>
      <c r="E321" s="21">
        <v>0.47399999999999998</v>
      </c>
      <c r="F321" s="14">
        <v>5457.666666666667</v>
      </c>
      <c r="G321" s="13">
        <v>2570.7800000000157</v>
      </c>
      <c r="H321" s="15">
        <v>184</v>
      </c>
      <c r="I321" s="13">
        <v>58</v>
      </c>
      <c r="J321" s="16">
        <v>913</v>
      </c>
      <c r="K321" s="15">
        <v>1871</v>
      </c>
      <c r="L321" s="14">
        <v>1264</v>
      </c>
      <c r="M321" s="13">
        <v>664</v>
      </c>
    </row>
    <row r="322" spans="1:13" outlineLevel="1" x14ac:dyDescent="0.2">
      <c r="A322" s="20">
        <f t="shared" si="193"/>
        <v>3565</v>
      </c>
      <c r="B322" s="19" t="str">
        <f t="shared" si="193"/>
        <v>TAMUC</v>
      </c>
      <c r="C322" s="18"/>
      <c r="D322" s="15">
        <v>1313</v>
      </c>
      <c r="E322" s="21">
        <v>0.42600000000000005</v>
      </c>
      <c r="F322" s="14">
        <v>4783.5333333333338</v>
      </c>
      <c r="G322" s="13">
        <v>2463.6900000000296</v>
      </c>
      <c r="H322" s="15">
        <v>71</v>
      </c>
      <c r="I322" s="13">
        <v>77</v>
      </c>
      <c r="J322" s="16">
        <v>1002</v>
      </c>
      <c r="K322" s="15">
        <v>1911</v>
      </c>
      <c r="L322" s="14">
        <v>1200</v>
      </c>
      <c r="M322" s="13">
        <v>477</v>
      </c>
    </row>
    <row r="323" spans="1:13" outlineLevel="1" x14ac:dyDescent="0.2">
      <c r="A323" s="20">
        <f t="shared" si="193"/>
        <v>29269</v>
      </c>
      <c r="B323" s="19" t="str">
        <f t="shared" si="193"/>
        <v>TAMUT</v>
      </c>
      <c r="C323" s="18"/>
      <c r="D323" s="15">
        <v>335</v>
      </c>
      <c r="E323" s="17">
        <v>0.56028368794326244</v>
      </c>
      <c r="F323" s="14">
        <v>879.13333333333333</v>
      </c>
      <c r="G323" s="13">
        <v>609.83000000000015</v>
      </c>
      <c r="H323" s="15">
        <v>48</v>
      </c>
      <c r="I323" s="13">
        <v>18</v>
      </c>
      <c r="J323" s="16">
        <v>230</v>
      </c>
      <c r="K323" s="15">
        <v>411</v>
      </c>
      <c r="L323" s="14">
        <v>186</v>
      </c>
      <c r="M323" s="13">
        <v>1</v>
      </c>
    </row>
    <row r="324" spans="1:13" outlineLevel="1" x14ac:dyDescent="0.2">
      <c r="A324" s="20">
        <f t="shared" si="193"/>
        <v>3652</v>
      </c>
      <c r="B324" s="19" t="str">
        <f t="shared" si="193"/>
        <v>UH</v>
      </c>
      <c r="C324" s="18"/>
      <c r="D324" s="15">
        <v>5092</v>
      </c>
      <c r="E324" s="21">
        <v>0.54200000000000004</v>
      </c>
      <c r="F324" s="14">
        <v>23853.933333333334</v>
      </c>
      <c r="G324" s="13">
        <v>10569.339999999527</v>
      </c>
      <c r="H324" s="15">
        <v>720</v>
      </c>
      <c r="I324" s="13">
        <v>74</v>
      </c>
      <c r="J324" s="16">
        <v>3340</v>
      </c>
      <c r="K324" s="15">
        <v>7467</v>
      </c>
      <c r="L324" s="14">
        <v>5804</v>
      </c>
      <c r="M324" s="13">
        <v>3314</v>
      </c>
    </row>
    <row r="325" spans="1:13" outlineLevel="1" x14ac:dyDescent="0.2">
      <c r="A325" s="20">
        <f t="shared" si="193"/>
        <v>11711</v>
      </c>
      <c r="B325" s="19" t="str">
        <f t="shared" si="193"/>
        <v>UHCL</v>
      </c>
      <c r="C325" s="18"/>
      <c r="D325" s="15">
        <v>1197</v>
      </c>
      <c r="E325" s="17">
        <v>0.53820033955857383</v>
      </c>
      <c r="F325" s="14">
        <v>3046.8</v>
      </c>
      <c r="G325" s="13">
        <v>2293.9500000000248</v>
      </c>
      <c r="H325" s="15">
        <v>113</v>
      </c>
      <c r="I325" s="13">
        <v>8</v>
      </c>
      <c r="J325" s="16">
        <v>777</v>
      </c>
      <c r="K325" s="15">
        <v>1434</v>
      </c>
      <c r="L325" s="14">
        <v>959</v>
      </c>
      <c r="M325" s="13">
        <v>53</v>
      </c>
    </row>
    <row r="326" spans="1:13" outlineLevel="1" x14ac:dyDescent="0.2">
      <c r="A326" s="20">
        <f t="shared" si="193"/>
        <v>12826</v>
      </c>
      <c r="B326" s="19" t="str">
        <f t="shared" si="193"/>
        <v>UHD</v>
      </c>
      <c r="C326" s="18"/>
      <c r="D326" s="15">
        <v>2437</v>
      </c>
      <c r="E326" s="21">
        <v>0.215</v>
      </c>
      <c r="F326" s="14">
        <v>7949.2666666666664</v>
      </c>
      <c r="G326" s="13">
        <v>4368.2100000000464</v>
      </c>
      <c r="H326" s="15">
        <v>143</v>
      </c>
      <c r="I326" s="13">
        <v>0</v>
      </c>
      <c r="J326" s="16">
        <v>1730</v>
      </c>
      <c r="K326" s="15">
        <v>3223</v>
      </c>
      <c r="L326" s="14">
        <v>1896</v>
      </c>
      <c r="M326" s="13">
        <v>618</v>
      </c>
    </row>
    <row r="327" spans="1:13" outlineLevel="1" x14ac:dyDescent="0.2">
      <c r="A327" s="20">
        <f t="shared" si="193"/>
        <v>13231</v>
      </c>
      <c r="B327" s="19" t="str">
        <f t="shared" si="193"/>
        <v>UHV</v>
      </c>
      <c r="C327" s="18"/>
      <c r="D327" s="15">
        <v>596</v>
      </c>
      <c r="E327" s="17">
        <v>0.5339366515837104</v>
      </c>
      <c r="F327" s="14">
        <v>1494.2</v>
      </c>
      <c r="G327" s="13">
        <v>1103.6999999999998</v>
      </c>
      <c r="H327" s="15">
        <v>118</v>
      </c>
      <c r="I327" s="13">
        <v>11</v>
      </c>
      <c r="J327" s="16">
        <v>397</v>
      </c>
      <c r="K327" s="15">
        <v>718</v>
      </c>
      <c r="L327" s="14">
        <v>286</v>
      </c>
      <c r="M327" s="13">
        <v>6</v>
      </c>
    </row>
    <row r="328" spans="1:13" outlineLevel="1" x14ac:dyDescent="0.2">
      <c r="A328" s="20">
        <f t="shared" si="193"/>
        <v>3592</v>
      </c>
      <c r="B328" s="19" t="str">
        <f t="shared" si="193"/>
        <v>Midwestern</v>
      </c>
      <c r="C328" s="18"/>
      <c r="D328" s="15">
        <v>1027</v>
      </c>
      <c r="E328" s="21">
        <v>0.443</v>
      </c>
      <c r="F328" s="14">
        <v>4387.7333333333336</v>
      </c>
      <c r="G328" s="13">
        <v>1924.84</v>
      </c>
      <c r="H328" s="15">
        <v>340</v>
      </c>
      <c r="I328" s="13">
        <v>11</v>
      </c>
      <c r="J328" s="16">
        <v>675</v>
      </c>
      <c r="K328" s="15">
        <v>1507</v>
      </c>
      <c r="L328" s="14">
        <v>1079</v>
      </c>
      <c r="M328" s="13">
        <v>734</v>
      </c>
    </row>
    <row r="329" spans="1:13" outlineLevel="1" x14ac:dyDescent="0.2">
      <c r="A329" s="20">
        <f t="shared" si="193"/>
        <v>3594</v>
      </c>
      <c r="B329" s="19" t="str">
        <f t="shared" si="193"/>
        <v>UNT</v>
      </c>
      <c r="C329" s="18"/>
      <c r="D329" s="15">
        <v>6183</v>
      </c>
      <c r="E329" s="21">
        <v>0.58700000000000008</v>
      </c>
      <c r="F329" s="14">
        <v>23168.733333333334</v>
      </c>
      <c r="G329" s="13">
        <v>11731.089999999795</v>
      </c>
      <c r="H329" s="15">
        <v>345</v>
      </c>
      <c r="I329" s="13">
        <v>47</v>
      </c>
      <c r="J329" s="16">
        <v>3942</v>
      </c>
      <c r="K329" s="15">
        <v>7957</v>
      </c>
      <c r="L329" s="14">
        <v>5891</v>
      </c>
      <c r="M329" s="13">
        <v>3310</v>
      </c>
    </row>
    <row r="330" spans="1:13" outlineLevel="1" x14ac:dyDescent="0.2">
      <c r="A330" s="27">
        <f t="shared" si="193"/>
        <v>113594</v>
      </c>
      <c r="B330" s="19" t="str">
        <f t="shared" si="193"/>
        <v>UNTD</v>
      </c>
      <c r="C330" s="18"/>
      <c r="D330" s="30">
        <v>388</v>
      </c>
      <c r="E330" s="44">
        <v>0.58700000000000008</v>
      </c>
      <c r="F330" s="29">
        <v>908.8</v>
      </c>
      <c r="G330" s="28">
        <v>669.60000000000036</v>
      </c>
      <c r="H330" s="30">
        <v>10</v>
      </c>
      <c r="I330" s="28"/>
      <c r="J330" s="43">
        <v>304</v>
      </c>
      <c r="K330" s="30">
        <v>487</v>
      </c>
      <c r="L330" s="29">
        <v>63</v>
      </c>
      <c r="M330" s="28">
        <v>18</v>
      </c>
    </row>
    <row r="331" spans="1:13" outlineLevel="1" x14ac:dyDescent="0.2">
      <c r="A331" s="20">
        <f t="shared" si="193"/>
        <v>3624</v>
      </c>
      <c r="B331" s="19" t="str">
        <f t="shared" si="193"/>
        <v>SFA</v>
      </c>
      <c r="C331" s="18"/>
      <c r="D331" s="15">
        <v>1880</v>
      </c>
      <c r="E331" s="21">
        <v>0.53900000000000003</v>
      </c>
      <c r="F331" s="14">
        <v>9440.9333333333325</v>
      </c>
      <c r="G331" s="13">
        <v>3606.8600000000297</v>
      </c>
      <c r="H331" s="15">
        <v>241</v>
      </c>
      <c r="I331" s="13">
        <v>49</v>
      </c>
      <c r="J331" s="16">
        <v>1446</v>
      </c>
      <c r="K331" s="15">
        <v>3040</v>
      </c>
      <c r="L331" s="14">
        <v>2166</v>
      </c>
      <c r="M331" s="13">
        <v>1402</v>
      </c>
    </row>
    <row r="332" spans="1:13" outlineLevel="1" x14ac:dyDescent="0.2">
      <c r="A332" s="20">
        <f t="shared" si="193"/>
        <v>3642</v>
      </c>
      <c r="B332" s="19" t="str">
        <f t="shared" si="193"/>
        <v>TSU</v>
      </c>
      <c r="C332" s="18"/>
      <c r="D332" s="15">
        <v>721</v>
      </c>
      <c r="E332" s="21">
        <v>0.14099999999999999</v>
      </c>
      <c r="F332" s="14">
        <v>5912.8</v>
      </c>
      <c r="G332" s="13">
        <v>1385.6100000000063</v>
      </c>
      <c r="H332" s="15">
        <v>122</v>
      </c>
      <c r="I332" s="13">
        <v>2</v>
      </c>
      <c r="J332" s="16">
        <v>635</v>
      </c>
      <c r="K332" s="15">
        <v>1692</v>
      </c>
      <c r="L332" s="14">
        <v>1274</v>
      </c>
      <c r="M332" s="13">
        <v>870</v>
      </c>
    </row>
    <row r="333" spans="1:13" outlineLevel="1" x14ac:dyDescent="0.2">
      <c r="A333" s="20">
        <f t="shared" si="193"/>
        <v>3644</v>
      </c>
      <c r="B333" s="19" t="str">
        <f t="shared" si="193"/>
        <v>TTU</v>
      </c>
      <c r="C333" s="18"/>
      <c r="D333" s="15">
        <v>4605</v>
      </c>
      <c r="E333" s="21">
        <v>0.7320000000000001</v>
      </c>
      <c r="F333" s="14">
        <v>22527.466666666667</v>
      </c>
      <c r="G333" s="13">
        <v>9815.7899999997753</v>
      </c>
      <c r="H333" s="15">
        <v>687</v>
      </c>
      <c r="I333" s="13">
        <v>62</v>
      </c>
      <c r="J333" s="16">
        <v>2724</v>
      </c>
      <c r="K333" s="15">
        <v>6577</v>
      </c>
      <c r="L333" s="14">
        <v>5355</v>
      </c>
      <c r="M333" s="13">
        <v>3957</v>
      </c>
    </row>
    <row r="334" spans="1:13" outlineLevel="1" x14ac:dyDescent="0.2">
      <c r="A334" s="20">
        <f t="shared" si="193"/>
        <v>3541</v>
      </c>
      <c r="B334" s="19" t="str">
        <f t="shared" si="193"/>
        <v>Angelo</v>
      </c>
      <c r="C334" s="18"/>
      <c r="D334" s="15">
        <v>960</v>
      </c>
      <c r="E334" s="21">
        <v>0.441</v>
      </c>
      <c r="F334" s="14">
        <v>4895.666666666667</v>
      </c>
      <c r="G334" s="13">
        <v>1856.9499999999953</v>
      </c>
      <c r="H334" s="15">
        <v>242</v>
      </c>
      <c r="I334" s="13">
        <v>21</v>
      </c>
      <c r="J334" s="16">
        <v>720</v>
      </c>
      <c r="K334" s="15">
        <v>1444</v>
      </c>
      <c r="L334" s="14">
        <v>1071</v>
      </c>
      <c r="M334" s="13">
        <v>708</v>
      </c>
    </row>
    <row r="335" spans="1:13" outlineLevel="1" x14ac:dyDescent="0.2">
      <c r="A335" s="20">
        <f t="shared" ref="A335:B340" si="194">A293</f>
        <v>3646</v>
      </c>
      <c r="B335" s="19" t="str">
        <f t="shared" si="194"/>
        <v>TWU</v>
      </c>
      <c r="C335" s="18"/>
      <c r="D335" s="15">
        <v>1725</v>
      </c>
      <c r="E335" s="21">
        <v>0.48399999999999999</v>
      </c>
      <c r="F335" s="14">
        <v>6598.2</v>
      </c>
      <c r="G335" s="13">
        <v>3227.0100000000139</v>
      </c>
      <c r="H335" s="15">
        <v>523</v>
      </c>
      <c r="I335" s="13">
        <v>34</v>
      </c>
      <c r="J335" s="16">
        <v>1201</v>
      </c>
      <c r="K335" s="15">
        <v>2121</v>
      </c>
      <c r="L335" s="14">
        <v>1259</v>
      </c>
      <c r="M335" s="13">
        <v>608</v>
      </c>
    </row>
    <row r="336" spans="1:13" outlineLevel="1" x14ac:dyDescent="0.2">
      <c r="A336" s="20">
        <f t="shared" si="194"/>
        <v>3581</v>
      </c>
      <c r="B336" s="19" t="str">
        <f t="shared" si="194"/>
        <v>Lamar</v>
      </c>
      <c r="C336" s="18"/>
      <c r="D336" s="15">
        <v>1340</v>
      </c>
      <c r="E336" s="21">
        <v>0.35399999999999998</v>
      </c>
      <c r="F336" s="14">
        <v>7247.8</v>
      </c>
      <c r="G336" s="13">
        <v>2695.0800000000122</v>
      </c>
      <c r="H336" s="15">
        <v>358</v>
      </c>
      <c r="I336" s="13">
        <v>16</v>
      </c>
      <c r="J336" s="16">
        <v>943</v>
      </c>
      <c r="K336" s="15">
        <v>2317</v>
      </c>
      <c r="L336" s="14">
        <v>1577</v>
      </c>
      <c r="M336" s="13">
        <v>1000</v>
      </c>
    </row>
    <row r="337" spans="1:15" outlineLevel="1" x14ac:dyDescent="0.2">
      <c r="A337" s="20">
        <f t="shared" si="194"/>
        <v>3606</v>
      </c>
      <c r="B337" s="19" t="str">
        <f t="shared" si="194"/>
        <v>SHSU</v>
      </c>
      <c r="C337" s="18"/>
      <c r="D337" s="15">
        <v>3013</v>
      </c>
      <c r="E337" s="21">
        <v>0.60299999999999998</v>
      </c>
      <c r="F337" s="14">
        <v>12631.666666666666</v>
      </c>
      <c r="G337" s="13">
        <v>5628.5800000000427</v>
      </c>
      <c r="H337" s="15">
        <v>166</v>
      </c>
      <c r="I337" s="13">
        <v>63</v>
      </c>
      <c r="J337" s="16">
        <v>2160</v>
      </c>
      <c r="K337" s="15">
        <v>3940</v>
      </c>
      <c r="L337" s="14">
        <v>2970</v>
      </c>
      <c r="M337" s="13">
        <v>1716</v>
      </c>
    </row>
    <row r="338" spans="1:15" outlineLevel="1" x14ac:dyDescent="0.2">
      <c r="A338" s="20">
        <f t="shared" si="194"/>
        <v>3615</v>
      </c>
      <c r="B338" s="19" t="str">
        <f t="shared" si="194"/>
        <v>TXST</v>
      </c>
      <c r="C338" s="18"/>
      <c r="D338" s="15">
        <v>5349</v>
      </c>
      <c r="E338" s="21">
        <v>0.6409999999999999</v>
      </c>
      <c r="F338" s="14">
        <v>22917.933333333334</v>
      </c>
      <c r="G338" s="13">
        <v>10250.389999999717</v>
      </c>
      <c r="H338" s="15">
        <v>445</v>
      </c>
      <c r="I338" s="13">
        <v>65</v>
      </c>
      <c r="J338" s="16">
        <v>3665</v>
      </c>
      <c r="K338" s="15">
        <v>7685</v>
      </c>
      <c r="L338" s="14">
        <v>5748</v>
      </c>
      <c r="M338" s="13">
        <v>3317</v>
      </c>
    </row>
    <row r="339" spans="1:15" outlineLevel="1" x14ac:dyDescent="0.2">
      <c r="A339" s="20">
        <f t="shared" si="194"/>
        <v>3625</v>
      </c>
      <c r="B339" s="19" t="str">
        <f t="shared" si="194"/>
        <v>SRSU</v>
      </c>
      <c r="C339" s="18"/>
      <c r="D339" s="15">
        <v>196</v>
      </c>
      <c r="E339" s="21">
        <v>0.29199999999999998</v>
      </c>
      <c r="F339" s="14">
        <v>1200.1333333333334</v>
      </c>
      <c r="G339" s="13">
        <v>405.49999999999949</v>
      </c>
      <c r="H339" s="15">
        <v>18</v>
      </c>
      <c r="I339" s="13">
        <v>4</v>
      </c>
      <c r="J339" s="16">
        <v>166</v>
      </c>
      <c r="K339" s="15">
        <v>298</v>
      </c>
      <c r="L339" s="14">
        <v>217</v>
      </c>
      <c r="M339" s="13">
        <v>136</v>
      </c>
      <c r="N339" s="156"/>
    </row>
    <row r="340" spans="1:15" outlineLevel="1" x14ac:dyDescent="0.2">
      <c r="A340" s="20">
        <f t="shared" si="194"/>
        <v>20</v>
      </c>
      <c r="B340" s="19" t="str">
        <f t="shared" si="194"/>
        <v>SRRG</v>
      </c>
      <c r="C340" s="18"/>
      <c r="D340" s="15">
        <v>163</v>
      </c>
      <c r="E340" s="17">
        <v>0.33750000000000002</v>
      </c>
      <c r="F340" s="14">
        <v>472.13333333333333</v>
      </c>
      <c r="G340" s="13">
        <v>281.52999999999975</v>
      </c>
      <c r="H340" s="15">
        <v>5</v>
      </c>
      <c r="I340" s="13">
        <v>7</v>
      </c>
      <c r="J340" s="16">
        <v>145</v>
      </c>
      <c r="K340" s="15">
        <v>224</v>
      </c>
      <c r="L340" s="14">
        <v>97</v>
      </c>
      <c r="M340" s="13">
        <v>2</v>
      </c>
    </row>
    <row r="341" spans="1:15" ht="13.5" outlineLevel="1" thickBot="1" x14ac:dyDescent="0.25">
      <c r="A341" s="12"/>
      <c r="B341" s="11" t="s">
        <v>11</v>
      </c>
      <c r="C341" s="10"/>
      <c r="D341" s="9">
        <f>SUM(D303:D340)</f>
        <v>84231</v>
      </c>
      <c r="E341" s="8">
        <v>0.58399999999999996</v>
      </c>
      <c r="F341" s="7">
        <f t="shared" ref="F341:M341" si="195">SUM(F303:F340)</f>
        <v>351171.46666666673</v>
      </c>
      <c r="G341" s="3">
        <f t="shared" si="195"/>
        <v>170914.74000000223</v>
      </c>
      <c r="H341" s="5">
        <f t="shared" si="195"/>
        <v>13857</v>
      </c>
      <c r="I341" s="3">
        <f t="shared" si="195"/>
        <v>1204</v>
      </c>
      <c r="J341" s="6">
        <f t="shared" si="195"/>
        <v>54385</v>
      </c>
      <c r="K341" s="5">
        <f t="shared" si="195"/>
        <v>116139</v>
      </c>
      <c r="L341" s="4">
        <f t="shared" si="195"/>
        <v>84006</v>
      </c>
      <c r="M341" s="3">
        <f t="shared" si="195"/>
        <v>51310</v>
      </c>
    </row>
    <row r="342" spans="1:15" ht="13.5" thickBot="1" x14ac:dyDescent="0.25">
      <c r="A342" s="42" t="s">
        <v>25</v>
      </c>
      <c r="B342" s="42"/>
      <c r="C342" s="42"/>
      <c r="D342" s="42"/>
      <c r="F342" s="42"/>
      <c r="J342" s="42"/>
    </row>
    <row r="343" spans="1:15" ht="12.75" customHeight="1" outlineLevel="1" x14ac:dyDescent="0.2">
      <c r="A343" s="234" t="s">
        <v>24</v>
      </c>
      <c r="B343" s="236" t="s">
        <v>23</v>
      </c>
      <c r="C343" s="238"/>
      <c r="D343" s="240" t="s">
        <v>22</v>
      </c>
      <c r="E343" s="242" t="s">
        <v>21</v>
      </c>
      <c r="F343" s="236" t="s">
        <v>20</v>
      </c>
      <c r="G343" s="221" t="s">
        <v>19</v>
      </c>
      <c r="H343" s="223" t="s">
        <v>18</v>
      </c>
      <c r="I343" s="225" t="s">
        <v>17</v>
      </c>
      <c r="J343" s="227" t="s">
        <v>16</v>
      </c>
      <c r="K343" s="229" t="s">
        <v>15</v>
      </c>
      <c r="L343" s="230"/>
      <c r="M343" s="231"/>
    </row>
    <row r="344" spans="1:15" s="41" customFormat="1" ht="39.75" customHeight="1" outlineLevel="1" thickBot="1" x14ac:dyDescent="0.25">
      <c r="A344" s="273"/>
      <c r="B344" s="270"/>
      <c r="C344" s="274"/>
      <c r="D344" s="275"/>
      <c r="E344" s="276"/>
      <c r="F344" s="270"/>
      <c r="G344" s="271"/>
      <c r="H344" s="272"/>
      <c r="I344" s="265"/>
      <c r="J344" s="266"/>
      <c r="K344" s="125" t="s">
        <v>14</v>
      </c>
      <c r="L344" s="126" t="s">
        <v>13</v>
      </c>
      <c r="M344" s="135" t="s">
        <v>12</v>
      </c>
      <c r="N344" s="154"/>
    </row>
    <row r="345" spans="1:15" outlineLevel="1" x14ac:dyDescent="0.2">
      <c r="A345" s="40">
        <f t="shared" ref="A345:B360" si="196">A303</f>
        <v>3656</v>
      </c>
      <c r="B345" s="39" t="str">
        <f t="shared" si="196"/>
        <v>UTA</v>
      </c>
      <c r="C345" s="38"/>
      <c r="D345" s="33">
        <v>4178</v>
      </c>
      <c r="E345" s="37">
        <v>0.50700000000000001</v>
      </c>
      <c r="F345" s="32">
        <v>15698.133333333333</v>
      </c>
      <c r="G345" s="31">
        <v>8640.2399999998797</v>
      </c>
      <c r="H345" s="36">
        <v>834</v>
      </c>
      <c r="I345" s="35">
        <v>36</v>
      </c>
      <c r="J345" s="34">
        <v>2662</v>
      </c>
      <c r="K345" s="33">
        <v>6630</v>
      </c>
      <c r="L345" s="32">
        <v>3636</v>
      </c>
      <c r="M345" s="31">
        <v>1724</v>
      </c>
    </row>
    <row r="346" spans="1:15" outlineLevel="1" x14ac:dyDescent="0.2">
      <c r="A346" s="20">
        <f t="shared" si="196"/>
        <v>3658</v>
      </c>
      <c r="B346" s="19" t="str">
        <f t="shared" si="196"/>
        <v>UT</v>
      </c>
      <c r="C346" s="18"/>
      <c r="D346" s="15">
        <v>8952</v>
      </c>
      <c r="E346" s="21">
        <v>0.82899999999999996</v>
      </c>
      <c r="F346" s="14">
        <v>33736.73333333333</v>
      </c>
      <c r="G346" s="13">
        <v>19230.319999999745</v>
      </c>
      <c r="H346" s="15">
        <v>1754</v>
      </c>
      <c r="I346" s="13">
        <v>55</v>
      </c>
      <c r="J346" s="16">
        <v>3435</v>
      </c>
      <c r="K346" s="15">
        <v>9596</v>
      </c>
      <c r="L346" s="14">
        <v>9749</v>
      </c>
      <c r="M346" s="13">
        <v>7288</v>
      </c>
      <c r="O346" s="2"/>
    </row>
    <row r="347" spans="1:15" outlineLevel="1" x14ac:dyDescent="0.2">
      <c r="A347" s="20">
        <f t="shared" si="196"/>
        <v>9741</v>
      </c>
      <c r="B347" s="19" t="str">
        <f t="shared" si="196"/>
        <v>UTD</v>
      </c>
      <c r="C347" s="18"/>
      <c r="D347" s="15">
        <v>2355</v>
      </c>
      <c r="E347" s="21">
        <v>0.70699999999999996</v>
      </c>
      <c r="F347" s="14">
        <v>8108.8666666666668</v>
      </c>
      <c r="G347" s="13">
        <v>4955.5700000000443</v>
      </c>
      <c r="H347" s="15">
        <v>392</v>
      </c>
      <c r="I347" s="13">
        <v>36</v>
      </c>
      <c r="J347" s="16">
        <v>1255</v>
      </c>
      <c r="K347" s="15">
        <v>3078</v>
      </c>
      <c r="L347" s="14">
        <v>1950</v>
      </c>
      <c r="M347" s="13">
        <v>923</v>
      </c>
      <c r="O347" s="2"/>
    </row>
    <row r="348" spans="1:15" outlineLevel="1" x14ac:dyDescent="0.2">
      <c r="A348" s="20">
        <f t="shared" si="196"/>
        <v>3661</v>
      </c>
      <c r="B348" s="19" t="str">
        <f t="shared" si="196"/>
        <v>UTEP</v>
      </c>
      <c r="C348" s="18"/>
      <c r="D348" s="15">
        <v>3031</v>
      </c>
      <c r="E348" s="21">
        <v>0.374</v>
      </c>
      <c r="F348" s="14">
        <v>12791.933333333332</v>
      </c>
      <c r="G348" s="13">
        <v>6295.4500000000389</v>
      </c>
      <c r="H348" s="15">
        <v>709</v>
      </c>
      <c r="I348" s="13">
        <v>93</v>
      </c>
      <c r="J348" s="16">
        <v>2394</v>
      </c>
      <c r="K348" s="15">
        <v>4200</v>
      </c>
      <c r="L348" s="14">
        <v>3366</v>
      </c>
      <c r="M348" s="13">
        <v>1972</v>
      </c>
      <c r="O348" s="2"/>
    </row>
    <row r="349" spans="1:15" outlineLevel="1" x14ac:dyDescent="0.2">
      <c r="A349" s="20">
        <f t="shared" si="196"/>
        <v>3599</v>
      </c>
      <c r="B349" s="19" t="str">
        <f t="shared" si="196"/>
        <v>UTPA</v>
      </c>
      <c r="C349" s="18"/>
      <c r="D349" s="15">
        <v>2620</v>
      </c>
      <c r="E349" s="21">
        <v>0.38900000000000001</v>
      </c>
      <c r="F349" s="14">
        <v>12572.333333333334</v>
      </c>
      <c r="G349" s="13">
        <v>5170.8900000000631</v>
      </c>
      <c r="H349" s="15">
        <v>480</v>
      </c>
      <c r="I349" s="13">
        <v>31</v>
      </c>
      <c r="J349" s="16">
        <v>2341</v>
      </c>
      <c r="K349" s="15">
        <v>4354</v>
      </c>
      <c r="L349" s="14">
        <v>3136</v>
      </c>
      <c r="M349" s="13">
        <v>1924</v>
      </c>
      <c r="O349" s="2"/>
    </row>
    <row r="350" spans="1:15" outlineLevel="1" x14ac:dyDescent="0.2">
      <c r="A350" s="20">
        <f t="shared" si="196"/>
        <v>30646</v>
      </c>
      <c r="B350" s="19" t="str">
        <f t="shared" si="196"/>
        <v>UTB</v>
      </c>
      <c r="C350" s="18"/>
      <c r="D350" s="15">
        <v>1052</v>
      </c>
      <c r="E350" s="17">
        <v>0.64666666666666661</v>
      </c>
      <c r="F350" s="14">
        <v>2989.6</v>
      </c>
      <c r="G350" s="13">
        <v>2005.0100000000309</v>
      </c>
      <c r="H350" s="15">
        <v>108</v>
      </c>
      <c r="I350" s="13">
        <v>19</v>
      </c>
      <c r="J350" s="16">
        <v>916</v>
      </c>
      <c r="K350" s="15">
        <v>1377</v>
      </c>
      <c r="L350" s="14">
        <v>583</v>
      </c>
      <c r="M350" s="13">
        <v>72</v>
      </c>
      <c r="O350" s="2"/>
    </row>
    <row r="351" spans="1:15" outlineLevel="1" x14ac:dyDescent="0.2">
      <c r="A351" s="20">
        <f t="shared" si="196"/>
        <v>9930</v>
      </c>
      <c r="B351" s="19" t="str">
        <f t="shared" si="196"/>
        <v>UTPB</v>
      </c>
      <c r="C351" s="18"/>
      <c r="D351" s="15">
        <v>513</v>
      </c>
      <c r="E351" s="21">
        <v>0.44600000000000001</v>
      </c>
      <c r="F351" s="14">
        <v>2159.6</v>
      </c>
      <c r="G351" s="13">
        <v>944.74000000001092</v>
      </c>
      <c r="H351" s="15">
        <v>33</v>
      </c>
      <c r="I351" s="13">
        <v>13</v>
      </c>
      <c r="J351" s="16">
        <v>379</v>
      </c>
      <c r="K351" s="15">
        <v>707</v>
      </c>
      <c r="L351" s="14">
        <v>450</v>
      </c>
      <c r="M351" s="13">
        <v>182</v>
      </c>
      <c r="O351" s="2"/>
    </row>
    <row r="352" spans="1:15" outlineLevel="1" x14ac:dyDescent="0.2">
      <c r="A352" s="20">
        <f t="shared" si="196"/>
        <v>10115</v>
      </c>
      <c r="B352" s="19" t="str">
        <f t="shared" si="196"/>
        <v>UTSA</v>
      </c>
      <c r="C352" s="18"/>
      <c r="D352" s="15">
        <v>3968</v>
      </c>
      <c r="E352" s="21">
        <v>0.44</v>
      </c>
      <c r="F352" s="14">
        <v>19707.533333333333</v>
      </c>
      <c r="G352" s="13">
        <v>8107.0899999997582</v>
      </c>
      <c r="H352" s="15">
        <v>375</v>
      </c>
      <c r="I352" s="13">
        <v>39</v>
      </c>
      <c r="J352" s="16">
        <v>2956</v>
      </c>
      <c r="K352" s="15">
        <v>6812</v>
      </c>
      <c r="L352" s="14">
        <v>4615</v>
      </c>
      <c r="M352" s="13">
        <v>2588</v>
      </c>
      <c r="O352" s="2"/>
    </row>
    <row r="353" spans="1:15" outlineLevel="1" x14ac:dyDescent="0.2">
      <c r="A353" s="20">
        <f t="shared" si="196"/>
        <v>11163</v>
      </c>
      <c r="B353" s="19" t="str">
        <f t="shared" si="196"/>
        <v>UTT</v>
      </c>
      <c r="C353" s="18"/>
      <c r="D353" s="15">
        <v>1238</v>
      </c>
      <c r="E353" s="21">
        <v>0.496</v>
      </c>
      <c r="F353" s="14">
        <v>4085.2666666666669</v>
      </c>
      <c r="G353" s="13">
        <v>2459.1300000000315</v>
      </c>
      <c r="H353" s="15">
        <v>372</v>
      </c>
      <c r="I353" s="13">
        <v>10</v>
      </c>
      <c r="J353" s="16">
        <v>1002</v>
      </c>
      <c r="K353" s="15">
        <v>1404</v>
      </c>
      <c r="L353" s="14">
        <v>921</v>
      </c>
      <c r="M353" s="13">
        <v>378</v>
      </c>
      <c r="O353" s="2"/>
    </row>
    <row r="354" spans="1:15" outlineLevel="1" x14ac:dyDescent="0.2">
      <c r="A354" s="20">
        <f t="shared" si="196"/>
        <v>3632</v>
      </c>
      <c r="B354" s="19" t="str">
        <f t="shared" si="196"/>
        <v>TAMU</v>
      </c>
      <c r="C354" s="18"/>
      <c r="D354" s="15">
        <v>8451</v>
      </c>
      <c r="E354" s="21">
        <v>0.83599999999999997</v>
      </c>
      <c r="F354" s="14">
        <v>34329.199999999997</v>
      </c>
      <c r="G354" s="13">
        <v>19146.209999999159</v>
      </c>
      <c r="H354" s="15">
        <v>1580</v>
      </c>
      <c r="I354" s="13">
        <v>108</v>
      </c>
      <c r="J354" s="16">
        <v>3530</v>
      </c>
      <c r="K354" s="15">
        <v>10012</v>
      </c>
      <c r="L354" s="14">
        <v>8836</v>
      </c>
      <c r="M354" s="13">
        <v>6932</v>
      </c>
      <c r="O354" s="2"/>
    </row>
    <row r="355" spans="1:15" outlineLevel="1" x14ac:dyDescent="0.2">
      <c r="A355" s="20">
        <f t="shared" si="196"/>
        <v>10298</v>
      </c>
      <c r="B355" s="19" t="str">
        <f t="shared" si="196"/>
        <v>TAMUG</v>
      </c>
      <c r="C355" s="18"/>
      <c r="D355" s="15">
        <v>262</v>
      </c>
      <c r="E355" s="21">
        <v>0.59199999999999997</v>
      </c>
      <c r="F355" s="14">
        <v>1599.2</v>
      </c>
      <c r="G355" s="13">
        <v>636.84000000000231</v>
      </c>
      <c r="H355" s="15">
        <v>31</v>
      </c>
      <c r="I355" s="13">
        <v>0</v>
      </c>
      <c r="J355" s="16">
        <v>137</v>
      </c>
      <c r="K355" s="15">
        <v>570</v>
      </c>
      <c r="L355" s="14">
        <v>322</v>
      </c>
      <c r="M355" s="13">
        <v>241</v>
      </c>
      <c r="O355" s="2"/>
    </row>
    <row r="356" spans="1:15" outlineLevel="1" x14ac:dyDescent="0.2">
      <c r="A356" s="20">
        <f t="shared" si="196"/>
        <v>3630</v>
      </c>
      <c r="B356" s="19" t="str">
        <f t="shared" si="196"/>
        <v>Prairie View</v>
      </c>
      <c r="C356" s="18"/>
      <c r="D356" s="15">
        <v>879</v>
      </c>
      <c r="E356" s="21">
        <v>0.34200000000000003</v>
      </c>
      <c r="F356" s="14">
        <v>5840.8</v>
      </c>
      <c r="G356" s="13">
        <v>1995.4900000000189</v>
      </c>
      <c r="H356" s="15">
        <v>295</v>
      </c>
      <c r="I356" s="13">
        <v>8</v>
      </c>
      <c r="J356" s="16">
        <v>756</v>
      </c>
      <c r="K356" s="15">
        <v>1643</v>
      </c>
      <c r="L356" s="14">
        <v>1174</v>
      </c>
      <c r="M356" s="13">
        <v>940</v>
      </c>
      <c r="O356" s="2"/>
    </row>
    <row r="357" spans="1:15" outlineLevel="1" x14ac:dyDescent="0.2">
      <c r="A357" s="20">
        <f t="shared" si="196"/>
        <v>3631</v>
      </c>
      <c r="B357" s="19" t="str">
        <f t="shared" si="196"/>
        <v>Tarleton</v>
      </c>
      <c r="C357" s="18"/>
      <c r="D357" s="15">
        <v>1422</v>
      </c>
      <c r="E357" s="21">
        <v>0.47499999999999998</v>
      </c>
      <c r="F357" s="14">
        <v>5845.5333333333338</v>
      </c>
      <c r="G357" s="13">
        <v>2966.430000000048</v>
      </c>
      <c r="H357" s="15">
        <v>183</v>
      </c>
      <c r="I357" s="13">
        <v>38</v>
      </c>
      <c r="J357" s="16">
        <v>1093</v>
      </c>
      <c r="K357" s="15">
        <v>2140</v>
      </c>
      <c r="L357" s="14">
        <v>1306</v>
      </c>
      <c r="M357" s="13">
        <v>903</v>
      </c>
      <c r="O357" s="2"/>
    </row>
    <row r="358" spans="1:15" outlineLevel="1" x14ac:dyDescent="0.2">
      <c r="A358" s="27">
        <f t="shared" si="196"/>
        <v>103631</v>
      </c>
      <c r="B358" s="19" t="str">
        <f t="shared" si="196"/>
        <v>TAMUCT</v>
      </c>
      <c r="C358" s="18"/>
      <c r="D358" s="15">
        <v>450</v>
      </c>
      <c r="E358" s="21">
        <v>0.47499999999999998</v>
      </c>
      <c r="F358" s="14">
        <v>658.4666666666667</v>
      </c>
      <c r="G358" s="13">
        <v>831.96000000000549</v>
      </c>
      <c r="H358" s="15">
        <v>44</v>
      </c>
      <c r="I358" s="13"/>
      <c r="J358" s="16">
        <v>322</v>
      </c>
      <c r="K358" s="15">
        <v>380</v>
      </c>
      <c r="L358" s="14">
        <v>137</v>
      </c>
      <c r="M358" s="13">
        <v>31</v>
      </c>
      <c r="O358" s="2"/>
    </row>
    <row r="359" spans="1:15" outlineLevel="1" x14ac:dyDescent="0.2">
      <c r="A359" s="20">
        <f t="shared" si="196"/>
        <v>11161</v>
      </c>
      <c r="B359" s="19" t="str">
        <f t="shared" si="196"/>
        <v>TAMUCC</v>
      </c>
      <c r="C359" s="18"/>
      <c r="D359" s="15">
        <v>1335</v>
      </c>
      <c r="E359" s="21">
        <v>0.503</v>
      </c>
      <c r="F359" s="14">
        <v>6131.9333333333334</v>
      </c>
      <c r="G359" s="13">
        <v>2744.5700000000347</v>
      </c>
      <c r="H359" s="15">
        <v>237</v>
      </c>
      <c r="I359" s="13">
        <v>29</v>
      </c>
      <c r="J359" s="16">
        <v>1024</v>
      </c>
      <c r="K359" s="15">
        <v>2079</v>
      </c>
      <c r="L359" s="14">
        <v>1357</v>
      </c>
      <c r="M359" s="13">
        <v>812</v>
      </c>
      <c r="O359" s="2"/>
    </row>
    <row r="360" spans="1:15" outlineLevel="1" x14ac:dyDescent="0.2">
      <c r="A360" s="20">
        <f t="shared" si="196"/>
        <v>3639</v>
      </c>
      <c r="B360" s="19" t="str">
        <f t="shared" si="196"/>
        <v>TAMUK</v>
      </c>
      <c r="C360" s="18"/>
      <c r="D360" s="15">
        <v>692</v>
      </c>
      <c r="E360" s="21">
        <v>0.41699999999999998</v>
      </c>
      <c r="F360" s="14">
        <v>3808.2666666666669</v>
      </c>
      <c r="G360" s="13">
        <v>1601.8800000000022</v>
      </c>
      <c r="H360" s="15">
        <v>236</v>
      </c>
      <c r="I360" s="13">
        <v>15</v>
      </c>
      <c r="J360" s="16">
        <v>590</v>
      </c>
      <c r="K360" s="15">
        <v>1159</v>
      </c>
      <c r="L360" s="14">
        <v>790</v>
      </c>
      <c r="M360" s="13">
        <v>550</v>
      </c>
      <c r="O360" s="2"/>
    </row>
    <row r="361" spans="1:15" outlineLevel="1" x14ac:dyDescent="0.2">
      <c r="A361" s="27">
        <f t="shared" ref="A361:B376" si="197">A319</f>
        <v>103639</v>
      </c>
      <c r="B361" s="19" t="str">
        <f t="shared" si="197"/>
        <v>TAMUSA</v>
      </c>
      <c r="C361" s="18"/>
      <c r="D361" s="15">
        <v>496</v>
      </c>
      <c r="E361" s="21">
        <v>0.41699999999999998</v>
      </c>
      <c r="F361" s="14">
        <v>1072.6666666666667</v>
      </c>
      <c r="G361" s="13">
        <v>844.50000000000807</v>
      </c>
      <c r="H361" s="15">
        <v>4</v>
      </c>
      <c r="I361" s="13"/>
      <c r="J361" s="16">
        <v>402</v>
      </c>
      <c r="K361" s="15">
        <v>307</v>
      </c>
      <c r="L361" s="14">
        <v>5</v>
      </c>
      <c r="M361" s="13">
        <v>5</v>
      </c>
      <c r="O361" s="2"/>
    </row>
    <row r="362" spans="1:15" outlineLevel="1" x14ac:dyDescent="0.2">
      <c r="A362" s="20">
        <f t="shared" si="197"/>
        <v>9651</v>
      </c>
      <c r="B362" s="19" t="str">
        <f t="shared" si="197"/>
        <v>TAMI</v>
      </c>
      <c r="C362" s="18"/>
      <c r="D362" s="15">
        <v>798</v>
      </c>
      <c r="E362" s="21">
        <v>0.46</v>
      </c>
      <c r="F362" s="14">
        <v>3819.0666666666666</v>
      </c>
      <c r="G362" s="13">
        <v>1476.3000000000168</v>
      </c>
      <c r="H362" s="15">
        <v>85</v>
      </c>
      <c r="I362" s="13">
        <v>26</v>
      </c>
      <c r="J362" s="16">
        <v>713</v>
      </c>
      <c r="K362" s="15">
        <v>1413</v>
      </c>
      <c r="L362" s="14">
        <v>981</v>
      </c>
      <c r="M362" s="13">
        <v>447</v>
      </c>
      <c r="O362" s="2"/>
    </row>
    <row r="363" spans="1:15" outlineLevel="1" x14ac:dyDescent="0.2">
      <c r="A363" s="20">
        <f t="shared" si="197"/>
        <v>3665</v>
      </c>
      <c r="B363" s="19" t="str">
        <f t="shared" si="197"/>
        <v>WTAMU</v>
      </c>
      <c r="C363" s="18"/>
      <c r="D363" s="15">
        <v>1220</v>
      </c>
      <c r="E363" s="21">
        <v>0.45600000000000002</v>
      </c>
      <c r="F363" s="14">
        <v>5264.8</v>
      </c>
      <c r="G363" s="13">
        <v>2415.9700000000216</v>
      </c>
      <c r="H363" s="15">
        <v>216</v>
      </c>
      <c r="I363" s="13">
        <v>64</v>
      </c>
      <c r="J363" s="16">
        <v>853</v>
      </c>
      <c r="K363" s="15">
        <v>1873</v>
      </c>
      <c r="L363" s="14">
        <v>1161</v>
      </c>
      <c r="M363" s="13">
        <v>631</v>
      </c>
      <c r="O363" s="2"/>
    </row>
    <row r="364" spans="1:15" outlineLevel="1" x14ac:dyDescent="0.2">
      <c r="A364" s="20">
        <f t="shared" si="197"/>
        <v>3565</v>
      </c>
      <c r="B364" s="19" t="str">
        <f t="shared" si="197"/>
        <v>TAMUC</v>
      </c>
      <c r="C364" s="18"/>
      <c r="D364" s="15">
        <v>1153</v>
      </c>
      <c r="E364" s="21">
        <v>0.44800000000000001</v>
      </c>
      <c r="F364" s="14">
        <v>4172.1333333333332</v>
      </c>
      <c r="G364" s="13">
        <v>2179.8400000000324</v>
      </c>
      <c r="H364" s="15">
        <v>59</v>
      </c>
      <c r="I364" s="13">
        <v>65</v>
      </c>
      <c r="J364" s="16">
        <v>884</v>
      </c>
      <c r="K364" s="15">
        <v>1712</v>
      </c>
      <c r="L364" s="14">
        <v>1038</v>
      </c>
      <c r="M364" s="13">
        <v>423</v>
      </c>
      <c r="O364" s="2"/>
    </row>
    <row r="365" spans="1:15" outlineLevel="1" x14ac:dyDescent="0.2">
      <c r="A365" s="20">
        <f t="shared" si="197"/>
        <v>29269</v>
      </c>
      <c r="B365" s="19" t="str">
        <f t="shared" si="197"/>
        <v>TAMUT</v>
      </c>
      <c r="C365" s="18"/>
      <c r="D365" s="15">
        <v>326</v>
      </c>
      <c r="E365" s="17">
        <v>0.57336956521739135</v>
      </c>
      <c r="F365" s="14">
        <v>694.6</v>
      </c>
      <c r="G365" s="13">
        <v>569.46</v>
      </c>
      <c r="H365" s="15">
        <v>30</v>
      </c>
      <c r="I365" s="13">
        <v>15</v>
      </c>
      <c r="J365" s="16">
        <v>210</v>
      </c>
      <c r="K365" s="15">
        <v>403</v>
      </c>
      <c r="L365" s="14">
        <v>138</v>
      </c>
      <c r="M365" s="13">
        <v>0</v>
      </c>
      <c r="O365" s="2"/>
    </row>
    <row r="366" spans="1:15" outlineLevel="1" x14ac:dyDescent="0.2">
      <c r="A366" s="20">
        <f t="shared" si="197"/>
        <v>3652</v>
      </c>
      <c r="B366" s="19" t="str">
        <f t="shared" si="197"/>
        <v>UH</v>
      </c>
      <c r="C366" s="18"/>
      <c r="D366" s="15">
        <v>4778</v>
      </c>
      <c r="E366" s="21">
        <v>0.53100000000000003</v>
      </c>
      <c r="F366" s="14">
        <v>22778.733333333334</v>
      </c>
      <c r="G366" s="13">
        <v>9792.4499999989821</v>
      </c>
      <c r="H366" s="15">
        <v>656</v>
      </c>
      <c r="I366" s="13">
        <v>54</v>
      </c>
      <c r="J366" s="16">
        <v>3091</v>
      </c>
      <c r="K366" s="15">
        <v>7517</v>
      </c>
      <c r="L366" s="14">
        <v>5600</v>
      </c>
      <c r="M366" s="13">
        <v>3376</v>
      </c>
      <c r="O366" s="2"/>
    </row>
    <row r="367" spans="1:15" outlineLevel="1" x14ac:dyDescent="0.2">
      <c r="A367" s="20">
        <f t="shared" si="197"/>
        <v>11711</v>
      </c>
      <c r="B367" s="19" t="str">
        <f t="shared" si="197"/>
        <v>UHCL</v>
      </c>
      <c r="C367" s="18"/>
      <c r="D367" s="15">
        <v>1124</v>
      </c>
      <c r="E367" s="17">
        <v>0.50557620817843862</v>
      </c>
      <c r="F367" s="14">
        <v>2872.8666666666668</v>
      </c>
      <c r="G367" s="13">
        <v>2131.2100000000323</v>
      </c>
      <c r="H367" s="15">
        <v>88</v>
      </c>
      <c r="I367" s="13">
        <v>8</v>
      </c>
      <c r="J367" s="16">
        <v>707</v>
      </c>
      <c r="K367" s="15">
        <v>1349</v>
      </c>
      <c r="L367" s="14">
        <v>888</v>
      </c>
      <c r="M367" s="13">
        <v>81</v>
      </c>
      <c r="O367" s="2"/>
    </row>
    <row r="368" spans="1:15" outlineLevel="1" x14ac:dyDescent="0.2">
      <c r="A368" s="20">
        <f t="shared" si="197"/>
        <v>12826</v>
      </c>
      <c r="B368" s="19" t="str">
        <f t="shared" si="197"/>
        <v>UHD</v>
      </c>
      <c r="C368" s="18"/>
      <c r="D368" s="15">
        <v>2359</v>
      </c>
      <c r="E368" s="21">
        <v>0.18099999999999999</v>
      </c>
      <c r="F368" s="14">
        <v>7963.6</v>
      </c>
      <c r="G368" s="13">
        <v>4153.3100000000841</v>
      </c>
      <c r="H368" s="15">
        <v>112</v>
      </c>
      <c r="I368" s="13">
        <v>2</v>
      </c>
      <c r="J368" s="16">
        <v>1619</v>
      </c>
      <c r="K368" s="15">
        <v>3082</v>
      </c>
      <c r="L368" s="14">
        <v>1889</v>
      </c>
      <c r="M368" s="13">
        <v>606</v>
      </c>
      <c r="O368" s="2"/>
    </row>
    <row r="369" spans="1:15" outlineLevel="1" x14ac:dyDescent="0.2">
      <c r="A369" s="20">
        <f t="shared" si="197"/>
        <v>13231</v>
      </c>
      <c r="B369" s="19" t="str">
        <f t="shared" si="197"/>
        <v>UHV</v>
      </c>
      <c r="C369" s="18"/>
      <c r="D369" s="15">
        <v>515</v>
      </c>
      <c r="E369" s="17">
        <v>0.55256723716381417</v>
      </c>
      <c r="F369" s="14">
        <v>1135.8</v>
      </c>
      <c r="G369" s="13">
        <v>962.15000000001089</v>
      </c>
      <c r="H369" s="15">
        <v>72</v>
      </c>
      <c r="I369" s="13">
        <v>2</v>
      </c>
      <c r="J369" s="16">
        <v>337</v>
      </c>
      <c r="K369" s="15">
        <v>654</v>
      </c>
      <c r="L369" s="14">
        <v>269</v>
      </c>
      <c r="M369" s="13">
        <v>8</v>
      </c>
      <c r="O369" s="2"/>
    </row>
    <row r="370" spans="1:15" outlineLevel="1" x14ac:dyDescent="0.2">
      <c r="A370" s="20">
        <f t="shared" si="197"/>
        <v>3592</v>
      </c>
      <c r="B370" s="19" t="str">
        <f t="shared" si="197"/>
        <v>Midwestern</v>
      </c>
      <c r="C370" s="18"/>
      <c r="D370" s="15">
        <v>1002</v>
      </c>
      <c r="E370" s="21">
        <v>0.41199999999999998</v>
      </c>
      <c r="F370" s="14">
        <v>4294.8666666666668</v>
      </c>
      <c r="G370" s="13">
        <v>1899.0200000000148</v>
      </c>
      <c r="H370" s="15">
        <v>302</v>
      </c>
      <c r="I370" s="13">
        <v>19</v>
      </c>
      <c r="J370" s="16">
        <v>673</v>
      </c>
      <c r="K370" s="15">
        <v>1497</v>
      </c>
      <c r="L370" s="14">
        <v>1080</v>
      </c>
      <c r="M370" s="13">
        <v>622</v>
      </c>
      <c r="O370" s="2"/>
    </row>
    <row r="371" spans="1:15" outlineLevel="1" x14ac:dyDescent="0.2">
      <c r="A371" s="20">
        <f t="shared" si="197"/>
        <v>3594</v>
      </c>
      <c r="B371" s="19" t="str">
        <f t="shared" si="197"/>
        <v>UNT</v>
      </c>
      <c r="C371" s="18"/>
      <c r="D371" s="15">
        <v>6024</v>
      </c>
      <c r="E371" s="21">
        <v>0.57399999999999995</v>
      </c>
      <c r="F371" s="14">
        <f>22506.0666666667+838</f>
        <v>23344.066666666698</v>
      </c>
      <c r="G371" s="13">
        <v>11164.699999998398</v>
      </c>
      <c r="H371" s="15">
        <v>297</v>
      </c>
      <c r="I371" s="13">
        <v>27</v>
      </c>
      <c r="J371" s="16">
        <v>3747</v>
      </c>
      <c r="K371" s="30">
        <v>8327</v>
      </c>
      <c r="L371" s="29">
        <v>5604</v>
      </c>
      <c r="M371" s="28">
        <v>3585</v>
      </c>
      <c r="O371" s="2"/>
    </row>
    <row r="372" spans="1:15" outlineLevel="1" x14ac:dyDescent="0.2">
      <c r="A372" s="27">
        <f t="shared" si="197"/>
        <v>113594</v>
      </c>
      <c r="B372" s="19" t="str">
        <f t="shared" si="197"/>
        <v>UNTD</v>
      </c>
      <c r="C372" s="18"/>
      <c r="D372" s="24"/>
      <c r="E372" s="26"/>
      <c r="F372" s="23"/>
      <c r="G372" s="22"/>
      <c r="H372" s="24"/>
      <c r="I372" s="22"/>
      <c r="J372" s="25"/>
      <c r="K372" s="24"/>
      <c r="L372" s="23"/>
      <c r="M372" s="22"/>
      <c r="O372" s="2"/>
    </row>
    <row r="373" spans="1:15" outlineLevel="1" x14ac:dyDescent="0.2">
      <c r="A373" s="20">
        <f t="shared" si="197"/>
        <v>3624</v>
      </c>
      <c r="B373" s="19" t="str">
        <f t="shared" si="197"/>
        <v>SFA</v>
      </c>
      <c r="C373" s="18"/>
      <c r="D373" s="15">
        <v>1874</v>
      </c>
      <c r="E373" s="21">
        <v>0.56999999999999995</v>
      </c>
      <c r="F373" s="14">
        <v>9510.2666666666664</v>
      </c>
      <c r="G373" s="13">
        <v>3625.4100000000203</v>
      </c>
      <c r="H373" s="15">
        <v>230</v>
      </c>
      <c r="I373" s="13">
        <v>43</v>
      </c>
      <c r="J373" s="16">
        <v>1422</v>
      </c>
      <c r="K373" s="15">
        <v>2663</v>
      </c>
      <c r="L373" s="14">
        <v>1934</v>
      </c>
      <c r="M373" s="13">
        <v>1317</v>
      </c>
      <c r="O373" s="2"/>
    </row>
    <row r="374" spans="1:15" outlineLevel="1" x14ac:dyDescent="0.2">
      <c r="A374" s="20">
        <f t="shared" si="197"/>
        <v>3642</v>
      </c>
      <c r="B374" s="19" t="str">
        <f t="shared" si="197"/>
        <v>TSU</v>
      </c>
      <c r="C374" s="18"/>
      <c r="D374" s="15">
        <v>817</v>
      </c>
      <c r="E374" s="21">
        <v>0.14899999999999999</v>
      </c>
      <c r="F374" s="14">
        <v>5909.8</v>
      </c>
      <c r="G374" s="13">
        <v>1601.5200000000066</v>
      </c>
      <c r="H374" s="15">
        <v>127</v>
      </c>
      <c r="I374" s="13">
        <v>2</v>
      </c>
      <c r="J374" s="16">
        <v>723</v>
      </c>
      <c r="K374" s="15">
        <v>1871</v>
      </c>
      <c r="L374" s="14">
        <v>1137</v>
      </c>
      <c r="M374" s="13">
        <v>916</v>
      </c>
      <c r="O374" s="2"/>
    </row>
    <row r="375" spans="1:15" outlineLevel="1" x14ac:dyDescent="0.2">
      <c r="A375" s="20">
        <f t="shared" si="197"/>
        <v>3644</v>
      </c>
      <c r="B375" s="19" t="str">
        <f t="shared" si="197"/>
        <v>TTU</v>
      </c>
      <c r="C375" s="18"/>
      <c r="D375" s="15">
        <v>4476</v>
      </c>
      <c r="E375" s="21">
        <v>0.72799999999999998</v>
      </c>
      <c r="F375" s="14">
        <v>21422.2</v>
      </c>
      <c r="G375" s="13">
        <v>9827.5299999990111</v>
      </c>
      <c r="H375" s="15">
        <v>656</v>
      </c>
      <c r="I375" s="13">
        <v>43</v>
      </c>
      <c r="J375" s="16">
        <v>2539</v>
      </c>
      <c r="K375" s="15">
        <v>6430</v>
      </c>
      <c r="L375" s="14">
        <v>5148</v>
      </c>
      <c r="M375" s="13">
        <v>3832</v>
      </c>
      <c r="O375" s="2"/>
    </row>
    <row r="376" spans="1:15" outlineLevel="1" x14ac:dyDescent="0.2">
      <c r="A376" s="20">
        <f t="shared" si="197"/>
        <v>3541</v>
      </c>
      <c r="B376" s="19" t="str">
        <f t="shared" si="197"/>
        <v>Angelo</v>
      </c>
      <c r="C376" s="18"/>
      <c r="D376" s="15">
        <v>941</v>
      </c>
      <c r="E376" s="21">
        <v>0.44</v>
      </c>
      <c r="F376" s="14">
        <v>4829.1333333333332</v>
      </c>
      <c r="G376" s="13">
        <v>1933.5900000000179</v>
      </c>
      <c r="H376" s="15">
        <v>217</v>
      </c>
      <c r="I376" s="13">
        <v>18</v>
      </c>
      <c r="J376" s="16">
        <v>676</v>
      </c>
      <c r="K376" s="15">
        <v>1474</v>
      </c>
      <c r="L376" s="14">
        <v>1008</v>
      </c>
      <c r="M376" s="13">
        <v>708</v>
      </c>
      <c r="O376" s="2"/>
    </row>
    <row r="377" spans="1:15" outlineLevel="1" x14ac:dyDescent="0.2">
      <c r="A377" s="20">
        <f t="shared" ref="A377:B382" si="198">A335</f>
        <v>3646</v>
      </c>
      <c r="B377" s="19" t="str">
        <f t="shared" si="198"/>
        <v>TWU</v>
      </c>
      <c r="C377" s="18"/>
      <c r="D377" s="15">
        <v>1774</v>
      </c>
      <c r="E377" s="21">
        <v>0.54500000000000004</v>
      </c>
      <c r="F377" s="14">
        <v>6071.4666666666662</v>
      </c>
      <c r="G377" s="13">
        <v>3425.2000000000221</v>
      </c>
      <c r="H377" s="15">
        <v>614</v>
      </c>
      <c r="I377" s="13">
        <v>31</v>
      </c>
      <c r="J377" s="16">
        <v>1214</v>
      </c>
      <c r="K377" s="15">
        <v>2042</v>
      </c>
      <c r="L377" s="14">
        <v>1371</v>
      </c>
      <c r="M377" s="13">
        <v>668</v>
      </c>
      <c r="O377" s="2"/>
    </row>
    <row r="378" spans="1:15" outlineLevel="1" x14ac:dyDescent="0.2">
      <c r="A378" s="20">
        <f t="shared" si="198"/>
        <v>3581</v>
      </c>
      <c r="B378" s="19" t="str">
        <f t="shared" si="198"/>
        <v>Lamar</v>
      </c>
      <c r="C378" s="18"/>
      <c r="D378" s="15">
        <v>1286</v>
      </c>
      <c r="E378" s="21">
        <v>0.33800000000000002</v>
      </c>
      <c r="F378" s="14">
        <v>7172.9333333333334</v>
      </c>
      <c r="G378" s="13">
        <v>2638.0900000000311</v>
      </c>
      <c r="H378" s="15">
        <v>314</v>
      </c>
      <c r="I378" s="13">
        <v>17</v>
      </c>
      <c r="J378" s="16">
        <v>908</v>
      </c>
      <c r="K378" s="15">
        <v>2043</v>
      </c>
      <c r="L378" s="14">
        <v>1404</v>
      </c>
      <c r="M378" s="13">
        <v>1031</v>
      </c>
      <c r="O378" s="2"/>
    </row>
    <row r="379" spans="1:15" outlineLevel="1" x14ac:dyDescent="0.2">
      <c r="A379" s="20">
        <f t="shared" si="198"/>
        <v>3606</v>
      </c>
      <c r="B379" s="19" t="str">
        <f t="shared" si="198"/>
        <v>SHSU</v>
      </c>
      <c r="C379" s="18"/>
      <c r="D379" s="15">
        <v>3242</v>
      </c>
      <c r="E379" s="21">
        <v>0.57899999999999996</v>
      </c>
      <c r="F379" s="14">
        <v>12517.066666666668</v>
      </c>
      <c r="G379" s="13">
        <v>6188.6300000000374</v>
      </c>
      <c r="H379" s="15">
        <v>163</v>
      </c>
      <c r="I379" s="13">
        <v>69</v>
      </c>
      <c r="J379" s="16">
        <v>2318</v>
      </c>
      <c r="K379" s="15">
        <v>3849</v>
      </c>
      <c r="L379" s="14">
        <v>3011</v>
      </c>
      <c r="M379" s="13">
        <v>1870</v>
      </c>
      <c r="O379" s="2"/>
    </row>
    <row r="380" spans="1:15" outlineLevel="1" x14ac:dyDescent="0.2">
      <c r="A380" s="20">
        <f t="shared" si="198"/>
        <v>3615</v>
      </c>
      <c r="B380" s="19" t="str">
        <f t="shared" si="198"/>
        <v>TXST</v>
      </c>
      <c r="C380" s="18"/>
      <c r="D380" s="15">
        <v>5299</v>
      </c>
      <c r="E380" s="21">
        <v>0.64400000000000002</v>
      </c>
      <c r="F380" s="14">
        <v>21764.6</v>
      </c>
      <c r="G380" s="13">
        <v>10384.469999998846</v>
      </c>
      <c r="H380" s="15">
        <v>439</v>
      </c>
      <c r="I380" s="13">
        <v>68</v>
      </c>
      <c r="J380" s="16">
        <v>3545</v>
      </c>
      <c r="K380" s="15">
        <v>7301</v>
      </c>
      <c r="L380" s="14">
        <v>5428</v>
      </c>
      <c r="M380" s="13">
        <v>3302</v>
      </c>
      <c r="O380" s="2"/>
    </row>
    <row r="381" spans="1:15" outlineLevel="1" x14ac:dyDescent="0.2">
      <c r="A381" s="20">
        <f t="shared" si="198"/>
        <v>3625</v>
      </c>
      <c r="B381" s="19" t="str">
        <f t="shared" si="198"/>
        <v>SRSU</v>
      </c>
      <c r="C381" s="18"/>
      <c r="D381" s="15">
        <v>181</v>
      </c>
      <c r="E381" s="21">
        <v>0.28499999999999998</v>
      </c>
      <c r="F381" s="14">
        <v>1230.9333333333334</v>
      </c>
      <c r="G381" s="13">
        <v>368.43999999999954</v>
      </c>
      <c r="H381" s="15">
        <v>10</v>
      </c>
      <c r="I381" s="13">
        <v>10</v>
      </c>
      <c r="J381" s="16">
        <v>156</v>
      </c>
      <c r="K381" s="15">
        <v>318</v>
      </c>
      <c r="L381" s="14">
        <v>176</v>
      </c>
      <c r="M381" s="13">
        <v>115</v>
      </c>
      <c r="O381" s="2"/>
    </row>
    <row r="382" spans="1:15" outlineLevel="1" x14ac:dyDescent="0.2">
      <c r="A382" s="20">
        <f t="shared" si="198"/>
        <v>20</v>
      </c>
      <c r="B382" s="19" t="str">
        <f t="shared" si="198"/>
        <v>SRRG</v>
      </c>
      <c r="C382" s="18"/>
      <c r="D382" s="15">
        <v>168</v>
      </c>
      <c r="E382" s="17">
        <v>0.36144578313253012</v>
      </c>
      <c r="F382" s="14">
        <v>416.33333333333331</v>
      </c>
      <c r="G382" s="13">
        <v>287.9199999999995</v>
      </c>
      <c r="H382" s="15">
        <v>8</v>
      </c>
      <c r="I382" s="13">
        <v>9</v>
      </c>
      <c r="J382" s="16">
        <v>149</v>
      </c>
      <c r="K382" s="15">
        <v>251</v>
      </c>
      <c r="L382" s="14">
        <v>90</v>
      </c>
      <c r="M382" s="13">
        <v>5</v>
      </c>
      <c r="O382" s="2"/>
    </row>
    <row r="383" spans="1:15" ht="13.5" outlineLevel="1" thickBot="1" x14ac:dyDescent="0.25">
      <c r="A383" s="12"/>
      <c r="B383" s="11" t="s">
        <v>11</v>
      </c>
      <c r="C383" s="10"/>
      <c r="D383" s="9">
        <f>SUM(D345:D382)</f>
        <v>81251</v>
      </c>
      <c r="E383" s="8">
        <v>0.56799999999999995</v>
      </c>
      <c r="F383" s="7">
        <f t="shared" ref="F383:M383" si="199">SUM(F345:F382)</f>
        <v>338321.33333333337</v>
      </c>
      <c r="G383" s="3">
        <f t="shared" si="199"/>
        <v>165601.52999999447</v>
      </c>
      <c r="H383" s="5">
        <f t="shared" si="199"/>
        <v>12362</v>
      </c>
      <c r="I383" s="3">
        <f t="shared" si="199"/>
        <v>1122</v>
      </c>
      <c r="J383" s="6">
        <f t="shared" si="199"/>
        <v>51678</v>
      </c>
      <c r="K383" s="5">
        <f t="shared" si="199"/>
        <v>112517</v>
      </c>
      <c r="L383" s="4">
        <f t="shared" si="199"/>
        <v>81688</v>
      </c>
      <c r="M383" s="3">
        <f t="shared" si="199"/>
        <v>51008</v>
      </c>
      <c r="O383" s="2"/>
    </row>
    <row r="384" spans="1:15" x14ac:dyDescent="0.2">
      <c r="O384" s="2"/>
    </row>
    <row r="386" spans="1:1" x14ac:dyDescent="0.2">
      <c r="A386" s="1" t="s">
        <v>10</v>
      </c>
    </row>
    <row r="387" spans="1:1" x14ac:dyDescent="0.2">
      <c r="A387" s="1" t="s">
        <v>9</v>
      </c>
    </row>
    <row r="388" spans="1:1" x14ac:dyDescent="0.2">
      <c r="A388" s="1" t="s">
        <v>8</v>
      </c>
    </row>
    <row r="389" spans="1:1" x14ac:dyDescent="0.2">
      <c r="A389" s="1" t="s">
        <v>7</v>
      </c>
    </row>
    <row r="390" spans="1:1" x14ac:dyDescent="0.2">
      <c r="A390" s="1" t="s">
        <v>6</v>
      </c>
    </row>
    <row r="391" spans="1:1" x14ac:dyDescent="0.2">
      <c r="A391" s="1" t="s">
        <v>5</v>
      </c>
    </row>
    <row r="392" spans="1:1" x14ac:dyDescent="0.2">
      <c r="A392" s="1" t="s">
        <v>4</v>
      </c>
    </row>
    <row r="393" spans="1:1" x14ac:dyDescent="0.2">
      <c r="A393" s="1" t="s">
        <v>3</v>
      </c>
    </row>
    <row r="394" spans="1:1" x14ac:dyDescent="0.2">
      <c r="A394" s="1" t="s">
        <v>2</v>
      </c>
    </row>
    <row r="395" spans="1:1" x14ac:dyDescent="0.2">
      <c r="A395" s="1" t="s">
        <v>1</v>
      </c>
    </row>
    <row r="396" spans="1:1" x14ac:dyDescent="0.2">
      <c r="A396" s="1" t="s">
        <v>0</v>
      </c>
    </row>
  </sheetData>
  <mergeCells count="90">
    <mergeCell ref="A1:M1"/>
    <mergeCell ref="A3:A4"/>
    <mergeCell ref="B3:B4"/>
    <mergeCell ref="C3:C4"/>
    <mergeCell ref="D3:G3"/>
    <mergeCell ref="H3:H4"/>
    <mergeCell ref="I3:I4"/>
    <mergeCell ref="J3:J4"/>
    <mergeCell ref="K3:M3"/>
    <mergeCell ref="O3:Q3"/>
    <mergeCell ref="A46:A47"/>
    <mergeCell ref="B46:B47"/>
    <mergeCell ref="C46:C47"/>
    <mergeCell ref="D46:G46"/>
    <mergeCell ref="H46:H47"/>
    <mergeCell ref="I46:I47"/>
    <mergeCell ref="J46:J47"/>
    <mergeCell ref="K46:M46"/>
    <mergeCell ref="N46:N47"/>
    <mergeCell ref="J88:J89"/>
    <mergeCell ref="K88:M88"/>
    <mergeCell ref="N88:N89"/>
    <mergeCell ref="A88:A89"/>
    <mergeCell ref="B88:B89"/>
    <mergeCell ref="C88:C89"/>
    <mergeCell ref="D88:G88"/>
    <mergeCell ref="H88:H89"/>
    <mergeCell ref="I88:I89"/>
    <mergeCell ref="J174:J175"/>
    <mergeCell ref="K174:M174"/>
    <mergeCell ref="N174:N175"/>
    <mergeCell ref="A176:C176"/>
    <mergeCell ref="A217:A218"/>
    <mergeCell ref="B217:B218"/>
    <mergeCell ref="C217:C218"/>
    <mergeCell ref="D217:D218"/>
    <mergeCell ref="E217:E218"/>
    <mergeCell ref="F217:F218"/>
    <mergeCell ref="A174:A175"/>
    <mergeCell ref="B174:B175"/>
    <mergeCell ref="C174:C175"/>
    <mergeCell ref="D174:G174"/>
    <mergeCell ref="H174:H175"/>
    <mergeCell ref="I174:I175"/>
    <mergeCell ref="A259:A260"/>
    <mergeCell ref="B259:B260"/>
    <mergeCell ref="C259:C260"/>
    <mergeCell ref="D259:D260"/>
    <mergeCell ref="E259:E260"/>
    <mergeCell ref="J259:J260"/>
    <mergeCell ref="K259:M259"/>
    <mergeCell ref="G217:G218"/>
    <mergeCell ref="H217:H218"/>
    <mergeCell ref="I217:I218"/>
    <mergeCell ref="J217:J218"/>
    <mergeCell ref="K217:M217"/>
    <mergeCell ref="F301:F302"/>
    <mergeCell ref="F259:F260"/>
    <mergeCell ref="G259:G260"/>
    <mergeCell ref="H259:H260"/>
    <mergeCell ref="I259:I260"/>
    <mergeCell ref="A301:A302"/>
    <mergeCell ref="B301:B302"/>
    <mergeCell ref="C301:C302"/>
    <mergeCell ref="D301:D302"/>
    <mergeCell ref="E301:E302"/>
    <mergeCell ref="A343:A344"/>
    <mergeCell ref="B343:B344"/>
    <mergeCell ref="C343:C344"/>
    <mergeCell ref="D343:D344"/>
    <mergeCell ref="E343:E344"/>
    <mergeCell ref="K343:M343"/>
    <mergeCell ref="G301:G302"/>
    <mergeCell ref="H301:H302"/>
    <mergeCell ref="I301:I302"/>
    <mergeCell ref="J301:J302"/>
    <mergeCell ref="K301:M301"/>
    <mergeCell ref="F343:F344"/>
    <mergeCell ref="G343:G344"/>
    <mergeCell ref="H343:H344"/>
    <mergeCell ref="I343:I344"/>
    <mergeCell ref="J343:J344"/>
    <mergeCell ref="H129:H130"/>
    <mergeCell ref="I129:I130"/>
    <mergeCell ref="J129:J130"/>
    <mergeCell ref="K129:M129"/>
    <mergeCell ref="A129:A130"/>
    <mergeCell ref="B129:B130"/>
    <mergeCell ref="C129:C130"/>
    <mergeCell ref="D129:G129"/>
  </mergeCells>
  <conditionalFormatting sqref="D128:M128">
    <cfRule type="colorScale" priority="74">
      <colorScale>
        <cfvo type="min"/>
        <cfvo type="max"/>
        <color theme="6" tint="0.79998168889431442"/>
        <color theme="6" tint="-0.499984740745262"/>
      </colorScale>
    </cfRule>
  </conditionalFormatting>
  <conditionalFormatting sqref="D90:M127">
    <cfRule type="cellIs" dxfId="116" priority="56" operator="equal">
      <formula>$D$171</formula>
    </cfRule>
    <cfRule type="cellIs" dxfId="115" priority="57" operator="equal">
      <formula>$E$171</formula>
    </cfRule>
    <cfRule type="cellIs" dxfId="114" priority="58" operator="equal">
      <formula>$F$171</formula>
    </cfRule>
    <cfRule type="cellIs" dxfId="113" priority="59" operator="equal">
      <formula>$G$171</formula>
    </cfRule>
    <cfRule type="cellIs" dxfId="112" priority="60" operator="equal">
      <formula>$H$171</formula>
    </cfRule>
    <cfRule type="cellIs" dxfId="111" priority="61" operator="equal">
      <formula>$I$171</formula>
    </cfRule>
    <cfRule type="cellIs" dxfId="110" priority="62" operator="equal">
      <formula>$J$171</formula>
    </cfRule>
    <cfRule type="cellIs" dxfId="109" priority="63" operator="equal">
      <formula>$K$171</formula>
    </cfRule>
    <cfRule type="cellIs" dxfId="108" priority="64" operator="equal">
      <formula>$L$171</formula>
    </cfRule>
  </conditionalFormatting>
  <pageMargins left="0.25" right="0.25" top="0.5" bottom="0.2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U375"/>
  <sheetViews>
    <sheetView showGridLines="0" zoomScale="70" zoomScaleNormal="70" workbookViewId="0">
      <pane xSplit="2" ySplit="4" topLeftCell="C5" activePane="bottomRight" state="frozen"/>
      <selection activeCell="C5" sqref="C5"/>
      <selection pane="topRight" activeCell="C5" sqref="C5"/>
      <selection pane="bottomLeft" activeCell="C5" sqref="C5"/>
      <selection pane="bottomRight" activeCell="A2" sqref="A2"/>
    </sheetView>
  </sheetViews>
  <sheetFormatPr defaultRowHeight="12.75" outlineLevelRow="1" x14ac:dyDescent="0.2"/>
  <cols>
    <col min="1" max="1" width="7.28515625" style="1" customWidth="1"/>
    <col min="2" max="2" width="10.85546875" style="1" bestFit="1" customWidth="1"/>
    <col min="3" max="3" width="13.7109375" style="1" bestFit="1" customWidth="1"/>
    <col min="4" max="4" width="13.140625" style="1" customWidth="1"/>
    <col min="5" max="5" width="12.5703125" style="1" customWidth="1"/>
    <col min="6" max="6" width="13" style="1" customWidth="1"/>
    <col min="7" max="7" width="12.42578125" style="1" customWidth="1"/>
    <col min="8" max="8" width="12.85546875" style="1" customWidth="1"/>
    <col min="9" max="9" width="12.28515625" style="1" customWidth="1"/>
    <col min="10" max="10" width="12.42578125" style="1" customWidth="1"/>
    <col min="11" max="13" width="12.5703125" style="1" bestFit="1" customWidth="1"/>
    <col min="14" max="14" width="14.28515625" style="1" customWidth="1"/>
    <col min="15" max="15" width="16.42578125" style="1" customWidth="1"/>
    <col min="16" max="16" width="14.85546875" style="1" customWidth="1"/>
    <col min="17" max="17" width="16.85546875" style="1" customWidth="1"/>
    <col min="18" max="18" width="9.140625" style="1"/>
    <col min="19" max="20" width="12.5703125" style="1" customWidth="1"/>
    <col min="21" max="21" width="11.85546875" style="1" customWidth="1"/>
    <col min="22" max="16384" width="9.140625" style="1"/>
  </cols>
  <sheetData>
    <row r="1" spans="1:21" ht="41.25" customHeight="1" x14ac:dyDescent="0.2">
      <c r="A1" s="257" t="s">
        <v>100</v>
      </c>
      <c r="B1" s="257"/>
      <c r="C1" s="257"/>
      <c r="D1" s="257"/>
      <c r="E1" s="257"/>
      <c r="F1" s="257"/>
      <c r="G1" s="257"/>
      <c r="H1" s="257"/>
      <c r="I1" s="257"/>
      <c r="J1" s="257"/>
      <c r="K1" s="257"/>
      <c r="L1" s="257"/>
      <c r="M1" s="257"/>
    </row>
    <row r="2" spans="1:21" ht="13.5" thickBot="1" x14ac:dyDescent="0.25">
      <c r="A2" s="72"/>
      <c r="B2" s="71"/>
      <c r="C2" s="71"/>
      <c r="D2" s="71"/>
      <c r="E2" s="71"/>
      <c r="F2" s="71"/>
      <c r="G2" s="71"/>
      <c r="H2" s="71"/>
    </row>
    <row r="3" spans="1:21" ht="12.75" customHeight="1" thickBot="1" x14ac:dyDescent="0.25">
      <c r="A3" s="258" t="s">
        <v>24</v>
      </c>
      <c r="B3" s="260" t="s">
        <v>23</v>
      </c>
      <c r="C3" s="262" t="s">
        <v>74</v>
      </c>
      <c r="D3" s="248" t="s">
        <v>35</v>
      </c>
      <c r="E3" s="248"/>
      <c r="F3" s="248"/>
      <c r="G3" s="248"/>
      <c r="H3" s="250" t="s">
        <v>18</v>
      </c>
      <c r="I3" s="225" t="s">
        <v>17</v>
      </c>
      <c r="J3" s="227" t="s">
        <v>16</v>
      </c>
      <c r="K3" s="229" t="s">
        <v>34</v>
      </c>
      <c r="L3" s="230"/>
      <c r="M3" s="231"/>
      <c r="O3" s="254" t="s">
        <v>94</v>
      </c>
      <c r="P3" s="255"/>
      <c r="Q3" s="256"/>
    </row>
    <row r="4" spans="1:21" ht="54" customHeight="1" x14ac:dyDescent="0.2">
      <c r="A4" s="259"/>
      <c r="B4" s="261"/>
      <c r="C4" s="263"/>
      <c r="D4" s="186"/>
      <c r="E4" s="121" t="s">
        <v>33</v>
      </c>
      <c r="F4" s="121" t="s">
        <v>32</v>
      </c>
      <c r="G4" s="187" t="s">
        <v>31</v>
      </c>
      <c r="H4" s="251"/>
      <c r="I4" s="226"/>
      <c r="J4" s="228"/>
      <c r="K4" s="188" t="s">
        <v>14</v>
      </c>
      <c r="L4" s="189" t="s">
        <v>13</v>
      </c>
      <c r="M4" s="190" t="s">
        <v>12</v>
      </c>
      <c r="O4" s="157" t="s">
        <v>87</v>
      </c>
      <c r="P4" s="121" t="s">
        <v>92</v>
      </c>
      <c r="Q4" s="158" t="s">
        <v>93</v>
      </c>
      <c r="S4" s="204" t="s">
        <v>96</v>
      </c>
    </row>
    <row r="5" spans="1:21" x14ac:dyDescent="0.2">
      <c r="A5" s="40">
        <v>3656</v>
      </c>
      <c r="B5" s="39" t="s">
        <v>73</v>
      </c>
      <c r="C5" s="70">
        <f t="shared" ref="C5:C42" si="0">SUM(D5:M5)</f>
        <v>12113913.667059232</v>
      </c>
      <c r="D5" s="68">
        <f t="shared" ref="D5:M5" si="1">D48/$C$86*$C$43</f>
        <v>0</v>
      </c>
      <c r="E5" s="67">
        <f t="shared" si="1"/>
        <v>3395015.3987365267</v>
      </c>
      <c r="F5" s="67">
        <f t="shared" si="1"/>
        <v>0</v>
      </c>
      <c r="G5" s="66">
        <f t="shared" si="1"/>
        <v>388545.00279535248</v>
      </c>
      <c r="H5" s="68">
        <f t="shared" si="1"/>
        <v>0</v>
      </c>
      <c r="I5" s="66">
        <f t="shared" si="1"/>
        <v>0</v>
      </c>
      <c r="J5" s="69">
        <f t="shared" si="1"/>
        <v>5577924.028297117</v>
      </c>
      <c r="K5" s="68">
        <f t="shared" si="1"/>
        <v>866834.23648457555</v>
      </c>
      <c r="L5" s="67">
        <f t="shared" si="1"/>
        <v>714855.4977161464</v>
      </c>
      <c r="M5" s="66">
        <f t="shared" si="1"/>
        <v>1170739.5030295132</v>
      </c>
      <c r="O5" s="74">
        <v>5.3941374102444546E-2</v>
      </c>
      <c r="P5" s="119">
        <f t="shared" ref="P5:P42" si="2">MIN(0,C48/$C$86-O5+$P$44)*-1*$Q$43</f>
        <v>0</v>
      </c>
      <c r="Q5" s="159">
        <f t="shared" ref="Q5:Q42" si="3">C5+P5</f>
        <v>12113913.667059232</v>
      </c>
      <c r="S5" s="205">
        <f t="shared" ref="S5:S43" si="4">Q5-O5*$Q$43</f>
        <v>-562309.24701523595</v>
      </c>
      <c r="T5" s="202"/>
      <c r="U5" s="203"/>
    </row>
    <row r="6" spans="1:21" x14ac:dyDescent="0.2">
      <c r="A6" s="20">
        <v>3658</v>
      </c>
      <c r="B6" s="19" t="s">
        <v>72</v>
      </c>
      <c r="C6" s="55">
        <f t="shared" si="0"/>
        <v>25269136.807533711</v>
      </c>
      <c r="D6" s="15">
        <f t="shared" ref="D6:M6" si="5">D49/$C$86*$C$43</f>
        <v>0</v>
      </c>
      <c r="E6" s="14">
        <f t="shared" si="5"/>
        <v>11616700.832834447</v>
      </c>
      <c r="F6" s="14">
        <f t="shared" si="5"/>
        <v>0</v>
      </c>
      <c r="G6" s="13">
        <f t="shared" si="5"/>
        <v>1446867.2787537479</v>
      </c>
      <c r="H6" s="15">
        <f t="shared" si="5"/>
        <v>0</v>
      </c>
      <c r="I6" s="13">
        <f t="shared" si="5"/>
        <v>0</v>
      </c>
      <c r="J6" s="16">
        <f t="shared" si="5"/>
        <v>4141475.3286693264</v>
      </c>
      <c r="K6" s="15">
        <f t="shared" si="5"/>
        <v>608525.32643164846</v>
      </c>
      <c r="L6" s="14">
        <f t="shared" si="5"/>
        <v>1679267.1056253477</v>
      </c>
      <c r="M6" s="13">
        <f t="shared" si="5"/>
        <v>5776300.9352191985</v>
      </c>
      <c r="O6" s="74">
        <v>9.7535367886092073E-2</v>
      </c>
      <c r="P6" s="120">
        <f t="shared" si="2"/>
        <v>0</v>
      </c>
      <c r="Q6" s="160">
        <f t="shared" si="3"/>
        <v>25269136.807533711</v>
      </c>
      <c r="S6" s="206">
        <f t="shared" si="4"/>
        <v>2348325.3543020748</v>
      </c>
      <c r="T6" s="202"/>
      <c r="U6" s="203"/>
    </row>
    <row r="7" spans="1:21" x14ac:dyDescent="0.2">
      <c r="A7" s="20">
        <v>9741</v>
      </c>
      <c r="B7" s="19" t="s">
        <v>71</v>
      </c>
      <c r="C7" s="55">
        <f t="shared" si="0"/>
        <v>6237091.5928102145</v>
      </c>
      <c r="D7" s="15">
        <f t="shared" ref="D7:M7" si="6">D50/$C$86*$C$43</f>
        <v>0</v>
      </c>
      <c r="E7" s="14">
        <f t="shared" si="6"/>
        <v>2195836.3819399043</v>
      </c>
      <c r="F7" s="14">
        <f t="shared" si="6"/>
        <v>0</v>
      </c>
      <c r="G7" s="13">
        <f t="shared" si="6"/>
        <v>190242.0614451617</v>
      </c>
      <c r="H7" s="15">
        <f t="shared" si="6"/>
        <v>0</v>
      </c>
      <c r="I7" s="13">
        <f t="shared" si="6"/>
        <v>0</v>
      </c>
      <c r="J7" s="16">
        <f t="shared" si="6"/>
        <v>2362323.6230239933</v>
      </c>
      <c r="K7" s="15">
        <f t="shared" si="6"/>
        <v>420335.77852840727</v>
      </c>
      <c r="L7" s="14">
        <f t="shared" si="6"/>
        <v>397984.50151086733</v>
      </c>
      <c r="M7" s="13">
        <f t="shared" si="6"/>
        <v>670369.24636188149</v>
      </c>
      <c r="O7" s="74">
        <v>3.0845130992374833E-2</v>
      </c>
      <c r="P7" s="120">
        <f t="shared" si="2"/>
        <v>0</v>
      </c>
      <c r="Q7" s="160">
        <f t="shared" si="3"/>
        <v>6237091.5928102145</v>
      </c>
      <c r="S7" s="206">
        <f t="shared" si="4"/>
        <v>-1011514.1903978717</v>
      </c>
      <c r="T7" s="202"/>
      <c r="U7" s="203"/>
    </row>
    <row r="8" spans="1:21" x14ac:dyDescent="0.2">
      <c r="A8" s="20">
        <v>3661</v>
      </c>
      <c r="B8" s="19" t="s">
        <v>70</v>
      </c>
      <c r="C8" s="55">
        <f t="shared" si="0"/>
        <v>8665637.0895929486</v>
      </c>
      <c r="D8" s="15">
        <f t="shared" ref="D8:M8" si="7">D51/$C$86*$C$43</f>
        <v>0</v>
      </c>
      <c r="E8" s="14">
        <f t="shared" si="7"/>
        <v>1556187.7724445302</v>
      </c>
      <c r="F8" s="14">
        <f t="shared" si="7"/>
        <v>0</v>
      </c>
      <c r="G8" s="13">
        <f t="shared" si="7"/>
        <v>234877.73568583009</v>
      </c>
      <c r="H8" s="15">
        <f t="shared" si="7"/>
        <v>0</v>
      </c>
      <c r="I8" s="13">
        <f t="shared" si="7"/>
        <v>0</v>
      </c>
      <c r="J8" s="16">
        <f t="shared" si="7"/>
        <v>4411381.294522956</v>
      </c>
      <c r="K8" s="15">
        <f t="shared" si="7"/>
        <v>553177.94563899387</v>
      </c>
      <c r="L8" s="14">
        <f t="shared" si="7"/>
        <v>626158.96739348385</v>
      </c>
      <c r="M8" s="13">
        <f t="shared" si="7"/>
        <v>1283853.3739071547</v>
      </c>
      <c r="O8" s="74">
        <v>3.8067899960727944E-2</v>
      </c>
      <c r="P8" s="120">
        <f t="shared" si="2"/>
        <v>0</v>
      </c>
      <c r="Q8" s="160">
        <f t="shared" si="3"/>
        <v>8665637.0895929486</v>
      </c>
      <c r="S8" s="206">
        <f t="shared" si="4"/>
        <v>-280319.40117811784</v>
      </c>
      <c r="T8" s="202"/>
      <c r="U8" s="203"/>
    </row>
    <row r="9" spans="1:21" x14ac:dyDescent="0.2">
      <c r="A9" s="20">
        <v>3599</v>
      </c>
      <c r="B9" s="19" t="s">
        <v>69</v>
      </c>
      <c r="C9" s="55">
        <f t="shared" si="0"/>
        <v>8195703.6036012247</v>
      </c>
      <c r="D9" s="15">
        <f t="shared" ref="D9:M9" si="8">D52/$C$86*$C$43</f>
        <v>0</v>
      </c>
      <c r="E9" s="14">
        <f t="shared" si="8"/>
        <v>1451439.4699033482</v>
      </c>
      <c r="F9" s="14">
        <f t="shared" si="8"/>
        <v>0</v>
      </c>
      <c r="G9" s="13">
        <f t="shared" si="8"/>
        <v>191471.38168112663</v>
      </c>
      <c r="H9" s="15">
        <f t="shared" si="8"/>
        <v>0</v>
      </c>
      <c r="I9" s="13">
        <f t="shared" si="8"/>
        <v>0</v>
      </c>
      <c r="J9" s="16">
        <f t="shared" si="8"/>
        <v>4185829.8094249335</v>
      </c>
      <c r="K9" s="15">
        <f t="shared" si="8"/>
        <v>516744.61822909064</v>
      </c>
      <c r="L9" s="14">
        <f t="shared" si="8"/>
        <v>577304.39638184221</v>
      </c>
      <c r="M9" s="13">
        <f t="shared" si="8"/>
        <v>1272913.9279808835</v>
      </c>
      <c r="O9" s="74">
        <v>3.6041180893975448E-2</v>
      </c>
      <c r="P9" s="120">
        <f t="shared" si="2"/>
        <v>0</v>
      </c>
      <c r="Q9" s="160">
        <f t="shared" si="3"/>
        <v>8195703.6036012247</v>
      </c>
      <c r="S9" s="206">
        <f t="shared" si="4"/>
        <v>-273973.90648300573</v>
      </c>
      <c r="T9" s="202"/>
      <c r="U9" s="203"/>
    </row>
    <row r="10" spans="1:21" x14ac:dyDescent="0.2">
      <c r="A10" s="20">
        <v>30646</v>
      </c>
      <c r="B10" s="19" t="s">
        <v>68</v>
      </c>
      <c r="C10" s="55">
        <f t="shared" si="0"/>
        <v>3109732.7621393595</v>
      </c>
      <c r="D10" s="15">
        <f t="shared" ref="D10:M10" si="9">D53/$C$86*$C$43</f>
        <v>0</v>
      </c>
      <c r="E10" s="14">
        <f t="shared" si="9"/>
        <v>819935.67661637254</v>
      </c>
      <c r="F10" s="14">
        <f t="shared" si="9"/>
        <v>0</v>
      </c>
      <c r="G10" s="13">
        <f t="shared" si="9"/>
        <v>156468.38682608082</v>
      </c>
      <c r="H10" s="15">
        <f t="shared" si="9"/>
        <v>0</v>
      </c>
      <c r="I10" s="13">
        <f t="shared" si="9"/>
        <v>0</v>
      </c>
      <c r="J10" s="16">
        <f t="shared" si="9"/>
        <v>1676718.7119720688</v>
      </c>
      <c r="K10" s="15">
        <f t="shared" si="9"/>
        <v>336353.1549048833</v>
      </c>
      <c r="L10" s="14">
        <f t="shared" si="9"/>
        <v>103738.26847128496</v>
      </c>
      <c r="M10" s="13">
        <f t="shared" si="9"/>
        <v>16518.563348669082</v>
      </c>
      <c r="O10" s="74">
        <v>1.3127311227878089E-2</v>
      </c>
      <c r="P10" s="120">
        <f t="shared" si="2"/>
        <v>0</v>
      </c>
      <c r="Q10" s="160">
        <f t="shared" si="3"/>
        <v>3109732.7621393595</v>
      </c>
      <c r="S10" s="206">
        <f t="shared" si="4"/>
        <v>24814.623588008806</v>
      </c>
      <c r="T10" s="202"/>
      <c r="U10" s="203"/>
    </row>
    <row r="11" spans="1:21" x14ac:dyDescent="0.2">
      <c r="A11" s="20">
        <v>9930</v>
      </c>
      <c r="B11" s="19" t="s">
        <v>67</v>
      </c>
      <c r="C11" s="55">
        <f t="shared" si="0"/>
        <v>1420846.3148754477</v>
      </c>
      <c r="D11" s="15">
        <f t="shared" ref="D11:M11" si="10">D54/$C$86*$C$43</f>
        <v>0</v>
      </c>
      <c r="E11" s="14">
        <f t="shared" si="10"/>
        <v>309089.07217136357</v>
      </c>
      <c r="F11" s="14">
        <f t="shared" si="10"/>
        <v>0</v>
      </c>
      <c r="G11" s="13">
        <f t="shared" si="10"/>
        <v>74700.255131312253</v>
      </c>
      <c r="H11" s="15">
        <f t="shared" si="10"/>
        <v>0</v>
      </c>
      <c r="I11" s="13">
        <f t="shared" si="10"/>
        <v>0</v>
      </c>
      <c r="J11" s="16">
        <f t="shared" si="10"/>
        <v>714246.36947706982</v>
      </c>
      <c r="K11" s="15">
        <f t="shared" si="10"/>
        <v>199242.11764534054</v>
      </c>
      <c r="L11" s="14">
        <f t="shared" si="10"/>
        <v>91680.01557528181</v>
      </c>
      <c r="M11" s="13">
        <f t="shared" si="10"/>
        <v>31888.484875079717</v>
      </c>
      <c r="O11" s="74">
        <v>6.658597974462911E-3</v>
      </c>
      <c r="P11" s="120">
        <f t="shared" si="2"/>
        <v>0</v>
      </c>
      <c r="Q11" s="160">
        <f t="shared" si="3"/>
        <v>1420846.3148754477</v>
      </c>
      <c r="S11" s="206">
        <f t="shared" si="4"/>
        <v>-143924.20912333648</v>
      </c>
      <c r="T11" s="202"/>
      <c r="U11" s="203"/>
    </row>
    <row r="12" spans="1:21" x14ac:dyDescent="0.2">
      <c r="A12" s="20">
        <v>10115</v>
      </c>
      <c r="B12" s="19" t="s">
        <v>66</v>
      </c>
      <c r="C12" s="55">
        <f t="shared" si="0"/>
        <v>11584558.498945387</v>
      </c>
      <c r="D12" s="15">
        <f t="shared" ref="D12:M12" si="11">D55/$C$86*$C$43</f>
        <v>0</v>
      </c>
      <c r="E12" s="14">
        <f t="shared" si="11"/>
        <v>2267426.9338174933</v>
      </c>
      <c r="F12" s="14">
        <f t="shared" si="11"/>
        <v>0</v>
      </c>
      <c r="G12" s="13">
        <f t="shared" si="11"/>
        <v>313796.01740490861</v>
      </c>
      <c r="H12" s="15">
        <f t="shared" si="11"/>
        <v>0</v>
      </c>
      <c r="I12" s="13">
        <f t="shared" si="11"/>
        <v>0</v>
      </c>
      <c r="J12" s="16">
        <f t="shared" si="11"/>
        <v>5591648.0604591658</v>
      </c>
      <c r="K12" s="15">
        <f t="shared" si="11"/>
        <v>863452.95319827367</v>
      </c>
      <c r="L12" s="14">
        <f t="shared" si="11"/>
        <v>831397.89039658941</v>
      </c>
      <c r="M12" s="13">
        <f t="shared" si="11"/>
        <v>1716836.6436689571</v>
      </c>
      <c r="O12" s="74">
        <v>5.1993931386758195E-2</v>
      </c>
      <c r="P12" s="120">
        <f t="shared" si="2"/>
        <v>0</v>
      </c>
      <c r="Q12" s="160">
        <f t="shared" si="3"/>
        <v>11584558.498945387</v>
      </c>
      <c r="S12" s="206">
        <f t="shared" si="4"/>
        <v>-634015.37694278918</v>
      </c>
      <c r="T12" s="202"/>
      <c r="U12" s="203"/>
    </row>
    <row r="13" spans="1:21" x14ac:dyDescent="0.2">
      <c r="A13" s="20">
        <v>11163</v>
      </c>
      <c r="B13" s="19" t="s">
        <v>65</v>
      </c>
      <c r="C13" s="55">
        <f t="shared" si="0"/>
        <v>3257823.0615038509</v>
      </c>
      <c r="D13" s="15">
        <f t="shared" ref="D13:M13" si="12">D56/$C$86*$C$43</f>
        <v>0</v>
      </c>
      <c r="E13" s="14">
        <f t="shared" si="12"/>
        <v>800973.17797357612</v>
      </c>
      <c r="F13" s="14">
        <f t="shared" si="12"/>
        <v>0</v>
      </c>
      <c r="G13" s="13">
        <f t="shared" si="12"/>
        <v>176224.031673841</v>
      </c>
      <c r="H13" s="15">
        <f t="shared" si="12"/>
        <v>0</v>
      </c>
      <c r="I13" s="13">
        <f t="shared" si="12"/>
        <v>0</v>
      </c>
      <c r="J13" s="16">
        <f t="shared" si="12"/>
        <v>1686862.5618309746</v>
      </c>
      <c r="K13" s="15">
        <f t="shared" si="12"/>
        <v>364248.74201687408</v>
      </c>
      <c r="L13" s="14">
        <f t="shared" si="12"/>
        <v>165956.36717695076</v>
      </c>
      <c r="M13" s="13">
        <f t="shared" si="12"/>
        <v>63558.180831634003</v>
      </c>
      <c r="O13" s="74">
        <v>1.2069401585431769E-2</v>
      </c>
      <c r="P13" s="120">
        <f t="shared" si="2"/>
        <v>0</v>
      </c>
      <c r="Q13" s="160">
        <f t="shared" si="3"/>
        <v>3257823.0615038509</v>
      </c>
      <c r="S13" s="206">
        <f t="shared" si="4"/>
        <v>421513.68892738502</v>
      </c>
      <c r="T13" s="202"/>
      <c r="U13" s="203"/>
    </row>
    <row r="14" spans="1:21" x14ac:dyDescent="0.2">
      <c r="A14" s="20">
        <v>3632</v>
      </c>
      <c r="B14" s="19" t="s">
        <v>64</v>
      </c>
      <c r="C14" s="55">
        <f t="shared" si="0"/>
        <v>25409831.134893507</v>
      </c>
      <c r="D14" s="15">
        <f t="shared" ref="D14:M14" si="13">D57/$C$86*$C$43</f>
        <v>0</v>
      </c>
      <c r="E14" s="14">
        <f t="shared" si="13"/>
        <v>11508054.109563172</v>
      </c>
      <c r="F14" s="14">
        <f t="shared" si="13"/>
        <v>0</v>
      </c>
      <c r="G14" s="13">
        <f t="shared" si="13"/>
        <v>1499560.600790398</v>
      </c>
      <c r="H14" s="15">
        <f t="shared" si="13"/>
        <v>0</v>
      </c>
      <c r="I14" s="13">
        <f t="shared" si="13"/>
        <v>0</v>
      </c>
      <c r="J14" s="16">
        <f t="shared" si="13"/>
        <v>4444199.6323017692</v>
      </c>
      <c r="K14" s="15">
        <f t="shared" si="13"/>
        <v>637836.82591977809</v>
      </c>
      <c r="L14" s="14">
        <f t="shared" si="13"/>
        <v>1660931.1025102916</v>
      </c>
      <c r="M14" s="13">
        <f t="shared" si="13"/>
        <v>5659248.8638081001</v>
      </c>
      <c r="O14" s="74">
        <v>0.10514316433214833</v>
      </c>
      <c r="P14" s="120">
        <f t="shared" si="2"/>
        <v>0</v>
      </c>
      <c r="Q14" s="160">
        <f t="shared" si="3"/>
        <v>25409831.134893507</v>
      </c>
      <c r="S14" s="206">
        <f t="shared" si="4"/>
        <v>701187.51683864743</v>
      </c>
      <c r="T14" s="202"/>
      <c r="U14" s="203"/>
    </row>
    <row r="15" spans="1:21" x14ac:dyDescent="0.2">
      <c r="A15" s="20">
        <v>10298</v>
      </c>
      <c r="B15" s="19" t="s">
        <v>63</v>
      </c>
      <c r="C15" s="55">
        <f t="shared" si="0"/>
        <v>1216015.756416294</v>
      </c>
      <c r="D15" s="15">
        <f t="shared" ref="D15:M15" si="14">D58/$C$86*$C$43</f>
        <v>0</v>
      </c>
      <c r="E15" s="14">
        <f t="shared" si="14"/>
        <v>338181.90705285344</v>
      </c>
      <c r="F15" s="14">
        <f t="shared" si="14"/>
        <v>0</v>
      </c>
      <c r="G15" s="13">
        <f t="shared" si="14"/>
        <v>78766.994154402943</v>
      </c>
      <c r="H15" s="15">
        <f t="shared" si="14"/>
        <v>0</v>
      </c>
      <c r="I15" s="13">
        <f t="shared" si="14"/>
        <v>0</v>
      </c>
      <c r="J15" s="16">
        <f t="shared" si="14"/>
        <v>424251.60292247008</v>
      </c>
      <c r="K15" s="15">
        <f t="shared" si="14"/>
        <v>225320.2649909441</v>
      </c>
      <c r="L15" s="14">
        <f t="shared" si="14"/>
        <v>88945.154093714067</v>
      </c>
      <c r="M15" s="13">
        <f t="shared" si="14"/>
        <v>60549.833201909496</v>
      </c>
      <c r="O15" s="74">
        <v>7.0859752523080169E-3</v>
      </c>
      <c r="P15" s="120">
        <f t="shared" si="2"/>
        <v>0</v>
      </c>
      <c r="Q15" s="160">
        <f t="shared" si="3"/>
        <v>1216015.756416294</v>
      </c>
      <c r="S15" s="206">
        <f t="shared" si="4"/>
        <v>-449188.42787608993</v>
      </c>
      <c r="T15" s="202"/>
      <c r="U15" s="203"/>
    </row>
    <row r="16" spans="1:21" x14ac:dyDescent="0.2">
      <c r="A16" s="20">
        <v>3630</v>
      </c>
      <c r="B16" s="19" t="s">
        <v>62</v>
      </c>
      <c r="C16" s="55">
        <f t="shared" si="0"/>
        <v>2994341.5131755462</v>
      </c>
      <c r="D16" s="15">
        <f t="shared" ref="D16:M16" si="15">D59/$C$86*$C$43</f>
        <v>0</v>
      </c>
      <c r="E16" s="14">
        <f t="shared" si="15"/>
        <v>454240.70577995339</v>
      </c>
      <c r="F16" s="14">
        <f t="shared" si="15"/>
        <v>0</v>
      </c>
      <c r="G16" s="13">
        <f t="shared" si="15"/>
        <v>77305.832251933214</v>
      </c>
      <c r="H16" s="15">
        <f t="shared" si="15"/>
        <v>0</v>
      </c>
      <c r="I16" s="13">
        <f t="shared" si="15"/>
        <v>0</v>
      </c>
      <c r="J16" s="16">
        <f t="shared" si="15"/>
        <v>1436846.4976614739</v>
      </c>
      <c r="K16" s="15">
        <f t="shared" si="15"/>
        <v>211499.26955818498</v>
      </c>
      <c r="L16" s="14">
        <f t="shared" si="15"/>
        <v>220218.50520896501</v>
      </c>
      <c r="M16" s="13">
        <f t="shared" si="15"/>
        <v>594230.70271503599</v>
      </c>
      <c r="O16" s="74">
        <v>1.5279410782616385E-2</v>
      </c>
      <c r="P16" s="120">
        <f t="shared" si="2"/>
        <v>0</v>
      </c>
      <c r="Q16" s="160">
        <f t="shared" si="3"/>
        <v>2994341.5131755462</v>
      </c>
      <c r="S16" s="206">
        <f t="shared" si="4"/>
        <v>-596320.02073930437</v>
      </c>
      <c r="T16" s="202"/>
      <c r="U16" s="203"/>
    </row>
    <row r="17" spans="1:21" x14ac:dyDescent="0.2">
      <c r="A17" s="20">
        <v>3631</v>
      </c>
      <c r="B17" s="19" t="s">
        <v>61</v>
      </c>
      <c r="C17" s="55">
        <f t="shared" si="0"/>
        <v>4306920.8983086525</v>
      </c>
      <c r="D17" s="15">
        <f t="shared" ref="D17:M17" si="16">D60/$C$86*$C$43</f>
        <v>0</v>
      </c>
      <c r="E17" s="14">
        <f t="shared" si="16"/>
        <v>964166.46487094474</v>
      </c>
      <c r="F17" s="14">
        <f t="shared" si="16"/>
        <v>0</v>
      </c>
      <c r="G17" s="13">
        <f t="shared" si="16"/>
        <v>116450.77482081144</v>
      </c>
      <c r="H17" s="15">
        <f t="shared" si="16"/>
        <v>0</v>
      </c>
      <c r="I17" s="13">
        <f t="shared" si="16"/>
        <v>0</v>
      </c>
      <c r="J17" s="16">
        <f t="shared" si="16"/>
        <v>2139158.9261280661</v>
      </c>
      <c r="K17" s="15">
        <f t="shared" si="16"/>
        <v>273165.42349211627</v>
      </c>
      <c r="L17" s="14">
        <f t="shared" si="16"/>
        <v>247753.58785293103</v>
      </c>
      <c r="M17" s="13">
        <f t="shared" si="16"/>
        <v>566225.72114378249</v>
      </c>
      <c r="O17" s="74">
        <v>1.9985241623354359E-2</v>
      </c>
      <c r="P17" s="120">
        <f t="shared" si="2"/>
        <v>0</v>
      </c>
      <c r="Q17" s="160">
        <f t="shared" si="3"/>
        <v>4306920.8983086525</v>
      </c>
      <c r="S17" s="206">
        <f t="shared" si="4"/>
        <v>-389610.88317962177</v>
      </c>
      <c r="T17" s="202"/>
      <c r="U17" s="203"/>
    </row>
    <row r="18" spans="1:21" x14ac:dyDescent="0.2">
      <c r="A18" s="65">
        <v>103631</v>
      </c>
      <c r="B18" s="19" t="s">
        <v>60</v>
      </c>
      <c r="C18" s="55">
        <f t="shared" si="0"/>
        <v>1092149.9019357553</v>
      </c>
      <c r="D18" s="15">
        <f t="shared" ref="D18:M18" si="17">D61/$C$86*$C$43</f>
        <v>0</v>
      </c>
      <c r="E18" s="14">
        <f t="shared" si="17"/>
        <v>287211.79637333355</v>
      </c>
      <c r="F18" s="14">
        <f t="shared" si="17"/>
        <v>0</v>
      </c>
      <c r="G18" s="13">
        <f t="shared" si="17"/>
        <v>63668.818409751912</v>
      </c>
      <c r="H18" s="15">
        <f t="shared" si="17"/>
        <v>0</v>
      </c>
      <c r="I18" s="13">
        <f t="shared" si="17"/>
        <v>0</v>
      </c>
      <c r="J18" s="16">
        <f t="shared" si="17"/>
        <v>585359.8065639144</v>
      </c>
      <c r="K18" s="15">
        <f t="shared" si="17"/>
        <v>125530.14200395872</v>
      </c>
      <c r="L18" s="14">
        <f t="shared" si="17"/>
        <v>24800.221162398262</v>
      </c>
      <c r="M18" s="13">
        <f t="shared" si="17"/>
        <v>5579.1174223981661</v>
      </c>
      <c r="O18" s="74">
        <v>3.4527219750504121E-3</v>
      </c>
      <c r="P18" s="120">
        <f t="shared" si="2"/>
        <v>0</v>
      </c>
      <c r="Q18" s="160">
        <f t="shared" si="3"/>
        <v>1092149.9019357553</v>
      </c>
      <c r="S18" s="206">
        <f t="shared" si="4"/>
        <v>280760.23779890838</v>
      </c>
      <c r="T18" s="202"/>
      <c r="U18" s="203"/>
    </row>
    <row r="19" spans="1:21" x14ac:dyDescent="0.2">
      <c r="A19" s="20">
        <v>11161</v>
      </c>
      <c r="B19" s="19" t="s">
        <v>59</v>
      </c>
      <c r="C19" s="55">
        <f t="shared" si="0"/>
        <v>4069139.485600715</v>
      </c>
      <c r="D19" s="15">
        <f t="shared" ref="D19:M19" si="18">D62/$C$86*$C$43</f>
        <v>0</v>
      </c>
      <c r="E19" s="14">
        <f t="shared" si="18"/>
        <v>920575.50771623652</v>
      </c>
      <c r="F19" s="14">
        <f t="shared" si="18"/>
        <v>0</v>
      </c>
      <c r="G19" s="13">
        <f t="shared" si="18"/>
        <v>104578.61681743991</v>
      </c>
      <c r="H19" s="15">
        <f t="shared" si="18"/>
        <v>0</v>
      </c>
      <c r="I19" s="13">
        <f t="shared" si="18"/>
        <v>0</v>
      </c>
      <c r="J19" s="16">
        <f t="shared" si="18"/>
        <v>1933298.4436973319</v>
      </c>
      <c r="K19" s="15">
        <f t="shared" si="18"/>
        <v>260443.34512740528</v>
      </c>
      <c r="L19" s="14">
        <f t="shared" si="18"/>
        <v>273734.77192782442</v>
      </c>
      <c r="M19" s="13">
        <f t="shared" si="18"/>
        <v>576508.80031447706</v>
      </c>
      <c r="O19" s="74">
        <v>1.9224284187157891E-2</v>
      </c>
      <c r="P19" s="120">
        <f t="shared" si="2"/>
        <v>0</v>
      </c>
      <c r="Q19" s="160">
        <f t="shared" si="3"/>
        <v>4069139.485600715</v>
      </c>
      <c r="S19" s="206">
        <f t="shared" si="4"/>
        <v>-448567.29838138958</v>
      </c>
      <c r="T19" s="202"/>
      <c r="U19" s="203"/>
    </row>
    <row r="20" spans="1:21" x14ac:dyDescent="0.2">
      <c r="A20" s="20">
        <v>3639</v>
      </c>
      <c r="B20" s="19" t="s">
        <v>58</v>
      </c>
      <c r="C20" s="55">
        <f t="shared" si="0"/>
        <v>2308948.6782003287</v>
      </c>
      <c r="D20" s="15">
        <f t="shared" ref="D20:M20" si="19">D63/$C$86*$C$43</f>
        <v>0</v>
      </c>
      <c r="E20" s="14">
        <f t="shared" si="19"/>
        <v>399993.4851742023</v>
      </c>
      <c r="F20" s="14">
        <f t="shared" si="19"/>
        <v>0</v>
      </c>
      <c r="G20" s="13">
        <f t="shared" si="19"/>
        <v>65765.462671030444</v>
      </c>
      <c r="H20" s="15">
        <f t="shared" si="19"/>
        <v>0</v>
      </c>
      <c r="I20" s="13">
        <f t="shared" si="19"/>
        <v>0</v>
      </c>
      <c r="J20" s="16">
        <f t="shared" si="19"/>
        <v>1160575.7632689229</v>
      </c>
      <c r="K20" s="15">
        <f t="shared" si="19"/>
        <v>155623.5632520458</v>
      </c>
      <c r="L20" s="14">
        <f t="shared" si="19"/>
        <v>160300.17638552657</v>
      </c>
      <c r="M20" s="13">
        <f t="shared" si="19"/>
        <v>366690.22744860093</v>
      </c>
      <c r="O20" s="74">
        <v>1.296528221607569E-2</v>
      </c>
      <c r="P20" s="120">
        <f t="shared" si="2"/>
        <v>0</v>
      </c>
      <c r="Q20" s="160">
        <f t="shared" si="3"/>
        <v>2308948.6782003287</v>
      </c>
      <c r="S20" s="206">
        <f t="shared" si="4"/>
        <v>-737892.64257745864</v>
      </c>
      <c r="T20" s="202"/>
      <c r="U20" s="203"/>
    </row>
    <row r="21" spans="1:21" x14ac:dyDescent="0.2">
      <c r="A21" s="65">
        <v>103639</v>
      </c>
      <c r="B21" s="19" t="s">
        <v>57</v>
      </c>
      <c r="C21" s="55">
        <f t="shared" si="0"/>
        <v>1462783.6546102441</v>
      </c>
      <c r="D21" s="15">
        <f t="shared" ref="D21:M21" si="20">D64/$C$86*$C$43</f>
        <v>0</v>
      </c>
      <c r="E21" s="14">
        <f t="shared" si="20"/>
        <v>308616.41766394686</v>
      </c>
      <c r="F21" s="14">
        <f t="shared" si="20"/>
        <v>0</v>
      </c>
      <c r="G21" s="13">
        <f t="shared" si="20"/>
        <v>76527.391224770603</v>
      </c>
      <c r="H21" s="15">
        <f t="shared" si="20"/>
        <v>0</v>
      </c>
      <c r="I21" s="13">
        <f t="shared" si="20"/>
        <v>0</v>
      </c>
      <c r="J21" s="16">
        <f t="shared" si="20"/>
        <v>877741.36132060969</v>
      </c>
      <c r="K21" s="15">
        <f t="shared" si="20"/>
        <v>185040.72784287244</v>
      </c>
      <c r="L21" s="14">
        <f t="shared" si="20"/>
        <v>14420.178720993474</v>
      </c>
      <c r="M21" s="13">
        <f t="shared" si="20"/>
        <v>437.57783705083659</v>
      </c>
      <c r="O21" s="74">
        <v>5.939285915308113E-3</v>
      </c>
      <c r="P21" s="120">
        <f t="shared" si="2"/>
        <v>0</v>
      </c>
      <c r="Q21" s="160">
        <f t="shared" si="3"/>
        <v>1462783.6546102441</v>
      </c>
      <c r="S21" s="206">
        <f t="shared" si="4"/>
        <v>67051.464512837585</v>
      </c>
      <c r="T21" s="202"/>
      <c r="U21" s="203"/>
    </row>
    <row r="22" spans="1:21" x14ac:dyDescent="0.2">
      <c r="A22" s="20">
        <v>9651</v>
      </c>
      <c r="B22" s="19" t="s">
        <v>56</v>
      </c>
      <c r="C22" s="55">
        <f t="shared" si="0"/>
        <v>2496661.5521785216</v>
      </c>
      <c r="D22" s="15">
        <f t="shared" ref="D22:M22" si="21">D65/$C$86*$C$43</f>
        <v>0</v>
      </c>
      <c r="E22" s="14">
        <f t="shared" si="21"/>
        <v>487879.81278295029</v>
      </c>
      <c r="F22" s="14">
        <f t="shared" si="21"/>
        <v>0</v>
      </c>
      <c r="G22" s="13">
        <f t="shared" si="21"/>
        <v>54392.541199930994</v>
      </c>
      <c r="H22" s="15">
        <f t="shared" si="21"/>
        <v>0</v>
      </c>
      <c r="I22" s="13">
        <f t="shared" si="21"/>
        <v>0</v>
      </c>
      <c r="J22" s="16">
        <f t="shared" si="21"/>
        <v>1275738.2940200295</v>
      </c>
      <c r="K22" s="15">
        <f t="shared" si="21"/>
        <v>178362.6933524262</v>
      </c>
      <c r="L22" s="14">
        <f t="shared" si="21"/>
        <v>189389.15759856513</v>
      </c>
      <c r="M22" s="13">
        <f t="shared" si="21"/>
        <v>310899.05322461942</v>
      </c>
      <c r="O22" s="74">
        <v>1.0886031395541047E-2</v>
      </c>
      <c r="P22" s="120">
        <f t="shared" si="2"/>
        <v>0</v>
      </c>
      <c r="Q22" s="160">
        <f t="shared" si="3"/>
        <v>2496661.5521785216</v>
      </c>
      <c r="S22" s="206">
        <f t="shared" si="4"/>
        <v>-61555.825773624238</v>
      </c>
      <c r="T22" s="202"/>
      <c r="U22" s="203"/>
    </row>
    <row r="23" spans="1:21" x14ac:dyDescent="0.2">
      <c r="A23" s="20">
        <v>3665</v>
      </c>
      <c r="B23" s="19" t="s">
        <v>55</v>
      </c>
      <c r="C23" s="55">
        <f t="shared" si="0"/>
        <v>3344153.5222720047</v>
      </c>
      <c r="D23" s="15">
        <f t="shared" ref="D23:M23" si="22">D66/$C$86*$C$43</f>
        <v>0</v>
      </c>
      <c r="E23" s="14">
        <f t="shared" si="22"/>
        <v>771417.98575252038</v>
      </c>
      <c r="F23" s="14">
        <f t="shared" si="22"/>
        <v>0</v>
      </c>
      <c r="G23" s="13">
        <f t="shared" si="22"/>
        <v>93367.300797524193</v>
      </c>
      <c r="H23" s="15">
        <f t="shared" si="22"/>
        <v>0</v>
      </c>
      <c r="I23" s="13">
        <f t="shared" si="22"/>
        <v>0</v>
      </c>
      <c r="J23" s="16">
        <f t="shared" si="22"/>
        <v>1591987.7307976796</v>
      </c>
      <c r="K23" s="15">
        <f t="shared" si="22"/>
        <v>227179.97079841016</v>
      </c>
      <c r="L23" s="14">
        <f t="shared" si="22"/>
        <v>226123.31977144079</v>
      </c>
      <c r="M23" s="13">
        <f t="shared" si="22"/>
        <v>434077.21435442986</v>
      </c>
      <c r="O23" s="74">
        <v>1.5183466872892367E-2</v>
      </c>
      <c r="P23" s="120">
        <f t="shared" si="2"/>
        <v>0</v>
      </c>
      <c r="Q23" s="160">
        <f t="shared" si="3"/>
        <v>3344153.5222720047</v>
      </c>
      <c r="S23" s="206">
        <f t="shared" si="4"/>
        <v>-223961.1928577018</v>
      </c>
      <c r="T23" s="202"/>
      <c r="U23" s="203"/>
    </row>
    <row r="24" spans="1:21" x14ac:dyDescent="0.2">
      <c r="A24" s="20">
        <v>3565</v>
      </c>
      <c r="B24" s="19" t="s">
        <v>54</v>
      </c>
      <c r="C24" s="55">
        <f t="shared" si="0"/>
        <v>3427595.4306307873</v>
      </c>
      <c r="D24" s="15">
        <f t="shared" ref="D24:M24" si="23">D67/$C$86*$C$43</f>
        <v>0</v>
      </c>
      <c r="E24" s="14">
        <f t="shared" si="23"/>
        <v>760592.32663880079</v>
      </c>
      <c r="F24" s="14">
        <f t="shared" si="23"/>
        <v>0</v>
      </c>
      <c r="G24" s="13">
        <f t="shared" si="23"/>
        <v>93302.037057623427</v>
      </c>
      <c r="H24" s="15">
        <f t="shared" si="23"/>
        <v>0</v>
      </c>
      <c r="I24" s="13">
        <f t="shared" si="23"/>
        <v>0</v>
      </c>
      <c r="J24" s="16">
        <f t="shared" si="23"/>
        <v>1824699.5805019881</v>
      </c>
      <c r="K24" s="15">
        <f t="shared" si="23"/>
        <v>240028.8472863574</v>
      </c>
      <c r="L24" s="14">
        <f t="shared" si="23"/>
        <v>212076.07670702471</v>
      </c>
      <c r="M24" s="13">
        <f t="shared" si="23"/>
        <v>296896.56243899255</v>
      </c>
      <c r="O24" s="74">
        <v>1.411122580581306E-2</v>
      </c>
      <c r="P24" s="120">
        <f t="shared" si="2"/>
        <v>0</v>
      </c>
      <c r="Q24" s="160">
        <f t="shared" si="3"/>
        <v>3427595.4306307873</v>
      </c>
      <c r="S24" s="206">
        <f t="shared" si="4"/>
        <v>111457.36626471812</v>
      </c>
      <c r="T24" s="202"/>
      <c r="U24" s="203"/>
    </row>
    <row r="25" spans="1:21" x14ac:dyDescent="0.2">
      <c r="A25" s="20">
        <v>29269</v>
      </c>
      <c r="B25" s="19" t="s">
        <v>53</v>
      </c>
      <c r="C25" s="55">
        <f t="shared" si="0"/>
        <v>862208.43667238823</v>
      </c>
      <c r="D25" s="15">
        <f t="shared" ref="D25:M25" si="24">D68/$C$86*$C$43</f>
        <v>0</v>
      </c>
      <c r="E25" s="14">
        <f t="shared" si="24"/>
        <v>244556.62885297753</v>
      </c>
      <c r="F25" s="14">
        <f t="shared" si="24"/>
        <v>0</v>
      </c>
      <c r="G25" s="13">
        <f t="shared" si="24"/>
        <v>46237.308573781243</v>
      </c>
      <c r="H25" s="15">
        <f t="shared" si="24"/>
        <v>0</v>
      </c>
      <c r="I25" s="13">
        <f t="shared" si="24"/>
        <v>0</v>
      </c>
      <c r="J25" s="16">
        <f t="shared" si="24"/>
        <v>427831.78522561333</v>
      </c>
      <c r="K25" s="15">
        <f t="shared" si="24"/>
        <v>109722.64264049723</v>
      </c>
      <c r="L25" s="14">
        <f t="shared" si="24"/>
        <v>33750.676920256279</v>
      </c>
      <c r="M25" s="13">
        <f t="shared" si="24"/>
        <v>109.39445926270915</v>
      </c>
      <c r="O25" s="74">
        <v>2.885126155730112E-3</v>
      </c>
      <c r="P25" s="120">
        <f t="shared" si="2"/>
        <v>0</v>
      </c>
      <c r="Q25" s="160">
        <f t="shared" si="3"/>
        <v>862208.43667238823</v>
      </c>
      <c r="S25" s="206">
        <f t="shared" si="4"/>
        <v>184203.79007581191</v>
      </c>
      <c r="T25" s="202"/>
      <c r="U25" s="203"/>
    </row>
    <row r="26" spans="1:21" x14ac:dyDescent="0.2">
      <c r="A26" s="20">
        <v>3652</v>
      </c>
      <c r="B26" s="19" t="s">
        <v>52</v>
      </c>
      <c r="C26" s="55">
        <f t="shared" si="0"/>
        <v>14197786.663903357</v>
      </c>
      <c r="D26" s="15">
        <f t="shared" ref="D26:M26" si="25">D69/$C$86*$C$43</f>
        <v>0</v>
      </c>
      <c r="E26" s="14">
        <f t="shared" si="25"/>
        <v>3569384.7385156169</v>
      </c>
      <c r="F26" s="14">
        <f t="shared" si="25"/>
        <v>0</v>
      </c>
      <c r="G26" s="13">
        <f t="shared" si="25"/>
        <v>394575.1237384096</v>
      </c>
      <c r="H26" s="15">
        <f t="shared" si="25"/>
        <v>0</v>
      </c>
      <c r="I26" s="13">
        <f t="shared" si="25"/>
        <v>0</v>
      </c>
      <c r="J26" s="16">
        <f t="shared" si="25"/>
        <v>6037977.4542510193</v>
      </c>
      <c r="K26" s="15">
        <f t="shared" si="25"/>
        <v>963961.598883598</v>
      </c>
      <c r="L26" s="14">
        <f t="shared" si="25"/>
        <v>1061064.0989055154</v>
      </c>
      <c r="M26" s="13">
        <f t="shared" si="25"/>
        <v>2170823.6496092002</v>
      </c>
      <c r="O26" s="74">
        <v>6.680079885949769E-2</v>
      </c>
      <c r="P26" s="120">
        <f t="shared" si="2"/>
        <v>306838.82230449043</v>
      </c>
      <c r="Q26" s="160">
        <f t="shared" si="3"/>
        <v>14504625.486207848</v>
      </c>
      <c r="S26" s="206">
        <f t="shared" si="4"/>
        <v>-1193562.2457741089</v>
      </c>
      <c r="T26" s="202"/>
      <c r="U26" s="203"/>
    </row>
    <row r="27" spans="1:21" x14ac:dyDescent="0.2">
      <c r="A27" s="20">
        <v>11711</v>
      </c>
      <c r="B27" s="19" t="s">
        <v>51</v>
      </c>
      <c r="C27" s="55">
        <f t="shared" si="0"/>
        <v>2904836.868570697</v>
      </c>
      <c r="D27" s="15">
        <f t="shared" ref="D27:M27" si="26">D70/$C$86*$C$43</f>
        <v>0</v>
      </c>
      <c r="E27" s="14">
        <f t="shared" si="26"/>
        <v>808412.39070606441</v>
      </c>
      <c r="F27" s="14">
        <f t="shared" si="26"/>
        <v>0</v>
      </c>
      <c r="G27" s="13">
        <f t="shared" si="26"/>
        <v>170278.94006045556</v>
      </c>
      <c r="H27" s="15">
        <f t="shared" si="26"/>
        <v>0</v>
      </c>
      <c r="I27" s="13">
        <f t="shared" si="26"/>
        <v>0</v>
      </c>
      <c r="J27" s="16">
        <f t="shared" si="26"/>
        <v>1386127.2483669452</v>
      </c>
      <c r="K27" s="15">
        <f t="shared" si="26"/>
        <v>352836.91092560516</v>
      </c>
      <c r="L27" s="14">
        <f t="shared" si="26"/>
        <v>177828.15224466519</v>
      </c>
      <c r="M27" s="13">
        <f t="shared" si="26"/>
        <v>9353.2262669616302</v>
      </c>
      <c r="O27" s="74">
        <v>1.0972897764284933E-2</v>
      </c>
      <c r="P27" s="120">
        <f t="shared" si="2"/>
        <v>0</v>
      </c>
      <c r="Q27" s="160">
        <f t="shared" si="3"/>
        <v>2904836.868570697</v>
      </c>
      <c r="S27" s="206">
        <f t="shared" si="4"/>
        <v>326205.89396373788</v>
      </c>
      <c r="T27" s="202"/>
      <c r="U27" s="203"/>
    </row>
    <row r="28" spans="1:21" x14ac:dyDescent="0.2">
      <c r="A28" s="20">
        <v>12826</v>
      </c>
      <c r="B28" s="19" t="s">
        <v>50</v>
      </c>
      <c r="C28" s="55">
        <f t="shared" si="0"/>
        <v>5153658.1295078164</v>
      </c>
      <c r="D28" s="15">
        <f t="shared" ref="D28:M28" si="27">D71/$C$86*$C$43</f>
        <v>0</v>
      </c>
      <c r="E28" s="14">
        <f t="shared" si="27"/>
        <v>590823.93549220136</v>
      </c>
      <c r="F28" s="14">
        <f t="shared" si="27"/>
        <v>0</v>
      </c>
      <c r="G28" s="13">
        <f t="shared" si="27"/>
        <v>318585.25710668397</v>
      </c>
      <c r="H28" s="15">
        <f t="shared" si="27"/>
        <v>0</v>
      </c>
      <c r="I28" s="13">
        <f t="shared" si="27"/>
        <v>0</v>
      </c>
      <c r="J28" s="16">
        <f t="shared" si="27"/>
        <v>3009143.225791866</v>
      </c>
      <c r="K28" s="15">
        <f t="shared" si="27"/>
        <v>787500.87737971672</v>
      </c>
      <c r="L28" s="14">
        <f t="shared" si="27"/>
        <v>348384.05918607075</v>
      </c>
      <c r="M28" s="13">
        <f t="shared" si="27"/>
        <v>99220.774551277165</v>
      </c>
      <c r="O28" s="74">
        <v>2.262163232206927E-2</v>
      </c>
      <c r="P28" s="120">
        <f t="shared" si="2"/>
        <v>0</v>
      </c>
      <c r="Q28" s="160">
        <f t="shared" si="3"/>
        <v>5153658.1295078164</v>
      </c>
      <c r="S28" s="206">
        <f t="shared" si="4"/>
        <v>-162425.46617846191</v>
      </c>
      <c r="T28" s="202"/>
      <c r="U28" s="203"/>
    </row>
    <row r="29" spans="1:21" x14ac:dyDescent="0.2">
      <c r="A29" s="20">
        <v>13231</v>
      </c>
      <c r="B29" s="19" t="s">
        <v>49</v>
      </c>
      <c r="C29" s="55">
        <f t="shared" si="0"/>
        <v>1398046.3166795748</v>
      </c>
      <c r="D29" s="15">
        <f t="shared" ref="D29:M29" si="28">D72/$C$86*$C$43</f>
        <v>0</v>
      </c>
      <c r="E29" s="14">
        <f t="shared" si="28"/>
        <v>391837.57212380279</v>
      </c>
      <c r="F29" s="14">
        <f t="shared" si="28"/>
        <v>0</v>
      </c>
      <c r="G29" s="13">
        <f t="shared" si="28"/>
        <v>80888.252169015628</v>
      </c>
      <c r="H29" s="15">
        <f t="shared" si="28"/>
        <v>0</v>
      </c>
      <c r="I29" s="13">
        <f t="shared" si="28"/>
        <v>0</v>
      </c>
      <c r="J29" s="16">
        <f t="shared" si="28"/>
        <v>687395.00220349582</v>
      </c>
      <c r="K29" s="15">
        <f t="shared" si="28"/>
        <v>181574.91247441302</v>
      </c>
      <c r="L29" s="14">
        <f t="shared" si="28"/>
        <v>55256.633116220677</v>
      </c>
      <c r="M29" s="13">
        <f t="shared" si="28"/>
        <v>1093.9445926270912</v>
      </c>
      <c r="O29" s="74">
        <v>5.6229417841748381E-3</v>
      </c>
      <c r="P29" s="120">
        <f t="shared" si="2"/>
        <v>0</v>
      </c>
      <c r="Q29" s="160">
        <f t="shared" si="3"/>
        <v>1398046.3166795748</v>
      </c>
      <c r="S29" s="206">
        <f t="shared" si="4"/>
        <v>76654.997398487758</v>
      </c>
      <c r="T29" s="202"/>
      <c r="U29" s="203"/>
    </row>
    <row r="30" spans="1:21" x14ac:dyDescent="0.2">
      <c r="A30" s="20">
        <v>3592</v>
      </c>
      <c r="B30" s="19" t="s">
        <v>48</v>
      </c>
      <c r="C30" s="55">
        <f t="shared" si="0"/>
        <v>2644953.9462935682</v>
      </c>
      <c r="D30" s="15">
        <f t="shared" ref="D30:M30" si="29">D73/$C$86*$C$43</f>
        <v>0</v>
      </c>
      <c r="E30" s="14">
        <f t="shared" si="29"/>
        <v>591610.00098167604</v>
      </c>
      <c r="F30" s="14">
        <f t="shared" si="29"/>
        <v>0</v>
      </c>
      <c r="G30" s="13">
        <f t="shared" si="29"/>
        <v>146339.95164097889</v>
      </c>
      <c r="H30" s="15">
        <f t="shared" si="29"/>
        <v>0</v>
      </c>
      <c r="I30" s="13">
        <f t="shared" si="29"/>
        <v>0</v>
      </c>
      <c r="J30" s="16">
        <f t="shared" si="29"/>
        <v>1235759.5916349306</v>
      </c>
      <c r="K30" s="15">
        <f t="shared" si="29"/>
        <v>364671.40242766187</v>
      </c>
      <c r="L30" s="14">
        <f t="shared" si="29"/>
        <v>195045.34838998932</v>
      </c>
      <c r="M30" s="13">
        <f t="shared" si="29"/>
        <v>111527.65121833194</v>
      </c>
      <c r="O30" s="74">
        <v>1.0364568727977754E-2</v>
      </c>
      <c r="P30" s="120">
        <f t="shared" si="2"/>
        <v>0</v>
      </c>
      <c r="Q30" s="160">
        <f t="shared" si="3"/>
        <v>2644953.9462935682</v>
      </c>
      <c r="S30" s="206">
        <f t="shared" si="4"/>
        <v>209280.295218796</v>
      </c>
      <c r="T30" s="202"/>
      <c r="U30" s="203"/>
    </row>
    <row r="31" spans="1:21" x14ac:dyDescent="0.2">
      <c r="A31" s="20">
        <v>3594</v>
      </c>
      <c r="B31" s="19" t="s">
        <v>47</v>
      </c>
      <c r="C31" s="55">
        <f t="shared" si="0"/>
        <v>16029538.333359338</v>
      </c>
      <c r="D31" s="15">
        <f t="shared" ref="D31:M31" si="30">D74/$C$86*$C$43</f>
        <v>0</v>
      </c>
      <c r="E31" s="14">
        <f t="shared" si="30"/>
        <v>4526178.1411441397</v>
      </c>
      <c r="F31" s="14">
        <f t="shared" si="30"/>
        <v>0</v>
      </c>
      <c r="G31" s="13">
        <f t="shared" si="30"/>
        <v>425577.51349345833</v>
      </c>
      <c r="H31" s="15">
        <f t="shared" si="30"/>
        <v>0</v>
      </c>
      <c r="I31" s="13">
        <f t="shared" si="30"/>
        <v>0</v>
      </c>
      <c r="J31" s="16">
        <f t="shared" si="30"/>
        <v>6838148.199003526</v>
      </c>
      <c r="K31" s="15">
        <f t="shared" si="30"/>
        <v>997224.97321259335</v>
      </c>
      <c r="L31" s="14">
        <f t="shared" si="30"/>
        <v>1052113.6431476574</v>
      </c>
      <c r="M31" s="13">
        <f t="shared" si="30"/>
        <v>2190295.8633579626</v>
      </c>
      <c r="O31" s="74">
        <v>5.9972196847224775E-2</v>
      </c>
      <c r="P31" s="120">
        <f t="shared" si="2"/>
        <v>0</v>
      </c>
      <c r="Q31" s="160">
        <f t="shared" si="3"/>
        <v>16029538.333359338</v>
      </c>
      <c r="S31" s="206">
        <f t="shared" si="4"/>
        <v>1936072.0742615163</v>
      </c>
      <c r="T31" s="202"/>
      <c r="U31" s="203"/>
    </row>
    <row r="32" spans="1:21" x14ac:dyDescent="0.2">
      <c r="A32" s="65">
        <v>113594</v>
      </c>
      <c r="B32" s="19" t="s">
        <v>46</v>
      </c>
      <c r="C32" s="55">
        <f t="shared" si="0"/>
        <v>1045404.4219129296</v>
      </c>
      <c r="D32" s="15">
        <f t="shared" ref="D32:M32" si="31">D75/$C$86*$C$43</f>
        <v>0</v>
      </c>
      <c r="E32" s="14">
        <f t="shared" si="31"/>
        <v>304156.76502834191</v>
      </c>
      <c r="F32" s="14">
        <f t="shared" si="31"/>
        <v>0</v>
      </c>
      <c r="G32" s="13">
        <f t="shared" si="31"/>
        <v>52648.072510346967</v>
      </c>
      <c r="H32" s="15">
        <f t="shared" si="31"/>
        <v>0</v>
      </c>
      <c r="I32" s="13">
        <f t="shared" si="31"/>
        <v>0</v>
      </c>
      <c r="J32" s="16">
        <f t="shared" si="31"/>
        <v>552243.12025983969</v>
      </c>
      <c r="K32" s="15">
        <f t="shared" si="31"/>
        <v>121219.00581392377</v>
      </c>
      <c r="L32" s="14">
        <f t="shared" si="31"/>
        <v>13332.449722642674</v>
      </c>
      <c r="M32" s="13">
        <f t="shared" si="31"/>
        <v>1805.0085778347009</v>
      </c>
      <c r="O32" s="74">
        <v>2.8602942419239919E-3</v>
      </c>
      <c r="P32" s="120">
        <f t="shared" si="2"/>
        <v>0</v>
      </c>
      <c r="Q32" s="160">
        <f t="shared" si="3"/>
        <v>1045404.4219129296</v>
      </c>
      <c r="S32" s="206">
        <f t="shared" si="4"/>
        <v>373235.27506079152</v>
      </c>
      <c r="T32" s="202"/>
      <c r="U32" s="203"/>
    </row>
    <row r="33" spans="1:21" x14ac:dyDescent="0.2">
      <c r="A33" s="20">
        <v>3624</v>
      </c>
      <c r="B33" s="19" t="s">
        <v>45</v>
      </c>
      <c r="C33" s="55">
        <f t="shared" si="0"/>
        <v>5797756.6694134101</v>
      </c>
      <c r="D33" s="15">
        <f t="shared" ref="D33:M33" si="32">D76/$C$86*$C$43</f>
        <v>0</v>
      </c>
      <c r="E33" s="14">
        <f t="shared" si="32"/>
        <v>1389599.9008891082</v>
      </c>
      <c r="F33" s="14">
        <f t="shared" si="32"/>
        <v>0</v>
      </c>
      <c r="G33" s="13">
        <f t="shared" si="32"/>
        <v>138796.83073915832</v>
      </c>
      <c r="H33" s="15">
        <f t="shared" si="32"/>
        <v>0</v>
      </c>
      <c r="I33" s="13">
        <f t="shared" si="32"/>
        <v>0</v>
      </c>
      <c r="J33" s="16">
        <f t="shared" si="32"/>
        <v>2614129.7783450652</v>
      </c>
      <c r="K33" s="15">
        <f t="shared" si="32"/>
        <v>351146.26928245422</v>
      </c>
      <c r="L33" s="14">
        <f t="shared" si="32"/>
        <v>386920.74369907059</v>
      </c>
      <c r="M33" s="13">
        <f t="shared" si="32"/>
        <v>917163.14645855338</v>
      </c>
      <c r="O33" s="74">
        <v>2.3435865298122357E-2</v>
      </c>
      <c r="P33" s="120">
        <f t="shared" si="2"/>
        <v>0</v>
      </c>
      <c r="Q33" s="160">
        <f t="shared" si="3"/>
        <v>5797756.6694134101</v>
      </c>
      <c r="S33" s="206">
        <f t="shared" si="4"/>
        <v>290328.32435465604</v>
      </c>
      <c r="T33" s="202"/>
      <c r="U33" s="203"/>
    </row>
    <row r="34" spans="1:21" x14ac:dyDescent="0.2">
      <c r="A34" s="20">
        <v>3642</v>
      </c>
      <c r="B34" s="19" t="s">
        <v>44</v>
      </c>
      <c r="C34" s="55">
        <f t="shared" si="0"/>
        <v>2366436.0881023104</v>
      </c>
      <c r="D34" s="15">
        <f t="shared" ref="D34:M34" si="33">D77/$C$86*$C$43</f>
        <v>0</v>
      </c>
      <c r="E34" s="14">
        <f t="shared" si="33"/>
        <v>142206.06348105587</v>
      </c>
      <c r="F34" s="14">
        <f t="shared" si="33"/>
        <v>0</v>
      </c>
      <c r="G34" s="13">
        <f t="shared" si="33"/>
        <v>55517.190828282844</v>
      </c>
      <c r="H34" s="15">
        <f t="shared" si="33"/>
        <v>0</v>
      </c>
      <c r="I34" s="13">
        <f t="shared" si="33"/>
        <v>0</v>
      </c>
      <c r="J34" s="16">
        <f t="shared" si="33"/>
        <v>1192797.4039972119</v>
      </c>
      <c r="K34" s="15">
        <f t="shared" si="33"/>
        <v>207610.79377893775</v>
      </c>
      <c r="L34" s="14">
        <f t="shared" si="33"/>
        <v>211268.04945110698</v>
      </c>
      <c r="M34" s="13">
        <f t="shared" si="33"/>
        <v>557036.58656571503</v>
      </c>
      <c r="O34" s="74">
        <v>1.3524899052819646E-2</v>
      </c>
      <c r="P34" s="120">
        <f t="shared" si="2"/>
        <v>0</v>
      </c>
      <c r="Q34" s="160">
        <f t="shared" si="3"/>
        <v>2366436.0881023104</v>
      </c>
      <c r="S34" s="206">
        <f t="shared" si="4"/>
        <v>-811915.18931030622</v>
      </c>
      <c r="T34" s="202"/>
      <c r="U34" s="203"/>
    </row>
    <row r="35" spans="1:21" x14ac:dyDescent="0.2">
      <c r="A35" s="20">
        <v>3644</v>
      </c>
      <c r="B35" s="19" t="s">
        <v>43</v>
      </c>
      <c r="C35" s="55">
        <f t="shared" si="0"/>
        <v>14212783.981271558</v>
      </c>
      <c r="D35" s="15">
        <f t="shared" ref="D35:M35" si="34">D78/$C$86*$C$43</f>
        <v>0</v>
      </c>
      <c r="E35" s="14">
        <f t="shared" si="34"/>
        <v>4465825.4251553789</v>
      </c>
      <c r="F35" s="14">
        <f t="shared" si="34"/>
        <v>0</v>
      </c>
      <c r="G35" s="13">
        <f t="shared" si="34"/>
        <v>377713.45958569198</v>
      </c>
      <c r="H35" s="15">
        <f t="shared" si="34"/>
        <v>0</v>
      </c>
      <c r="I35" s="13">
        <f t="shared" si="34"/>
        <v>0</v>
      </c>
      <c r="J35" s="16">
        <f t="shared" si="34"/>
        <v>4972873.2190659149</v>
      </c>
      <c r="K35" s="15">
        <f t="shared" si="34"/>
        <v>822328.09522862651</v>
      </c>
      <c r="L35" s="14">
        <f t="shared" si="34"/>
        <v>984239.35365056747</v>
      </c>
      <c r="M35" s="13">
        <f t="shared" si="34"/>
        <v>2589804.4285853757</v>
      </c>
      <c r="O35" s="74">
        <v>6.3345925146063756E-2</v>
      </c>
      <c r="P35" s="120">
        <f t="shared" si="2"/>
        <v>0</v>
      </c>
      <c r="Q35" s="160">
        <f t="shared" si="3"/>
        <v>14212783.981271558</v>
      </c>
      <c r="S35" s="206">
        <f t="shared" si="4"/>
        <v>-673508.42805342562</v>
      </c>
      <c r="T35" s="202"/>
      <c r="U35" s="203"/>
    </row>
    <row r="36" spans="1:21" x14ac:dyDescent="0.2">
      <c r="A36" s="20">
        <v>3541</v>
      </c>
      <c r="B36" s="19" t="s">
        <v>42</v>
      </c>
      <c r="C36" s="55">
        <f t="shared" si="0"/>
        <v>2671401.5485629551</v>
      </c>
      <c r="D36" s="15">
        <f t="shared" ref="D36:M36" si="35">D79/$C$86*$C$43</f>
        <v>0</v>
      </c>
      <c r="E36" s="14">
        <f t="shared" si="35"/>
        <v>555972.51826290914</v>
      </c>
      <c r="F36" s="14">
        <f t="shared" si="35"/>
        <v>0</v>
      </c>
      <c r="G36" s="13">
        <f t="shared" si="35"/>
        <v>147484.86410667168</v>
      </c>
      <c r="H36" s="15">
        <f t="shared" si="35"/>
        <v>0</v>
      </c>
      <c r="I36" s="13">
        <f t="shared" si="35"/>
        <v>0</v>
      </c>
      <c r="J36" s="16">
        <f t="shared" si="35"/>
        <v>1294235.9025862694</v>
      </c>
      <c r="K36" s="15">
        <f t="shared" si="35"/>
        <v>364840.46659197705</v>
      </c>
      <c r="L36" s="14">
        <f t="shared" si="35"/>
        <v>192745.57850776194</v>
      </c>
      <c r="M36" s="13">
        <f t="shared" si="35"/>
        <v>116122.21850736575</v>
      </c>
      <c r="O36" s="74">
        <v>1.2561069385453944E-2</v>
      </c>
      <c r="P36" s="120">
        <f t="shared" si="2"/>
        <v>0</v>
      </c>
      <c r="Q36" s="160">
        <f t="shared" si="3"/>
        <v>2671401.5485629551</v>
      </c>
      <c r="S36" s="206">
        <f t="shared" si="4"/>
        <v>-280449.75701872166</v>
      </c>
      <c r="T36" s="202"/>
      <c r="U36" s="203"/>
    </row>
    <row r="37" spans="1:21" x14ac:dyDescent="0.2">
      <c r="A37" s="20">
        <v>3646</v>
      </c>
      <c r="B37" s="19" t="s">
        <v>41</v>
      </c>
      <c r="C37" s="55">
        <f t="shared" si="0"/>
        <v>4547851.3797007278</v>
      </c>
      <c r="D37" s="15">
        <f t="shared" ref="D37:M37" si="36">D80/$C$86*$C$43</f>
        <v>0</v>
      </c>
      <c r="E37" s="14">
        <f t="shared" si="36"/>
        <v>1234453.19802994</v>
      </c>
      <c r="F37" s="14">
        <f t="shared" si="36"/>
        <v>0</v>
      </c>
      <c r="G37" s="13">
        <f t="shared" si="36"/>
        <v>128743.97718045734</v>
      </c>
      <c r="H37" s="15">
        <f t="shared" si="36"/>
        <v>0</v>
      </c>
      <c r="I37" s="13">
        <f t="shared" si="36"/>
        <v>0</v>
      </c>
      <c r="J37" s="16">
        <f t="shared" si="36"/>
        <v>2232243.6660097898</v>
      </c>
      <c r="K37" s="15">
        <f t="shared" si="36"/>
        <v>278448.678626963</v>
      </c>
      <c r="L37" s="14">
        <f t="shared" si="36"/>
        <v>240978.59009177456</v>
      </c>
      <c r="M37" s="13">
        <f t="shared" si="36"/>
        <v>432983.26976180269</v>
      </c>
      <c r="O37" s="74">
        <v>1.8983457031793705E-2</v>
      </c>
      <c r="P37" s="120">
        <f t="shared" si="2"/>
        <v>0</v>
      </c>
      <c r="Q37" s="160">
        <f t="shared" si="3"/>
        <v>4547851.3797007278</v>
      </c>
      <c r="S37" s="206">
        <f t="shared" si="4"/>
        <v>86738.977229206823</v>
      </c>
      <c r="T37" s="202"/>
      <c r="U37" s="203"/>
    </row>
    <row r="38" spans="1:21" x14ac:dyDescent="0.2">
      <c r="A38" s="20">
        <v>3581</v>
      </c>
      <c r="B38" s="19" t="s">
        <v>40</v>
      </c>
      <c r="C38" s="55">
        <f t="shared" si="0"/>
        <v>3622129.3184864274</v>
      </c>
      <c r="D38" s="15">
        <f t="shared" ref="D38:M38" si="37">D81/$C$86*$C$43</f>
        <v>0</v>
      </c>
      <c r="E38" s="14">
        <f t="shared" si="37"/>
        <v>610622.92375071556</v>
      </c>
      <c r="F38" s="14">
        <f t="shared" si="37"/>
        <v>0</v>
      </c>
      <c r="G38" s="13">
        <f t="shared" si="37"/>
        <v>100129.49443447143</v>
      </c>
      <c r="H38" s="15">
        <f t="shared" si="37"/>
        <v>0</v>
      </c>
      <c r="I38" s="13">
        <f t="shared" si="37"/>
        <v>0</v>
      </c>
      <c r="J38" s="16">
        <f t="shared" si="37"/>
        <v>1698199.8057909277</v>
      </c>
      <c r="K38" s="15">
        <f t="shared" si="37"/>
        <v>271939.70830083173</v>
      </c>
      <c r="L38" s="14">
        <f t="shared" si="37"/>
        <v>277650.59632188728</v>
      </c>
      <c r="M38" s="13">
        <f t="shared" si="37"/>
        <v>663586.78988759371</v>
      </c>
      <c r="O38" s="74">
        <v>1.8519296567582645E-2</v>
      </c>
      <c r="P38" s="120">
        <f t="shared" si="2"/>
        <v>0</v>
      </c>
      <c r="Q38" s="160">
        <f t="shared" si="3"/>
        <v>3622129.3184864274</v>
      </c>
      <c r="S38" s="206">
        <f t="shared" si="4"/>
        <v>-729905.37489549397</v>
      </c>
      <c r="T38" s="202"/>
      <c r="U38" s="203"/>
    </row>
    <row r="39" spans="1:21" x14ac:dyDescent="0.2">
      <c r="A39" s="20">
        <v>3606</v>
      </c>
      <c r="B39" s="19" t="s">
        <v>39</v>
      </c>
      <c r="C39" s="55">
        <f t="shared" si="0"/>
        <v>8741235.0837242305</v>
      </c>
      <c r="D39" s="15">
        <f t="shared" ref="D39:M39" si="38">D82/$C$86*$C$43</f>
        <v>0</v>
      </c>
      <c r="E39" s="14">
        <f t="shared" si="38"/>
        <v>2356757.7655360508</v>
      </c>
      <c r="F39" s="14">
        <f t="shared" si="38"/>
        <v>0</v>
      </c>
      <c r="G39" s="13">
        <f t="shared" si="38"/>
        <v>217685.4019176102</v>
      </c>
      <c r="H39" s="15">
        <f t="shared" si="38"/>
        <v>0</v>
      </c>
      <c r="I39" s="13">
        <f t="shared" si="38"/>
        <v>0</v>
      </c>
      <c r="J39" s="16">
        <f t="shared" si="38"/>
        <v>3962665.1125290063</v>
      </c>
      <c r="K39" s="15">
        <f t="shared" si="38"/>
        <v>493794.15792331641</v>
      </c>
      <c r="L39" s="14">
        <f t="shared" si="38"/>
        <v>552939.26681878441</v>
      </c>
      <c r="M39" s="13">
        <f t="shared" si="38"/>
        <v>1157393.3789994628</v>
      </c>
      <c r="O39" s="74">
        <v>3.2554270941238916E-2</v>
      </c>
      <c r="P39" s="120">
        <f t="shared" si="2"/>
        <v>0</v>
      </c>
      <c r="Q39" s="160">
        <f t="shared" si="3"/>
        <v>8741235.0837242305</v>
      </c>
      <c r="S39" s="206">
        <f t="shared" si="4"/>
        <v>1090981.4125330849</v>
      </c>
      <c r="T39" s="202"/>
      <c r="U39" s="203"/>
    </row>
    <row r="40" spans="1:21" x14ac:dyDescent="0.2">
      <c r="A40" s="20">
        <v>3615</v>
      </c>
      <c r="B40" s="19" t="s">
        <v>85</v>
      </c>
      <c r="C40" s="55">
        <f t="shared" si="0"/>
        <v>15562808.758311927</v>
      </c>
      <c r="D40" s="15">
        <f t="shared" ref="D40:M40" si="39">D83/$C$86*$C$43</f>
        <v>0</v>
      </c>
      <c r="E40" s="14">
        <f t="shared" si="39"/>
        <v>4429466.9956565052</v>
      </c>
      <c r="F40" s="14">
        <f t="shared" si="39"/>
        <v>0</v>
      </c>
      <c r="G40" s="13">
        <f t="shared" si="39"/>
        <v>389244.50577518059</v>
      </c>
      <c r="H40" s="15">
        <f t="shared" si="39"/>
        <v>0</v>
      </c>
      <c r="I40" s="13">
        <f t="shared" si="39"/>
        <v>0</v>
      </c>
      <c r="J40" s="16">
        <f t="shared" si="39"/>
        <v>6579181.6790761678</v>
      </c>
      <c r="K40" s="15">
        <f t="shared" si="39"/>
        <v>947224.24661640357</v>
      </c>
      <c r="L40" s="14">
        <f t="shared" si="39"/>
        <v>1040304.014022706</v>
      </c>
      <c r="M40" s="13">
        <f t="shared" si="39"/>
        <v>2177387.3171649626</v>
      </c>
      <c r="O40" s="74">
        <v>6.1387457427191858E-2</v>
      </c>
      <c r="P40" s="120">
        <f t="shared" si="2"/>
        <v>0</v>
      </c>
      <c r="Q40" s="160">
        <f t="shared" si="3"/>
        <v>15562808.758311927</v>
      </c>
      <c r="S40" s="206">
        <f t="shared" si="4"/>
        <v>1136756.26292184</v>
      </c>
      <c r="T40" s="202"/>
      <c r="U40" s="203"/>
    </row>
    <row r="41" spans="1:21" x14ac:dyDescent="0.2">
      <c r="A41" s="20">
        <v>3625</v>
      </c>
      <c r="B41" s="19" t="s">
        <v>38</v>
      </c>
      <c r="C41" s="55">
        <f t="shared" si="0"/>
        <v>529380.42414524674</v>
      </c>
      <c r="D41" s="15">
        <f t="shared" ref="D41:M41" si="40">D84/$C$86*$C$43</f>
        <v>0</v>
      </c>
      <c r="E41" s="14">
        <f t="shared" si="40"/>
        <v>74386.740556015895</v>
      </c>
      <c r="F41" s="14">
        <f t="shared" si="40"/>
        <v>0</v>
      </c>
      <c r="G41" s="13">
        <f t="shared" si="40"/>
        <v>29411.943491634574</v>
      </c>
      <c r="H41" s="15">
        <f t="shared" si="40"/>
        <v>0</v>
      </c>
      <c r="I41" s="13">
        <f t="shared" si="40"/>
        <v>0</v>
      </c>
      <c r="J41" s="16">
        <f t="shared" si="40"/>
        <v>291784.8577061714</v>
      </c>
      <c r="K41" s="15">
        <f t="shared" si="40"/>
        <v>76078.873941793165</v>
      </c>
      <c r="L41" s="14">
        <f t="shared" si="40"/>
        <v>36112.602745246586</v>
      </c>
      <c r="M41" s="13">
        <f t="shared" si="40"/>
        <v>21605.405704385052</v>
      </c>
      <c r="O41" s="74">
        <v>2.5717361648878246E-3</v>
      </c>
      <c r="P41" s="120">
        <f t="shared" si="2"/>
        <v>0</v>
      </c>
      <c r="Q41" s="160">
        <f t="shared" si="3"/>
        <v>529380.42414524674</v>
      </c>
      <c r="S41" s="206">
        <f t="shared" si="4"/>
        <v>-74977.574603392044</v>
      </c>
      <c r="T41" s="202"/>
      <c r="U41" s="203"/>
    </row>
    <row r="42" spans="1:21" x14ac:dyDescent="0.2">
      <c r="A42" s="20">
        <v>20</v>
      </c>
      <c r="B42" s="19" t="s">
        <v>37</v>
      </c>
      <c r="C42" s="64">
        <f t="shared" si="0"/>
        <v>421959.8827933073</v>
      </c>
      <c r="D42" s="15">
        <f t="shared" ref="D42:M42" si="41">D85/$C$86*$C$43</f>
        <v>0</v>
      </c>
      <c r="E42" s="14">
        <f t="shared" si="41"/>
        <v>67046.714755650217</v>
      </c>
      <c r="F42" s="14">
        <f t="shared" si="41"/>
        <v>0</v>
      </c>
      <c r="G42" s="13">
        <f t="shared" si="41"/>
        <v>20822.489449343509</v>
      </c>
      <c r="H42" s="15">
        <f t="shared" si="41"/>
        <v>0</v>
      </c>
      <c r="I42" s="13">
        <f t="shared" si="41"/>
        <v>0</v>
      </c>
      <c r="J42" s="16">
        <f t="shared" si="41"/>
        <v>257773.12582631089</v>
      </c>
      <c r="K42" s="15">
        <f t="shared" si="41"/>
        <v>58327.136688708088</v>
      </c>
      <c r="L42" s="14">
        <f t="shared" si="41"/>
        <v>17279.352088087013</v>
      </c>
      <c r="M42" s="13">
        <f t="shared" si="41"/>
        <v>711.06398520760922</v>
      </c>
      <c r="O42" s="74">
        <v>1.4792799135503695E-3</v>
      </c>
      <c r="P42" s="120">
        <f t="shared" si="2"/>
        <v>0</v>
      </c>
      <c r="Q42" s="160">
        <f t="shared" si="3"/>
        <v>421959.8827933073</v>
      </c>
      <c r="S42" s="206">
        <f t="shared" si="4"/>
        <v>74329.103108970448</v>
      </c>
      <c r="T42" s="202"/>
      <c r="U42" s="203"/>
    </row>
    <row r="43" spans="1:21" ht="13.5" thickBot="1" x14ac:dyDescent="0.25">
      <c r="A43" s="12"/>
      <c r="B43" s="11" t="s">
        <v>11</v>
      </c>
      <c r="C43" s="62">
        <f>Q43-P43</f>
        <v>234693161.17769551</v>
      </c>
      <c r="D43" s="62">
        <f t="shared" ref="D43:M43" si="42">SUM(D5:D42)</f>
        <v>0</v>
      </c>
      <c r="E43" s="61">
        <f t="shared" si="42"/>
        <v>67966833.654724628</v>
      </c>
      <c r="F43" s="61">
        <f t="shared" si="42"/>
        <v>0</v>
      </c>
      <c r="G43" s="60">
        <f t="shared" si="42"/>
        <v>8737559.09839461</v>
      </c>
      <c r="H43" s="62">
        <f t="shared" si="42"/>
        <v>0</v>
      </c>
      <c r="I43" s="60">
        <f t="shared" si="42"/>
        <v>0</v>
      </c>
      <c r="J43" s="63">
        <f t="shared" si="42"/>
        <v>93312777.604531929</v>
      </c>
      <c r="K43" s="62">
        <f t="shared" si="42"/>
        <v>15199396.697440611</v>
      </c>
      <c r="L43" s="61">
        <f t="shared" si="42"/>
        <v>15384248.471217476</v>
      </c>
      <c r="M43" s="60">
        <f t="shared" si="42"/>
        <v>34092345.651386254</v>
      </c>
      <c r="O43" s="161">
        <f>SUM(O5:O42)</f>
        <v>1.0000000000000002</v>
      </c>
      <c r="P43" s="119">
        <f>SUM(P5:P42)</f>
        <v>306838.82230449043</v>
      </c>
      <c r="Q43" s="162">
        <v>235000000</v>
      </c>
      <c r="S43" s="207">
        <f t="shared" si="4"/>
        <v>0</v>
      </c>
      <c r="T43" s="202"/>
      <c r="U43" s="203"/>
    </row>
    <row r="44" spans="1:21" ht="13.5" thickBot="1" x14ac:dyDescent="0.25">
      <c r="A44" s="59"/>
      <c r="C44" s="88"/>
      <c r="D44" s="89"/>
      <c r="E44" s="58"/>
      <c r="F44" s="58"/>
      <c r="G44" s="58"/>
      <c r="H44" s="58"/>
      <c r="I44" s="58"/>
      <c r="J44" s="58"/>
      <c r="K44" s="58"/>
      <c r="L44" s="58"/>
      <c r="M44" s="58"/>
      <c r="O44" s="163" t="s">
        <v>91</v>
      </c>
      <c r="P44" s="164">
        <v>5.0000000000000001E-3</v>
      </c>
      <c r="Q44" s="165"/>
    </row>
    <row r="45" spans="1:21" ht="13.5" thickBot="1" x14ac:dyDescent="0.25">
      <c r="A45" s="57" t="s">
        <v>76</v>
      </c>
    </row>
    <row r="46" spans="1:21" ht="12.75" customHeight="1" outlineLevel="1" x14ac:dyDescent="0.2">
      <c r="A46" s="234" t="s">
        <v>24</v>
      </c>
      <c r="B46" s="236" t="s">
        <v>23</v>
      </c>
      <c r="C46" s="238" t="s">
        <v>36</v>
      </c>
      <c r="D46" s="247" t="s">
        <v>35</v>
      </c>
      <c r="E46" s="248"/>
      <c r="F46" s="248"/>
      <c r="G46" s="249"/>
      <c r="H46" s="250" t="s">
        <v>18</v>
      </c>
      <c r="I46" s="225" t="s">
        <v>17</v>
      </c>
      <c r="J46" s="227" t="s">
        <v>16</v>
      </c>
      <c r="K46" s="229" t="s">
        <v>34</v>
      </c>
      <c r="L46" s="230"/>
      <c r="M46" s="230"/>
      <c r="N46" s="232" t="s">
        <v>86</v>
      </c>
    </row>
    <row r="47" spans="1:21" ht="51" outlineLevel="1" x14ac:dyDescent="0.2">
      <c r="A47" s="235"/>
      <c r="B47" s="237"/>
      <c r="C47" s="239"/>
      <c r="D47" s="192"/>
      <c r="E47" s="121" t="s">
        <v>33</v>
      </c>
      <c r="F47" s="121" t="s">
        <v>32</v>
      </c>
      <c r="G47" s="208" t="s">
        <v>31</v>
      </c>
      <c r="H47" s="251"/>
      <c r="I47" s="226"/>
      <c r="J47" s="228"/>
      <c r="K47" s="188" t="s">
        <v>14</v>
      </c>
      <c r="L47" s="189" t="s">
        <v>13</v>
      </c>
      <c r="M47" s="187" t="s">
        <v>12</v>
      </c>
      <c r="N47" s="233"/>
    </row>
    <row r="48" spans="1:21" outlineLevel="1" x14ac:dyDescent="0.2">
      <c r="A48" s="40">
        <f t="shared" ref="A48:B67" si="43">A5</f>
        <v>3656</v>
      </c>
      <c r="B48" s="39" t="str">
        <f t="shared" si="43"/>
        <v>UTA</v>
      </c>
      <c r="C48" s="191">
        <f t="shared" ref="C48:C85" si="44">SUM(D48:M48)</f>
        <v>16241.291833333335</v>
      </c>
      <c r="D48" s="36">
        <f t="shared" ref="D48:M48" si="45">D90*D156</f>
        <v>0</v>
      </c>
      <c r="E48" s="56">
        <f t="shared" si="45"/>
        <v>4551.7441666666673</v>
      </c>
      <c r="F48" s="56">
        <f t="shared" si="45"/>
        <v>0</v>
      </c>
      <c r="G48" s="35">
        <f t="shared" si="45"/>
        <v>520.92766666666898</v>
      </c>
      <c r="H48" s="36">
        <f t="shared" si="45"/>
        <v>0</v>
      </c>
      <c r="I48" s="35">
        <f t="shared" si="45"/>
        <v>0</v>
      </c>
      <c r="J48" s="34">
        <f t="shared" si="45"/>
        <v>7478.4</v>
      </c>
      <c r="K48" s="36">
        <f t="shared" si="45"/>
        <v>1162.1766666666667</v>
      </c>
      <c r="L48" s="56">
        <f t="shared" si="45"/>
        <v>958.41666666666663</v>
      </c>
      <c r="M48" s="35">
        <f t="shared" si="45"/>
        <v>1569.626666666667</v>
      </c>
      <c r="N48" s="110" t="s">
        <v>80</v>
      </c>
    </row>
    <row r="49" spans="1:14" outlineLevel="1" x14ac:dyDescent="0.2">
      <c r="A49" s="20">
        <f t="shared" si="43"/>
        <v>3658</v>
      </c>
      <c r="B49" s="19" t="str">
        <f t="shared" si="43"/>
        <v>UT</v>
      </c>
      <c r="C49" s="55">
        <f t="shared" si="44"/>
        <v>33878.681700000059</v>
      </c>
      <c r="D49" s="15">
        <f t="shared" ref="D49:M49" si="46">D91*D157</f>
        <v>0</v>
      </c>
      <c r="E49" s="14">
        <f t="shared" si="46"/>
        <v>15574.671700000003</v>
      </c>
      <c r="F49" s="14">
        <f t="shared" si="46"/>
        <v>0</v>
      </c>
      <c r="G49" s="13">
        <f t="shared" si="46"/>
        <v>1939.8350000000519</v>
      </c>
      <c r="H49" s="15">
        <f t="shared" si="46"/>
        <v>0</v>
      </c>
      <c r="I49" s="13">
        <f t="shared" si="46"/>
        <v>0</v>
      </c>
      <c r="J49" s="16">
        <f t="shared" si="46"/>
        <v>5552.5333333333338</v>
      </c>
      <c r="K49" s="15">
        <f t="shared" si="46"/>
        <v>815.85833333333346</v>
      </c>
      <c r="L49" s="14">
        <f t="shared" si="46"/>
        <v>2251.4166666666665</v>
      </c>
      <c r="M49" s="13">
        <f t="shared" si="46"/>
        <v>7744.3666666666668</v>
      </c>
      <c r="N49" s="108" t="s">
        <v>79</v>
      </c>
    </row>
    <row r="50" spans="1:14" outlineLevel="1" x14ac:dyDescent="0.2">
      <c r="A50" s="20">
        <f t="shared" si="43"/>
        <v>9741</v>
      </c>
      <c r="B50" s="19" t="str">
        <f t="shared" si="43"/>
        <v>UTD</v>
      </c>
      <c r="C50" s="55">
        <f t="shared" si="44"/>
        <v>8362.1550833333386</v>
      </c>
      <c r="D50" s="15">
        <f t="shared" ref="D50:M50" si="47">D92*D158</f>
        <v>0</v>
      </c>
      <c r="E50" s="14">
        <f t="shared" si="47"/>
        <v>2943.9882499999999</v>
      </c>
      <c r="F50" s="14">
        <f t="shared" si="47"/>
        <v>0</v>
      </c>
      <c r="G50" s="13">
        <f t="shared" si="47"/>
        <v>255.06016666667199</v>
      </c>
      <c r="H50" s="15">
        <f t="shared" si="47"/>
        <v>0</v>
      </c>
      <c r="I50" s="13">
        <f t="shared" si="47"/>
        <v>0</v>
      </c>
      <c r="J50" s="16">
        <f t="shared" si="47"/>
        <v>3167.2000000000003</v>
      </c>
      <c r="K50" s="15">
        <f t="shared" si="47"/>
        <v>563.55000000000007</v>
      </c>
      <c r="L50" s="14">
        <f t="shared" si="47"/>
        <v>533.58333333333337</v>
      </c>
      <c r="M50" s="13">
        <f t="shared" si="47"/>
        <v>898.77333333333343</v>
      </c>
      <c r="N50" s="108" t="s">
        <v>80</v>
      </c>
    </row>
    <row r="51" spans="1:14" outlineLevel="1" x14ac:dyDescent="0.2">
      <c r="A51" s="20">
        <f t="shared" si="43"/>
        <v>3661</v>
      </c>
      <c r="B51" s="19" t="str">
        <f t="shared" si="43"/>
        <v>UTEP</v>
      </c>
      <c r="C51" s="55">
        <f t="shared" si="44"/>
        <v>11618.139666666675</v>
      </c>
      <c r="D51" s="15">
        <f t="shared" ref="D51:M51" si="48">D93*D159</f>
        <v>0</v>
      </c>
      <c r="E51" s="14">
        <f t="shared" si="48"/>
        <v>2086.4024999999997</v>
      </c>
      <c r="F51" s="14">
        <f t="shared" si="48"/>
        <v>0</v>
      </c>
      <c r="G51" s="13">
        <f t="shared" si="48"/>
        <v>314.90383333334069</v>
      </c>
      <c r="H51" s="15">
        <f t="shared" si="48"/>
        <v>0</v>
      </c>
      <c r="I51" s="13">
        <f t="shared" si="48"/>
        <v>0</v>
      </c>
      <c r="J51" s="16">
        <f t="shared" si="48"/>
        <v>5914.4000000000005</v>
      </c>
      <c r="K51" s="15">
        <f t="shared" si="48"/>
        <v>741.65333333333342</v>
      </c>
      <c r="L51" s="14">
        <f t="shared" si="48"/>
        <v>839.5</v>
      </c>
      <c r="M51" s="13">
        <f t="shared" si="48"/>
        <v>1721.2800000000004</v>
      </c>
      <c r="N51" s="108" t="s">
        <v>80</v>
      </c>
    </row>
    <row r="52" spans="1:14" outlineLevel="1" x14ac:dyDescent="0.2">
      <c r="A52" s="20">
        <f t="shared" si="43"/>
        <v>3599</v>
      </c>
      <c r="B52" s="19" t="str">
        <f t="shared" si="43"/>
        <v>UTPA</v>
      </c>
      <c r="C52" s="55">
        <f t="shared" si="44"/>
        <v>10988.093333333341</v>
      </c>
      <c r="D52" s="15">
        <f t="shared" ref="D52:M52" si="49">D94*D160</f>
        <v>0</v>
      </c>
      <c r="E52" s="14">
        <f t="shared" si="49"/>
        <v>1945.9650000000001</v>
      </c>
      <c r="F52" s="14">
        <f t="shared" si="49"/>
        <v>0</v>
      </c>
      <c r="G52" s="13">
        <f t="shared" si="49"/>
        <v>256.708333333339</v>
      </c>
      <c r="H52" s="15">
        <f t="shared" si="49"/>
        <v>0</v>
      </c>
      <c r="I52" s="13">
        <f t="shared" si="49"/>
        <v>0</v>
      </c>
      <c r="J52" s="16">
        <f t="shared" si="49"/>
        <v>5612</v>
      </c>
      <c r="K52" s="15">
        <f t="shared" si="49"/>
        <v>692.80666666666673</v>
      </c>
      <c r="L52" s="14">
        <f t="shared" si="49"/>
        <v>774</v>
      </c>
      <c r="M52" s="13">
        <f t="shared" si="49"/>
        <v>1706.6133333333337</v>
      </c>
      <c r="N52" s="108" t="s">
        <v>81</v>
      </c>
    </row>
    <row r="53" spans="1:14" outlineLevel="1" x14ac:dyDescent="0.2">
      <c r="A53" s="20">
        <f t="shared" si="43"/>
        <v>30646</v>
      </c>
      <c r="B53" s="19" t="str">
        <f t="shared" si="43"/>
        <v>UTB</v>
      </c>
      <c r="C53" s="55">
        <f t="shared" si="44"/>
        <v>4169.2617845644536</v>
      </c>
      <c r="D53" s="15">
        <f t="shared" ref="D53:M53" si="50">D95*D161</f>
        <v>0</v>
      </c>
      <c r="E53" s="14">
        <f t="shared" si="50"/>
        <v>1099.299117897785</v>
      </c>
      <c r="F53" s="14">
        <f t="shared" si="50"/>
        <v>0</v>
      </c>
      <c r="G53" s="13">
        <f t="shared" si="50"/>
        <v>209.77933333333556</v>
      </c>
      <c r="H53" s="15">
        <f t="shared" si="50"/>
        <v>0</v>
      </c>
      <c r="I53" s="13">
        <f t="shared" si="50"/>
        <v>0</v>
      </c>
      <c r="J53" s="16">
        <f t="shared" si="50"/>
        <v>2248</v>
      </c>
      <c r="K53" s="15">
        <f t="shared" si="50"/>
        <v>450.95333333333332</v>
      </c>
      <c r="L53" s="14">
        <f t="shared" si="50"/>
        <v>139.08333333333334</v>
      </c>
      <c r="M53" s="13">
        <f t="shared" si="50"/>
        <v>22.146666666666672</v>
      </c>
      <c r="N53" s="108" t="s">
        <v>82</v>
      </c>
    </row>
    <row r="54" spans="1:14" outlineLevel="1" x14ac:dyDescent="0.2">
      <c r="A54" s="20">
        <f t="shared" si="43"/>
        <v>9930</v>
      </c>
      <c r="B54" s="19" t="str">
        <f t="shared" si="43"/>
        <v>UTPB</v>
      </c>
      <c r="C54" s="55">
        <f t="shared" si="44"/>
        <v>1904.9483333333337</v>
      </c>
      <c r="D54" s="15">
        <f t="shared" ref="D54:M54" si="51">D96*D162</f>
        <v>0</v>
      </c>
      <c r="E54" s="14">
        <f t="shared" si="51"/>
        <v>414.40000000000003</v>
      </c>
      <c r="F54" s="14">
        <f t="shared" si="51"/>
        <v>0</v>
      </c>
      <c r="G54" s="13">
        <f t="shared" si="51"/>
        <v>100.15166666666704</v>
      </c>
      <c r="H54" s="15">
        <f t="shared" si="51"/>
        <v>0</v>
      </c>
      <c r="I54" s="13">
        <f t="shared" si="51"/>
        <v>0</v>
      </c>
      <c r="J54" s="16">
        <f t="shared" si="51"/>
        <v>957.59999999999991</v>
      </c>
      <c r="K54" s="15">
        <f t="shared" si="51"/>
        <v>267.12666666666667</v>
      </c>
      <c r="L54" s="14">
        <f t="shared" si="51"/>
        <v>122.91666666666669</v>
      </c>
      <c r="M54" s="13">
        <f t="shared" si="51"/>
        <v>42.753333333333345</v>
      </c>
      <c r="N54" s="108" t="s">
        <v>82</v>
      </c>
    </row>
    <row r="55" spans="1:14" outlineLevel="1" x14ac:dyDescent="0.2">
      <c r="A55" s="20">
        <f t="shared" si="43"/>
        <v>10115</v>
      </c>
      <c r="B55" s="19" t="str">
        <f t="shared" si="43"/>
        <v>UTSA</v>
      </c>
      <c r="C55" s="55">
        <f t="shared" si="44"/>
        <v>15531.578027777772</v>
      </c>
      <c r="D55" s="15">
        <f t="shared" ref="D55:M55" si="52">D97*D163</f>
        <v>0</v>
      </c>
      <c r="E55" s="14">
        <f t="shared" si="52"/>
        <v>3039.9706944444447</v>
      </c>
      <c r="F55" s="14">
        <f t="shared" si="52"/>
        <v>0</v>
      </c>
      <c r="G55" s="13">
        <f t="shared" si="52"/>
        <v>420.71066666666121</v>
      </c>
      <c r="H55" s="15">
        <f t="shared" si="52"/>
        <v>0</v>
      </c>
      <c r="I55" s="13">
        <f t="shared" si="52"/>
        <v>0</v>
      </c>
      <c r="J55" s="16">
        <f t="shared" si="52"/>
        <v>7496.7999999999993</v>
      </c>
      <c r="K55" s="15">
        <f t="shared" si="52"/>
        <v>1157.6433333333334</v>
      </c>
      <c r="L55" s="14">
        <f t="shared" si="52"/>
        <v>1114.6666666666667</v>
      </c>
      <c r="M55" s="13">
        <f t="shared" si="52"/>
        <v>2301.7866666666669</v>
      </c>
      <c r="N55" s="108" t="s">
        <v>80</v>
      </c>
    </row>
    <row r="56" spans="1:14" outlineLevel="1" x14ac:dyDescent="0.2">
      <c r="A56" s="20">
        <f t="shared" si="43"/>
        <v>11163</v>
      </c>
      <c r="B56" s="19" t="str">
        <f t="shared" si="43"/>
        <v>UTT</v>
      </c>
      <c r="C56" s="55">
        <f t="shared" si="44"/>
        <v>4367.808500000001</v>
      </c>
      <c r="D56" s="15">
        <f t="shared" ref="D56:M56" si="53">D98*D164</f>
        <v>0</v>
      </c>
      <c r="E56" s="14">
        <f t="shared" si="53"/>
        <v>1073.8758333333335</v>
      </c>
      <c r="F56" s="14">
        <f t="shared" si="53"/>
        <v>0</v>
      </c>
      <c r="G56" s="13">
        <f t="shared" si="53"/>
        <v>236.26600000000104</v>
      </c>
      <c r="H56" s="15">
        <f t="shared" si="53"/>
        <v>0</v>
      </c>
      <c r="I56" s="13">
        <f t="shared" si="53"/>
        <v>0</v>
      </c>
      <c r="J56" s="16">
        <f t="shared" si="53"/>
        <v>2261.6</v>
      </c>
      <c r="K56" s="15">
        <f t="shared" si="53"/>
        <v>488.3533333333333</v>
      </c>
      <c r="L56" s="14">
        <f t="shared" si="53"/>
        <v>222.5</v>
      </c>
      <c r="M56" s="13">
        <f t="shared" si="53"/>
        <v>85.213333333333338</v>
      </c>
      <c r="N56" s="108" t="s">
        <v>82</v>
      </c>
    </row>
    <row r="57" spans="1:14" outlineLevel="1" x14ac:dyDescent="0.2">
      <c r="A57" s="20">
        <f t="shared" si="43"/>
        <v>3632</v>
      </c>
      <c r="B57" s="19" t="str">
        <f t="shared" si="43"/>
        <v>TAMU</v>
      </c>
      <c r="C57" s="55">
        <f t="shared" si="44"/>
        <v>34067.312533333345</v>
      </c>
      <c r="D57" s="15">
        <f t="shared" ref="D57:M57" si="54">D99*D165</f>
        <v>0</v>
      </c>
      <c r="E57" s="14">
        <f t="shared" si="54"/>
        <v>15429.00753333333</v>
      </c>
      <c r="F57" s="14">
        <f t="shared" si="54"/>
        <v>0</v>
      </c>
      <c r="G57" s="13">
        <f t="shared" si="54"/>
        <v>2010.4816666666802</v>
      </c>
      <c r="H57" s="15">
        <f t="shared" si="54"/>
        <v>0</v>
      </c>
      <c r="I57" s="13">
        <f t="shared" si="54"/>
        <v>0</v>
      </c>
      <c r="J57" s="16">
        <f t="shared" si="54"/>
        <v>5958.4000000000005</v>
      </c>
      <c r="K57" s="15">
        <f t="shared" si="54"/>
        <v>855.15666666666664</v>
      </c>
      <c r="L57" s="14">
        <f t="shared" si="54"/>
        <v>2226.8333333333335</v>
      </c>
      <c r="M57" s="13">
        <f t="shared" si="54"/>
        <v>7587.4333333333343</v>
      </c>
      <c r="N57" s="108" t="s">
        <v>79</v>
      </c>
    </row>
    <row r="58" spans="1:14" outlineLevel="1" x14ac:dyDescent="0.2">
      <c r="A58" s="20">
        <f t="shared" si="43"/>
        <v>10298</v>
      </c>
      <c r="B58" s="19" t="str">
        <f t="shared" si="43"/>
        <v>TAMUG</v>
      </c>
      <c r="C58" s="55">
        <f t="shared" si="44"/>
        <v>1630.3291666666667</v>
      </c>
      <c r="D58" s="15">
        <f t="shared" ref="D58:M58" si="55">D100*D166*1.5</f>
        <v>0</v>
      </c>
      <c r="E58" s="14">
        <f t="shared" si="55"/>
        <v>453.40516666666667</v>
      </c>
      <c r="F58" s="14">
        <f t="shared" si="55"/>
        <v>0</v>
      </c>
      <c r="G58" s="13">
        <f t="shared" si="55"/>
        <v>105.60399999999967</v>
      </c>
      <c r="H58" s="15">
        <f t="shared" si="55"/>
        <v>0</v>
      </c>
      <c r="I58" s="13">
        <f t="shared" si="55"/>
        <v>0</v>
      </c>
      <c r="J58" s="16">
        <f t="shared" si="55"/>
        <v>568.79999999999995</v>
      </c>
      <c r="K58" s="15">
        <f t="shared" si="55"/>
        <v>302.09000000000003</v>
      </c>
      <c r="L58" s="14">
        <f t="shared" si="55"/>
        <v>119.25</v>
      </c>
      <c r="M58" s="13">
        <f t="shared" si="55"/>
        <v>81.180000000000007</v>
      </c>
      <c r="N58" s="108" t="s">
        <v>82</v>
      </c>
    </row>
    <row r="59" spans="1:14" outlineLevel="1" x14ac:dyDescent="0.2">
      <c r="A59" s="20">
        <f t="shared" si="43"/>
        <v>3630</v>
      </c>
      <c r="B59" s="19" t="str">
        <f t="shared" si="43"/>
        <v>Prairie View</v>
      </c>
      <c r="C59" s="55">
        <f t="shared" si="44"/>
        <v>4014.5551388888894</v>
      </c>
      <c r="D59" s="15">
        <f t="shared" ref="D59:M59" si="56">D101*D167</f>
        <v>0</v>
      </c>
      <c r="E59" s="14">
        <f t="shared" si="56"/>
        <v>609.0068055555555</v>
      </c>
      <c r="F59" s="14">
        <f t="shared" si="56"/>
        <v>0</v>
      </c>
      <c r="G59" s="13">
        <f t="shared" si="56"/>
        <v>103.64500000000046</v>
      </c>
      <c r="H59" s="15">
        <f t="shared" si="56"/>
        <v>0</v>
      </c>
      <c r="I59" s="13">
        <f t="shared" si="56"/>
        <v>0</v>
      </c>
      <c r="J59" s="16">
        <f t="shared" si="56"/>
        <v>1926.3999999999999</v>
      </c>
      <c r="K59" s="15">
        <f t="shared" si="56"/>
        <v>283.56</v>
      </c>
      <c r="L59" s="14">
        <f t="shared" si="56"/>
        <v>295.25</v>
      </c>
      <c r="M59" s="13">
        <f t="shared" si="56"/>
        <v>796.6933333333335</v>
      </c>
      <c r="N59" s="108" t="s">
        <v>83</v>
      </c>
    </row>
    <row r="60" spans="1:14" outlineLevel="1" x14ac:dyDescent="0.2">
      <c r="A60" s="20">
        <f t="shared" si="43"/>
        <v>3631</v>
      </c>
      <c r="B60" s="19" t="str">
        <f t="shared" si="43"/>
        <v>Tarleton</v>
      </c>
      <c r="C60" s="55">
        <f t="shared" si="44"/>
        <v>5774.3485000000019</v>
      </c>
      <c r="D60" s="15">
        <f t="shared" ref="D60:M60" si="57">D102*D168</f>
        <v>0</v>
      </c>
      <c r="E60" s="14">
        <f t="shared" si="57"/>
        <v>1292.6713333333335</v>
      </c>
      <c r="F60" s="14">
        <f t="shared" si="57"/>
        <v>0</v>
      </c>
      <c r="G60" s="13">
        <f t="shared" si="57"/>
        <v>156.12716666666802</v>
      </c>
      <c r="H60" s="15">
        <f t="shared" si="57"/>
        <v>0</v>
      </c>
      <c r="I60" s="13">
        <f t="shared" si="57"/>
        <v>0</v>
      </c>
      <c r="J60" s="16">
        <f t="shared" si="57"/>
        <v>2868</v>
      </c>
      <c r="K60" s="15">
        <f t="shared" si="57"/>
        <v>366.23666666666668</v>
      </c>
      <c r="L60" s="14">
        <f t="shared" si="57"/>
        <v>332.16666666666674</v>
      </c>
      <c r="M60" s="13">
        <f t="shared" si="57"/>
        <v>759.14666666666676</v>
      </c>
      <c r="N60" s="108" t="s">
        <v>83</v>
      </c>
    </row>
    <row r="61" spans="1:14" outlineLevel="1" x14ac:dyDescent="0.2">
      <c r="A61" s="27">
        <f t="shared" si="43"/>
        <v>103631</v>
      </c>
      <c r="B61" s="19" t="str">
        <f t="shared" si="43"/>
        <v>TAMUCT</v>
      </c>
      <c r="C61" s="55">
        <f t="shared" si="44"/>
        <v>1464.2604999999999</v>
      </c>
      <c r="D61" s="15">
        <f t="shared" ref="D61:M61" si="58">D103*D169</f>
        <v>0</v>
      </c>
      <c r="E61" s="14">
        <f t="shared" si="58"/>
        <v>385.06883333333332</v>
      </c>
      <c r="F61" s="14">
        <f t="shared" si="58"/>
        <v>0</v>
      </c>
      <c r="G61" s="13">
        <f t="shared" si="58"/>
        <v>85.361666666666594</v>
      </c>
      <c r="H61" s="15">
        <f t="shared" si="58"/>
        <v>0</v>
      </c>
      <c r="I61" s="13">
        <f t="shared" si="58"/>
        <v>0</v>
      </c>
      <c r="J61" s="16">
        <f t="shared" si="58"/>
        <v>784.8</v>
      </c>
      <c r="K61" s="15">
        <f t="shared" si="58"/>
        <v>168.3</v>
      </c>
      <c r="L61" s="14">
        <f t="shared" si="58"/>
        <v>33.25</v>
      </c>
      <c r="M61" s="13">
        <f t="shared" si="58"/>
        <v>7.4800000000000013</v>
      </c>
      <c r="N61" s="108" t="s">
        <v>82</v>
      </c>
    </row>
    <row r="62" spans="1:14" outlineLevel="1" x14ac:dyDescent="0.2">
      <c r="A62" s="20">
        <f t="shared" si="43"/>
        <v>11161</v>
      </c>
      <c r="B62" s="19" t="str">
        <f t="shared" si="43"/>
        <v>TAMUCC</v>
      </c>
      <c r="C62" s="55">
        <f t="shared" si="44"/>
        <v>5455.5516666666672</v>
      </c>
      <c r="D62" s="15">
        <f t="shared" ref="D62:M62" si="59">D104*D170</f>
        <v>0</v>
      </c>
      <c r="E62" s="14">
        <f t="shared" si="59"/>
        <v>1234.2283333333332</v>
      </c>
      <c r="F62" s="14">
        <f t="shared" si="59"/>
        <v>0</v>
      </c>
      <c r="G62" s="13">
        <f t="shared" si="59"/>
        <v>140.21000000000069</v>
      </c>
      <c r="H62" s="15">
        <f t="shared" si="59"/>
        <v>0</v>
      </c>
      <c r="I62" s="13">
        <f t="shared" si="59"/>
        <v>0</v>
      </c>
      <c r="J62" s="16">
        <f t="shared" si="59"/>
        <v>2592</v>
      </c>
      <c r="K62" s="15">
        <f t="shared" si="59"/>
        <v>349.18</v>
      </c>
      <c r="L62" s="14">
        <f t="shared" si="59"/>
        <v>367</v>
      </c>
      <c r="M62" s="13">
        <f t="shared" si="59"/>
        <v>772.93333333333339</v>
      </c>
      <c r="N62" s="108" t="s">
        <v>81</v>
      </c>
    </row>
    <row r="63" spans="1:14" outlineLevel="1" x14ac:dyDescent="0.2">
      <c r="A63" s="20">
        <f t="shared" si="43"/>
        <v>3639</v>
      </c>
      <c r="B63" s="19" t="str">
        <f t="shared" si="43"/>
        <v>TAMUK</v>
      </c>
      <c r="C63" s="55">
        <f t="shared" si="44"/>
        <v>3095.6394722222221</v>
      </c>
      <c r="D63" s="15">
        <f t="shared" ref="D63:M63" si="60">D105*D171</f>
        <v>0</v>
      </c>
      <c r="E63" s="14">
        <f t="shared" si="60"/>
        <v>536.2768055555556</v>
      </c>
      <c r="F63" s="14">
        <f t="shared" si="60"/>
        <v>0</v>
      </c>
      <c r="G63" s="13">
        <f t="shared" si="60"/>
        <v>88.172666666666984</v>
      </c>
      <c r="H63" s="15">
        <f t="shared" si="60"/>
        <v>0</v>
      </c>
      <c r="I63" s="13">
        <f t="shared" si="60"/>
        <v>0</v>
      </c>
      <c r="J63" s="16">
        <f t="shared" si="60"/>
        <v>1556</v>
      </c>
      <c r="K63" s="15">
        <f t="shared" si="60"/>
        <v>208.64666666666668</v>
      </c>
      <c r="L63" s="14">
        <f t="shared" si="60"/>
        <v>214.91666666666666</v>
      </c>
      <c r="M63" s="13">
        <f t="shared" si="60"/>
        <v>491.62666666666667</v>
      </c>
      <c r="N63" s="108" t="s">
        <v>81</v>
      </c>
    </row>
    <row r="64" spans="1:14" outlineLevel="1" x14ac:dyDescent="0.2">
      <c r="A64" s="27">
        <f t="shared" si="43"/>
        <v>103639</v>
      </c>
      <c r="B64" s="19" t="str">
        <f t="shared" si="43"/>
        <v>TAMUSA</v>
      </c>
      <c r="C64" s="55">
        <f t="shared" si="44"/>
        <v>1961.1743055555557</v>
      </c>
      <c r="D64" s="15">
        <f t="shared" ref="D64:M64" si="61">D106*D172</f>
        <v>0</v>
      </c>
      <c r="E64" s="14">
        <f t="shared" si="61"/>
        <v>413.76630555555556</v>
      </c>
      <c r="F64" s="14">
        <f t="shared" si="61"/>
        <v>0</v>
      </c>
      <c r="G64" s="13">
        <f t="shared" si="61"/>
        <v>102.6013333333338</v>
      </c>
      <c r="H64" s="15">
        <f t="shared" si="61"/>
        <v>0</v>
      </c>
      <c r="I64" s="13">
        <f t="shared" si="61"/>
        <v>0</v>
      </c>
      <c r="J64" s="16">
        <f t="shared" si="61"/>
        <v>1176.8</v>
      </c>
      <c r="K64" s="15">
        <f t="shared" si="61"/>
        <v>248.08666666666664</v>
      </c>
      <c r="L64" s="14">
        <f t="shared" si="61"/>
        <v>19.333333333333332</v>
      </c>
      <c r="M64" s="13">
        <f t="shared" si="61"/>
        <v>0.58666666666666678</v>
      </c>
      <c r="N64" s="108" t="s">
        <v>82</v>
      </c>
    </row>
    <row r="65" spans="1:14" outlineLevel="1" x14ac:dyDescent="0.2">
      <c r="A65" s="20">
        <f t="shared" si="43"/>
        <v>9651</v>
      </c>
      <c r="B65" s="19" t="str">
        <f t="shared" si="43"/>
        <v>TAMI</v>
      </c>
      <c r="C65" s="55">
        <f t="shared" si="44"/>
        <v>3347.3087222222221</v>
      </c>
      <c r="D65" s="15">
        <f t="shared" ref="D65:M65" si="62">D107*D173</f>
        <v>0</v>
      </c>
      <c r="E65" s="14">
        <f t="shared" si="62"/>
        <v>654.10722222222216</v>
      </c>
      <c r="F65" s="14">
        <f t="shared" si="62"/>
        <v>0</v>
      </c>
      <c r="G65" s="13">
        <f t="shared" si="62"/>
        <v>72.924833333333581</v>
      </c>
      <c r="H65" s="15">
        <f t="shared" si="62"/>
        <v>0</v>
      </c>
      <c r="I65" s="13">
        <f t="shared" si="62"/>
        <v>0</v>
      </c>
      <c r="J65" s="16">
        <f t="shared" si="62"/>
        <v>1710.3999999999999</v>
      </c>
      <c r="K65" s="15">
        <f t="shared" si="62"/>
        <v>239.13333333333335</v>
      </c>
      <c r="L65" s="14">
        <f t="shared" si="62"/>
        <v>253.91666666666666</v>
      </c>
      <c r="M65" s="13">
        <f t="shared" si="62"/>
        <v>416.82666666666677</v>
      </c>
      <c r="N65" s="108" t="s">
        <v>83</v>
      </c>
    </row>
    <row r="66" spans="1:14" outlineLevel="1" x14ac:dyDescent="0.2">
      <c r="A66" s="20">
        <f t="shared" si="43"/>
        <v>3665</v>
      </c>
      <c r="B66" s="19" t="str">
        <f t="shared" si="43"/>
        <v>WTAMU</v>
      </c>
      <c r="C66" s="55">
        <f t="shared" si="44"/>
        <v>4483.5529444444455</v>
      </c>
      <c r="D66" s="15">
        <f t="shared" ref="D66:M66" si="63">D108*D174</f>
        <v>0</v>
      </c>
      <c r="E66" s="14">
        <f t="shared" si="63"/>
        <v>1034.2507777777778</v>
      </c>
      <c r="F66" s="14">
        <f t="shared" si="63"/>
        <v>0</v>
      </c>
      <c r="G66" s="13">
        <f t="shared" si="63"/>
        <v>125.17883333333418</v>
      </c>
      <c r="H66" s="15">
        <f t="shared" si="63"/>
        <v>0</v>
      </c>
      <c r="I66" s="13">
        <f t="shared" si="63"/>
        <v>0</v>
      </c>
      <c r="J66" s="16">
        <f t="shared" si="63"/>
        <v>2134.4</v>
      </c>
      <c r="K66" s="15">
        <f t="shared" si="63"/>
        <v>304.58333333333337</v>
      </c>
      <c r="L66" s="14">
        <f t="shared" si="63"/>
        <v>303.16666666666669</v>
      </c>
      <c r="M66" s="13">
        <f t="shared" si="63"/>
        <v>581.97333333333347</v>
      </c>
      <c r="N66" s="108" t="s">
        <v>83</v>
      </c>
    </row>
    <row r="67" spans="1:14" outlineLevel="1" x14ac:dyDescent="0.2">
      <c r="A67" s="20">
        <f t="shared" si="43"/>
        <v>3565</v>
      </c>
      <c r="B67" s="19" t="str">
        <f t="shared" si="43"/>
        <v>TAMUC</v>
      </c>
      <c r="C67" s="55">
        <f t="shared" si="44"/>
        <v>4595.4246666666677</v>
      </c>
      <c r="D67" s="15">
        <f t="shared" ref="D67:M67" si="64">D109*D175</f>
        <v>0</v>
      </c>
      <c r="E67" s="14">
        <f t="shared" si="64"/>
        <v>1019.7366666666666</v>
      </c>
      <c r="F67" s="14">
        <f t="shared" si="64"/>
        <v>0</v>
      </c>
      <c r="G67" s="13">
        <f t="shared" si="64"/>
        <v>125.09133333333457</v>
      </c>
      <c r="H67" s="15">
        <f t="shared" si="64"/>
        <v>0</v>
      </c>
      <c r="I67" s="13">
        <f t="shared" si="64"/>
        <v>0</v>
      </c>
      <c r="J67" s="16">
        <f t="shared" si="64"/>
        <v>2446.4</v>
      </c>
      <c r="K67" s="15">
        <f t="shared" si="64"/>
        <v>321.81</v>
      </c>
      <c r="L67" s="14">
        <f t="shared" si="64"/>
        <v>284.33333333333331</v>
      </c>
      <c r="M67" s="13">
        <f t="shared" si="64"/>
        <v>398.05333333333334</v>
      </c>
      <c r="N67" s="108" t="s">
        <v>81</v>
      </c>
    </row>
    <row r="68" spans="1:14" outlineLevel="1" x14ac:dyDescent="0.2">
      <c r="A68" s="20">
        <f t="shared" ref="A68:B85" si="65">A25</f>
        <v>29269</v>
      </c>
      <c r="B68" s="19" t="str">
        <f t="shared" si="65"/>
        <v>TAMUT</v>
      </c>
      <c r="C68" s="55">
        <f t="shared" si="44"/>
        <v>1155.9747927902988</v>
      </c>
      <c r="D68" s="15">
        <f t="shared" ref="D68:M68" si="66">D110*D176</f>
        <v>0</v>
      </c>
      <c r="E68" s="14">
        <f t="shared" si="66"/>
        <v>327.88045945696564</v>
      </c>
      <c r="F68" s="14">
        <f t="shared" si="66"/>
        <v>0</v>
      </c>
      <c r="G68" s="13">
        <f t="shared" si="66"/>
        <v>61.990999999999829</v>
      </c>
      <c r="H68" s="15">
        <f t="shared" si="66"/>
        <v>0</v>
      </c>
      <c r="I68" s="13">
        <f t="shared" si="66"/>
        <v>0</v>
      </c>
      <c r="J68" s="16">
        <f t="shared" si="66"/>
        <v>573.6</v>
      </c>
      <c r="K68" s="15">
        <f t="shared" si="66"/>
        <v>147.10666666666665</v>
      </c>
      <c r="L68" s="14">
        <f t="shared" si="66"/>
        <v>45.25</v>
      </c>
      <c r="M68" s="13">
        <f t="shared" si="66"/>
        <v>0.1466666666666667</v>
      </c>
      <c r="N68" s="108" t="s">
        <v>82</v>
      </c>
    </row>
    <row r="69" spans="1:14" outlineLevel="1" x14ac:dyDescent="0.2">
      <c r="A69" s="20">
        <f t="shared" si="65"/>
        <v>3652</v>
      </c>
      <c r="B69" s="19" t="str">
        <f t="shared" si="65"/>
        <v>UH</v>
      </c>
      <c r="C69" s="55">
        <f t="shared" si="44"/>
        <v>19035.169222222186</v>
      </c>
      <c r="D69" s="15">
        <f t="shared" ref="D69:M69" si="67">D111*D177</f>
        <v>0</v>
      </c>
      <c r="E69" s="14">
        <f t="shared" si="67"/>
        <v>4785.5235555555555</v>
      </c>
      <c r="F69" s="14">
        <f t="shared" si="67"/>
        <v>0</v>
      </c>
      <c r="G69" s="13">
        <f t="shared" si="67"/>
        <v>529.01233333329719</v>
      </c>
      <c r="H69" s="15">
        <f t="shared" si="67"/>
        <v>0</v>
      </c>
      <c r="I69" s="13">
        <f t="shared" si="67"/>
        <v>0</v>
      </c>
      <c r="J69" s="16">
        <f t="shared" si="67"/>
        <v>8095.2</v>
      </c>
      <c r="K69" s="15">
        <f t="shared" si="67"/>
        <v>1292.3966666666665</v>
      </c>
      <c r="L69" s="14">
        <f t="shared" si="67"/>
        <v>1422.5833333333333</v>
      </c>
      <c r="M69" s="13">
        <f t="shared" si="67"/>
        <v>2910.4533333333338</v>
      </c>
      <c r="N69" s="108" t="s">
        <v>80</v>
      </c>
    </row>
    <row r="70" spans="1:14" outlineLevel="1" x14ac:dyDescent="0.2">
      <c r="A70" s="20">
        <f t="shared" si="65"/>
        <v>11711</v>
      </c>
      <c r="B70" s="19" t="str">
        <f t="shared" si="65"/>
        <v>UHCL</v>
      </c>
      <c r="C70" s="55">
        <f t="shared" si="44"/>
        <v>3894.5550222115648</v>
      </c>
      <c r="D70" s="15">
        <f t="shared" ref="D70:M70" si="68">D112*D178</f>
        <v>0</v>
      </c>
      <c r="E70" s="14">
        <f t="shared" si="68"/>
        <v>1083.8496888782297</v>
      </c>
      <c r="F70" s="14">
        <f t="shared" si="68"/>
        <v>0</v>
      </c>
      <c r="G70" s="13">
        <f t="shared" si="68"/>
        <v>228.29533333333529</v>
      </c>
      <c r="H70" s="15">
        <f t="shared" si="68"/>
        <v>0</v>
      </c>
      <c r="I70" s="13">
        <f t="shared" si="68"/>
        <v>0</v>
      </c>
      <c r="J70" s="16">
        <f t="shared" si="68"/>
        <v>1858.4</v>
      </c>
      <c r="K70" s="15">
        <f t="shared" si="68"/>
        <v>473.05333333333328</v>
      </c>
      <c r="L70" s="14">
        <f t="shared" si="68"/>
        <v>238.41666666666666</v>
      </c>
      <c r="M70" s="13">
        <f t="shared" si="68"/>
        <v>12.540000000000001</v>
      </c>
      <c r="N70" s="108" t="s">
        <v>82</v>
      </c>
    </row>
    <row r="71" spans="1:14" outlineLevel="1" x14ac:dyDescent="0.2">
      <c r="A71" s="20">
        <f t="shared" si="65"/>
        <v>12826</v>
      </c>
      <c r="B71" s="19" t="str">
        <f t="shared" si="65"/>
        <v>UHD</v>
      </c>
      <c r="C71" s="55">
        <f t="shared" si="44"/>
        <v>6909.580833333338</v>
      </c>
      <c r="D71" s="15">
        <f t="shared" ref="D71:M71" si="69">D113*D179</f>
        <v>0</v>
      </c>
      <c r="E71" s="14">
        <f t="shared" si="69"/>
        <v>792.1258333333335</v>
      </c>
      <c r="F71" s="14">
        <f t="shared" si="69"/>
        <v>0</v>
      </c>
      <c r="G71" s="13">
        <f t="shared" si="69"/>
        <v>427.13166666667212</v>
      </c>
      <c r="H71" s="15">
        <f t="shared" si="69"/>
        <v>0</v>
      </c>
      <c r="I71" s="13">
        <f t="shared" si="69"/>
        <v>0</v>
      </c>
      <c r="J71" s="16">
        <f t="shared" si="69"/>
        <v>4034.3999999999996</v>
      </c>
      <c r="K71" s="15">
        <f t="shared" si="69"/>
        <v>1055.8133333333333</v>
      </c>
      <c r="L71" s="14">
        <f t="shared" si="69"/>
        <v>467.08333333333331</v>
      </c>
      <c r="M71" s="13">
        <f t="shared" si="69"/>
        <v>133.02666666666667</v>
      </c>
      <c r="N71" s="108" t="s">
        <v>82</v>
      </c>
    </row>
    <row r="72" spans="1:14" outlineLevel="1" x14ac:dyDescent="0.2">
      <c r="A72" s="20">
        <f t="shared" si="65"/>
        <v>13231</v>
      </c>
      <c r="B72" s="19" t="str">
        <f t="shared" si="65"/>
        <v>UHV</v>
      </c>
      <c r="C72" s="55">
        <f t="shared" si="44"/>
        <v>1874.3800599680062</v>
      </c>
      <c r="D72" s="15">
        <f t="shared" ref="D72:M72" si="70">D114*D180</f>
        <v>0</v>
      </c>
      <c r="E72" s="14">
        <f t="shared" si="70"/>
        <v>525.3420599680062</v>
      </c>
      <c r="F72" s="14">
        <f t="shared" si="70"/>
        <v>0</v>
      </c>
      <c r="G72" s="13">
        <f t="shared" si="70"/>
        <v>108.44800000000012</v>
      </c>
      <c r="H72" s="15">
        <f t="shared" si="70"/>
        <v>0</v>
      </c>
      <c r="I72" s="13">
        <f t="shared" si="70"/>
        <v>0</v>
      </c>
      <c r="J72" s="16">
        <f t="shared" si="70"/>
        <v>921.59999999999991</v>
      </c>
      <c r="K72" s="15">
        <f t="shared" si="70"/>
        <v>243.44000000000003</v>
      </c>
      <c r="L72" s="14">
        <f t="shared" si="70"/>
        <v>74.083333333333329</v>
      </c>
      <c r="M72" s="13">
        <f t="shared" si="70"/>
        <v>1.4666666666666668</v>
      </c>
      <c r="N72" s="108" t="s">
        <v>82</v>
      </c>
    </row>
    <row r="73" spans="1:14" outlineLevel="1" x14ac:dyDescent="0.2">
      <c r="A73" s="20">
        <f t="shared" si="65"/>
        <v>3592</v>
      </c>
      <c r="B73" s="19" t="str">
        <f t="shared" si="65"/>
        <v>Midwestern</v>
      </c>
      <c r="C73" s="55">
        <f t="shared" si="44"/>
        <v>3546.1263888888893</v>
      </c>
      <c r="D73" s="15">
        <f t="shared" ref="D73:M73" si="71">D115*D181</f>
        <v>0</v>
      </c>
      <c r="E73" s="14">
        <f t="shared" si="71"/>
        <v>793.17972222222215</v>
      </c>
      <c r="F73" s="14">
        <f t="shared" si="71"/>
        <v>0</v>
      </c>
      <c r="G73" s="13">
        <f t="shared" si="71"/>
        <v>196.20000000000036</v>
      </c>
      <c r="H73" s="15">
        <f t="shared" si="71"/>
        <v>0</v>
      </c>
      <c r="I73" s="13">
        <f t="shared" si="71"/>
        <v>0</v>
      </c>
      <c r="J73" s="16">
        <f t="shared" si="71"/>
        <v>1656.8</v>
      </c>
      <c r="K73" s="15">
        <f t="shared" si="71"/>
        <v>488.92</v>
      </c>
      <c r="L73" s="14">
        <f t="shared" si="71"/>
        <v>261.5</v>
      </c>
      <c r="M73" s="13">
        <f t="shared" si="71"/>
        <v>149.52666666666667</v>
      </c>
      <c r="N73" s="108" t="s">
        <v>82</v>
      </c>
    </row>
    <row r="74" spans="1:14" outlineLevel="1" x14ac:dyDescent="0.2">
      <c r="A74" s="20">
        <f t="shared" si="65"/>
        <v>3594</v>
      </c>
      <c r="B74" s="19" t="str">
        <f t="shared" si="65"/>
        <v>UNT</v>
      </c>
      <c r="C74" s="55">
        <f t="shared" si="44"/>
        <v>21491.024055555514</v>
      </c>
      <c r="D74" s="15">
        <f t="shared" ref="D74:M74" si="72">D116*D182</f>
        <v>0</v>
      </c>
      <c r="E74" s="14">
        <f t="shared" si="72"/>
        <v>6068.3097222222223</v>
      </c>
      <c r="F74" s="14">
        <f t="shared" si="72"/>
        <v>0</v>
      </c>
      <c r="G74" s="13">
        <f t="shared" si="72"/>
        <v>570.57766666662644</v>
      </c>
      <c r="H74" s="15">
        <f t="shared" si="72"/>
        <v>0</v>
      </c>
      <c r="I74" s="13">
        <f t="shared" si="72"/>
        <v>0</v>
      </c>
      <c r="J74" s="16">
        <f t="shared" si="72"/>
        <v>9168</v>
      </c>
      <c r="K74" s="15">
        <f t="shared" si="72"/>
        <v>1336.9933333333336</v>
      </c>
      <c r="L74" s="14">
        <f t="shared" si="72"/>
        <v>1410.5833333333333</v>
      </c>
      <c r="M74" s="13">
        <f t="shared" si="72"/>
        <v>2936.5600000000004</v>
      </c>
      <c r="N74" s="108" t="s">
        <v>80</v>
      </c>
    </row>
    <row r="75" spans="1:14" outlineLevel="1" x14ac:dyDescent="0.2">
      <c r="A75" s="27">
        <f t="shared" si="65"/>
        <v>113594</v>
      </c>
      <c r="B75" s="19" t="str">
        <f t="shared" si="65"/>
        <v>UNTD</v>
      </c>
      <c r="C75" s="55">
        <f t="shared" si="44"/>
        <v>1401.5881874999998</v>
      </c>
      <c r="D75" s="15">
        <f t="shared" ref="D75:M75" si="73">D117*D183</f>
        <v>0</v>
      </c>
      <c r="E75" s="14">
        <f t="shared" si="73"/>
        <v>407.78718750000002</v>
      </c>
      <c r="F75" s="14">
        <f t="shared" si="73"/>
        <v>0</v>
      </c>
      <c r="G75" s="13">
        <f t="shared" si="73"/>
        <v>70.585999999999714</v>
      </c>
      <c r="H75" s="15">
        <f t="shared" si="73"/>
        <v>0</v>
      </c>
      <c r="I75" s="13">
        <f t="shared" si="73"/>
        <v>0</v>
      </c>
      <c r="J75" s="16">
        <f t="shared" si="73"/>
        <v>740.4</v>
      </c>
      <c r="K75" s="15">
        <f t="shared" si="73"/>
        <v>162.52000000000001</v>
      </c>
      <c r="L75" s="14">
        <f t="shared" si="73"/>
        <v>17.875</v>
      </c>
      <c r="M75" s="13">
        <f t="shared" si="73"/>
        <v>2.4200000000000004</v>
      </c>
      <c r="N75" s="108" t="s">
        <v>82</v>
      </c>
    </row>
    <row r="76" spans="1:14" outlineLevel="1" x14ac:dyDescent="0.2">
      <c r="A76" s="20">
        <f t="shared" si="65"/>
        <v>3624</v>
      </c>
      <c r="B76" s="19" t="str">
        <f t="shared" si="65"/>
        <v>SFA</v>
      </c>
      <c r="C76" s="55">
        <f t="shared" si="44"/>
        <v>7773.1326666666664</v>
      </c>
      <c r="D76" s="15">
        <f t="shared" ref="D76:M76" si="74">D118*D184</f>
        <v>0</v>
      </c>
      <c r="E76" s="14">
        <f t="shared" si="74"/>
        <v>1863.0558333333331</v>
      </c>
      <c r="F76" s="14">
        <f t="shared" si="74"/>
        <v>0</v>
      </c>
      <c r="G76" s="13">
        <f t="shared" si="74"/>
        <v>186.08683333333346</v>
      </c>
      <c r="H76" s="15">
        <f t="shared" si="74"/>
        <v>0</v>
      </c>
      <c r="I76" s="13">
        <f t="shared" si="74"/>
        <v>0</v>
      </c>
      <c r="J76" s="16">
        <f t="shared" si="74"/>
        <v>3504.7999999999997</v>
      </c>
      <c r="K76" s="15">
        <f t="shared" si="74"/>
        <v>470.78666666666669</v>
      </c>
      <c r="L76" s="14">
        <f t="shared" si="74"/>
        <v>518.75</v>
      </c>
      <c r="M76" s="13">
        <f t="shared" si="74"/>
        <v>1229.6533333333334</v>
      </c>
      <c r="N76" s="108" t="s">
        <v>83</v>
      </c>
    </row>
    <row r="77" spans="1:14" outlineLevel="1" x14ac:dyDescent="0.2">
      <c r="A77" s="20">
        <f t="shared" si="65"/>
        <v>3642</v>
      </c>
      <c r="B77" s="19" t="str">
        <f t="shared" si="65"/>
        <v>TSU</v>
      </c>
      <c r="C77" s="55">
        <f t="shared" si="44"/>
        <v>3172.7136388888894</v>
      </c>
      <c r="D77" s="15">
        <f t="shared" ref="D77:M77" si="75">D119*D185</f>
        <v>0</v>
      </c>
      <c r="E77" s="14">
        <f t="shared" si="75"/>
        <v>190.65763888888887</v>
      </c>
      <c r="F77" s="14">
        <f t="shared" si="75"/>
        <v>0</v>
      </c>
      <c r="G77" s="13">
        <f t="shared" si="75"/>
        <v>74.432666666666762</v>
      </c>
      <c r="H77" s="15">
        <f t="shared" si="75"/>
        <v>0</v>
      </c>
      <c r="I77" s="13">
        <f t="shared" si="75"/>
        <v>0</v>
      </c>
      <c r="J77" s="16">
        <f t="shared" si="75"/>
        <v>1599.2</v>
      </c>
      <c r="K77" s="15">
        <f t="shared" si="75"/>
        <v>278.34666666666664</v>
      </c>
      <c r="L77" s="14">
        <f t="shared" si="75"/>
        <v>283.25</v>
      </c>
      <c r="M77" s="13">
        <f t="shared" si="75"/>
        <v>746.82666666666682</v>
      </c>
      <c r="N77" s="108" t="s">
        <v>81</v>
      </c>
    </row>
    <row r="78" spans="1:14" outlineLevel="1" x14ac:dyDescent="0.2">
      <c r="A78" s="20">
        <f t="shared" si="65"/>
        <v>3644</v>
      </c>
      <c r="B78" s="19" t="str">
        <f t="shared" si="65"/>
        <v>TTU</v>
      </c>
      <c r="C78" s="55">
        <f t="shared" si="44"/>
        <v>19055.276333333302</v>
      </c>
      <c r="D78" s="15">
        <f t="shared" ref="D78:M78" si="76">D120*D186</f>
        <v>0</v>
      </c>
      <c r="E78" s="14">
        <f t="shared" si="76"/>
        <v>5987.3939999999993</v>
      </c>
      <c r="F78" s="14">
        <f t="shared" si="76"/>
        <v>0</v>
      </c>
      <c r="G78" s="13">
        <f t="shared" si="76"/>
        <v>506.40566666663409</v>
      </c>
      <c r="H78" s="15">
        <f t="shared" si="76"/>
        <v>0</v>
      </c>
      <c r="I78" s="13">
        <f t="shared" si="76"/>
        <v>0</v>
      </c>
      <c r="J78" s="16">
        <f t="shared" si="76"/>
        <v>6667.2</v>
      </c>
      <c r="K78" s="15">
        <f t="shared" si="76"/>
        <v>1102.5066666666667</v>
      </c>
      <c r="L78" s="14">
        <f t="shared" si="76"/>
        <v>1319.5833333333333</v>
      </c>
      <c r="M78" s="13">
        <f t="shared" si="76"/>
        <v>3472.186666666667</v>
      </c>
      <c r="N78" s="108" t="s">
        <v>80</v>
      </c>
    </row>
    <row r="79" spans="1:14" outlineLevel="1" x14ac:dyDescent="0.2">
      <c r="A79" s="20">
        <f t="shared" si="65"/>
        <v>3541</v>
      </c>
      <c r="B79" s="19" t="str">
        <f t="shared" si="65"/>
        <v>Angelo</v>
      </c>
      <c r="C79" s="55">
        <f t="shared" si="44"/>
        <v>3581.5850555555558</v>
      </c>
      <c r="D79" s="15">
        <f t="shared" ref="D79:M79" si="77">D121*D187</f>
        <v>0</v>
      </c>
      <c r="E79" s="14">
        <f t="shared" si="77"/>
        <v>745.40005555555558</v>
      </c>
      <c r="F79" s="14">
        <f t="shared" si="77"/>
        <v>0</v>
      </c>
      <c r="G79" s="13">
        <f t="shared" si="77"/>
        <v>197.73500000000053</v>
      </c>
      <c r="H79" s="15">
        <f t="shared" si="77"/>
        <v>0</v>
      </c>
      <c r="I79" s="13">
        <f t="shared" si="77"/>
        <v>0</v>
      </c>
      <c r="J79" s="16">
        <f t="shared" si="77"/>
        <v>1735.2</v>
      </c>
      <c r="K79" s="15">
        <f t="shared" si="77"/>
        <v>489.14666666666676</v>
      </c>
      <c r="L79" s="14">
        <f t="shared" si="77"/>
        <v>258.41666666666669</v>
      </c>
      <c r="M79" s="13">
        <f t="shared" si="77"/>
        <v>155.6866666666667</v>
      </c>
      <c r="N79" s="108" t="s">
        <v>82</v>
      </c>
    </row>
    <row r="80" spans="1:14" outlineLevel="1" x14ac:dyDescent="0.2">
      <c r="A80" s="20">
        <f t="shared" si="65"/>
        <v>3646</v>
      </c>
      <c r="B80" s="19" t="str">
        <f t="shared" si="65"/>
        <v>TWU</v>
      </c>
      <c r="C80" s="55">
        <f t="shared" si="44"/>
        <v>6097.3673333333318</v>
      </c>
      <c r="D80" s="15">
        <f t="shared" ref="D80:M80" si="78">D122*D188</f>
        <v>0</v>
      </c>
      <c r="E80" s="14">
        <f t="shared" si="78"/>
        <v>1655.0485000000001</v>
      </c>
      <c r="F80" s="14">
        <f t="shared" si="78"/>
        <v>0</v>
      </c>
      <c r="G80" s="13">
        <f t="shared" si="78"/>
        <v>172.60883333333331</v>
      </c>
      <c r="H80" s="15">
        <f t="shared" si="78"/>
        <v>0</v>
      </c>
      <c r="I80" s="13">
        <f t="shared" si="78"/>
        <v>0</v>
      </c>
      <c r="J80" s="16">
        <f t="shared" si="78"/>
        <v>2992.7999999999997</v>
      </c>
      <c r="K80" s="15">
        <f t="shared" si="78"/>
        <v>373.32</v>
      </c>
      <c r="L80" s="14">
        <f t="shared" si="78"/>
        <v>323.08333333333331</v>
      </c>
      <c r="M80" s="13">
        <f t="shared" si="78"/>
        <v>580.50666666666666</v>
      </c>
      <c r="N80" s="108" t="s">
        <v>81</v>
      </c>
    </row>
    <row r="81" spans="1:14" outlineLevel="1" x14ac:dyDescent="0.2">
      <c r="A81" s="20">
        <f t="shared" si="65"/>
        <v>3581</v>
      </c>
      <c r="B81" s="19" t="str">
        <f t="shared" si="65"/>
        <v>Lamar</v>
      </c>
      <c r="C81" s="55">
        <f t="shared" si="44"/>
        <v>4856.2389444444452</v>
      </c>
      <c r="D81" s="15">
        <f t="shared" ref="D81:M81" si="79">D123*D189</f>
        <v>0</v>
      </c>
      <c r="E81" s="14">
        <f t="shared" si="79"/>
        <v>818.67061111111104</v>
      </c>
      <c r="F81" s="14">
        <f t="shared" si="79"/>
        <v>0</v>
      </c>
      <c r="G81" s="13">
        <f t="shared" si="79"/>
        <v>134.24500000000083</v>
      </c>
      <c r="H81" s="15">
        <f t="shared" si="79"/>
        <v>0</v>
      </c>
      <c r="I81" s="13">
        <f t="shared" si="79"/>
        <v>0</v>
      </c>
      <c r="J81" s="16">
        <f t="shared" si="79"/>
        <v>2276.7999999999997</v>
      </c>
      <c r="K81" s="15">
        <f t="shared" si="79"/>
        <v>364.59333333333331</v>
      </c>
      <c r="L81" s="14">
        <f t="shared" si="79"/>
        <v>372.25</v>
      </c>
      <c r="M81" s="13">
        <f t="shared" si="79"/>
        <v>889.68000000000018</v>
      </c>
      <c r="N81" s="108" t="s">
        <v>83</v>
      </c>
    </row>
    <row r="82" spans="1:14" outlineLevel="1" x14ac:dyDescent="0.2">
      <c r="A82" s="20">
        <f t="shared" si="65"/>
        <v>3606</v>
      </c>
      <c r="B82" s="19" t="str">
        <f t="shared" si="65"/>
        <v>SHSU</v>
      </c>
      <c r="C82" s="55">
        <f t="shared" si="44"/>
        <v>11719.494944444452</v>
      </c>
      <c r="D82" s="15">
        <f t="shared" ref="D82:M82" si="80">D124*D190</f>
        <v>0</v>
      </c>
      <c r="E82" s="14">
        <f t="shared" si="80"/>
        <v>3159.7377777777779</v>
      </c>
      <c r="F82" s="14">
        <f t="shared" si="80"/>
        <v>0</v>
      </c>
      <c r="G82" s="13">
        <f t="shared" si="80"/>
        <v>291.85383333333942</v>
      </c>
      <c r="H82" s="15">
        <f t="shared" si="80"/>
        <v>0</v>
      </c>
      <c r="I82" s="13">
        <f t="shared" si="80"/>
        <v>0</v>
      </c>
      <c r="J82" s="16">
        <f t="shared" si="80"/>
        <v>5312.7999999999993</v>
      </c>
      <c r="K82" s="15">
        <f t="shared" si="80"/>
        <v>662.03666666666675</v>
      </c>
      <c r="L82" s="14">
        <f t="shared" si="80"/>
        <v>741.33333333333348</v>
      </c>
      <c r="M82" s="13">
        <f t="shared" si="80"/>
        <v>1551.7333333333336</v>
      </c>
      <c r="N82" s="108" t="s">
        <v>81</v>
      </c>
    </row>
    <row r="83" spans="1:14" outlineLevel="1" x14ac:dyDescent="0.2">
      <c r="A83" s="20">
        <f t="shared" si="65"/>
        <v>3615</v>
      </c>
      <c r="B83" s="19" t="str">
        <f t="shared" si="65"/>
        <v>TXST</v>
      </c>
      <c r="C83" s="55">
        <f t="shared" si="44"/>
        <v>20865.273249999966</v>
      </c>
      <c r="D83" s="15">
        <f t="shared" ref="D83:M83" si="81">D125*D191</f>
        <v>0</v>
      </c>
      <c r="E83" s="14">
        <f t="shared" si="81"/>
        <v>5938.6477500000001</v>
      </c>
      <c r="F83" s="14">
        <f t="shared" si="81"/>
        <v>0</v>
      </c>
      <c r="G83" s="13">
        <f t="shared" si="81"/>
        <v>521.86549999996794</v>
      </c>
      <c r="H83" s="15">
        <f t="shared" si="81"/>
        <v>0</v>
      </c>
      <c r="I83" s="13">
        <f t="shared" si="81"/>
        <v>0</v>
      </c>
      <c r="J83" s="16">
        <f t="shared" si="81"/>
        <v>8820.7999999999993</v>
      </c>
      <c r="K83" s="15">
        <f t="shared" si="81"/>
        <v>1269.9566666666667</v>
      </c>
      <c r="L83" s="14">
        <f t="shared" si="81"/>
        <v>1394.75</v>
      </c>
      <c r="M83" s="13">
        <f t="shared" si="81"/>
        <v>2919.253333333334</v>
      </c>
      <c r="N83" s="108" t="s">
        <v>80</v>
      </c>
    </row>
    <row r="84" spans="1:14" outlineLevel="1" x14ac:dyDescent="0.2">
      <c r="A84" s="20">
        <f t="shared" si="65"/>
        <v>3625</v>
      </c>
      <c r="B84" s="19" t="str">
        <f t="shared" si="65"/>
        <v>SRSU</v>
      </c>
      <c r="C84" s="55">
        <f t="shared" si="44"/>
        <v>709.74766666666665</v>
      </c>
      <c r="D84" s="15">
        <f t="shared" ref="D84:M84" si="82">D126*D192</f>
        <v>0</v>
      </c>
      <c r="E84" s="14">
        <f t="shared" si="82"/>
        <v>99.731333333333339</v>
      </c>
      <c r="F84" s="14">
        <f t="shared" si="82"/>
        <v>0</v>
      </c>
      <c r="G84" s="13">
        <f t="shared" si="82"/>
        <v>39.432999999999964</v>
      </c>
      <c r="H84" s="15">
        <f t="shared" si="82"/>
        <v>0</v>
      </c>
      <c r="I84" s="13">
        <f t="shared" si="82"/>
        <v>0</v>
      </c>
      <c r="J84" s="16">
        <f t="shared" si="82"/>
        <v>391.2</v>
      </c>
      <c r="K84" s="15">
        <f t="shared" si="82"/>
        <v>102</v>
      </c>
      <c r="L84" s="14">
        <f t="shared" si="82"/>
        <v>48.416666666666664</v>
      </c>
      <c r="M84" s="13">
        <f t="shared" si="82"/>
        <v>28.966666666666669</v>
      </c>
      <c r="N84" s="108" t="s">
        <v>82</v>
      </c>
    </row>
    <row r="85" spans="1:14" outlineLevel="1" x14ac:dyDescent="0.2">
      <c r="A85" s="20">
        <f t="shared" si="65"/>
        <v>20</v>
      </c>
      <c r="B85" s="19" t="str">
        <f t="shared" si="65"/>
        <v>SRRG</v>
      </c>
      <c r="C85" s="55">
        <f t="shared" si="44"/>
        <v>565.72745908209106</v>
      </c>
      <c r="D85" s="15">
        <f t="shared" ref="D85:M85" si="83">D127*D193</f>
        <v>0</v>
      </c>
      <c r="E85" s="14">
        <f t="shared" si="83"/>
        <v>89.89045908209107</v>
      </c>
      <c r="F85" s="14">
        <f t="shared" si="83"/>
        <v>0</v>
      </c>
      <c r="G85" s="13">
        <f t="shared" si="83"/>
        <v>27.91699999999998</v>
      </c>
      <c r="H85" s="15">
        <f t="shared" si="83"/>
        <v>0</v>
      </c>
      <c r="I85" s="13">
        <f t="shared" si="83"/>
        <v>0</v>
      </c>
      <c r="J85" s="16">
        <f t="shared" si="83"/>
        <v>345.59999999999997</v>
      </c>
      <c r="K85" s="15">
        <f t="shared" si="83"/>
        <v>78.2</v>
      </c>
      <c r="L85" s="14">
        <f t="shared" si="83"/>
        <v>23.166666666666671</v>
      </c>
      <c r="M85" s="13">
        <f t="shared" si="83"/>
        <v>0.95333333333333337</v>
      </c>
      <c r="N85" s="108" t="s">
        <v>82</v>
      </c>
    </row>
    <row r="86" spans="1:14" ht="13.5" outlineLevel="1" thickBot="1" x14ac:dyDescent="0.25">
      <c r="A86" s="12"/>
      <c r="B86" s="11" t="s">
        <v>11</v>
      </c>
      <c r="C86" s="54">
        <f t="shared" ref="C86:M86" si="84">SUM(C48:C85)</f>
        <v>314656.37173389416</v>
      </c>
      <c r="D86" s="9">
        <f t="shared" si="84"/>
        <v>0</v>
      </c>
      <c r="E86" s="7">
        <f t="shared" si="84"/>
        <v>91124.075233894182</v>
      </c>
      <c r="F86" s="7">
        <f t="shared" si="84"/>
        <v>0</v>
      </c>
      <c r="G86" s="3">
        <f t="shared" si="84"/>
        <v>11714.566499999964</v>
      </c>
      <c r="H86" s="5">
        <f t="shared" si="84"/>
        <v>0</v>
      </c>
      <c r="I86" s="3">
        <f t="shared" si="84"/>
        <v>0</v>
      </c>
      <c r="J86" s="6">
        <f t="shared" si="84"/>
        <v>125105.73333333335</v>
      </c>
      <c r="K86" s="5">
        <f t="shared" si="84"/>
        <v>20378.041666666672</v>
      </c>
      <c r="L86" s="4">
        <f t="shared" si="84"/>
        <v>20625.875</v>
      </c>
      <c r="M86" s="3">
        <f t="shared" si="84"/>
        <v>45708.080000000024</v>
      </c>
      <c r="N86" s="165"/>
    </row>
    <row r="87" spans="1:14" ht="13.5" thickBot="1" x14ac:dyDescent="0.25">
      <c r="A87" s="57" t="s">
        <v>30</v>
      </c>
    </row>
    <row r="88" spans="1:14" ht="12.75" customHeight="1" outlineLevel="1" x14ac:dyDescent="0.2">
      <c r="A88" s="234" t="s">
        <v>24</v>
      </c>
      <c r="B88" s="236" t="s">
        <v>23</v>
      </c>
      <c r="C88" s="238" t="s">
        <v>77</v>
      </c>
      <c r="D88" s="247" t="s">
        <v>35</v>
      </c>
      <c r="E88" s="248"/>
      <c r="F88" s="248"/>
      <c r="G88" s="249"/>
      <c r="H88" s="250" t="s">
        <v>18</v>
      </c>
      <c r="I88" s="225" t="s">
        <v>17</v>
      </c>
      <c r="J88" s="227" t="s">
        <v>16</v>
      </c>
      <c r="K88" s="229" t="s">
        <v>34</v>
      </c>
      <c r="L88" s="230"/>
      <c r="M88" s="230"/>
      <c r="N88" s="232" t="s">
        <v>86</v>
      </c>
    </row>
    <row r="89" spans="1:14" ht="51.75" outlineLevel="1" thickBot="1" x14ac:dyDescent="0.25">
      <c r="A89" s="235"/>
      <c r="B89" s="237"/>
      <c r="C89" s="239"/>
      <c r="D89" s="192"/>
      <c r="E89" s="121" t="s">
        <v>33</v>
      </c>
      <c r="F89" s="121" t="s">
        <v>32</v>
      </c>
      <c r="G89" s="208" t="s">
        <v>31</v>
      </c>
      <c r="H89" s="251"/>
      <c r="I89" s="226"/>
      <c r="J89" s="228"/>
      <c r="K89" s="188" t="s">
        <v>14</v>
      </c>
      <c r="L89" s="189" t="s">
        <v>13</v>
      </c>
      <c r="M89" s="187" t="s">
        <v>12</v>
      </c>
      <c r="N89" s="233"/>
    </row>
    <row r="90" spans="1:14" outlineLevel="1" x14ac:dyDescent="0.2">
      <c r="A90" s="20">
        <f t="shared" ref="A90:B109" si="85">A5</f>
        <v>3656</v>
      </c>
      <c r="B90" s="19" t="str">
        <f t="shared" si="85"/>
        <v>UTA</v>
      </c>
      <c r="C90" s="73">
        <f t="shared" ref="C90:C127" si="86">SUM(D90:M90)</f>
        <v>1</v>
      </c>
      <c r="D90" s="92">
        <f t="shared" ref="D90:M99" si="87">SUMIF($N$131:$N$135,$N90,D$131:D$135)</f>
        <v>0</v>
      </c>
      <c r="E90" s="93">
        <f t="shared" si="87"/>
        <v>0.25</v>
      </c>
      <c r="F90" s="93">
        <f t="shared" si="87"/>
        <v>0</v>
      </c>
      <c r="G90" s="94">
        <f t="shared" si="87"/>
        <v>0.05</v>
      </c>
      <c r="H90" s="92">
        <f t="shared" si="87"/>
        <v>0</v>
      </c>
      <c r="I90" s="94">
        <f t="shared" si="87"/>
        <v>0</v>
      </c>
      <c r="J90" s="95">
        <f t="shared" si="87"/>
        <v>0.3</v>
      </c>
      <c r="K90" s="92">
        <f t="shared" si="87"/>
        <v>0.1</v>
      </c>
      <c r="L90" s="93">
        <f t="shared" si="87"/>
        <v>0.1</v>
      </c>
      <c r="M90" s="94">
        <f t="shared" si="87"/>
        <v>0.2</v>
      </c>
      <c r="N90" s="169" t="s">
        <v>80</v>
      </c>
    </row>
    <row r="91" spans="1:14" outlineLevel="1" x14ac:dyDescent="0.2">
      <c r="A91" s="20">
        <f t="shared" si="85"/>
        <v>3658</v>
      </c>
      <c r="B91" s="19" t="str">
        <f t="shared" si="85"/>
        <v>UT</v>
      </c>
      <c r="C91" s="73">
        <f t="shared" si="86"/>
        <v>1</v>
      </c>
      <c r="D91" s="74">
        <f t="shared" si="87"/>
        <v>0</v>
      </c>
      <c r="E91" s="75">
        <f t="shared" si="87"/>
        <v>0.3</v>
      </c>
      <c r="F91" s="75">
        <f t="shared" si="87"/>
        <v>0</v>
      </c>
      <c r="G91" s="76">
        <f t="shared" si="87"/>
        <v>0.1</v>
      </c>
      <c r="H91" s="77">
        <f t="shared" si="87"/>
        <v>0</v>
      </c>
      <c r="I91" s="78">
        <f t="shared" si="87"/>
        <v>0</v>
      </c>
      <c r="J91" s="79">
        <f t="shared" si="87"/>
        <v>0.2</v>
      </c>
      <c r="K91" s="77">
        <f t="shared" si="87"/>
        <v>0.05</v>
      </c>
      <c r="L91" s="80">
        <f t="shared" si="87"/>
        <v>0.1</v>
      </c>
      <c r="M91" s="78">
        <f t="shared" si="87"/>
        <v>0.25</v>
      </c>
      <c r="N91" s="108" t="s">
        <v>79</v>
      </c>
    </row>
    <row r="92" spans="1:14" outlineLevel="1" x14ac:dyDescent="0.2">
      <c r="A92" s="20">
        <f t="shared" si="85"/>
        <v>9741</v>
      </c>
      <c r="B92" s="19" t="str">
        <f t="shared" si="85"/>
        <v>UTD</v>
      </c>
      <c r="C92" s="73">
        <f t="shared" si="86"/>
        <v>1</v>
      </c>
      <c r="D92" s="74">
        <f t="shared" si="87"/>
        <v>0</v>
      </c>
      <c r="E92" s="75">
        <f t="shared" si="87"/>
        <v>0.25</v>
      </c>
      <c r="F92" s="75">
        <f t="shared" si="87"/>
        <v>0</v>
      </c>
      <c r="G92" s="76">
        <f t="shared" si="87"/>
        <v>0.05</v>
      </c>
      <c r="H92" s="74">
        <f t="shared" si="87"/>
        <v>0</v>
      </c>
      <c r="I92" s="76">
        <f t="shared" si="87"/>
        <v>0</v>
      </c>
      <c r="J92" s="81">
        <f t="shared" si="87"/>
        <v>0.3</v>
      </c>
      <c r="K92" s="74">
        <f t="shared" si="87"/>
        <v>0.1</v>
      </c>
      <c r="L92" s="75">
        <f t="shared" si="87"/>
        <v>0.1</v>
      </c>
      <c r="M92" s="76">
        <f t="shared" si="87"/>
        <v>0.2</v>
      </c>
      <c r="N92" s="108" t="s">
        <v>80</v>
      </c>
    </row>
    <row r="93" spans="1:14" outlineLevel="1" x14ac:dyDescent="0.2">
      <c r="A93" s="20">
        <f t="shared" si="85"/>
        <v>3661</v>
      </c>
      <c r="B93" s="19" t="str">
        <f t="shared" si="85"/>
        <v>UTEP</v>
      </c>
      <c r="C93" s="73">
        <f t="shared" si="86"/>
        <v>1</v>
      </c>
      <c r="D93" s="74">
        <f t="shared" si="87"/>
        <v>0</v>
      </c>
      <c r="E93" s="75">
        <f t="shared" si="87"/>
        <v>0.25</v>
      </c>
      <c r="F93" s="75">
        <f t="shared" si="87"/>
        <v>0</v>
      </c>
      <c r="G93" s="76">
        <f t="shared" si="87"/>
        <v>0.05</v>
      </c>
      <c r="H93" s="74">
        <f t="shared" si="87"/>
        <v>0</v>
      </c>
      <c r="I93" s="76">
        <f t="shared" si="87"/>
        <v>0</v>
      </c>
      <c r="J93" s="81">
        <f t="shared" si="87"/>
        <v>0.3</v>
      </c>
      <c r="K93" s="74">
        <f t="shared" si="87"/>
        <v>0.1</v>
      </c>
      <c r="L93" s="75">
        <f t="shared" si="87"/>
        <v>0.1</v>
      </c>
      <c r="M93" s="76">
        <f t="shared" si="87"/>
        <v>0.2</v>
      </c>
      <c r="N93" s="108" t="s">
        <v>80</v>
      </c>
    </row>
    <row r="94" spans="1:14" outlineLevel="1" x14ac:dyDescent="0.2">
      <c r="A94" s="20">
        <f t="shared" si="85"/>
        <v>3599</v>
      </c>
      <c r="B94" s="19" t="str">
        <f t="shared" si="85"/>
        <v>UTPA</v>
      </c>
      <c r="C94" s="73">
        <f t="shared" si="86"/>
        <v>1</v>
      </c>
      <c r="D94" s="74">
        <f t="shared" si="87"/>
        <v>0</v>
      </c>
      <c r="E94" s="75">
        <f t="shared" si="87"/>
        <v>0.25</v>
      </c>
      <c r="F94" s="75">
        <f t="shared" si="87"/>
        <v>0</v>
      </c>
      <c r="G94" s="76">
        <f t="shared" si="87"/>
        <v>0.05</v>
      </c>
      <c r="H94" s="74">
        <f t="shared" si="87"/>
        <v>0</v>
      </c>
      <c r="I94" s="76">
        <f t="shared" si="87"/>
        <v>0</v>
      </c>
      <c r="J94" s="81">
        <f t="shared" si="87"/>
        <v>0.3</v>
      </c>
      <c r="K94" s="74">
        <f t="shared" si="87"/>
        <v>0.1</v>
      </c>
      <c r="L94" s="75">
        <f t="shared" si="87"/>
        <v>0.1</v>
      </c>
      <c r="M94" s="76">
        <f t="shared" si="87"/>
        <v>0.2</v>
      </c>
      <c r="N94" s="108" t="s">
        <v>81</v>
      </c>
    </row>
    <row r="95" spans="1:14" outlineLevel="1" x14ac:dyDescent="0.2">
      <c r="A95" s="20">
        <f t="shared" si="85"/>
        <v>30646</v>
      </c>
      <c r="B95" s="19" t="str">
        <f t="shared" si="85"/>
        <v>UTB</v>
      </c>
      <c r="C95" s="73">
        <f t="shared" si="86"/>
        <v>0.99999999999999989</v>
      </c>
      <c r="D95" s="74">
        <f t="shared" si="87"/>
        <v>0</v>
      </c>
      <c r="E95" s="75">
        <f t="shared" si="87"/>
        <v>0.25</v>
      </c>
      <c r="F95" s="75">
        <f t="shared" si="87"/>
        <v>0</v>
      </c>
      <c r="G95" s="76">
        <f t="shared" si="87"/>
        <v>0.1</v>
      </c>
      <c r="H95" s="74">
        <f t="shared" si="87"/>
        <v>0</v>
      </c>
      <c r="I95" s="76">
        <f t="shared" si="87"/>
        <v>0</v>
      </c>
      <c r="J95" s="81">
        <f t="shared" si="87"/>
        <v>0.3</v>
      </c>
      <c r="K95" s="74">
        <f t="shared" si="87"/>
        <v>0.2</v>
      </c>
      <c r="L95" s="75">
        <f t="shared" si="87"/>
        <v>0.1</v>
      </c>
      <c r="M95" s="76">
        <f t="shared" si="87"/>
        <v>0.05</v>
      </c>
      <c r="N95" s="108" t="s">
        <v>82</v>
      </c>
    </row>
    <row r="96" spans="1:14" outlineLevel="1" x14ac:dyDescent="0.2">
      <c r="A96" s="20">
        <f t="shared" si="85"/>
        <v>9930</v>
      </c>
      <c r="B96" s="19" t="str">
        <f t="shared" si="85"/>
        <v>UTPB</v>
      </c>
      <c r="C96" s="73">
        <f t="shared" si="86"/>
        <v>0.99999999999999989</v>
      </c>
      <c r="D96" s="74">
        <f t="shared" si="87"/>
        <v>0</v>
      </c>
      <c r="E96" s="75">
        <f t="shared" si="87"/>
        <v>0.25</v>
      </c>
      <c r="F96" s="75">
        <f t="shared" si="87"/>
        <v>0</v>
      </c>
      <c r="G96" s="76">
        <f t="shared" si="87"/>
        <v>0.1</v>
      </c>
      <c r="H96" s="74">
        <f t="shared" si="87"/>
        <v>0</v>
      </c>
      <c r="I96" s="76">
        <f t="shared" si="87"/>
        <v>0</v>
      </c>
      <c r="J96" s="81">
        <f t="shared" si="87"/>
        <v>0.3</v>
      </c>
      <c r="K96" s="74">
        <f t="shared" si="87"/>
        <v>0.2</v>
      </c>
      <c r="L96" s="75">
        <f t="shared" si="87"/>
        <v>0.1</v>
      </c>
      <c r="M96" s="76">
        <f t="shared" si="87"/>
        <v>0.05</v>
      </c>
      <c r="N96" s="108" t="s">
        <v>82</v>
      </c>
    </row>
    <row r="97" spans="1:14" outlineLevel="1" x14ac:dyDescent="0.2">
      <c r="A97" s="20">
        <f t="shared" si="85"/>
        <v>10115</v>
      </c>
      <c r="B97" s="19" t="str">
        <f t="shared" si="85"/>
        <v>UTSA</v>
      </c>
      <c r="C97" s="73">
        <f t="shared" si="86"/>
        <v>1</v>
      </c>
      <c r="D97" s="74">
        <f t="shared" si="87"/>
        <v>0</v>
      </c>
      <c r="E97" s="75">
        <f t="shared" si="87"/>
        <v>0.25</v>
      </c>
      <c r="F97" s="75">
        <f t="shared" si="87"/>
        <v>0</v>
      </c>
      <c r="G97" s="76">
        <f t="shared" si="87"/>
        <v>0.05</v>
      </c>
      <c r="H97" s="74">
        <f t="shared" si="87"/>
        <v>0</v>
      </c>
      <c r="I97" s="76">
        <f t="shared" si="87"/>
        <v>0</v>
      </c>
      <c r="J97" s="81">
        <f t="shared" si="87"/>
        <v>0.3</v>
      </c>
      <c r="K97" s="74">
        <f t="shared" si="87"/>
        <v>0.1</v>
      </c>
      <c r="L97" s="75">
        <f t="shared" si="87"/>
        <v>0.1</v>
      </c>
      <c r="M97" s="76">
        <f t="shared" si="87"/>
        <v>0.2</v>
      </c>
      <c r="N97" s="108" t="s">
        <v>80</v>
      </c>
    </row>
    <row r="98" spans="1:14" outlineLevel="1" x14ac:dyDescent="0.2">
      <c r="A98" s="20">
        <f t="shared" si="85"/>
        <v>11163</v>
      </c>
      <c r="B98" s="19" t="str">
        <f t="shared" si="85"/>
        <v>UTT</v>
      </c>
      <c r="C98" s="73">
        <f t="shared" si="86"/>
        <v>0.99999999999999989</v>
      </c>
      <c r="D98" s="74">
        <f t="shared" si="87"/>
        <v>0</v>
      </c>
      <c r="E98" s="75">
        <f t="shared" si="87"/>
        <v>0.25</v>
      </c>
      <c r="F98" s="75">
        <f t="shared" si="87"/>
        <v>0</v>
      </c>
      <c r="G98" s="76">
        <f t="shared" si="87"/>
        <v>0.1</v>
      </c>
      <c r="H98" s="74">
        <f t="shared" si="87"/>
        <v>0</v>
      </c>
      <c r="I98" s="76">
        <f t="shared" si="87"/>
        <v>0</v>
      </c>
      <c r="J98" s="81">
        <f t="shared" si="87"/>
        <v>0.3</v>
      </c>
      <c r="K98" s="74">
        <f t="shared" si="87"/>
        <v>0.2</v>
      </c>
      <c r="L98" s="75">
        <f t="shared" si="87"/>
        <v>0.1</v>
      </c>
      <c r="M98" s="76">
        <f t="shared" si="87"/>
        <v>0.05</v>
      </c>
      <c r="N98" s="108" t="s">
        <v>82</v>
      </c>
    </row>
    <row r="99" spans="1:14" outlineLevel="1" x14ac:dyDescent="0.2">
      <c r="A99" s="20">
        <f t="shared" si="85"/>
        <v>3632</v>
      </c>
      <c r="B99" s="19" t="str">
        <f t="shared" si="85"/>
        <v>TAMU</v>
      </c>
      <c r="C99" s="73">
        <f t="shared" si="86"/>
        <v>1</v>
      </c>
      <c r="D99" s="74">
        <f t="shared" si="87"/>
        <v>0</v>
      </c>
      <c r="E99" s="75">
        <f t="shared" si="87"/>
        <v>0.3</v>
      </c>
      <c r="F99" s="75">
        <f t="shared" si="87"/>
        <v>0</v>
      </c>
      <c r="G99" s="76">
        <f t="shared" si="87"/>
        <v>0.1</v>
      </c>
      <c r="H99" s="77">
        <f t="shared" si="87"/>
        <v>0</v>
      </c>
      <c r="I99" s="78">
        <f t="shared" si="87"/>
        <v>0</v>
      </c>
      <c r="J99" s="79">
        <f t="shared" si="87"/>
        <v>0.2</v>
      </c>
      <c r="K99" s="77">
        <f t="shared" si="87"/>
        <v>0.05</v>
      </c>
      <c r="L99" s="80">
        <f t="shared" si="87"/>
        <v>0.1</v>
      </c>
      <c r="M99" s="78">
        <f t="shared" si="87"/>
        <v>0.25</v>
      </c>
      <c r="N99" s="108" t="s">
        <v>79</v>
      </c>
    </row>
    <row r="100" spans="1:14" outlineLevel="1" x14ac:dyDescent="0.2">
      <c r="A100" s="20">
        <f t="shared" si="85"/>
        <v>10298</v>
      </c>
      <c r="B100" s="19" t="str">
        <f t="shared" si="85"/>
        <v>TAMUG</v>
      </c>
      <c r="C100" s="73">
        <f t="shared" si="86"/>
        <v>0.99999999999999989</v>
      </c>
      <c r="D100" s="74">
        <f t="shared" ref="D100:M109" si="88">SUMIF($N$131:$N$135,$N100,D$131:D$135)</f>
        <v>0</v>
      </c>
      <c r="E100" s="75">
        <f t="shared" si="88"/>
        <v>0.25</v>
      </c>
      <c r="F100" s="75">
        <f t="shared" si="88"/>
        <v>0</v>
      </c>
      <c r="G100" s="76">
        <f t="shared" si="88"/>
        <v>0.1</v>
      </c>
      <c r="H100" s="74">
        <f t="shared" si="88"/>
        <v>0</v>
      </c>
      <c r="I100" s="76">
        <f t="shared" si="88"/>
        <v>0</v>
      </c>
      <c r="J100" s="81">
        <f t="shared" si="88"/>
        <v>0.3</v>
      </c>
      <c r="K100" s="74">
        <f t="shared" si="88"/>
        <v>0.2</v>
      </c>
      <c r="L100" s="75">
        <f t="shared" si="88"/>
        <v>0.1</v>
      </c>
      <c r="M100" s="76">
        <f t="shared" si="88"/>
        <v>0.05</v>
      </c>
      <c r="N100" s="108" t="s">
        <v>82</v>
      </c>
    </row>
    <row r="101" spans="1:14" outlineLevel="1" x14ac:dyDescent="0.2">
      <c r="A101" s="20">
        <f t="shared" si="85"/>
        <v>3630</v>
      </c>
      <c r="B101" s="19" t="str">
        <f t="shared" si="85"/>
        <v>Prairie View</v>
      </c>
      <c r="C101" s="73">
        <f t="shared" si="86"/>
        <v>1</v>
      </c>
      <c r="D101" s="74">
        <f t="shared" si="88"/>
        <v>0</v>
      </c>
      <c r="E101" s="75">
        <f t="shared" si="88"/>
        <v>0.25</v>
      </c>
      <c r="F101" s="75">
        <f t="shared" si="88"/>
        <v>0</v>
      </c>
      <c r="G101" s="76">
        <f t="shared" si="88"/>
        <v>0.05</v>
      </c>
      <c r="H101" s="74">
        <f t="shared" si="88"/>
        <v>0</v>
      </c>
      <c r="I101" s="76">
        <f t="shared" si="88"/>
        <v>0</v>
      </c>
      <c r="J101" s="81">
        <f t="shared" si="88"/>
        <v>0.3</v>
      </c>
      <c r="K101" s="74">
        <f t="shared" si="88"/>
        <v>0.1</v>
      </c>
      <c r="L101" s="75">
        <f t="shared" si="88"/>
        <v>0.1</v>
      </c>
      <c r="M101" s="76">
        <f t="shared" si="88"/>
        <v>0.2</v>
      </c>
      <c r="N101" s="108" t="s">
        <v>83</v>
      </c>
    </row>
    <row r="102" spans="1:14" outlineLevel="1" x14ac:dyDescent="0.2">
      <c r="A102" s="20">
        <f t="shared" si="85"/>
        <v>3631</v>
      </c>
      <c r="B102" s="19" t="str">
        <f t="shared" si="85"/>
        <v>Tarleton</v>
      </c>
      <c r="C102" s="73">
        <f t="shared" si="86"/>
        <v>1</v>
      </c>
      <c r="D102" s="74">
        <f t="shared" si="88"/>
        <v>0</v>
      </c>
      <c r="E102" s="75">
        <f t="shared" si="88"/>
        <v>0.25</v>
      </c>
      <c r="F102" s="75">
        <f t="shared" si="88"/>
        <v>0</v>
      </c>
      <c r="G102" s="76">
        <f t="shared" si="88"/>
        <v>0.05</v>
      </c>
      <c r="H102" s="74">
        <f t="shared" si="88"/>
        <v>0</v>
      </c>
      <c r="I102" s="76">
        <f t="shared" si="88"/>
        <v>0</v>
      </c>
      <c r="J102" s="81">
        <f t="shared" si="88"/>
        <v>0.3</v>
      </c>
      <c r="K102" s="74">
        <f t="shared" si="88"/>
        <v>0.1</v>
      </c>
      <c r="L102" s="75">
        <f t="shared" si="88"/>
        <v>0.1</v>
      </c>
      <c r="M102" s="76">
        <f t="shared" si="88"/>
        <v>0.2</v>
      </c>
      <c r="N102" s="108" t="s">
        <v>83</v>
      </c>
    </row>
    <row r="103" spans="1:14" outlineLevel="1" x14ac:dyDescent="0.2">
      <c r="A103" s="27">
        <f t="shared" si="85"/>
        <v>103631</v>
      </c>
      <c r="B103" s="19" t="str">
        <f t="shared" si="85"/>
        <v>TAMUCT</v>
      </c>
      <c r="C103" s="73">
        <f t="shared" si="86"/>
        <v>0.99999999999999989</v>
      </c>
      <c r="D103" s="74">
        <f t="shared" si="88"/>
        <v>0</v>
      </c>
      <c r="E103" s="75">
        <f t="shared" si="88"/>
        <v>0.25</v>
      </c>
      <c r="F103" s="75">
        <f t="shared" si="88"/>
        <v>0</v>
      </c>
      <c r="G103" s="76">
        <f t="shared" si="88"/>
        <v>0.1</v>
      </c>
      <c r="H103" s="74">
        <f t="shared" si="88"/>
        <v>0</v>
      </c>
      <c r="I103" s="76">
        <f t="shared" si="88"/>
        <v>0</v>
      </c>
      <c r="J103" s="81">
        <f t="shared" si="88"/>
        <v>0.3</v>
      </c>
      <c r="K103" s="74">
        <f t="shared" si="88"/>
        <v>0.2</v>
      </c>
      <c r="L103" s="75">
        <f t="shared" si="88"/>
        <v>0.1</v>
      </c>
      <c r="M103" s="76">
        <f t="shared" si="88"/>
        <v>0.05</v>
      </c>
      <c r="N103" s="108" t="s">
        <v>82</v>
      </c>
    </row>
    <row r="104" spans="1:14" outlineLevel="1" x14ac:dyDescent="0.2">
      <c r="A104" s="20">
        <f t="shared" si="85"/>
        <v>11161</v>
      </c>
      <c r="B104" s="19" t="str">
        <f t="shared" si="85"/>
        <v>TAMUCC</v>
      </c>
      <c r="C104" s="73">
        <f t="shared" si="86"/>
        <v>1</v>
      </c>
      <c r="D104" s="74">
        <f t="shared" si="88"/>
        <v>0</v>
      </c>
      <c r="E104" s="75">
        <f t="shared" si="88"/>
        <v>0.25</v>
      </c>
      <c r="F104" s="75">
        <f t="shared" si="88"/>
        <v>0</v>
      </c>
      <c r="G104" s="76">
        <f t="shared" si="88"/>
        <v>0.05</v>
      </c>
      <c r="H104" s="74">
        <f t="shared" si="88"/>
        <v>0</v>
      </c>
      <c r="I104" s="76">
        <f t="shared" si="88"/>
        <v>0</v>
      </c>
      <c r="J104" s="81">
        <f t="shared" si="88"/>
        <v>0.3</v>
      </c>
      <c r="K104" s="74">
        <f t="shared" si="88"/>
        <v>0.1</v>
      </c>
      <c r="L104" s="75">
        <f t="shared" si="88"/>
        <v>0.1</v>
      </c>
      <c r="M104" s="76">
        <f t="shared" si="88"/>
        <v>0.2</v>
      </c>
      <c r="N104" s="108" t="s">
        <v>81</v>
      </c>
    </row>
    <row r="105" spans="1:14" outlineLevel="1" x14ac:dyDescent="0.2">
      <c r="A105" s="20">
        <f t="shared" si="85"/>
        <v>3639</v>
      </c>
      <c r="B105" s="19" t="str">
        <f t="shared" si="85"/>
        <v>TAMUK</v>
      </c>
      <c r="C105" s="73">
        <f t="shared" si="86"/>
        <v>1</v>
      </c>
      <c r="D105" s="74">
        <f t="shared" si="88"/>
        <v>0</v>
      </c>
      <c r="E105" s="75">
        <f t="shared" si="88"/>
        <v>0.25</v>
      </c>
      <c r="F105" s="75">
        <f t="shared" si="88"/>
        <v>0</v>
      </c>
      <c r="G105" s="76">
        <f t="shared" si="88"/>
        <v>0.05</v>
      </c>
      <c r="H105" s="74">
        <f t="shared" si="88"/>
        <v>0</v>
      </c>
      <c r="I105" s="76">
        <f t="shared" si="88"/>
        <v>0</v>
      </c>
      <c r="J105" s="81">
        <f t="shared" si="88"/>
        <v>0.3</v>
      </c>
      <c r="K105" s="74">
        <f t="shared" si="88"/>
        <v>0.1</v>
      </c>
      <c r="L105" s="75">
        <f t="shared" si="88"/>
        <v>0.1</v>
      </c>
      <c r="M105" s="76">
        <f t="shared" si="88"/>
        <v>0.2</v>
      </c>
      <c r="N105" s="108" t="s">
        <v>81</v>
      </c>
    </row>
    <row r="106" spans="1:14" outlineLevel="1" x14ac:dyDescent="0.2">
      <c r="A106" s="27">
        <f t="shared" si="85"/>
        <v>103639</v>
      </c>
      <c r="B106" s="19" t="str">
        <f t="shared" si="85"/>
        <v>TAMUSA</v>
      </c>
      <c r="C106" s="73">
        <f t="shared" si="86"/>
        <v>0.99999999999999989</v>
      </c>
      <c r="D106" s="74">
        <f t="shared" si="88"/>
        <v>0</v>
      </c>
      <c r="E106" s="75">
        <f t="shared" si="88"/>
        <v>0.25</v>
      </c>
      <c r="F106" s="75">
        <f t="shared" si="88"/>
        <v>0</v>
      </c>
      <c r="G106" s="76">
        <f t="shared" si="88"/>
        <v>0.1</v>
      </c>
      <c r="H106" s="74">
        <f t="shared" si="88"/>
        <v>0</v>
      </c>
      <c r="I106" s="76">
        <f t="shared" si="88"/>
        <v>0</v>
      </c>
      <c r="J106" s="81">
        <f t="shared" si="88"/>
        <v>0.3</v>
      </c>
      <c r="K106" s="74">
        <f t="shared" si="88"/>
        <v>0.2</v>
      </c>
      <c r="L106" s="75">
        <f t="shared" si="88"/>
        <v>0.1</v>
      </c>
      <c r="M106" s="76">
        <f t="shared" si="88"/>
        <v>0.05</v>
      </c>
      <c r="N106" s="108" t="s">
        <v>82</v>
      </c>
    </row>
    <row r="107" spans="1:14" outlineLevel="1" x14ac:dyDescent="0.2">
      <c r="A107" s="20">
        <f t="shared" si="85"/>
        <v>9651</v>
      </c>
      <c r="B107" s="19" t="str">
        <f t="shared" si="85"/>
        <v>TAMI</v>
      </c>
      <c r="C107" s="73">
        <f t="shared" si="86"/>
        <v>1</v>
      </c>
      <c r="D107" s="74">
        <f t="shared" si="88"/>
        <v>0</v>
      </c>
      <c r="E107" s="75">
        <f t="shared" si="88"/>
        <v>0.25</v>
      </c>
      <c r="F107" s="75">
        <f t="shared" si="88"/>
        <v>0</v>
      </c>
      <c r="G107" s="76">
        <f t="shared" si="88"/>
        <v>0.05</v>
      </c>
      <c r="H107" s="74">
        <f t="shared" si="88"/>
        <v>0</v>
      </c>
      <c r="I107" s="76">
        <f t="shared" si="88"/>
        <v>0</v>
      </c>
      <c r="J107" s="81">
        <f t="shared" si="88"/>
        <v>0.3</v>
      </c>
      <c r="K107" s="74">
        <f t="shared" si="88"/>
        <v>0.1</v>
      </c>
      <c r="L107" s="75">
        <f t="shared" si="88"/>
        <v>0.1</v>
      </c>
      <c r="M107" s="76">
        <f t="shared" si="88"/>
        <v>0.2</v>
      </c>
      <c r="N107" s="108" t="s">
        <v>83</v>
      </c>
    </row>
    <row r="108" spans="1:14" outlineLevel="1" x14ac:dyDescent="0.2">
      <c r="A108" s="20">
        <f t="shared" si="85"/>
        <v>3665</v>
      </c>
      <c r="B108" s="19" t="str">
        <f t="shared" si="85"/>
        <v>WTAMU</v>
      </c>
      <c r="C108" s="73">
        <f t="shared" si="86"/>
        <v>1</v>
      </c>
      <c r="D108" s="74">
        <f t="shared" si="88"/>
        <v>0</v>
      </c>
      <c r="E108" s="75">
        <f t="shared" si="88"/>
        <v>0.25</v>
      </c>
      <c r="F108" s="75">
        <f t="shared" si="88"/>
        <v>0</v>
      </c>
      <c r="G108" s="76">
        <f t="shared" si="88"/>
        <v>0.05</v>
      </c>
      <c r="H108" s="74">
        <f t="shared" si="88"/>
        <v>0</v>
      </c>
      <c r="I108" s="76">
        <f t="shared" si="88"/>
        <v>0</v>
      </c>
      <c r="J108" s="81">
        <f t="shared" si="88"/>
        <v>0.3</v>
      </c>
      <c r="K108" s="74">
        <f t="shared" si="88"/>
        <v>0.1</v>
      </c>
      <c r="L108" s="75">
        <f t="shared" si="88"/>
        <v>0.1</v>
      </c>
      <c r="M108" s="76">
        <f t="shared" si="88"/>
        <v>0.2</v>
      </c>
      <c r="N108" s="108" t="s">
        <v>83</v>
      </c>
    </row>
    <row r="109" spans="1:14" outlineLevel="1" x14ac:dyDescent="0.2">
      <c r="A109" s="20">
        <f t="shared" si="85"/>
        <v>3565</v>
      </c>
      <c r="B109" s="19" t="str">
        <f t="shared" si="85"/>
        <v>TAMUC</v>
      </c>
      <c r="C109" s="73">
        <f t="shared" si="86"/>
        <v>1</v>
      </c>
      <c r="D109" s="74">
        <f t="shared" si="88"/>
        <v>0</v>
      </c>
      <c r="E109" s="75">
        <f t="shared" si="88"/>
        <v>0.25</v>
      </c>
      <c r="F109" s="75">
        <f t="shared" si="88"/>
        <v>0</v>
      </c>
      <c r="G109" s="76">
        <f t="shared" si="88"/>
        <v>0.05</v>
      </c>
      <c r="H109" s="74">
        <f t="shared" si="88"/>
        <v>0</v>
      </c>
      <c r="I109" s="76">
        <f t="shared" si="88"/>
        <v>0</v>
      </c>
      <c r="J109" s="81">
        <f t="shared" si="88"/>
        <v>0.3</v>
      </c>
      <c r="K109" s="74">
        <f t="shared" si="88"/>
        <v>0.1</v>
      </c>
      <c r="L109" s="75">
        <f t="shared" si="88"/>
        <v>0.1</v>
      </c>
      <c r="M109" s="76">
        <f t="shared" si="88"/>
        <v>0.2</v>
      </c>
      <c r="N109" s="108" t="s">
        <v>81</v>
      </c>
    </row>
    <row r="110" spans="1:14" outlineLevel="1" x14ac:dyDescent="0.2">
      <c r="A110" s="20">
        <f t="shared" ref="A110:B127" si="89">A25</f>
        <v>29269</v>
      </c>
      <c r="B110" s="19" t="str">
        <f t="shared" si="89"/>
        <v>TAMUT</v>
      </c>
      <c r="C110" s="73">
        <f t="shared" si="86"/>
        <v>0.99999999999999989</v>
      </c>
      <c r="D110" s="74">
        <f t="shared" ref="D110:M119" si="90">SUMIF($N$131:$N$135,$N110,D$131:D$135)</f>
        <v>0</v>
      </c>
      <c r="E110" s="75">
        <f t="shared" si="90"/>
        <v>0.25</v>
      </c>
      <c r="F110" s="75">
        <f t="shared" si="90"/>
        <v>0</v>
      </c>
      <c r="G110" s="76">
        <f t="shared" si="90"/>
        <v>0.1</v>
      </c>
      <c r="H110" s="74">
        <f t="shared" si="90"/>
        <v>0</v>
      </c>
      <c r="I110" s="76">
        <f t="shared" si="90"/>
        <v>0</v>
      </c>
      <c r="J110" s="81">
        <f t="shared" si="90"/>
        <v>0.3</v>
      </c>
      <c r="K110" s="74">
        <f t="shared" si="90"/>
        <v>0.2</v>
      </c>
      <c r="L110" s="75">
        <f t="shared" si="90"/>
        <v>0.1</v>
      </c>
      <c r="M110" s="76">
        <f t="shared" si="90"/>
        <v>0.05</v>
      </c>
      <c r="N110" s="108" t="s">
        <v>82</v>
      </c>
    </row>
    <row r="111" spans="1:14" outlineLevel="1" x14ac:dyDescent="0.2">
      <c r="A111" s="20">
        <f t="shared" si="89"/>
        <v>3652</v>
      </c>
      <c r="B111" s="19" t="str">
        <f t="shared" si="89"/>
        <v>UH</v>
      </c>
      <c r="C111" s="73">
        <f t="shared" si="86"/>
        <v>1</v>
      </c>
      <c r="D111" s="74">
        <f t="shared" si="90"/>
        <v>0</v>
      </c>
      <c r="E111" s="75">
        <f t="shared" si="90"/>
        <v>0.25</v>
      </c>
      <c r="F111" s="75">
        <f t="shared" si="90"/>
        <v>0</v>
      </c>
      <c r="G111" s="76">
        <f t="shared" si="90"/>
        <v>0.05</v>
      </c>
      <c r="H111" s="74">
        <f t="shared" si="90"/>
        <v>0</v>
      </c>
      <c r="I111" s="76">
        <f t="shared" si="90"/>
        <v>0</v>
      </c>
      <c r="J111" s="81">
        <f t="shared" si="90"/>
        <v>0.3</v>
      </c>
      <c r="K111" s="74">
        <f t="shared" si="90"/>
        <v>0.1</v>
      </c>
      <c r="L111" s="75">
        <f t="shared" si="90"/>
        <v>0.1</v>
      </c>
      <c r="M111" s="76">
        <f t="shared" si="90"/>
        <v>0.2</v>
      </c>
      <c r="N111" s="108" t="s">
        <v>80</v>
      </c>
    </row>
    <row r="112" spans="1:14" outlineLevel="1" x14ac:dyDescent="0.2">
      <c r="A112" s="20">
        <f t="shared" si="89"/>
        <v>11711</v>
      </c>
      <c r="B112" s="19" t="str">
        <f t="shared" si="89"/>
        <v>UHCL</v>
      </c>
      <c r="C112" s="73">
        <f t="shared" si="86"/>
        <v>0.99999999999999989</v>
      </c>
      <c r="D112" s="74">
        <f t="shared" si="90"/>
        <v>0</v>
      </c>
      <c r="E112" s="75">
        <f t="shared" si="90"/>
        <v>0.25</v>
      </c>
      <c r="F112" s="75">
        <f t="shared" si="90"/>
        <v>0</v>
      </c>
      <c r="G112" s="76">
        <f t="shared" si="90"/>
        <v>0.1</v>
      </c>
      <c r="H112" s="74">
        <f t="shared" si="90"/>
        <v>0</v>
      </c>
      <c r="I112" s="76">
        <f t="shared" si="90"/>
        <v>0</v>
      </c>
      <c r="J112" s="81">
        <f t="shared" si="90"/>
        <v>0.3</v>
      </c>
      <c r="K112" s="74">
        <f t="shared" si="90"/>
        <v>0.2</v>
      </c>
      <c r="L112" s="75">
        <f t="shared" si="90"/>
        <v>0.1</v>
      </c>
      <c r="M112" s="76">
        <f t="shared" si="90"/>
        <v>0.05</v>
      </c>
      <c r="N112" s="108" t="s">
        <v>82</v>
      </c>
    </row>
    <row r="113" spans="1:19" outlineLevel="1" x14ac:dyDescent="0.2">
      <c r="A113" s="20">
        <f t="shared" si="89"/>
        <v>12826</v>
      </c>
      <c r="B113" s="19" t="str">
        <f t="shared" si="89"/>
        <v>UHD</v>
      </c>
      <c r="C113" s="73">
        <f t="shared" si="86"/>
        <v>0.99999999999999989</v>
      </c>
      <c r="D113" s="74">
        <f t="shared" si="90"/>
        <v>0</v>
      </c>
      <c r="E113" s="75">
        <f t="shared" si="90"/>
        <v>0.25</v>
      </c>
      <c r="F113" s="75">
        <f t="shared" si="90"/>
        <v>0</v>
      </c>
      <c r="G113" s="76">
        <f t="shared" si="90"/>
        <v>0.1</v>
      </c>
      <c r="H113" s="74">
        <f t="shared" si="90"/>
        <v>0</v>
      </c>
      <c r="I113" s="76">
        <f t="shared" si="90"/>
        <v>0</v>
      </c>
      <c r="J113" s="81">
        <f t="shared" si="90"/>
        <v>0.3</v>
      </c>
      <c r="K113" s="74">
        <f t="shared" si="90"/>
        <v>0.2</v>
      </c>
      <c r="L113" s="75">
        <f t="shared" si="90"/>
        <v>0.1</v>
      </c>
      <c r="M113" s="76">
        <f t="shared" si="90"/>
        <v>0.05</v>
      </c>
      <c r="N113" s="108" t="s">
        <v>82</v>
      </c>
    </row>
    <row r="114" spans="1:19" outlineLevel="1" x14ac:dyDescent="0.2">
      <c r="A114" s="20">
        <f t="shared" si="89"/>
        <v>13231</v>
      </c>
      <c r="B114" s="19" t="str">
        <f t="shared" si="89"/>
        <v>UHV</v>
      </c>
      <c r="C114" s="73">
        <f t="shared" si="86"/>
        <v>0.99999999999999989</v>
      </c>
      <c r="D114" s="74">
        <f t="shared" si="90"/>
        <v>0</v>
      </c>
      <c r="E114" s="75">
        <f t="shared" si="90"/>
        <v>0.25</v>
      </c>
      <c r="F114" s="75">
        <f t="shared" si="90"/>
        <v>0</v>
      </c>
      <c r="G114" s="76">
        <f t="shared" si="90"/>
        <v>0.1</v>
      </c>
      <c r="H114" s="74">
        <f t="shared" si="90"/>
        <v>0</v>
      </c>
      <c r="I114" s="76">
        <f t="shared" si="90"/>
        <v>0</v>
      </c>
      <c r="J114" s="81">
        <f t="shared" si="90"/>
        <v>0.3</v>
      </c>
      <c r="K114" s="74">
        <f t="shared" si="90"/>
        <v>0.2</v>
      </c>
      <c r="L114" s="75">
        <f t="shared" si="90"/>
        <v>0.1</v>
      </c>
      <c r="M114" s="76">
        <f t="shared" si="90"/>
        <v>0.05</v>
      </c>
      <c r="N114" s="108" t="s">
        <v>82</v>
      </c>
    </row>
    <row r="115" spans="1:19" outlineLevel="1" x14ac:dyDescent="0.2">
      <c r="A115" s="20">
        <f t="shared" si="89"/>
        <v>3592</v>
      </c>
      <c r="B115" s="19" t="str">
        <f t="shared" si="89"/>
        <v>Midwestern</v>
      </c>
      <c r="C115" s="73">
        <f t="shared" si="86"/>
        <v>0.99999999999999989</v>
      </c>
      <c r="D115" s="74">
        <f t="shared" si="90"/>
        <v>0</v>
      </c>
      <c r="E115" s="75">
        <f t="shared" si="90"/>
        <v>0.25</v>
      </c>
      <c r="F115" s="75">
        <f t="shared" si="90"/>
        <v>0</v>
      </c>
      <c r="G115" s="76">
        <f t="shared" si="90"/>
        <v>0.1</v>
      </c>
      <c r="H115" s="74">
        <f t="shared" si="90"/>
        <v>0</v>
      </c>
      <c r="I115" s="76">
        <f t="shared" si="90"/>
        <v>0</v>
      </c>
      <c r="J115" s="81">
        <f t="shared" si="90"/>
        <v>0.3</v>
      </c>
      <c r="K115" s="74">
        <f t="shared" si="90"/>
        <v>0.2</v>
      </c>
      <c r="L115" s="75">
        <f t="shared" si="90"/>
        <v>0.1</v>
      </c>
      <c r="M115" s="76">
        <f t="shared" si="90"/>
        <v>0.05</v>
      </c>
      <c r="N115" s="108" t="s">
        <v>82</v>
      </c>
    </row>
    <row r="116" spans="1:19" outlineLevel="1" x14ac:dyDescent="0.2">
      <c r="A116" s="20">
        <f t="shared" si="89"/>
        <v>3594</v>
      </c>
      <c r="B116" s="19" t="str">
        <f t="shared" si="89"/>
        <v>UNT</v>
      </c>
      <c r="C116" s="73">
        <f t="shared" si="86"/>
        <v>1</v>
      </c>
      <c r="D116" s="74">
        <f t="shared" si="90"/>
        <v>0</v>
      </c>
      <c r="E116" s="75">
        <f t="shared" si="90"/>
        <v>0.25</v>
      </c>
      <c r="F116" s="75">
        <f t="shared" si="90"/>
        <v>0</v>
      </c>
      <c r="G116" s="76">
        <f t="shared" si="90"/>
        <v>0.05</v>
      </c>
      <c r="H116" s="74">
        <f t="shared" si="90"/>
        <v>0</v>
      </c>
      <c r="I116" s="76">
        <f t="shared" si="90"/>
        <v>0</v>
      </c>
      <c r="J116" s="81">
        <f t="shared" si="90"/>
        <v>0.3</v>
      </c>
      <c r="K116" s="74">
        <f t="shared" si="90"/>
        <v>0.1</v>
      </c>
      <c r="L116" s="75">
        <f t="shared" si="90"/>
        <v>0.1</v>
      </c>
      <c r="M116" s="76">
        <f t="shared" si="90"/>
        <v>0.2</v>
      </c>
      <c r="N116" s="108" t="s">
        <v>80</v>
      </c>
      <c r="Q116" s="87"/>
      <c r="S116" s="87"/>
    </row>
    <row r="117" spans="1:19" outlineLevel="1" x14ac:dyDescent="0.2">
      <c r="A117" s="27">
        <f t="shared" si="89"/>
        <v>113594</v>
      </c>
      <c r="B117" s="19" t="str">
        <f t="shared" si="89"/>
        <v>UNTD</v>
      </c>
      <c r="C117" s="73">
        <f t="shared" si="86"/>
        <v>0.99999999999999989</v>
      </c>
      <c r="D117" s="74">
        <f t="shared" si="90"/>
        <v>0</v>
      </c>
      <c r="E117" s="75">
        <f t="shared" si="90"/>
        <v>0.25</v>
      </c>
      <c r="F117" s="75">
        <f t="shared" si="90"/>
        <v>0</v>
      </c>
      <c r="G117" s="76">
        <f t="shared" si="90"/>
        <v>0.1</v>
      </c>
      <c r="H117" s="74">
        <f t="shared" si="90"/>
        <v>0</v>
      </c>
      <c r="I117" s="76">
        <f t="shared" si="90"/>
        <v>0</v>
      </c>
      <c r="J117" s="81">
        <f t="shared" si="90"/>
        <v>0.3</v>
      </c>
      <c r="K117" s="74">
        <f t="shared" si="90"/>
        <v>0.2</v>
      </c>
      <c r="L117" s="75">
        <f t="shared" si="90"/>
        <v>0.1</v>
      </c>
      <c r="M117" s="76">
        <f t="shared" si="90"/>
        <v>0.05</v>
      </c>
      <c r="N117" s="108" t="s">
        <v>82</v>
      </c>
    </row>
    <row r="118" spans="1:19" outlineLevel="1" x14ac:dyDescent="0.2">
      <c r="A118" s="20">
        <f t="shared" si="89"/>
        <v>3624</v>
      </c>
      <c r="B118" s="19" t="str">
        <f t="shared" si="89"/>
        <v>SFA</v>
      </c>
      <c r="C118" s="73">
        <f t="shared" si="86"/>
        <v>1</v>
      </c>
      <c r="D118" s="74">
        <f t="shared" si="90"/>
        <v>0</v>
      </c>
      <c r="E118" s="75">
        <f t="shared" si="90"/>
        <v>0.25</v>
      </c>
      <c r="F118" s="75">
        <f t="shared" si="90"/>
        <v>0</v>
      </c>
      <c r="G118" s="76">
        <f t="shared" si="90"/>
        <v>0.05</v>
      </c>
      <c r="H118" s="74">
        <f t="shared" si="90"/>
        <v>0</v>
      </c>
      <c r="I118" s="76">
        <f t="shared" si="90"/>
        <v>0</v>
      </c>
      <c r="J118" s="81">
        <f t="shared" si="90"/>
        <v>0.3</v>
      </c>
      <c r="K118" s="74">
        <f t="shared" si="90"/>
        <v>0.1</v>
      </c>
      <c r="L118" s="75">
        <f t="shared" si="90"/>
        <v>0.1</v>
      </c>
      <c r="M118" s="76">
        <f t="shared" si="90"/>
        <v>0.2</v>
      </c>
      <c r="N118" s="108" t="s">
        <v>83</v>
      </c>
    </row>
    <row r="119" spans="1:19" outlineLevel="1" x14ac:dyDescent="0.2">
      <c r="A119" s="20">
        <f t="shared" si="89"/>
        <v>3642</v>
      </c>
      <c r="B119" s="19" t="str">
        <f t="shared" si="89"/>
        <v>TSU</v>
      </c>
      <c r="C119" s="73">
        <f t="shared" si="86"/>
        <v>1</v>
      </c>
      <c r="D119" s="74">
        <f t="shared" si="90"/>
        <v>0</v>
      </c>
      <c r="E119" s="75">
        <f t="shared" si="90"/>
        <v>0.25</v>
      </c>
      <c r="F119" s="75">
        <f t="shared" si="90"/>
        <v>0</v>
      </c>
      <c r="G119" s="76">
        <f t="shared" si="90"/>
        <v>0.05</v>
      </c>
      <c r="H119" s="74">
        <f t="shared" si="90"/>
        <v>0</v>
      </c>
      <c r="I119" s="76">
        <f t="shared" si="90"/>
        <v>0</v>
      </c>
      <c r="J119" s="81">
        <f t="shared" si="90"/>
        <v>0.3</v>
      </c>
      <c r="K119" s="74">
        <f t="shared" si="90"/>
        <v>0.1</v>
      </c>
      <c r="L119" s="75">
        <f t="shared" si="90"/>
        <v>0.1</v>
      </c>
      <c r="M119" s="76">
        <f t="shared" si="90"/>
        <v>0.2</v>
      </c>
      <c r="N119" s="108" t="s">
        <v>81</v>
      </c>
    </row>
    <row r="120" spans="1:19" outlineLevel="1" x14ac:dyDescent="0.2">
      <c r="A120" s="20">
        <f t="shared" si="89"/>
        <v>3644</v>
      </c>
      <c r="B120" s="19" t="str">
        <f t="shared" si="89"/>
        <v>TTU</v>
      </c>
      <c r="C120" s="73">
        <f t="shared" si="86"/>
        <v>1</v>
      </c>
      <c r="D120" s="74">
        <f t="shared" ref="D120:M127" si="91">SUMIF($N$131:$N$135,$N120,D$131:D$135)</f>
        <v>0</v>
      </c>
      <c r="E120" s="75">
        <f t="shared" si="91"/>
        <v>0.25</v>
      </c>
      <c r="F120" s="75">
        <f t="shared" si="91"/>
        <v>0</v>
      </c>
      <c r="G120" s="76">
        <f t="shared" si="91"/>
        <v>0.05</v>
      </c>
      <c r="H120" s="74">
        <f t="shared" si="91"/>
        <v>0</v>
      </c>
      <c r="I120" s="76">
        <f t="shared" si="91"/>
        <v>0</v>
      </c>
      <c r="J120" s="81">
        <f t="shared" si="91"/>
        <v>0.3</v>
      </c>
      <c r="K120" s="74">
        <f t="shared" si="91"/>
        <v>0.1</v>
      </c>
      <c r="L120" s="75">
        <f t="shared" si="91"/>
        <v>0.1</v>
      </c>
      <c r="M120" s="76">
        <f t="shared" si="91"/>
        <v>0.2</v>
      </c>
      <c r="N120" s="108" t="s">
        <v>80</v>
      </c>
    </row>
    <row r="121" spans="1:19" outlineLevel="1" x14ac:dyDescent="0.2">
      <c r="A121" s="20">
        <f t="shared" si="89"/>
        <v>3541</v>
      </c>
      <c r="B121" s="19" t="str">
        <f t="shared" si="89"/>
        <v>Angelo</v>
      </c>
      <c r="C121" s="73">
        <f t="shared" si="86"/>
        <v>0.99999999999999989</v>
      </c>
      <c r="D121" s="74">
        <f t="shared" si="91"/>
        <v>0</v>
      </c>
      <c r="E121" s="75">
        <f t="shared" si="91"/>
        <v>0.25</v>
      </c>
      <c r="F121" s="75">
        <f t="shared" si="91"/>
        <v>0</v>
      </c>
      <c r="G121" s="76">
        <f t="shared" si="91"/>
        <v>0.1</v>
      </c>
      <c r="H121" s="74">
        <f t="shared" si="91"/>
        <v>0</v>
      </c>
      <c r="I121" s="76">
        <f t="shared" si="91"/>
        <v>0</v>
      </c>
      <c r="J121" s="81">
        <f t="shared" si="91"/>
        <v>0.3</v>
      </c>
      <c r="K121" s="74">
        <f t="shared" si="91"/>
        <v>0.2</v>
      </c>
      <c r="L121" s="75">
        <f t="shared" si="91"/>
        <v>0.1</v>
      </c>
      <c r="M121" s="76">
        <f t="shared" si="91"/>
        <v>0.05</v>
      </c>
      <c r="N121" s="108" t="s">
        <v>82</v>
      </c>
    </row>
    <row r="122" spans="1:19" outlineLevel="1" x14ac:dyDescent="0.2">
      <c r="A122" s="20">
        <f t="shared" si="89"/>
        <v>3646</v>
      </c>
      <c r="B122" s="19" t="str">
        <f t="shared" si="89"/>
        <v>TWU</v>
      </c>
      <c r="C122" s="73">
        <f t="shared" si="86"/>
        <v>1</v>
      </c>
      <c r="D122" s="74">
        <f t="shared" si="91"/>
        <v>0</v>
      </c>
      <c r="E122" s="75">
        <f t="shared" si="91"/>
        <v>0.25</v>
      </c>
      <c r="F122" s="75">
        <f t="shared" si="91"/>
        <v>0</v>
      </c>
      <c r="G122" s="76">
        <f t="shared" si="91"/>
        <v>0.05</v>
      </c>
      <c r="H122" s="74">
        <f t="shared" si="91"/>
        <v>0</v>
      </c>
      <c r="I122" s="76">
        <f t="shared" si="91"/>
        <v>0</v>
      </c>
      <c r="J122" s="81">
        <f t="shared" si="91"/>
        <v>0.3</v>
      </c>
      <c r="K122" s="74">
        <f t="shared" si="91"/>
        <v>0.1</v>
      </c>
      <c r="L122" s="75">
        <f t="shared" si="91"/>
        <v>0.1</v>
      </c>
      <c r="M122" s="76">
        <f t="shared" si="91"/>
        <v>0.2</v>
      </c>
      <c r="N122" s="108" t="s">
        <v>81</v>
      </c>
    </row>
    <row r="123" spans="1:19" outlineLevel="1" x14ac:dyDescent="0.2">
      <c r="A123" s="20">
        <f t="shared" si="89"/>
        <v>3581</v>
      </c>
      <c r="B123" s="19" t="str">
        <f t="shared" si="89"/>
        <v>Lamar</v>
      </c>
      <c r="C123" s="73">
        <f t="shared" si="86"/>
        <v>1</v>
      </c>
      <c r="D123" s="74">
        <f t="shared" si="91"/>
        <v>0</v>
      </c>
      <c r="E123" s="75">
        <f t="shared" si="91"/>
        <v>0.25</v>
      </c>
      <c r="F123" s="75">
        <f t="shared" si="91"/>
        <v>0</v>
      </c>
      <c r="G123" s="76">
        <f t="shared" si="91"/>
        <v>0.05</v>
      </c>
      <c r="H123" s="74">
        <f t="shared" si="91"/>
        <v>0</v>
      </c>
      <c r="I123" s="76">
        <f t="shared" si="91"/>
        <v>0</v>
      </c>
      <c r="J123" s="81">
        <f t="shared" si="91"/>
        <v>0.3</v>
      </c>
      <c r="K123" s="74">
        <f t="shared" si="91"/>
        <v>0.1</v>
      </c>
      <c r="L123" s="75">
        <f t="shared" si="91"/>
        <v>0.1</v>
      </c>
      <c r="M123" s="76">
        <f t="shared" si="91"/>
        <v>0.2</v>
      </c>
      <c r="N123" s="108" t="s">
        <v>83</v>
      </c>
    </row>
    <row r="124" spans="1:19" outlineLevel="1" x14ac:dyDescent="0.2">
      <c r="A124" s="20">
        <f t="shared" si="89"/>
        <v>3606</v>
      </c>
      <c r="B124" s="19" t="str">
        <f t="shared" si="89"/>
        <v>SHSU</v>
      </c>
      <c r="C124" s="73">
        <f t="shared" si="86"/>
        <v>1</v>
      </c>
      <c r="D124" s="74">
        <f t="shared" si="91"/>
        <v>0</v>
      </c>
      <c r="E124" s="75">
        <f t="shared" si="91"/>
        <v>0.25</v>
      </c>
      <c r="F124" s="75">
        <f t="shared" si="91"/>
        <v>0</v>
      </c>
      <c r="G124" s="76">
        <f t="shared" si="91"/>
        <v>0.05</v>
      </c>
      <c r="H124" s="74">
        <f t="shared" si="91"/>
        <v>0</v>
      </c>
      <c r="I124" s="76">
        <f t="shared" si="91"/>
        <v>0</v>
      </c>
      <c r="J124" s="81">
        <f t="shared" si="91"/>
        <v>0.3</v>
      </c>
      <c r="K124" s="74">
        <f t="shared" si="91"/>
        <v>0.1</v>
      </c>
      <c r="L124" s="75">
        <f t="shared" si="91"/>
        <v>0.1</v>
      </c>
      <c r="M124" s="76">
        <f t="shared" si="91"/>
        <v>0.2</v>
      </c>
      <c r="N124" s="108" t="s">
        <v>81</v>
      </c>
    </row>
    <row r="125" spans="1:19" outlineLevel="1" x14ac:dyDescent="0.2">
      <c r="A125" s="20">
        <f t="shared" si="89"/>
        <v>3615</v>
      </c>
      <c r="B125" s="19" t="str">
        <f t="shared" si="89"/>
        <v>TXST</v>
      </c>
      <c r="C125" s="73">
        <f t="shared" si="86"/>
        <v>1</v>
      </c>
      <c r="D125" s="74">
        <f t="shared" si="91"/>
        <v>0</v>
      </c>
      <c r="E125" s="75">
        <f t="shared" si="91"/>
        <v>0.25</v>
      </c>
      <c r="F125" s="75">
        <f t="shared" si="91"/>
        <v>0</v>
      </c>
      <c r="G125" s="76">
        <f t="shared" si="91"/>
        <v>0.05</v>
      </c>
      <c r="H125" s="74">
        <f t="shared" si="91"/>
        <v>0</v>
      </c>
      <c r="I125" s="76">
        <f t="shared" si="91"/>
        <v>0</v>
      </c>
      <c r="J125" s="81">
        <f t="shared" si="91"/>
        <v>0.3</v>
      </c>
      <c r="K125" s="74">
        <f t="shared" si="91"/>
        <v>0.1</v>
      </c>
      <c r="L125" s="75">
        <f t="shared" si="91"/>
        <v>0.1</v>
      </c>
      <c r="M125" s="76">
        <f t="shared" si="91"/>
        <v>0.2</v>
      </c>
      <c r="N125" s="108" t="s">
        <v>80</v>
      </c>
    </row>
    <row r="126" spans="1:19" outlineLevel="1" x14ac:dyDescent="0.2">
      <c r="A126" s="20">
        <f t="shared" si="89"/>
        <v>3625</v>
      </c>
      <c r="B126" s="19" t="str">
        <f t="shared" si="89"/>
        <v>SRSU</v>
      </c>
      <c r="C126" s="73">
        <f t="shared" si="86"/>
        <v>0.99999999999999989</v>
      </c>
      <c r="D126" s="74">
        <f t="shared" si="91"/>
        <v>0</v>
      </c>
      <c r="E126" s="75">
        <f t="shared" si="91"/>
        <v>0.25</v>
      </c>
      <c r="F126" s="75">
        <f t="shared" si="91"/>
        <v>0</v>
      </c>
      <c r="G126" s="76">
        <f t="shared" si="91"/>
        <v>0.1</v>
      </c>
      <c r="H126" s="74">
        <f t="shared" si="91"/>
        <v>0</v>
      </c>
      <c r="I126" s="76">
        <f t="shared" si="91"/>
        <v>0</v>
      </c>
      <c r="J126" s="81">
        <f t="shared" si="91"/>
        <v>0.3</v>
      </c>
      <c r="K126" s="74">
        <f t="shared" si="91"/>
        <v>0.2</v>
      </c>
      <c r="L126" s="75">
        <f t="shared" si="91"/>
        <v>0.1</v>
      </c>
      <c r="M126" s="76">
        <f t="shared" si="91"/>
        <v>0.05</v>
      </c>
      <c r="N126" s="108" t="s">
        <v>82</v>
      </c>
    </row>
    <row r="127" spans="1:19" ht="13.5" outlineLevel="1" thickBot="1" x14ac:dyDescent="0.25">
      <c r="A127" s="136">
        <f t="shared" si="89"/>
        <v>20</v>
      </c>
      <c r="B127" s="137" t="str">
        <f t="shared" si="89"/>
        <v>SRRG</v>
      </c>
      <c r="C127" s="173">
        <f t="shared" si="86"/>
        <v>0.99999999999999989</v>
      </c>
      <c r="D127" s="174">
        <f t="shared" si="91"/>
        <v>0</v>
      </c>
      <c r="E127" s="175">
        <f t="shared" si="91"/>
        <v>0.25</v>
      </c>
      <c r="F127" s="175">
        <f t="shared" si="91"/>
        <v>0</v>
      </c>
      <c r="G127" s="176">
        <f t="shared" si="91"/>
        <v>0.1</v>
      </c>
      <c r="H127" s="174">
        <f t="shared" si="91"/>
        <v>0</v>
      </c>
      <c r="I127" s="176">
        <f t="shared" si="91"/>
        <v>0</v>
      </c>
      <c r="J127" s="177">
        <f t="shared" si="91"/>
        <v>0.3</v>
      </c>
      <c r="K127" s="174">
        <f t="shared" si="91"/>
        <v>0.2</v>
      </c>
      <c r="L127" s="175">
        <f t="shared" si="91"/>
        <v>0.1</v>
      </c>
      <c r="M127" s="176">
        <f t="shared" si="91"/>
        <v>0.05</v>
      </c>
      <c r="N127" s="170" t="s">
        <v>82</v>
      </c>
    </row>
    <row r="128" spans="1:19" ht="13.5" thickBot="1" x14ac:dyDescent="0.25">
      <c r="A128" s="86" t="s">
        <v>84</v>
      </c>
      <c r="B128" s="59"/>
      <c r="C128" s="84"/>
      <c r="D128" s="84"/>
      <c r="E128" s="84"/>
      <c r="F128" s="84"/>
      <c r="G128" s="84"/>
      <c r="H128" s="84"/>
      <c r="I128" s="84"/>
      <c r="J128" s="84"/>
      <c r="K128" s="84"/>
      <c r="L128" s="84"/>
      <c r="M128" s="84"/>
      <c r="N128" s="85"/>
    </row>
    <row r="129" spans="1:14" ht="12.75" customHeight="1" x14ac:dyDescent="0.2">
      <c r="A129" s="83"/>
      <c r="B129" s="59"/>
      <c r="C129" s="252" t="s">
        <v>77</v>
      </c>
      <c r="D129" s="247" t="s">
        <v>35</v>
      </c>
      <c r="E129" s="248"/>
      <c r="F129" s="248"/>
      <c r="G129" s="249"/>
      <c r="H129" s="250" t="s">
        <v>18</v>
      </c>
      <c r="I129" s="225" t="s">
        <v>17</v>
      </c>
      <c r="J129" s="227" t="s">
        <v>16</v>
      </c>
      <c r="K129" s="229" t="s">
        <v>34</v>
      </c>
      <c r="L129" s="230"/>
      <c r="M129" s="230"/>
      <c r="N129" s="232" t="s">
        <v>86</v>
      </c>
    </row>
    <row r="130" spans="1:14" ht="51" x14ac:dyDescent="0.2">
      <c r="A130" s="83"/>
      <c r="B130" s="59"/>
      <c r="C130" s="253"/>
      <c r="D130" s="192"/>
      <c r="E130" s="121" t="s">
        <v>33</v>
      </c>
      <c r="F130" s="121" t="s">
        <v>32</v>
      </c>
      <c r="G130" s="208" t="s">
        <v>31</v>
      </c>
      <c r="H130" s="251"/>
      <c r="I130" s="226"/>
      <c r="J130" s="228"/>
      <c r="K130" s="188" t="s">
        <v>14</v>
      </c>
      <c r="L130" s="189" t="s">
        <v>13</v>
      </c>
      <c r="M130" s="187" t="s">
        <v>12</v>
      </c>
      <c r="N130" s="233"/>
    </row>
    <row r="131" spans="1:14" x14ac:dyDescent="0.2">
      <c r="A131" s="83"/>
      <c r="B131" s="59"/>
      <c r="C131" s="194">
        <f>SUM(D131:M131)-I131</f>
        <v>1</v>
      </c>
      <c r="D131" s="195">
        <f t="shared" ref="D131:H135" si="92">HLOOKUP(D143,$D$149:$L$150,2,0)</f>
        <v>0</v>
      </c>
      <c r="E131" s="196">
        <f t="shared" si="92"/>
        <v>0.3</v>
      </c>
      <c r="F131" s="196">
        <f t="shared" si="92"/>
        <v>0</v>
      </c>
      <c r="G131" s="197">
        <f t="shared" si="92"/>
        <v>0.1</v>
      </c>
      <c r="H131" s="195">
        <f t="shared" si="92"/>
        <v>0</v>
      </c>
      <c r="I131" s="197">
        <f>H131</f>
        <v>0</v>
      </c>
      <c r="J131" s="195">
        <f t="shared" ref="J131:M135" si="93">HLOOKUP(J143,$D$149:$L$150,2,0)</f>
        <v>0.2</v>
      </c>
      <c r="K131" s="195">
        <f t="shared" si="93"/>
        <v>0.05</v>
      </c>
      <c r="L131" s="196">
        <f t="shared" si="93"/>
        <v>0.1</v>
      </c>
      <c r="M131" s="197">
        <f t="shared" si="93"/>
        <v>0.25</v>
      </c>
      <c r="N131" s="110" t="s">
        <v>79</v>
      </c>
    </row>
    <row r="132" spans="1:14" x14ac:dyDescent="0.2">
      <c r="A132" s="83"/>
      <c r="B132" s="59"/>
      <c r="C132" s="171">
        <f>SUM(D132:M132)-I132</f>
        <v>1</v>
      </c>
      <c r="D132" s="95">
        <f t="shared" si="92"/>
        <v>0</v>
      </c>
      <c r="E132" s="96">
        <f t="shared" si="92"/>
        <v>0.25</v>
      </c>
      <c r="F132" s="96">
        <f t="shared" si="92"/>
        <v>0</v>
      </c>
      <c r="G132" s="97">
        <f t="shared" si="92"/>
        <v>0.05</v>
      </c>
      <c r="H132" s="95">
        <f t="shared" si="92"/>
        <v>0</v>
      </c>
      <c r="I132" s="97">
        <f>H132</f>
        <v>0</v>
      </c>
      <c r="J132" s="95">
        <f t="shared" si="93"/>
        <v>0.3</v>
      </c>
      <c r="K132" s="95">
        <f t="shared" si="93"/>
        <v>0.1</v>
      </c>
      <c r="L132" s="96">
        <f t="shared" si="93"/>
        <v>0.1</v>
      </c>
      <c r="M132" s="97">
        <f t="shared" si="93"/>
        <v>0.2</v>
      </c>
      <c r="N132" s="108" t="s">
        <v>80</v>
      </c>
    </row>
    <row r="133" spans="1:14" x14ac:dyDescent="0.2">
      <c r="A133" s="83"/>
      <c r="B133" s="59"/>
      <c r="C133" s="171">
        <f>SUM(D133:M133)-I133</f>
        <v>1</v>
      </c>
      <c r="D133" s="95">
        <f t="shared" si="92"/>
        <v>0</v>
      </c>
      <c r="E133" s="96">
        <f t="shared" si="92"/>
        <v>0.25</v>
      </c>
      <c r="F133" s="96">
        <f t="shared" si="92"/>
        <v>0</v>
      </c>
      <c r="G133" s="97">
        <f t="shared" si="92"/>
        <v>0.05</v>
      </c>
      <c r="H133" s="95">
        <f t="shared" si="92"/>
        <v>0</v>
      </c>
      <c r="I133" s="97">
        <f>H133</f>
        <v>0</v>
      </c>
      <c r="J133" s="95">
        <f t="shared" si="93"/>
        <v>0.3</v>
      </c>
      <c r="K133" s="95">
        <f t="shared" si="93"/>
        <v>0.1</v>
      </c>
      <c r="L133" s="96">
        <f t="shared" si="93"/>
        <v>0.1</v>
      </c>
      <c r="M133" s="97">
        <f t="shared" si="93"/>
        <v>0.2</v>
      </c>
      <c r="N133" s="108" t="s">
        <v>81</v>
      </c>
    </row>
    <row r="134" spans="1:14" x14ac:dyDescent="0.2">
      <c r="A134" s="83"/>
      <c r="B134" s="59"/>
      <c r="C134" s="171">
        <f>SUM(D134:M134)-I134</f>
        <v>1</v>
      </c>
      <c r="D134" s="95">
        <f t="shared" si="92"/>
        <v>0</v>
      </c>
      <c r="E134" s="96">
        <f t="shared" si="92"/>
        <v>0.25</v>
      </c>
      <c r="F134" s="96">
        <f t="shared" si="92"/>
        <v>0</v>
      </c>
      <c r="G134" s="97">
        <f t="shared" si="92"/>
        <v>0.05</v>
      </c>
      <c r="H134" s="95">
        <f t="shared" si="92"/>
        <v>0</v>
      </c>
      <c r="I134" s="97">
        <f>H134</f>
        <v>0</v>
      </c>
      <c r="J134" s="95">
        <f t="shared" si="93"/>
        <v>0.3</v>
      </c>
      <c r="K134" s="95">
        <f t="shared" si="93"/>
        <v>0.1</v>
      </c>
      <c r="L134" s="96">
        <f t="shared" si="93"/>
        <v>0.1</v>
      </c>
      <c r="M134" s="97">
        <f t="shared" si="93"/>
        <v>0.2</v>
      </c>
      <c r="N134" s="108" t="s">
        <v>83</v>
      </c>
    </row>
    <row r="135" spans="1:14" ht="13.5" thickBot="1" x14ac:dyDescent="0.25">
      <c r="A135" s="83"/>
      <c r="B135" s="59"/>
      <c r="C135" s="172">
        <f>SUM(D135:M135)-I135</f>
        <v>0.99999999999999989</v>
      </c>
      <c r="D135" s="145">
        <f t="shared" si="92"/>
        <v>0</v>
      </c>
      <c r="E135" s="146">
        <f t="shared" si="92"/>
        <v>0.25</v>
      </c>
      <c r="F135" s="146">
        <f t="shared" si="92"/>
        <v>0</v>
      </c>
      <c r="G135" s="168">
        <f t="shared" si="92"/>
        <v>0.1</v>
      </c>
      <c r="H135" s="145">
        <f t="shared" si="92"/>
        <v>0</v>
      </c>
      <c r="I135" s="168">
        <f>H135</f>
        <v>0</v>
      </c>
      <c r="J135" s="145">
        <f t="shared" si="93"/>
        <v>0.3</v>
      </c>
      <c r="K135" s="145">
        <f t="shared" si="93"/>
        <v>0.2</v>
      </c>
      <c r="L135" s="146">
        <f t="shared" si="93"/>
        <v>0.1</v>
      </c>
      <c r="M135" s="168">
        <f t="shared" si="93"/>
        <v>0.05</v>
      </c>
      <c r="N135" s="170" t="s">
        <v>82</v>
      </c>
    </row>
    <row r="136" spans="1:14" ht="13.5" thickBot="1" x14ac:dyDescent="0.25">
      <c r="A136" s="86" t="s">
        <v>88</v>
      </c>
      <c r="B136" s="59"/>
      <c r="C136" s="90"/>
      <c r="D136" s="91"/>
      <c r="E136" s="91"/>
      <c r="F136" s="91"/>
      <c r="G136" s="91"/>
      <c r="H136" s="91"/>
      <c r="I136" s="91"/>
      <c r="J136" s="91"/>
      <c r="K136" s="91"/>
      <c r="L136" s="91"/>
      <c r="M136" s="91"/>
      <c r="N136" s="85"/>
    </row>
    <row r="137" spans="1:14" x14ac:dyDescent="0.2">
      <c r="A137" s="83"/>
      <c r="B137" s="59"/>
      <c r="C137" s="90"/>
      <c r="D137" s="98">
        <f t="shared" ref="D137:G141" si="94">SUMIF($N$156:$N$193,$N137,D$156:D$193)/COUNTIF($N$156:$N$193,$N137)</f>
        <v>0</v>
      </c>
      <c r="E137" s="99">
        <f t="shared" si="94"/>
        <v>51672.798722222222</v>
      </c>
      <c r="F137" s="99">
        <f t="shared" si="94"/>
        <v>0</v>
      </c>
      <c r="G137" s="100">
        <f t="shared" si="94"/>
        <v>19751.58333333366</v>
      </c>
      <c r="H137" s="98">
        <f>(SUMIF($N$156:$N$193,$N137,H$156:H$193)+SUMIF($N$156:$N$193,$N137,I$156:I$193))/COUNTIF($N$156:$N$193,$N137)</f>
        <v>0</v>
      </c>
      <c r="I137" s="100"/>
      <c r="J137" s="101">
        <f t="shared" ref="J137:M141" si="95">SUMIF($N$156:$N$193,$N137,J$156:J$193)/COUNTIF($N$156:$N$193,$N137)</f>
        <v>28777.333333333336</v>
      </c>
      <c r="K137" s="98">
        <f t="shared" si="95"/>
        <v>16710.150000000001</v>
      </c>
      <c r="L137" s="99">
        <f t="shared" si="95"/>
        <v>22391.25</v>
      </c>
      <c r="M137" s="100">
        <f t="shared" si="95"/>
        <v>30663.600000000002</v>
      </c>
      <c r="N137" s="169" t="s">
        <v>79</v>
      </c>
    </row>
    <row r="138" spans="1:14" x14ac:dyDescent="0.2">
      <c r="A138" s="83"/>
      <c r="B138" s="59"/>
      <c r="C138" s="90"/>
      <c r="D138" s="102">
        <f t="shared" si="94"/>
        <v>0</v>
      </c>
      <c r="E138" s="103">
        <f t="shared" si="94"/>
        <v>17700.990319444441</v>
      </c>
      <c r="F138" s="103">
        <f t="shared" si="94"/>
        <v>0</v>
      </c>
      <c r="G138" s="104">
        <f t="shared" si="94"/>
        <v>9098.6587499996713</v>
      </c>
      <c r="H138" s="102">
        <f>(SUMIF($N$156:$N$193,$N138,H$156:H$193)+SUMIF($N$156:$N$193,$N138,I$156:I$193))/COUNTIF($N$156:$N$193,$N138)</f>
        <v>0</v>
      </c>
      <c r="I138" s="104"/>
      <c r="J138" s="102">
        <f t="shared" si="95"/>
        <v>23669.999999999996</v>
      </c>
      <c r="K138" s="102">
        <f t="shared" si="95"/>
        <v>10783.595833333335</v>
      </c>
      <c r="L138" s="103">
        <f t="shared" si="95"/>
        <v>11242.083333333332</v>
      </c>
      <c r="M138" s="104">
        <f t="shared" si="95"/>
        <v>11706.2</v>
      </c>
      <c r="N138" s="108" t="s">
        <v>80</v>
      </c>
    </row>
    <row r="139" spans="1:14" x14ac:dyDescent="0.2">
      <c r="A139" s="83"/>
      <c r="B139" s="59"/>
      <c r="C139" s="90"/>
      <c r="D139" s="102">
        <f t="shared" si="94"/>
        <v>0</v>
      </c>
      <c r="E139" s="103">
        <f t="shared" si="94"/>
        <v>5566.6575555555555</v>
      </c>
      <c r="F139" s="103">
        <f t="shared" si="94"/>
        <v>0</v>
      </c>
      <c r="G139" s="104">
        <f t="shared" si="94"/>
        <v>3283.0790476190878</v>
      </c>
      <c r="H139" s="102">
        <f>(SUMIF($N$156:$N$193,$N139,H$156:H$193)+SUMIF($N$156:$N$193,$N139,I$156:I$193))/COUNTIF($N$156:$N$193,$N139)</f>
        <v>0</v>
      </c>
      <c r="I139" s="104"/>
      <c r="J139" s="102">
        <f t="shared" si="95"/>
        <v>10529.142857142857</v>
      </c>
      <c r="K139" s="102">
        <f t="shared" si="95"/>
        <v>4123.0666666666666</v>
      </c>
      <c r="L139" s="103">
        <f t="shared" si="95"/>
        <v>4268.4523809523807</v>
      </c>
      <c r="M139" s="104">
        <f t="shared" si="95"/>
        <v>4463.0666666666675</v>
      </c>
      <c r="N139" s="108" t="s">
        <v>81</v>
      </c>
    </row>
    <row r="140" spans="1:14" x14ac:dyDescent="0.2">
      <c r="A140" s="83"/>
      <c r="B140" s="59"/>
      <c r="C140" s="90"/>
      <c r="D140" s="102">
        <f t="shared" si="94"/>
        <v>0</v>
      </c>
      <c r="E140" s="103">
        <f t="shared" si="94"/>
        <v>4181.1750555555554</v>
      </c>
      <c r="F140" s="103">
        <f t="shared" si="94"/>
        <v>0</v>
      </c>
      <c r="G140" s="104">
        <f t="shared" si="94"/>
        <v>2594.0255555555682</v>
      </c>
      <c r="H140" s="102">
        <f>(SUMIF($N$156:$N$193,$N140,H$156:H$193)+SUMIF($N$156:$N$193,$N140,I$156:I$193))/COUNTIF($N$156:$N$193,$N140)</f>
        <v>0</v>
      </c>
      <c r="I140" s="104"/>
      <c r="J140" s="102">
        <f t="shared" si="95"/>
        <v>8011.5555555555557</v>
      </c>
      <c r="K140" s="102">
        <f t="shared" si="95"/>
        <v>3381.4888888888891</v>
      </c>
      <c r="L140" s="103">
        <f t="shared" si="95"/>
        <v>3459.1666666666665</v>
      </c>
      <c r="M140" s="104">
        <f t="shared" si="95"/>
        <v>3894.9777777777781</v>
      </c>
      <c r="N140" s="108" t="s">
        <v>83</v>
      </c>
    </row>
    <row r="141" spans="1:14" ht="13.5" thickBot="1" x14ac:dyDescent="0.25">
      <c r="A141" s="83"/>
      <c r="B141" s="59"/>
      <c r="C141" s="90"/>
      <c r="D141" s="139">
        <f t="shared" si="94"/>
        <v>0</v>
      </c>
      <c r="E141" s="140">
        <f t="shared" si="94"/>
        <v>2281.0312001495613</v>
      </c>
      <c r="F141" s="140">
        <f t="shared" si="94"/>
        <v>0</v>
      </c>
      <c r="G141" s="141">
        <f t="shared" si="94"/>
        <v>1441.5331111111186</v>
      </c>
      <c r="H141" s="139">
        <f>(SUMIF($N$156:$N$193,$N141,H$156:H$193)+SUMIF($N$156:$N$193,$N141,I$156:I$193))/COUNTIF($N$156:$N$193,$N141)</f>
        <v>0</v>
      </c>
      <c r="I141" s="141"/>
      <c r="J141" s="139">
        <f t="shared" si="95"/>
        <v>4458.9333333333334</v>
      </c>
      <c r="K141" s="139">
        <f t="shared" si="95"/>
        <v>1688.1377777777775</v>
      </c>
      <c r="L141" s="140">
        <f t="shared" si="95"/>
        <v>1367.1944444444446</v>
      </c>
      <c r="M141" s="141">
        <f t="shared" si="95"/>
        <v>929.37777777777796</v>
      </c>
      <c r="N141" s="170" t="s">
        <v>82</v>
      </c>
    </row>
    <row r="142" spans="1:14" ht="13.5" thickBot="1" x14ac:dyDescent="0.25">
      <c r="A142" s="86" t="s">
        <v>89</v>
      </c>
      <c r="B142" s="59"/>
      <c r="C142" s="90"/>
      <c r="D142" s="111"/>
      <c r="E142" s="111"/>
      <c r="F142" s="111"/>
      <c r="G142" s="111"/>
      <c r="H142" s="111"/>
      <c r="I142" s="111"/>
      <c r="J142" s="111"/>
      <c r="K142" s="111"/>
      <c r="L142" s="111"/>
      <c r="M142" s="111"/>
      <c r="N142" s="85"/>
    </row>
    <row r="143" spans="1:14" x14ac:dyDescent="0.2">
      <c r="A143" s="83"/>
      <c r="B143" s="59"/>
      <c r="C143" s="90"/>
      <c r="D143" s="98">
        <f t="shared" ref="D143:H147" si="96">RANK(D137,$D137:$M137)</f>
        <v>7</v>
      </c>
      <c r="E143" s="99">
        <f t="shared" si="96"/>
        <v>1</v>
      </c>
      <c r="F143" s="99">
        <f t="shared" si="96"/>
        <v>7</v>
      </c>
      <c r="G143" s="100">
        <f t="shared" si="96"/>
        <v>5</v>
      </c>
      <c r="H143" s="98">
        <f t="shared" si="96"/>
        <v>7</v>
      </c>
      <c r="I143" s="100"/>
      <c r="J143" s="101">
        <f t="shared" ref="J143:M147" si="97">RANK(J137,$D137:$M137)</f>
        <v>3</v>
      </c>
      <c r="K143" s="98">
        <f t="shared" si="97"/>
        <v>6</v>
      </c>
      <c r="L143" s="99">
        <f t="shared" si="97"/>
        <v>4</v>
      </c>
      <c r="M143" s="100">
        <f t="shared" si="97"/>
        <v>2</v>
      </c>
      <c r="N143" s="169" t="s">
        <v>79</v>
      </c>
    </row>
    <row r="144" spans="1:14" x14ac:dyDescent="0.2">
      <c r="A144" s="83"/>
      <c r="B144" s="59"/>
      <c r="C144" s="90"/>
      <c r="D144" s="102">
        <f t="shared" si="96"/>
        <v>7</v>
      </c>
      <c r="E144" s="103">
        <f t="shared" si="96"/>
        <v>2</v>
      </c>
      <c r="F144" s="103">
        <f t="shared" si="96"/>
        <v>7</v>
      </c>
      <c r="G144" s="104">
        <f t="shared" si="96"/>
        <v>6</v>
      </c>
      <c r="H144" s="102">
        <f t="shared" si="96"/>
        <v>7</v>
      </c>
      <c r="I144" s="104"/>
      <c r="J144" s="102">
        <f t="shared" si="97"/>
        <v>1</v>
      </c>
      <c r="K144" s="102">
        <f t="shared" si="97"/>
        <v>5</v>
      </c>
      <c r="L144" s="103">
        <f t="shared" si="97"/>
        <v>4</v>
      </c>
      <c r="M144" s="104">
        <f t="shared" si="97"/>
        <v>3</v>
      </c>
      <c r="N144" s="108" t="s">
        <v>80</v>
      </c>
    </row>
    <row r="145" spans="1:14" x14ac:dyDescent="0.2">
      <c r="A145" s="83"/>
      <c r="B145" s="59"/>
      <c r="C145" s="90"/>
      <c r="D145" s="102">
        <f t="shared" si="96"/>
        <v>7</v>
      </c>
      <c r="E145" s="103">
        <f t="shared" si="96"/>
        <v>2</v>
      </c>
      <c r="F145" s="103">
        <f t="shared" si="96"/>
        <v>7</v>
      </c>
      <c r="G145" s="104">
        <f t="shared" si="96"/>
        <v>6</v>
      </c>
      <c r="H145" s="102">
        <f t="shared" si="96"/>
        <v>7</v>
      </c>
      <c r="I145" s="104"/>
      <c r="J145" s="102">
        <f t="shared" si="97"/>
        <v>1</v>
      </c>
      <c r="K145" s="102">
        <f t="shared" si="97"/>
        <v>5</v>
      </c>
      <c r="L145" s="103">
        <f t="shared" si="97"/>
        <v>4</v>
      </c>
      <c r="M145" s="104">
        <f t="shared" si="97"/>
        <v>3</v>
      </c>
      <c r="N145" s="108" t="s">
        <v>81</v>
      </c>
    </row>
    <row r="146" spans="1:14" x14ac:dyDescent="0.2">
      <c r="A146" s="83"/>
      <c r="B146" s="59"/>
      <c r="C146" s="90"/>
      <c r="D146" s="102">
        <f t="shared" si="96"/>
        <v>7</v>
      </c>
      <c r="E146" s="103">
        <f t="shared" si="96"/>
        <v>2</v>
      </c>
      <c r="F146" s="103">
        <f t="shared" si="96"/>
        <v>7</v>
      </c>
      <c r="G146" s="104">
        <f t="shared" si="96"/>
        <v>6</v>
      </c>
      <c r="H146" s="102">
        <f t="shared" si="96"/>
        <v>7</v>
      </c>
      <c r="I146" s="104"/>
      <c r="J146" s="102">
        <f t="shared" si="97"/>
        <v>1</v>
      </c>
      <c r="K146" s="102">
        <f t="shared" si="97"/>
        <v>5</v>
      </c>
      <c r="L146" s="103">
        <f t="shared" si="97"/>
        <v>4</v>
      </c>
      <c r="M146" s="104">
        <f t="shared" si="97"/>
        <v>3</v>
      </c>
      <c r="N146" s="108" t="s">
        <v>83</v>
      </c>
    </row>
    <row r="147" spans="1:14" ht="13.5" thickBot="1" x14ac:dyDescent="0.25">
      <c r="A147" s="83"/>
      <c r="B147" s="59"/>
      <c r="C147" s="90"/>
      <c r="D147" s="139">
        <f t="shared" si="96"/>
        <v>7</v>
      </c>
      <c r="E147" s="140">
        <f t="shared" si="96"/>
        <v>2</v>
      </c>
      <c r="F147" s="140">
        <f t="shared" si="96"/>
        <v>7</v>
      </c>
      <c r="G147" s="141">
        <f t="shared" si="96"/>
        <v>4</v>
      </c>
      <c r="H147" s="139">
        <f t="shared" si="96"/>
        <v>7</v>
      </c>
      <c r="I147" s="141"/>
      <c r="J147" s="139">
        <f t="shared" si="97"/>
        <v>1</v>
      </c>
      <c r="K147" s="139">
        <f t="shared" si="97"/>
        <v>3</v>
      </c>
      <c r="L147" s="140">
        <f t="shared" si="97"/>
        <v>5</v>
      </c>
      <c r="M147" s="141">
        <f t="shared" si="97"/>
        <v>6</v>
      </c>
      <c r="N147" s="170" t="s">
        <v>82</v>
      </c>
    </row>
    <row r="148" spans="1:14" ht="13.5" thickBot="1" x14ac:dyDescent="0.25">
      <c r="A148" s="86" t="s">
        <v>90</v>
      </c>
      <c r="B148" s="59"/>
      <c r="C148" s="90"/>
      <c r="D148" s="91"/>
      <c r="E148" s="91"/>
      <c r="F148" s="91"/>
      <c r="G148" s="91"/>
      <c r="H148" s="91"/>
      <c r="I148" s="91"/>
      <c r="J148" s="91"/>
      <c r="K148" s="91"/>
      <c r="L148" s="91"/>
      <c r="M148" s="91"/>
      <c r="N148" s="85"/>
    </row>
    <row r="149" spans="1:14" x14ac:dyDescent="0.2">
      <c r="A149" s="83"/>
      <c r="B149" s="59"/>
      <c r="D149" s="113">
        <v>1</v>
      </c>
      <c r="E149" s="114">
        <v>2</v>
      </c>
      <c r="F149" s="114">
        <v>3</v>
      </c>
      <c r="G149" s="114">
        <v>4</v>
      </c>
      <c r="H149" s="114">
        <v>5</v>
      </c>
      <c r="I149" s="114">
        <v>6</v>
      </c>
      <c r="J149" s="114">
        <v>7</v>
      </c>
      <c r="K149" s="114">
        <v>8</v>
      </c>
      <c r="L149" s="114">
        <v>9</v>
      </c>
      <c r="M149" s="115" t="s">
        <v>11</v>
      </c>
    </row>
    <row r="150" spans="1:14" ht="13.5" thickBot="1" x14ac:dyDescent="0.25">
      <c r="A150" s="83"/>
      <c r="B150" s="59"/>
      <c r="D150" s="178">
        <v>0.3</v>
      </c>
      <c r="E150" s="179">
        <v>0.25</v>
      </c>
      <c r="F150" s="180">
        <v>0.2</v>
      </c>
      <c r="G150" s="181">
        <v>0.1</v>
      </c>
      <c r="H150" s="144">
        <v>0.1</v>
      </c>
      <c r="I150" s="182">
        <v>0.05</v>
      </c>
      <c r="J150" s="183">
        <v>0</v>
      </c>
      <c r="K150" s="185">
        <v>0</v>
      </c>
      <c r="L150" s="184">
        <v>0</v>
      </c>
      <c r="M150" s="112">
        <f>SUM(D150:L150)</f>
        <v>1</v>
      </c>
    </row>
    <row r="151" spans="1:14" x14ac:dyDescent="0.2">
      <c r="A151" s="83"/>
      <c r="B151" s="59"/>
      <c r="C151" s="90"/>
      <c r="D151" s="91"/>
      <c r="E151" s="91"/>
      <c r="F151" s="91"/>
      <c r="G151" s="91"/>
      <c r="H151" s="91"/>
      <c r="I151" s="91"/>
      <c r="J151" s="91"/>
      <c r="K151" s="91"/>
      <c r="L151" s="91"/>
      <c r="M151" s="91"/>
      <c r="N151" s="85"/>
    </row>
    <row r="152" spans="1:14" ht="13.5" thickBot="1" x14ac:dyDescent="0.25">
      <c r="A152" s="57" t="s">
        <v>75</v>
      </c>
    </row>
    <row r="153" spans="1:14" ht="12.75" customHeight="1" outlineLevel="1" x14ac:dyDescent="0.2">
      <c r="A153" s="234" t="s">
        <v>24</v>
      </c>
      <c r="B153" s="236" t="s">
        <v>23</v>
      </c>
      <c r="C153" s="238" t="s">
        <v>36</v>
      </c>
      <c r="D153" s="247" t="s">
        <v>35</v>
      </c>
      <c r="E153" s="248"/>
      <c r="F153" s="248"/>
      <c r="G153" s="249"/>
      <c r="H153" s="250" t="s">
        <v>18</v>
      </c>
      <c r="I153" s="225" t="s">
        <v>17</v>
      </c>
      <c r="J153" s="227" t="s">
        <v>16</v>
      </c>
      <c r="K153" s="229" t="s">
        <v>34</v>
      </c>
      <c r="L153" s="230"/>
      <c r="M153" s="230"/>
      <c r="N153" s="232" t="s">
        <v>86</v>
      </c>
    </row>
    <row r="154" spans="1:14" ht="51" outlineLevel="1" x14ac:dyDescent="0.2">
      <c r="A154" s="235"/>
      <c r="B154" s="237"/>
      <c r="C154" s="239"/>
      <c r="D154" s="192"/>
      <c r="E154" s="121" t="s">
        <v>33</v>
      </c>
      <c r="F154" s="121" t="s">
        <v>32</v>
      </c>
      <c r="G154" s="208" t="s">
        <v>31</v>
      </c>
      <c r="H154" s="251"/>
      <c r="I154" s="226"/>
      <c r="J154" s="228"/>
      <c r="K154" s="188" t="s">
        <v>14</v>
      </c>
      <c r="L154" s="189" t="s">
        <v>13</v>
      </c>
      <c r="M154" s="187" t="s">
        <v>12</v>
      </c>
      <c r="N154" s="233"/>
    </row>
    <row r="155" spans="1:14" outlineLevel="1" x14ac:dyDescent="0.2">
      <c r="A155" s="244" t="s">
        <v>78</v>
      </c>
      <c r="B155" s="245"/>
      <c r="C155" s="246"/>
      <c r="D155" s="132">
        <v>0</v>
      </c>
      <c r="E155" s="198">
        <v>7</v>
      </c>
      <c r="F155" s="198">
        <v>0</v>
      </c>
      <c r="G155" s="133">
        <v>1</v>
      </c>
      <c r="H155" s="132">
        <v>0</v>
      </c>
      <c r="I155" s="133">
        <v>0</v>
      </c>
      <c r="J155" s="134">
        <v>8</v>
      </c>
      <c r="K155" s="132">
        <v>1.7</v>
      </c>
      <c r="L155" s="198">
        <v>2.5</v>
      </c>
      <c r="M155" s="199">
        <v>4.4000000000000004</v>
      </c>
      <c r="N155" s="200"/>
    </row>
    <row r="156" spans="1:14" outlineLevel="1" x14ac:dyDescent="0.2">
      <c r="A156" s="20">
        <f t="shared" ref="A156:B175" si="98">A5</f>
        <v>3656</v>
      </c>
      <c r="B156" s="19" t="str">
        <f t="shared" si="98"/>
        <v>UTA</v>
      </c>
      <c r="C156" s="55">
        <f t="shared" ref="C156:C193" si="99">SUM(D156:M156)</f>
        <v>82607.596666666723</v>
      </c>
      <c r="D156" s="15">
        <f t="shared" ref="D156:M156" si="100">D198*D$155</f>
        <v>0</v>
      </c>
      <c r="E156" s="14">
        <f t="shared" si="100"/>
        <v>18206.976666666669</v>
      </c>
      <c r="F156" s="14">
        <f t="shared" si="100"/>
        <v>0</v>
      </c>
      <c r="G156" s="13">
        <f t="shared" si="100"/>
        <v>10418.553333333379</v>
      </c>
      <c r="H156" s="36">
        <f t="shared" si="100"/>
        <v>0</v>
      </c>
      <c r="I156" s="35">
        <f t="shared" si="100"/>
        <v>0</v>
      </c>
      <c r="J156" s="34">
        <f t="shared" si="100"/>
        <v>24928</v>
      </c>
      <c r="K156" s="36">
        <f t="shared" si="100"/>
        <v>11621.766666666666</v>
      </c>
      <c r="L156" s="56">
        <f t="shared" si="100"/>
        <v>9584.1666666666661</v>
      </c>
      <c r="M156" s="105">
        <f t="shared" si="100"/>
        <v>7848.1333333333341</v>
      </c>
      <c r="N156" s="110" t="s">
        <v>80</v>
      </c>
    </row>
    <row r="157" spans="1:14" outlineLevel="1" x14ac:dyDescent="0.2">
      <c r="A157" s="20">
        <f t="shared" si="98"/>
        <v>3658</v>
      </c>
      <c r="B157" s="19" t="str">
        <f t="shared" si="98"/>
        <v>UT</v>
      </c>
      <c r="C157" s="55">
        <f t="shared" si="99"/>
        <v>168885.38900000055</v>
      </c>
      <c r="D157" s="15">
        <f t="shared" ref="D157:M157" si="101">D199*D$155</f>
        <v>0</v>
      </c>
      <c r="E157" s="14">
        <f t="shared" si="101"/>
        <v>51915.572333333344</v>
      </c>
      <c r="F157" s="14">
        <f t="shared" si="101"/>
        <v>0</v>
      </c>
      <c r="G157" s="13">
        <f t="shared" si="101"/>
        <v>19398.350000000519</v>
      </c>
      <c r="H157" s="15">
        <f t="shared" si="101"/>
        <v>0</v>
      </c>
      <c r="I157" s="13">
        <f t="shared" si="101"/>
        <v>0</v>
      </c>
      <c r="J157" s="16">
        <f t="shared" si="101"/>
        <v>27762.666666666668</v>
      </c>
      <c r="K157" s="15">
        <f t="shared" si="101"/>
        <v>16317.166666666668</v>
      </c>
      <c r="L157" s="14">
        <f t="shared" si="101"/>
        <v>22514.166666666664</v>
      </c>
      <c r="M157" s="106">
        <f t="shared" si="101"/>
        <v>30977.466666666667</v>
      </c>
      <c r="N157" s="108" t="s">
        <v>79</v>
      </c>
    </row>
    <row r="158" spans="1:14" outlineLevel="1" x14ac:dyDescent="0.2">
      <c r="A158" s="20">
        <f t="shared" si="98"/>
        <v>9741</v>
      </c>
      <c r="B158" s="19" t="str">
        <f t="shared" si="98"/>
        <v>UTD</v>
      </c>
      <c r="C158" s="55">
        <f t="shared" si="99"/>
        <v>42899.689666666774</v>
      </c>
      <c r="D158" s="15">
        <f t="shared" ref="D158:M158" si="102">D200*D$155</f>
        <v>0</v>
      </c>
      <c r="E158" s="14">
        <f t="shared" si="102"/>
        <v>11775.953</v>
      </c>
      <c r="F158" s="14">
        <f t="shared" si="102"/>
        <v>0</v>
      </c>
      <c r="G158" s="13">
        <f t="shared" si="102"/>
        <v>5101.2033333334393</v>
      </c>
      <c r="H158" s="15">
        <f t="shared" si="102"/>
        <v>0</v>
      </c>
      <c r="I158" s="13">
        <f t="shared" si="102"/>
        <v>0</v>
      </c>
      <c r="J158" s="16">
        <f t="shared" si="102"/>
        <v>10557.333333333334</v>
      </c>
      <c r="K158" s="15">
        <f t="shared" si="102"/>
        <v>5635.5</v>
      </c>
      <c r="L158" s="14">
        <f t="shared" si="102"/>
        <v>5335.8333333333339</v>
      </c>
      <c r="M158" s="106">
        <f t="shared" si="102"/>
        <v>4493.8666666666668</v>
      </c>
      <c r="N158" s="108" t="s">
        <v>80</v>
      </c>
    </row>
    <row r="159" spans="1:14" outlineLevel="1" x14ac:dyDescent="0.2">
      <c r="A159" s="20">
        <f t="shared" si="98"/>
        <v>3661</v>
      </c>
      <c r="B159" s="19" t="str">
        <f t="shared" si="98"/>
        <v>UTEP</v>
      </c>
      <c r="C159" s="55">
        <f t="shared" si="99"/>
        <v>58776.286666666812</v>
      </c>
      <c r="D159" s="15">
        <f t="shared" ref="D159:M159" si="103">D201*D$155</f>
        <v>0</v>
      </c>
      <c r="E159" s="14">
        <f t="shared" si="103"/>
        <v>8345.6099999999988</v>
      </c>
      <c r="F159" s="14">
        <f t="shared" si="103"/>
        <v>0</v>
      </c>
      <c r="G159" s="13">
        <f t="shared" si="103"/>
        <v>6298.0766666668133</v>
      </c>
      <c r="H159" s="15">
        <f t="shared" si="103"/>
        <v>0</v>
      </c>
      <c r="I159" s="13">
        <f t="shared" si="103"/>
        <v>0</v>
      </c>
      <c r="J159" s="16">
        <f t="shared" si="103"/>
        <v>19714.666666666668</v>
      </c>
      <c r="K159" s="15">
        <f t="shared" si="103"/>
        <v>7416.5333333333338</v>
      </c>
      <c r="L159" s="14">
        <f t="shared" si="103"/>
        <v>8395</v>
      </c>
      <c r="M159" s="106">
        <f t="shared" si="103"/>
        <v>8606.4000000000015</v>
      </c>
      <c r="N159" s="108" t="s">
        <v>80</v>
      </c>
    </row>
    <row r="160" spans="1:14" outlineLevel="1" x14ac:dyDescent="0.2">
      <c r="A160" s="20">
        <f t="shared" si="98"/>
        <v>3599</v>
      </c>
      <c r="B160" s="19" t="str">
        <f t="shared" si="98"/>
        <v>UTPA</v>
      </c>
      <c r="C160" s="55">
        <f t="shared" si="99"/>
        <v>54825.826666666784</v>
      </c>
      <c r="D160" s="15">
        <f t="shared" ref="D160:M160" si="104">D202*D$155</f>
        <v>0</v>
      </c>
      <c r="E160" s="14">
        <f t="shared" si="104"/>
        <v>7783.8600000000006</v>
      </c>
      <c r="F160" s="14">
        <f t="shared" si="104"/>
        <v>0</v>
      </c>
      <c r="G160" s="13">
        <f t="shared" si="104"/>
        <v>5134.1666666667797</v>
      </c>
      <c r="H160" s="15">
        <f t="shared" si="104"/>
        <v>0</v>
      </c>
      <c r="I160" s="13">
        <f t="shared" si="104"/>
        <v>0</v>
      </c>
      <c r="J160" s="16">
        <f t="shared" si="104"/>
        <v>18706.666666666668</v>
      </c>
      <c r="K160" s="15">
        <f t="shared" si="104"/>
        <v>6928.0666666666666</v>
      </c>
      <c r="L160" s="14">
        <f t="shared" si="104"/>
        <v>7740</v>
      </c>
      <c r="M160" s="106">
        <f t="shared" si="104"/>
        <v>8533.0666666666675</v>
      </c>
      <c r="N160" s="108" t="s">
        <v>81</v>
      </c>
    </row>
    <row r="161" spans="1:14" outlineLevel="1" x14ac:dyDescent="0.2">
      <c r="A161" s="20">
        <f t="shared" si="98"/>
        <v>30646</v>
      </c>
      <c r="B161" s="19" t="str">
        <f t="shared" si="98"/>
        <v>UTB</v>
      </c>
      <c r="C161" s="55">
        <f t="shared" si="99"/>
        <v>18076.85647159116</v>
      </c>
      <c r="D161" s="15">
        <f t="shared" ref="D161:M161" si="105">D203*D$155</f>
        <v>0</v>
      </c>
      <c r="E161" s="14">
        <f t="shared" si="105"/>
        <v>4397.1964715911399</v>
      </c>
      <c r="F161" s="14">
        <f t="shared" si="105"/>
        <v>0</v>
      </c>
      <c r="G161" s="13">
        <f t="shared" si="105"/>
        <v>2097.7933333333553</v>
      </c>
      <c r="H161" s="15">
        <f t="shared" si="105"/>
        <v>0</v>
      </c>
      <c r="I161" s="13">
        <f t="shared" si="105"/>
        <v>0</v>
      </c>
      <c r="J161" s="16">
        <f t="shared" si="105"/>
        <v>7493.333333333333</v>
      </c>
      <c r="K161" s="15">
        <f t="shared" si="105"/>
        <v>2254.7666666666664</v>
      </c>
      <c r="L161" s="14">
        <f t="shared" si="105"/>
        <v>1390.8333333333335</v>
      </c>
      <c r="M161" s="106">
        <f t="shared" si="105"/>
        <v>442.93333333333339</v>
      </c>
      <c r="N161" s="108" t="s">
        <v>82</v>
      </c>
    </row>
    <row r="162" spans="1:14" outlineLevel="1" x14ac:dyDescent="0.2">
      <c r="A162" s="20">
        <f t="shared" si="98"/>
        <v>9930</v>
      </c>
      <c r="B162" s="19" t="str">
        <f t="shared" si="98"/>
        <v>UTPB</v>
      </c>
      <c r="C162" s="55">
        <f t="shared" si="99"/>
        <v>9270.9833333333372</v>
      </c>
      <c r="D162" s="15">
        <f t="shared" ref="D162:M162" si="106">D204*D$155</f>
        <v>0</v>
      </c>
      <c r="E162" s="14">
        <f t="shared" si="106"/>
        <v>1657.6000000000001</v>
      </c>
      <c r="F162" s="14">
        <f t="shared" si="106"/>
        <v>0</v>
      </c>
      <c r="G162" s="13">
        <f t="shared" si="106"/>
        <v>1001.5166666666704</v>
      </c>
      <c r="H162" s="15">
        <f t="shared" si="106"/>
        <v>0</v>
      </c>
      <c r="I162" s="13">
        <f t="shared" si="106"/>
        <v>0</v>
      </c>
      <c r="J162" s="16">
        <f t="shared" si="106"/>
        <v>3192</v>
      </c>
      <c r="K162" s="15">
        <f t="shared" si="106"/>
        <v>1335.6333333333332</v>
      </c>
      <c r="L162" s="14">
        <f t="shared" si="106"/>
        <v>1229.1666666666667</v>
      </c>
      <c r="M162" s="106">
        <f t="shared" si="106"/>
        <v>855.06666666666683</v>
      </c>
      <c r="N162" s="108" t="s">
        <v>82</v>
      </c>
    </row>
    <row r="163" spans="1:14" outlineLevel="1" x14ac:dyDescent="0.2">
      <c r="A163" s="20">
        <f t="shared" si="98"/>
        <v>10115</v>
      </c>
      <c r="B163" s="19" t="str">
        <f t="shared" si="98"/>
        <v>UTSA</v>
      </c>
      <c r="C163" s="55">
        <f t="shared" si="99"/>
        <v>79795.462777777677</v>
      </c>
      <c r="D163" s="15">
        <f t="shared" ref="D163:M163" si="107">D205*D$155</f>
        <v>0</v>
      </c>
      <c r="E163" s="14">
        <f t="shared" si="107"/>
        <v>12159.882777777779</v>
      </c>
      <c r="F163" s="14">
        <f t="shared" si="107"/>
        <v>0</v>
      </c>
      <c r="G163" s="13">
        <f t="shared" si="107"/>
        <v>8414.213333333224</v>
      </c>
      <c r="H163" s="15">
        <f t="shared" si="107"/>
        <v>0</v>
      </c>
      <c r="I163" s="13">
        <f t="shared" si="107"/>
        <v>0</v>
      </c>
      <c r="J163" s="16">
        <f t="shared" si="107"/>
        <v>24989.333333333332</v>
      </c>
      <c r="K163" s="15">
        <f t="shared" si="107"/>
        <v>11576.433333333334</v>
      </c>
      <c r="L163" s="14">
        <f t="shared" si="107"/>
        <v>11146.666666666668</v>
      </c>
      <c r="M163" s="106">
        <f t="shared" si="107"/>
        <v>11508.933333333334</v>
      </c>
      <c r="N163" s="108" t="s">
        <v>80</v>
      </c>
    </row>
    <row r="164" spans="1:14" outlineLevel="1" x14ac:dyDescent="0.2">
      <c r="A164" s="20">
        <f t="shared" si="98"/>
        <v>11163</v>
      </c>
      <c r="B164" s="19" t="str">
        <f t="shared" si="98"/>
        <v>UTT</v>
      </c>
      <c r="C164" s="55">
        <f t="shared" si="99"/>
        <v>20567.863333333346</v>
      </c>
      <c r="D164" s="15">
        <f t="shared" ref="D164:M164" si="108">D206*D$155</f>
        <v>0</v>
      </c>
      <c r="E164" s="14">
        <f t="shared" si="108"/>
        <v>4295.503333333334</v>
      </c>
      <c r="F164" s="14">
        <f t="shared" si="108"/>
        <v>0</v>
      </c>
      <c r="G164" s="13">
        <f t="shared" si="108"/>
        <v>2362.6600000000103</v>
      </c>
      <c r="H164" s="15">
        <f t="shared" si="108"/>
        <v>0</v>
      </c>
      <c r="I164" s="13">
        <f t="shared" si="108"/>
        <v>0</v>
      </c>
      <c r="J164" s="16">
        <f t="shared" si="108"/>
        <v>7538.666666666667</v>
      </c>
      <c r="K164" s="15">
        <f t="shared" si="108"/>
        <v>2441.7666666666664</v>
      </c>
      <c r="L164" s="14">
        <f t="shared" si="108"/>
        <v>2225</v>
      </c>
      <c r="M164" s="106">
        <f t="shared" si="108"/>
        <v>1704.2666666666667</v>
      </c>
      <c r="N164" s="108" t="s">
        <v>82</v>
      </c>
    </row>
    <row r="165" spans="1:14" outlineLevel="1" x14ac:dyDescent="0.2">
      <c r="A165" s="20">
        <f t="shared" si="98"/>
        <v>3632</v>
      </c>
      <c r="B165" s="19" t="str">
        <f t="shared" si="98"/>
        <v>TAMU</v>
      </c>
      <c r="C165" s="55">
        <f t="shared" si="99"/>
        <v>171048.04177777789</v>
      </c>
      <c r="D165" s="15">
        <f t="shared" ref="D165:M165" si="109">D207*D$155</f>
        <v>0</v>
      </c>
      <c r="E165" s="14">
        <f t="shared" si="109"/>
        <v>51430.025111111099</v>
      </c>
      <c r="F165" s="14">
        <f t="shared" si="109"/>
        <v>0</v>
      </c>
      <c r="G165" s="13">
        <f t="shared" si="109"/>
        <v>20104.8166666668</v>
      </c>
      <c r="H165" s="15">
        <f t="shared" si="109"/>
        <v>0</v>
      </c>
      <c r="I165" s="13">
        <f t="shared" si="109"/>
        <v>0</v>
      </c>
      <c r="J165" s="16">
        <f t="shared" si="109"/>
        <v>29792</v>
      </c>
      <c r="K165" s="15">
        <f t="shared" si="109"/>
        <v>17103.133333333331</v>
      </c>
      <c r="L165" s="14">
        <f t="shared" si="109"/>
        <v>22268.333333333336</v>
      </c>
      <c r="M165" s="106">
        <f t="shared" si="109"/>
        <v>30349.733333333337</v>
      </c>
      <c r="N165" s="108" t="s">
        <v>79</v>
      </c>
    </row>
    <row r="166" spans="1:14" outlineLevel="1" x14ac:dyDescent="0.2">
      <c r="A166" s="20">
        <f t="shared" si="98"/>
        <v>10298</v>
      </c>
      <c r="B166" s="19" t="str">
        <f t="shared" si="98"/>
        <v>TAMUG</v>
      </c>
      <c r="C166" s="55">
        <f t="shared" si="99"/>
        <v>6061.4737777777755</v>
      </c>
      <c r="D166" s="15">
        <f t="shared" ref="D166:M166" si="110">D208*D$155</f>
        <v>0</v>
      </c>
      <c r="E166" s="14">
        <f t="shared" si="110"/>
        <v>1209.0804444444445</v>
      </c>
      <c r="F166" s="14">
        <f t="shared" si="110"/>
        <v>0</v>
      </c>
      <c r="G166" s="13">
        <f t="shared" si="110"/>
        <v>704.02666666666448</v>
      </c>
      <c r="H166" s="15">
        <f t="shared" si="110"/>
        <v>0</v>
      </c>
      <c r="I166" s="13">
        <f t="shared" si="110"/>
        <v>0</v>
      </c>
      <c r="J166" s="16">
        <f t="shared" si="110"/>
        <v>1264</v>
      </c>
      <c r="K166" s="15">
        <f t="shared" si="110"/>
        <v>1006.9666666666667</v>
      </c>
      <c r="L166" s="14">
        <f t="shared" si="110"/>
        <v>795</v>
      </c>
      <c r="M166" s="106">
        <f t="shared" si="110"/>
        <v>1082.4000000000001</v>
      </c>
      <c r="N166" s="108" t="s">
        <v>82</v>
      </c>
    </row>
    <row r="167" spans="1:14" outlineLevel="1" x14ac:dyDescent="0.2">
      <c r="A167" s="20">
        <f t="shared" si="98"/>
        <v>3630</v>
      </c>
      <c r="B167" s="19" t="str">
        <f t="shared" si="98"/>
        <v>Prairie View</v>
      </c>
      <c r="C167" s="55">
        <f t="shared" si="99"/>
        <v>20701.827222222229</v>
      </c>
      <c r="D167" s="15">
        <f t="shared" ref="D167:M167" si="111">D209*D$155</f>
        <v>0</v>
      </c>
      <c r="E167" s="14">
        <f t="shared" si="111"/>
        <v>2436.027222222222</v>
      </c>
      <c r="F167" s="14">
        <f t="shared" si="111"/>
        <v>0</v>
      </c>
      <c r="G167" s="13">
        <f t="shared" si="111"/>
        <v>2072.9000000000092</v>
      </c>
      <c r="H167" s="15">
        <f t="shared" si="111"/>
        <v>0</v>
      </c>
      <c r="I167" s="13">
        <f t="shared" si="111"/>
        <v>0</v>
      </c>
      <c r="J167" s="16">
        <f t="shared" si="111"/>
        <v>6421.333333333333</v>
      </c>
      <c r="K167" s="15">
        <f t="shared" si="111"/>
        <v>2835.6</v>
      </c>
      <c r="L167" s="14">
        <f t="shared" si="111"/>
        <v>2952.5</v>
      </c>
      <c r="M167" s="106">
        <f t="shared" si="111"/>
        <v>3983.4666666666672</v>
      </c>
      <c r="N167" s="108" t="s">
        <v>83</v>
      </c>
    </row>
    <row r="168" spans="1:14" outlineLevel="1" x14ac:dyDescent="0.2">
      <c r="A168" s="20">
        <f t="shared" si="98"/>
        <v>3631</v>
      </c>
      <c r="B168" s="19" t="str">
        <f t="shared" si="98"/>
        <v>Tarleton</v>
      </c>
      <c r="C168" s="55">
        <f t="shared" si="99"/>
        <v>28632.995333333361</v>
      </c>
      <c r="D168" s="15">
        <f t="shared" ref="D168:M168" si="112">D210*D$155</f>
        <v>0</v>
      </c>
      <c r="E168" s="14">
        <f t="shared" si="112"/>
        <v>5170.6853333333338</v>
      </c>
      <c r="F168" s="14">
        <f t="shared" si="112"/>
        <v>0</v>
      </c>
      <c r="G168" s="13">
        <f t="shared" si="112"/>
        <v>3122.5433333333599</v>
      </c>
      <c r="H168" s="15">
        <f t="shared" si="112"/>
        <v>0</v>
      </c>
      <c r="I168" s="13">
        <f t="shared" si="112"/>
        <v>0</v>
      </c>
      <c r="J168" s="16">
        <f t="shared" si="112"/>
        <v>9560</v>
      </c>
      <c r="K168" s="15">
        <f t="shared" si="112"/>
        <v>3662.3666666666668</v>
      </c>
      <c r="L168" s="14">
        <f t="shared" si="112"/>
        <v>3321.666666666667</v>
      </c>
      <c r="M168" s="106">
        <f t="shared" si="112"/>
        <v>3795.7333333333336</v>
      </c>
      <c r="N168" s="108" t="s">
        <v>83</v>
      </c>
    </row>
    <row r="169" spans="1:14" outlineLevel="1" x14ac:dyDescent="0.2">
      <c r="A169" s="27">
        <f t="shared" si="98"/>
        <v>103631</v>
      </c>
      <c r="B169" s="19" t="str">
        <f t="shared" si="98"/>
        <v>TAMUCT</v>
      </c>
      <c r="C169" s="55">
        <f t="shared" si="99"/>
        <v>6333.4919999999993</v>
      </c>
      <c r="D169" s="15">
        <f t="shared" ref="D169:M169" si="113">D211*D$155</f>
        <v>0</v>
      </c>
      <c r="E169" s="14">
        <f t="shared" si="113"/>
        <v>1540.2753333333333</v>
      </c>
      <c r="F169" s="14">
        <f t="shared" si="113"/>
        <v>0</v>
      </c>
      <c r="G169" s="13">
        <f t="shared" si="113"/>
        <v>853.61666666666588</v>
      </c>
      <c r="H169" s="15">
        <f t="shared" si="113"/>
        <v>0</v>
      </c>
      <c r="I169" s="13">
        <f t="shared" si="113"/>
        <v>0</v>
      </c>
      <c r="J169" s="16">
        <f t="shared" si="113"/>
        <v>2616</v>
      </c>
      <c r="K169" s="15">
        <f t="shared" si="113"/>
        <v>841.5</v>
      </c>
      <c r="L169" s="14">
        <f t="shared" si="113"/>
        <v>332.5</v>
      </c>
      <c r="M169" s="106">
        <f t="shared" si="113"/>
        <v>149.60000000000002</v>
      </c>
      <c r="N169" s="108" t="s">
        <v>82</v>
      </c>
    </row>
    <row r="170" spans="1:14" outlineLevel="1" x14ac:dyDescent="0.2">
      <c r="A170" s="20">
        <f t="shared" si="98"/>
        <v>11161</v>
      </c>
      <c r="B170" s="19" t="str">
        <f t="shared" si="98"/>
        <v>TAMUCC</v>
      </c>
      <c r="C170" s="55">
        <f t="shared" si="99"/>
        <v>27407.580000000016</v>
      </c>
      <c r="D170" s="15">
        <f t="shared" ref="D170:M170" si="114">D212*D$155</f>
        <v>0</v>
      </c>
      <c r="E170" s="14">
        <f t="shared" si="114"/>
        <v>4936.913333333333</v>
      </c>
      <c r="F170" s="14">
        <f t="shared" si="114"/>
        <v>0</v>
      </c>
      <c r="G170" s="13">
        <f t="shared" si="114"/>
        <v>2804.2000000000139</v>
      </c>
      <c r="H170" s="15">
        <f t="shared" si="114"/>
        <v>0</v>
      </c>
      <c r="I170" s="13">
        <f t="shared" si="114"/>
        <v>0</v>
      </c>
      <c r="J170" s="16">
        <f t="shared" si="114"/>
        <v>8640</v>
      </c>
      <c r="K170" s="15">
        <f t="shared" si="114"/>
        <v>3491.7999999999997</v>
      </c>
      <c r="L170" s="14">
        <f t="shared" si="114"/>
        <v>3670</v>
      </c>
      <c r="M170" s="106">
        <f t="shared" si="114"/>
        <v>3864.666666666667</v>
      </c>
      <c r="N170" s="108" t="s">
        <v>81</v>
      </c>
    </row>
    <row r="171" spans="1:14" outlineLevel="1" x14ac:dyDescent="0.2">
      <c r="A171" s="20">
        <f t="shared" si="98"/>
        <v>3639</v>
      </c>
      <c r="B171" s="19" t="str">
        <f t="shared" si="98"/>
        <v>TAMUK</v>
      </c>
      <c r="C171" s="55">
        <f t="shared" si="99"/>
        <v>15788.993888888896</v>
      </c>
      <c r="D171" s="15">
        <f t="shared" ref="D171:M171" si="115">D213*D$155</f>
        <v>0</v>
      </c>
      <c r="E171" s="14">
        <f t="shared" si="115"/>
        <v>2145.1072222222224</v>
      </c>
      <c r="F171" s="14">
        <f t="shared" si="115"/>
        <v>0</v>
      </c>
      <c r="G171" s="13">
        <f t="shared" si="115"/>
        <v>1763.4533333333395</v>
      </c>
      <c r="H171" s="15">
        <f t="shared" si="115"/>
        <v>0</v>
      </c>
      <c r="I171" s="13">
        <f t="shared" si="115"/>
        <v>0</v>
      </c>
      <c r="J171" s="16">
        <f t="shared" si="115"/>
        <v>5186.666666666667</v>
      </c>
      <c r="K171" s="15">
        <f t="shared" si="115"/>
        <v>2086.4666666666667</v>
      </c>
      <c r="L171" s="14">
        <f t="shared" si="115"/>
        <v>2149.1666666666665</v>
      </c>
      <c r="M171" s="106">
        <f t="shared" si="115"/>
        <v>2458.1333333333332</v>
      </c>
      <c r="N171" s="108" t="s">
        <v>81</v>
      </c>
    </row>
    <row r="172" spans="1:14" outlineLevel="1" x14ac:dyDescent="0.2">
      <c r="A172" s="27">
        <f t="shared" si="98"/>
        <v>103639</v>
      </c>
      <c r="B172" s="19" t="str">
        <f t="shared" si="98"/>
        <v>TAMUSA</v>
      </c>
      <c r="C172" s="55">
        <f t="shared" si="99"/>
        <v>8049.2452222222273</v>
      </c>
      <c r="D172" s="15">
        <f t="shared" ref="D172:M172" si="116">D214*D$155</f>
        <v>0</v>
      </c>
      <c r="E172" s="14">
        <f t="shared" si="116"/>
        <v>1655.0652222222222</v>
      </c>
      <c r="F172" s="14">
        <f t="shared" si="116"/>
        <v>0</v>
      </c>
      <c r="G172" s="13">
        <f t="shared" si="116"/>
        <v>1026.0133333333379</v>
      </c>
      <c r="H172" s="15">
        <f t="shared" si="116"/>
        <v>0</v>
      </c>
      <c r="I172" s="13">
        <f t="shared" si="116"/>
        <v>0</v>
      </c>
      <c r="J172" s="16">
        <f t="shared" si="116"/>
        <v>3922.6666666666665</v>
      </c>
      <c r="K172" s="15">
        <f t="shared" si="116"/>
        <v>1240.4333333333332</v>
      </c>
      <c r="L172" s="14">
        <f t="shared" si="116"/>
        <v>193.33333333333331</v>
      </c>
      <c r="M172" s="106">
        <f t="shared" si="116"/>
        <v>11.733333333333334</v>
      </c>
      <c r="N172" s="108" t="s">
        <v>82</v>
      </c>
    </row>
    <row r="173" spans="1:14" outlineLevel="1" x14ac:dyDescent="0.2">
      <c r="A173" s="20">
        <f t="shared" si="98"/>
        <v>9651</v>
      </c>
      <c r="B173" s="19" t="str">
        <f t="shared" si="98"/>
        <v>TAMI</v>
      </c>
      <c r="C173" s="55">
        <f t="shared" si="99"/>
        <v>16790.892222222228</v>
      </c>
      <c r="D173" s="15">
        <f t="shared" ref="D173:M173" si="117">D215*D$155</f>
        <v>0</v>
      </c>
      <c r="E173" s="14">
        <f t="shared" si="117"/>
        <v>2616.4288888888887</v>
      </c>
      <c r="F173" s="14">
        <f t="shared" si="117"/>
        <v>0</v>
      </c>
      <c r="G173" s="13">
        <f t="shared" si="117"/>
        <v>1458.4966666666717</v>
      </c>
      <c r="H173" s="15">
        <f t="shared" si="117"/>
        <v>0</v>
      </c>
      <c r="I173" s="13">
        <f t="shared" si="117"/>
        <v>0</v>
      </c>
      <c r="J173" s="16">
        <f t="shared" si="117"/>
        <v>5701.333333333333</v>
      </c>
      <c r="K173" s="15">
        <f t="shared" si="117"/>
        <v>2391.3333333333335</v>
      </c>
      <c r="L173" s="14">
        <f t="shared" si="117"/>
        <v>2539.1666666666665</v>
      </c>
      <c r="M173" s="106">
        <f t="shared" si="117"/>
        <v>2084.1333333333337</v>
      </c>
      <c r="N173" s="108" t="s">
        <v>83</v>
      </c>
    </row>
    <row r="174" spans="1:14" outlineLevel="1" x14ac:dyDescent="0.2">
      <c r="A174" s="20">
        <f t="shared" si="98"/>
        <v>3665</v>
      </c>
      <c r="B174" s="19" t="str">
        <f t="shared" si="98"/>
        <v>WTAMU</v>
      </c>
      <c r="C174" s="55">
        <f t="shared" si="99"/>
        <v>22742.613111111132</v>
      </c>
      <c r="D174" s="15">
        <f t="shared" ref="D174:M174" si="118">D216*D$155</f>
        <v>0</v>
      </c>
      <c r="E174" s="14">
        <f t="shared" si="118"/>
        <v>4137.0031111111111</v>
      </c>
      <c r="F174" s="14">
        <f t="shared" si="118"/>
        <v>0</v>
      </c>
      <c r="G174" s="13">
        <f t="shared" si="118"/>
        <v>2503.5766666666836</v>
      </c>
      <c r="H174" s="15">
        <f t="shared" si="118"/>
        <v>0</v>
      </c>
      <c r="I174" s="13">
        <f t="shared" si="118"/>
        <v>0</v>
      </c>
      <c r="J174" s="16">
        <f t="shared" si="118"/>
        <v>7114.666666666667</v>
      </c>
      <c r="K174" s="15">
        <f t="shared" si="118"/>
        <v>3045.8333333333335</v>
      </c>
      <c r="L174" s="14">
        <f t="shared" si="118"/>
        <v>3031.666666666667</v>
      </c>
      <c r="M174" s="106">
        <f t="shared" si="118"/>
        <v>2909.8666666666672</v>
      </c>
      <c r="N174" s="108" t="s">
        <v>83</v>
      </c>
    </row>
    <row r="175" spans="1:14" outlineLevel="1" x14ac:dyDescent="0.2">
      <c r="A175" s="20">
        <f t="shared" si="98"/>
        <v>3565</v>
      </c>
      <c r="B175" s="19" t="str">
        <f t="shared" si="98"/>
        <v>TAMUC</v>
      </c>
      <c r="C175" s="55">
        <f t="shared" si="99"/>
        <v>22787.140000000021</v>
      </c>
      <c r="D175" s="15">
        <f t="shared" ref="D175:M175" si="119">D217*D$155</f>
        <v>0</v>
      </c>
      <c r="E175" s="14">
        <f t="shared" si="119"/>
        <v>4078.9466666666663</v>
      </c>
      <c r="F175" s="14">
        <f t="shared" si="119"/>
        <v>0</v>
      </c>
      <c r="G175" s="13">
        <f t="shared" si="119"/>
        <v>2501.8266666666914</v>
      </c>
      <c r="H175" s="15">
        <f t="shared" si="119"/>
        <v>0</v>
      </c>
      <c r="I175" s="13">
        <f t="shared" si="119"/>
        <v>0</v>
      </c>
      <c r="J175" s="16">
        <f t="shared" si="119"/>
        <v>8154.666666666667</v>
      </c>
      <c r="K175" s="15">
        <f t="shared" si="119"/>
        <v>3218.1</v>
      </c>
      <c r="L175" s="14">
        <f t="shared" si="119"/>
        <v>2843.333333333333</v>
      </c>
      <c r="M175" s="106">
        <f t="shared" si="119"/>
        <v>1990.2666666666667</v>
      </c>
      <c r="N175" s="108" t="s">
        <v>81</v>
      </c>
    </row>
    <row r="176" spans="1:14" outlineLevel="1" x14ac:dyDescent="0.2">
      <c r="A176" s="20">
        <f t="shared" ref="A176:B193" si="120">A25</f>
        <v>29269</v>
      </c>
      <c r="B176" s="19" t="str">
        <f t="shared" si="120"/>
        <v>TAMUT</v>
      </c>
      <c r="C176" s="55">
        <f t="shared" si="99"/>
        <v>5034.3985044945275</v>
      </c>
      <c r="D176" s="15">
        <f t="shared" ref="D176:M176" si="121">D218*D$155</f>
        <v>0</v>
      </c>
      <c r="E176" s="14">
        <f t="shared" si="121"/>
        <v>1311.5218378278626</v>
      </c>
      <c r="F176" s="14">
        <f t="shared" si="121"/>
        <v>0</v>
      </c>
      <c r="G176" s="13">
        <f t="shared" si="121"/>
        <v>619.90999999999826</v>
      </c>
      <c r="H176" s="15">
        <f t="shared" si="121"/>
        <v>0</v>
      </c>
      <c r="I176" s="13">
        <f t="shared" si="121"/>
        <v>0</v>
      </c>
      <c r="J176" s="16">
        <f t="shared" si="121"/>
        <v>1912</v>
      </c>
      <c r="K176" s="15">
        <f t="shared" si="121"/>
        <v>735.5333333333333</v>
      </c>
      <c r="L176" s="14">
        <f t="shared" si="121"/>
        <v>452.5</v>
      </c>
      <c r="M176" s="106">
        <f t="shared" si="121"/>
        <v>2.9333333333333336</v>
      </c>
      <c r="N176" s="108" t="s">
        <v>82</v>
      </c>
    </row>
    <row r="177" spans="1:14" outlineLevel="1" x14ac:dyDescent="0.2">
      <c r="A177" s="20">
        <f t="shared" si="120"/>
        <v>3652</v>
      </c>
      <c r="B177" s="19" t="str">
        <f t="shared" si="120"/>
        <v>UH</v>
      </c>
      <c r="C177" s="55">
        <f t="shared" si="99"/>
        <v>98408.407555554819</v>
      </c>
      <c r="D177" s="15">
        <f t="shared" ref="D177:M177" si="122">D219*D$155</f>
        <v>0</v>
      </c>
      <c r="E177" s="14">
        <f t="shared" si="122"/>
        <v>19142.094222222222</v>
      </c>
      <c r="F177" s="14">
        <f t="shared" si="122"/>
        <v>0</v>
      </c>
      <c r="G177" s="13">
        <f t="shared" si="122"/>
        <v>10580.246666665944</v>
      </c>
      <c r="H177" s="15">
        <f t="shared" si="122"/>
        <v>0</v>
      </c>
      <c r="I177" s="13">
        <f t="shared" si="122"/>
        <v>0</v>
      </c>
      <c r="J177" s="16">
        <f t="shared" si="122"/>
        <v>26984</v>
      </c>
      <c r="K177" s="15">
        <f t="shared" si="122"/>
        <v>12923.966666666665</v>
      </c>
      <c r="L177" s="14">
        <f t="shared" si="122"/>
        <v>14225.833333333332</v>
      </c>
      <c r="M177" s="106">
        <f t="shared" si="122"/>
        <v>14552.266666666668</v>
      </c>
      <c r="N177" s="108" t="s">
        <v>80</v>
      </c>
    </row>
    <row r="178" spans="1:14" outlineLevel="1" x14ac:dyDescent="0.2">
      <c r="A178" s="20">
        <f t="shared" si="120"/>
        <v>11711</v>
      </c>
      <c r="B178" s="19" t="str">
        <f t="shared" si="120"/>
        <v>UHCL</v>
      </c>
      <c r="C178" s="55">
        <f t="shared" si="99"/>
        <v>17813.252088846271</v>
      </c>
      <c r="D178" s="15">
        <f t="shared" ref="D178:M178" si="123">D220*D$155</f>
        <v>0</v>
      </c>
      <c r="E178" s="14">
        <f t="shared" si="123"/>
        <v>4335.3987555129188</v>
      </c>
      <c r="F178" s="14">
        <f t="shared" si="123"/>
        <v>0</v>
      </c>
      <c r="G178" s="13">
        <f t="shared" si="123"/>
        <v>2282.9533333333529</v>
      </c>
      <c r="H178" s="15">
        <f t="shared" si="123"/>
        <v>0</v>
      </c>
      <c r="I178" s="13">
        <f t="shared" si="123"/>
        <v>0</v>
      </c>
      <c r="J178" s="16">
        <f t="shared" si="123"/>
        <v>6194.666666666667</v>
      </c>
      <c r="K178" s="15">
        <f t="shared" si="123"/>
        <v>2365.2666666666664</v>
      </c>
      <c r="L178" s="14">
        <f t="shared" si="123"/>
        <v>2384.1666666666665</v>
      </c>
      <c r="M178" s="106">
        <f t="shared" si="123"/>
        <v>250.8</v>
      </c>
      <c r="N178" s="108" t="s">
        <v>82</v>
      </c>
    </row>
    <row r="179" spans="1:14" outlineLevel="1" x14ac:dyDescent="0.2">
      <c r="A179" s="20">
        <f t="shared" si="120"/>
        <v>12826</v>
      </c>
      <c r="B179" s="19" t="str">
        <f t="shared" si="120"/>
        <v>UHD</v>
      </c>
      <c r="C179" s="55">
        <f t="shared" si="99"/>
        <v>33498.253333333385</v>
      </c>
      <c r="D179" s="15">
        <f t="shared" ref="D179:M179" si="124">D221*D$155</f>
        <v>0</v>
      </c>
      <c r="E179" s="14">
        <f t="shared" si="124"/>
        <v>3168.503333333334</v>
      </c>
      <c r="F179" s="14">
        <f t="shared" si="124"/>
        <v>0</v>
      </c>
      <c r="G179" s="13">
        <f t="shared" si="124"/>
        <v>4271.3166666667212</v>
      </c>
      <c r="H179" s="15">
        <f t="shared" si="124"/>
        <v>0</v>
      </c>
      <c r="I179" s="13">
        <f t="shared" si="124"/>
        <v>0</v>
      </c>
      <c r="J179" s="16">
        <f t="shared" si="124"/>
        <v>13448</v>
      </c>
      <c r="K179" s="15">
        <f t="shared" si="124"/>
        <v>5279.0666666666666</v>
      </c>
      <c r="L179" s="14">
        <f t="shared" si="124"/>
        <v>4670.833333333333</v>
      </c>
      <c r="M179" s="106">
        <f t="shared" si="124"/>
        <v>2660.5333333333333</v>
      </c>
      <c r="N179" s="108" t="s">
        <v>82</v>
      </c>
    </row>
    <row r="180" spans="1:14" outlineLevel="1" x14ac:dyDescent="0.2">
      <c r="A180" s="20">
        <f t="shared" si="120"/>
        <v>13231</v>
      </c>
      <c r="B180" s="19" t="str">
        <f t="shared" si="120"/>
        <v>UHV</v>
      </c>
      <c r="C180" s="55">
        <f t="shared" si="99"/>
        <v>8245.214906538693</v>
      </c>
      <c r="D180" s="15">
        <f t="shared" ref="D180:M180" si="125">D222*D$155</f>
        <v>0</v>
      </c>
      <c r="E180" s="14">
        <f t="shared" si="125"/>
        <v>2101.3682398720248</v>
      </c>
      <c r="F180" s="14">
        <f t="shared" si="125"/>
        <v>0</v>
      </c>
      <c r="G180" s="13">
        <f t="shared" si="125"/>
        <v>1084.4800000000012</v>
      </c>
      <c r="H180" s="15">
        <f t="shared" si="125"/>
        <v>0</v>
      </c>
      <c r="I180" s="13">
        <f t="shared" si="125"/>
        <v>0</v>
      </c>
      <c r="J180" s="16">
        <f t="shared" si="125"/>
        <v>3072</v>
      </c>
      <c r="K180" s="15">
        <f t="shared" si="125"/>
        <v>1217.2</v>
      </c>
      <c r="L180" s="14">
        <f t="shared" si="125"/>
        <v>740.83333333333326</v>
      </c>
      <c r="M180" s="106">
        <f t="shared" si="125"/>
        <v>29.333333333333336</v>
      </c>
      <c r="N180" s="108" t="s">
        <v>82</v>
      </c>
    </row>
    <row r="181" spans="1:14" outlineLevel="1" x14ac:dyDescent="0.2">
      <c r="A181" s="20">
        <f t="shared" si="120"/>
        <v>3592</v>
      </c>
      <c r="B181" s="19" t="str">
        <f t="shared" si="120"/>
        <v>Midwestern</v>
      </c>
      <c r="C181" s="55">
        <f t="shared" si="99"/>
        <v>18707.518888888895</v>
      </c>
      <c r="D181" s="15">
        <f t="shared" ref="D181:M181" si="126">D223*D$155</f>
        <v>0</v>
      </c>
      <c r="E181" s="14">
        <f t="shared" si="126"/>
        <v>3172.7188888888886</v>
      </c>
      <c r="F181" s="14">
        <f t="shared" si="126"/>
        <v>0</v>
      </c>
      <c r="G181" s="13">
        <f t="shared" si="126"/>
        <v>1962.0000000000034</v>
      </c>
      <c r="H181" s="15">
        <f t="shared" si="126"/>
        <v>0</v>
      </c>
      <c r="I181" s="13">
        <f t="shared" si="126"/>
        <v>0</v>
      </c>
      <c r="J181" s="16">
        <f t="shared" si="126"/>
        <v>5522.666666666667</v>
      </c>
      <c r="K181" s="15">
        <f t="shared" si="126"/>
        <v>2444.6</v>
      </c>
      <c r="L181" s="14">
        <f t="shared" si="126"/>
        <v>2615</v>
      </c>
      <c r="M181" s="106">
        <f t="shared" si="126"/>
        <v>2990.5333333333333</v>
      </c>
      <c r="N181" s="108" t="s">
        <v>82</v>
      </c>
    </row>
    <row r="182" spans="1:14" outlineLevel="1" x14ac:dyDescent="0.2">
      <c r="A182" s="20">
        <f t="shared" si="120"/>
        <v>3594</v>
      </c>
      <c r="B182" s="19" t="str">
        <f t="shared" si="120"/>
        <v>UNT</v>
      </c>
      <c r="C182" s="55">
        <f t="shared" si="99"/>
        <v>108403.35888888808</v>
      </c>
      <c r="D182" s="15">
        <f t="shared" ref="D182:M182" si="127">D224*D$155</f>
        <v>0</v>
      </c>
      <c r="E182" s="14">
        <f t="shared" si="127"/>
        <v>24273.238888888889</v>
      </c>
      <c r="F182" s="14">
        <f t="shared" si="127"/>
        <v>0</v>
      </c>
      <c r="G182" s="13">
        <f t="shared" si="127"/>
        <v>11411.553333332529</v>
      </c>
      <c r="H182" s="15">
        <f t="shared" si="127"/>
        <v>0</v>
      </c>
      <c r="I182" s="13">
        <f t="shared" si="127"/>
        <v>0</v>
      </c>
      <c r="J182" s="16">
        <f t="shared" si="127"/>
        <v>30560</v>
      </c>
      <c r="K182" s="15">
        <f t="shared" si="127"/>
        <v>13369.933333333334</v>
      </c>
      <c r="L182" s="14">
        <f t="shared" si="127"/>
        <v>14105.833333333332</v>
      </c>
      <c r="M182" s="106">
        <f t="shared" si="127"/>
        <v>14682.800000000001</v>
      </c>
      <c r="N182" s="108" t="s">
        <v>80</v>
      </c>
    </row>
    <row r="183" spans="1:14" outlineLevel="1" x14ac:dyDescent="0.2">
      <c r="A183" s="27">
        <f t="shared" si="120"/>
        <v>113594</v>
      </c>
      <c r="B183" s="19" t="str">
        <f t="shared" si="120"/>
        <v>UNTD</v>
      </c>
      <c r="C183" s="55">
        <f t="shared" si="99"/>
        <v>5844.7587499999972</v>
      </c>
      <c r="D183" s="15">
        <f t="shared" ref="D183:M183" si="128">D225*D$155</f>
        <v>0</v>
      </c>
      <c r="E183" s="14">
        <f t="shared" si="128"/>
        <v>1631.1487500000001</v>
      </c>
      <c r="F183" s="14">
        <f t="shared" si="128"/>
        <v>0</v>
      </c>
      <c r="G183" s="13">
        <f t="shared" si="128"/>
        <v>705.85999999999717</v>
      </c>
      <c r="H183" s="15">
        <f t="shared" si="128"/>
        <v>0</v>
      </c>
      <c r="I183" s="13">
        <f t="shared" si="128"/>
        <v>0</v>
      </c>
      <c r="J183" s="16">
        <f t="shared" si="128"/>
        <v>2468</v>
      </c>
      <c r="K183" s="15">
        <f t="shared" si="128"/>
        <v>812.6</v>
      </c>
      <c r="L183" s="14">
        <f t="shared" si="128"/>
        <v>178.75</v>
      </c>
      <c r="M183" s="106">
        <f t="shared" si="128"/>
        <v>48.400000000000006</v>
      </c>
      <c r="N183" s="108" t="s">
        <v>82</v>
      </c>
    </row>
    <row r="184" spans="1:14" outlineLevel="1" x14ac:dyDescent="0.2">
      <c r="A184" s="20">
        <f t="shared" si="120"/>
        <v>3624</v>
      </c>
      <c r="B184" s="19" t="str">
        <f t="shared" si="120"/>
        <v>SFA</v>
      </c>
      <c r="C184" s="55">
        <f t="shared" si="99"/>
        <v>38900.259999999995</v>
      </c>
      <c r="D184" s="15">
        <f t="shared" ref="D184:M184" si="129">D226*D$155</f>
        <v>0</v>
      </c>
      <c r="E184" s="14">
        <f t="shared" si="129"/>
        <v>7452.2233333333324</v>
      </c>
      <c r="F184" s="14">
        <f t="shared" si="129"/>
        <v>0</v>
      </c>
      <c r="G184" s="13">
        <f t="shared" si="129"/>
        <v>3721.736666666669</v>
      </c>
      <c r="H184" s="15">
        <f t="shared" si="129"/>
        <v>0</v>
      </c>
      <c r="I184" s="13">
        <f t="shared" si="129"/>
        <v>0</v>
      </c>
      <c r="J184" s="16">
        <f t="shared" si="129"/>
        <v>11682.666666666666</v>
      </c>
      <c r="K184" s="15">
        <f t="shared" si="129"/>
        <v>4707.8666666666668</v>
      </c>
      <c r="L184" s="14">
        <f t="shared" si="129"/>
        <v>5187.5</v>
      </c>
      <c r="M184" s="106">
        <f t="shared" si="129"/>
        <v>6148.2666666666664</v>
      </c>
      <c r="N184" s="108" t="s">
        <v>83</v>
      </c>
    </row>
    <row r="185" spans="1:14" outlineLevel="1" x14ac:dyDescent="0.2">
      <c r="A185" s="20">
        <f t="shared" si="120"/>
        <v>3642</v>
      </c>
      <c r="B185" s="19" t="str">
        <f t="shared" si="120"/>
        <v>TSU</v>
      </c>
      <c r="C185" s="55">
        <f t="shared" si="99"/>
        <v>16932.050555555557</v>
      </c>
      <c r="D185" s="15">
        <f t="shared" ref="D185:M185" si="130">D227*D$155</f>
        <v>0</v>
      </c>
      <c r="E185" s="14">
        <f t="shared" si="130"/>
        <v>762.63055555555547</v>
      </c>
      <c r="F185" s="14">
        <f t="shared" si="130"/>
        <v>0</v>
      </c>
      <c r="G185" s="13">
        <f t="shared" si="130"/>
        <v>1488.6533333333352</v>
      </c>
      <c r="H185" s="15">
        <f t="shared" si="130"/>
        <v>0</v>
      </c>
      <c r="I185" s="13">
        <f t="shared" si="130"/>
        <v>0</v>
      </c>
      <c r="J185" s="16">
        <f t="shared" si="130"/>
        <v>5330.666666666667</v>
      </c>
      <c r="K185" s="15">
        <f t="shared" si="130"/>
        <v>2783.4666666666662</v>
      </c>
      <c r="L185" s="14">
        <f t="shared" si="130"/>
        <v>2832.5</v>
      </c>
      <c r="M185" s="106">
        <f t="shared" si="130"/>
        <v>3734.1333333333337</v>
      </c>
      <c r="N185" s="108" t="s">
        <v>81</v>
      </c>
    </row>
    <row r="186" spans="1:14" outlineLevel="1" x14ac:dyDescent="0.2">
      <c r="A186" s="20">
        <f t="shared" si="120"/>
        <v>3644</v>
      </c>
      <c r="B186" s="19" t="str">
        <f t="shared" si="120"/>
        <v>TTU</v>
      </c>
      <c r="C186" s="55">
        <f t="shared" si="99"/>
        <v>97883.522666666016</v>
      </c>
      <c r="D186" s="15">
        <f t="shared" ref="D186:M186" si="131">D228*D$155</f>
        <v>0</v>
      </c>
      <c r="E186" s="14">
        <f t="shared" si="131"/>
        <v>23949.575999999997</v>
      </c>
      <c r="F186" s="14">
        <f t="shared" si="131"/>
        <v>0</v>
      </c>
      <c r="G186" s="13">
        <f t="shared" si="131"/>
        <v>10128.113333332682</v>
      </c>
      <c r="H186" s="15">
        <f t="shared" si="131"/>
        <v>0</v>
      </c>
      <c r="I186" s="13">
        <f t="shared" si="131"/>
        <v>0</v>
      </c>
      <c r="J186" s="16">
        <f t="shared" si="131"/>
        <v>22224</v>
      </c>
      <c r="K186" s="15">
        <f t="shared" si="131"/>
        <v>11025.066666666666</v>
      </c>
      <c r="L186" s="14">
        <f t="shared" si="131"/>
        <v>13195.833333333332</v>
      </c>
      <c r="M186" s="106">
        <f t="shared" si="131"/>
        <v>17360.933333333334</v>
      </c>
      <c r="N186" s="108" t="s">
        <v>80</v>
      </c>
    </row>
    <row r="187" spans="1:14" outlineLevel="1" x14ac:dyDescent="0.2">
      <c r="A187" s="20">
        <f t="shared" si="120"/>
        <v>3541</v>
      </c>
      <c r="B187" s="19" t="str">
        <f t="shared" si="120"/>
        <v>Angelo</v>
      </c>
      <c r="C187" s="55">
        <f t="shared" si="99"/>
        <v>18886.58355555556</v>
      </c>
      <c r="D187" s="15">
        <f t="shared" ref="D187:M187" si="132">D229*D$155</f>
        <v>0</v>
      </c>
      <c r="E187" s="14">
        <f t="shared" si="132"/>
        <v>2981.6002222222223</v>
      </c>
      <c r="F187" s="14">
        <f t="shared" si="132"/>
        <v>0</v>
      </c>
      <c r="G187" s="13">
        <f t="shared" si="132"/>
        <v>1977.3500000000051</v>
      </c>
      <c r="H187" s="15">
        <f t="shared" si="132"/>
        <v>0</v>
      </c>
      <c r="I187" s="13">
        <f t="shared" si="132"/>
        <v>0</v>
      </c>
      <c r="J187" s="16">
        <f t="shared" si="132"/>
        <v>5784</v>
      </c>
      <c r="K187" s="15">
        <f t="shared" si="132"/>
        <v>2445.7333333333336</v>
      </c>
      <c r="L187" s="14">
        <f t="shared" si="132"/>
        <v>2584.166666666667</v>
      </c>
      <c r="M187" s="106">
        <f t="shared" si="132"/>
        <v>3113.7333333333336</v>
      </c>
      <c r="N187" s="108" t="s">
        <v>82</v>
      </c>
    </row>
    <row r="188" spans="1:14" outlineLevel="1" x14ac:dyDescent="0.2">
      <c r="A188" s="20">
        <f t="shared" si="120"/>
        <v>3646</v>
      </c>
      <c r="B188" s="19" t="str">
        <f t="shared" si="120"/>
        <v>TWU</v>
      </c>
      <c r="C188" s="55">
        <f t="shared" si="99"/>
        <v>29914.937333333331</v>
      </c>
      <c r="D188" s="15">
        <f t="shared" ref="D188:M188" si="133">D230*D$155</f>
        <v>0</v>
      </c>
      <c r="E188" s="14">
        <f t="shared" si="133"/>
        <v>6620.1940000000004</v>
      </c>
      <c r="F188" s="14">
        <f t="shared" si="133"/>
        <v>0</v>
      </c>
      <c r="G188" s="13">
        <f t="shared" si="133"/>
        <v>3452.1766666666658</v>
      </c>
      <c r="H188" s="15">
        <f t="shared" si="133"/>
        <v>0</v>
      </c>
      <c r="I188" s="13">
        <f t="shared" si="133"/>
        <v>0</v>
      </c>
      <c r="J188" s="16">
        <f t="shared" si="133"/>
        <v>9976</v>
      </c>
      <c r="K188" s="15">
        <f t="shared" si="133"/>
        <v>3733.2</v>
      </c>
      <c r="L188" s="14">
        <f t="shared" si="133"/>
        <v>3230.833333333333</v>
      </c>
      <c r="M188" s="106">
        <f t="shared" si="133"/>
        <v>2902.5333333333333</v>
      </c>
      <c r="N188" s="108" t="s">
        <v>81</v>
      </c>
    </row>
    <row r="189" spans="1:14" outlineLevel="1" x14ac:dyDescent="0.2">
      <c r="A189" s="20">
        <f t="shared" si="120"/>
        <v>3581</v>
      </c>
      <c r="B189" s="19" t="str">
        <f t="shared" si="120"/>
        <v>Lamar</v>
      </c>
      <c r="C189" s="55">
        <f t="shared" si="99"/>
        <v>25365.74911111113</v>
      </c>
      <c r="D189" s="15">
        <f t="shared" ref="D189:M189" si="134">D231*D$155</f>
        <v>0</v>
      </c>
      <c r="E189" s="14">
        <f t="shared" si="134"/>
        <v>3274.6824444444442</v>
      </c>
      <c r="F189" s="14">
        <f t="shared" si="134"/>
        <v>0</v>
      </c>
      <c r="G189" s="13">
        <f t="shared" si="134"/>
        <v>2684.9000000000165</v>
      </c>
      <c r="H189" s="15">
        <f t="shared" si="134"/>
        <v>0</v>
      </c>
      <c r="I189" s="13">
        <f t="shared" si="134"/>
        <v>0</v>
      </c>
      <c r="J189" s="16">
        <f t="shared" si="134"/>
        <v>7589.333333333333</v>
      </c>
      <c r="K189" s="15">
        <f t="shared" si="134"/>
        <v>3645.9333333333329</v>
      </c>
      <c r="L189" s="14">
        <f t="shared" si="134"/>
        <v>3722.5</v>
      </c>
      <c r="M189" s="106">
        <f t="shared" si="134"/>
        <v>4448.4000000000005</v>
      </c>
      <c r="N189" s="108" t="s">
        <v>83</v>
      </c>
    </row>
    <row r="190" spans="1:14" outlineLevel="1" x14ac:dyDescent="0.2">
      <c r="A190" s="20">
        <f t="shared" si="120"/>
        <v>3606</v>
      </c>
      <c r="B190" s="19" t="str">
        <f t="shared" si="120"/>
        <v>SHSU</v>
      </c>
      <c r="C190" s="55">
        <f t="shared" si="99"/>
        <v>57977.727777777902</v>
      </c>
      <c r="D190" s="15">
        <f t="shared" ref="D190:M190" si="135">D232*D$155</f>
        <v>0</v>
      </c>
      <c r="E190" s="14">
        <f t="shared" si="135"/>
        <v>12638.951111111111</v>
      </c>
      <c r="F190" s="14">
        <f t="shared" si="135"/>
        <v>0</v>
      </c>
      <c r="G190" s="13">
        <f t="shared" si="135"/>
        <v>5837.0766666667887</v>
      </c>
      <c r="H190" s="15">
        <f t="shared" si="135"/>
        <v>0</v>
      </c>
      <c r="I190" s="13">
        <f t="shared" si="135"/>
        <v>0</v>
      </c>
      <c r="J190" s="16">
        <f t="shared" si="135"/>
        <v>17709.333333333332</v>
      </c>
      <c r="K190" s="15">
        <f t="shared" si="135"/>
        <v>6620.3666666666668</v>
      </c>
      <c r="L190" s="14">
        <f t="shared" si="135"/>
        <v>7413.3333333333339</v>
      </c>
      <c r="M190" s="106">
        <f t="shared" si="135"/>
        <v>7758.666666666667</v>
      </c>
      <c r="N190" s="108" t="s">
        <v>81</v>
      </c>
    </row>
    <row r="191" spans="1:14" outlineLevel="1" x14ac:dyDescent="0.2">
      <c r="A191" s="20">
        <f t="shared" si="120"/>
        <v>3615</v>
      </c>
      <c r="B191" s="19" t="str">
        <f t="shared" si="120"/>
        <v>TXST</v>
      </c>
      <c r="C191" s="55">
        <f t="shared" si="99"/>
        <v>104837.90099999936</v>
      </c>
      <c r="D191" s="15">
        <f t="shared" ref="D191:M191" si="136">D233*D$155</f>
        <v>0</v>
      </c>
      <c r="E191" s="14">
        <f t="shared" si="136"/>
        <v>23754.591</v>
      </c>
      <c r="F191" s="14">
        <f t="shared" si="136"/>
        <v>0</v>
      </c>
      <c r="G191" s="13">
        <f t="shared" si="136"/>
        <v>10437.309999999357</v>
      </c>
      <c r="H191" s="15">
        <f t="shared" si="136"/>
        <v>0</v>
      </c>
      <c r="I191" s="13">
        <f t="shared" si="136"/>
        <v>0</v>
      </c>
      <c r="J191" s="16">
        <f t="shared" si="136"/>
        <v>29402.666666666668</v>
      </c>
      <c r="K191" s="15">
        <f t="shared" si="136"/>
        <v>12699.566666666666</v>
      </c>
      <c r="L191" s="14">
        <f t="shared" si="136"/>
        <v>13947.5</v>
      </c>
      <c r="M191" s="106">
        <f t="shared" si="136"/>
        <v>14596.266666666668</v>
      </c>
      <c r="N191" s="108" t="s">
        <v>80</v>
      </c>
    </row>
    <row r="192" spans="1:14" outlineLevel="1" x14ac:dyDescent="0.2">
      <c r="A192" s="20">
        <f t="shared" si="120"/>
        <v>3625</v>
      </c>
      <c r="B192" s="19" t="str">
        <f t="shared" si="120"/>
        <v>SRSU</v>
      </c>
      <c r="C192" s="55">
        <f t="shared" si="99"/>
        <v>3670.7553333333331</v>
      </c>
      <c r="D192" s="15">
        <f t="shared" ref="D192:M192" si="137">D234*D$155</f>
        <v>0</v>
      </c>
      <c r="E192" s="14">
        <f t="shared" si="137"/>
        <v>398.92533333333336</v>
      </c>
      <c r="F192" s="14">
        <f t="shared" si="137"/>
        <v>0</v>
      </c>
      <c r="G192" s="13">
        <f t="shared" si="137"/>
        <v>394.32999999999964</v>
      </c>
      <c r="H192" s="15">
        <f t="shared" si="137"/>
        <v>0</v>
      </c>
      <c r="I192" s="13">
        <f t="shared" si="137"/>
        <v>0</v>
      </c>
      <c r="J192" s="16">
        <f t="shared" si="137"/>
        <v>1304</v>
      </c>
      <c r="K192" s="15">
        <f t="shared" si="137"/>
        <v>510</v>
      </c>
      <c r="L192" s="14">
        <f t="shared" si="137"/>
        <v>484.16666666666663</v>
      </c>
      <c r="M192" s="106">
        <f t="shared" si="137"/>
        <v>579.33333333333337</v>
      </c>
      <c r="N192" s="108" t="s">
        <v>82</v>
      </c>
    </row>
    <row r="193" spans="1:14" outlineLevel="1" x14ac:dyDescent="0.2">
      <c r="A193" s="20">
        <f t="shared" si="120"/>
        <v>20</v>
      </c>
      <c r="B193" s="19" t="str">
        <f t="shared" si="120"/>
        <v>SRRG</v>
      </c>
      <c r="C193" s="55">
        <f t="shared" si="99"/>
        <v>2432.465169661697</v>
      </c>
      <c r="D193" s="15">
        <f t="shared" ref="D193:M193" si="138">D235*D$155</f>
        <v>0</v>
      </c>
      <c r="E193" s="14">
        <f t="shared" si="138"/>
        <v>359.56183632836428</v>
      </c>
      <c r="F193" s="14">
        <f t="shared" si="138"/>
        <v>0</v>
      </c>
      <c r="G193" s="13">
        <f t="shared" si="138"/>
        <v>279.16999999999979</v>
      </c>
      <c r="H193" s="15">
        <f t="shared" si="138"/>
        <v>0</v>
      </c>
      <c r="I193" s="13">
        <f t="shared" si="138"/>
        <v>0</v>
      </c>
      <c r="J193" s="16">
        <f t="shared" si="138"/>
        <v>1152</v>
      </c>
      <c r="K193" s="15">
        <f t="shared" si="138"/>
        <v>391</v>
      </c>
      <c r="L193" s="14">
        <f t="shared" si="138"/>
        <v>231.66666666666669</v>
      </c>
      <c r="M193" s="106">
        <f t="shared" si="138"/>
        <v>19.066666666666666</v>
      </c>
      <c r="N193" s="108" t="s">
        <v>82</v>
      </c>
    </row>
    <row r="194" spans="1:14" ht="13.5" outlineLevel="1" thickBot="1" x14ac:dyDescent="0.25">
      <c r="A194" s="12"/>
      <c r="B194" s="11" t="s">
        <v>11</v>
      </c>
      <c r="C194" s="54">
        <f t="shared" ref="C194:M194" si="139">SUM(C156:C193)</f>
        <v>1574807.3645577973</v>
      </c>
      <c r="D194" s="9">
        <f t="shared" si="139"/>
        <v>0</v>
      </c>
      <c r="E194" s="7">
        <f t="shared" si="139"/>
        <v>343222.64122446562</v>
      </c>
      <c r="F194" s="7">
        <f t="shared" si="139"/>
        <v>0</v>
      </c>
      <c r="G194" s="3">
        <f t="shared" si="139"/>
        <v>172461.13999999844</v>
      </c>
      <c r="H194" s="5">
        <f t="shared" si="139"/>
        <v>0</v>
      </c>
      <c r="I194" s="3">
        <f t="shared" si="139"/>
        <v>0</v>
      </c>
      <c r="J194" s="6">
        <f t="shared" si="139"/>
        <v>435572.00000000006</v>
      </c>
      <c r="K194" s="5">
        <f t="shared" si="139"/>
        <v>194161.53333333333</v>
      </c>
      <c r="L194" s="4">
        <f t="shared" si="139"/>
        <v>205861.25000000003</v>
      </c>
      <c r="M194" s="107">
        <f t="shared" si="139"/>
        <v>223528.8</v>
      </c>
      <c r="N194" s="109"/>
    </row>
    <row r="195" spans="1:14" ht="13.5" thickBot="1" x14ac:dyDescent="0.25">
      <c r="A195" s="42" t="s">
        <v>29</v>
      </c>
      <c r="B195" s="42"/>
      <c r="C195" s="127"/>
      <c r="D195" s="51"/>
      <c r="E195" s="51"/>
      <c r="F195" s="53"/>
      <c r="H195" s="53"/>
      <c r="N195" s="52"/>
    </row>
    <row r="196" spans="1:14" ht="12.75" customHeight="1" outlineLevel="1" x14ac:dyDescent="0.2">
      <c r="A196" s="234" t="s">
        <v>24</v>
      </c>
      <c r="B196" s="236" t="s">
        <v>23</v>
      </c>
      <c r="C196" s="238"/>
      <c r="D196" s="240" t="s">
        <v>28</v>
      </c>
      <c r="E196" s="242" t="s">
        <v>21</v>
      </c>
      <c r="F196" s="236" t="s">
        <v>20</v>
      </c>
      <c r="G196" s="221" t="s">
        <v>19</v>
      </c>
      <c r="H196" s="223" t="s">
        <v>18</v>
      </c>
      <c r="I196" s="225" t="s">
        <v>17</v>
      </c>
      <c r="J196" s="227" t="s">
        <v>16</v>
      </c>
      <c r="K196" s="229" t="s">
        <v>15</v>
      </c>
      <c r="L196" s="230"/>
      <c r="M196" s="231"/>
      <c r="N196" s="52"/>
    </row>
    <row r="197" spans="1:14" s="41" customFormat="1" ht="41.25" customHeight="1" outlineLevel="1" x14ac:dyDescent="0.2">
      <c r="A197" s="235"/>
      <c r="B197" s="237"/>
      <c r="C197" s="239"/>
      <c r="D197" s="241"/>
      <c r="E197" s="243"/>
      <c r="F197" s="237"/>
      <c r="G197" s="222"/>
      <c r="H197" s="224"/>
      <c r="I197" s="226"/>
      <c r="J197" s="228"/>
      <c r="K197" s="188" t="s">
        <v>14</v>
      </c>
      <c r="L197" s="189" t="s">
        <v>13</v>
      </c>
      <c r="M197" s="190" t="s">
        <v>12</v>
      </c>
      <c r="N197" s="52"/>
    </row>
    <row r="198" spans="1:14" outlineLevel="1" x14ac:dyDescent="0.2">
      <c r="A198" s="40">
        <f t="shared" ref="A198:B217" si="140">A156</f>
        <v>3656</v>
      </c>
      <c r="B198" s="39" t="str">
        <f t="shared" si="140"/>
        <v>UTA</v>
      </c>
      <c r="C198" s="18"/>
      <c r="D198" s="36">
        <f t="shared" ref="D198:D235" si="141">AVERAGE(D240,D282,D324)</f>
        <v>5018</v>
      </c>
      <c r="E198" s="201">
        <f t="shared" ref="E198:E235" si="142">AVERAGE(E240,E282,E324)*D198</f>
        <v>2600.9966666666669</v>
      </c>
      <c r="F198" s="56">
        <f t="shared" ref="F198:F235" si="143">D198/AVERAGE(F240,F282,F324)*100</f>
        <v>29.603788278048281</v>
      </c>
      <c r="G198" s="35">
        <f t="shared" ref="G198:M207" si="144">AVERAGE(G240,G282,G324)</f>
        <v>10418.553333333379</v>
      </c>
      <c r="H198" s="36">
        <f t="shared" si="144"/>
        <v>1531.3333333333333</v>
      </c>
      <c r="I198" s="35">
        <f t="shared" si="144"/>
        <v>35</v>
      </c>
      <c r="J198" s="34">
        <f t="shared" si="144"/>
        <v>3116</v>
      </c>
      <c r="K198" s="36">
        <f t="shared" si="144"/>
        <v>6836.333333333333</v>
      </c>
      <c r="L198" s="56">
        <f t="shared" si="144"/>
        <v>3833.6666666666665</v>
      </c>
      <c r="M198" s="35">
        <f t="shared" si="144"/>
        <v>1783.6666666666667</v>
      </c>
      <c r="N198" s="52"/>
    </row>
    <row r="199" spans="1:14" outlineLevel="1" x14ac:dyDescent="0.2">
      <c r="A199" s="20">
        <f t="shared" si="140"/>
        <v>3658</v>
      </c>
      <c r="B199" s="19" t="str">
        <f t="shared" si="140"/>
        <v>UT</v>
      </c>
      <c r="C199" s="18"/>
      <c r="D199" s="15">
        <f t="shared" si="141"/>
        <v>8946.3333333333339</v>
      </c>
      <c r="E199" s="116">
        <f t="shared" si="142"/>
        <v>7416.5103333333345</v>
      </c>
      <c r="F199" s="14">
        <f t="shared" si="143"/>
        <v>26.497692061124674</v>
      </c>
      <c r="G199" s="13">
        <f t="shared" si="144"/>
        <v>19398.350000000519</v>
      </c>
      <c r="H199" s="15">
        <f t="shared" si="144"/>
        <v>1876.3333333333333</v>
      </c>
      <c r="I199" s="13">
        <f t="shared" si="144"/>
        <v>66</v>
      </c>
      <c r="J199" s="16">
        <f t="shared" si="144"/>
        <v>3470.3333333333335</v>
      </c>
      <c r="K199" s="15">
        <f t="shared" si="144"/>
        <v>9598.3333333333339</v>
      </c>
      <c r="L199" s="14">
        <f t="shared" si="144"/>
        <v>9005.6666666666661</v>
      </c>
      <c r="M199" s="13">
        <f t="shared" si="144"/>
        <v>7040.333333333333</v>
      </c>
      <c r="N199" s="52"/>
    </row>
    <row r="200" spans="1:14" outlineLevel="1" x14ac:dyDescent="0.2">
      <c r="A200" s="20">
        <f t="shared" si="140"/>
        <v>9741</v>
      </c>
      <c r="B200" s="19" t="str">
        <f t="shared" si="140"/>
        <v>UTD</v>
      </c>
      <c r="C200" s="18"/>
      <c r="D200" s="15">
        <f t="shared" si="141"/>
        <v>2393</v>
      </c>
      <c r="E200" s="116">
        <f t="shared" si="142"/>
        <v>1682.279</v>
      </c>
      <c r="F200" s="14">
        <f t="shared" si="143"/>
        <v>26.829760516638267</v>
      </c>
      <c r="G200" s="13">
        <f t="shared" si="144"/>
        <v>5101.2033333334393</v>
      </c>
      <c r="H200" s="15">
        <f t="shared" si="144"/>
        <v>421.66666666666669</v>
      </c>
      <c r="I200" s="13">
        <f t="shared" si="144"/>
        <v>32</v>
      </c>
      <c r="J200" s="16">
        <f t="shared" si="144"/>
        <v>1319.6666666666667</v>
      </c>
      <c r="K200" s="15">
        <f t="shared" si="144"/>
        <v>3315</v>
      </c>
      <c r="L200" s="14">
        <f t="shared" si="144"/>
        <v>2134.3333333333335</v>
      </c>
      <c r="M200" s="13">
        <f t="shared" si="144"/>
        <v>1021.3333333333334</v>
      </c>
      <c r="N200" s="52"/>
    </row>
    <row r="201" spans="1:14" outlineLevel="1" x14ac:dyDescent="0.2">
      <c r="A201" s="20">
        <f t="shared" si="140"/>
        <v>3661</v>
      </c>
      <c r="B201" s="19" t="str">
        <f t="shared" si="140"/>
        <v>UTEP</v>
      </c>
      <c r="C201" s="18"/>
      <c r="D201" s="15">
        <f t="shared" si="141"/>
        <v>3057</v>
      </c>
      <c r="E201" s="116">
        <f t="shared" si="142"/>
        <v>1192.2299999999998</v>
      </c>
      <c r="F201" s="14">
        <f t="shared" si="143"/>
        <v>22.870894536023343</v>
      </c>
      <c r="G201" s="13">
        <f t="shared" si="144"/>
        <v>6298.0766666668133</v>
      </c>
      <c r="H201" s="15">
        <f t="shared" si="144"/>
        <v>655</v>
      </c>
      <c r="I201" s="13">
        <f t="shared" si="144"/>
        <v>90</v>
      </c>
      <c r="J201" s="16">
        <f t="shared" si="144"/>
        <v>2464.3333333333335</v>
      </c>
      <c r="K201" s="15">
        <f t="shared" si="144"/>
        <v>4362.666666666667</v>
      </c>
      <c r="L201" s="14">
        <f t="shared" si="144"/>
        <v>3358</v>
      </c>
      <c r="M201" s="13">
        <f t="shared" si="144"/>
        <v>1956</v>
      </c>
      <c r="N201" s="52"/>
    </row>
    <row r="202" spans="1:14" outlineLevel="1" x14ac:dyDescent="0.2">
      <c r="A202" s="20">
        <f t="shared" si="140"/>
        <v>3599</v>
      </c>
      <c r="B202" s="19" t="str">
        <f t="shared" si="140"/>
        <v>UTPA</v>
      </c>
      <c r="C202" s="18"/>
      <c r="D202" s="15">
        <f t="shared" si="141"/>
        <v>2580</v>
      </c>
      <c r="E202" s="116">
        <f t="shared" si="142"/>
        <v>1111.98</v>
      </c>
      <c r="F202" s="14">
        <f t="shared" si="143"/>
        <v>20.492490499497837</v>
      </c>
      <c r="G202" s="13">
        <f t="shared" si="144"/>
        <v>5134.1666666667797</v>
      </c>
      <c r="H202" s="15">
        <f t="shared" si="144"/>
        <v>520.33333333333337</v>
      </c>
      <c r="I202" s="13">
        <f t="shared" si="144"/>
        <v>28</v>
      </c>
      <c r="J202" s="16">
        <f t="shared" si="144"/>
        <v>2338.3333333333335</v>
      </c>
      <c r="K202" s="15">
        <f t="shared" si="144"/>
        <v>4075.3333333333335</v>
      </c>
      <c r="L202" s="14">
        <f t="shared" si="144"/>
        <v>3096</v>
      </c>
      <c r="M202" s="13">
        <f t="shared" si="144"/>
        <v>1939.3333333333333</v>
      </c>
      <c r="N202" s="52"/>
    </row>
    <row r="203" spans="1:14" outlineLevel="1" x14ac:dyDescent="0.2">
      <c r="A203" s="20">
        <f t="shared" si="140"/>
        <v>30646</v>
      </c>
      <c r="B203" s="19" t="str">
        <f t="shared" si="140"/>
        <v>UTB</v>
      </c>
      <c r="C203" s="18"/>
      <c r="D203" s="15">
        <f t="shared" si="141"/>
        <v>1092</v>
      </c>
      <c r="E203" s="116">
        <f t="shared" si="142"/>
        <v>628.17092451302005</v>
      </c>
      <c r="F203" s="14">
        <f t="shared" si="143"/>
        <v>34.461236368736628</v>
      </c>
      <c r="G203" s="13">
        <f t="shared" si="144"/>
        <v>2097.7933333333553</v>
      </c>
      <c r="H203" s="15">
        <f t="shared" si="144"/>
        <v>124.33333333333333</v>
      </c>
      <c r="I203" s="13">
        <f t="shared" si="144"/>
        <v>18.333333333333332</v>
      </c>
      <c r="J203" s="16">
        <f t="shared" si="144"/>
        <v>936.66666666666663</v>
      </c>
      <c r="K203" s="15">
        <f t="shared" si="144"/>
        <v>1326.3333333333333</v>
      </c>
      <c r="L203" s="14">
        <f t="shared" si="144"/>
        <v>556.33333333333337</v>
      </c>
      <c r="M203" s="13">
        <f t="shared" si="144"/>
        <v>100.66666666666667</v>
      </c>
      <c r="N203" s="52"/>
    </row>
    <row r="204" spans="1:14" outlineLevel="1" x14ac:dyDescent="0.2">
      <c r="A204" s="20">
        <f t="shared" si="140"/>
        <v>9930</v>
      </c>
      <c r="B204" s="19" t="str">
        <f t="shared" si="140"/>
        <v>UTPB</v>
      </c>
      <c r="C204" s="18"/>
      <c r="D204" s="15">
        <f t="shared" si="141"/>
        <v>533.33333333333337</v>
      </c>
      <c r="E204" s="116">
        <f t="shared" si="142"/>
        <v>236.8</v>
      </c>
      <c r="F204" s="14">
        <f t="shared" si="143"/>
        <v>23.125174643246009</v>
      </c>
      <c r="G204" s="13">
        <f t="shared" si="144"/>
        <v>1001.5166666666704</v>
      </c>
      <c r="H204" s="15">
        <f t="shared" si="144"/>
        <v>41.333333333333336</v>
      </c>
      <c r="I204" s="13">
        <f t="shared" si="144"/>
        <v>10</v>
      </c>
      <c r="J204" s="16">
        <f t="shared" si="144"/>
        <v>399</v>
      </c>
      <c r="K204" s="15">
        <f t="shared" si="144"/>
        <v>785.66666666666663</v>
      </c>
      <c r="L204" s="14">
        <f t="shared" si="144"/>
        <v>491.66666666666669</v>
      </c>
      <c r="M204" s="13">
        <f t="shared" si="144"/>
        <v>194.33333333333334</v>
      </c>
      <c r="N204" s="52"/>
    </row>
    <row r="205" spans="1:14" outlineLevel="1" x14ac:dyDescent="0.2">
      <c r="A205" s="20">
        <f t="shared" si="140"/>
        <v>10115</v>
      </c>
      <c r="B205" s="19" t="str">
        <f t="shared" si="140"/>
        <v>UTSA</v>
      </c>
      <c r="C205" s="18"/>
      <c r="D205" s="15">
        <f t="shared" si="141"/>
        <v>4119.666666666667</v>
      </c>
      <c r="E205" s="116">
        <f t="shared" si="142"/>
        <v>1737.1261111111112</v>
      </c>
      <c r="F205" s="14">
        <f t="shared" si="143"/>
        <v>20.241034101368403</v>
      </c>
      <c r="G205" s="13">
        <f t="shared" si="144"/>
        <v>8414.213333333224</v>
      </c>
      <c r="H205" s="15">
        <f t="shared" si="144"/>
        <v>392</v>
      </c>
      <c r="I205" s="13">
        <f t="shared" si="144"/>
        <v>49.666666666666664</v>
      </c>
      <c r="J205" s="16">
        <f t="shared" si="144"/>
        <v>3123.6666666666665</v>
      </c>
      <c r="K205" s="15">
        <f t="shared" si="144"/>
        <v>6809.666666666667</v>
      </c>
      <c r="L205" s="14">
        <f t="shared" si="144"/>
        <v>4458.666666666667</v>
      </c>
      <c r="M205" s="13">
        <f t="shared" si="144"/>
        <v>2615.6666666666665</v>
      </c>
      <c r="N205" s="52"/>
    </row>
    <row r="206" spans="1:14" outlineLevel="1" x14ac:dyDescent="0.2">
      <c r="A206" s="20">
        <f t="shared" si="140"/>
        <v>11163</v>
      </c>
      <c r="B206" s="19" t="str">
        <f t="shared" si="140"/>
        <v>UTT</v>
      </c>
      <c r="C206" s="18"/>
      <c r="D206" s="15">
        <f t="shared" si="141"/>
        <v>1190</v>
      </c>
      <c r="E206" s="116">
        <f t="shared" si="142"/>
        <v>613.64333333333343</v>
      </c>
      <c r="F206" s="14">
        <f t="shared" si="143"/>
        <v>29.255740517151896</v>
      </c>
      <c r="G206" s="13">
        <f t="shared" si="144"/>
        <v>2362.6600000000103</v>
      </c>
      <c r="H206" s="15">
        <f t="shared" si="144"/>
        <v>376.66666666666669</v>
      </c>
      <c r="I206" s="13">
        <f t="shared" si="144"/>
        <v>14</v>
      </c>
      <c r="J206" s="16">
        <f t="shared" si="144"/>
        <v>942.33333333333337</v>
      </c>
      <c r="K206" s="15">
        <f t="shared" si="144"/>
        <v>1436.3333333333333</v>
      </c>
      <c r="L206" s="14">
        <f t="shared" si="144"/>
        <v>890</v>
      </c>
      <c r="M206" s="13">
        <f t="shared" si="144"/>
        <v>387.33333333333331</v>
      </c>
      <c r="N206" s="52"/>
    </row>
    <row r="207" spans="1:14" outlineLevel="1" x14ac:dyDescent="0.2">
      <c r="A207" s="20">
        <f t="shared" si="140"/>
        <v>3632</v>
      </c>
      <c r="B207" s="19" t="str">
        <f t="shared" si="140"/>
        <v>TAMU</v>
      </c>
      <c r="C207" s="18"/>
      <c r="D207" s="15">
        <f t="shared" si="141"/>
        <v>8739.6666666666661</v>
      </c>
      <c r="E207" s="116">
        <f t="shared" si="142"/>
        <v>7347.1464444444427</v>
      </c>
      <c r="F207" s="14">
        <f t="shared" si="143"/>
        <v>25.241886570842681</v>
      </c>
      <c r="G207" s="13">
        <f t="shared" si="144"/>
        <v>20104.8166666668</v>
      </c>
      <c r="H207" s="15">
        <f t="shared" si="144"/>
        <v>1763</v>
      </c>
      <c r="I207" s="13">
        <f t="shared" si="144"/>
        <v>126</v>
      </c>
      <c r="J207" s="16">
        <f t="shared" si="144"/>
        <v>3724</v>
      </c>
      <c r="K207" s="15">
        <f t="shared" si="144"/>
        <v>10060.666666666666</v>
      </c>
      <c r="L207" s="14">
        <f t="shared" si="144"/>
        <v>8907.3333333333339</v>
      </c>
      <c r="M207" s="13">
        <f t="shared" si="144"/>
        <v>6897.666666666667</v>
      </c>
      <c r="N207" s="52"/>
    </row>
    <row r="208" spans="1:14" outlineLevel="1" x14ac:dyDescent="0.2">
      <c r="A208" s="20">
        <f t="shared" si="140"/>
        <v>10298</v>
      </c>
      <c r="B208" s="19" t="str">
        <f t="shared" si="140"/>
        <v>TAMUG</v>
      </c>
      <c r="C208" s="18"/>
      <c r="D208" s="15">
        <f t="shared" si="141"/>
        <v>275.33333333333331</v>
      </c>
      <c r="E208" s="116">
        <f t="shared" si="142"/>
        <v>172.72577777777778</v>
      </c>
      <c r="F208" s="14">
        <f t="shared" si="143"/>
        <v>16.399301143583227</v>
      </c>
      <c r="G208" s="13">
        <f t="shared" ref="G208:M217" si="145">AVERAGE(G250,G292,G334)</f>
        <v>704.02666666666448</v>
      </c>
      <c r="H208" s="15">
        <f t="shared" si="145"/>
        <v>37.333333333333336</v>
      </c>
      <c r="I208" s="13">
        <f t="shared" si="145"/>
        <v>0</v>
      </c>
      <c r="J208" s="16">
        <f t="shared" si="145"/>
        <v>158</v>
      </c>
      <c r="K208" s="15">
        <f t="shared" si="145"/>
        <v>592.33333333333337</v>
      </c>
      <c r="L208" s="14">
        <f t="shared" si="145"/>
        <v>318</v>
      </c>
      <c r="M208" s="13">
        <f t="shared" si="145"/>
        <v>246</v>
      </c>
      <c r="N208" s="52"/>
    </row>
    <row r="209" spans="1:14" outlineLevel="1" x14ac:dyDescent="0.2">
      <c r="A209" s="20">
        <f t="shared" si="140"/>
        <v>3630</v>
      </c>
      <c r="B209" s="19" t="str">
        <f t="shared" si="140"/>
        <v>Prairie View</v>
      </c>
      <c r="C209" s="18"/>
      <c r="D209" s="15">
        <f t="shared" si="141"/>
        <v>936.33333333333337</v>
      </c>
      <c r="E209" s="116">
        <f t="shared" si="142"/>
        <v>348.00388888888887</v>
      </c>
      <c r="F209" s="14">
        <f t="shared" si="143"/>
        <v>15.823688025296873</v>
      </c>
      <c r="G209" s="13">
        <f t="shared" si="145"/>
        <v>2072.9000000000092</v>
      </c>
      <c r="H209" s="15">
        <f t="shared" si="145"/>
        <v>315.66666666666669</v>
      </c>
      <c r="I209" s="13">
        <f t="shared" si="145"/>
        <v>9.6666666666666661</v>
      </c>
      <c r="J209" s="16">
        <f t="shared" si="145"/>
        <v>802.66666666666663</v>
      </c>
      <c r="K209" s="15">
        <f t="shared" si="145"/>
        <v>1668</v>
      </c>
      <c r="L209" s="14">
        <f t="shared" si="145"/>
        <v>1181</v>
      </c>
      <c r="M209" s="13">
        <f t="shared" si="145"/>
        <v>905.33333333333337</v>
      </c>
      <c r="N209" s="52"/>
    </row>
    <row r="210" spans="1:14" outlineLevel="1" x14ac:dyDescent="0.2">
      <c r="A210" s="20">
        <f t="shared" si="140"/>
        <v>3631</v>
      </c>
      <c r="B210" s="19" t="str">
        <f t="shared" si="140"/>
        <v>Tarleton</v>
      </c>
      <c r="C210" s="18"/>
      <c r="D210" s="15">
        <f t="shared" si="141"/>
        <v>1545.3333333333333</v>
      </c>
      <c r="E210" s="116">
        <f t="shared" si="142"/>
        <v>738.66933333333338</v>
      </c>
      <c r="F210" s="14">
        <f t="shared" si="143"/>
        <v>24.559767752325659</v>
      </c>
      <c r="G210" s="13">
        <f t="shared" si="145"/>
        <v>3122.5433333333599</v>
      </c>
      <c r="H210" s="15">
        <f t="shared" si="145"/>
        <v>203</v>
      </c>
      <c r="I210" s="13">
        <f t="shared" si="145"/>
        <v>47.666666666666664</v>
      </c>
      <c r="J210" s="16">
        <f t="shared" si="145"/>
        <v>1195</v>
      </c>
      <c r="K210" s="15">
        <f t="shared" si="145"/>
        <v>2154.3333333333335</v>
      </c>
      <c r="L210" s="14">
        <f t="shared" si="145"/>
        <v>1328.6666666666667</v>
      </c>
      <c r="M210" s="13">
        <f t="shared" si="145"/>
        <v>862.66666666666663</v>
      </c>
      <c r="N210" s="52"/>
    </row>
    <row r="211" spans="1:14" outlineLevel="1" x14ac:dyDescent="0.2">
      <c r="A211" s="27">
        <f t="shared" si="140"/>
        <v>103631</v>
      </c>
      <c r="B211" s="19" t="str">
        <f t="shared" si="140"/>
        <v>TAMUCT</v>
      </c>
      <c r="C211" s="18"/>
      <c r="D211" s="15">
        <f t="shared" si="141"/>
        <v>460.33333333333331</v>
      </c>
      <c r="E211" s="116">
        <f t="shared" si="142"/>
        <v>220.03933333333333</v>
      </c>
      <c r="F211" s="14">
        <f t="shared" si="143"/>
        <v>67.587849522007247</v>
      </c>
      <c r="G211" s="13">
        <f t="shared" si="145"/>
        <v>853.61666666666588</v>
      </c>
      <c r="H211" s="15">
        <f t="shared" si="145"/>
        <v>40.666666666666664</v>
      </c>
      <c r="I211" s="13">
        <f t="shared" si="145"/>
        <v>0</v>
      </c>
      <c r="J211" s="16">
        <f t="shared" si="145"/>
        <v>327</v>
      </c>
      <c r="K211" s="15">
        <f t="shared" si="145"/>
        <v>495</v>
      </c>
      <c r="L211" s="14">
        <f t="shared" si="145"/>
        <v>133</v>
      </c>
      <c r="M211" s="13">
        <f t="shared" si="145"/>
        <v>34</v>
      </c>
      <c r="N211" s="52"/>
    </row>
    <row r="212" spans="1:14" outlineLevel="1" x14ac:dyDescent="0.2">
      <c r="A212" s="20">
        <f t="shared" si="140"/>
        <v>11161</v>
      </c>
      <c r="B212" s="19" t="str">
        <f t="shared" si="140"/>
        <v>TAMUCC</v>
      </c>
      <c r="C212" s="18"/>
      <c r="D212" s="15">
        <f t="shared" si="141"/>
        <v>1388.3333333333333</v>
      </c>
      <c r="E212" s="116">
        <f t="shared" si="142"/>
        <v>705.27333333333331</v>
      </c>
      <c r="F212" s="14">
        <f t="shared" si="143"/>
        <v>21.376514062820775</v>
      </c>
      <c r="G212" s="13">
        <f t="shared" si="145"/>
        <v>2804.2000000000139</v>
      </c>
      <c r="H212" s="15">
        <f t="shared" si="145"/>
        <v>266.33333333333331</v>
      </c>
      <c r="I212" s="13">
        <f t="shared" si="145"/>
        <v>25.666666666666668</v>
      </c>
      <c r="J212" s="16">
        <f t="shared" si="145"/>
        <v>1080</v>
      </c>
      <c r="K212" s="15">
        <f t="shared" si="145"/>
        <v>2054</v>
      </c>
      <c r="L212" s="14">
        <f t="shared" si="145"/>
        <v>1468</v>
      </c>
      <c r="M212" s="13">
        <f t="shared" si="145"/>
        <v>878.33333333333337</v>
      </c>
      <c r="N212" s="52"/>
    </row>
    <row r="213" spans="1:14" outlineLevel="1" x14ac:dyDescent="0.2">
      <c r="A213" s="20">
        <f t="shared" si="140"/>
        <v>3639</v>
      </c>
      <c r="B213" s="19" t="str">
        <f t="shared" si="140"/>
        <v>TAMUK</v>
      </c>
      <c r="C213" s="18"/>
      <c r="D213" s="15">
        <f t="shared" si="141"/>
        <v>761.66666666666663</v>
      </c>
      <c r="E213" s="116">
        <f t="shared" si="142"/>
        <v>306.44388888888892</v>
      </c>
      <c r="F213" s="14">
        <f t="shared" si="143"/>
        <v>17.879499217527385</v>
      </c>
      <c r="G213" s="13">
        <f t="shared" si="145"/>
        <v>1763.4533333333395</v>
      </c>
      <c r="H213" s="15">
        <f t="shared" si="145"/>
        <v>260</v>
      </c>
      <c r="I213" s="13">
        <f t="shared" si="145"/>
        <v>16.666666666666668</v>
      </c>
      <c r="J213" s="16">
        <f t="shared" si="145"/>
        <v>648.33333333333337</v>
      </c>
      <c r="K213" s="15">
        <f t="shared" si="145"/>
        <v>1227.3333333333333</v>
      </c>
      <c r="L213" s="14">
        <f t="shared" si="145"/>
        <v>859.66666666666663</v>
      </c>
      <c r="M213" s="13">
        <f t="shared" si="145"/>
        <v>558.66666666666663</v>
      </c>
      <c r="N213" s="52"/>
    </row>
    <row r="214" spans="1:14" outlineLevel="1" x14ac:dyDescent="0.2">
      <c r="A214" s="27">
        <f t="shared" si="140"/>
        <v>103639</v>
      </c>
      <c r="B214" s="19" t="str">
        <f t="shared" si="140"/>
        <v>TAMUSA</v>
      </c>
      <c r="C214" s="18"/>
      <c r="D214" s="15">
        <f t="shared" si="141"/>
        <v>587.66666666666663</v>
      </c>
      <c r="E214" s="116">
        <f t="shared" si="142"/>
        <v>236.43788888888889</v>
      </c>
      <c r="F214" s="14">
        <f t="shared" si="143"/>
        <v>41.598502485370922</v>
      </c>
      <c r="G214" s="13">
        <f t="shared" si="145"/>
        <v>1026.0133333333379</v>
      </c>
      <c r="H214" s="15">
        <f t="shared" si="145"/>
        <v>5</v>
      </c>
      <c r="I214" s="13">
        <f t="shared" si="145"/>
        <v>2</v>
      </c>
      <c r="J214" s="16">
        <f t="shared" si="145"/>
        <v>490.33333333333331</v>
      </c>
      <c r="K214" s="15">
        <f t="shared" si="145"/>
        <v>729.66666666666663</v>
      </c>
      <c r="L214" s="14">
        <f t="shared" si="145"/>
        <v>77.333333333333329</v>
      </c>
      <c r="M214" s="13">
        <f t="shared" si="145"/>
        <v>2.6666666666666665</v>
      </c>
      <c r="N214" s="52"/>
    </row>
    <row r="215" spans="1:14" outlineLevel="1" x14ac:dyDescent="0.2">
      <c r="A215" s="20">
        <f t="shared" si="140"/>
        <v>9651</v>
      </c>
      <c r="B215" s="19" t="str">
        <f t="shared" si="140"/>
        <v>TAMI</v>
      </c>
      <c r="C215" s="18"/>
      <c r="D215" s="15">
        <f t="shared" si="141"/>
        <v>789.66666666666663</v>
      </c>
      <c r="E215" s="116">
        <f t="shared" si="142"/>
        <v>373.77555555555551</v>
      </c>
      <c r="F215" s="14">
        <f t="shared" si="143"/>
        <v>19.326154348180779</v>
      </c>
      <c r="G215" s="13">
        <f t="shared" si="145"/>
        <v>1458.4966666666717</v>
      </c>
      <c r="H215" s="15">
        <f t="shared" si="145"/>
        <v>115.66666666666667</v>
      </c>
      <c r="I215" s="13">
        <f t="shared" si="145"/>
        <v>22.333333333333332</v>
      </c>
      <c r="J215" s="16">
        <f t="shared" si="145"/>
        <v>712.66666666666663</v>
      </c>
      <c r="K215" s="15">
        <f t="shared" si="145"/>
        <v>1406.6666666666667</v>
      </c>
      <c r="L215" s="14">
        <f t="shared" si="145"/>
        <v>1015.6666666666666</v>
      </c>
      <c r="M215" s="13">
        <f t="shared" si="145"/>
        <v>473.66666666666669</v>
      </c>
      <c r="N215" s="52"/>
    </row>
    <row r="216" spans="1:14" outlineLevel="1" x14ac:dyDescent="0.2">
      <c r="A216" s="20">
        <f t="shared" si="140"/>
        <v>3665</v>
      </c>
      <c r="B216" s="19" t="str">
        <f t="shared" si="140"/>
        <v>WTAMU</v>
      </c>
      <c r="C216" s="18"/>
      <c r="D216" s="15">
        <f t="shared" si="141"/>
        <v>1255.6666666666667</v>
      </c>
      <c r="E216" s="116">
        <f t="shared" si="142"/>
        <v>591.00044444444438</v>
      </c>
      <c r="F216" s="14">
        <f t="shared" si="143"/>
        <v>23.187721854032869</v>
      </c>
      <c r="G216" s="13">
        <f t="shared" si="145"/>
        <v>2503.5766666666836</v>
      </c>
      <c r="H216" s="15">
        <f t="shared" si="145"/>
        <v>191.66666666666666</v>
      </c>
      <c r="I216" s="13">
        <f t="shared" si="145"/>
        <v>60.666666666666664</v>
      </c>
      <c r="J216" s="16">
        <f t="shared" si="145"/>
        <v>889.33333333333337</v>
      </c>
      <c r="K216" s="15">
        <f t="shared" si="145"/>
        <v>1791.6666666666667</v>
      </c>
      <c r="L216" s="14">
        <f t="shared" si="145"/>
        <v>1212.6666666666667</v>
      </c>
      <c r="M216" s="13">
        <f t="shared" si="145"/>
        <v>661.33333333333337</v>
      </c>
      <c r="N216" s="52"/>
    </row>
    <row r="217" spans="1:14" outlineLevel="1" x14ac:dyDescent="0.2">
      <c r="A217" s="20">
        <f t="shared" si="140"/>
        <v>3565</v>
      </c>
      <c r="B217" s="19" t="str">
        <f t="shared" si="140"/>
        <v>TAMUC</v>
      </c>
      <c r="C217" s="18"/>
      <c r="D217" s="15">
        <f t="shared" si="141"/>
        <v>1324.3333333333333</v>
      </c>
      <c r="E217" s="116">
        <f t="shared" si="142"/>
        <v>582.70666666666659</v>
      </c>
      <c r="F217" s="14">
        <f t="shared" si="143"/>
        <v>28.19543536269185</v>
      </c>
      <c r="G217" s="13">
        <f t="shared" si="145"/>
        <v>2501.8266666666914</v>
      </c>
      <c r="H217" s="15">
        <f t="shared" si="145"/>
        <v>73</v>
      </c>
      <c r="I217" s="13">
        <f t="shared" si="145"/>
        <v>74.333333333333329</v>
      </c>
      <c r="J217" s="16">
        <f t="shared" si="145"/>
        <v>1019.3333333333334</v>
      </c>
      <c r="K217" s="15">
        <f t="shared" si="145"/>
        <v>1893</v>
      </c>
      <c r="L217" s="14">
        <f t="shared" si="145"/>
        <v>1137.3333333333333</v>
      </c>
      <c r="M217" s="13">
        <f t="shared" si="145"/>
        <v>452.33333333333331</v>
      </c>
      <c r="N217" s="52"/>
    </row>
    <row r="218" spans="1:14" outlineLevel="1" x14ac:dyDescent="0.2">
      <c r="A218" s="20">
        <f t="shared" ref="A218:B235" si="146">A176</f>
        <v>29269</v>
      </c>
      <c r="B218" s="19" t="str">
        <f t="shared" si="146"/>
        <v>TAMUT</v>
      </c>
      <c r="C218" s="18"/>
      <c r="D218" s="15">
        <f t="shared" si="141"/>
        <v>345.66666666666669</v>
      </c>
      <c r="E218" s="116">
        <f t="shared" si="142"/>
        <v>187.3602625468375</v>
      </c>
      <c r="F218" s="14">
        <f t="shared" si="143"/>
        <v>38.766355140186917</v>
      </c>
      <c r="G218" s="13">
        <f t="shared" ref="G218:M227" si="147">AVERAGE(G260,G302,G344)</f>
        <v>619.90999999999826</v>
      </c>
      <c r="H218" s="15">
        <f t="shared" si="147"/>
        <v>41.666666666666664</v>
      </c>
      <c r="I218" s="13">
        <f t="shared" si="147"/>
        <v>19.333333333333332</v>
      </c>
      <c r="J218" s="16">
        <f t="shared" si="147"/>
        <v>239</v>
      </c>
      <c r="K218" s="15">
        <f t="shared" si="147"/>
        <v>432.66666666666669</v>
      </c>
      <c r="L218" s="14">
        <f t="shared" si="147"/>
        <v>181</v>
      </c>
      <c r="M218" s="13">
        <f t="shared" si="147"/>
        <v>0.66666666666666663</v>
      </c>
      <c r="N218" s="52"/>
    </row>
    <row r="219" spans="1:14" outlineLevel="1" x14ac:dyDescent="0.2">
      <c r="A219" s="20">
        <f t="shared" si="146"/>
        <v>3652</v>
      </c>
      <c r="B219" s="19" t="str">
        <f t="shared" si="146"/>
        <v>UH</v>
      </c>
      <c r="C219" s="18"/>
      <c r="D219" s="15">
        <f t="shared" si="141"/>
        <v>5098.666666666667</v>
      </c>
      <c r="E219" s="116">
        <f t="shared" si="142"/>
        <v>2734.5848888888891</v>
      </c>
      <c r="F219" s="14">
        <f t="shared" si="143"/>
        <v>21.425049678026625</v>
      </c>
      <c r="G219" s="13">
        <f t="shared" si="147"/>
        <v>10580.246666665944</v>
      </c>
      <c r="H219" s="15">
        <f t="shared" si="147"/>
        <v>737</v>
      </c>
      <c r="I219" s="13">
        <f t="shared" si="147"/>
        <v>62.666666666666664</v>
      </c>
      <c r="J219" s="16">
        <f t="shared" si="147"/>
        <v>3373</v>
      </c>
      <c r="K219" s="15">
        <f t="shared" si="147"/>
        <v>7602.333333333333</v>
      </c>
      <c r="L219" s="14">
        <f t="shared" si="147"/>
        <v>5690.333333333333</v>
      </c>
      <c r="M219" s="13">
        <f t="shared" si="147"/>
        <v>3307.3333333333335</v>
      </c>
      <c r="N219" s="52"/>
    </row>
    <row r="220" spans="1:14" outlineLevel="1" x14ac:dyDescent="0.2">
      <c r="A220" s="20">
        <f t="shared" si="146"/>
        <v>11711</v>
      </c>
      <c r="B220" s="19" t="str">
        <f t="shared" si="146"/>
        <v>UHCL</v>
      </c>
      <c r="C220" s="18"/>
      <c r="D220" s="15">
        <f t="shared" si="141"/>
        <v>1190.6666666666667</v>
      </c>
      <c r="E220" s="116">
        <f t="shared" si="142"/>
        <v>619.34267935898833</v>
      </c>
      <c r="F220" s="14">
        <f t="shared" si="143"/>
        <v>39.693593314763234</v>
      </c>
      <c r="G220" s="13">
        <f t="shared" si="147"/>
        <v>2282.9533333333529</v>
      </c>
      <c r="H220" s="15">
        <f t="shared" si="147"/>
        <v>106.66666666666667</v>
      </c>
      <c r="I220" s="13">
        <f t="shared" si="147"/>
        <v>8.3333333333333339</v>
      </c>
      <c r="J220" s="16">
        <f t="shared" si="147"/>
        <v>774.33333333333337</v>
      </c>
      <c r="K220" s="15">
        <f t="shared" si="147"/>
        <v>1391.3333333333333</v>
      </c>
      <c r="L220" s="14">
        <f t="shared" si="147"/>
        <v>953.66666666666663</v>
      </c>
      <c r="M220" s="13">
        <f t="shared" si="147"/>
        <v>57</v>
      </c>
      <c r="N220" s="52"/>
    </row>
    <row r="221" spans="1:14" outlineLevel="1" x14ac:dyDescent="0.2">
      <c r="A221" s="20">
        <f t="shared" si="146"/>
        <v>12826</v>
      </c>
      <c r="B221" s="19" t="str">
        <f t="shared" si="146"/>
        <v>UHD</v>
      </c>
      <c r="C221" s="18"/>
      <c r="D221" s="15">
        <f t="shared" si="141"/>
        <v>2382.3333333333335</v>
      </c>
      <c r="E221" s="116">
        <f t="shared" si="142"/>
        <v>452.64333333333343</v>
      </c>
      <c r="F221" s="14">
        <f t="shared" si="143"/>
        <v>29.833031863086134</v>
      </c>
      <c r="G221" s="13">
        <f t="shared" si="147"/>
        <v>4271.3166666667212</v>
      </c>
      <c r="H221" s="15">
        <f t="shared" si="147"/>
        <v>129.66666666666666</v>
      </c>
      <c r="I221" s="13">
        <f t="shared" si="147"/>
        <v>1.6666666666666667</v>
      </c>
      <c r="J221" s="16">
        <f t="shared" si="147"/>
        <v>1681</v>
      </c>
      <c r="K221" s="15">
        <f t="shared" si="147"/>
        <v>3105.3333333333335</v>
      </c>
      <c r="L221" s="14">
        <f t="shared" si="147"/>
        <v>1868.3333333333333</v>
      </c>
      <c r="M221" s="13">
        <f t="shared" si="147"/>
        <v>604.66666666666663</v>
      </c>
      <c r="N221" s="52"/>
    </row>
    <row r="222" spans="1:14" outlineLevel="1" x14ac:dyDescent="0.2">
      <c r="A222" s="20">
        <f t="shared" si="146"/>
        <v>13231</v>
      </c>
      <c r="B222" s="19" t="str">
        <f t="shared" si="146"/>
        <v>UHV</v>
      </c>
      <c r="C222" s="18"/>
      <c r="D222" s="15">
        <f t="shared" si="141"/>
        <v>576.66666666666663</v>
      </c>
      <c r="E222" s="116">
        <f t="shared" si="142"/>
        <v>300.19546283886069</v>
      </c>
      <c r="F222" s="14">
        <f t="shared" si="143"/>
        <v>40.08464889245883</v>
      </c>
      <c r="G222" s="13">
        <f t="shared" si="147"/>
        <v>1084.4800000000012</v>
      </c>
      <c r="H222" s="15">
        <f t="shared" si="147"/>
        <v>108</v>
      </c>
      <c r="I222" s="13">
        <f t="shared" si="147"/>
        <v>7.333333333333333</v>
      </c>
      <c r="J222" s="16">
        <f t="shared" si="147"/>
        <v>384</v>
      </c>
      <c r="K222" s="15">
        <f t="shared" si="147"/>
        <v>716</v>
      </c>
      <c r="L222" s="14">
        <f t="shared" si="147"/>
        <v>296.33333333333331</v>
      </c>
      <c r="M222" s="13">
        <f t="shared" si="147"/>
        <v>6.666666666666667</v>
      </c>
      <c r="N222" s="52"/>
    </row>
    <row r="223" spans="1:14" outlineLevel="1" x14ac:dyDescent="0.2">
      <c r="A223" s="20">
        <f t="shared" si="146"/>
        <v>3592</v>
      </c>
      <c r="B223" s="19" t="str">
        <f t="shared" si="146"/>
        <v>Midwestern</v>
      </c>
      <c r="C223" s="18"/>
      <c r="D223" s="15">
        <f t="shared" si="141"/>
        <v>1031.6666666666667</v>
      </c>
      <c r="E223" s="116">
        <f t="shared" si="142"/>
        <v>453.24555555555554</v>
      </c>
      <c r="F223" s="14">
        <f t="shared" si="143"/>
        <v>24.122522148034601</v>
      </c>
      <c r="G223" s="13">
        <f t="shared" si="147"/>
        <v>1962.0000000000034</v>
      </c>
      <c r="H223" s="15">
        <f t="shared" si="147"/>
        <v>333.33333333333331</v>
      </c>
      <c r="I223" s="13">
        <f t="shared" si="147"/>
        <v>15</v>
      </c>
      <c r="J223" s="16">
        <f t="shared" si="147"/>
        <v>690.33333333333337</v>
      </c>
      <c r="K223" s="15">
        <f t="shared" si="147"/>
        <v>1438</v>
      </c>
      <c r="L223" s="14">
        <f t="shared" si="147"/>
        <v>1046</v>
      </c>
      <c r="M223" s="13">
        <f t="shared" si="147"/>
        <v>679.66666666666663</v>
      </c>
      <c r="N223" s="52"/>
    </row>
    <row r="224" spans="1:14" outlineLevel="1" x14ac:dyDescent="0.2">
      <c r="A224" s="20">
        <f t="shared" si="146"/>
        <v>3594</v>
      </c>
      <c r="B224" s="19" t="str">
        <f t="shared" si="146"/>
        <v>UNT</v>
      </c>
      <c r="C224" s="18"/>
      <c r="D224" s="15">
        <f t="shared" si="141"/>
        <v>6016.666666666667</v>
      </c>
      <c r="E224" s="116">
        <f t="shared" si="142"/>
        <v>3467.6055555555558</v>
      </c>
      <c r="F224" s="14">
        <f t="shared" si="143"/>
        <v>25.886944566084125</v>
      </c>
      <c r="G224" s="13">
        <f t="shared" si="147"/>
        <v>11411.553333332529</v>
      </c>
      <c r="H224" s="15">
        <f t="shared" si="147"/>
        <v>336.66666666666669</v>
      </c>
      <c r="I224" s="13">
        <f t="shared" si="147"/>
        <v>43.333333333333336</v>
      </c>
      <c r="J224" s="16">
        <f t="shared" si="147"/>
        <v>3820</v>
      </c>
      <c r="K224" s="15">
        <f t="shared" si="147"/>
        <v>7864.666666666667</v>
      </c>
      <c r="L224" s="14">
        <f t="shared" si="147"/>
        <v>5642.333333333333</v>
      </c>
      <c r="M224" s="13">
        <f t="shared" si="147"/>
        <v>3337</v>
      </c>
      <c r="N224" s="52"/>
    </row>
    <row r="225" spans="1:14" outlineLevel="1" x14ac:dyDescent="0.2">
      <c r="A225" s="27">
        <f t="shared" si="146"/>
        <v>113594</v>
      </c>
      <c r="B225" s="19" t="str">
        <f t="shared" si="146"/>
        <v>UNTD</v>
      </c>
      <c r="C225" s="18"/>
      <c r="D225" s="15">
        <f t="shared" si="141"/>
        <v>403.5</v>
      </c>
      <c r="E225" s="116">
        <f t="shared" si="142"/>
        <v>233.02125000000001</v>
      </c>
      <c r="F225" s="14">
        <f t="shared" si="143"/>
        <v>42.647266065388948</v>
      </c>
      <c r="G225" s="13">
        <f t="shared" si="147"/>
        <v>705.85999999999717</v>
      </c>
      <c r="H225" s="15">
        <f t="shared" si="147"/>
        <v>12</v>
      </c>
      <c r="I225" s="13">
        <f t="shared" si="147"/>
        <v>0</v>
      </c>
      <c r="J225" s="16">
        <f t="shared" si="147"/>
        <v>308.5</v>
      </c>
      <c r="K225" s="15">
        <f t="shared" si="147"/>
        <v>478</v>
      </c>
      <c r="L225" s="14">
        <f t="shared" si="147"/>
        <v>71.5</v>
      </c>
      <c r="M225" s="13">
        <f t="shared" si="147"/>
        <v>11</v>
      </c>
      <c r="N225" s="52"/>
    </row>
    <row r="226" spans="1:14" outlineLevel="1" x14ac:dyDescent="0.2">
      <c r="A226" s="20">
        <f t="shared" si="146"/>
        <v>3624</v>
      </c>
      <c r="B226" s="19" t="str">
        <f t="shared" si="146"/>
        <v>SFA</v>
      </c>
      <c r="C226" s="18"/>
      <c r="D226" s="15">
        <f t="shared" si="141"/>
        <v>1921.6666666666667</v>
      </c>
      <c r="E226" s="116">
        <f t="shared" si="142"/>
        <v>1064.6033333333332</v>
      </c>
      <c r="F226" s="14">
        <f t="shared" si="143"/>
        <v>20.257544310083915</v>
      </c>
      <c r="G226" s="13">
        <f t="shared" si="147"/>
        <v>3721.736666666669</v>
      </c>
      <c r="H226" s="15">
        <f t="shared" si="147"/>
        <v>248</v>
      </c>
      <c r="I226" s="13">
        <f t="shared" si="147"/>
        <v>44.666666666666664</v>
      </c>
      <c r="J226" s="16">
        <f t="shared" si="147"/>
        <v>1460.3333333333333</v>
      </c>
      <c r="K226" s="15">
        <f t="shared" si="147"/>
        <v>2769.3333333333335</v>
      </c>
      <c r="L226" s="14">
        <f t="shared" si="147"/>
        <v>2075</v>
      </c>
      <c r="M226" s="13">
        <f t="shared" si="147"/>
        <v>1397.3333333333333</v>
      </c>
      <c r="N226" s="52"/>
    </row>
    <row r="227" spans="1:14" outlineLevel="1" x14ac:dyDescent="0.2">
      <c r="A227" s="20">
        <f t="shared" si="146"/>
        <v>3642</v>
      </c>
      <c r="B227" s="19" t="str">
        <f t="shared" si="146"/>
        <v>TSU</v>
      </c>
      <c r="C227" s="18"/>
      <c r="D227" s="15">
        <f t="shared" si="141"/>
        <v>758.33333333333337</v>
      </c>
      <c r="E227" s="116">
        <f t="shared" si="142"/>
        <v>108.94722222222221</v>
      </c>
      <c r="F227" s="14">
        <f t="shared" si="143"/>
        <v>12.933681010892716</v>
      </c>
      <c r="G227" s="13">
        <f t="shared" si="147"/>
        <v>1488.6533333333352</v>
      </c>
      <c r="H227" s="15">
        <f t="shared" si="147"/>
        <v>134.33333333333334</v>
      </c>
      <c r="I227" s="13">
        <f t="shared" si="147"/>
        <v>3</v>
      </c>
      <c r="J227" s="16">
        <f t="shared" si="147"/>
        <v>666.33333333333337</v>
      </c>
      <c r="K227" s="15">
        <f t="shared" si="147"/>
        <v>1637.3333333333333</v>
      </c>
      <c r="L227" s="14">
        <f t="shared" si="147"/>
        <v>1133</v>
      </c>
      <c r="M227" s="13">
        <f t="shared" si="147"/>
        <v>848.66666666666663</v>
      </c>
      <c r="N227" s="52"/>
    </row>
    <row r="228" spans="1:14" outlineLevel="1" x14ac:dyDescent="0.2">
      <c r="A228" s="20">
        <f t="shared" si="146"/>
        <v>3644</v>
      </c>
      <c r="B228" s="19" t="str">
        <f t="shared" si="146"/>
        <v>TTU</v>
      </c>
      <c r="C228" s="18"/>
      <c r="D228" s="15">
        <f t="shared" si="141"/>
        <v>4674</v>
      </c>
      <c r="E228" s="116">
        <f t="shared" si="142"/>
        <v>3421.3679999999995</v>
      </c>
      <c r="F228" s="14">
        <f t="shared" si="143"/>
        <v>21.061243127033354</v>
      </c>
      <c r="G228" s="13">
        <f t="shared" ref="G228:M235" si="148">AVERAGE(G270,G312,G354)</f>
        <v>10128.113333332682</v>
      </c>
      <c r="H228" s="15">
        <f t="shared" si="148"/>
        <v>727.33333333333337</v>
      </c>
      <c r="I228" s="13">
        <f t="shared" si="148"/>
        <v>57.333333333333336</v>
      </c>
      <c r="J228" s="16">
        <f t="shared" si="148"/>
        <v>2778</v>
      </c>
      <c r="K228" s="15">
        <f t="shared" si="148"/>
        <v>6485.333333333333</v>
      </c>
      <c r="L228" s="14">
        <f t="shared" si="148"/>
        <v>5278.333333333333</v>
      </c>
      <c r="M228" s="13">
        <f t="shared" si="148"/>
        <v>3945.6666666666665</v>
      </c>
      <c r="N228" s="52"/>
    </row>
    <row r="229" spans="1:14" outlineLevel="1" x14ac:dyDescent="0.2">
      <c r="A229" s="20">
        <f t="shared" si="146"/>
        <v>3541</v>
      </c>
      <c r="B229" s="19" t="str">
        <f t="shared" si="146"/>
        <v>Angelo</v>
      </c>
      <c r="C229" s="18"/>
      <c r="D229" s="15">
        <f t="shared" si="141"/>
        <v>991.33333333333337</v>
      </c>
      <c r="E229" s="116">
        <f t="shared" si="142"/>
        <v>425.94288888888889</v>
      </c>
      <c r="F229" s="14">
        <f t="shared" si="143"/>
        <v>20.305700708264297</v>
      </c>
      <c r="G229" s="13">
        <f t="shared" si="148"/>
        <v>1977.3500000000051</v>
      </c>
      <c r="H229" s="15">
        <f t="shared" si="148"/>
        <v>254.33333333333334</v>
      </c>
      <c r="I229" s="13">
        <f t="shared" si="148"/>
        <v>19.333333333333332</v>
      </c>
      <c r="J229" s="16">
        <f t="shared" si="148"/>
        <v>723</v>
      </c>
      <c r="K229" s="15">
        <f t="shared" si="148"/>
        <v>1438.6666666666667</v>
      </c>
      <c r="L229" s="14">
        <f t="shared" si="148"/>
        <v>1033.6666666666667</v>
      </c>
      <c r="M229" s="13">
        <f t="shared" si="148"/>
        <v>707.66666666666663</v>
      </c>
      <c r="N229" s="52"/>
    </row>
    <row r="230" spans="1:14" outlineLevel="1" x14ac:dyDescent="0.2">
      <c r="A230" s="20">
        <f t="shared" si="146"/>
        <v>3646</v>
      </c>
      <c r="B230" s="19" t="str">
        <f t="shared" si="146"/>
        <v>TWU</v>
      </c>
      <c r="C230" s="18"/>
      <c r="D230" s="15">
        <f t="shared" si="141"/>
        <v>1806</v>
      </c>
      <c r="E230" s="116">
        <f t="shared" si="142"/>
        <v>945.74200000000008</v>
      </c>
      <c r="F230" s="14">
        <f t="shared" si="143"/>
        <v>27.545604295039961</v>
      </c>
      <c r="G230" s="13">
        <f t="shared" si="148"/>
        <v>3452.1766666666658</v>
      </c>
      <c r="H230" s="15">
        <f t="shared" si="148"/>
        <v>569.33333333333337</v>
      </c>
      <c r="I230" s="13">
        <f t="shared" si="148"/>
        <v>31.666666666666668</v>
      </c>
      <c r="J230" s="16">
        <f t="shared" si="148"/>
        <v>1247</v>
      </c>
      <c r="K230" s="15">
        <f t="shared" si="148"/>
        <v>2196</v>
      </c>
      <c r="L230" s="14">
        <f t="shared" si="148"/>
        <v>1292.3333333333333</v>
      </c>
      <c r="M230" s="13">
        <f t="shared" si="148"/>
        <v>659.66666666666663</v>
      </c>
      <c r="N230" s="52"/>
    </row>
    <row r="231" spans="1:14" outlineLevel="1" x14ac:dyDescent="0.2">
      <c r="A231" s="20">
        <f t="shared" si="146"/>
        <v>3581</v>
      </c>
      <c r="B231" s="19" t="str">
        <f t="shared" si="146"/>
        <v>Lamar</v>
      </c>
      <c r="C231" s="18"/>
      <c r="D231" s="15">
        <f t="shared" si="141"/>
        <v>1335.3333333333333</v>
      </c>
      <c r="E231" s="116">
        <f t="shared" si="142"/>
        <v>467.81177777777776</v>
      </c>
      <c r="F231" s="14">
        <f t="shared" si="143"/>
        <v>18.354929164452098</v>
      </c>
      <c r="G231" s="13">
        <f t="shared" si="148"/>
        <v>2684.9000000000165</v>
      </c>
      <c r="H231" s="15">
        <f t="shared" si="148"/>
        <v>330</v>
      </c>
      <c r="I231" s="13">
        <f t="shared" si="148"/>
        <v>17</v>
      </c>
      <c r="J231" s="16">
        <f t="shared" si="148"/>
        <v>948.66666666666663</v>
      </c>
      <c r="K231" s="15">
        <f t="shared" si="148"/>
        <v>2144.6666666666665</v>
      </c>
      <c r="L231" s="14">
        <f t="shared" si="148"/>
        <v>1489</v>
      </c>
      <c r="M231" s="13">
        <f t="shared" si="148"/>
        <v>1011</v>
      </c>
      <c r="N231" s="52"/>
    </row>
    <row r="232" spans="1:14" outlineLevel="1" x14ac:dyDescent="0.2">
      <c r="A232" s="20">
        <f t="shared" si="146"/>
        <v>3606</v>
      </c>
      <c r="B232" s="19" t="str">
        <f t="shared" si="146"/>
        <v>SHSU</v>
      </c>
      <c r="C232" s="18"/>
      <c r="D232" s="15">
        <f t="shared" si="141"/>
        <v>3077.6666666666665</v>
      </c>
      <c r="E232" s="116">
        <f t="shared" si="142"/>
        <v>1805.5644444444445</v>
      </c>
      <c r="F232" s="14">
        <f t="shared" si="143"/>
        <v>24.475654239301015</v>
      </c>
      <c r="G232" s="13">
        <f t="shared" si="148"/>
        <v>5837.0766666667887</v>
      </c>
      <c r="H232" s="15">
        <f t="shared" si="148"/>
        <v>167</v>
      </c>
      <c r="I232" s="13">
        <f t="shared" si="148"/>
        <v>61</v>
      </c>
      <c r="J232" s="16">
        <f t="shared" si="148"/>
        <v>2213.6666666666665</v>
      </c>
      <c r="K232" s="15">
        <f t="shared" si="148"/>
        <v>3894.3333333333335</v>
      </c>
      <c r="L232" s="14">
        <f t="shared" si="148"/>
        <v>2965.3333333333335</v>
      </c>
      <c r="M232" s="13">
        <f t="shared" si="148"/>
        <v>1763.3333333333333</v>
      </c>
    </row>
    <row r="233" spans="1:14" outlineLevel="1" x14ac:dyDescent="0.2">
      <c r="A233" s="20">
        <f t="shared" si="146"/>
        <v>3615</v>
      </c>
      <c r="B233" s="19" t="str">
        <f t="shared" si="146"/>
        <v>TXST</v>
      </c>
      <c r="C233" s="18"/>
      <c r="D233" s="15">
        <f t="shared" si="141"/>
        <v>5361</v>
      </c>
      <c r="E233" s="116">
        <f t="shared" si="142"/>
        <v>3393.5129999999999</v>
      </c>
      <c r="F233" s="14">
        <f t="shared" si="143"/>
        <v>23.406891519786395</v>
      </c>
      <c r="G233" s="13">
        <f t="shared" si="148"/>
        <v>10437.309999999357</v>
      </c>
      <c r="H233" s="15">
        <f t="shared" si="148"/>
        <v>488.66666666666669</v>
      </c>
      <c r="I233" s="13">
        <f t="shared" si="148"/>
        <v>66.666666666666671</v>
      </c>
      <c r="J233" s="16">
        <f t="shared" si="148"/>
        <v>3675.3333333333335</v>
      </c>
      <c r="K233" s="15">
        <f t="shared" si="148"/>
        <v>7470.333333333333</v>
      </c>
      <c r="L233" s="14">
        <f t="shared" si="148"/>
        <v>5579</v>
      </c>
      <c r="M233" s="13">
        <f t="shared" si="148"/>
        <v>3317.3333333333335</v>
      </c>
    </row>
    <row r="234" spans="1:14" outlineLevel="1" x14ac:dyDescent="0.2">
      <c r="A234" s="20">
        <f t="shared" si="146"/>
        <v>3625</v>
      </c>
      <c r="B234" s="19" t="str">
        <f t="shared" si="146"/>
        <v>SRSU</v>
      </c>
      <c r="C234" s="18"/>
      <c r="D234" s="15">
        <f t="shared" si="141"/>
        <v>189.33333333333334</v>
      </c>
      <c r="E234" s="116">
        <f t="shared" si="142"/>
        <v>56.989333333333335</v>
      </c>
      <c r="F234" s="14">
        <f t="shared" si="143"/>
        <v>15.518843008324076</v>
      </c>
      <c r="G234" s="13">
        <f t="shared" si="148"/>
        <v>394.32999999999964</v>
      </c>
      <c r="H234" s="15">
        <f t="shared" si="148"/>
        <v>12.666666666666666</v>
      </c>
      <c r="I234" s="13">
        <f t="shared" si="148"/>
        <v>6.333333333333333</v>
      </c>
      <c r="J234" s="16">
        <f t="shared" si="148"/>
        <v>163</v>
      </c>
      <c r="K234" s="15">
        <f t="shared" si="148"/>
        <v>300</v>
      </c>
      <c r="L234" s="14">
        <f t="shared" si="148"/>
        <v>193.66666666666666</v>
      </c>
      <c r="M234" s="13">
        <f t="shared" si="148"/>
        <v>131.66666666666666</v>
      </c>
      <c r="N234" s="41"/>
    </row>
    <row r="235" spans="1:14" outlineLevel="1" x14ac:dyDescent="0.2">
      <c r="A235" s="20">
        <f t="shared" si="146"/>
        <v>20</v>
      </c>
      <c r="B235" s="19" t="str">
        <f t="shared" si="146"/>
        <v>SRRG</v>
      </c>
      <c r="C235" s="18"/>
      <c r="D235" s="15">
        <f t="shared" si="141"/>
        <v>161.66666666666666</v>
      </c>
      <c r="E235" s="116">
        <f t="shared" si="142"/>
        <v>51.365976618337754</v>
      </c>
      <c r="F235" s="14">
        <f t="shared" si="143"/>
        <v>36.596408270033706</v>
      </c>
      <c r="G235" s="13">
        <f t="shared" si="148"/>
        <v>279.16999999999979</v>
      </c>
      <c r="H235" s="15">
        <f t="shared" si="148"/>
        <v>6.333333333333333</v>
      </c>
      <c r="I235" s="13">
        <f t="shared" si="148"/>
        <v>5.666666666666667</v>
      </c>
      <c r="J235" s="16">
        <f t="shared" si="148"/>
        <v>144</v>
      </c>
      <c r="K235" s="15">
        <f t="shared" si="148"/>
        <v>230</v>
      </c>
      <c r="L235" s="14">
        <f t="shared" si="148"/>
        <v>92.666666666666671</v>
      </c>
      <c r="M235" s="13">
        <f t="shared" si="148"/>
        <v>4.333333333333333</v>
      </c>
    </row>
    <row r="236" spans="1:14" ht="13.5" outlineLevel="1" thickBot="1" x14ac:dyDescent="0.25">
      <c r="A236" s="12"/>
      <c r="B236" s="11" t="s">
        <v>11</v>
      </c>
      <c r="C236" s="10"/>
      <c r="D236" s="9">
        <f t="shared" ref="D236:M236" si="149">SUM(D198:D235)</f>
        <v>84315.833333333314</v>
      </c>
      <c r="E236" s="117">
        <f t="shared" si="149"/>
        <v>49031.80588920939</v>
      </c>
      <c r="F236" s="7">
        <f t="shared" si="149"/>
        <v>1017.4700431877567</v>
      </c>
      <c r="G236" s="3">
        <f t="shared" si="149"/>
        <v>172461.13999999844</v>
      </c>
      <c r="H236" s="5">
        <f t="shared" si="149"/>
        <v>13953.333333333332</v>
      </c>
      <c r="I236" s="3">
        <f t="shared" si="149"/>
        <v>1198.3333333333335</v>
      </c>
      <c r="J236" s="6">
        <f t="shared" si="149"/>
        <v>54446.500000000007</v>
      </c>
      <c r="K236" s="5">
        <f t="shared" si="149"/>
        <v>114212.66666666664</v>
      </c>
      <c r="L236" s="4">
        <f t="shared" si="149"/>
        <v>82344.5</v>
      </c>
      <c r="M236" s="3">
        <f t="shared" si="149"/>
        <v>50801.999999999993</v>
      </c>
    </row>
    <row r="237" spans="1:14" ht="13.5" thickBot="1" x14ac:dyDescent="0.25">
      <c r="A237" s="42" t="s">
        <v>27</v>
      </c>
      <c r="B237" s="42"/>
      <c r="C237" s="42"/>
      <c r="D237" s="51"/>
      <c r="F237" s="51"/>
      <c r="J237" s="51"/>
    </row>
    <row r="238" spans="1:14" ht="12.75" customHeight="1" outlineLevel="1" x14ac:dyDescent="0.2">
      <c r="A238" s="234" t="s">
        <v>24</v>
      </c>
      <c r="B238" s="236" t="s">
        <v>23</v>
      </c>
      <c r="C238" s="238"/>
      <c r="D238" s="240" t="s">
        <v>28</v>
      </c>
      <c r="E238" s="242" t="s">
        <v>21</v>
      </c>
      <c r="F238" s="236" t="s">
        <v>20</v>
      </c>
      <c r="G238" s="221" t="s">
        <v>19</v>
      </c>
      <c r="H238" s="223" t="s">
        <v>18</v>
      </c>
      <c r="I238" s="225" t="s">
        <v>17</v>
      </c>
      <c r="J238" s="227" t="s">
        <v>16</v>
      </c>
      <c r="K238" s="229" t="s">
        <v>15</v>
      </c>
      <c r="L238" s="230"/>
      <c r="M238" s="231"/>
    </row>
    <row r="239" spans="1:14" s="41" customFormat="1" ht="36" customHeight="1" outlineLevel="1" thickBot="1" x14ac:dyDescent="0.25">
      <c r="A239" s="235"/>
      <c r="B239" s="237"/>
      <c r="C239" s="239"/>
      <c r="D239" s="241"/>
      <c r="E239" s="243"/>
      <c r="F239" s="237"/>
      <c r="G239" s="222"/>
      <c r="H239" s="224"/>
      <c r="I239" s="226"/>
      <c r="J239" s="228"/>
      <c r="K239" s="188" t="s">
        <v>14</v>
      </c>
      <c r="L239" s="189" t="s">
        <v>13</v>
      </c>
      <c r="M239" s="190" t="s">
        <v>12</v>
      </c>
      <c r="N239" s="1"/>
    </row>
    <row r="240" spans="1:14" outlineLevel="1" x14ac:dyDescent="0.2">
      <c r="A240" s="40">
        <f t="shared" ref="A240:B259" si="150">A198</f>
        <v>3656</v>
      </c>
      <c r="B240" s="39" t="str">
        <f t="shared" si="150"/>
        <v>UTA</v>
      </c>
      <c r="C240" s="38"/>
      <c r="D240" s="33">
        <v>5773</v>
      </c>
      <c r="E240" s="37">
        <v>0.55500000000000005</v>
      </c>
      <c r="F240" s="32">
        <v>17781.466666666667</v>
      </c>
      <c r="G240" s="48">
        <v>12087.560000000249</v>
      </c>
      <c r="H240" s="36">
        <v>2140</v>
      </c>
      <c r="I240" s="35">
        <v>43</v>
      </c>
      <c r="J240" s="34">
        <v>3528</v>
      </c>
      <c r="K240" s="50">
        <v>6893</v>
      </c>
      <c r="L240" s="49">
        <v>3962</v>
      </c>
      <c r="M240" s="48">
        <v>1894</v>
      </c>
    </row>
    <row r="241" spans="1:13" outlineLevel="1" x14ac:dyDescent="0.2">
      <c r="A241" s="20">
        <f t="shared" si="150"/>
        <v>3658</v>
      </c>
      <c r="B241" s="19" t="str">
        <f t="shared" si="150"/>
        <v>UT</v>
      </c>
      <c r="C241" s="18"/>
      <c r="D241" s="15">
        <v>8860</v>
      </c>
      <c r="E241" s="21">
        <v>0.82499999999999996</v>
      </c>
      <c r="F241" s="14">
        <v>33841.466666666667</v>
      </c>
      <c r="G241" s="28">
        <v>19542.67999999996</v>
      </c>
      <c r="H241" s="15">
        <v>1981</v>
      </c>
      <c r="I241" s="13">
        <v>83</v>
      </c>
      <c r="J241" s="16">
        <v>3501</v>
      </c>
      <c r="K241" s="30">
        <v>9260</v>
      </c>
      <c r="L241" s="29">
        <v>8373</v>
      </c>
      <c r="M241" s="28">
        <v>6348</v>
      </c>
    </row>
    <row r="242" spans="1:13" outlineLevel="1" x14ac:dyDescent="0.2">
      <c r="A242" s="20">
        <f t="shared" si="150"/>
        <v>9741</v>
      </c>
      <c r="B242" s="19" t="str">
        <f t="shared" si="150"/>
        <v>UTD</v>
      </c>
      <c r="C242" s="18"/>
      <c r="D242" s="15">
        <v>2510</v>
      </c>
      <c r="E242" s="21">
        <v>0.71900000000000008</v>
      </c>
      <c r="F242" s="14">
        <v>9826.5333333333328</v>
      </c>
      <c r="G242" s="28">
        <v>5443.8700000002518</v>
      </c>
      <c r="H242" s="15">
        <v>449</v>
      </c>
      <c r="I242" s="13">
        <v>33</v>
      </c>
      <c r="J242" s="16">
        <v>1410</v>
      </c>
      <c r="K242" s="30">
        <v>3522</v>
      </c>
      <c r="L242" s="29">
        <v>2348</v>
      </c>
      <c r="M242" s="28">
        <v>1065</v>
      </c>
    </row>
    <row r="243" spans="1:13" outlineLevel="1" x14ac:dyDescent="0.2">
      <c r="A243" s="20">
        <f t="shared" si="150"/>
        <v>3661</v>
      </c>
      <c r="B243" s="19" t="str">
        <f t="shared" si="150"/>
        <v>UTEP</v>
      </c>
      <c r="C243" s="18"/>
      <c r="D243" s="15">
        <v>3132</v>
      </c>
      <c r="E243" s="21">
        <v>0.41200000000000003</v>
      </c>
      <c r="F243" s="14">
        <v>13931.066666666668</v>
      </c>
      <c r="G243" s="28">
        <v>6456.0600000003096</v>
      </c>
      <c r="H243" s="15">
        <v>643</v>
      </c>
      <c r="I243" s="13">
        <v>86</v>
      </c>
      <c r="J243" s="16">
        <v>2590</v>
      </c>
      <c r="K243" s="30">
        <v>4400</v>
      </c>
      <c r="L243" s="29">
        <v>3304</v>
      </c>
      <c r="M243" s="28">
        <v>1986</v>
      </c>
    </row>
    <row r="244" spans="1:13" outlineLevel="1" x14ac:dyDescent="0.2">
      <c r="A244" s="20">
        <f t="shared" si="150"/>
        <v>3599</v>
      </c>
      <c r="B244" s="19" t="str">
        <f t="shared" si="150"/>
        <v>UTPA</v>
      </c>
      <c r="C244" s="18"/>
      <c r="D244" s="15">
        <v>2462</v>
      </c>
      <c r="E244" s="21">
        <v>0.44</v>
      </c>
      <c r="F244" s="14">
        <v>12698.333333333334</v>
      </c>
      <c r="G244" s="28">
        <v>5000.2800000001325</v>
      </c>
      <c r="H244" s="15">
        <v>547</v>
      </c>
      <c r="I244" s="13">
        <v>19</v>
      </c>
      <c r="J244" s="16">
        <v>2247</v>
      </c>
      <c r="K244" s="30">
        <v>3730</v>
      </c>
      <c r="L244" s="29">
        <v>2862</v>
      </c>
      <c r="M244" s="28">
        <v>1896</v>
      </c>
    </row>
    <row r="245" spans="1:13" outlineLevel="1" x14ac:dyDescent="0.2">
      <c r="A245" s="20">
        <f t="shared" si="150"/>
        <v>30646</v>
      </c>
      <c r="B245" s="19" t="str">
        <f t="shared" si="150"/>
        <v>UTB</v>
      </c>
      <c r="C245" s="18"/>
      <c r="D245" s="15">
        <v>1149</v>
      </c>
      <c r="E245" s="17">
        <v>0.52783109404990403</v>
      </c>
      <c r="F245" s="14">
        <v>3400.5333333333333</v>
      </c>
      <c r="G245" s="28">
        <v>2236.3100000000127</v>
      </c>
      <c r="H245" s="15">
        <v>133</v>
      </c>
      <c r="I245" s="13">
        <v>21</v>
      </c>
      <c r="J245" s="16">
        <v>978</v>
      </c>
      <c r="K245" s="30">
        <v>1243</v>
      </c>
      <c r="L245" s="29">
        <v>486</v>
      </c>
      <c r="M245" s="28">
        <v>99</v>
      </c>
    </row>
    <row r="246" spans="1:13" outlineLevel="1" x14ac:dyDescent="0.2">
      <c r="A246" s="20">
        <f t="shared" si="150"/>
        <v>9930</v>
      </c>
      <c r="B246" s="19" t="str">
        <f t="shared" si="150"/>
        <v>UTPB</v>
      </c>
      <c r="C246" s="18"/>
      <c r="D246" s="15">
        <v>546</v>
      </c>
      <c r="E246" s="21">
        <v>0.47899999999999998</v>
      </c>
      <c r="F246" s="14">
        <v>2343.2666666666669</v>
      </c>
      <c r="G246" s="28">
        <v>1054.6599999999951</v>
      </c>
      <c r="H246" s="15">
        <v>51</v>
      </c>
      <c r="I246" s="13">
        <v>7</v>
      </c>
      <c r="J246" s="16">
        <v>411</v>
      </c>
      <c r="K246" s="30">
        <v>742</v>
      </c>
      <c r="L246" s="29">
        <v>535</v>
      </c>
      <c r="M246" s="28">
        <v>210</v>
      </c>
    </row>
    <row r="247" spans="1:13" outlineLevel="1" x14ac:dyDescent="0.2">
      <c r="A247" s="20">
        <f t="shared" si="150"/>
        <v>10115</v>
      </c>
      <c r="B247" s="19" t="str">
        <f t="shared" si="150"/>
        <v>UTSA</v>
      </c>
      <c r="C247" s="18"/>
      <c r="D247" s="15">
        <v>4243</v>
      </c>
      <c r="E247" s="21">
        <v>0.43099999999999999</v>
      </c>
      <c r="F247" s="14">
        <v>21066.866666666665</v>
      </c>
      <c r="G247" s="28">
        <v>8736.7000000001954</v>
      </c>
      <c r="H247" s="15">
        <v>407</v>
      </c>
      <c r="I247" s="13">
        <v>63</v>
      </c>
      <c r="J247" s="16">
        <v>3204</v>
      </c>
      <c r="K247" s="30">
        <v>6815</v>
      </c>
      <c r="L247" s="29">
        <v>4371</v>
      </c>
      <c r="M247" s="28">
        <v>2560</v>
      </c>
    </row>
    <row r="248" spans="1:13" outlineLevel="1" x14ac:dyDescent="0.2">
      <c r="A248" s="20">
        <f t="shared" si="150"/>
        <v>11163</v>
      </c>
      <c r="B248" s="19" t="str">
        <f t="shared" si="150"/>
        <v>UTT</v>
      </c>
      <c r="C248" s="18"/>
      <c r="D248" s="15">
        <v>1144</v>
      </c>
      <c r="E248" s="21">
        <v>0.51800000000000002</v>
      </c>
      <c r="F248" s="14">
        <v>4086.7333333333331</v>
      </c>
      <c r="G248" s="28">
        <v>2263.8699999999944</v>
      </c>
      <c r="H248" s="15">
        <v>392</v>
      </c>
      <c r="I248" s="13">
        <v>23</v>
      </c>
      <c r="J248" s="16">
        <v>886</v>
      </c>
      <c r="K248" s="30">
        <v>1409</v>
      </c>
      <c r="L248" s="29">
        <v>844</v>
      </c>
      <c r="M248" s="28">
        <v>383</v>
      </c>
    </row>
    <row r="249" spans="1:13" outlineLevel="1" x14ac:dyDescent="0.2">
      <c r="A249" s="20">
        <f t="shared" si="150"/>
        <v>3632</v>
      </c>
      <c r="B249" s="19" t="str">
        <f t="shared" si="150"/>
        <v>TAMU</v>
      </c>
      <c r="C249" s="18"/>
      <c r="D249" s="15">
        <v>9020</v>
      </c>
      <c r="E249" s="21">
        <v>0.84200000000000008</v>
      </c>
      <c r="F249" s="14">
        <v>35116.666666666664</v>
      </c>
      <c r="G249" s="28">
        <v>21108.189999999984</v>
      </c>
      <c r="H249" s="15">
        <v>1934</v>
      </c>
      <c r="I249" s="13">
        <v>137</v>
      </c>
      <c r="J249" s="16">
        <v>3915</v>
      </c>
      <c r="K249" s="30">
        <v>10547</v>
      </c>
      <c r="L249" s="29">
        <v>8924</v>
      </c>
      <c r="M249" s="28">
        <v>6938</v>
      </c>
    </row>
    <row r="250" spans="1:13" outlineLevel="1" x14ac:dyDescent="0.2">
      <c r="A250" s="20">
        <f t="shared" si="150"/>
        <v>10298</v>
      </c>
      <c r="B250" s="19" t="str">
        <f t="shared" si="150"/>
        <v>TAMUG</v>
      </c>
      <c r="C250" s="18"/>
      <c r="D250" s="15">
        <v>314</v>
      </c>
      <c r="E250" s="21">
        <v>0.626</v>
      </c>
      <c r="F250" s="14">
        <v>1769.4666666666667</v>
      </c>
      <c r="G250" s="28">
        <v>826.3399999999923</v>
      </c>
      <c r="H250" s="15">
        <v>46</v>
      </c>
      <c r="I250" s="13">
        <v>0</v>
      </c>
      <c r="J250" s="16">
        <v>186</v>
      </c>
      <c r="K250" s="30">
        <v>607</v>
      </c>
      <c r="L250" s="29">
        <v>296</v>
      </c>
      <c r="M250" s="28">
        <v>263</v>
      </c>
    </row>
    <row r="251" spans="1:13" outlineLevel="1" x14ac:dyDescent="0.2">
      <c r="A251" s="20">
        <f t="shared" si="150"/>
        <v>3630</v>
      </c>
      <c r="B251" s="19" t="str">
        <f t="shared" si="150"/>
        <v>Prairie View</v>
      </c>
      <c r="C251" s="18"/>
      <c r="D251" s="15">
        <v>1026</v>
      </c>
      <c r="E251" s="21">
        <v>0.40299999999999997</v>
      </c>
      <c r="F251" s="14">
        <v>5822.8</v>
      </c>
      <c r="G251" s="28">
        <v>2288.9700000000062</v>
      </c>
      <c r="H251" s="15">
        <v>373</v>
      </c>
      <c r="I251" s="13">
        <v>11</v>
      </c>
      <c r="J251" s="16">
        <v>877</v>
      </c>
      <c r="K251" s="30">
        <v>1701</v>
      </c>
      <c r="L251" s="29">
        <v>1132</v>
      </c>
      <c r="M251" s="28">
        <v>871</v>
      </c>
    </row>
    <row r="252" spans="1:13" outlineLevel="1" x14ac:dyDescent="0.2">
      <c r="A252" s="20">
        <f t="shared" si="150"/>
        <v>3631</v>
      </c>
      <c r="B252" s="19" t="str">
        <f t="shared" si="150"/>
        <v>Tarleton</v>
      </c>
      <c r="C252" s="18"/>
      <c r="D252" s="15">
        <v>1662</v>
      </c>
      <c r="E252" s="21">
        <v>0.47600000000000003</v>
      </c>
      <c r="F252" s="14">
        <v>6766.4</v>
      </c>
      <c r="G252" s="28">
        <v>3337.2399999999966</v>
      </c>
      <c r="H252" s="15">
        <v>229</v>
      </c>
      <c r="I252" s="13">
        <v>49</v>
      </c>
      <c r="J252" s="16">
        <v>1296</v>
      </c>
      <c r="K252" s="30">
        <v>2227</v>
      </c>
      <c r="L252" s="29">
        <v>1216</v>
      </c>
      <c r="M252" s="28">
        <v>845</v>
      </c>
    </row>
    <row r="253" spans="1:13" outlineLevel="1" x14ac:dyDescent="0.2">
      <c r="A253" s="27">
        <f t="shared" si="150"/>
        <v>103631</v>
      </c>
      <c r="B253" s="19" t="str">
        <f t="shared" si="150"/>
        <v>TAMUCT</v>
      </c>
      <c r="C253" s="18"/>
      <c r="D253" s="15">
        <v>469</v>
      </c>
      <c r="E253" s="21">
        <f>E252</f>
        <v>0.47600000000000003</v>
      </c>
      <c r="F253" s="14">
        <v>684.13333333333333</v>
      </c>
      <c r="G253" s="28">
        <v>882.20999999999208</v>
      </c>
      <c r="H253" s="15">
        <v>42</v>
      </c>
      <c r="I253" s="13">
        <v>0</v>
      </c>
      <c r="J253" s="16">
        <v>329</v>
      </c>
      <c r="K253" s="30">
        <v>550</v>
      </c>
      <c r="L253" s="29">
        <v>119</v>
      </c>
      <c r="M253" s="28">
        <v>5</v>
      </c>
    </row>
    <row r="254" spans="1:13" outlineLevel="1" x14ac:dyDescent="0.2">
      <c r="A254" s="20">
        <f t="shared" si="150"/>
        <v>11161</v>
      </c>
      <c r="B254" s="19" t="str">
        <f t="shared" si="150"/>
        <v>TAMUCC</v>
      </c>
      <c r="C254" s="18"/>
      <c r="D254" s="15">
        <v>1515</v>
      </c>
      <c r="E254" s="21">
        <v>0.51</v>
      </c>
      <c r="F254" s="14">
        <v>6742.2</v>
      </c>
      <c r="G254" s="28">
        <v>3028.8999999999978</v>
      </c>
      <c r="H254" s="15">
        <v>310</v>
      </c>
      <c r="I254" s="13">
        <v>23</v>
      </c>
      <c r="J254" s="16">
        <v>1182</v>
      </c>
      <c r="K254" s="30">
        <v>1957</v>
      </c>
      <c r="L254" s="29">
        <v>1470</v>
      </c>
      <c r="M254" s="28">
        <v>959</v>
      </c>
    </row>
    <row r="255" spans="1:13" outlineLevel="1" x14ac:dyDescent="0.2">
      <c r="A255" s="20">
        <f t="shared" si="150"/>
        <v>3639</v>
      </c>
      <c r="B255" s="19" t="str">
        <f t="shared" si="150"/>
        <v>TAMUK</v>
      </c>
      <c r="C255" s="18"/>
      <c r="D255" s="15">
        <v>855</v>
      </c>
      <c r="E255" s="21">
        <v>0.39200000000000002</v>
      </c>
      <c r="F255" s="14">
        <v>4577.5333333333338</v>
      </c>
      <c r="G255" s="28">
        <v>1952.6200000000099</v>
      </c>
      <c r="H255" s="15">
        <v>298</v>
      </c>
      <c r="I255" s="13">
        <v>19</v>
      </c>
      <c r="J255" s="16">
        <v>742</v>
      </c>
      <c r="K255" s="30">
        <v>1343</v>
      </c>
      <c r="L255" s="29">
        <v>910</v>
      </c>
      <c r="M255" s="28">
        <v>571</v>
      </c>
    </row>
    <row r="256" spans="1:13" outlineLevel="1" x14ac:dyDescent="0.2">
      <c r="A256" s="27">
        <f t="shared" si="150"/>
        <v>103639</v>
      </c>
      <c r="B256" s="19" t="str">
        <f t="shared" si="150"/>
        <v>TAMUSA</v>
      </c>
      <c r="C256" s="18"/>
      <c r="D256" s="15">
        <v>647</v>
      </c>
      <c r="E256" s="21">
        <f>E255</f>
        <v>0.39200000000000002</v>
      </c>
      <c r="F256" s="14">
        <v>1673.0666666666666</v>
      </c>
      <c r="G256" s="28">
        <v>1155.5399999999984</v>
      </c>
      <c r="H256" s="15">
        <v>10</v>
      </c>
      <c r="I256" s="13">
        <v>4</v>
      </c>
      <c r="J256" s="16">
        <v>549</v>
      </c>
      <c r="K256" s="30">
        <v>887</v>
      </c>
      <c r="L256" s="29">
        <v>190</v>
      </c>
      <c r="M256" s="28">
        <v>1</v>
      </c>
    </row>
    <row r="257" spans="1:13" outlineLevel="1" x14ac:dyDescent="0.2">
      <c r="A257" s="20">
        <f t="shared" si="150"/>
        <v>9651</v>
      </c>
      <c r="B257" s="19" t="str">
        <f t="shared" si="150"/>
        <v>TAMI</v>
      </c>
      <c r="C257" s="18"/>
      <c r="D257" s="15">
        <v>805</v>
      </c>
      <c r="E257" s="21">
        <v>0.45700000000000002</v>
      </c>
      <c r="F257" s="14">
        <v>4312.1333333333332</v>
      </c>
      <c r="G257" s="28">
        <v>1498.7699999999936</v>
      </c>
      <c r="H257" s="15">
        <v>142</v>
      </c>
      <c r="I257" s="13">
        <v>23</v>
      </c>
      <c r="J257" s="16">
        <v>737</v>
      </c>
      <c r="K257" s="30">
        <v>1292</v>
      </c>
      <c r="L257" s="29">
        <v>1039</v>
      </c>
      <c r="M257" s="28">
        <v>488</v>
      </c>
    </row>
    <row r="258" spans="1:13" outlineLevel="1" x14ac:dyDescent="0.2">
      <c r="A258" s="20">
        <f t="shared" si="150"/>
        <v>3665</v>
      </c>
      <c r="B258" s="19" t="str">
        <f t="shared" si="150"/>
        <v>WTAMU</v>
      </c>
      <c r="C258" s="18"/>
      <c r="D258" s="15">
        <v>1253</v>
      </c>
      <c r="E258" s="21">
        <v>0.48200000000000004</v>
      </c>
      <c r="F258" s="14">
        <v>5523.2</v>
      </c>
      <c r="G258" s="28">
        <v>2523.9800000000132</v>
      </c>
      <c r="H258" s="15">
        <v>175</v>
      </c>
      <c r="I258" s="13">
        <v>60</v>
      </c>
      <c r="J258" s="16">
        <v>902</v>
      </c>
      <c r="K258" s="30">
        <v>1631</v>
      </c>
      <c r="L258" s="29">
        <v>1213</v>
      </c>
      <c r="M258" s="28">
        <v>689</v>
      </c>
    </row>
    <row r="259" spans="1:13" outlineLevel="1" x14ac:dyDescent="0.2">
      <c r="A259" s="20">
        <f t="shared" si="150"/>
        <v>3565</v>
      </c>
      <c r="B259" s="19" t="str">
        <f t="shared" si="150"/>
        <v>TAMUC</v>
      </c>
      <c r="C259" s="18"/>
      <c r="D259" s="15">
        <v>1507</v>
      </c>
      <c r="E259" s="21">
        <v>0.44600000000000001</v>
      </c>
      <c r="F259" s="14">
        <v>5135.2666666666664</v>
      </c>
      <c r="G259" s="28">
        <v>2861.9500000000121</v>
      </c>
      <c r="H259" s="15">
        <v>89</v>
      </c>
      <c r="I259" s="13">
        <v>81</v>
      </c>
      <c r="J259" s="16">
        <v>1172</v>
      </c>
      <c r="K259" s="30">
        <v>2056</v>
      </c>
      <c r="L259" s="29">
        <v>1174</v>
      </c>
      <c r="M259" s="28">
        <v>457</v>
      </c>
    </row>
    <row r="260" spans="1:13" outlineLevel="1" x14ac:dyDescent="0.2">
      <c r="A260" s="20">
        <f t="shared" ref="A260:B277" si="151">A218</f>
        <v>29269</v>
      </c>
      <c r="B260" s="19" t="str">
        <f t="shared" si="151"/>
        <v>TAMUT</v>
      </c>
      <c r="C260" s="18"/>
      <c r="D260" s="15">
        <v>376</v>
      </c>
      <c r="E260" s="17">
        <v>0.49242424242424243</v>
      </c>
      <c r="F260" s="14">
        <v>1101.2666666666667</v>
      </c>
      <c r="G260" s="28">
        <v>680.4399999999946</v>
      </c>
      <c r="H260" s="15">
        <v>47</v>
      </c>
      <c r="I260" s="13">
        <v>25</v>
      </c>
      <c r="J260" s="16">
        <v>277</v>
      </c>
      <c r="K260" s="30">
        <v>484</v>
      </c>
      <c r="L260" s="29">
        <v>219</v>
      </c>
      <c r="M260" s="28">
        <v>1</v>
      </c>
    </row>
    <row r="261" spans="1:13" outlineLevel="1" x14ac:dyDescent="0.2">
      <c r="A261" s="20">
        <f t="shared" si="151"/>
        <v>3652</v>
      </c>
      <c r="B261" s="19" t="str">
        <f t="shared" si="151"/>
        <v>UH</v>
      </c>
      <c r="C261" s="18"/>
      <c r="D261" s="15">
        <v>5426</v>
      </c>
      <c r="E261" s="21">
        <v>0.53600000000000003</v>
      </c>
      <c r="F261" s="14">
        <v>24760.400000000001</v>
      </c>
      <c r="G261" s="28">
        <v>11378.949999999324</v>
      </c>
      <c r="H261" s="15">
        <v>835</v>
      </c>
      <c r="I261" s="13">
        <v>60</v>
      </c>
      <c r="J261" s="16">
        <v>3688</v>
      </c>
      <c r="K261" s="30">
        <v>7823</v>
      </c>
      <c r="L261" s="29">
        <v>5667</v>
      </c>
      <c r="M261" s="28">
        <v>3232</v>
      </c>
    </row>
    <row r="262" spans="1:13" outlineLevel="1" x14ac:dyDescent="0.2">
      <c r="A262" s="20">
        <f t="shared" si="151"/>
        <v>11711</v>
      </c>
      <c r="B262" s="19" t="str">
        <f t="shared" si="151"/>
        <v>UHCL</v>
      </c>
      <c r="C262" s="18"/>
      <c r="D262" s="15">
        <v>1251</v>
      </c>
      <c r="E262" s="17">
        <v>0.51671732522796354</v>
      </c>
      <c r="F262" s="14">
        <v>3079.2666666666669</v>
      </c>
      <c r="G262" s="28">
        <v>2423.7000000000025</v>
      </c>
      <c r="H262" s="15">
        <v>119</v>
      </c>
      <c r="I262" s="13">
        <v>9</v>
      </c>
      <c r="J262" s="16">
        <v>839</v>
      </c>
      <c r="K262" s="30">
        <v>1391</v>
      </c>
      <c r="L262" s="29">
        <v>1014</v>
      </c>
      <c r="M262" s="28">
        <v>37</v>
      </c>
    </row>
    <row r="263" spans="1:13" outlineLevel="1" x14ac:dyDescent="0.2">
      <c r="A263" s="20">
        <f t="shared" si="151"/>
        <v>12826</v>
      </c>
      <c r="B263" s="19" t="str">
        <f t="shared" si="151"/>
        <v>UHD</v>
      </c>
      <c r="C263" s="18"/>
      <c r="D263" s="15">
        <v>2351</v>
      </c>
      <c r="E263" s="21">
        <v>0.17399999999999999</v>
      </c>
      <c r="F263" s="14">
        <v>8043.8</v>
      </c>
      <c r="G263" s="28">
        <v>4292.430000000033</v>
      </c>
      <c r="H263" s="15">
        <v>134</v>
      </c>
      <c r="I263" s="13">
        <v>3</v>
      </c>
      <c r="J263" s="16">
        <v>1694</v>
      </c>
      <c r="K263" s="30">
        <v>3011</v>
      </c>
      <c r="L263" s="29">
        <v>1820</v>
      </c>
      <c r="M263" s="28">
        <v>590</v>
      </c>
    </row>
    <row r="264" spans="1:13" outlineLevel="1" x14ac:dyDescent="0.2">
      <c r="A264" s="20">
        <f t="shared" si="151"/>
        <v>13231</v>
      </c>
      <c r="B264" s="19" t="str">
        <f t="shared" si="151"/>
        <v>UHV</v>
      </c>
      <c r="C264" s="18"/>
      <c r="D264" s="15">
        <v>619</v>
      </c>
      <c r="E264" s="17">
        <v>0.47520661157024796</v>
      </c>
      <c r="F264" s="14">
        <v>1685.8666666666666</v>
      </c>
      <c r="G264" s="28">
        <v>1187.5899999999924</v>
      </c>
      <c r="H264" s="15">
        <v>134</v>
      </c>
      <c r="I264" s="13">
        <v>9</v>
      </c>
      <c r="J264" s="16">
        <v>418</v>
      </c>
      <c r="K264" s="30">
        <v>776</v>
      </c>
      <c r="L264" s="29">
        <v>334</v>
      </c>
      <c r="M264" s="28">
        <v>6</v>
      </c>
    </row>
    <row r="265" spans="1:13" outlineLevel="1" x14ac:dyDescent="0.2">
      <c r="A265" s="20">
        <f t="shared" si="151"/>
        <v>3592</v>
      </c>
      <c r="B265" s="19" t="str">
        <f t="shared" si="151"/>
        <v>Midwestern</v>
      </c>
      <c r="C265" s="18"/>
      <c r="D265" s="15">
        <v>1066</v>
      </c>
      <c r="E265" s="21">
        <v>0.46299999999999997</v>
      </c>
      <c r="F265" s="14">
        <v>4147.7333333333336</v>
      </c>
      <c r="G265" s="28">
        <v>2062.1399999999949</v>
      </c>
      <c r="H265" s="15">
        <v>358</v>
      </c>
      <c r="I265" s="13">
        <v>15</v>
      </c>
      <c r="J265" s="16">
        <v>723</v>
      </c>
      <c r="K265" s="30">
        <v>1310</v>
      </c>
      <c r="L265" s="29">
        <v>979</v>
      </c>
      <c r="M265" s="28">
        <v>683</v>
      </c>
    </row>
    <row r="266" spans="1:13" outlineLevel="1" x14ac:dyDescent="0.2">
      <c r="A266" s="20">
        <f t="shared" si="151"/>
        <v>3594</v>
      </c>
      <c r="B266" s="19" t="str">
        <f t="shared" si="151"/>
        <v>UNT</v>
      </c>
      <c r="C266" s="18"/>
      <c r="D266" s="15">
        <v>5843</v>
      </c>
      <c r="E266" s="21">
        <v>0.56799999999999995</v>
      </c>
      <c r="F266" s="14">
        <v>23213.466666666667</v>
      </c>
      <c r="G266" s="28">
        <v>11338.869999999399</v>
      </c>
      <c r="H266" s="15">
        <v>368</v>
      </c>
      <c r="I266" s="13">
        <v>56</v>
      </c>
      <c r="J266" s="16">
        <v>3771</v>
      </c>
      <c r="K266" s="30">
        <v>7310</v>
      </c>
      <c r="L266" s="29">
        <v>5432</v>
      </c>
      <c r="M266" s="28">
        <v>3116</v>
      </c>
    </row>
    <row r="267" spans="1:13" outlineLevel="1" x14ac:dyDescent="0.2">
      <c r="A267" s="27">
        <f t="shared" si="151"/>
        <v>113594</v>
      </c>
      <c r="B267" s="19" t="str">
        <f t="shared" si="151"/>
        <v>UNTD</v>
      </c>
      <c r="C267" s="18"/>
      <c r="D267" s="15">
        <v>419</v>
      </c>
      <c r="E267" s="21">
        <f>E266</f>
        <v>0.56799999999999995</v>
      </c>
      <c r="F267" s="14">
        <v>983.4666666666667</v>
      </c>
      <c r="G267" s="28">
        <v>742.11999999999398</v>
      </c>
      <c r="H267" s="15">
        <v>14</v>
      </c>
      <c r="I267" s="13">
        <v>0</v>
      </c>
      <c r="J267" s="16">
        <v>313</v>
      </c>
      <c r="K267" s="30">
        <v>469</v>
      </c>
      <c r="L267" s="29">
        <v>80</v>
      </c>
      <c r="M267" s="28">
        <v>4</v>
      </c>
    </row>
    <row r="268" spans="1:13" outlineLevel="1" x14ac:dyDescent="0.2">
      <c r="A268" s="20">
        <f t="shared" si="151"/>
        <v>3624</v>
      </c>
      <c r="B268" s="19" t="str">
        <f t="shared" si="151"/>
        <v>SFA</v>
      </c>
      <c r="C268" s="18"/>
      <c r="D268" s="15">
        <v>2011</v>
      </c>
      <c r="E268" s="21">
        <v>0.55299999999999994</v>
      </c>
      <c r="F268" s="14">
        <v>9507.3333333333339</v>
      </c>
      <c r="G268" s="28">
        <v>3932.9399999999569</v>
      </c>
      <c r="H268" s="15">
        <v>273</v>
      </c>
      <c r="I268" s="13">
        <v>42</v>
      </c>
      <c r="J268" s="16">
        <v>1513</v>
      </c>
      <c r="K268" s="30">
        <v>2605</v>
      </c>
      <c r="L268" s="29">
        <v>2125</v>
      </c>
      <c r="M268" s="28">
        <v>1473</v>
      </c>
    </row>
    <row r="269" spans="1:13" outlineLevel="1" x14ac:dyDescent="0.2">
      <c r="A269" s="20">
        <f t="shared" si="151"/>
        <v>3642</v>
      </c>
      <c r="B269" s="19" t="str">
        <f t="shared" si="151"/>
        <v>TSU</v>
      </c>
      <c r="C269" s="18"/>
      <c r="D269" s="15">
        <v>737</v>
      </c>
      <c r="E269" s="21">
        <v>0.14099999999999999</v>
      </c>
      <c r="F269" s="14">
        <v>5767.1333333333332</v>
      </c>
      <c r="G269" s="28">
        <v>1478.8299999999929</v>
      </c>
      <c r="H269" s="15">
        <v>154</v>
      </c>
      <c r="I269" s="13">
        <v>5</v>
      </c>
      <c r="J269" s="16">
        <v>641</v>
      </c>
      <c r="K269" s="30">
        <v>1349</v>
      </c>
      <c r="L269" s="29">
        <v>988</v>
      </c>
      <c r="M269" s="28">
        <v>760</v>
      </c>
    </row>
    <row r="270" spans="1:13" outlineLevel="1" x14ac:dyDescent="0.2">
      <c r="A270" s="20">
        <f t="shared" si="151"/>
        <v>3644</v>
      </c>
      <c r="B270" s="19" t="str">
        <f t="shared" si="151"/>
        <v>TTU</v>
      </c>
      <c r="C270" s="18"/>
      <c r="D270" s="15">
        <v>4941</v>
      </c>
      <c r="E270" s="21">
        <v>0.73599999999999999</v>
      </c>
      <c r="F270" s="14">
        <v>22627.599999999999</v>
      </c>
      <c r="G270" s="28">
        <v>10741.019999999262</v>
      </c>
      <c r="H270" s="15">
        <v>839</v>
      </c>
      <c r="I270" s="13">
        <v>67</v>
      </c>
      <c r="J270" s="16">
        <v>3071</v>
      </c>
      <c r="K270" s="30">
        <v>6449</v>
      </c>
      <c r="L270" s="29">
        <v>5332</v>
      </c>
      <c r="M270" s="28">
        <v>4048</v>
      </c>
    </row>
    <row r="271" spans="1:13" outlineLevel="1" x14ac:dyDescent="0.2">
      <c r="A271" s="20">
        <f t="shared" si="151"/>
        <v>3541</v>
      </c>
      <c r="B271" s="19" t="str">
        <f t="shared" si="151"/>
        <v>Angelo</v>
      </c>
      <c r="C271" s="18"/>
      <c r="D271" s="15">
        <v>1073</v>
      </c>
      <c r="E271" s="21">
        <v>0.40799999999999997</v>
      </c>
      <c r="F271" s="14">
        <v>4921.333333333333</v>
      </c>
      <c r="G271" s="28">
        <v>2141.5100000000025</v>
      </c>
      <c r="H271" s="15">
        <v>304</v>
      </c>
      <c r="I271" s="13">
        <v>19</v>
      </c>
      <c r="J271" s="16">
        <v>773</v>
      </c>
      <c r="K271" s="30">
        <v>1398</v>
      </c>
      <c r="L271" s="29">
        <v>1022</v>
      </c>
      <c r="M271" s="28">
        <v>707</v>
      </c>
    </row>
    <row r="272" spans="1:13" outlineLevel="1" x14ac:dyDescent="0.2">
      <c r="A272" s="20">
        <f t="shared" si="151"/>
        <v>3646</v>
      </c>
      <c r="B272" s="19" t="str">
        <f t="shared" si="151"/>
        <v>TWU</v>
      </c>
      <c r="C272" s="18"/>
      <c r="D272" s="15">
        <v>1919</v>
      </c>
      <c r="E272" s="21">
        <v>0.54200000000000004</v>
      </c>
      <c r="F272" s="14">
        <v>6999.5333333333338</v>
      </c>
      <c r="G272" s="28">
        <v>3704.3199999999606</v>
      </c>
      <c r="H272" s="15">
        <v>571</v>
      </c>
      <c r="I272" s="13">
        <v>30</v>
      </c>
      <c r="J272" s="16">
        <v>1326</v>
      </c>
      <c r="K272" s="30">
        <v>2425</v>
      </c>
      <c r="L272" s="29">
        <v>1247</v>
      </c>
      <c r="M272" s="28">
        <v>703</v>
      </c>
    </row>
    <row r="273" spans="1:14" outlineLevel="1" x14ac:dyDescent="0.2">
      <c r="A273" s="20">
        <f t="shared" si="151"/>
        <v>3581</v>
      </c>
      <c r="B273" s="19" t="str">
        <f t="shared" si="151"/>
        <v>Lamar</v>
      </c>
      <c r="C273" s="18"/>
      <c r="D273" s="15">
        <v>1380</v>
      </c>
      <c r="E273" s="21">
        <v>0.35899999999999999</v>
      </c>
      <c r="F273" s="14">
        <v>7404.4666666666662</v>
      </c>
      <c r="G273" s="28">
        <v>2721.5300000000057</v>
      </c>
      <c r="H273" s="15">
        <v>318</v>
      </c>
      <c r="I273" s="13">
        <v>18</v>
      </c>
      <c r="J273" s="16">
        <v>995</v>
      </c>
      <c r="K273" s="30">
        <v>2074</v>
      </c>
      <c r="L273" s="29">
        <v>1486</v>
      </c>
      <c r="M273" s="28">
        <v>1002</v>
      </c>
    </row>
    <row r="274" spans="1:14" outlineLevel="1" x14ac:dyDescent="0.2">
      <c r="A274" s="20">
        <f t="shared" si="151"/>
        <v>3606</v>
      </c>
      <c r="B274" s="19" t="str">
        <f t="shared" si="151"/>
        <v>SHSU</v>
      </c>
      <c r="C274" s="18"/>
      <c r="D274" s="15">
        <v>2978</v>
      </c>
      <c r="E274" s="21">
        <v>0.57799999999999996</v>
      </c>
      <c r="F274" s="14">
        <v>12574.466666666667</v>
      </c>
      <c r="G274" s="28">
        <v>5694.020000000286</v>
      </c>
      <c r="H274" s="15">
        <v>172</v>
      </c>
      <c r="I274" s="13">
        <v>51</v>
      </c>
      <c r="J274" s="16">
        <v>2163</v>
      </c>
      <c r="K274" s="30">
        <v>3894</v>
      </c>
      <c r="L274" s="29">
        <v>2915</v>
      </c>
      <c r="M274" s="28">
        <v>1704</v>
      </c>
    </row>
    <row r="275" spans="1:14" outlineLevel="1" x14ac:dyDescent="0.2">
      <c r="A275" s="20">
        <f t="shared" si="151"/>
        <v>3615</v>
      </c>
      <c r="B275" s="19" t="str">
        <f t="shared" si="151"/>
        <v>TXST</v>
      </c>
      <c r="C275" s="18"/>
      <c r="D275" s="15">
        <v>5435</v>
      </c>
      <c r="E275" s="21">
        <v>0.61399999999999999</v>
      </c>
      <c r="F275" s="14">
        <v>24028</v>
      </c>
      <c r="G275" s="28">
        <v>10677.06999999951</v>
      </c>
      <c r="H275" s="15">
        <v>582</v>
      </c>
      <c r="I275" s="13">
        <v>67</v>
      </c>
      <c r="J275" s="16">
        <v>3816</v>
      </c>
      <c r="K275" s="30">
        <v>7425</v>
      </c>
      <c r="L275" s="29">
        <v>5561</v>
      </c>
      <c r="M275" s="28">
        <v>3333</v>
      </c>
    </row>
    <row r="276" spans="1:14" outlineLevel="1" x14ac:dyDescent="0.2">
      <c r="A276" s="20">
        <f t="shared" si="151"/>
        <v>3625</v>
      </c>
      <c r="B276" s="19" t="str">
        <f t="shared" si="151"/>
        <v>SRSU</v>
      </c>
      <c r="C276" s="18"/>
      <c r="D276" s="15">
        <v>191</v>
      </c>
      <c r="E276" s="21">
        <v>0.32600000000000001</v>
      </c>
      <c r="F276" s="14">
        <v>1229</v>
      </c>
      <c r="G276" s="28">
        <v>409.0499999999999</v>
      </c>
      <c r="H276" s="15">
        <v>10</v>
      </c>
      <c r="I276" s="13">
        <v>5</v>
      </c>
      <c r="J276" s="16">
        <v>167</v>
      </c>
      <c r="K276" s="30">
        <v>284</v>
      </c>
      <c r="L276" s="29">
        <v>188</v>
      </c>
      <c r="M276" s="28">
        <v>144</v>
      </c>
      <c r="N276" s="41"/>
    </row>
    <row r="277" spans="1:14" outlineLevel="1" x14ac:dyDescent="0.2">
      <c r="A277" s="20">
        <f t="shared" si="151"/>
        <v>20</v>
      </c>
      <c r="B277" s="19" t="str">
        <f t="shared" si="151"/>
        <v>SRRG</v>
      </c>
      <c r="C277" s="18"/>
      <c r="D277" s="15">
        <v>154</v>
      </c>
      <c r="E277" s="17">
        <v>0.25423728813559321</v>
      </c>
      <c r="F277" s="14">
        <v>436.8</v>
      </c>
      <c r="G277" s="28">
        <v>268.06000000000023</v>
      </c>
      <c r="H277" s="15">
        <v>6</v>
      </c>
      <c r="I277" s="13">
        <v>1</v>
      </c>
      <c r="J277" s="16">
        <v>138</v>
      </c>
      <c r="K277" s="30">
        <v>215</v>
      </c>
      <c r="L277" s="29">
        <v>91</v>
      </c>
      <c r="M277" s="28">
        <v>6</v>
      </c>
    </row>
    <row r="278" spans="1:14" ht="13.5" outlineLevel="1" thickBot="1" x14ac:dyDescent="0.25">
      <c r="A278" s="12"/>
      <c r="B278" s="11" t="s">
        <v>11</v>
      </c>
      <c r="C278" s="10"/>
      <c r="D278" s="9">
        <f>SUM(D240:D277)</f>
        <v>87062</v>
      </c>
      <c r="E278" s="8">
        <v>0.58700000000000008</v>
      </c>
      <c r="F278" s="7">
        <f t="shared" ref="F278:M278" si="152">SUM(F240:F277)</f>
        <v>359610.06666666665</v>
      </c>
      <c r="G278" s="3">
        <f t="shared" si="152"/>
        <v>180161.28999999876</v>
      </c>
      <c r="H278" s="5">
        <f t="shared" si="152"/>
        <v>15629</v>
      </c>
      <c r="I278" s="3">
        <f t="shared" si="152"/>
        <v>1267</v>
      </c>
      <c r="J278" s="6">
        <f t="shared" si="152"/>
        <v>56968</v>
      </c>
      <c r="K278" s="5">
        <f t="shared" si="152"/>
        <v>113504</v>
      </c>
      <c r="L278" s="4">
        <f t="shared" si="152"/>
        <v>81268</v>
      </c>
      <c r="M278" s="3">
        <f t="shared" si="152"/>
        <v>50077</v>
      </c>
    </row>
    <row r="279" spans="1:14" ht="13.5" thickBot="1" x14ac:dyDescent="0.25">
      <c r="A279" s="42" t="s">
        <v>26</v>
      </c>
      <c r="B279" s="42"/>
      <c r="C279" s="42"/>
      <c r="D279" s="42"/>
      <c r="F279" s="42"/>
      <c r="J279" s="42"/>
    </row>
    <row r="280" spans="1:14" ht="12.75" customHeight="1" outlineLevel="1" x14ac:dyDescent="0.2">
      <c r="A280" s="234" t="s">
        <v>24</v>
      </c>
      <c r="B280" s="236" t="s">
        <v>23</v>
      </c>
      <c r="C280" s="238"/>
      <c r="D280" s="240" t="s">
        <v>28</v>
      </c>
      <c r="E280" s="242" t="s">
        <v>21</v>
      </c>
      <c r="F280" s="236" t="s">
        <v>20</v>
      </c>
      <c r="G280" s="221" t="s">
        <v>19</v>
      </c>
      <c r="H280" s="223" t="s">
        <v>18</v>
      </c>
      <c r="I280" s="225" t="s">
        <v>17</v>
      </c>
      <c r="J280" s="227" t="s">
        <v>16</v>
      </c>
      <c r="K280" s="229" t="s">
        <v>15</v>
      </c>
      <c r="L280" s="230"/>
      <c r="M280" s="231"/>
    </row>
    <row r="281" spans="1:14" s="41" customFormat="1" ht="40.5" customHeight="1" outlineLevel="1" thickBot="1" x14ac:dyDescent="0.25">
      <c r="A281" s="235"/>
      <c r="B281" s="237"/>
      <c r="C281" s="239"/>
      <c r="D281" s="241"/>
      <c r="E281" s="243"/>
      <c r="F281" s="237"/>
      <c r="G281" s="222"/>
      <c r="H281" s="224"/>
      <c r="I281" s="226"/>
      <c r="J281" s="228"/>
      <c r="K281" s="188" t="s">
        <v>14</v>
      </c>
      <c r="L281" s="189" t="s">
        <v>13</v>
      </c>
      <c r="M281" s="190" t="s">
        <v>12</v>
      </c>
      <c r="N281" s="1"/>
    </row>
    <row r="282" spans="1:14" outlineLevel="1" x14ac:dyDescent="0.2">
      <c r="A282" s="40">
        <f t="shared" ref="A282:B301" si="153">A240</f>
        <v>3656</v>
      </c>
      <c r="B282" s="39" t="str">
        <f t="shared" si="153"/>
        <v>UTA</v>
      </c>
      <c r="C282" s="38"/>
      <c r="D282" s="33">
        <v>5103</v>
      </c>
      <c r="E282" s="37">
        <v>0.49299999999999999</v>
      </c>
      <c r="F282" s="32">
        <v>17372</v>
      </c>
      <c r="G282" s="31">
        <v>10527.860000000002</v>
      </c>
      <c r="H282" s="36">
        <v>1620</v>
      </c>
      <c r="I282" s="35">
        <v>26</v>
      </c>
      <c r="J282" s="34">
        <v>3158</v>
      </c>
      <c r="K282" s="33">
        <v>6986</v>
      </c>
      <c r="L282" s="32">
        <v>3903</v>
      </c>
      <c r="M282" s="31">
        <v>1733</v>
      </c>
    </row>
    <row r="283" spans="1:14" outlineLevel="1" x14ac:dyDescent="0.2">
      <c r="A283" s="20">
        <f t="shared" si="153"/>
        <v>3658</v>
      </c>
      <c r="B283" s="19" t="str">
        <f t="shared" si="153"/>
        <v>UT</v>
      </c>
      <c r="C283" s="18"/>
      <c r="D283" s="15">
        <v>9027</v>
      </c>
      <c r="E283" s="21">
        <v>0.83299999999999996</v>
      </c>
      <c r="F283" s="14">
        <v>33709.866666666669</v>
      </c>
      <c r="G283" s="13">
        <v>19422.050000001858</v>
      </c>
      <c r="H283" s="15">
        <v>1894</v>
      </c>
      <c r="I283" s="13">
        <v>60</v>
      </c>
      <c r="J283" s="16">
        <v>3475</v>
      </c>
      <c r="K283" s="15">
        <v>9939</v>
      </c>
      <c r="L283" s="14">
        <v>8895</v>
      </c>
      <c r="M283" s="13">
        <v>7485</v>
      </c>
    </row>
    <row r="284" spans="1:14" outlineLevel="1" x14ac:dyDescent="0.2">
      <c r="A284" s="20">
        <f t="shared" si="153"/>
        <v>9741</v>
      </c>
      <c r="B284" s="19" t="str">
        <f t="shared" si="153"/>
        <v>UTD</v>
      </c>
      <c r="C284" s="18"/>
      <c r="D284" s="15">
        <v>2314</v>
      </c>
      <c r="E284" s="21">
        <v>0.68299999999999994</v>
      </c>
      <c r="F284" s="14">
        <v>8822.2000000000007</v>
      </c>
      <c r="G284" s="13">
        <v>4904.1700000000228</v>
      </c>
      <c r="H284" s="15">
        <v>424</v>
      </c>
      <c r="I284" s="13">
        <v>27</v>
      </c>
      <c r="J284" s="16">
        <v>1294</v>
      </c>
      <c r="K284" s="15">
        <v>3345</v>
      </c>
      <c r="L284" s="14">
        <v>2105</v>
      </c>
      <c r="M284" s="13">
        <v>1076</v>
      </c>
    </row>
    <row r="285" spans="1:14" outlineLevel="1" x14ac:dyDescent="0.2">
      <c r="A285" s="20">
        <f t="shared" si="153"/>
        <v>3661</v>
      </c>
      <c r="B285" s="19" t="str">
        <f t="shared" si="153"/>
        <v>UTEP</v>
      </c>
      <c r="C285" s="18"/>
      <c r="D285" s="15">
        <v>3008</v>
      </c>
      <c r="E285" s="21">
        <v>0.38400000000000001</v>
      </c>
      <c r="F285" s="14">
        <v>13376</v>
      </c>
      <c r="G285" s="13">
        <v>6142.7200000000885</v>
      </c>
      <c r="H285" s="15">
        <v>613</v>
      </c>
      <c r="I285" s="13">
        <v>91</v>
      </c>
      <c r="J285" s="16">
        <v>2409</v>
      </c>
      <c r="K285" s="15">
        <v>4488</v>
      </c>
      <c r="L285" s="14">
        <v>3404</v>
      </c>
      <c r="M285" s="13">
        <v>1910</v>
      </c>
    </row>
    <row r="286" spans="1:14" outlineLevel="1" x14ac:dyDescent="0.2">
      <c r="A286" s="20">
        <f t="shared" si="153"/>
        <v>3599</v>
      </c>
      <c r="B286" s="19" t="str">
        <f t="shared" si="153"/>
        <v>UTPA</v>
      </c>
      <c r="C286" s="18"/>
      <c r="D286" s="15">
        <v>2658</v>
      </c>
      <c r="E286" s="21">
        <v>0.46399999999999997</v>
      </c>
      <c r="F286" s="14">
        <v>12499.266666666666</v>
      </c>
      <c r="G286" s="13">
        <v>5231.3300000001427</v>
      </c>
      <c r="H286" s="15">
        <v>534</v>
      </c>
      <c r="I286" s="13">
        <v>34</v>
      </c>
      <c r="J286" s="16">
        <v>2427</v>
      </c>
      <c r="K286" s="15">
        <v>4142</v>
      </c>
      <c r="L286" s="14">
        <v>3290</v>
      </c>
      <c r="M286" s="13">
        <v>1998</v>
      </c>
    </row>
    <row r="287" spans="1:14" outlineLevel="1" x14ac:dyDescent="0.2">
      <c r="A287" s="20">
        <f t="shared" si="153"/>
        <v>30646</v>
      </c>
      <c r="B287" s="19" t="str">
        <f t="shared" si="153"/>
        <v>UTB</v>
      </c>
      <c r="C287" s="18"/>
      <c r="D287" s="15">
        <v>1075</v>
      </c>
      <c r="E287" s="17">
        <v>0.55124653739612184</v>
      </c>
      <c r="F287" s="14">
        <v>3116.2</v>
      </c>
      <c r="G287" s="13">
        <v>2052.0600000000218</v>
      </c>
      <c r="H287" s="15">
        <v>132</v>
      </c>
      <c r="I287" s="13">
        <v>15</v>
      </c>
      <c r="J287" s="16">
        <v>916</v>
      </c>
      <c r="K287" s="15">
        <v>1359</v>
      </c>
      <c r="L287" s="14">
        <v>600</v>
      </c>
      <c r="M287" s="13">
        <v>131</v>
      </c>
    </row>
    <row r="288" spans="1:14" outlineLevel="1" x14ac:dyDescent="0.2">
      <c r="A288" s="20">
        <f t="shared" si="153"/>
        <v>9930</v>
      </c>
      <c r="B288" s="19" t="str">
        <f t="shared" si="153"/>
        <v>UTPB</v>
      </c>
      <c r="C288" s="18"/>
      <c r="D288" s="15">
        <v>541</v>
      </c>
      <c r="E288" s="21">
        <v>0.40700000000000003</v>
      </c>
      <c r="F288" s="14">
        <v>2416</v>
      </c>
      <c r="G288" s="13">
        <v>1005.1500000000051</v>
      </c>
      <c r="H288" s="15">
        <v>40</v>
      </c>
      <c r="I288" s="13">
        <v>10</v>
      </c>
      <c r="J288" s="16">
        <v>407</v>
      </c>
      <c r="K288" s="15">
        <v>908</v>
      </c>
      <c r="L288" s="14">
        <v>490</v>
      </c>
      <c r="M288" s="13">
        <v>191</v>
      </c>
    </row>
    <row r="289" spans="1:13" outlineLevel="1" x14ac:dyDescent="0.2">
      <c r="A289" s="20">
        <f t="shared" si="153"/>
        <v>10115</v>
      </c>
      <c r="B289" s="19" t="str">
        <f t="shared" si="153"/>
        <v>UTSA</v>
      </c>
      <c r="C289" s="18"/>
      <c r="D289" s="15">
        <v>4148</v>
      </c>
      <c r="E289" s="21">
        <v>0.39400000000000002</v>
      </c>
      <c r="F289" s="14">
        <v>20284.733333333334</v>
      </c>
      <c r="G289" s="13">
        <v>8398.8499999997166</v>
      </c>
      <c r="H289" s="15">
        <v>394</v>
      </c>
      <c r="I289" s="13">
        <v>47</v>
      </c>
      <c r="J289" s="16">
        <v>3211</v>
      </c>
      <c r="K289" s="15">
        <v>6802</v>
      </c>
      <c r="L289" s="14">
        <v>4390</v>
      </c>
      <c r="M289" s="13">
        <v>2699</v>
      </c>
    </row>
    <row r="290" spans="1:13" outlineLevel="1" x14ac:dyDescent="0.2">
      <c r="A290" s="20">
        <f t="shared" si="153"/>
        <v>11163</v>
      </c>
      <c r="B290" s="19" t="str">
        <f t="shared" si="153"/>
        <v>UTT</v>
      </c>
      <c r="C290" s="18"/>
      <c r="D290" s="15">
        <v>1188</v>
      </c>
      <c r="E290" s="21">
        <v>0.53300000000000003</v>
      </c>
      <c r="F290" s="14">
        <v>4030.7333333333331</v>
      </c>
      <c r="G290" s="13">
        <v>2364.9800000000037</v>
      </c>
      <c r="H290" s="15">
        <v>366</v>
      </c>
      <c r="I290" s="13">
        <v>9</v>
      </c>
      <c r="J290" s="16">
        <v>939</v>
      </c>
      <c r="K290" s="15">
        <v>1496</v>
      </c>
      <c r="L290" s="14">
        <v>905</v>
      </c>
      <c r="M290" s="13">
        <v>401</v>
      </c>
    </row>
    <row r="291" spans="1:13" outlineLevel="1" x14ac:dyDescent="0.2">
      <c r="A291" s="20">
        <f t="shared" si="153"/>
        <v>3632</v>
      </c>
      <c r="B291" s="19" t="str">
        <f t="shared" si="153"/>
        <v>TAMU</v>
      </c>
      <c r="C291" s="18"/>
      <c r="D291" s="15">
        <v>8748</v>
      </c>
      <c r="E291" s="21">
        <v>0.84399999999999997</v>
      </c>
      <c r="F291" s="14">
        <v>34425.133333333331</v>
      </c>
      <c r="G291" s="13">
        <v>20060.050000001262</v>
      </c>
      <c r="H291" s="15">
        <v>1775</v>
      </c>
      <c r="I291" s="13">
        <v>133</v>
      </c>
      <c r="J291" s="16">
        <v>3727</v>
      </c>
      <c r="K291" s="15">
        <v>9623</v>
      </c>
      <c r="L291" s="14">
        <v>8962</v>
      </c>
      <c r="M291" s="13">
        <v>6823</v>
      </c>
    </row>
    <row r="292" spans="1:13" outlineLevel="1" x14ac:dyDescent="0.2">
      <c r="A292" s="20">
        <f t="shared" si="153"/>
        <v>10298</v>
      </c>
      <c r="B292" s="19" t="str">
        <f t="shared" si="153"/>
        <v>TAMUG</v>
      </c>
      <c r="C292" s="18"/>
      <c r="D292" s="15">
        <v>250</v>
      </c>
      <c r="E292" s="21">
        <v>0.66400000000000003</v>
      </c>
      <c r="F292" s="14">
        <v>1668.1333333333334</v>
      </c>
      <c r="G292" s="13">
        <v>648.89999999999895</v>
      </c>
      <c r="H292" s="15">
        <v>35</v>
      </c>
      <c r="I292" s="13">
        <v>0</v>
      </c>
      <c r="J292" s="16">
        <v>151</v>
      </c>
      <c r="K292" s="15">
        <v>600</v>
      </c>
      <c r="L292" s="14">
        <v>336</v>
      </c>
      <c r="M292" s="13">
        <v>234</v>
      </c>
    </row>
    <row r="293" spans="1:13" outlineLevel="1" x14ac:dyDescent="0.2">
      <c r="A293" s="20">
        <f t="shared" si="153"/>
        <v>3630</v>
      </c>
      <c r="B293" s="19" t="str">
        <f t="shared" si="153"/>
        <v>Prairie View</v>
      </c>
      <c r="C293" s="18"/>
      <c r="D293" s="15">
        <v>904</v>
      </c>
      <c r="E293" s="21">
        <v>0.37</v>
      </c>
      <c r="F293" s="46">
        <v>6088.2666666666664</v>
      </c>
      <c r="G293" s="13">
        <v>1934.240000000003</v>
      </c>
      <c r="H293" s="15">
        <v>279</v>
      </c>
      <c r="I293" s="13">
        <v>10</v>
      </c>
      <c r="J293" s="16">
        <v>775</v>
      </c>
      <c r="K293" s="15">
        <v>1660</v>
      </c>
      <c r="L293" s="14">
        <v>1237</v>
      </c>
      <c r="M293" s="13">
        <v>905</v>
      </c>
    </row>
    <row r="294" spans="1:13" outlineLevel="1" x14ac:dyDescent="0.2">
      <c r="A294" s="20">
        <f t="shared" si="153"/>
        <v>3631</v>
      </c>
      <c r="B294" s="19" t="str">
        <f t="shared" si="153"/>
        <v>Tarleton</v>
      </c>
      <c r="C294" s="18"/>
      <c r="D294" s="15">
        <v>1552</v>
      </c>
      <c r="E294" s="21">
        <v>0.48299999999999998</v>
      </c>
      <c r="F294" s="46">
        <v>6264.4666666666662</v>
      </c>
      <c r="G294" s="13">
        <v>3063.9600000000341</v>
      </c>
      <c r="H294" s="15">
        <v>197</v>
      </c>
      <c r="I294" s="45">
        <v>56</v>
      </c>
      <c r="J294" s="16">
        <v>1196</v>
      </c>
      <c r="K294" s="47">
        <v>2096</v>
      </c>
      <c r="L294" s="46">
        <v>1464</v>
      </c>
      <c r="M294" s="45">
        <v>840</v>
      </c>
    </row>
    <row r="295" spans="1:13" outlineLevel="1" x14ac:dyDescent="0.2">
      <c r="A295" s="27">
        <f t="shared" si="153"/>
        <v>103631</v>
      </c>
      <c r="B295" s="19" t="str">
        <f t="shared" si="153"/>
        <v>TAMUCT</v>
      </c>
      <c r="C295" s="18"/>
      <c r="D295" s="15">
        <v>462</v>
      </c>
      <c r="E295" s="21">
        <v>0.48299999999999998</v>
      </c>
      <c r="F295" s="46">
        <v>700.66666666666663</v>
      </c>
      <c r="G295" s="13">
        <v>846.68000000000006</v>
      </c>
      <c r="H295" s="15">
        <v>36</v>
      </c>
      <c r="I295" s="45">
        <v>0</v>
      </c>
      <c r="J295" s="16">
        <v>330</v>
      </c>
      <c r="K295" s="47">
        <v>555</v>
      </c>
      <c r="L295" s="46">
        <v>143</v>
      </c>
      <c r="M295" s="45">
        <v>66</v>
      </c>
    </row>
    <row r="296" spans="1:13" outlineLevel="1" x14ac:dyDescent="0.2">
      <c r="A296" s="20">
        <f t="shared" si="153"/>
        <v>11161</v>
      </c>
      <c r="B296" s="19" t="str">
        <f t="shared" si="153"/>
        <v>TAMUCC</v>
      </c>
      <c r="C296" s="18"/>
      <c r="D296" s="15">
        <v>1315</v>
      </c>
      <c r="E296" s="21">
        <v>0.51100000000000001</v>
      </c>
      <c r="F296" s="46">
        <v>6609.8666666666668</v>
      </c>
      <c r="G296" s="13">
        <v>2639.1300000000101</v>
      </c>
      <c r="H296" s="15">
        <v>252</v>
      </c>
      <c r="I296" s="45">
        <v>25</v>
      </c>
      <c r="J296" s="16">
        <v>1034</v>
      </c>
      <c r="K296" s="15">
        <v>2126</v>
      </c>
      <c r="L296" s="14">
        <v>1577</v>
      </c>
      <c r="M296" s="13">
        <v>864</v>
      </c>
    </row>
    <row r="297" spans="1:13" outlineLevel="1" x14ac:dyDescent="0.2">
      <c r="A297" s="20">
        <f t="shared" si="153"/>
        <v>3639</v>
      </c>
      <c r="B297" s="19" t="str">
        <f t="shared" si="153"/>
        <v>TAMUK</v>
      </c>
      <c r="C297" s="18"/>
      <c r="D297" s="15">
        <v>738</v>
      </c>
      <c r="E297" s="21">
        <v>0.39799999999999996</v>
      </c>
      <c r="F297" s="46">
        <v>4394.2</v>
      </c>
      <c r="G297" s="13">
        <v>1735.8600000000065</v>
      </c>
      <c r="H297" s="15">
        <v>246</v>
      </c>
      <c r="I297" s="45">
        <v>16</v>
      </c>
      <c r="J297" s="16">
        <v>613</v>
      </c>
      <c r="K297" s="47">
        <v>1180</v>
      </c>
      <c r="L297" s="46">
        <v>879</v>
      </c>
      <c r="M297" s="45">
        <v>555</v>
      </c>
    </row>
    <row r="298" spans="1:13" outlineLevel="1" x14ac:dyDescent="0.2">
      <c r="A298" s="27">
        <f t="shared" si="153"/>
        <v>103639</v>
      </c>
      <c r="B298" s="19" t="str">
        <f t="shared" si="153"/>
        <v>TAMUSA</v>
      </c>
      <c r="C298" s="18"/>
      <c r="D298" s="15">
        <v>620</v>
      </c>
      <c r="E298" s="21">
        <v>0.39799999999999996</v>
      </c>
      <c r="F298" s="46">
        <v>1492.4</v>
      </c>
      <c r="G298" s="13">
        <v>1078.0000000000073</v>
      </c>
      <c r="H298" s="15">
        <v>1</v>
      </c>
      <c r="I298" s="45">
        <v>0</v>
      </c>
      <c r="J298" s="16">
        <v>520</v>
      </c>
      <c r="K298" s="47">
        <v>995</v>
      </c>
      <c r="L298" s="46">
        <v>37</v>
      </c>
      <c r="M298" s="45">
        <v>2</v>
      </c>
    </row>
    <row r="299" spans="1:13" outlineLevel="1" x14ac:dyDescent="0.2">
      <c r="A299" s="20">
        <f t="shared" si="153"/>
        <v>9651</v>
      </c>
      <c r="B299" s="19" t="str">
        <f t="shared" si="153"/>
        <v>TAMI</v>
      </c>
      <c r="C299" s="18"/>
      <c r="D299" s="15">
        <v>766</v>
      </c>
      <c r="E299" s="21">
        <v>0.503</v>
      </c>
      <c r="F299" s="14">
        <v>4126.8</v>
      </c>
      <c r="G299" s="13">
        <v>1400.4200000000046</v>
      </c>
      <c r="H299" s="15">
        <v>120</v>
      </c>
      <c r="I299" s="13">
        <v>18</v>
      </c>
      <c r="J299" s="16">
        <v>688</v>
      </c>
      <c r="K299" s="15">
        <v>1515</v>
      </c>
      <c r="L299" s="14">
        <v>1027</v>
      </c>
      <c r="M299" s="13">
        <v>486</v>
      </c>
    </row>
    <row r="300" spans="1:13" outlineLevel="1" x14ac:dyDescent="0.2">
      <c r="A300" s="20">
        <f t="shared" si="153"/>
        <v>3665</v>
      </c>
      <c r="B300" s="19" t="str">
        <f t="shared" si="153"/>
        <v>WTAMU</v>
      </c>
      <c r="C300" s="18"/>
      <c r="D300" s="15">
        <v>1294</v>
      </c>
      <c r="E300" s="21">
        <v>0.47399999999999998</v>
      </c>
      <c r="F300" s="14">
        <v>5457.666666666667</v>
      </c>
      <c r="G300" s="13">
        <v>2570.7800000000157</v>
      </c>
      <c r="H300" s="15">
        <v>184</v>
      </c>
      <c r="I300" s="13">
        <v>58</v>
      </c>
      <c r="J300" s="16">
        <v>913</v>
      </c>
      <c r="K300" s="15">
        <v>1871</v>
      </c>
      <c r="L300" s="14">
        <v>1264</v>
      </c>
      <c r="M300" s="13">
        <v>664</v>
      </c>
    </row>
    <row r="301" spans="1:13" outlineLevel="1" x14ac:dyDescent="0.2">
      <c r="A301" s="20">
        <f t="shared" si="153"/>
        <v>3565</v>
      </c>
      <c r="B301" s="19" t="str">
        <f t="shared" si="153"/>
        <v>TAMUC</v>
      </c>
      <c r="C301" s="18"/>
      <c r="D301" s="15">
        <v>1313</v>
      </c>
      <c r="E301" s="21">
        <v>0.42600000000000005</v>
      </c>
      <c r="F301" s="14">
        <v>4783.5333333333338</v>
      </c>
      <c r="G301" s="13">
        <v>2463.6900000000296</v>
      </c>
      <c r="H301" s="15">
        <v>71</v>
      </c>
      <c r="I301" s="13">
        <v>77</v>
      </c>
      <c r="J301" s="16">
        <v>1002</v>
      </c>
      <c r="K301" s="15">
        <v>1911</v>
      </c>
      <c r="L301" s="14">
        <v>1200</v>
      </c>
      <c r="M301" s="13">
        <v>477</v>
      </c>
    </row>
    <row r="302" spans="1:13" outlineLevel="1" x14ac:dyDescent="0.2">
      <c r="A302" s="20">
        <f t="shared" ref="A302:B319" si="154">A260</f>
        <v>29269</v>
      </c>
      <c r="B302" s="19" t="str">
        <f t="shared" si="154"/>
        <v>TAMUT</v>
      </c>
      <c r="C302" s="18"/>
      <c r="D302" s="15">
        <v>335</v>
      </c>
      <c r="E302" s="17">
        <v>0.56028368794326244</v>
      </c>
      <c r="F302" s="14">
        <v>879.13333333333333</v>
      </c>
      <c r="G302" s="13">
        <v>609.83000000000015</v>
      </c>
      <c r="H302" s="15">
        <v>48</v>
      </c>
      <c r="I302" s="13">
        <v>18</v>
      </c>
      <c r="J302" s="16">
        <v>230</v>
      </c>
      <c r="K302" s="15">
        <v>411</v>
      </c>
      <c r="L302" s="14">
        <v>186</v>
      </c>
      <c r="M302" s="13">
        <v>1</v>
      </c>
    </row>
    <row r="303" spans="1:13" outlineLevel="1" x14ac:dyDescent="0.2">
      <c r="A303" s="20">
        <f t="shared" si="154"/>
        <v>3652</v>
      </c>
      <c r="B303" s="19" t="str">
        <f t="shared" si="154"/>
        <v>UH</v>
      </c>
      <c r="C303" s="18"/>
      <c r="D303" s="15">
        <v>5092</v>
      </c>
      <c r="E303" s="21">
        <v>0.54200000000000004</v>
      </c>
      <c r="F303" s="14">
        <v>23853.933333333334</v>
      </c>
      <c r="G303" s="13">
        <v>10569.339999999527</v>
      </c>
      <c r="H303" s="15">
        <v>720</v>
      </c>
      <c r="I303" s="13">
        <v>74</v>
      </c>
      <c r="J303" s="16">
        <v>3340</v>
      </c>
      <c r="K303" s="15">
        <v>7467</v>
      </c>
      <c r="L303" s="14">
        <v>5804</v>
      </c>
      <c r="M303" s="13">
        <v>3314</v>
      </c>
    </row>
    <row r="304" spans="1:13" outlineLevel="1" x14ac:dyDescent="0.2">
      <c r="A304" s="20">
        <f t="shared" si="154"/>
        <v>11711</v>
      </c>
      <c r="B304" s="19" t="str">
        <f t="shared" si="154"/>
        <v>UHCL</v>
      </c>
      <c r="C304" s="18"/>
      <c r="D304" s="15">
        <v>1197</v>
      </c>
      <c r="E304" s="17">
        <v>0.53820033955857383</v>
      </c>
      <c r="F304" s="14">
        <v>3046.8</v>
      </c>
      <c r="G304" s="13">
        <v>2293.9500000000248</v>
      </c>
      <c r="H304" s="15">
        <v>113</v>
      </c>
      <c r="I304" s="13">
        <v>8</v>
      </c>
      <c r="J304" s="16">
        <v>777</v>
      </c>
      <c r="K304" s="15">
        <v>1434</v>
      </c>
      <c r="L304" s="14">
        <v>959</v>
      </c>
      <c r="M304" s="13">
        <v>53</v>
      </c>
    </row>
    <row r="305" spans="1:14" outlineLevel="1" x14ac:dyDescent="0.2">
      <c r="A305" s="20">
        <f t="shared" si="154"/>
        <v>12826</v>
      </c>
      <c r="B305" s="19" t="str">
        <f t="shared" si="154"/>
        <v>UHD</v>
      </c>
      <c r="C305" s="18"/>
      <c r="D305" s="15">
        <v>2437</v>
      </c>
      <c r="E305" s="21">
        <v>0.215</v>
      </c>
      <c r="F305" s="14">
        <v>7949.2666666666664</v>
      </c>
      <c r="G305" s="13">
        <v>4368.2100000000464</v>
      </c>
      <c r="H305" s="15">
        <v>143</v>
      </c>
      <c r="I305" s="13">
        <v>0</v>
      </c>
      <c r="J305" s="16">
        <v>1730</v>
      </c>
      <c r="K305" s="15">
        <v>3223</v>
      </c>
      <c r="L305" s="14">
        <v>1896</v>
      </c>
      <c r="M305" s="13">
        <v>618</v>
      </c>
    </row>
    <row r="306" spans="1:14" outlineLevel="1" x14ac:dyDescent="0.2">
      <c r="A306" s="20">
        <f t="shared" si="154"/>
        <v>13231</v>
      </c>
      <c r="B306" s="19" t="str">
        <f t="shared" si="154"/>
        <v>UHV</v>
      </c>
      <c r="C306" s="18"/>
      <c r="D306" s="15">
        <v>596</v>
      </c>
      <c r="E306" s="17">
        <v>0.5339366515837104</v>
      </c>
      <c r="F306" s="14">
        <v>1494.2</v>
      </c>
      <c r="G306" s="13">
        <v>1103.6999999999998</v>
      </c>
      <c r="H306" s="15">
        <v>118</v>
      </c>
      <c r="I306" s="13">
        <v>11</v>
      </c>
      <c r="J306" s="16">
        <v>397</v>
      </c>
      <c r="K306" s="15">
        <v>718</v>
      </c>
      <c r="L306" s="14">
        <v>286</v>
      </c>
      <c r="M306" s="13">
        <v>6</v>
      </c>
    </row>
    <row r="307" spans="1:14" outlineLevel="1" x14ac:dyDescent="0.2">
      <c r="A307" s="20">
        <f t="shared" si="154"/>
        <v>3592</v>
      </c>
      <c r="B307" s="19" t="str">
        <f t="shared" si="154"/>
        <v>Midwestern</v>
      </c>
      <c r="C307" s="18"/>
      <c r="D307" s="15">
        <v>1027</v>
      </c>
      <c r="E307" s="21">
        <v>0.443</v>
      </c>
      <c r="F307" s="14">
        <v>4387.7333333333336</v>
      </c>
      <c r="G307" s="13">
        <v>1924.84</v>
      </c>
      <c r="H307" s="15">
        <v>340</v>
      </c>
      <c r="I307" s="13">
        <v>11</v>
      </c>
      <c r="J307" s="16">
        <v>675</v>
      </c>
      <c r="K307" s="15">
        <v>1507</v>
      </c>
      <c r="L307" s="14">
        <v>1079</v>
      </c>
      <c r="M307" s="13">
        <v>734</v>
      </c>
    </row>
    <row r="308" spans="1:14" outlineLevel="1" x14ac:dyDescent="0.2">
      <c r="A308" s="20">
        <f t="shared" si="154"/>
        <v>3594</v>
      </c>
      <c r="B308" s="19" t="str">
        <f t="shared" si="154"/>
        <v>UNT</v>
      </c>
      <c r="C308" s="18"/>
      <c r="D308" s="15">
        <v>6183</v>
      </c>
      <c r="E308" s="21">
        <v>0.58700000000000008</v>
      </c>
      <c r="F308" s="14">
        <v>23168.733333333334</v>
      </c>
      <c r="G308" s="13">
        <v>11731.089999999795</v>
      </c>
      <c r="H308" s="15">
        <v>345</v>
      </c>
      <c r="I308" s="13">
        <v>47</v>
      </c>
      <c r="J308" s="16">
        <v>3942</v>
      </c>
      <c r="K308" s="15">
        <v>7957</v>
      </c>
      <c r="L308" s="14">
        <v>5891</v>
      </c>
      <c r="M308" s="13">
        <v>3310</v>
      </c>
    </row>
    <row r="309" spans="1:14" outlineLevel="1" x14ac:dyDescent="0.2">
      <c r="A309" s="27">
        <f t="shared" si="154"/>
        <v>113594</v>
      </c>
      <c r="B309" s="19" t="str">
        <f t="shared" si="154"/>
        <v>UNTD</v>
      </c>
      <c r="C309" s="18"/>
      <c r="D309" s="30">
        <v>388</v>
      </c>
      <c r="E309" s="44">
        <v>0.58700000000000008</v>
      </c>
      <c r="F309" s="29">
        <v>908.8</v>
      </c>
      <c r="G309" s="28">
        <v>669.60000000000036</v>
      </c>
      <c r="H309" s="30">
        <v>10</v>
      </c>
      <c r="I309" s="28"/>
      <c r="J309" s="43">
        <v>304</v>
      </c>
      <c r="K309" s="30">
        <v>487</v>
      </c>
      <c r="L309" s="29">
        <v>63</v>
      </c>
      <c r="M309" s="28">
        <v>18</v>
      </c>
    </row>
    <row r="310" spans="1:14" outlineLevel="1" x14ac:dyDescent="0.2">
      <c r="A310" s="20">
        <f t="shared" si="154"/>
        <v>3624</v>
      </c>
      <c r="B310" s="19" t="str">
        <f t="shared" si="154"/>
        <v>SFA</v>
      </c>
      <c r="C310" s="18"/>
      <c r="D310" s="15">
        <v>1880</v>
      </c>
      <c r="E310" s="21">
        <v>0.53900000000000003</v>
      </c>
      <c r="F310" s="14">
        <v>9440.9333333333325</v>
      </c>
      <c r="G310" s="13">
        <v>3606.8600000000297</v>
      </c>
      <c r="H310" s="15">
        <v>241</v>
      </c>
      <c r="I310" s="13">
        <v>49</v>
      </c>
      <c r="J310" s="16">
        <v>1446</v>
      </c>
      <c r="K310" s="15">
        <v>3040</v>
      </c>
      <c r="L310" s="14">
        <v>2166</v>
      </c>
      <c r="M310" s="13">
        <v>1402</v>
      </c>
    </row>
    <row r="311" spans="1:14" outlineLevel="1" x14ac:dyDescent="0.2">
      <c r="A311" s="20">
        <f t="shared" si="154"/>
        <v>3642</v>
      </c>
      <c r="B311" s="19" t="str">
        <f t="shared" si="154"/>
        <v>TSU</v>
      </c>
      <c r="C311" s="18"/>
      <c r="D311" s="15">
        <v>721</v>
      </c>
      <c r="E311" s="21">
        <v>0.14099999999999999</v>
      </c>
      <c r="F311" s="14">
        <v>5912.8</v>
      </c>
      <c r="G311" s="13">
        <v>1385.6100000000063</v>
      </c>
      <c r="H311" s="15">
        <v>122</v>
      </c>
      <c r="I311" s="13">
        <v>2</v>
      </c>
      <c r="J311" s="16">
        <v>635</v>
      </c>
      <c r="K311" s="15">
        <v>1692</v>
      </c>
      <c r="L311" s="14">
        <v>1274</v>
      </c>
      <c r="M311" s="13">
        <v>870</v>
      </c>
    </row>
    <row r="312" spans="1:14" outlineLevel="1" x14ac:dyDescent="0.2">
      <c r="A312" s="20">
        <f t="shared" si="154"/>
        <v>3644</v>
      </c>
      <c r="B312" s="19" t="str">
        <f t="shared" si="154"/>
        <v>TTU</v>
      </c>
      <c r="C312" s="18"/>
      <c r="D312" s="15">
        <v>4605</v>
      </c>
      <c r="E312" s="21">
        <v>0.7320000000000001</v>
      </c>
      <c r="F312" s="14">
        <v>22527.466666666667</v>
      </c>
      <c r="G312" s="13">
        <v>9815.7899999997753</v>
      </c>
      <c r="H312" s="15">
        <v>687</v>
      </c>
      <c r="I312" s="13">
        <v>62</v>
      </c>
      <c r="J312" s="16">
        <v>2724</v>
      </c>
      <c r="K312" s="15">
        <v>6577</v>
      </c>
      <c r="L312" s="14">
        <v>5355</v>
      </c>
      <c r="M312" s="13">
        <v>3957</v>
      </c>
    </row>
    <row r="313" spans="1:14" outlineLevel="1" x14ac:dyDescent="0.2">
      <c r="A313" s="20">
        <f t="shared" si="154"/>
        <v>3541</v>
      </c>
      <c r="B313" s="19" t="str">
        <f t="shared" si="154"/>
        <v>Angelo</v>
      </c>
      <c r="C313" s="18"/>
      <c r="D313" s="15">
        <v>960</v>
      </c>
      <c r="E313" s="21">
        <v>0.441</v>
      </c>
      <c r="F313" s="14">
        <v>4895.666666666667</v>
      </c>
      <c r="G313" s="13">
        <v>1856.9499999999953</v>
      </c>
      <c r="H313" s="15">
        <v>242</v>
      </c>
      <c r="I313" s="13">
        <v>21</v>
      </c>
      <c r="J313" s="16">
        <v>720</v>
      </c>
      <c r="K313" s="15">
        <v>1444</v>
      </c>
      <c r="L313" s="14">
        <v>1071</v>
      </c>
      <c r="M313" s="13">
        <v>708</v>
      </c>
    </row>
    <row r="314" spans="1:14" outlineLevel="1" x14ac:dyDescent="0.2">
      <c r="A314" s="20">
        <f t="shared" si="154"/>
        <v>3646</v>
      </c>
      <c r="B314" s="19" t="str">
        <f t="shared" si="154"/>
        <v>TWU</v>
      </c>
      <c r="C314" s="18"/>
      <c r="D314" s="15">
        <v>1725</v>
      </c>
      <c r="E314" s="21">
        <v>0.48399999999999999</v>
      </c>
      <c r="F314" s="14">
        <v>6598.2</v>
      </c>
      <c r="G314" s="13">
        <v>3227.0100000000139</v>
      </c>
      <c r="H314" s="15">
        <v>523</v>
      </c>
      <c r="I314" s="13">
        <v>34</v>
      </c>
      <c r="J314" s="16">
        <v>1201</v>
      </c>
      <c r="K314" s="15">
        <v>2121</v>
      </c>
      <c r="L314" s="14">
        <v>1259</v>
      </c>
      <c r="M314" s="13">
        <v>608</v>
      </c>
    </row>
    <row r="315" spans="1:14" outlineLevel="1" x14ac:dyDescent="0.2">
      <c r="A315" s="20">
        <f t="shared" si="154"/>
        <v>3581</v>
      </c>
      <c r="B315" s="19" t="str">
        <f t="shared" si="154"/>
        <v>Lamar</v>
      </c>
      <c r="C315" s="18"/>
      <c r="D315" s="15">
        <v>1340</v>
      </c>
      <c r="E315" s="21">
        <v>0.35399999999999998</v>
      </c>
      <c r="F315" s="14">
        <v>7247.8</v>
      </c>
      <c r="G315" s="13">
        <v>2695.0800000000122</v>
      </c>
      <c r="H315" s="15">
        <v>358</v>
      </c>
      <c r="I315" s="13">
        <v>16</v>
      </c>
      <c r="J315" s="16">
        <v>943</v>
      </c>
      <c r="K315" s="15">
        <v>2317</v>
      </c>
      <c r="L315" s="14">
        <v>1577</v>
      </c>
      <c r="M315" s="13">
        <v>1000</v>
      </c>
    </row>
    <row r="316" spans="1:14" outlineLevel="1" x14ac:dyDescent="0.2">
      <c r="A316" s="20">
        <f t="shared" si="154"/>
        <v>3606</v>
      </c>
      <c r="B316" s="19" t="str">
        <f t="shared" si="154"/>
        <v>SHSU</v>
      </c>
      <c r="C316" s="18"/>
      <c r="D316" s="15">
        <v>3013</v>
      </c>
      <c r="E316" s="21">
        <v>0.60299999999999998</v>
      </c>
      <c r="F316" s="14">
        <v>12631.666666666666</v>
      </c>
      <c r="G316" s="13">
        <v>5628.5800000000427</v>
      </c>
      <c r="H316" s="15">
        <v>166</v>
      </c>
      <c r="I316" s="13">
        <v>63</v>
      </c>
      <c r="J316" s="16">
        <v>2160</v>
      </c>
      <c r="K316" s="15">
        <v>3940</v>
      </c>
      <c r="L316" s="14">
        <v>2970</v>
      </c>
      <c r="M316" s="13">
        <v>1716</v>
      </c>
    </row>
    <row r="317" spans="1:14" outlineLevel="1" x14ac:dyDescent="0.2">
      <c r="A317" s="20">
        <f t="shared" si="154"/>
        <v>3615</v>
      </c>
      <c r="B317" s="19" t="str">
        <f t="shared" si="154"/>
        <v>TXST</v>
      </c>
      <c r="C317" s="18"/>
      <c r="D317" s="15">
        <v>5349</v>
      </c>
      <c r="E317" s="21">
        <v>0.6409999999999999</v>
      </c>
      <c r="F317" s="14">
        <v>22917.933333333334</v>
      </c>
      <c r="G317" s="13">
        <v>10250.389999999717</v>
      </c>
      <c r="H317" s="15">
        <v>445</v>
      </c>
      <c r="I317" s="13">
        <v>65</v>
      </c>
      <c r="J317" s="16">
        <v>3665</v>
      </c>
      <c r="K317" s="15">
        <v>7685</v>
      </c>
      <c r="L317" s="14">
        <v>5748</v>
      </c>
      <c r="M317" s="13">
        <v>3317</v>
      </c>
    </row>
    <row r="318" spans="1:14" outlineLevel="1" x14ac:dyDescent="0.2">
      <c r="A318" s="20">
        <f t="shared" si="154"/>
        <v>3625</v>
      </c>
      <c r="B318" s="19" t="str">
        <f t="shared" si="154"/>
        <v>SRSU</v>
      </c>
      <c r="C318" s="18"/>
      <c r="D318" s="15">
        <v>196</v>
      </c>
      <c r="E318" s="21">
        <v>0.29199999999999998</v>
      </c>
      <c r="F318" s="14">
        <v>1200.1333333333334</v>
      </c>
      <c r="G318" s="13">
        <v>405.49999999999949</v>
      </c>
      <c r="H318" s="15">
        <v>18</v>
      </c>
      <c r="I318" s="13">
        <v>4</v>
      </c>
      <c r="J318" s="16">
        <v>166</v>
      </c>
      <c r="K318" s="15">
        <v>298</v>
      </c>
      <c r="L318" s="14">
        <v>217</v>
      </c>
      <c r="M318" s="13">
        <v>136</v>
      </c>
      <c r="N318" s="41"/>
    </row>
    <row r="319" spans="1:14" outlineLevel="1" x14ac:dyDescent="0.2">
      <c r="A319" s="20">
        <f t="shared" si="154"/>
        <v>20</v>
      </c>
      <c r="B319" s="19" t="str">
        <f t="shared" si="154"/>
        <v>SRRG</v>
      </c>
      <c r="C319" s="18"/>
      <c r="D319" s="15">
        <v>163</v>
      </c>
      <c r="E319" s="17">
        <v>0.33750000000000002</v>
      </c>
      <c r="F319" s="14">
        <v>472.13333333333333</v>
      </c>
      <c r="G319" s="13">
        <v>281.52999999999975</v>
      </c>
      <c r="H319" s="15">
        <v>5</v>
      </c>
      <c r="I319" s="13">
        <v>7</v>
      </c>
      <c r="J319" s="16">
        <v>145</v>
      </c>
      <c r="K319" s="15">
        <v>224</v>
      </c>
      <c r="L319" s="14">
        <v>97</v>
      </c>
      <c r="M319" s="13">
        <v>2</v>
      </c>
    </row>
    <row r="320" spans="1:14" ht="13.5" outlineLevel="1" thickBot="1" x14ac:dyDescent="0.25">
      <c r="A320" s="12"/>
      <c r="B320" s="11" t="s">
        <v>11</v>
      </c>
      <c r="C320" s="10"/>
      <c r="D320" s="9">
        <f>SUM(D282:D319)</f>
        <v>84231</v>
      </c>
      <c r="E320" s="8">
        <v>0.58399999999999996</v>
      </c>
      <c r="F320" s="7">
        <f t="shared" ref="F320:M320" si="155">SUM(F282:F319)</f>
        <v>351171.46666666673</v>
      </c>
      <c r="G320" s="3">
        <f t="shared" si="155"/>
        <v>170914.74000000223</v>
      </c>
      <c r="H320" s="5">
        <f t="shared" si="155"/>
        <v>13857</v>
      </c>
      <c r="I320" s="3">
        <f t="shared" si="155"/>
        <v>1204</v>
      </c>
      <c r="J320" s="6">
        <f t="shared" si="155"/>
        <v>54385</v>
      </c>
      <c r="K320" s="5">
        <f t="shared" si="155"/>
        <v>116139</v>
      </c>
      <c r="L320" s="4">
        <f t="shared" si="155"/>
        <v>84006</v>
      </c>
      <c r="M320" s="3">
        <f t="shared" si="155"/>
        <v>51310</v>
      </c>
    </row>
    <row r="321" spans="1:15" ht="13.5" thickBot="1" x14ac:dyDescent="0.25">
      <c r="A321" s="42" t="s">
        <v>25</v>
      </c>
      <c r="B321" s="42"/>
      <c r="C321" s="42"/>
      <c r="D321" s="42"/>
      <c r="F321" s="42"/>
      <c r="J321" s="42"/>
    </row>
    <row r="322" spans="1:15" ht="12.75" customHeight="1" outlineLevel="1" x14ac:dyDescent="0.2">
      <c r="A322" s="234" t="s">
        <v>24</v>
      </c>
      <c r="B322" s="236" t="s">
        <v>23</v>
      </c>
      <c r="C322" s="238"/>
      <c r="D322" s="240" t="s">
        <v>28</v>
      </c>
      <c r="E322" s="242" t="s">
        <v>21</v>
      </c>
      <c r="F322" s="236" t="s">
        <v>20</v>
      </c>
      <c r="G322" s="221" t="s">
        <v>19</v>
      </c>
      <c r="H322" s="223" t="s">
        <v>18</v>
      </c>
      <c r="I322" s="225" t="s">
        <v>17</v>
      </c>
      <c r="J322" s="227" t="s">
        <v>16</v>
      </c>
      <c r="K322" s="229" t="s">
        <v>15</v>
      </c>
      <c r="L322" s="230"/>
      <c r="M322" s="231"/>
    </row>
    <row r="323" spans="1:15" s="41" customFormat="1" ht="39.75" customHeight="1" outlineLevel="1" thickBot="1" x14ac:dyDescent="0.25">
      <c r="A323" s="235"/>
      <c r="B323" s="237"/>
      <c r="C323" s="239"/>
      <c r="D323" s="241"/>
      <c r="E323" s="243"/>
      <c r="F323" s="237"/>
      <c r="G323" s="222"/>
      <c r="H323" s="224"/>
      <c r="I323" s="226"/>
      <c r="J323" s="228"/>
      <c r="K323" s="188" t="s">
        <v>14</v>
      </c>
      <c r="L323" s="189" t="s">
        <v>13</v>
      </c>
      <c r="M323" s="190" t="s">
        <v>12</v>
      </c>
      <c r="N323" s="1"/>
    </row>
    <row r="324" spans="1:15" outlineLevel="1" x14ac:dyDescent="0.2">
      <c r="A324" s="40">
        <f t="shared" ref="A324:B343" si="156">A282</f>
        <v>3656</v>
      </c>
      <c r="B324" s="39" t="str">
        <f t="shared" si="156"/>
        <v>UTA</v>
      </c>
      <c r="C324" s="38"/>
      <c r="D324" s="33">
        <v>4178</v>
      </c>
      <c r="E324" s="37">
        <v>0.50700000000000001</v>
      </c>
      <c r="F324" s="32">
        <v>15698.133333333333</v>
      </c>
      <c r="G324" s="31">
        <v>8640.2399999998797</v>
      </c>
      <c r="H324" s="36">
        <v>834</v>
      </c>
      <c r="I324" s="35">
        <v>36</v>
      </c>
      <c r="J324" s="34">
        <v>2662</v>
      </c>
      <c r="K324" s="33">
        <v>6630</v>
      </c>
      <c r="L324" s="32">
        <v>3636</v>
      </c>
      <c r="M324" s="31">
        <v>1724</v>
      </c>
    </row>
    <row r="325" spans="1:15" outlineLevel="1" x14ac:dyDescent="0.2">
      <c r="A325" s="20">
        <f t="shared" si="156"/>
        <v>3658</v>
      </c>
      <c r="B325" s="19" t="str">
        <f t="shared" si="156"/>
        <v>UT</v>
      </c>
      <c r="C325" s="18"/>
      <c r="D325" s="15">
        <v>8952</v>
      </c>
      <c r="E325" s="21">
        <v>0.82899999999999996</v>
      </c>
      <c r="F325" s="14">
        <v>33736.73333333333</v>
      </c>
      <c r="G325" s="13">
        <v>19230.319999999745</v>
      </c>
      <c r="H325" s="15">
        <v>1754</v>
      </c>
      <c r="I325" s="13">
        <v>55</v>
      </c>
      <c r="J325" s="16">
        <v>3435</v>
      </c>
      <c r="K325" s="15">
        <v>9596</v>
      </c>
      <c r="L325" s="14">
        <v>9749</v>
      </c>
      <c r="M325" s="13">
        <v>7288</v>
      </c>
      <c r="O325" s="2"/>
    </row>
    <row r="326" spans="1:15" outlineLevel="1" x14ac:dyDescent="0.2">
      <c r="A326" s="20">
        <f t="shared" si="156"/>
        <v>9741</v>
      </c>
      <c r="B326" s="19" t="str">
        <f t="shared" si="156"/>
        <v>UTD</v>
      </c>
      <c r="C326" s="18"/>
      <c r="D326" s="15">
        <v>2355</v>
      </c>
      <c r="E326" s="21">
        <v>0.70699999999999996</v>
      </c>
      <c r="F326" s="14">
        <v>8108.8666666666668</v>
      </c>
      <c r="G326" s="13">
        <v>4955.5700000000443</v>
      </c>
      <c r="H326" s="15">
        <v>392</v>
      </c>
      <c r="I326" s="13">
        <v>36</v>
      </c>
      <c r="J326" s="16">
        <v>1255</v>
      </c>
      <c r="K326" s="15">
        <v>3078</v>
      </c>
      <c r="L326" s="14">
        <v>1950</v>
      </c>
      <c r="M326" s="13">
        <v>923</v>
      </c>
      <c r="O326" s="2"/>
    </row>
    <row r="327" spans="1:15" outlineLevel="1" x14ac:dyDescent="0.2">
      <c r="A327" s="20">
        <f t="shared" si="156"/>
        <v>3661</v>
      </c>
      <c r="B327" s="19" t="str">
        <f t="shared" si="156"/>
        <v>UTEP</v>
      </c>
      <c r="C327" s="18"/>
      <c r="D327" s="15">
        <v>3031</v>
      </c>
      <c r="E327" s="21">
        <v>0.374</v>
      </c>
      <c r="F327" s="14">
        <v>12791.933333333332</v>
      </c>
      <c r="G327" s="13">
        <v>6295.4500000000389</v>
      </c>
      <c r="H327" s="15">
        <v>709</v>
      </c>
      <c r="I327" s="13">
        <v>93</v>
      </c>
      <c r="J327" s="16">
        <v>2394</v>
      </c>
      <c r="K327" s="15">
        <v>4200</v>
      </c>
      <c r="L327" s="14">
        <v>3366</v>
      </c>
      <c r="M327" s="13">
        <v>1972</v>
      </c>
      <c r="O327" s="2"/>
    </row>
    <row r="328" spans="1:15" outlineLevel="1" x14ac:dyDescent="0.2">
      <c r="A328" s="20">
        <f t="shared" si="156"/>
        <v>3599</v>
      </c>
      <c r="B328" s="19" t="str">
        <f t="shared" si="156"/>
        <v>UTPA</v>
      </c>
      <c r="C328" s="18"/>
      <c r="D328" s="15">
        <v>2620</v>
      </c>
      <c r="E328" s="21">
        <v>0.38900000000000001</v>
      </c>
      <c r="F328" s="14">
        <v>12572.333333333334</v>
      </c>
      <c r="G328" s="13">
        <v>5170.8900000000631</v>
      </c>
      <c r="H328" s="15">
        <v>480</v>
      </c>
      <c r="I328" s="13">
        <v>31</v>
      </c>
      <c r="J328" s="16">
        <v>2341</v>
      </c>
      <c r="K328" s="15">
        <v>4354</v>
      </c>
      <c r="L328" s="14">
        <v>3136</v>
      </c>
      <c r="M328" s="13">
        <v>1924</v>
      </c>
      <c r="O328" s="2"/>
    </row>
    <row r="329" spans="1:15" outlineLevel="1" x14ac:dyDescent="0.2">
      <c r="A329" s="20">
        <f t="shared" si="156"/>
        <v>30646</v>
      </c>
      <c r="B329" s="19" t="str">
        <f t="shared" si="156"/>
        <v>UTB</v>
      </c>
      <c r="C329" s="18"/>
      <c r="D329" s="15">
        <v>1052</v>
      </c>
      <c r="E329" s="17">
        <v>0.64666666666666661</v>
      </c>
      <c r="F329" s="14">
        <v>2989.6</v>
      </c>
      <c r="G329" s="13">
        <v>2005.0100000000309</v>
      </c>
      <c r="H329" s="15">
        <v>108</v>
      </c>
      <c r="I329" s="13">
        <v>19</v>
      </c>
      <c r="J329" s="16">
        <v>916</v>
      </c>
      <c r="K329" s="15">
        <v>1377</v>
      </c>
      <c r="L329" s="14">
        <v>583</v>
      </c>
      <c r="M329" s="13">
        <v>72</v>
      </c>
      <c r="O329" s="2"/>
    </row>
    <row r="330" spans="1:15" outlineLevel="1" x14ac:dyDescent="0.2">
      <c r="A330" s="20">
        <f t="shared" si="156"/>
        <v>9930</v>
      </c>
      <c r="B330" s="19" t="str">
        <f t="shared" si="156"/>
        <v>UTPB</v>
      </c>
      <c r="C330" s="18"/>
      <c r="D330" s="15">
        <v>513</v>
      </c>
      <c r="E330" s="21">
        <v>0.44600000000000001</v>
      </c>
      <c r="F330" s="14">
        <v>2159.6</v>
      </c>
      <c r="G330" s="13">
        <v>944.74000000001092</v>
      </c>
      <c r="H330" s="15">
        <v>33</v>
      </c>
      <c r="I330" s="13">
        <v>13</v>
      </c>
      <c r="J330" s="16">
        <v>379</v>
      </c>
      <c r="K330" s="15">
        <v>707</v>
      </c>
      <c r="L330" s="14">
        <v>450</v>
      </c>
      <c r="M330" s="13">
        <v>182</v>
      </c>
      <c r="O330" s="2"/>
    </row>
    <row r="331" spans="1:15" outlineLevel="1" x14ac:dyDescent="0.2">
      <c r="A331" s="20">
        <f t="shared" si="156"/>
        <v>10115</v>
      </c>
      <c r="B331" s="19" t="str">
        <f t="shared" si="156"/>
        <v>UTSA</v>
      </c>
      <c r="C331" s="18"/>
      <c r="D331" s="15">
        <v>3968</v>
      </c>
      <c r="E331" s="21">
        <v>0.44</v>
      </c>
      <c r="F331" s="14">
        <v>19707.533333333333</v>
      </c>
      <c r="G331" s="13">
        <v>8107.0899999997582</v>
      </c>
      <c r="H331" s="15">
        <v>375</v>
      </c>
      <c r="I331" s="13">
        <v>39</v>
      </c>
      <c r="J331" s="16">
        <v>2956</v>
      </c>
      <c r="K331" s="15">
        <v>6812</v>
      </c>
      <c r="L331" s="14">
        <v>4615</v>
      </c>
      <c r="M331" s="13">
        <v>2588</v>
      </c>
      <c r="O331" s="2"/>
    </row>
    <row r="332" spans="1:15" outlineLevel="1" x14ac:dyDescent="0.2">
      <c r="A332" s="20">
        <f t="shared" si="156"/>
        <v>11163</v>
      </c>
      <c r="B332" s="19" t="str">
        <f t="shared" si="156"/>
        <v>UTT</v>
      </c>
      <c r="C332" s="18"/>
      <c r="D332" s="15">
        <v>1238</v>
      </c>
      <c r="E332" s="21">
        <v>0.496</v>
      </c>
      <c r="F332" s="14">
        <v>4085.2666666666669</v>
      </c>
      <c r="G332" s="13">
        <v>2459.1300000000315</v>
      </c>
      <c r="H332" s="15">
        <v>372</v>
      </c>
      <c r="I332" s="13">
        <v>10</v>
      </c>
      <c r="J332" s="16">
        <v>1002</v>
      </c>
      <c r="K332" s="15">
        <v>1404</v>
      </c>
      <c r="L332" s="14">
        <v>921</v>
      </c>
      <c r="M332" s="13">
        <v>378</v>
      </c>
      <c r="O332" s="2"/>
    </row>
    <row r="333" spans="1:15" outlineLevel="1" x14ac:dyDescent="0.2">
      <c r="A333" s="20">
        <f t="shared" si="156"/>
        <v>3632</v>
      </c>
      <c r="B333" s="19" t="str">
        <f t="shared" si="156"/>
        <v>TAMU</v>
      </c>
      <c r="C333" s="18"/>
      <c r="D333" s="15">
        <v>8451</v>
      </c>
      <c r="E333" s="21">
        <v>0.83599999999999997</v>
      </c>
      <c r="F333" s="14">
        <v>34329.199999999997</v>
      </c>
      <c r="G333" s="13">
        <v>19146.209999999159</v>
      </c>
      <c r="H333" s="15">
        <v>1580</v>
      </c>
      <c r="I333" s="13">
        <v>108</v>
      </c>
      <c r="J333" s="16">
        <v>3530</v>
      </c>
      <c r="K333" s="15">
        <v>10012</v>
      </c>
      <c r="L333" s="14">
        <v>8836</v>
      </c>
      <c r="M333" s="13">
        <v>6932</v>
      </c>
      <c r="O333" s="2"/>
    </row>
    <row r="334" spans="1:15" outlineLevel="1" x14ac:dyDescent="0.2">
      <c r="A334" s="20">
        <f t="shared" si="156"/>
        <v>10298</v>
      </c>
      <c r="B334" s="19" t="str">
        <f t="shared" si="156"/>
        <v>TAMUG</v>
      </c>
      <c r="C334" s="18"/>
      <c r="D334" s="15">
        <v>262</v>
      </c>
      <c r="E334" s="21">
        <v>0.59199999999999997</v>
      </c>
      <c r="F334" s="14">
        <v>1599.2</v>
      </c>
      <c r="G334" s="13">
        <v>636.84000000000231</v>
      </c>
      <c r="H334" s="15">
        <v>31</v>
      </c>
      <c r="I334" s="13">
        <v>0</v>
      </c>
      <c r="J334" s="16">
        <v>137</v>
      </c>
      <c r="K334" s="15">
        <v>570</v>
      </c>
      <c r="L334" s="14">
        <v>322</v>
      </c>
      <c r="M334" s="13">
        <v>241</v>
      </c>
      <c r="O334" s="2"/>
    </row>
    <row r="335" spans="1:15" outlineLevel="1" x14ac:dyDescent="0.2">
      <c r="A335" s="20">
        <f t="shared" si="156"/>
        <v>3630</v>
      </c>
      <c r="B335" s="19" t="str">
        <f t="shared" si="156"/>
        <v>Prairie View</v>
      </c>
      <c r="C335" s="18"/>
      <c r="D335" s="15">
        <v>879</v>
      </c>
      <c r="E335" s="21">
        <v>0.34200000000000003</v>
      </c>
      <c r="F335" s="14">
        <v>5840.8</v>
      </c>
      <c r="G335" s="13">
        <v>1995.4900000000189</v>
      </c>
      <c r="H335" s="15">
        <v>295</v>
      </c>
      <c r="I335" s="13">
        <v>8</v>
      </c>
      <c r="J335" s="16">
        <v>756</v>
      </c>
      <c r="K335" s="15">
        <v>1643</v>
      </c>
      <c r="L335" s="14">
        <v>1174</v>
      </c>
      <c r="M335" s="13">
        <v>940</v>
      </c>
      <c r="O335" s="2"/>
    </row>
    <row r="336" spans="1:15" outlineLevel="1" x14ac:dyDescent="0.2">
      <c r="A336" s="20">
        <f t="shared" si="156"/>
        <v>3631</v>
      </c>
      <c r="B336" s="19" t="str">
        <f t="shared" si="156"/>
        <v>Tarleton</v>
      </c>
      <c r="C336" s="18"/>
      <c r="D336" s="15">
        <v>1422</v>
      </c>
      <c r="E336" s="21">
        <v>0.47499999999999998</v>
      </c>
      <c r="F336" s="14">
        <v>5845.5333333333338</v>
      </c>
      <c r="G336" s="13">
        <v>2966.430000000048</v>
      </c>
      <c r="H336" s="15">
        <v>183</v>
      </c>
      <c r="I336" s="13">
        <v>38</v>
      </c>
      <c r="J336" s="16">
        <v>1093</v>
      </c>
      <c r="K336" s="15">
        <v>2140</v>
      </c>
      <c r="L336" s="14">
        <v>1306</v>
      </c>
      <c r="M336" s="13">
        <v>903</v>
      </c>
      <c r="O336" s="2"/>
    </row>
    <row r="337" spans="1:15" outlineLevel="1" x14ac:dyDescent="0.2">
      <c r="A337" s="27">
        <f t="shared" si="156"/>
        <v>103631</v>
      </c>
      <c r="B337" s="19" t="str">
        <f t="shared" si="156"/>
        <v>TAMUCT</v>
      </c>
      <c r="C337" s="18"/>
      <c r="D337" s="15">
        <v>450</v>
      </c>
      <c r="E337" s="21">
        <v>0.47499999999999998</v>
      </c>
      <c r="F337" s="14">
        <v>658.4666666666667</v>
      </c>
      <c r="G337" s="13">
        <v>831.96000000000549</v>
      </c>
      <c r="H337" s="15">
        <v>44</v>
      </c>
      <c r="I337" s="13"/>
      <c r="J337" s="16">
        <v>322</v>
      </c>
      <c r="K337" s="15">
        <v>380</v>
      </c>
      <c r="L337" s="14">
        <v>137</v>
      </c>
      <c r="M337" s="13">
        <v>31</v>
      </c>
      <c r="O337" s="2"/>
    </row>
    <row r="338" spans="1:15" outlineLevel="1" x14ac:dyDescent="0.2">
      <c r="A338" s="20">
        <f t="shared" si="156"/>
        <v>11161</v>
      </c>
      <c r="B338" s="19" t="str">
        <f t="shared" si="156"/>
        <v>TAMUCC</v>
      </c>
      <c r="C338" s="18"/>
      <c r="D338" s="15">
        <v>1335</v>
      </c>
      <c r="E338" s="21">
        <v>0.503</v>
      </c>
      <c r="F338" s="14">
        <v>6131.9333333333334</v>
      </c>
      <c r="G338" s="13">
        <v>2744.5700000000347</v>
      </c>
      <c r="H338" s="15">
        <v>237</v>
      </c>
      <c r="I338" s="13">
        <v>29</v>
      </c>
      <c r="J338" s="16">
        <v>1024</v>
      </c>
      <c r="K338" s="15">
        <v>2079</v>
      </c>
      <c r="L338" s="14">
        <v>1357</v>
      </c>
      <c r="M338" s="13">
        <v>812</v>
      </c>
      <c r="O338" s="2"/>
    </row>
    <row r="339" spans="1:15" outlineLevel="1" x14ac:dyDescent="0.2">
      <c r="A339" s="20">
        <f t="shared" si="156"/>
        <v>3639</v>
      </c>
      <c r="B339" s="19" t="str">
        <f t="shared" si="156"/>
        <v>TAMUK</v>
      </c>
      <c r="C339" s="18"/>
      <c r="D339" s="15">
        <v>692</v>
      </c>
      <c r="E339" s="21">
        <v>0.41699999999999998</v>
      </c>
      <c r="F339" s="14">
        <v>3808.2666666666669</v>
      </c>
      <c r="G339" s="13">
        <v>1601.8800000000022</v>
      </c>
      <c r="H339" s="15">
        <v>236</v>
      </c>
      <c r="I339" s="13">
        <v>15</v>
      </c>
      <c r="J339" s="16">
        <v>590</v>
      </c>
      <c r="K339" s="15">
        <v>1159</v>
      </c>
      <c r="L339" s="14">
        <v>790</v>
      </c>
      <c r="M339" s="13">
        <v>550</v>
      </c>
      <c r="O339" s="2"/>
    </row>
    <row r="340" spans="1:15" outlineLevel="1" x14ac:dyDescent="0.2">
      <c r="A340" s="27">
        <f t="shared" si="156"/>
        <v>103639</v>
      </c>
      <c r="B340" s="19" t="str">
        <f t="shared" si="156"/>
        <v>TAMUSA</v>
      </c>
      <c r="C340" s="18"/>
      <c r="D340" s="15">
        <v>496</v>
      </c>
      <c r="E340" s="21">
        <v>0.41699999999999998</v>
      </c>
      <c r="F340" s="14">
        <v>1072.6666666666667</v>
      </c>
      <c r="G340" s="13">
        <v>844.50000000000807</v>
      </c>
      <c r="H340" s="15">
        <v>4</v>
      </c>
      <c r="I340" s="13"/>
      <c r="J340" s="16">
        <v>402</v>
      </c>
      <c r="K340" s="15">
        <v>307</v>
      </c>
      <c r="L340" s="14">
        <v>5</v>
      </c>
      <c r="M340" s="13">
        <v>5</v>
      </c>
      <c r="O340" s="2"/>
    </row>
    <row r="341" spans="1:15" outlineLevel="1" x14ac:dyDescent="0.2">
      <c r="A341" s="20">
        <f t="shared" si="156"/>
        <v>9651</v>
      </c>
      <c r="B341" s="19" t="str">
        <f t="shared" si="156"/>
        <v>TAMI</v>
      </c>
      <c r="C341" s="18"/>
      <c r="D341" s="15">
        <v>798</v>
      </c>
      <c r="E341" s="21">
        <v>0.46</v>
      </c>
      <c r="F341" s="14">
        <v>3819.0666666666666</v>
      </c>
      <c r="G341" s="13">
        <v>1476.3000000000168</v>
      </c>
      <c r="H341" s="15">
        <v>85</v>
      </c>
      <c r="I341" s="13">
        <v>26</v>
      </c>
      <c r="J341" s="16">
        <v>713</v>
      </c>
      <c r="K341" s="15">
        <v>1413</v>
      </c>
      <c r="L341" s="14">
        <v>981</v>
      </c>
      <c r="M341" s="13">
        <v>447</v>
      </c>
      <c r="O341" s="2"/>
    </row>
    <row r="342" spans="1:15" outlineLevel="1" x14ac:dyDescent="0.2">
      <c r="A342" s="20">
        <f t="shared" si="156"/>
        <v>3665</v>
      </c>
      <c r="B342" s="19" t="str">
        <f t="shared" si="156"/>
        <v>WTAMU</v>
      </c>
      <c r="C342" s="18"/>
      <c r="D342" s="15">
        <v>1220</v>
      </c>
      <c r="E342" s="21">
        <v>0.45600000000000002</v>
      </c>
      <c r="F342" s="14">
        <v>5264.8</v>
      </c>
      <c r="G342" s="13">
        <v>2415.9700000000216</v>
      </c>
      <c r="H342" s="15">
        <v>216</v>
      </c>
      <c r="I342" s="13">
        <v>64</v>
      </c>
      <c r="J342" s="16">
        <v>853</v>
      </c>
      <c r="K342" s="15">
        <v>1873</v>
      </c>
      <c r="L342" s="14">
        <v>1161</v>
      </c>
      <c r="M342" s="13">
        <v>631</v>
      </c>
      <c r="O342" s="2"/>
    </row>
    <row r="343" spans="1:15" outlineLevel="1" x14ac:dyDescent="0.2">
      <c r="A343" s="20">
        <f t="shared" si="156"/>
        <v>3565</v>
      </c>
      <c r="B343" s="19" t="str">
        <f t="shared" si="156"/>
        <v>TAMUC</v>
      </c>
      <c r="C343" s="18"/>
      <c r="D343" s="15">
        <v>1153</v>
      </c>
      <c r="E343" s="21">
        <v>0.44800000000000001</v>
      </c>
      <c r="F343" s="14">
        <v>4172.1333333333332</v>
      </c>
      <c r="G343" s="13">
        <v>2179.8400000000324</v>
      </c>
      <c r="H343" s="15">
        <v>59</v>
      </c>
      <c r="I343" s="13">
        <v>65</v>
      </c>
      <c r="J343" s="16">
        <v>884</v>
      </c>
      <c r="K343" s="15">
        <v>1712</v>
      </c>
      <c r="L343" s="14">
        <v>1038</v>
      </c>
      <c r="M343" s="13">
        <v>423</v>
      </c>
      <c r="O343" s="2"/>
    </row>
    <row r="344" spans="1:15" outlineLevel="1" x14ac:dyDescent="0.2">
      <c r="A344" s="20">
        <f t="shared" ref="A344:B361" si="157">A302</f>
        <v>29269</v>
      </c>
      <c r="B344" s="19" t="str">
        <f t="shared" si="157"/>
        <v>TAMUT</v>
      </c>
      <c r="C344" s="18"/>
      <c r="D344" s="15">
        <v>326</v>
      </c>
      <c r="E344" s="17">
        <v>0.57336956521739135</v>
      </c>
      <c r="F344" s="14">
        <v>694.6</v>
      </c>
      <c r="G344" s="13">
        <v>569.46</v>
      </c>
      <c r="H344" s="15">
        <v>30</v>
      </c>
      <c r="I344" s="13">
        <v>15</v>
      </c>
      <c r="J344" s="16">
        <v>210</v>
      </c>
      <c r="K344" s="15">
        <v>403</v>
      </c>
      <c r="L344" s="14">
        <v>138</v>
      </c>
      <c r="M344" s="13">
        <v>0</v>
      </c>
      <c r="O344" s="2"/>
    </row>
    <row r="345" spans="1:15" outlineLevel="1" x14ac:dyDescent="0.2">
      <c r="A345" s="20">
        <f t="shared" si="157"/>
        <v>3652</v>
      </c>
      <c r="B345" s="19" t="str">
        <f t="shared" si="157"/>
        <v>UH</v>
      </c>
      <c r="C345" s="18"/>
      <c r="D345" s="15">
        <v>4778</v>
      </c>
      <c r="E345" s="21">
        <v>0.53100000000000003</v>
      </c>
      <c r="F345" s="14">
        <v>22778.733333333334</v>
      </c>
      <c r="G345" s="13">
        <v>9792.4499999989821</v>
      </c>
      <c r="H345" s="15">
        <v>656</v>
      </c>
      <c r="I345" s="13">
        <v>54</v>
      </c>
      <c r="J345" s="16">
        <v>3091</v>
      </c>
      <c r="K345" s="15">
        <v>7517</v>
      </c>
      <c r="L345" s="14">
        <v>5600</v>
      </c>
      <c r="M345" s="13">
        <v>3376</v>
      </c>
      <c r="O345" s="2"/>
    </row>
    <row r="346" spans="1:15" outlineLevel="1" x14ac:dyDescent="0.2">
      <c r="A346" s="20">
        <f t="shared" si="157"/>
        <v>11711</v>
      </c>
      <c r="B346" s="19" t="str">
        <f t="shared" si="157"/>
        <v>UHCL</v>
      </c>
      <c r="C346" s="18"/>
      <c r="D346" s="15">
        <v>1124</v>
      </c>
      <c r="E346" s="17">
        <v>0.50557620817843862</v>
      </c>
      <c r="F346" s="14">
        <v>2872.8666666666668</v>
      </c>
      <c r="G346" s="13">
        <v>2131.2100000000323</v>
      </c>
      <c r="H346" s="15">
        <v>88</v>
      </c>
      <c r="I346" s="13">
        <v>8</v>
      </c>
      <c r="J346" s="16">
        <v>707</v>
      </c>
      <c r="K346" s="15">
        <v>1349</v>
      </c>
      <c r="L346" s="14">
        <v>888</v>
      </c>
      <c r="M346" s="13">
        <v>81</v>
      </c>
      <c r="O346" s="2"/>
    </row>
    <row r="347" spans="1:15" outlineLevel="1" x14ac:dyDescent="0.2">
      <c r="A347" s="20">
        <f t="shared" si="157"/>
        <v>12826</v>
      </c>
      <c r="B347" s="19" t="str">
        <f t="shared" si="157"/>
        <v>UHD</v>
      </c>
      <c r="C347" s="18"/>
      <c r="D347" s="15">
        <v>2359</v>
      </c>
      <c r="E347" s="21">
        <v>0.18099999999999999</v>
      </c>
      <c r="F347" s="14">
        <v>7963.6</v>
      </c>
      <c r="G347" s="13">
        <v>4153.3100000000841</v>
      </c>
      <c r="H347" s="15">
        <v>112</v>
      </c>
      <c r="I347" s="13">
        <v>2</v>
      </c>
      <c r="J347" s="16">
        <v>1619</v>
      </c>
      <c r="K347" s="15">
        <v>3082</v>
      </c>
      <c r="L347" s="14">
        <v>1889</v>
      </c>
      <c r="M347" s="13">
        <v>606</v>
      </c>
      <c r="O347" s="2"/>
    </row>
    <row r="348" spans="1:15" outlineLevel="1" x14ac:dyDescent="0.2">
      <c r="A348" s="20">
        <f t="shared" si="157"/>
        <v>13231</v>
      </c>
      <c r="B348" s="19" t="str">
        <f t="shared" si="157"/>
        <v>UHV</v>
      </c>
      <c r="C348" s="18"/>
      <c r="D348" s="15">
        <v>515</v>
      </c>
      <c r="E348" s="17">
        <v>0.55256723716381417</v>
      </c>
      <c r="F348" s="14">
        <v>1135.8</v>
      </c>
      <c r="G348" s="13">
        <v>962.15000000001089</v>
      </c>
      <c r="H348" s="15">
        <v>72</v>
      </c>
      <c r="I348" s="13">
        <v>2</v>
      </c>
      <c r="J348" s="16">
        <v>337</v>
      </c>
      <c r="K348" s="15">
        <v>654</v>
      </c>
      <c r="L348" s="14">
        <v>269</v>
      </c>
      <c r="M348" s="13">
        <v>8</v>
      </c>
      <c r="O348" s="2"/>
    </row>
    <row r="349" spans="1:15" outlineLevel="1" x14ac:dyDescent="0.2">
      <c r="A349" s="20">
        <f t="shared" si="157"/>
        <v>3592</v>
      </c>
      <c r="B349" s="19" t="str">
        <f t="shared" si="157"/>
        <v>Midwestern</v>
      </c>
      <c r="C349" s="18"/>
      <c r="D349" s="15">
        <v>1002</v>
      </c>
      <c r="E349" s="21">
        <v>0.41199999999999998</v>
      </c>
      <c r="F349" s="14">
        <v>4294.8666666666668</v>
      </c>
      <c r="G349" s="13">
        <v>1899.0200000000148</v>
      </c>
      <c r="H349" s="15">
        <v>302</v>
      </c>
      <c r="I349" s="13">
        <v>19</v>
      </c>
      <c r="J349" s="16">
        <v>673</v>
      </c>
      <c r="K349" s="15">
        <v>1497</v>
      </c>
      <c r="L349" s="14">
        <v>1080</v>
      </c>
      <c r="M349" s="13">
        <v>622</v>
      </c>
      <c r="O349" s="2"/>
    </row>
    <row r="350" spans="1:15" outlineLevel="1" x14ac:dyDescent="0.2">
      <c r="A350" s="20">
        <f t="shared" si="157"/>
        <v>3594</v>
      </c>
      <c r="B350" s="19" t="str">
        <f t="shared" si="157"/>
        <v>UNT</v>
      </c>
      <c r="C350" s="18"/>
      <c r="D350" s="15">
        <v>6024</v>
      </c>
      <c r="E350" s="21">
        <v>0.57399999999999995</v>
      </c>
      <c r="F350" s="14">
        <f>22506.0666666667+838</f>
        <v>23344.066666666698</v>
      </c>
      <c r="G350" s="13">
        <v>11164.699999998398</v>
      </c>
      <c r="H350" s="15">
        <v>297</v>
      </c>
      <c r="I350" s="13">
        <v>27</v>
      </c>
      <c r="J350" s="16">
        <v>3747</v>
      </c>
      <c r="K350" s="30">
        <v>8327</v>
      </c>
      <c r="L350" s="29">
        <v>5604</v>
      </c>
      <c r="M350" s="28">
        <v>3585</v>
      </c>
      <c r="O350" s="2"/>
    </row>
    <row r="351" spans="1:15" outlineLevel="1" x14ac:dyDescent="0.2">
      <c r="A351" s="27">
        <f t="shared" si="157"/>
        <v>113594</v>
      </c>
      <c r="B351" s="19" t="str">
        <f t="shared" si="157"/>
        <v>UNTD</v>
      </c>
      <c r="C351" s="18"/>
      <c r="D351" s="24"/>
      <c r="E351" s="26"/>
      <c r="F351" s="23"/>
      <c r="G351" s="22"/>
      <c r="H351" s="24"/>
      <c r="I351" s="22"/>
      <c r="J351" s="25"/>
      <c r="K351" s="24"/>
      <c r="L351" s="23"/>
      <c r="M351" s="22"/>
      <c r="O351" s="2"/>
    </row>
    <row r="352" spans="1:15" outlineLevel="1" x14ac:dyDescent="0.2">
      <c r="A352" s="20">
        <f t="shared" si="157"/>
        <v>3624</v>
      </c>
      <c r="B352" s="19" t="str">
        <f t="shared" si="157"/>
        <v>SFA</v>
      </c>
      <c r="C352" s="18"/>
      <c r="D352" s="15">
        <v>1874</v>
      </c>
      <c r="E352" s="21">
        <v>0.56999999999999995</v>
      </c>
      <c r="F352" s="14">
        <v>9510.2666666666664</v>
      </c>
      <c r="G352" s="13">
        <v>3625.4100000000203</v>
      </c>
      <c r="H352" s="15">
        <v>230</v>
      </c>
      <c r="I352" s="13">
        <v>43</v>
      </c>
      <c r="J352" s="16">
        <v>1422</v>
      </c>
      <c r="K352" s="15">
        <v>2663</v>
      </c>
      <c r="L352" s="14">
        <v>1934</v>
      </c>
      <c r="M352" s="13">
        <v>1317</v>
      </c>
      <c r="O352" s="2"/>
    </row>
    <row r="353" spans="1:15" outlineLevel="1" x14ac:dyDescent="0.2">
      <c r="A353" s="20">
        <f t="shared" si="157"/>
        <v>3642</v>
      </c>
      <c r="B353" s="19" t="str">
        <f t="shared" si="157"/>
        <v>TSU</v>
      </c>
      <c r="C353" s="18"/>
      <c r="D353" s="15">
        <v>817</v>
      </c>
      <c r="E353" s="21">
        <v>0.14899999999999999</v>
      </c>
      <c r="F353" s="14">
        <v>5909.8</v>
      </c>
      <c r="G353" s="13">
        <v>1601.5200000000066</v>
      </c>
      <c r="H353" s="15">
        <v>127</v>
      </c>
      <c r="I353" s="13">
        <v>2</v>
      </c>
      <c r="J353" s="16">
        <v>723</v>
      </c>
      <c r="K353" s="15">
        <v>1871</v>
      </c>
      <c r="L353" s="14">
        <v>1137</v>
      </c>
      <c r="M353" s="13">
        <v>916</v>
      </c>
      <c r="O353" s="2"/>
    </row>
    <row r="354" spans="1:15" outlineLevel="1" x14ac:dyDescent="0.2">
      <c r="A354" s="20">
        <f t="shared" si="157"/>
        <v>3644</v>
      </c>
      <c r="B354" s="19" t="str">
        <f t="shared" si="157"/>
        <v>TTU</v>
      </c>
      <c r="C354" s="18"/>
      <c r="D354" s="15">
        <v>4476</v>
      </c>
      <c r="E354" s="21">
        <v>0.72799999999999998</v>
      </c>
      <c r="F354" s="14">
        <v>21422.2</v>
      </c>
      <c r="G354" s="13">
        <v>9827.5299999990111</v>
      </c>
      <c r="H354" s="15">
        <v>656</v>
      </c>
      <c r="I354" s="13">
        <v>43</v>
      </c>
      <c r="J354" s="16">
        <v>2539</v>
      </c>
      <c r="K354" s="15">
        <v>6430</v>
      </c>
      <c r="L354" s="14">
        <v>5148</v>
      </c>
      <c r="M354" s="13">
        <v>3832</v>
      </c>
      <c r="O354" s="2"/>
    </row>
    <row r="355" spans="1:15" outlineLevel="1" x14ac:dyDescent="0.2">
      <c r="A355" s="20">
        <f t="shared" si="157"/>
        <v>3541</v>
      </c>
      <c r="B355" s="19" t="str">
        <f t="shared" si="157"/>
        <v>Angelo</v>
      </c>
      <c r="C355" s="18"/>
      <c r="D355" s="15">
        <v>941</v>
      </c>
      <c r="E355" s="21">
        <v>0.44</v>
      </c>
      <c r="F355" s="14">
        <v>4829.1333333333332</v>
      </c>
      <c r="G355" s="13">
        <v>1933.5900000000179</v>
      </c>
      <c r="H355" s="15">
        <v>217</v>
      </c>
      <c r="I355" s="13">
        <v>18</v>
      </c>
      <c r="J355" s="16">
        <v>676</v>
      </c>
      <c r="K355" s="15">
        <v>1474</v>
      </c>
      <c r="L355" s="14">
        <v>1008</v>
      </c>
      <c r="M355" s="13">
        <v>708</v>
      </c>
      <c r="O355" s="2"/>
    </row>
    <row r="356" spans="1:15" outlineLevel="1" x14ac:dyDescent="0.2">
      <c r="A356" s="20">
        <f t="shared" si="157"/>
        <v>3646</v>
      </c>
      <c r="B356" s="19" t="str">
        <f t="shared" si="157"/>
        <v>TWU</v>
      </c>
      <c r="C356" s="18"/>
      <c r="D356" s="15">
        <v>1774</v>
      </c>
      <c r="E356" s="21">
        <v>0.54500000000000004</v>
      </c>
      <c r="F356" s="14">
        <v>6071.4666666666662</v>
      </c>
      <c r="G356" s="13">
        <v>3425.2000000000221</v>
      </c>
      <c r="H356" s="15">
        <v>614</v>
      </c>
      <c r="I356" s="13">
        <v>31</v>
      </c>
      <c r="J356" s="16">
        <v>1214</v>
      </c>
      <c r="K356" s="15">
        <v>2042</v>
      </c>
      <c r="L356" s="14">
        <v>1371</v>
      </c>
      <c r="M356" s="13">
        <v>668</v>
      </c>
      <c r="O356" s="2"/>
    </row>
    <row r="357" spans="1:15" outlineLevel="1" x14ac:dyDescent="0.2">
      <c r="A357" s="20">
        <f t="shared" si="157"/>
        <v>3581</v>
      </c>
      <c r="B357" s="19" t="str">
        <f t="shared" si="157"/>
        <v>Lamar</v>
      </c>
      <c r="C357" s="18"/>
      <c r="D357" s="15">
        <v>1286</v>
      </c>
      <c r="E357" s="21">
        <v>0.33800000000000002</v>
      </c>
      <c r="F357" s="14">
        <v>7172.9333333333334</v>
      </c>
      <c r="G357" s="13">
        <v>2638.0900000000311</v>
      </c>
      <c r="H357" s="15">
        <v>314</v>
      </c>
      <c r="I357" s="13">
        <v>17</v>
      </c>
      <c r="J357" s="16">
        <v>908</v>
      </c>
      <c r="K357" s="15">
        <v>2043</v>
      </c>
      <c r="L357" s="14">
        <v>1404</v>
      </c>
      <c r="M357" s="13">
        <v>1031</v>
      </c>
      <c r="O357" s="2"/>
    </row>
    <row r="358" spans="1:15" outlineLevel="1" x14ac:dyDescent="0.2">
      <c r="A358" s="20">
        <f t="shared" si="157"/>
        <v>3606</v>
      </c>
      <c r="B358" s="19" t="str">
        <f t="shared" si="157"/>
        <v>SHSU</v>
      </c>
      <c r="C358" s="18"/>
      <c r="D358" s="15">
        <v>3242</v>
      </c>
      <c r="E358" s="21">
        <v>0.57899999999999996</v>
      </c>
      <c r="F358" s="14">
        <v>12517.066666666668</v>
      </c>
      <c r="G358" s="13">
        <v>6188.6300000000374</v>
      </c>
      <c r="H358" s="15">
        <v>163</v>
      </c>
      <c r="I358" s="13">
        <v>69</v>
      </c>
      <c r="J358" s="16">
        <v>2318</v>
      </c>
      <c r="K358" s="15">
        <v>3849</v>
      </c>
      <c r="L358" s="14">
        <v>3011</v>
      </c>
      <c r="M358" s="13">
        <v>1870</v>
      </c>
      <c r="O358" s="2"/>
    </row>
    <row r="359" spans="1:15" outlineLevel="1" x14ac:dyDescent="0.2">
      <c r="A359" s="20">
        <f t="shared" si="157"/>
        <v>3615</v>
      </c>
      <c r="B359" s="19" t="str">
        <f t="shared" si="157"/>
        <v>TXST</v>
      </c>
      <c r="C359" s="18"/>
      <c r="D359" s="15">
        <v>5299</v>
      </c>
      <c r="E359" s="21">
        <v>0.64400000000000002</v>
      </c>
      <c r="F359" s="14">
        <v>21764.6</v>
      </c>
      <c r="G359" s="13">
        <v>10384.469999998846</v>
      </c>
      <c r="H359" s="15">
        <v>439</v>
      </c>
      <c r="I359" s="13">
        <v>68</v>
      </c>
      <c r="J359" s="16">
        <v>3545</v>
      </c>
      <c r="K359" s="15">
        <v>7301</v>
      </c>
      <c r="L359" s="14">
        <v>5428</v>
      </c>
      <c r="M359" s="13">
        <v>3302</v>
      </c>
      <c r="O359" s="2"/>
    </row>
    <row r="360" spans="1:15" outlineLevel="1" x14ac:dyDescent="0.2">
      <c r="A360" s="20">
        <f t="shared" si="157"/>
        <v>3625</v>
      </c>
      <c r="B360" s="19" t="str">
        <f t="shared" si="157"/>
        <v>SRSU</v>
      </c>
      <c r="C360" s="18"/>
      <c r="D360" s="15">
        <v>181</v>
      </c>
      <c r="E360" s="21">
        <v>0.28499999999999998</v>
      </c>
      <c r="F360" s="14">
        <v>1230.9333333333334</v>
      </c>
      <c r="G360" s="13">
        <v>368.43999999999954</v>
      </c>
      <c r="H360" s="15">
        <v>10</v>
      </c>
      <c r="I360" s="13">
        <v>10</v>
      </c>
      <c r="J360" s="16">
        <v>156</v>
      </c>
      <c r="K360" s="15">
        <v>318</v>
      </c>
      <c r="L360" s="14">
        <v>176</v>
      </c>
      <c r="M360" s="13">
        <v>115</v>
      </c>
      <c r="O360" s="2"/>
    </row>
    <row r="361" spans="1:15" outlineLevel="1" x14ac:dyDescent="0.2">
      <c r="A361" s="20">
        <f t="shared" si="157"/>
        <v>20</v>
      </c>
      <c r="B361" s="19" t="str">
        <f t="shared" si="157"/>
        <v>SRRG</v>
      </c>
      <c r="C361" s="18"/>
      <c r="D361" s="15">
        <v>168</v>
      </c>
      <c r="E361" s="17">
        <v>0.36144578313253012</v>
      </c>
      <c r="F361" s="14">
        <v>416.33333333333331</v>
      </c>
      <c r="G361" s="13">
        <v>287.9199999999995</v>
      </c>
      <c r="H361" s="15">
        <v>8</v>
      </c>
      <c r="I361" s="13">
        <v>9</v>
      </c>
      <c r="J361" s="16">
        <v>149</v>
      </c>
      <c r="K361" s="15">
        <v>251</v>
      </c>
      <c r="L361" s="14">
        <v>90</v>
      </c>
      <c r="M361" s="13">
        <v>5</v>
      </c>
      <c r="O361" s="2"/>
    </row>
    <row r="362" spans="1:15" ht="13.5" outlineLevel="1" thickBot="1" x14ac:dyDescent="0.25">
      <c r="A362" s="12"/>
      <c r="B362" s="11" t="s">
        <v>11</v>
      </c>
      <c r="C362" s="10"/>
      <c r="D362" s="9">
        <f>SUM(D324:D361)</f>
        <v>81251</v>
      </c>
      <c r="E362" s="8">
        <v>0.56799999999999995</v>
      </c>
      <c r="F362" s="7">
        <f t="shared" ref="F362:M362" si="158">SUM(F324:F361)</f>
        <v>338321.33333333337</v>
      </c>
      <c r="G362" s="3">
        <f t="shared" si="158"/>
        <v>165601.52999999447</v>
      </c>
      <c r="H362" s="5">
        <f t="shared" si="158"/>
        <v>12362</v>
      </c>
      <c r="I362" s="3">
        <f t="shared" si="158"/>
        <v>1122</v>
      </c>
      <c r="J362" s="6">
        <f t="shared" si="158"/>
        <v>51678</v>
      </c>
      <c r="K362" s="5">
        <f t="shared" si="158"/>
        <v>112517</v>
      </c>
      <c r="L362" s="4">
        <f t="shared" si="158"/>
        <v>81688</v>
      </c>
      <c r="M362" s="3">
        <f t="shared" si="158"/>
        <v>51008</v>
      </c>
      <c r="O362" s="2"/>
    </row>
    <row r="363" spans="1:15" x14ac:dyDescent="0.2">
      <c r="O363" s="2"/>
    </row>
    <row r="365" spans="1:15" x14ac:dyDescent="0.2">
      <c r="A365" s="1" t="s">
        <v>10</v>
      </c>
    </row>
    <row r="366" spans="1:15" x14ac:dyDescent="0.2">
      <c r="A366" s="1" t="s">
        <v>9</v>
      </c>
    </row>
    <row r="367" spans="1:15" x14ac:dyDescent="0.2">
      <c r="A367" s="1" t="s">
        <v>8</v>
      </c>
    </row>
    <row r="368" spans="1:15" x14ac:dyDescent="0.2">
      <c r="A368" s="1" t="s">
        <v>7</v>
      </c>
    </row>
    <row r="369" spans="1:1" x14ac:dyDescent="0.2">
      <c r="A369" s="1" t="s">
        <v>6</v>
      </c>
    </row>
    <row r="370" spans="1:1" x14ac:dyDescent="0.2">
      <c r="A370" s="1" t="s">
        <v>5</v>
      </c>
    </row>
    <row r="371" spans="1:1" x14ac:dyDescent="0.2">
      <c r="A371" s="1" t="s">
        <v>4</v>
      </c>
    </row>
    <row r="372" spans="1:1" x14ac:dyDescent="0.2">
      <c r="A372" s="1" t="s">
        <v>3</v>
      </c>
    </row>
    <row r="373" spans="1:1" x14ac:dyDescent="0.2">
      <c r="A373" s="1" t="s">
        <v>2</v>
      </c>
    </row>
    <row r="374" spans="1:1" x14ac:dyDescent="0.2">
      <c r="A374" s="1" t="s">
        <v>1</v>
      </c>
    </row>
    <row r="375" spans="1:1" x14ac:dyDescent="0.2">
      <c r="A375" s="1" t="s">
        <v>0</v>
      </c>
    </row>
  </sheetData>
  <mergeCells count="89">
    <mergeCell ref="J280:J281"/>
    <mergeCell ref="K280:M280"/>
    <mergeCell ref="G238:G239"/>
    <mergeCell ref="H238:H239"/>
    <mergeCell ref="G322:G323"/>
    <mergeCell ref="H322:H323"/>
    <mergeCell ref="I322:I323"/>
    <mergeCell ref="J322:J323"/>
    <mergeCell ref="K322:M322"/>
    <mergeCell ref="N46:N47"/>
    <mergeCell ref="N153:N154"/>
    <mergeCell ref="A322:A323"/>
    <mergeCell ref="B322:B323"/>
    <mergeCell ref="C322:C323"/>
    <mergeCell ref="D322:D323"/>
    <mergeCell ref="E322:E323"/>
    <mergeCell ref="F322:F323"/>
    <mergeCell ref="F280:F281"/>
    <mergeCell ref="G280:G281"/>
    <mergeCell ref="I238:I239"/>
    <mergeCell ref="J238:J239"/>
    <mergeCell ref="K238:M238"/>
    <mergeCell ref="A280:A281"/>
    <mergeCell ref="B280:B281"/>
    <mergeCell ref="C280:C281"/>
    <mergeCell ref="D280:D281"/>
    <mergeCell ref="E280:E281"/>
    <mergeCell ref="H280:H281"/>
    <mergeCell ref="I280:I281"/>
    <mergeCell ref="H196:H197"/>
    <mergeCell ref="I196:I197"/>
    <mergeCell ref="J196:J197"/>
    <mergeCell ref="K196:M196"/>
    <mergeCell ref="A238:A239"/>
    <mergeCell ref="B238:B239"/>
    <mergeCell ref="C238:C239"/>
    <mergeCell ref="D238:D239"/>
    <mergeCell ref="E238:E239"/>
    <mergeCell ref="F238:F239"/>
    <mergeCell ref="I153:I154"/>
    <mergeCell ref="J153:J154"/>
    <mergeCell ref="K153:M153"/>
    <mergeCell ref="A155:C155"/>
    <mergeCell ref="A196:A197"/>
    <mergeCell ref="B196:B197"/>
    <mergeCell ref="C196:C197"/>
    <mergeCell ref="D196:D197"/>
    <mergeCell ref="E196:E197"/>
    <mergeCell ref="F196:F197"/>
    <mergeCell ref="G196:G197"/>
    <mergeCell ref="A153:A154"/>
    <mergeCell ref="B153:B154"/>
    <mergeCell ref="C153:C154"/>
    <mergeCell ref="D153:G153"/>
    <mergeCell ref="H153:H154"/>
    <mergeCell ref="N88:N89"/>
    <mergeCell ref="C129:C130"/>
    <mergeCell ref="D129:G129"/>
    <mergeCell ref="H129:H130"/>
    <mergeCell ref="I129:I130"/>
    <mergeCell ref="J129:J130"/>
    <mergeCell ref="K129:M129"/>
    <mergeCell ref="N129:N130"/>
    <mergeCell ref="I46:I47"/>
    <mergeCell ref="J46:J47"/>
    <mergeCell ref="K46:M46"/>
    <mergeCell ref="A88:A89"/>
    <mergeCell ref="B88:B89"/>
    <mergeCell ref="C88:C89"/>
    <mergeCell ref="D88:G88"/>
    <mergeCell ref="H88:H89"/>
    <mergeCell ref="I88:I89"/>
    <mergeCell ref="J88:J89"/>
    <mergeCell ref="K88:M88"/>
    <mergeCell ref="A46:A47"/>
    <mergeCell ref="B46:B47"/>
    <mergeCell ref="C46:C47"/>
    <mergeCell ref="D46:G46"/>
    <mergeCell ref="H46:H47"/>
    <mergeCell ref="O3:Q3"/>
    <mergeCell ref="A1:M1"/>
    <mergeCell ref="A3:A4"/>
    <mergeCell ref="B3:B4"/>
    <mergeCell ref="C3:C4"/>
    <mergeCell ref="D3:G3"/>
    <mergeCell ref="H3:H4"/>
    <mergeCell ref="I3:I4"/>
    <mergeCell ref="J3:J4"/>
    <mergeCell ref="K3:M3"/>
  </mergeCells>
  <conditionalFormatting sqref="D142:M142">
    <cfRule type="colorScale" priority="10">
      <colorScale>
        <cfvo type="min"/>
        <cfvo type="max"/>
        <color theme="6" tint="0.79998168889431442"/>
        <color theme="6" tint="-0.499984740745262"/>
      </colorScale>
    </cfRule>
  </conditionalFormatting>
  <conditionalFormatting sqref="D131:M135">
    <cfRule type="cellIs" dxfId="107" priority="11" operator="equal">
      <formula>$D$150</formula>
    </cfRule>
    <cfRule type="cellIs" dxfId="106" priority="12" operator="equal">
      <formula>$E$150</formula>
    </cfRule>
    <cfRule type="cellIs" dxfId="105" priority="13" operator="equal">
      <formula>$F$150</formula>
    </cfRule>
    <cfRule type="cellIs" dxfId="104" priority="14" operator="equal">
      <formula>$G$150</formula>
    </cfRule>
    <cfRule type="cellIs" dxfId="103" priority="15" operator="equal">
      <formula>$H$150</formula>
    </cfRule>
    <cfRule type="cellIs" dxfId="102" priority="16" operator="equal">
      <formula>$I$150</formula>
    </cfRule>
    <cfRule type="cellIs" dxfId="101" priority="17" operator="equal">
      <formula>$J$150</formula>
    </cfRule>
    <cfRule type="cellIs" dxfId="100" priority="18" operator="equal">
      <formula>$K$150</formula>
    </cfRule>
    <cfRule type="cellIs" dxfId="99" priority="19" operator="equal">
      <formula>$L$150</formula>
    </cfRule>
  </conditionalFormatting>
  <conditionalFormatting sqref="D90:M127">
    <cfRule type="cellIs" dxfId="98" priority="1" operator="equal">
      <formula>$D$150</formula>
    </cfRule>
    <cfRule type="cellIs" dxfId="97" priority="2" operator="equal">
      <formula>$E$150</formula>
    </cfRule>
    <cfRule type="cellIs" dxfId="96" priority="3" operator="equal">
      <formula>$F$150</formula>
    </cfRule>
    <cfRule type="cellIs" dxfId="95" priority="4" operator="equal">
      <formula>$G$150</formula>
    </cfRule>
    <cfRule type="cellIs" dxfId="94" priority="5" operator="equal">
      <formula>$H$150</formula>
    </cfRule>
    <cfRule type="cellIs" dxfId="93" priority="6" operator="equal">
      <formula>$I$150</formula>
    </cfRule>
    <cfRule type="cellIs" dxfId="92" priority="7" operator="equal">
      <formula>$J$150</formula>
    </cfRule>
    <cfRule type="cellIs" dxfId="91" priority="8" operator="equal">
      <formula>$K$150</formula>
    </cfRule>
    <cfRule type="cellIs" dxfId="90" priority="9" operator="equal">
      <formula>$L$150</formula>
    </cfRule>
  </conditionalFormatting>
  <pageMargins left="0.25" right="0.25" top="0.5" bottom="0.25" header="0.3" footer="0.3"/>
  <pageSetup paperSize="5" scale="7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U396"/>
  <sheetViews>
    <sheetView showGridLines="0" zoomScale="70" zoomScaleNormal="70" workbookViewId="0">
      <pane xSplit="2" ySplit="4" topLeftCell="C5" activePane="bottomRight" state="frozen"/>
      <selection activeCell="C5" sqref="C5"/>
      <selection pane="topRight" activeCell="C5" sqref="C5"/>
      <selection pane="bottomLeft" activeCell="C5" sqref="C5"/>
      <selection pane="bottomRight" activeCell="A2" sqref="A2"/>
    </sheetView>
  </sheetViews>
  <sheetFormatPr defaultRowHeight="12.75" outlineLevelRow="1" x14ac:dyDescent="0.2"/>
  <cols>
    <col min="1" max="1" width="7.28515625" style="1" customWidth="1"/>
    <col min="2" max="2" width="10.85546875" style="1" bestFit="1" customWidth="1"/>
    <col min="3" max="3" width="13.7109375" style="1" bestFit="1" customWidth="1"/>
    <col min="4" max="4" width="13.140625" style="1" customWidth="1"/>
    <col min="5" max="5" width="12.5703125" style="1" customWidth="1"/>
    <col min="6" max="6" width="13" style="1" customWidth="1"/>
    <col min="7" max="7" width="12.42578125" style="1" customWidth="1"/>
    <col min="8" max="8" width="12.85546875" style="1" customWidth="1"/>
    <col min="9" max="9" width="12.28515625" style="1" customWidth="1"/>
    <col min="10" max="10" width="12.42578125" style="1" customWidth="1"/>
    <col min="11" max="13" width="12.5703125" style="1" bestFit="1" customWidth="1"/>
    <col min="14" max="14" width="14.28515625" style="154" customWidth="1"/>
    <col min="15" max="15" width="16.42578125" style="1" customWidth="1"/>
    <col min="16" max="16" width="14.85546875" style="1" customWidth="1"/>
    <col min="17" max="17" width="16.85546875" style="1" customWidth="1"/>
    <col min="18" max="18" width="9.140625" style="1"/>
    <col min="19" max="19" width="9.85546875" style="1" bestFit="1" customWidth="1"/>
    <col min="20" max="20" width="11.28515625" style="1" bestFit="1" customWidth="1"/>
    <col min="21" max="21" width="10.5703125" style="1" bestFit="1" customWidth="1"/>
    <col min="22" max="16384" width="9.140625" style="1"/>
  </cols>
  <sheetData>
    <row r="1" spans="1:21" ht="41.25" customHeight="1" x14ac:dyDescent="0.2">
      <c r="A1" s="257" t="s">
        <v>101</v>
      </c>
      <c r="B1" s="257"/>
      <c r="C1" s="257"/>
      <c r="D1" s="257"/>
      <c r="E1" s="257"/>
      <c r="F1" s="257"/>
      <c r="G1" s="257"/>
      <c r="H1" s="257"/>
      <c r="I1" s="257"/>
      <c r="J1" s="257"/>
      <c r="K1" s="257"/>
      <c r="L1" s="257"/>
      <c r="M1" s="257"/>
    </row>
    <row r="2" spans="1:21" ht="13.5" thickBot="1" x14ac:dyDescent="0.25">
      <c r="A2" s="72"/>
      <c r="B2" s="71"/>
      <c r="C2" s="71"/>
      <c r="D2" s="71"/>
      <c r="E2" s="71"/>
      <c r="F2" s="71"/>
      <c r="G2" s="71"/>
      <c r="H2" s="71"/>
    </row>
    <row r="3" spans="1:21" ht="12.75" customHeight="1" thickBot="1" x14ac:dyDescent="0.25">
      <c r="A3" s="258" t="s">
        <v>24</v>
      </c>
      <c r="B3" s="260" t="s">
        <v>23</v>
      </c>
      <c r="C3" s="262" t="s">
        <v>74</v>
      </c>
      <c r="D3" s="248" t="s">
        <v>35</v>
      </c>
      <c r="E3" s="248"/>
      <c r="F3" s="248"/>
      <c r="G3" s="248"/>
      <c r="H3" s="250" t="s">
        <v>18</v>
      </c>
      <c r="I3" s="225" t="s">
        <v>17</v>
      </c>
      <c r="J3" s="227" t="s">
        <v>16</v>
      </c>
      <c r="K3" s="229" t="s">
        <v>34</v>
      </c>
      <c r="L3" s="230"/>
      <c r="M3" s="231"/>
      <c r="O3" s="254" t="s">
        <v>94</v>
      </c>
      <c r="P3" s="255"/>
      <c r="Q3" s="256"/>
    </row>
    <row r="4" spans="1:21" ht="54" customHeight="1" thickBot="1" x14ac:dyDescent="0.25">
      <c r="A4" s="267"/>
      <c r="B4" s="268"/>
      <c r="C4" s="269"/>
      <c r="D4" s="122"/>
      <c r="E4" s="123" t="s">
        <v>33</v>
      </c>
      <c r="F4" s="123" t="s">
        <v>32</v>
      </c>
      <c r="G4" s="124" t="s">
        <v>31</v>
      </c>
      <c r="H4" s="264"/>
      <c r="I4" s="265"/>
      <c r="J4" s="266"/>
      <c r="K4" s="125" t="s">
        <v>14</v>
      </c>
      <c r="L4" s="126" t="s">
        <v>13</v>
      </c>
      <c r="M4" s="135" t="s">
        <v>12</v>
      </c>
      <c r="O4" s="157" t="s">
        <v>87</v>
      </c>
      <c r="P4" s="121" t="s">
        <v>92</v>
      </c>
      <c r="Q4" s="158" t="s">
        <v>93</v>
      </c>
      <c r="S4" s="204" t="s">
        <v>96</v>
      </c>
    </row>
    <row r="5" spans="1:21" x14ac:dyDescent="0.2">
      <c r="A5" s="40">
        <v>3656</v>
      </c>
      <c r="B5" s="39" t="s">
        <v>73</v>
      </c>
      <c r="C5" s="70">
        <f t="shared" ref="C5:C42" si="0">SUM(D5:M5)</f>
        <v>12391376.419123143</v>
      </c>
      <c r="D5" s="82">
        <f t="shared" ref="D5:M5" si="1">D48/$C$86*$C$43</f>
        <v>0</v>
      </c>
      <c r="E5" s="67">
        <f t="shared" si="1"/>
        <v>3367873.7699658941</v>
      </c>
      <c r="F5" s="67">
        <f t="shared" si="1"/>
        <v>0</v>
      </c>
      <c r="G5" s="66">
        <f t="shared" si="1"/>
        <v>770877.51876046532</v>
      </c>
      <c r="H5" s="68">
        <f t="shared" si="1"/>
        <v>0</v>
      </c>
      <c r="I5" s="66">
        <f t="shared" si="1"/>
        <v>0</v>
      </c>
      <c r="J5" s="69">
        <f t="shared" si="1"/>
        <v>5533331.0219316166</v>
      </c>
      <c r="K5" s="68">
        <f t="shared" si="1"/>
        <v>1719808.5693816182</v>
      </c>
      <c r="L5" s="67">
        <f t="shared" si="1"/>
        <v>709140.54792508553</v>
      </c>
      <c r="M5" s="66">
        <f t="shared" si="1"/>
        <v>290344.9911584626</v>
      </c>
      <c r="O5" s="74">
        <v>5.3941374102444546E-2</v>
      </c>
      <c r="P5" s="119">
        <f t="shared" ref="P5:P42" si="2">MIN(0,C48/$C$86-O5+$P$44)*-1*$Q$43</f>
        <v>0</v>
      </c>
      <c r="Q5" s="159">
        <f t="shared" ref="Q5:Q42" si="3">C5+P5</f>
        <v>12391376.419123143</v>
      </c>
      <c r="S5" s="205">
        <f t="shared" ref="S5:S43" si="4">Q5-O5*$Q$43</f>
        <v>-284846.49495132454</v>
      </c>
      <c r="T5" s="202"/>
      <c r="U5" s="203"/>
    </row>
    <row r="6" spans="1:21" x14ac:dyDescent="0.2">
      <c r="A6" s="20">
        <v>3658</v>
      </c>
      <c r="B6" s="19" t="s">
        <v>72</v>
      </c>
      <c r="C6" s="55">
        <f t="shared" si="0"/>
        <v>25067121.367238618</v>
      </c>
      <c r="D6" s="15">
        <f t="shared" ref="D6:M6" si="5">D49/$C$86*$C$43</f>
        <v>0</v>
      </c>
      <c r="E6" s="14">
        <f t="shared" si="5"/>
        <v>11523830.508398915</v>
      </c>
      <c r="F6" s="14">
        <f t="shared" si="5"/>
        <v>0</v>
      </c>
      <c r="G6" s="13">
        <f t="shared" si="5"/>
        <v>1435300.2223642764</v>
      </c>
      <c r="H6" s="15">
        <f t="shared" si="5"/>
        <v>0</v>
      </c>
      <c r="I6" s="13">
        <f t="shared" si="5"/>
        <v>0</v>
      </c>
      <c r="J6" s="16">
        <f t="shared" si="5"/>
        <v>4108366.0868157228</v>
      </c>
      <c r="K6" s="15">
        <f t="shared" si="5"/>
        <v>603660.43877497315</v>
      </c>
      <c r="L6" s="14">
        <f t="shared" si="5"/>
        <v>1665842.1166239488</v>
      </c>
      <c r="M6" s="13">
        <f t="shared" si="5"/>
        <v>5730121.9942607796</v>
      </c>
      <c r="O6" s="74">
        <v>9.7535367886092073E-2</v>
      </c>
      <c r="P6" s="120">
        <f t="shared" si="2"/>
        <v>0</v>
      </c>
      <c r="Q6" s="160">
        <f t="shared" si="3"/>
        <v>25067121.367238618</v>
      </c>
      <c r="S6" s="206">
        <f t="shared" si="4"/>
        <v>2146309.914006982</v>
      </c>
      <c r="T6" s="202"/>
      <c r="U6" s="203"/>
    </row>
    <row r="7" spans="1:21" x14ac:dyDescent="0.2">
      <c r="A7" s="20">
        <v>9741</v>
      </c>
      <c r="B7" s="220" t="s">
        <v>71</v>
      </c>
      <c r="C7" s="219">
        <f t="shared" si="0"/>
        <v>6339251.2687083194</v>
      </c>
      <c r="D7" s="30">
        <f t="shared" ref="D7:M7" si="6">D50/$C$86*$C$43</f>
        <v>0</v>
      </c>
      <c r="E7" s="29">
        <f t="shared" si="6"/>
        <v>2613937.9833002519</v>
      </c>
      <c r="F7" s="29">
        <f t="shared" si="6"/>
        <v>0</v>
      </c>
      <c r="G7" s="28">
        <f t="shared" si="6"/>
        <v>377442.32260262745</v>
      </c>
      <c r="H7" s="30">
        <f t="shared" si="6"/>
        <v>0</v>
      </c>
      <c r="I7" s="28">
        <f t="shared" si="6"/>
        <v>0</v>
      </c>
      <c r="J7" s="43">
        <f t="shared" si="6"/>
        <v>1952864.9190403717</v>
      </c>
      <c r="K7" s="30">
        <f t="shared" si="6"/>
        <v>833950.76417671237</v>
      </c>
      <c r="L7" s="29">
        <f t="shared" si="6"/>
        <v>394802.79352789529</v>
      </c>
      <c r="M7" s="28">
        <f t="shared" si="6"/>
        <v>166252.48606046144</v>
      </c>
      <c r="O7" s="218">
        <v>3.0845130992374833E-2</v>
      </c>
      <c r="P7" s="217">
        <f t="shared" si="2"/>
        <v>0</v>
      </c>
      <c r="Q7" s="216">
        <f t="shared" si="3"/>
        <v>6339251.2687083194</v>
      </c>
      <c r="R7" s="215"/>
      <c r="S7" s="214">
        <f t="shared" si="4"/>
        <v>-909354.51449976675</v>
      </c>
      <c r="T7" s="202"/>
      <c r="U7" s="203"/>
    </row>
    <row r="8" spans="1:21" x14ac:dyDescent="0.2">
      <c r="A8" s="20">
        <v>3661</v>
      </c>
      <c r="B8" s="220" t="s">
        <v>70</v>
      </c>
      <c r="C8" s="219">
        <f t="shared" si="0"/>
        <v>8609661.6423939299</v>
      </c>
      <c r="D8" s="30">
        <f t="shared" ref="D8:M8" si="7">D51/$C$86*$C$43</f>
        <v>0</v>
      </c>
      <c r="E8" s="29">
        <f t="shared" si="7"/>
        <v>617498.69905250741</v>
      </c>
      <c r="F8" s="29">
        <f t="shared" si="7"/>
        <v>0</v>
      </c>
      <c r="G8" s="28">
        <f t="shared" si="7"/>
        <v>232999.99330185034</v>
      </c>
      <c r="H8" s="30">
        <f t="shared" si="7"/>
        <v>0</v>
      </c>
      <c r="I8" s="28">
        <f t="shared" si="7"/>
        <v>0</v>
      </c>
      <c r="J8" s="43">
        <f t="shared" si="7"/>
        <v>4376114.2752610659</v>
      </c>
      <c r="K8" s="30">
        <f t="shared" si="7"/>
        <v>548755.53552261495</v>
      </c>
      <c r="L8" s="29">
        <f t="shared" si="7"/>
        <v>1242306.2133375031</v>
      </c>
      <c r="M8" s="28">
        <f t="shared" si="7"/>
        <v>1591986.9259183875</v>
      </c>
      <c r="O8" s="218">
        <v>3.8067899960727944E-2</v>
      </c>
      <c r="P8" s="217">
        <f t="shared" si="2"/>
        <v>0</v>
      </c>
      <c r="Q8" s="216">
        <f t="shared" si="3"/>
        <v>8609661.6423939299</v>
      </c>
      <c r="R8" s="215"/>
      <c r="S8" s="214">
        <f t="shared" si="4"/>
        <v>-336294.84837713651</v>
      </c>
      <c r="T8" s="202"/>
      <c r="U8" s="203"/>
    </row>
    <row r="9" spans="1:21" x14ac:dyDescent="0.2">
      <c r="A9" s="20">
        <v>3599</v>
      </c>
      <c r="B9" s="220" t="s">
        <v>69</v>
      </c>
      <c r="C9" s="219">
        <f t="shared" si="0"/>
        <v>8157899.836561108</v>
      </c>
      <c r="D9" s="30">
        <f t="shared" ref="D9:M9" si="8">D52/$C$86*$C$43</f>
        <v>0</v>
      </c>
      <c r="E9" s="29">
        <f t="shared" si="8"/>
        <v>1151868.6887134318</v>
      </c>
      <c r="F9" s="29">
        <f t="shared" si="8"/>
        <v>0</v>
      </c>
      <c r="G9" s="28">
        <f t="shared" si="8"/>
        <v>189940.65367213933</v>
      </c>
      <c r="H9" s="30">
        <f t="shared" si="8"/>
        <v>0</v>
      </c>
      <c r="I9" s="28">
        <f t="shared" si="8"/>
        <v>0</v>
      </c>
      <c r="J9" s="43">
        <f t="shared" si="8"/>
        <v>4152365.9733472713</v>
      </c>
      <c r="K9" s="30">
        <f t="shared" si="8"/>
        <v>512613.47626065789</v>
      </c>
      <c r="L9" s="29">
        <f t="shared" si="8"/>
        <v>572689.10608887882</v>
      </c>
      <c r="M9" s="28">
        <f t="shared" si="8"/>
        <v>1578421.9384787283</v>
      </c>
      <c r="O9" s="218">
        <v>3.6041180893975448E-2</v>
      </c>
      <c r="P9" s="217">
        <f t="shared" si="2"/>
        <v>0</v>
      </c>
      <c r="Q9" s="216">
        <f t="shared" si="3"/>
        <v>8157899.836561108</v>
      </c>
      <c r="R9" s="215"/>
      <c r="S9" s="214">
        <f t="shared" si="4"/>
        <v>-311777.67352312244</v>
      </c>
      <c r="T9" s="202"/>
      <c r="U9" s="203"/>
    </row>
    <row r="10" spans="1:21" x14ac:dyDescent="0.2">
      <c r="A10" s="20">
        <v>30646</v>
      </c>
      <c r="B10" s="220" t="s">
        <v>68</v>
      </c>
      <c r="C10" s="219">
        <f t="shared" si="0"/>
        <v>3084871.8403782179</v>
      </c>
      <c r="D10" s="30">
        <f t="shared" ref="D10:M10" si="9">D53/$C$86*$C$43</f>
        <v>0</v>
      </c>
      <c r="E10" s="29">
        <f t="shared" si="9"/>
        <v>813380.65782064013</v>
      </c>
      <c r="F10" s="29">
        <f t="shared" si="9"/>
        <v>0</v>
      </c>
      <c r="G10" s="28">
        <f t="shared" si="9"/>
        <v>155217.49209636808</v>
      </c>
      <c r="H10" s="30">
        <f t="shared" si="9"/>
        <v>0</v>
      </c>
      <c r="I10" s="28">
        <f t="shared" si="9"/>
        <v>0</v>
      </c>
      <c r="J10" s="43">
        <f t="shared" si="9"/>
        <v>1663314.0962374671</v>
      </c>
      <c r="K10" s="30">
        <f t="shared" si="9"/>
        <v>333664.16195667553</v>
      </c>
      <c r="L10" s="29">
        <f t="shared" si="9"/>
        <v>102908.92743995896</v>
      </c>
      <c r="M10" s="28">
        <f t="shared" si="9"/>
        <v>16386.504827108147</v>
      </c>
      <c r="O10" s="218">
        <v>1.3127311227878089E-2</v>
      </c>
      <c r="P10" s="217">
        <f t="shared" si="2"/>
        <v>0</v>
      </c>
      <c r="Q10" s="216">
        <f t="shared" si="3"/>
        <v>3084871.8403782179</v>
      </c>
      <c r="R10" s="215"/>
      <c r="S10" s="214">
        <f t="shared" si="4"/>
        <v>-46.298173132818192</v>
      </c>
      <c r="T10" s="202"/>
      <c r="U10" s="203"/>
    </row>
    <row r="11" spans="1:21" x14ac:dyDescent="0.2">
      <c r="A11" s="20">
        <v>9930</v>
      </c>
      <c r="B11" s="220" t="s">
        <v>67</v>
      </c>
      <c r="C11" s="219">
        <f t="shared" si="0"/>
        <v>1409487.2844472434</v>
      </c>
      <c r="D11" s="30">
        <f t="shared" ref="D11:M11" si="10">D54/$C$86*$C$43</f>
        <v>0</v>
      </c>
      <c r="E11" s="29">
        <f t="shared" si="10"/>
        <v>306618.04336334806</v>
      </c>
      <c r="F11" s="29">
        <f t="shared" si="10"/>
        <v>0</v>
      </c>
      <c r="G11" s="28">
        <f t="shared" si="10"/>
        <v>74103.060021505051</v>
      </c>
      <c r="H11" s="30">
        <f t="shared" si="10"/>
        <v>0</v>
      </c>
      <c r="I11" s="28">
        <f t="shared" si="10"/>
        <v>0</v>
      </c>
      <c r="J11" s="43">
        <f t="shared" si="10"/>
        <v>708536.2893936825</v>
      </c>
      <c r="K11" s="30">
        <f t="shared" si="10"/>
        <v>197649.26607989048</v>
      </c>
      <c r="L11" s="29">
        <f t="shared" si="10"/>
        <v>90947.074879532331</v>
      </c>
      <c r="M11" s="28">
        <f t="shared" si="10"/>
        <v>31633.550709284937</v>
      </c>
      <c r="O11" s="218">
        <v>6.658597974462911E-3</v>
      </c>
      <c r="P11" s="217">
        <f t="shared" si="2"/>
        <v>0</v>
      </c>
      <c r="Q11" s="216">
        <f t="shared" si="3"/>
        <v>1409487.2844472434</v>
      </c>
      <c r="R11" s="215"/>
      <c r="S11" s="214">
        <f t="shared" si="4"/>
        <v>-155283.2395515407</v>
      </c>
      <c r="T11" s="202"/>
      <c r="U11" s="203"/>
    </row>
    <row r="12" spans="1:21" x14ac:dyDescent="0.2">
      <c r="A12" s="20">
        <v>10115</v>
      </c>
      <c r="B12" s="220" t="s">
        <v>66</v>
      </c>
      <c r="C12" s="219">
        <f t="shared" si="0"/>
        <v>11496939.519824062</v>
      </c>
      <c r="D12" s="30">
        <f t="shared" ref="D12:M12" si="11">D55/$C$86*$C$43</f>
        <v>0</v>
      </c>
      <c r="E12" s="29">
        <f t="shared" si="11"/>
        <v>2249299.8702038466</v>
      </c>
      <c r="F12" s="29">
        <f t="shared" si="11"/>
        <v>0</v>
      </c>
      <c r="G12" s="28">
        <f t="shared" si="11"/>
        <v>311287.35867620987</v>
      </c>
      <c r="H12" s="30">
        <f t="shared" si="11"/>
        <v>0</v>
      </c>
      <c r="I12" s="28">
        <f t="shared" si="11"/>
        <v>0</v>
      </c>
      <c r="J12" s="43">
        <f t="shared" si="11"/>
        <v>5546945.3365983283</v>
      </c>
      <c r="K12" s="30">
        <f t="shared" si="11"/>
        <v>1713100.0665023688</v>
      </c>
      <c r="L12" s="29">
        <f t="shared" si="11"/>
        <v>824751.23633127077</v>
      </c>
      <c r="M12" s="28">
        <f t="shared" si="11"/>
        <v>851555.65151203715</v>
      </c>
      <c r="O12" s="218">
        <v>5.1993931386758195E-2</v>
      </c>
      <c r="P12" s="217">
        <f t="shared" si="2"/>
        <v>0</v>
      </c>
      <c r="Q12" s="216">
        <f t="shared" si="3"/>
        <v>11496939.519824062</v>
      </c>
      <c r="R12" s="215"/>
      <c r="S12" s="214">
        <f t="shared" si="4"/>
        <v>-721634.35606411472</v>
      </c>
      <c r="T12" s="202"/>
      <c r="U12" s="203"/>
    </row>
    <row r="13" spans="1:21" x14ac:dyDescent="0.2">
      <c r="A13" s="20">
        <v>11163</v>
      </c>
      <c r="B13" s="220" t="s">
        <v>65</v>
      </c>
      <c r="C13" s="219">
        <f t="shared" si="0"/>
        <v>3231778.2240728769</v>
      </c>
      <c r="D13" s="30">
        <f t="shared" ref="D13:M13" si="12">D56/$C$86*$C$43</f>
        <v>0</v>
      </c>
      <c r="E13" s="29">
        <f t="shared" si="12"/>
        <v>794569.75586836762</v>
      </c>
      <c r="F13" s="29">
        <f t="shared" si="12"/>
        <v>0</v>
      </c>
      <c r="G13" s="28">
        <f t="shared" si="12"/>
        <v>174815.19940464551</v>
      </c>
      <c r="H13" s="30">
        <f t="shared" si="12"/>
        <v>0</v>
      </c>
      <c r="I13" s="28">
        <f t="shared" si="12"/>
        <v>0</v>
      </c>
      <c r="J13" s="43">
        <f t="shared" si="12"/>
        <v>1673376.8505563412</v>
      </c>
      <c r="K13" s="30">
        <f t="shared" si="12"/>
        <v>361336.73633357999</v>
      </c>
      <c r="L13" s="29">
        <f t="shared" si="12"/>
        <v>164629.62029040765</v>
      </c>
      <c r="M13" s="28">
        <f t="shared" si="12"/>
        <v>63050.061619535307</v>
      </c>
      <c r="O13" s="218">
        <v>1.2069401585431769E-2</v>
      </c>
      <c r="P13" s="217">
        <f t="shared" si="2"/>
        <v>0</v>
      </c>
      <c r="Q13" s="216">
        <f t="shared" si="3"/>
        <v>3231778.2240728769</v>
      </c>
      <c r="R13" s="215"/>
      <c r="S13" s="214">
        <f t="shared" si="4"/>
        <v>395468.85149641102</v>
      </c>
      <c r="T13" s="202"/>
      <c r="U13" s="203"/>
    </row>
    <row r="14" spans="1:21" x14ac:dyDescent="0.2">
      <c r="A14" s="20">
        <v>3632</v>
      </c>
      <c r="B14" s="220" t="s">
        <v>64</v>
      </c>
      <c r="C14" s="219">
        <f t="shared" si="0"/>
        <v>25206690.906414893</v>
      </c>
      <c r="D14" s="30">
        <f t="shared" ref="D14:M14" si="13">D57/$C$86*$C$43</f>
        <v>0</v>
      </c>
      <c r="E14" s="29">
        <f t="shared" si="13"/>
        <v>11416052.36705845</v>
      </c>
      <c r="F14" s="29">
        <f t="shared" si="13"/>
        <v>0</v>
      </c>
      <c r="G14" s="28">
        <f t="shared" si="13"/>
        <v>1487572.284872636</v>
      </c>
      <c r="H14" s="30">
        <f t="shared" si="13"/>
        <v>0</v>
      </c>
      <c r="I14" s="28">
        <f t="shared" si="13"/>
        <v>0</v>
      </c>
      <c r="J14" s="43">
        <f t="shared" si="13"/>
        <v>4408670.2451162478</v>
      </c>
      <c r="K14" s="30">
        <f t="shared" si="13"/>
        <v>632737.60594222043</v>
      </c>
      <c r="L14" s="29">
        <f t="shared" si="13"/>
        <v>1647652.7016480428</v>
      </c>
      <c r="M14" s="28">
        <f t="shared" si="13"/>
        <v>5614005.7017772989</v>
      </c>
      <c r="O14" s="218">
        <v>0.10514316433214833</v>
      </c>
      <c r="P14" s="217">
        <f t="shared" si="2"/>
        <v>0</v>
      </c>
      <c r="Q14" s="216">
        <f t="shared" si="3"/>
        <v>25206690.906414893</v>
      </c>
      <c r="R14" s="215"/>
      <c r="S14" s="214">
        <f t="shared" si="4"/>
        <v>498047.28836003318</v>
      </c>
      <c r="T14" s="202"/>
      <c r="U14" s="203"/>
    </row>
    <row r="15" spans="1:21" x14ac:dyDescent="0.2">
      <c r="A15" s="20">
        <v>10298</v>
      </c>
      <c r="B15" s="220" t="s">
        <v>63</v>
      </c>
      <c r="C15" s="219">
        <f t="shared" si="0"/>
        <v>1235663.4389883021</v>
      </c>
      <c r="D15" s="30">
        <f t="shared" ref="D15:M15" si="14">D58/$C$86*$C$43</f>
        <v>0</v>
      </c>
      <c r="E15" s="29">
        <f t="shared" si="14"/>
        <v>335478.29404962849</v>
      </c>
      <c r="F15" s="29">
        <f t="shared" si="14"/>
        <v>0</v>
      </c>
      <c r="G15" s="28">
        <f t="shared" si="14"/>
        <v>39068.643643029565</v>
      </c>
      <c r="H15" s="30">
        <f t="shared" si="14"/>
        <v>0</v>
      </c>
      <c r="I15" s="28">
        <f t="shared" si="14"/>
        <v>0</v>
      </c>
      <c r="J15" s="43">
        <f t="shared" si="14"/>
        <v>420859.90121880395</v>
      </c>
      <c r="K15" s="30">
        <f t="shared" si="14"/>
        <v>111759.46515399833</v>
      </c>
      <c r="L15" s="29">
        <f t="shared" si="14"/>
        <v>88234.077391600513</v>
      </c>
      <c r="M15" s="28">
        <f t="shared" si="14"/>
        <v>240263.05753124127</v>
      </c>
      <c r="O15" s="218">
        <v>7.0859752523080169E-3</v>
      </c>
      <c r="P15" s="217">
        <f t="shared" si="2"/>
        <v>0</v>
      </c>
      <c r="Q15" s="216">
        <f t="shared" si="3"/>
        <v>1235663.4389883021</v>
      </c>
      <c r="R15" s="215"/>
      <c r="S15" s="214">
        <f t="shared" si="4"/>
        <v>-429540.74530408182</v>
      </c>
      <c r="T15" s="202"/>
      <c r="U15" s="203"/>
    </row>
    <row r="16" spans="1:21" x14ac:dyDescent="0.2">
      <c r="A16" s="20">
        <v>3630</v>
      </c>
      <c r="B16" s="220" t="s">
        <v>62</v>
      </c>
      <c r="C16" s="219">
        <f t="shared" si="0"/>
        <v>3065865.5203947676</v>
      </c>
      <c r="D16" s="30">
        <f t="shared" ref="D16:M16" si="15">D59/$C$86*$C$43</f>
        <v>0</v>
      </c>
      <c r="E16" s="29">
        <f t="shared" si="15"/>
        <v>180243.70184788358</v>
      </c>
      <c r="F16" s="29">
        <f t="shared" si="15"/>
        <v>0</v>
      </c>
      <c r="G16" s="28">
        <f t="shared" si="15"/>
        <v>76687.806719098327</v>
      </c>
      <c r="H16" s="30">
        <f t="shared" si="15"/>
        <v>0</v>
      </c>
      <c r="I16" s="28">
        <f t="shared" si="15"/>
        <v>0</v>
      </c>
      <c r="J16" s="43">
        <f t="shared" si="15"/>
        <v>1425359.5529323206</v>
      </c>
      <c r="K16" s="30">
        <f t="shared" si="15"/>
        <v>209808.42754853034</v>
      </c>
      <c r="L16" s="29">
        <f t="shared" si="15"/>
        <v>436915.91362465493</v>
      </c>
      <c r="M16" s="28">
        <f t="shared" si="15"/>
        <v>736850.11772228009</v>
      </c>
      <c r="O16" s="218">
        <v>1.5279410782616385E-2</v>
      </c>
      <c r="P16" s="217">
        <f t="shared" si="2"/>
        <v>0</v>
      </c>
      <c r="Q16" s="216">
        <f t="shared" si="3"/>
        <v>3065865.5203947676</v>
      </c>
      <c r="R16" s="215"/>
      <c r="S16" s="214">
        <f t="shared" si="4"/>
        <v>-524796.01352008292</v>
      </c>
      <c r="T16" s="202"/>
      <c r="U16" s="203"/>
    </row>
    <row r="17" spans="1:21" x14ac:dyDescent="0.2">
      <c r="A17" s="20">
        <v>3631</v>
      </c>
      <c r="B17" s="220" t="s">
        <v>61</v>
      </c>
      <c r="C17" s="219">
        <f t="shared" si="0"/>
        <v>4272488.993166226</v>
      </c>
      <c r="D17" s="30">
        <f t="shared" ref="D17:M17" si="16">D60/$C$86*$C$43</f>
        <v>0</v>
      </c>
      <c r="E17" s="29">
        <f t="shared" si="16"/>
        <v>956458.38546949066</v>
      </c>
      <c r="F17" s="29">
        <f t="shared" si="16"/>
        <v>0</v>
      </c>
      <c r="G17" s="28">
        <f t="shared" si="16"/>
        <v>115519.80299034044</v>
      </c>
      <c r="H17" s="30">
        <f t="shared" si="16"/>
        <v>0</v>
      </c>
      <c r="I17" s="28">
        <f t="shared" si="16"/>
        <v>0</v>
      </c>
      <c r="J17" s="43">
        <f t="shared" si="16"/>
        <v>2122057.3078332101</v>
      </c>
      <c r="K17" s="30">
        <f t="shared" si="16"/>
        <v>270981.58817868732</v>
      </c>
      <c r="L17" s="29">
        <f t="shared" si="16"/>
        <v>245772.90879309553</v>
      </c>
      <c r="M17" s="28">
        <f t="shared" si="16"/>
        <v>561698.99990140239</v>
      </c>
      <c r="O17" s="218">
        <v>1.9985241623354359E-2</v>
      </c>
      <c r="P17" s="217">
        <f t="shared" si="2"/>
        <v>0</v>
      </c>
      <c r="Q17" s="216">
        <f t="shared" si="3"/>
        <v>4272488.993166226</v>
      </c>
      <c r="R17" s="215"/>
      <c r="S17" s="214">
        <f t="shared" si="4"/>
        <v>-424042.78832204826</v>
      </c>
      <c r="T17" s="202"/>
      <c r="U17" s="203"/>
    </row>
    <row r="18" spans="1:21" x14ac:dyDescent="0.2">
      <c r="A18" s="65">
        <v>103631</v>
      </c>
      <c r="B18" s="220" t="s">
        <v>60</v>
      </c>
      <c r="C18" s="219">
        <f t="shared" si="0"/>
        <v>1084315.1745819969</v>
      </c>
      <c r="D18" s="30">
        <f t="shared" ref="D18:M18" si="17">D61/$C$86*$C$43</f>
        <v>0</v>
      </c>
      <c r="E18" s="29">
        <f t="shared" si="17"/>
        <v>284915.66659477272</v>
      </c>
      <c r="F18" s="29">
        <f t="shared" si="17"/>
        <v>0</v>
      </c>
      <c r="G18" s="28">
        <f t="shared" si="17"/>
        <v>126319.62939945771</v>
      </c>
      <c r="H18" s="30">
        <f t="shared" si="17"/>
        <v>0</v>
      </c>
      <c r="I18" s="28">
        <f t="shared" si="17"/>
        <v>0</v>
      </c>
      <c r="J18" s="43">
        <f t="shared" si="17"/>
        <v>580680.11687151424</v>
      </c>
      <c r="K18" s="30">
        <f t="shared" si="17"/>
        <v>62263.292348035087</v>
      </c>
      <c r="L18" s="29">
        <f t="shared" si="17"/>
        <v>24601.954492836205</v>
      </c>
      <c r="M18" s="28">
        <f t="shared" si="17"/>
        <v>5534.5148753808971</v>
      </c>
      <c r="O18" s="218">
        <v>3.4527219750504121E-3</v>
      </c>
      <c r="P18" s="217">
        <f t="shared" si="2"/>
        <v>0</v>
      </c>
      <c r="Q18" s="216">
        <f t="shared" si="3"/>
        <v>1084315.1745819969</v>
      </c>
      <c r="R18" s="215"/>
      <c r="S18" s="214">
        <f t="shared" si="4"/>
        <v>272925.51044514996</v>
      </c>
      <c r="T18" s="202"/>
      <c r="U18" s="203"/>
    </row>
    <row r="19" spans="1:21" x14ac:dyDescent="0.2">
      <c r="A19" s="20">
        <v>11161</v>
      </c>
      <c r="B19" s="220" t="s">
        <v>59</v>
      </c>
      <c r="C19" s="219">
        <f t="shared" si="0"/>
        <v>4036608.536440603</v>
      </c>
      <c r="D19" s="30">
        <f t="shared" ref="D19:M19" si="18">D62/$C$86*$C$43</f>
        <v>0</v>
      </c>
      <c r="E19" s="29">
        <f t="shared" si="18"/>
        <v>913215.91850934539</v>
      </c>
      <c r="F19" s="29">
        <f t="shared" si="18"/>
        <v>0</v>
      </c>
      <c r="G19" s="28">
        <f t="shared" si="18"/>
        <v>103742.55757716032</v>
      </c>
      <c r="H19" s="30">
        <f t="shared" si="18"/>
        <v>0</v>
      </c>
      <c r="I19" s="28">
        <f t="shared" si="18"/>
        <v>0</v>
      </c>
      <c r="J19" s="43">
        <f t="shared" si="18"/>
        <v>1917842.5878325242</v>
      </c>
      <c r="K19" s="30">
        <f t="shared" si="18"/>
        <v>258361.2171370991</v>
      </c>
      <c r="L19" s="29">
        <f t="shared" si="18"/>
        <v>271546.38492844772</v>
      </c>
      <c r="M19" s="28">
        <f t="shared" si="18"/>
        <v>571899.87045602605</v>
      </c>
      <c r="O19" s="218">
        <v>1.9224284187157891E-2</v>
      </c>
      <c r="P19" s="217">
        <f t="shared" si="2"/>
        <v>0</v>
      </c>
      <c r="Q19" s="216">
        <f t="shared" si="3"/>
        <v>4036608.536440603</v>
      </c>
      <c r="R19" s="215"/>
      <c r="S19" s="214">
        <f t="shared" si="4"/>
        <v>-481098.24754150165</v>
      </c>
      <c r="T19" s="202"/>
      <c r="U19" s="203"/>
    </row>
    <row r="20" spans="1:21" x14ac:dyDescent="0.2">
      <c r="A20" s="20">
        <v>3639</v>
      </c>
      <c r="B20" s="220" t="s">
        <v>58</v>
      </c>
      <c r="C20" s="219">
        <f t="shared" si="0"/>
        <v>2302370.5610712394</v>
      </c>
      <c r="D20" s="30">
        <f t="shared" ref="D20:M20" si="19">D63/$C$86*$C$43</f>
        <v>0</v>
      </c>
      <c r="E20" s="29">
        <f t="shared" si="19"/>
        <v>158718.28650636208</v>
      </c>
      <c r="F20" s="29">
        <f t="shared" si="19"/>
        <v>0</v>
      </c>
      <c r="G20" s="28">
        <f t="shared" si="19"/>
        <v>65239.697228431782</v>
      </c>
      <c r="H20" s="30">
        <f t="shared" si="19"/>
        <v>0</v>
      </c>
      <c r="I20" s="28">
        <f t="shared" si="19"/>
        <v>0</v>
      </c>
      <c r="J20" s="43">
        <f t="shared" si="19"/>
        <v>1151297.4794241544</v>
      </c>
      <c r="K20" s="30">
        <f t="shared" si="19"/>
        <v>154379.42250873076</v>
      </c>
      <c r="L20" s="29">
        <f t="shared" si="19"/>
        <v>318037.29642618832</v>
      </c>
      <c r="M20" s="28">
        <f t="shared" si="19"/>
        <v>454698.37897737161</v>
      </c>
      <c r="O20" s="218">
        <v>1.296528221607569E-2</v>
      </c>
      <c r="P20" s="217">
        <f t="shared" si="2"/>
        <v>0</v>
      </c>
      <c r="Q20" s="216">
        <f t="shared" si="3"/>
        <v>2302370.5610712394</v>
      </c>
      <c r="R20" s="215"/>
      <c r="S20" s="214">
        <f t="shared" si="4"/>
        <v>-744470.75970654795</v>
      </c>
      <c r="T20" s="202"/>
      <c r="U20" s="203"/>
    </row>
    <row r="21" spans="1:21" x14ac:dyDescent="0.2">
      <c r="A21" s="65">
        <v>103639</v>
      </c>
      <c r="B21" s="220" t="s">
        <v>57</v>
      </c>
      <c r="C21" s="219">
        <f t="shared" si="0"/>
        <v>1451089.3539187198</v>
      </c>
      <c r="D21" s="30">
        <f t="shared" ref="D21:M21" si="20">D64/$C$86*$C$43</f>
        <v>0</v>
      </c>
      <c r="E21" s="29">
        <f t="shared" si="20"/>
        <v>306149.16751719511</v>
      </c>
      <c r="F21" s="29">
        <f t="shared" si="20"/>
        <v>0</v>
      </c>
      <c r="G21" s="28">
        <f t="shared" si="20"/>
        <v>75915.588979578839</v>
      </c>
      <c r="H21" s="30">
        <f t="shared" si="20"/>
        <v>0</v>
      </c>
      <c r="I21" s="28">
        <f t="shared" si="20"/>
        <v>0</v>
      </c>
      <c r="J21" s="43">
        <f t="shared" si="20"/>
        <v>870724.21194495168</v>
      </c>
      <c r="K21" s="30">
        <f t="shared" si="20"/>
        <v>183561.41003346635</v>
      </c>
      <c r="L21" s="29">
        <f t="shared" si="20"/>
        <v>14304.895845458643</v>
      </c>
      <c r="M21" s="28">
        <f t="shared" si="20"/>
        <v>434.07959806908997</v>
      </c>
      <c r="O21" s="218">
        <v>5.939285915308113E-3</v>
      </c>
      <c r="P21" s="217">
        <f t="shared" si="2"/>
        <v>0</v>
      </c>
      <c r="Q21" s="216">
        <f t="shared" si="3"/>
        <v>1451089.3539187198</v>
      </c>
      <c r="R21" s="215"/>
      <c r="S21" s="214">
        <f t="shared" si="4"/>
        <v>55357.163821313297</v>
      </c>
      <c r="T21" s="202"/>
      <c r="U21" s="203"/>
    </row>
    <row r="22" spans="1:21" x14ac:dyDescent="0.2">
      <c r="A22" s="20">
        <v>9651</v>
      </c>
      <c r="B22" s="220" t="s">
        <v>56</v>
      </c>
      <c r="C22" s="219">
        <f t="shared" si="0"/>
        <v>2510370.1592037245</v>
      </c>
      <c r="D22" s="30">
        <f t="shared" ref="D22:M22" si="21">D65/$C$86*$C$43</f>
        <v>0</v>
      </c>
      <c r="E22" s="29">
        <f t="shared" si="21"/>
        <v>483979.43201643933</v>
      </c>
      <c r="F22" s="29">
        <f t="shared" si="21"/>
        <v>0</v>
      </c>
      <c r="G22" s="28">
        <f t="shared" si="21"/>
        <v>53957.697174867288</v>
      </c>
      <c r="H22" s="30">
        <f t="shared" si="21"/>
        <v>0</v>
      </c>
      <c r="I22" s="28">
        <f t="shared" si="21"/>
        <v>0</v>
      </c>
      <c r="J22" s="43">
        <f t="shared" si="21"/>
        <v>1265539.3372796101</v>
      </c>
      <c r="K22" s="30">
        <f t="shared" si="21"/>
        <v>176936.76344020746</v>
      </c>
      <c r="L22" s="29">
        <f t="shared" si="21"/>
        <v>375750.1520785559</v>
      </c>
      <c r="M22" s="28">
        <f t="shared" si="21"/>
        <v>154206.77721404421</v>
      </c>
      <c r="O22" s="218">
        <v>1.0886031395541047E-2</v>
      </c>
      <c r="P22" s="217">
        <f t="shared" si="2"/>
        <v>0</v>
      </c>
      <c r="Q22" s="216">
        <f t="shared" si="3"/>
        <v>2510370.1592037245</v>
      </c>
      <c r="R22" s="215"/>
      <c r="S22" s="214">
        <f t="shared" si="4"/>
        <v>-47847.218748421408</v>
      </c>
      <c r="T22" s="202"/>
      <c r="U22" s="203"/>
    </row>
    <row r="23" spans="1:21" x14ac:dyDescent="0.2">
      <c r="A23" s="20">
        <v>3665</v>
      </c>
      <c r="B23" s="220" t="s">
        <v>55</v>
      </c>
      <c r="C23" s="219">
        <f t="shared" si="0"/>
        <v>3327478.7993994467</v>
      </c>
      <c r="D23" s="30">
        <f t="shared" ref="D23:M23" si="22">D66/$C$86*$C$43</f>
        <v>0</v>
      </c>
      <c r="E23" s="29">
        <f t="shared" si="22"/>
        <v>765250.84418253636</v>
      </c>
      <c r="F23" s="29">
        <f t="shared" si="22"/>
        <v>0</v>
      </c>
      <c r="G23" s="28">
        <f t="shared" si="22"/>
        <v>92620.871011519252</v>
      </c>
      <c r="H23" s="30">
        <f t="shared" si="22"/>
        <v>0</v>
      </c>
      <c r="I23" s="28">
        <f t="shared" si="22"/>
        <v>0</v>
      </c>
      <c r="J23" s="43">
        <f t="shared" si="22"/>
        <v>1579260.5013386344</v>
      </c>
      <c r="K23" s="30">
        <f t="shared" si="22"/>
        <v>450727.53719958058</v>
      </c>
      <c r="L23" s="29">
        <f t="shared" si="22"/>
        <v>224315.56502490753</v>
      </c>
      <c r="M23" s="28">
        <f t="shared" si="22"/>
        <v>215303.48064226864</v>
      </c>
      <c r="O23" s="218">
        <v>1.5183466872892367E-2</v>
      </c>
      <c r="P23" s="217">
        <f t="shared" si="2"/>
        <v>0</v>
      </c>
      <c r="Q23" s="216">
        <f t="shared" si="3"/>
        <v>3327478.7993994467</v>
      </c>
      <c r="R23" s="215"/>
      <c r="S23" s="214">
        <f t="shared" si="4"/>
        <v>-240635.91573025985</v>
      </c>
      <c r="T23" s="202"/>
      <c r="U23" s="203"/>
    </row>
    <row r="24" spans="1:21" x14ac:dyDescent="0.2">
      <c r="A24" s="20">
        <v>3565</v>
      </c>
      <c r="B24" s="220" t="s">
        <v>54</v>
      </c>
      <c r="C24" s="219">
        <f t="shared" si="0"/>
        <v>3509967.1367143919</v>
      </c>
      <c r="D24" s="30">
        <f t="shared" ref="D24:M24" si="23">D67/$C$86*$C$43</f>
        <v>0</v>
      </c>
      <c r="E24" s="29">
        <f t="shared" si="23"/>
        <v>754511.73136871599</v>
      </c>
      <c r="F24" s="29">
        <f t="shared" si="23"/>
        <v>0</v>
      </c>
      <c r="G24" s="28">
        <f t="shared" si="23"/>
        <v>185112.25805202415</v>
      </c>
      <c r="H24" s="30">
        <f t="shared" si="23"/>
        <v>0</v>
      </c>
      <c r="I24" s="28">
        <f t="shared" si="23"/>
        <v>0</v>
      </c>
      <c r="J24" s="43">
        <f t="shared" si="23"/>
        <v>1810111.9239481047</v>
      </c>
      <c r="K24" s="30">
        <f t="shared" si="23"/>
        <v>476219.84814072895</v>
      </c>
      <c r="L24" s="29">
        <f t="shared" si="23"/>
        <v>210380.62338234865</v>
      </c>
      <c r="M24" s="28">
        <f t="shared" si="23"/>
        <v>73630.751822469378</v>
      </c>
      <c r="O24" s="218">
        <v>1.411122580581306E-2</v>
      </c>
      <c r="P24" s="217">
        <f t="shared" si="2"/>
        <v>0</v>
      </c>
      <c r="Q24" s="216">
        <f t="shared" si="3"/>
        <v>3509967.1367143919</v>
      </c>
      <c r="R24" s="215"/>
      <c r="S24" s="214">
        <f t="shared" si="4"/>
        <v>193829.07234832272</v>
      </c>
      <c r="T24" s="202"/>
      <c r="U24" s="203"/>
    </row>
    <row r="25" spans="1:21" x14ac:dyDescent="0.2">
      <c r="A25" s="20">
        <v>29269</v>
      </c>
      <c r="B25" s="220" t="s">
        <v>53</v>
      </c>
      <c r="C25" s="219">
        <f t="shared" si="0"/>
        <v>855315.46607797558</v>
      </c>
      <c r="D25" s="30">
        <f t="shared" ref="D25:M25" si="24">D68/$C$86*$C$43</f>
        <v>0</v>
      </c>
      <c r="E25" s="29">
        <f t="shared" si="24"/>
        <v>242601.50804963891</v>
      </c>
      <c r="F25" s="29">
        <f t="shared" si="24"/>
        <v>0</v>
      </c>
      <c r="G25" s="28">
        <f t="shared" si="24"/>
        <v>45867.661983921949</v>
      </c>
      <c r="H25" s="30">
        <f t="shared" si="24"/>
        <v>0</v>
      </c>
      <c r="I25" s="28">
        <f t="shared" si="24"/>
        <v>0</v>
      </c>
      <c r="J25" s="43">
        <f t="shared" si="24"/>
        <v>424411.46156664198</v>
      </c>
      <c r="K25" s="30">
        <f t="shared" si="24"/>
        <v>108845.45921582429</v>
      </c>
      <c r="L25" s="29">
        <f t="shared" si="24"/>
        <v>33480.855362431219</v>
      </c>
      <c r="M25" s="28">
        <f t="shared" si="24"/>
        <v>108.51989951727249</v>
      </c>
      <c r="O25" s="218">
        <v>2.885126155730112E-3</v>
      </c>
      <c r="P25" s="217">
        <f t="shared" si="2"/>
        <v>0</v>
      </c>
      <c r="Q25" s="216">
        <f t="shared" si="3"/>
        <v>855315.46607797558</v>
      </c>
      <c r="R25" s="215"/>
      <c r="S25" s="214">
        <f t="shared" si="4"/>
        <v>177310.81948139926</v>
      </c>
      <c r="T25" s="202"/>
      <c r="U25" s="203"/>
    </row>
    <row r="26" spans="1:21" x14ac:dyDescent="0.2">
      <c r="A26" s="20">
        <v>3652</v>
      </c>
      <c r="B26" s="220" t="s">
        <v>52</v>
      </c>
      <c r="C26" s="219">
        <f t="shared" si="0"/>
        <v>14084281.713339744</v>
      </c>
      <c r="D26" s="30">
        <f t="shared" ref="D26:M26" si="25">D69/$C$86*$C$43</f>
        <v>0</v>
      </c>
      <c r="E26" s="29">
        <f t="shared" si="25"/>
        <v>3540849.1049074726</v>
      </c>
      <c r="F26" s="29">
        <f t="shared" si="25"/>
        <v>0</v>
      </c>
      <c r="G26" s="28">
        <f t="shared" si="25"/>
        <v>391420.67220495857</v>
      </c>
      <c r="H26" s="30">
        <f t="shared" si="25"/>
        <v>0</v>
      </c>
      <c r="I26" s="28">
        <f t="shared" si="25"/>
        <v>0</v>
      </c>
      <c r="J26" s="43">
        <f t="shared" si="25"/>
        <v>5989706.5266288007</v>
      </c>
      <c r="K26" s="30">
        <f t="shared" si="25"/>
        <v>956255.15729403088</v>
      </c>
      <c r="L26" s="29">
        <f t="shared" si="25"/>
        <v>1052581.3662837262</v>
      </c>
      <c r="M26" s="28">
        <f t="shared" si="25"/>
        <v>2153468.8860207554</v>
      </c>
      <c r="O26" s="218">
        <v>6.680079885949769E-2</v>
      </c>
      <c r="P26" s="217">
        <f t="shared" si="2"/>
        <v>414047.08841455099</v>
      </c>
      <c r="Q26" s="216">
        <f t="shared" si="3"/>
        <v>14498328.801754296</v>
      </c>
      <c r="R26" s="215"/>
      <c r="S26" s="214">
        <f t="shared" si="4"/>
        <v>-1199858.9302276615</v>
      </c>
      <c r="T26" s="202"/>
      <c r="U26" s="203"/>
    </row>
    <row r="27" spans="1:21" x14ac:dyDescent="0.2">
      <c r="A27" s="20">
        <v>11711</v>
      </c>
      <c r="B27" s="220" t="s">
        <v>51</v>
      </c>
      <c r="C27" s="219">
        <f t="shared" si="0"/>
        <v>2883012.4246702874</v>
      </c>
      <c r="D27" s="30">
        <f t="shared" ref="D27:M27" si="26">D70/$C$86*$C$43</f>
        <v>0</v>
      </c>
      <c r="E27" s="29">
        <f t="shared" si="26"/>
        <v>801949.49542426714</v>
      </c>
      <c r="F27" s="29">
        <f t="shared" si="26"/>
        <v>0</v>
      </c>
      <c r="G27" s="28">
        <f t="shared" si="26"/>
        <v>168917.63613815297</v>
      </c>
      <c r="H27" s="30">
        <f t="shared" si="26"/>
        <v>0</v>
      </c>
      <c r="I27" s="28">
        <f t="shared" si="26"/>
        <v>0</v>
      </c>
      <c r="J27" s="43">
        <f t="shared" si="26"/>
        <v>1375045.7813379487</v>
      </c>
      <c r="K27" s="30">
        <f t="shared" si="26"/>
        <v>175008.06886242316</v>
      </c>
      <c r="L27" s="29">
        <f t="shared" si="26"/>
        <v>352812.9914987688</v>
      </c>
      <c r="M27" s="28">
        <f t="shared" si="26"/>
        <v>9278.4514087267962</v>
      </c>
      <c r="O27" s="218">
        <v>1.0972897764284933E-2</v>
      </c>
      <c r="P27" s="217">
        <f t="shared" si="2"/>
        <v>0</v>
      </c>
      <c r="Q27" s="216">
        <f t="shared" si="3"/>
        <v>2883012.4246702874</v>
      </c>
      <c r="R27" s="215"/>
      <c r="S27" s="214">
        <f t="shared" si="4"/>
        <v>304381.45006332826</v>
      </c>
      <c r="T27" s="202"/>
      <c r="U27" s="203"/>
    </row>
    <row r="28" spans="1:21" x14ac:dyDescent="0.2">
      <c r="A28" s="20">
        <v>12826</v>
      </c>
      <c r="B28" s="220" t="s">
        <v>50</v>
      </c>
      <c r="C28" s="219">
        <f t="shared" si="0"/>
        <v>5301696.7762288144</v>
      </c>
      <c r="D28" s="30">
        <f t="shared" ref="D28:M28" si="27">D71/$C$86*$C$43</f>
        <v>0</v>
      </c>
      <c r="E28" s="29">
        <f t="shared" si="27"/>
        <v>234440.22501373384</v>
      </c>
      <c r="F28" s="29">
        <f t="shared" si="27"/>
        <v>0</v>
      </c>
      <c r="G28" s="28">
        <f t="shared" si="27"/>
        <v>316038.31054985709</v>
      </c>
      <c r="H28" s="30">
        <f t="shared" si="27"/>
        <v>0</v>
      </c>
      <c r="I28" s="28">
        <f t="shared" si="27"/>
        <v>0</v>
      </c>
      <c r="J28" s="43">
        <f t="shared" si="27"/>
        <v>2985086.4723578454</v>
      </c>
      <c r="K28" s="30">
        <f t="shared" si="27"/>
        <v>976506.45036076568</v>
      </c>
      <c r="L28" s="29">
        <f t="shared" si="27"/>
        <v>691197.76908444567</v>
      </c>
      <c r="M28" s="28">
        <f t="shared" si="27"/>
        <v>98427.548862166135</v>
      </c>
      <c r="O28" s="218">
        <v>2.262163232206927E-2</v>
      </c>
      <c r="P28" s="217">
        <f t="shared" si="2"/>
        <v>0</v>
      </c>
      <c r="Q28" s="216">
        <f t="shared" si="3"/>
        <v>5301696.7762288144</v>
      </c>
      <c r="R28" s="215"/>
      <c r="S28" s="214">
        <f t="shared" si="4"/>
        <v>-14386.81945746392</v>
      </c>
      <c r="T28" s="202"/>
      <c r="U28" s="203"/>
    </row>
    <row r="29" spans="1:21" x14ac:dyDescent="0.2">
      <c r="A29" s="20">
        <v>13231</v>
      </c>
      <c r="B29" s="220" t="s">
        <v>49</v>
      </c>
      <c r="C29" s="219">
        <f t="shared" si="0"/>
        <v>1386869.5620334579</v>
      </c>
      <c r="D29" s="30">
        <f t="shared" ref="D29:M29" si="28">D72/$C$86*$C$43</f>
        <v>0</v>
      </c>
      <c r="E29" s="29">
        <f t="shared" si="28"/>
        <v>388705.00609039748</v>
      </c>
      <c r="F29" s="29">
        <f t="shared" si="28"/>
        <v>0</v>
      </c>
      <c r="G29" s="28">
        <f t="shared" si="28"/>
        <v>80241.586792153495</v>
      </c>
      <c r="H29" s="30">
        <f t="shared" si="28"/>
        <v>0</v>
      </c>
      <c r="I29" s="28">
        <f t="shared" si="28"/>
        <v>0</v>
      </c>
      <c r="J29" s="43">
        <f t="shared" si="28"/>
        <v>681899.58678489749</v>
      </c>
      <c r="K29" s="30">
        <f t="shared" si="28"/>
        <v>180123.302307851</v>
      </c>
      <c r="L29" s="29">
        <f t="shared" si="28"/>
        <v>54814.881062985922</v>
      </c>
      <c r="M29" s="28">
        <f t="shared" si="28"/>
        <v>1085.1989951727248</v>
      </c>
      <c r="O29" s="218">
        <v>5.6229417841748381E-3</v>
      </c>
      <c r="P29" s="217">
        <f t="shared" si="2"/>
        <v>0</v>
      </c>
      <c r="Q29" s="216">
        <f t="shared" si="3"/>
        <v>1386869.5620334579</v>
      </c>
      <c r="R29" s="215"/>
      <c r="S29" s="214">
        <f t="shared" si="4"/>
        <v>65478.24275237089</v>
      </c>
      <c r="T29" s="202"/>
      <c r="U29" s="203"/>
    </row>
    <row r="30" spans="1:21" x14ac:dyDescent="0.2">
      <c r="A30" s="20">
        <v>3592</v>
      </c>
      <c r="B30" s="220" t="s">
        <v>48</v>
      </c>
      <c r="C30" s="219">
        <f t="shared" si="0"/>
        <v>2702253.812349489</v>
      </c>
      <c r="D30" s="30">
        <f t="shared" ref="D30:M30" si="29">D73/$C$86*$C$43</f>
        <v>0</v>
      </c>
      <c r="E30" s="29">
        <f t="shared" si="29"/>
        <v>586880.34378200211</v>
      </c>
      <c r="F30" s="29">
        <f t="shared" si="29"/>
        <v>0</v>
      </c>
      <c r="G30" s="28">
        <f t="shared" si="29"/>
        <v>72585.014608939426</v>
      </c>
      <c r="H30" s="30">
        <f t="shared" si="29"/>
        <v>0</v>
      </c>
      <c r="I30" s="28">
        <f t="shared" si="29"/>
        <v>0</v>
      </c>
      <c r="J30" s="43">
        <f t="shared" si="29"/>
        <v>1225880.2467287523</v>
      </c>
      <c r="K30" s="30">
        <f t="shared" si="29"/>
        <v>180878.00888176655</v>
      </c>
      <c r="L30" s="29">
        <f t="shared" si="29"/>
        <v>193486.0481165915</v>
      </c>
      <c r="M30" s="28">
        <f t="shared" si="29"/>
        <v>442544.15023143712</v>
      </c>
      <c r="O30" s="218">
        <v>1.0364568727977754E-2</v>
      </c>
      <c r="P30" s="217">
        <f t="shared" si="2"/>
        <v>0</v>
      </c>
      <c r="Q30" s="216">
        <f t="shared" si="3"/>
        <v>2702253.812349489</v>
      </c>
      <c r="R30" s="215"/>
      <c r="S30" s="214">
        <f t="shared" si="4"/>
        <v>266580.16127471672</v>
      </c>
      <c r="T30" s="202"/>
      <c r="U30" s="203"/>
    </row>
    <row r="31" spans="1:21" x14ac:dyDescent="0.2">
      <c r="A31" s="20">
        <v>3594</v>
      </c>
      <c r="B31" s="220" t="s">
        <v>47</v>
      </c>
      <c r="C31" s="219">
        <f t="shared" si="0"/>
        <v>15901389.347946614</v>
      </c>
      <c r="D31" s="30">
        <f t="shared" ref="D31:M31" si="30">D74/$C$86*$C$43</f>
        <v>0</v>
      </c>
      <c r="E31" s="29">
        <f t="shared" si="30"/>
        <v>4489993.3724675672</v>
      </c>
      <c r="F31" s="29">
        <f t="shared" si="30"/>
        <v>0</v>
      </c>
      <c r="G31" s="28">
        <f t="shared" si="30"/>
        <v>422175.21172815061</v>
      </c>
      <c r="H31" s="30">
        <f t="shared" si="30"/>
        <v>0</v>
      </c>
      <c r="I31" s="28">
        <f t="shared" si="30"/>
        <v>0</v>
      </c>
      <c r="J31" s="43">
        <f t="shared" si="30"/>
        <v>6783480.2643705951</v>
      </c>
      <c r="K31" s="30">
        <f t="shared" si="30"/>
        <v>989252.60583133996</v>
      </c>
      <c r="L31" s="29">
        <f t="shared" si="30"/>
        <v>1043702.4654141313</v>
      </c>
      <c r="M31" s="28">
        <f t="shared" si="30"/>
        <v>2172785.4281348297</v>
      </c>
      <c r="O31" s="218">
        <v>5.9972196847224775E-2</v>
      </c>
      <c r="P31" s="217">
        <f t="shared" si="2"/>
        <v>0</v>
      </c>
      <c r="Q31" s="216">
        <f t="shared" si="3"/>
        <v>15901389.347946614</v>
      </c>
      <c r="R31" s="215"/>
      <c r="S31" s="214">
        <f t="shared" si="4"/>
        <v>1807923.088848792</v>
      </c>
      <c r="T31" s="202"/>
      <c r="U31" s="203"/>
    </row>
    <row r="32" spans="1:21" x14ac:dyDescent="0.2">
      <c r="A32" s="65">
        <v>113594</v>
      </c>
      <c r="B32" s="220" t="s">
        <v>46</v>
      </c>
      <c r="C32" s="219">
        <f t="shared" si="0"/>
        <v>1037046.8814006547</v>
      </c>
      <c r="D32" s="30">
        <f t="shared" ref="D32:M32" si="31">D75/$C$86*$C$43</f>
        <v>0</v>
      </c>
      <c r="E32" s="29">
        <f t="shared" si="31"/>
        <v>301725.16780862148</v>
      </c>
      <c r="F32" s="29">
        <f t="shared" si="31"/>
        <v>0</v>
      </c>
      <c r="G32" s="28">
        <f t="shared" si="31"/>
        <v>52227.174731769301</v>
      </c>
      <c r="H32" s="30">
        <f t="shared" si="31"/>
        <v>0</v>
      </c>
      <c r="I32" s="28">
        <f t="shared" si="31"/>
        <v>0</v>
      </c>
      <c r="J32" s="43">
        <f t="shared" si="31"/>
        <v>547828.18365401274</v>
      </c>
      <c r="K32" s="30">
        <f t="shared" si="31"/>
        <v>120249.91411054858</v>
      </c>
      <c r="L32" s="29">
        <f t="shared" si="31"/>
        <v>13225.862753667581</v>
      </c>
      <c r="M32" s="28">
        <f t="shared" si="31"/>
        <v>1790.5783420349962</v>
      </c>
      <c r="O32" s="218">
        <v>2.8602942419239919E-3</v>
      </c>
      <c r="P32" s="217">
        <f t="shared" si="2"/>
        <v>0</v>
      </c>
      <c r="Q32" s="216">
        <f t="shared" si="3"/>
        <v>1037046.8814006547</v>
      </c>
      <c r="R32" s="215"/>
      <c r="S32" s="214">
        <f t="shared" si="4"/>
        <v>364877.73454851657</v>
      </c>
      <c r="T32" s="202"/>
      <c r="U32" s="203"/>
    </row>
    <row r="33" spans="1:21" x14ac:dyDescent="0.2">
      <c r="A33" s="20">
        <v>3624</v>
      </c>
      <c r="B33" s="220" t="s">
        <v>45</v>
      </c>
      <c r="C33" s="219">
        <f t="shared" si="0"/>
        <v>5751406.1994620096</v>
      </c>
      <c r="D33" s="30">
        <f t="shared" ref="D33:M33" si="32">D76/$C$86*$C$43</f>
        <v>0</v>
      </c>
      <c r="E33" s="29">
        <f t="shared" si="32"/>
        <v>1378490.6715572837</v>
      </c>
      <c r="F33" s="29">
        <f t="shared" si="32"/>
        <v>0</v>
      </c>
      <c r="G33" s="28">
        <f t="shared" si="32"/>
        <v>137687.21219195981</v>
      </c>
      <c r="H33" s="30">
        <f t="shared" si="32"/>
        <v>0</v>
      </c>
      <c r="I33" s="28">
        <f t="shared" si="32"/>
        <v>0</v>
      </c>
      <c r="J33" s="43">
        <f t="shared" si="32"/>
        <v>2593230.9806463853</v>
      </c>
      <c r="K33" s="30">
        <f t="shared" si="32"/>
        <v>348339.01200503396</v>
      </c>
      <c r="L33" s="29">
        <f t="shared" si="32"/>
        <v>383827.48550853471</v>
      </c>
      <c r="M33" s="28">
        <f t="shared" si="32"/>
        <v>909830.83755281242</v>
      </c>
      <c r="O33" s="218">
        <v>2.3435865298122357E-2</v>
      </c>
      <c r="P33" s="217">
        <f t="shared" si="2"/>
        <v>0</v>
      </c>
      <c r="Q33" s="216">
        <f t="shared" si="3"/>
        <v>5751406.1994620096</v>
      </c>
      <c r="R33" s="215"/>
      <c r="S33" s="214">
        <f t="shared" si="4"/>
        <v>243977.85440325551</v>
      </c>
      <c r="T33" s="202"/>
      <c r="U33" s="203"/>
    </row>
    <row r="34" spans="1:21" x14ac:dyDescent="0.2">
      <c r="A34" s="20">
        <v>3642</v>
      </c>
      <c r="B34" s="220" t="s">
        <v>44</v>
      </c>
      <c r="C34" s="219">
        <f t="shared" si="0"/>
        <v>2637460.3826548113</v>
      </c>
      <c r="D34" s="30">
        <f t="shared" ref="D34:M34" si="33">D77/$C$86*$C$43</f>
        <v>0</v>
      </c>
      <c r="E34" s="29">
        <f t="shared" si="33"/>
        <v>28213.837928758148</v>
      </c>
      <c r="F34" s="29">
        <f t="shared" si="33"/>
        <v>0</v>
      </c>
      <c r="G34" s="28">
        <f t="shared" si="33"/>
        <v>110146.71146549063</v>
      </c>
      <c r="H34" s="30">
        <f t="shared" si="33"/>
        <v>0</v>
      </c>
      <c r="I34" s="28">
        <f t="shared" si="33"/>
        <v>0</v>
      </c>
      <c r="J34" s="43">
        <f t="shared" si="33"/>
        <v>1183261.5225546965</v>
      </c>
      <c r="K34" s="30">
        <f t="shared" si="33"/>
        <v>205951.03839296181</v>
      </c>
      <c r="L34" s="29">
        <f t="shared" si="33"/>
        <v>419158.11188546492</v>
      </c>
      <c r="M34" s="28">
        <f t="shared" si="33"/>
        <v>690729.16042743938</v>
      </c>
      <c r="O34" s="218">
        <v>1.3524899052819646E-2</v>
      </c>
      <c r="P34" s="217">
        <f t="shared" si="2"/>
        <v>0</v>
      </c>
      <c r="Q34" s="216">
        <f t="shared" si="3"/>
        <v>2637460.3826548113</v>
      </c>
      <c r="R34" s="215"/>
      <c r="S34" s="214">
        <f t="shared" si="4"/>
        <v>-540890.89475780539</v>
      </c>
      <c r="T34" s="202"/>
      <c r="U34" s="203"/>
    </row>
    <row r="35" spans="1:21" x14ac:dyDescent="0.2">
      <c r="A35" s="20">
        <v>3644</v>
      </c>
      <c r="B35" s="220" t="s">
        <v>43</v>
      </c>
      <c r="C35" s="219">
        <f t="shared" si="0"/>
        <v>14162997.543229505</v>
      </c>
      <c r="D35" s="30">
        <f t="shared" ref="D35:M35" si="34">D78/$C$86*$C$43</f>
        <v>0</v>
      </c>
      <c r="E35" s="29">
        <f t="shared" si="34"/>
        <v>5316147.7793207997</v>
      </c>
      <c r="F35" s="29">
        <f t="shared" si="34"/>
        <v>0</v>
      </c>
      <c r="G35" s="28">
        <f t="shared" si="34"/>
        <v>374693.80951118527</v>
      </c>
      <c r="H35" s="30">
        <f t="shared" si="34"/>
        <v>0</v>
      </c>
      <c r="I35" s="28">
        <f t="shared" si="34"/>
        <v>0</v>
      </c>
      <c r="J35" s="43">
        <f t="shared" si="34"/>
        <v>4110931.1026224941</v>
      </c>
      <c r="K35" s="30">
        <f t="shared" si="34"/>
        <v>815753.95011674776</v>
      </c>
      <c r="L35" s="29">
        <f t="shared" si="34"/>
        <v>976370.80048636894</v>
      </c>
      <c r="M35" s="28">
        <f t="shared" si="34"/>
        <v>2569100.1011719084</v>
      </c>
      <c r="O35" s="218">
        <v>6.3345925146063756E-2</v>
      </c>
      <c r="P35" s="217">
        <f t="shared" si="2"/>
        <v>0</v>
      </c>
      <c r="Q35" s="216">
        <f t="shared" si="3"/>
        <v>14162997.543229505</v>
      </c>
      <c r="R35" s="215"/>
      <c r="S35" s="214">
        <f t="shared" si="4"/>
        <v>-723294.86609547772</v>
      </c>
      <c r="T35" s="202"/>
      <c r="U35" s="203"/>
    </row>
    <row r="36" spans="1:21" x14ac:dyDescent="0.2">
      <c r="A36" s="20">
        <v>3541</v>
      </c>
      <c r="B36" s="19" t="s">
        <v>42</v>
      </c>
      <c r="C36" s="55">
        <f t="shared" si="0"/>
        <v>2746400.0692061139</v>
      </c>
      <c r="D36" s="15">
        <f t="shared" ref="D36:M36" si="35">D79/$C$86*$C$43</f>
        <v>0</v>
      </c>
      <c r="E36" s="14">
        <f t="shared" si="35"/>
        <v>441222.21343122661</v>
      </c>
      <c r="F36" s="14">
        <f t="shared" si="35"/>
        <v>0</v>
      </c>
      <c r="G36" s="13">
        <f t="shared" si="35"/>
        <v>73152.894310390664</v>
      </c>
      <c r="H36" s="15">
        <f t="shared" si="35"/>
        <v>0</v>
      </c>
      <c r="I36" s="13">
        <f t="shared" si="35"/>
        <v>0</v>
      </c>
      <c r="J36" s="16">
        <f t="shared" si="35"/>
        <v>1283889.0657434398</v>
      </c>
      <c r="K36" s="15">
        <f t="shared" si="35"/>
        <v>180961.86516775723</v>
      </c>
      <c r="L36" s="14">
        <f t="shared" si="35"/>
        <v>191204.66386537612</v>
      </c>
      <c r="M36" s="13">
        <f t="shared" si="35"/>
        <v>575969.36668792367</v>
      </c>
      <c r="O36" s="74">
        <v>1.2561069385453944E-2</v>
      </c>
      <c r="P36" s="120">
        <f t="shared" si="2"/>
        <v>0</v>
      </c>
      <c r="Q36" s="160">
        <f t="shared" si="3"/>
        <v>2746400.0692061139</v>
      </c>
      <c r="S36" s="206">
        <f t="shared" si="4"/>
        <v>-205451.23637556285</v>
      </c>
      <c r="T36" s="202"/>
      <c r="U36" s="203"/>
    </row>
    <row r="37" spans="1:21" x14ac:dyDescent="0.2">
      <c r="A37" s="20">
        <v>3646</v>
      </c>
      <c r="B37" s="19" t="s">
        <v>41</v>
      </c>
      <c r="C37" s="55">
        <f t="shared" si="0"/>
        <v>4593289.3542158036</v>
      </c>
      <c r="D37" s="15">
        <f t="shared" ref="D37:M37" si="36">D80/$C$86*$C$43</f>
        <v>0</v>
      </c>
      <c r="E37" s="14">
        <f t="shared" si="36"/>
        <v>1224584.2971559945</v>
      </c>
      <c r="F37" s="14">
        <f t="shared" si="36"/>
        <v>0</v>
      </c>
      <c r="G37" s="13">
        <f t="shared" si="36"/>
        <v>255429.45339718583</v>
      </c>
      <c r="H37" s="15">
        <f t="shared" si="36"/>
        <v>0</v>
      </c>
      <c r="I37" s="13">
        <f t="shared" si="36"/>
        <v>0</v>
      </c>
      <c r="J37" s="16">
        <f t="shared" si="36"/>
        <v>2214397.8768769978</v>
      </c>
      <c r="K37" s="15">
        <f t="shared" si="36"/>
        <v>552445.21210620215</v>
      </c>
      <c r="L37" s="14">
        <f t="shared" si="36"/>
        <v>239052.07410708259</v>
      </c>
      <c r="M37" s="13">
        <f t="shared" si="36"/>
        <v>107380.4405723411</v>
      </c>
      <c r="O37" s="74">
        <v>1.8983457031793705E-2</v>
      </c>
      <c r="P37" s="120">
        <f t="shared" si="2"/>
        <v>0</v>
      </c>
      <c r="Q37" s="160">
        <f t="shared" si="3"/>
        <v>4593289.3542158036</v>
      </c>
      <c r="S37" s="206">
        <f t="shared" si="4"/>
        <v>132176.95174428262</v>
      </c>
      <c r="T37" s="202"/>
      <c r="U37" s="203"/>
    </row>
    <row r="38" spans="1:21" x14ac:dyDescent="0.2">
      <c r="A38" s="20">
        <v>3581</v>
      </c>
      <c r="B38" s="19" t="s">
        <v>40</v>
      </c>
      <c r="C38" s="55">
        <f t="shared" si="0"/>
        <v>3669728.5871972716</v>
      </c>
      <c r="D38" s="15">
        <f t="shared" ref="D38:M38" si="37">D81/$C$86*$C$43</f>
        <v>0</v>
      </c>
      <c r="E38" s="14">
        <f t="shared" si="37"/>
        <v>242296.50669687771</v>
      </c>
      <c r="F38" s="14">
        <f t="shared" si="37"/>
        <v>0</v>
      </c>
      <c r="G38" s="13">
        <f t="shared" si="37"/>
        <v>99329.003936565903</v>
      </c>
      <c r="H38" s="15">
        <f t="shared" si="37"/>
        <v>0</v>
      </c>
      <c r="I38" s="13">
        <f t="shared" si="37"/>
        <v>0</v>
      </c>
      <c r="J38" s="16">
        <f t="shared" si="37"/>
        <v>1684623.458324495</v>
      </c>
      <c r="K38" s="15">
        <f t="shared" si="37"/>
        <v>269765.67203182331</v>
      </c>
      <c r="L38" s="14">
        <f t="shared" si="37"/>
        <v>550861.80811779108</v>
      </c>
      <c r="M38" s="13">
        <f t="shared" si="37"/>
        <v>822852.13808971865</v>
      </c>
      <c r="O38" s="74">
        <v>1.8519296567582645E-2</v>
      </c>
      <c r="P38" s="120">
        <f t="shared" si="2"/>
        <v>0</v>
      </c>
      <c r="Q38" s="160">
        <f t="shared" si="3"/>
        <v>3669728.5871972716</v>
      </c>
      <c r="S38" s="206">
        <f t="shared" si="4"/>
        <v>-682306.10618464975</v>
      </c>
      <c r="T38" s="202"/>
      <c r="U38" s="203"/>
    </row>
    <row r="39" spans="1:21" x14ac:dyDescent="0.2">
      <c r="A39" s="20">
        <v>3606</v>
      </c>
      <c r="B39" s="19" t="s">
        <v>39</v>
      </c>
      <c r="C39" s="55">
        <f t="shared" si="0"/>
        <v>8671352.8211201876</v>
      </c>
      <c r="D39" s="15">
        <f t="shared" ref="D39:M39" si="38">D82/$C$86*$C$43</f>
        <v>0</v>
      </c>
      <c r="E39" s="14">
        <f t="shared" si="38"/>
        <v>2337916.541900279</v>
      </c>
      <c r="F39" s="14">
        <f t="shared" si="38"/>
        <v>0</v>
      </c>
      <c r="G39" s="13">
        <f t="shared" si="38"/>
        <v>215945.10454816895</v>
      </c>
      <c r="H39" s="15">
        <f t="shared" si="38"/>
        <v>0</v>
      </c>
      <c r="I39" s="13">
        <f t="shared" si="38"/>
        <v>0</v>
      </c>
      <c r="J39" s="16">
        <f t="shared" si="38"/>
        <v>3930985.3783320347</v>
      </c>
      <c r="K39" s="15">
        <f t="shared" si="38"/>
        <v>489846.49461420462</v>
      </c>
      <c r="L39" s="14">
        <f t="shared" si="38"/>
        <v>548518.76483275916</v>
      </c>
      <c r="M39" s="13">
        <f t="shared" si="38"/>
        <v>1148140.5368927428</v>
      </c>
      <c r="O39" s="74">
        <v>3.2554270941238916E-2</v>
      </c>
      <c r="P39" s="120">
        <f t="shared" si="2"/>
        <v>0</v>
      </c>
      <c r="Q39" s="160">
        <f t="shared" si="3"/>
        <v>8671352.8211201876</v>
      </c>
      <c r="S39" s="206">
        <f t="shared" si="4"/>
        <v>1021099.149929042</v>
      </c>
      <c r="T39" s="202"/>
      <c r="U39" s="203"/>
    </row>
    <row r="40" spans="1:21" x14ac:dyDescent="0.2">
      <c r="A40" s="20">
        <v>3615</v>
      </c>
      <c r="B40" s="19" t="s">
        <v>85</v>
      </c>
      <c r="C40" s="55">
        <f t="shared" si="0"/>
        <v>15438391.066980204</v>
      </c>
      <c r="D40" s="15">
        <f t="shared" ref="D40:M40" si="39">D83/$C$86*$C$43</f>
        <v>0</v>
      </c>
      <c r="E40" s="14">
        <f t="shared" si="39"/>
        <v>4394055.3893077932</v>
      </c>
      <c r="F40" s="14">
        <f t="shared" si="39"/>
        <v>0</v>
      </c>
      <c r="G40" s="13">
        <f t="shared" si="39"/>
        <v>386132.67014677962</v>
      </c>
      <c r="H40" s="15">
        <f t="shared" si="39"/>
        <v>0</v>
      </c>
      <c r="I40" s="13">
        <f t="shared" si="39"/>
        <v>0</v>
      </c>
      <c r="J40" s="16">
        <f t="shared" si="39"/>
        <v>6526584.0658769794</v>
      </c>
      <c r="K40" s="15">
        <f t="shared" si="39"/>
        <v>939651.61266788829</v>
      </c>
      <c r="L40" s="14">
        <f t="shared" si="39"/>
        <v>1031987.2489889711</v>
      </c>
      <c r="M40" s="13">
        <f t="shared" si="39"/>
        <v>2159980.0799917919</v>
      </c>
      <c r="O40" s="74">
        <v>6.1387457427191858E-2</v>
      </c>
      <c r="P40" s="120">
        <f t="shared" si="2"/>
        <v>0</v>
      </c>
      <c r="Q40" s="160">
        <f t="shared" si="3"/>
        <v>15438391.066980204</v>
      </c>
      <c r="S40" s="206">
        <f t="shared" si="4"/>
        <v>1012338.5715901162</v>
      </c>
      <c r="T40" s="202"/>
      <c r="U40" s="203"/>
    </row>
    <row r="41" spans="1:21" x14ac:dyDescent="0.2">
      <c r="A41" s="20">
        <v>3625</v>
      </c>
      <c r="B41" s="19" t="s">
        <v>38</v>
      </c>
      <c r="C41" s="55">
        <f t="shared" si="0"/>
        <v>552015.34998604609</v>
      </c>
      <c r="D41" s="15">
        <f t="shared" ref="D41:M41" si="40">D84/$C$86*$C$43</f>
        <v>0</v>
      </c>
      <c r="E41" s="14">
        <f t="shared" si="40"/>
        <v>29516.820741973475</v>
      </c>
      <c r="F41" s="14">
        <f t="shared" si="40"/>
        <v>0</v>
      </c>
      <c r="G41" s="13">
        <f t="shared" si="40"/>
        <v>14588.404082947505</v>
      </c>
      <c r="H41" s="15">
        <f t="shared" si="40"/>
        <v>0</v>
      </c>
      <c r="I41" s="13">
        <f t="shared" si="40"/>
        <v>0</v>
      </c>
      <c r="J41" s="16">
        <f t="shared" si="40"/>
        <v>289452.16834879766</v>
      </c>
      <c r="K41" s="15">
        <f t="shared" si="40"/>
        <v>75470.657391557674</v>
      </c>
      <c r="L41" s="14">
        <f t="shared" si="40"/>
        <v>35823.89864746324</v>
      </c>
      <c r="M41" s="13">
        <f t="shared" si="40"/>
        <v>107163.40077330657</v>
      </c>
      <c r="O41" s="74">
        <v>2.5717361648878246E-3</v>
      </c>
      <c r="P41" s="120">
        <f t="shared" si="2"/>
        <v>0</v>
      </c>
      <c r="Q41" s="160">
        <f t="shared" si="3"/>
        <v>552015.34998604609</v>
      </c>
      <c r="S41" s="206">
        <f t="shared" si="4"/>
        <v>-52342.648762592697</v>
      </c>
      <c r="T41" s="202"/>
      <c r="U41" s="203"/>
    </row>
    <row r="42" spans="1:21" x14ac:dyDescent="0.2">
      <c r="A42" s="20">
        <v>20</v>
      </c>
      <c r="B42" s="19" t="s">
        <v>37</v>
      </c>
      <c r="C42" s="64">
        <f t="shared" si="0"/>
        <v>419749.57044465723</v>
      </c>
      <c r="D42" s="15">
        <f t="shared" ref="D42:M42" si="41">D85/$C$86*$C$43</f>
        <v>0</v>
      </c>
      <c r="E42" s="14">
        <f t="shared" si="41"/>
        <v>53208.565020818271</v>
      </c>
      <c r="F42" s="14">
        <f t="shared" si="41"/>
        <v>0</v>
      </c>
      <c r="G42" s="13">
        <f t="shared" si="41"/>
        <v>20656.022964707001</v>
      </c>
      <c r="H42" s="15">
        <f t="shared" si="41"/>
        <v>0</v>
      </c>
      <c r="I42" s="13">
        <f t="shared" si="41"/>
        <v>0</v>
      </c>
      <c r="J42" s="16">
        <f t="shared" si="41"/>
        <v>255712.34504433657</v>
      </c>
      <c r="K42" s="15">
        <f t="shared" si="41"/>
        <v>72326.046666909431</v>
      </c>
      <c r="L42" s="14">
        <f t="shared" si="41"/>
        <v>17141.211401023724</v>
      </c>
      <c r="M42" s="13">
        <f t="shared" si="41"/>
        <v>705.37934686227106</v>
      </c>
      <c r="O42" s="74">
        <v>1.4792799135503695E-3</v>
      </c>
      <c r="P42" s="120">
        <f t="shared" si="2"/>
        <v>0</v>
      </c>
      <c r="Q42" s="160">
        <f t="shared" si="3"/>
        <v>419749.57044465723</v>
      </c>
      <c r="S42" s="206">
        <f t="shared" si="4"/>
        <v>72118.790760320378</v>
      </c>
      <c r="T42" s="202"/>
      <c r="U42" s="203"/>
    </row>
    <row r="43" spans="1:21" ht="13.5" thickBot="1" x14ac:dyDescent="0.25">
      <c r="A43" s="12"/>
      <c r="B43" s="11" t="s">
        <v>11</v>
      </c>
      <c r="C43" s="62">
        <f>Q43-P43</f>
        <v>234585952.91158545</v>
      </c>
      <c r="D43" s="62">
        <f t="shared" ref="D43:M43" si="42">SUM(D5:D42)</f>
        <v>0</v>
      </c>
      <c r="E43" s="61">
        <f t="shared" si="42"/>
        <v>66026648.618413508</v>
      </c>
      <c r="F43" s="61">
        <f t="shared" si="42"/>
        <v>0</v>
      </c>
      <c r="G43" s="60">
        <f t="shared" si="42"/>
        <v>9380975.2138415202</v>
      </c>
      <c r="H43" s="62">
        <f t="shared" si="42"/>
        <v>0</v>
      </c>
      <c r="I43" s="60">
        <f t="shared" si="42"/>
        <v>0</v>
      </c>
      <c r="J43" s="63">
        <f t="shared" si="42"/>
        <v>91354024.502722099</v>
      </c>
      <c r="K43" s="62">
        <f t="shared" si="42"/>
        <v>17449906.120646015</v>
      </c>
      <c r="L43" s="61">
        <f t="shared" si="42"/>
        <v>17454778.417498201</v>
      </c>
      <c r="M43" s="60">
        <f t="shared" si="42"/>
        <v>32919620.038464122</v>
      </c>
      <c r="O43" s="161">
        <f>SUM(O5:O42)</f>
        <v>1.0000000000000002</v>
      </c>
      <c r="P43" s="119">
        <f>SUM(P5:P42)</f>
        <v>414047.08841455099</v>
      </c>
      <c r="Q43" s="162">
        <v>235000000</v>
      </c>
      <c r="S43" s="207">
        <f t="shared" si="4"/>
        <v>0</v>
      </c>
      <c r="T43" s="202"/>
      <c r="U43" s="203"/>
    </row>
    <row r="44" spans="1:21" ht="13.5" thickBot="1" x14ac:dyDescent="0.25">
      <c r="A44" s="59"/>
      <c r="C44" s="88"/>
      <c r="D44" s="89"/>
      <c r="E44" s="58"/>
      <c r="F44" s="58"/>
      <c r="G44" s="58"/>
      <c r="H44" s="58"/>
      <c r="I44" s="58"/>
      <c r="J44" s="58"/>
      <c r="K44" s="58"/>
      <c r="L44" s="58"/>
      <c r="M44" s="58"/>
      <c r="O44" s="163" t="s">
        <v>91</v>
      </c>
      <c r="P44" s="164">
        <v>5.0000000000000001E-3</v>
      </c>
      <c r="Q44" s="165"/>
    </row>
    <row r="45" spans="1:21" ht="13.5" thickBot="1" x14ac:dyDescent="0.25">
      <c r="A45" s="57" t="s">
        <v>76</v>
      </c>
    </row>
    <row r="46" spans="1:21" ht="12.75" customHeight="1" outlineLevel="1" x14ac:dyDescent="0.2">
      <c r="A46" s="234" t="s">
        <v>24</v>
      </c>
      <c r="B46" s="236" t="s">
        <v>23</v>
      </c>
      <c r="C46" s="238" t="s">
        <v>36</v>
      </c>
      <c r="D46" s="247" t="s">
        <v>35</v>
      </c>
      <c r="E46" s="248"/>
      <c r="F46" s="248"/>
      <c r="G46" s="249"/>
      <c r="H46" s="250" t="s">
        <v>18</v>
      </c>
      <c r="I46" s="225" t="s">
        <v>17</v>
      </c>
      <c r="J46" s="227" t="s">
        <v>16</v>
      </c>
      <c r="K46" s="229" t="s">
        <v>34</v>
      </c>
      <c r="L46" s="230"/>
      <c r="M46" s="231"/>
      <c r="N46" s="277"/>
    </row>
    <row r="47" spans="1:21" ht="51.75" outlineLevel="1" thickBot="1" x14ac:dyDescent="0.25">
      <c r="A47" s="273"/>
      <c r="B47" s="270"/>
      <c r="C47" s="274"/>
      <c r="D47" s="152"/>
      <c r="E47" s="123" t="s">
        <v>33</v>
      </c>
      <c r="F47" s="123" t="s">
        <v>32</v>
      </c>
      <c r="G47" s="209" t="s">
        <v>31</v>
      </c>
      <c r="H47" s="264"/>
      <c r="I47" s="265"/>
      <c r="J47" s="266"/>
      <c r="K47" s="125" t="s">
        <v>14</v>
      </c>
      <c r="L47" s="126" t="s">
        <v>13</v>
      </c>
      <c r="M47" s="135" t="s">
        <v>12</v>
      </c>
      <c r="N47" s="277"/>
    </row>
    <row r="48" spans="1:21" outlineLevel="1" x14ac:dyDescent="0.2">
      <c r="A48" s="20">
        <f t="shared" ref="A48:B67" si="43">A5</f>
        <v>3656</v>
      </c>
      <c r="B48" s="19" t="str">
        <f t="shared" si="43"/>
        <v>UTA</v>
      </c>
      <c r="C48" s="55">
        <f t="shared" ref="C48:C85" si="44">SUM(D48:M48)</f>
        <v>16747.176166666672</v>
      </c>
      <c r="D48" s="15">
        <f t="shared" ref="D48:M48" si="45">D90*D177</f>
        <v>0</v>
      </c>
      <c r="E48" s="14">
        <f t="shared" si="45"/>
        <v>4551.7441666666673</v>
      </c>
      <c r="F48" s="14">
        <f t="shared" si="45"/>
        <v>0</v>
      </c>
      <c r="G48" s="13">
        <f t="shared" si="45"/>
        <v>1041.855333333338</v>
      </c>
      <c r="H48" s="36">
        <f t="shared" si="45"/>
        <v>0</v>
      </c>
      <c r="I48" s="35">
        <f t="shared" si="45"/>
        <v>0</v>
      </c>
      <c r="J48" s="34">
        <f t="shared" si="45"/>
        <v>7478.4</v>
      </c>
      <c r="K48" s="36">
        <f t="shared" si="45"/>
        <v>2324.3533333333335</v>
      </c>
      <c r="L48" s="56">
        <f t="shared" si="45"/>
        <v>958.41666666666663</v>
      </c>
      <c r="M48" s="35">
        <f t="shared" si="45"/>
        <v>392.40666666666675</v>
      </c>
      <c r="N48" s="153"/>
    </row>
    <row r="49" spans="1:14" outlineLevel="1" x14ac:dyDescent="0.2">
      <c r="A49" s="20">
        <f t="shared" si="43"/>
        <v>3658</v>
      </c>
      <c r="B49" s="19" t="str">
        <f t="shared" si="43"/>
        <v>UT</v>
      </c>
      <c r="C49" s="55">
        <f t="shared" si="44"/>
        <v>33878.681700000059</v>
      </c>
      <c r="D49" s="15">
        <f t="shared" ref="D49:M49" si="46">D91*D178</f>
        <v>0</v>
      </c>
      <c r="E49" s="14">
        <f t="shared" si="46"/>
        <v>15574.671700000003</v>
      </c>
      <c r="F49" s="14">
        <f t="shared" si="46"/>
        <v>0</v>
      </c>
      <c r="G49" s="13">
        <f t="shared" si="46"/>
        <v>1939.8350000000519</v>
      </c>
      <c r="H49" s="15">
        <f t="shared" si="46"/>
        <v>0</v>
      </c>
      <c r="I49" s="13">
        <f t="shared" si="46"/>
        <v>0</v>
      </c>
      <c r="J49" s="16">
        <f t="shared" si="46"/>
        <v>5552.5333333333338</v>
      </c>
      <c r="K49" s="15">
        <f t="shared" si="46"/>
        <v>815.85833333333346</v>
      </c>
      <c r="L49" s="14">
        <f t="shared" si="46"/>
        <v>2251.4166666666665</v>
      </c>
      <c r="M49" s="13">
        <f t="shared" si="46"/>
        <v>7744.3666666666668</v>
      </c>
      <c r="N49" s="85"/>
    </row>
    <row r="50" spans="1:14" outlineLevel="1" x14ac:dyDescent="0.2">
      <c r="A50" s="20">
        <f t="shared" si="43"/>
        <v>9741</v>
      </c>
      <c r="B50" s="19" t="str">
        <f t="shared" si="43"/>
        <v>UTD</v>
      </c>
      <c r="C50" s="55">
        <f t="shared" si="44"/>
        <v>8567.616233333345</v>
      </c>
      <c r="D50" s="15">
        <f t="shared" ref="D50:M50" si="47">D92*D179</f>
        <v>0</v>
      </c>
      <c r="E50" s="14">
        <f t="shared" si="47"/>
        <v>3532.7858999999999</v>
      </c>
      <c r="F50" s="14">
        <f t="shared" si="47"/>
        <v>0</v>
      </c>
      <c r="G50" s="13">
        <f t="shared" si="47"/>
        <v>510.12033333334398</v>
      </c>
      <c r="H50" s="15">
        <f t="shared" si="47"/>
        <v>0</v>
      </c>
      <c r="I50" s="13">
        <f t="shared" si="47"/>
        <v>0</v>
      </c>
      <c r="J50" s="16">
        <f t="shared" si="47"/>
        <v>2639.3333333333335</v>
      </c>
      <c r="K50" s="15">
        <f t="shared" si="47"/>
        <v>1127.1000000000001</v>
      </c>
      <c r="L50" s="14">
        <f t="shared" si="47"/>
        <v>533.58333333333337</v>
      </c>
      <c r="M50" s="13">
        <f t="shared" si="47"/>
        <v>224.69333333333336</v>
      </c>
      <c r="N50" s="85"/>
    </row>
    <row r="51" spans="1:14" outlineLevel="1" x14ac:dyDescent="0.2">
      <c r="A51" s="20">
        <f t="shared" si="43"/>
        <v>3661</v>
      </c>
      <c r="B51" s="19" t="str">
        <f t="shared" si="43"/>
        <v>UTEP</v>
      </c>
      <c r="C51" s="55">
        <f t="shared" si="44"/>
        <v>11636.118166666676</v>
      </c>
      <c r="D51" s="15">
        <f t="shared" ref="D51:M51" si="48">D93*D180</f>
        <v>0</v>
      </c>
      <c r="E51" s="14">
        <f t="shared" si="48"/>
        <v>834.56099999999992</v>
      </c>
      <c r="F51" s="14">
        <f t="shared" si="48"/>
        <v>0</v>
      </c>
      <c r="G51" s="13">
        <f t="shared" si="48"/>
        <v>314.90383333334069</v>
      </c>
      <c r="H51" s="15">
        <f t="shared" si="48"/>
        <v>0</v>
      </c>
      <c r="I51" s="13">
        <f t="shared" si="48"/>
        <v>0</v>
      </c>
      <c r="J51" s="16">
        <f t="shared" si="48"/>
        <v>5914.4000000000005</v>
      </c>
      <c r="K51" s="15">
        <f t="shared" si="48"/>
        <v>741.65333333333342</v>
      </c>
      <c r="L51" s="14">
        <f t="shared" si="48"/>
        <v>1679</v>
      </c>
      <c r="M51" s="13">
        <f t="shared" si="48"/>
        <v>2151.6000000000004</v>
      </c>
      <c r="N51" s="85"/>
    </row>
    <row r="52" spans="1:14" outlineLevel="1" x14ac:dyDescent="0.2">
      <c r="A52" s="20">
        <f t="shared" si="43"/>
        <v>3599</v>
      </c>
      <c r="B52" s="19" t="str">
        <f t="shared" si="43"/>
        <v>UTPA</v>
      </c>
      <c r="C52" s="55">
        <f t="shared" si="44"/>
        <v>11025.553666666672</v>
      </c>
      <c r="D52" s="15">
        <f t="shared" ref="D52:M52" si="49">D94*D181</f>
        <v>0</v>
      </c>
      <c r="E52" s="14">
        <f t="shared" si="49"/>
        <v>1556.7720000000002</v>
      </c>
      <c r="F52" s="14">
        <f t="shared" si="49"/>
        <v>0</v>
      </c>
      <c r="G52" s="13">
        <f t="shared" si="49"/>
        <v>256.708333333339</v>
      </c>
      <c r="H52" s="15">
        <f t="shared" si="49"/>
        <v>0</v>
      </c>
      <c r="I52" s="13">
        <f t="shared" si="49"/>
        <v>0</v>
      </c>
      <c r="J52" s="16">
        <f t="shared" si="49"/>
        <v>5612</v>
      </c>
      <c r="K52" s="15">
        <f t="shared" si="49"/>
        <v>692.80666666666673</v>
      </c>
      <c r="L52" s="14">
        <f t="shared" si="49"/>
        <v>774</v>
      </c>
      <c r="M52" s="13">
        <f t="shared" si="49"/>
        <v>2133.2666666666669</v>
      </c>
      <c r="N52" s="85"/>
    </row>
    <row r="53" spans="1:14" outlineLevel="1" x14ac:dyDescent="0.2">
      <c r="A53" s="20">
        <f t="shared" si="43"/>
        <v>30646</v>
      </c>
      <c r="B53" s="19" t="str">
        <f t="shared" si="43"/>
        <v>UTB</v>
      </c>
      <c r="C53" s="55">
        <f t="shared" si="44"/>
        <v>4169.2617845644536</v>
      </c>
      <c r="D53" s="15">
        <f t="shared" ref="D53:M53" si="50">D95*D182</f>
        <v>0</v>
      </c>
      <c r="E53" s="14">
        <f t="shared" si="50"/>
        <v>1099.299117897785</v>
      </c>
      <c r="F53" s="14">
        <f t="shared" si="50"/>
        <v>0</v>
      </c>
      <c r="G53" s="13">
        <f t="shared" si="50"/>
        <v>209.77933333333556</v>
      </c>
      <c r="H53" s="15">
        <f t="shared" si="50"/>
        <v>0</v>
      </c>
      <c r="I53" s="13">
        <f t="shared" si="50"/>
        <v>0</v>
      </c>
      <c r="J53" s="16">
        <f t="shared" si="50"/>
        <v>2248</v>
      </c>
      <c r="K53" s="15">
        <f t="shared" si="50"/>
        <v>450.95333333333332</v>
      </c>
      <c r="L53" s="14">
        <f t="shared" si="50"/>
        <v>139.08333333333334</v>
      </c>
      <c r="M53" s="13">
        <f t="shared" si="50"/>
        <v>22.146666666666672</v>
      </c>
      <c r="N53" s="85"/>
    </row>
    <row r="54" spans="1:14" outlineLevel="1" x14ac:dyDescent="0.2">
      <c r="A54" s="20">
        <f t="shared" si="43"/>
        <v>9930</v>
      </c>
      <c r="B54" s="19" t="str">
        <f t="shared" si="43"/>
        <v>UTPB</v>
      </c>
      <c r="C54" s="55">
        <f t="shared" si="44"/>
        <v>1904.9483333333337</v>
      </c>
      <c r="D54" s="15">
        <f t="shared" ref="D54:M54" si="51">D96*D183</f>
        <v>0</v>
      </c>
      <c r="E54" s="14">
        <f t="shared" si="51"/>
        <v>414.40000000000003</v>
      </c>
      <c r="F54" s="14">
        <f t="shared" si="51"/>
        <v>0</v>
      </c>
      <c r="G54" s="13">
        <f t="shared" si="51"/>
        <v>100.15166666666704</v>
      </c>
      <c r="H54" s="15">
        <f t="shared" si="51"/>
        <v>0</v>
      </c>
      <c r="I54" s="13">
        <f t="shared" si="51"/>
        <v>0</v>
      </c>
      <c r="J54" s="16">
        <f t="shared" si="51"/>
        <v>957.59999999999991</v>
      </c>
      <c r="K54" s="15">
        <f t="shared" si="51"/>
        <v>267.12666666666667</v>
      </c>
      <c r="L54" s="14">
        <f t="shared" si="51"/>
        <v>122.91666666666669</v>
      </c>
      <c r="M54" s="13">
        <f t="shared" si="51"/>
        <v>42.753333333333345</v>
      </c>
      <c r="N54" s="85"/>
    </row>
    <row r="55" spans="1:14" outlineLevel="1" x14ac:dyDescent="0.2">
      <c r="A55" s="20">
        <f t="shared" si="43"/>
        <v>10115</v>
      </c>
      <c r="B55" s="19" t="str">
        <f t="shared" si="43"/>
        <v>UTSA</v>
      </c>
      <c r="C55" s="55">
        <f t="shared" si="44"/>
        <v>15538.328027777772</v>
      </c>
      <c r="D55" s="15">
        <f t="shared" ref="D55:M55" si="52">D97*D184</f>
        <v>0</v>
      </c>
      <c r="E55" s="14">
        <f t="shared" si="52"/>
        <v>3039.9706944444447</v>
      </c>
      <c r="F55" s="14">
        <f t="shared" si="52"/>
        <v>0</v>
      </c>
      <c r="G55" s="13">
        <f t="shared" si="52"/>
        <v>420.71066666666121</v>
      </c>
      <c r="H55" s="15">
        <f t="shared" si="52"/>
        <v>0</v>
      </c>
      <c r="I55" s="13">
        <f t="shared" si="52"/>
        <v>0</v>
      </c>
      <c r="J55" s="16">
        <f t="shared" si="52"/>
        <v>7496.7999999999993</v>
      </c>
      <c r="K55" s="15">
        <f t="shared" si="52"/>
        <v>2315.2866666666669</v>
      </c>
      <c r="L55" s="14">
        <f t="shared" si="52"/>
        <v>1114.6666666666667</v>
      </c>
      <c r="M55" s="13">
        <f t="shared" si="52"/>
        <v>1150.8933333333334</v>
      </c>
      <c r="N55" s="85"/>
    </row>
    <row r="56" spans="1:14" outlineLevel="1" x14ac:dyDescent="0.2">
      <c r="A56" s="20">
        <f t="shared" si="43"/>
        <v>11163</v>
      </c>
      <c r="B56" s="19" t="str">
        <f t="shared" si="43"/>
        <v>UTT</v>
      </c>
      <c r="C56" s="55">
        <f t="shared" si="44"/>
        <v>4367.808500000001</v>
      </c>
      <c r="D56" s="15">
        <f t="shared" ref="D56:M56" si="53">D98*D185</f>
        <v>0</v>
      </c>
      <c r="E56" s="14">
        <f t="shared" si="53"/>
        <v>1073.8758333333335</v>
      </c>
      <c r="F56" s="14">
        <f t="shared" si="53"/>
        <v>0</v>
      </c>
      <c r="G56" s="13">
        <f t="shared" si="53"/>
        <v>236.26600000000104</v>
      </c>
      <c r="H56" s="15">
        <f t="shared" si="53"/>
        <v>0</v>
      </c>
      <c r="I56" s="13">
        <f t="shared" si="53"/>
        <v>0</v>
      </c>
      <c r="J56" s="16">
        <f t="shared" si="53"/>
        <v>2261.6</v>
      </c>
      <c r="K56" s="15">
        <f t="shared" si="53"/>
        <v>488.3533333333333</v>
      </c>
      <c r="L56" s="14">
        <f t="shared" si="53"/>
        <v>222.5</v>
      </c>
      <c r="M56" s="13">
        <f t="shared" si="53"/>
        <v>85.213333333333338</v>
      </c>
      <c r="N56" s="85"/>
    </row>
    <row r="57" spans="1:14" outlineLevel="1" x14ac:dyDescent="0.2">
      <c r="A57" s="20">
        <f t="shared" si="43"/>
        <v>3632</v>
      </c>
      <c r="B57" s="19" t="str">
        <f t="shared" si="43"/>
        <v>TAMU</v>
      </c>
      <c r="C57" s="55">
        <f t="shared" si="44"/>
        <v>34067.312533333345</v>
      </c>
      <c r="D57" s="15">
        <f t="shared" ref="D57:M57" si="54">D99*D186</f>
        <v>0</v>
      </c>
      <c r="E57" s="14">
        <f t="shared" si="54"/>
        <v>15429.00753333333</v>
      </c>
      <c r="F57" s="14">
        <f t="shared" si="54"/>
        <v>0</v>
      </c>
      <c r="G57" s="13">
        <f t="shared" si="54"/>
        <v>2010.4816666666802</v>
      </c>
      <c r="H57" s="15">
        <f t="shared" si="54"/>
        <v>0</v>
      </c>
      <c r="I57" s="13">
        <f t="shared" si="54"/>
        <v>0</v>
      </c>
      <c r="J57" s="16">
        <f t="shared" si="54"/>
        <v>5958.4000000000005</v>
      </c>
      <c r="K57" s="15">
        <f t="shared" si="54"/>
        <v>855.15666666666664</v>
      </c>
      <c r="L57" s="14">
        <f t="shared" si="54"/>
        <v>2226.8333333333335</v>
      </c>
      <c r="M57" s="13">
        <f t="shared" si="54"/>
        <v>7587.4333333333343</v>
      </c>
      <c r="N57" s="85"/>
    </row>
    <row r="58" spans="1:14" outlineLevel="1" x14ac:dyDescent="0.2">
      <c r="A58" s="20">
        <f t="shared" si="43"/>
        <v>10298</v>
      </c>
      <c r="B58" s="19" t="str">
        <f t="shared" si="43"/>
        <v>TAMUG</v>
      </c>
      <c r="C58" s="55">
        <f t="shared" si="44"/>
        <v>1670.0221666666666</v>
      </c>
      <c r="D58" s="15">
        <f t="shared" ref="D58:M58" si="55">D100*D187*1.5</f>
        <v>0</v>
      </c>
      <c r="E58" s="14">
        <f t="shared" si="55"/>
        <v>453.40516666666667</v>
      </c>
      <c r="F58" s="14">
        <f t="shared" si="55"/>
        <v>0</v>
      </c>
      <c r="G58" s="13">
        <f t="shared" si="55"/>
        <v>52.801999999999836</v>
      </c>
      <c r="H58" s="15">
        <f t="shared" si="55"/>
        <v>0</v>
      </c>
      <c r="I58" s="13">
        <f t="shared" si="55"/>
        <v>0</v>
      </c>
      <c r="J58" s="16">
        <f t="shared" si="55"/>
        <v>568.79999999999995</v>
      </c>
      <c r="K58" s="15">
        <f t="shared" si="55"/>
        <v>151.04500000000002</v>
      </c>
      <c r="L58" s="14">
        <f t="shared" si="55"/>
        <v>119.25</v>
      </c>
      <c r="M58" s="13">
        <f t="shared" si="55"/>
        <v>324.72000000000003</v>
      </c>
      <c r="N58" s="85"/>
    </row>
    <row r="59" spans="1:14" outlineLevel="1" x14ac:dyDescent="0.2">
      <c r="A59" s="20">
        <f t="shared" si="43"/>
        <v>3630</v>
      </c>
      <c r="B59" s="19" t="str">
        <f t="shared" si="43"/>
        <v>Prairie View</v>
      </c>
      <c r="C59" s="55">
        <f t="shared" si="44"/>
        <v>4143.5743888888892</v>
      </c>
      <c r="D59" s="15">
        <f t="shared" ref="D59:M59" si="56">D101*D188</f>
        <v>0</v>
      </c>
      <c r="E59" s="14">
        <f t="shared" si="56"/>
        <v>243.60272222222221</v>
      </c>
      <c r="F59" s="14">
        <f t="shared" si="56"/>
        <v>0</v>
      </c>
      <c r="G59" s="13">
        <f t="shared" si="56"/>
        <v>103.64500000000046</v>
      </c>
      <c r="H59" s="15">
        <f t="shared" si="56"/>
        <v>0</v>
      </c>
      <c r="I59" s="13">
        <f t="shared" si="56"/>
        <v>0</v>
      </c>
      <c r="J59" s="16">
        <f t="shared" si="56"/>
        <v>1926.3999999999999</v>
      </c>
      <c r="K59" s="15">
        <f t="shared" si="56"/>
        <v>283.56</v>
      </c>
      <c r="L59" s="14">
        <f t="shared" si="56"/>
        <v>590.5</v>
      </c>
      <c r="M59" s="13">
        <f t="shared" si="56"/>
        <v>995.86666666666679</v>
      </c>
      <c r="N59" s="85"/>
    </row>
    <row r="60" spans="1:14" outlineLevel="1" x14ac:dyDescent="0.2">
      <c r="A60" s="20">
        <f t="shared" si="43"/>
        <v>3631</v>
      </c>
      <c r="B60" s="19" t="str">
        <f t="shared" si="43"/>
        <v>Tarleton</v>
      </c>
      <c r="C60" s="55">
        <f t="shared" si="44"/>
        <v>5774.3485000000019</v>
      </c>
      <c r="D60" s="15">
        <f t="shared" ref="D60:M60" si="57">D102*D189</f>
        <v>0</v>
      </c>
      <c r="E60" s="14">
        <f t="shared" si="57"/>
        <v>1292.6713333333335</v>
      </c>
      <c r="F60" s="14">
        <f t="shared" si="57"/>
        <v>0</v>
      </c>
      <c r="G60" s="13">
        <f t="shared" si="57"/>
        <v>156.12716666666802</v>
      </c>
      <c r="H60" s="15">
        <f t="shared" si="57"/>
        <v>0</v>
      </c>
      <c r="I60" s="13">
        <f t="shared" si="57"/>
        <v>0</v>
      </c>
      <c r="J60" s="16">
        <f t="shared" si="57"/>
        <v>2868</v>
      </c>
      <c r="K60" s="15">
        <f t="shared" si="57"/>
        <v>366.23666666666668</v>
      </c>
      <c r="L60" s="14">
        <f t="shared" si="57"/>
        <v>332.16666666666674</v>
      </c>
      <c r="M60" s="13">
        <f t="shared" si="57"/>
        <v>759.14666666666676</v>
      </c>
      <c r="N60" s="85"/>
    </row>
    <row r="61" spans="1:14" outlineLevel="1" x14ac:dyDescent="0.2">
      <c r="A61" s="27">
        <f t="shared" si="43"/>
        <v>103631</v>
      </c>
      <c r="B61" s="19" t="str">
        <f t="shared" si="43"/>
        <v>TAMUCT</v>
      </c>
      <c r="C61" s="55">
        <f t="shared" si="44"/>
        <v>1465.4721666666665</v>
      </c>
      <c r="D61" s="15">
        <f t="shared" ref="D61:M61" si="58">D103*D190</f>
        <v>0</v>
      </c>
      <c r="E61" s="14">
        <f t="shared" si="58"/>
        <v>385.06883333333332</v>
      </c>
      <c r="F61" s="14">
        <f t="shared" si="58"/>
        <v>0</v>
      </c>
      <c r="G61" s="13">
        <f t="shared" si="58"/>
        <v>170.72333333333319</v>
      </c>
      <c r="H61" s="15">
        <f t="shared" si="58"/>
        <v>0</v>
      </c>
      <c r="I61" s="13">
        <f t="shared" si="58"/>
        <v>0</v>
      </c>
      <c r="J61" s="16">
        <f t="shared" si="58"/>
        <v>784.8</v>
      </c>
      <c r="K61" s="15">
        <f t="shared" si="58"/>
        <v>84.15</v>
      </c>
      <c r="L61" s="14">
        <f t="shared" si="58"/>
        <v>33.25</v>
      </c>
      <c r="M61" s="13">
        <f t="shared" si="58"/>
        <v>7.4800000000000013</v>
      </c>
      <c r="N61" s="85"/>
    </row>
    <row r="62" spans="1:14" outlineLevel="1" x14ac:dyDescent="0.2">
      <c r="A62" s="20">
        <f t="shared" si="43"/>
        <v>11161</v>
      </c>
      <c r="B62" s="19" t="str">
        <f t="shared" si="43"/>
        <v>TAMUCC</v>
      </c>
      <c r="C62" s="55">
        <f t="shared" si="44"/>
        <v>5455.5516666666672</v>
      </c>
      <c r="D62" s="15">
        <f t="shared" ref="D62:M62" si="59">D104*D191</f>
        <v>0</v>
      </c>
      <c r="E62" s="14">
        <f t="shared" si="59"/>
        <v>1234.2283333333332</v>
      </c>
      <c r="F62" s="14">
        <f t="shared" si="59"/>
        <v>0</v>
      </c>
      <c r="G62" s="13">
        <f t="shared" si="59"/>
        <v>140.21000000000069</v>
      </c>
      <c r="H62" s="15">
        <f t="shared" si="59"/>
        <v>0</v>
      </c>
      <c r="I62" s="13">
        <f t="shared" si="59"/>
        <v>0</v>
      </c>
      <c r="J62" s="16">
        <f t="shared" si="59"/>
        <v>2592</v>
      </c>
      <c r="K62" s="15">
        <f t="shared" si="59"/>
        <v>349.18</v>
      </c>
      <c r="L62" s="14">
        <f t="shared" si="59"/>
        <v>367</v>
      </c>
      <c r="M62" s="13">
        <f t="shared" si="59"/>
        <v>772.93333333333339</v>
      </c>
      <c r="N62" s="85"/>
    </row>
    <row r="63" spans="1:14" outlineLevel="1" x14ac:dyDescent="0.2">
      <c r="A63" s="20">
        <f t="shared" si="43"/>
        <v>3639</v>
      </c>
      <c r="B63" s="19" t="str">
        <f t="shared" si="43"/>
        <v>TAMUK</v>
      </c>
      <c r="C63" s="55">
        <f t="shared" si="44"/>
        <v>3111.6967222222224</v>
      </c>
      <c r="D63" s="15">
        <f t="shared" ref="D63:M63" si="60">D105*D192</f>
        <v>0</v>
      </c>
      <c r="E63" s="14">
        <f t="shared" si="60"/>
        <v>214.51072222222226</v>
      </c>
      <c r="F63" s="14">
        <f t="shared" si="60"/>
        <v>0</v>
      </c>
      <c r="G63" s="13">
        <f t="shared" si="60"/>
        <v>88.172666666666984</v>
      </c>
      <c r="H63" s="15">
        <f t="shared" si="60"/>
        <v>0</v>
      </c>
      <c r="I63" s="13">
        <f t="shared" si="60"/>
        <v>0</v>
      </c>
      <c r="J63" s="16">
        <f t="shared" si="60"/>
        <v>1556</v>
      </c>
      <c r="K63" s="15">
        <f t="shared" si="60"/>
        <v>208.64666666666668</v>
      </c>
      <c r="L63" s="14">
        <f t="shared" si="60"/>
        <v>429.83333333333331</v>
      </c>
      <c r="M63" s="13">
        <f t="shared" si="60"/>
        <v>614.5333333333333</v>
      </c>
      <c r="N63" s="85"/>
    </row>
    <row r="64" spans="1:14" outlineLevel="1" x14ac:dyDescent="0.2">
      <c r="A64" s="27">
        <f t="shared" si="43"/>
        <v>103639</v>
      </c>
      <c r="B64" s="19" t="str">
        <f t="shared" si="43"/>
        <v>TAMUSA</v>
      </c>
      <c r="C64" s="55">
        <f t="shared" si="44"/>
        <v>1961.1743055555557</v>
      </c>
      <c r="D64" s="15">
        <f t="shared" ref="D64:M64" si="61">D106*D193</f>
        <v>0</v>
      </c>
      <c r="E64" s="14">
        <f t="shared" si="61"/>
        <v>413.76630555555556</v>
      </c>
      <c r="F64" s="14">
        <f t="shared" si="61"/>
        <v>0</v>
      </c>
      <c r="G64" s="13">
        <f t="shared" si="61"/>
        <v>102.6013333333338</v>
      </c>
      <c r="H64" s="15">
        <f t="shared" si="61"/>
        <v>0</v>
      </c>
      <c r="I64" s="13">
        <f t="shared" si="61"/>
        <v>0</v>
      </c>
      <c r="J64" s="16">
        <f t="shared" si="61"/>
        <v>1176.8</v>
      </c>
      <c r="K64" s="15">
        <f t="shared" si="61"/>
        <v>248.08666666666664</v>
      </c>
      <c r="L64" s="14">
        <f t="shared" si="61"/>
        <v>19.333333333333332</v>
      </c>
      <c r="M64" s="13">
        <f t="shared" si="61"/>
        <v>0.58666666666666678</v>
      </c>
      <c r="N64" s="85"/>
    </row>
    <row r="65" spans="1:14" outlineLevel="1" x14ac:dyDescent="0.2">
      <c r="A65" s="20">
        <f t="shared" si="43"/>
        <v>9651</v>
      </c>
      <c r="B65" s="19" t="str">
        <f t="shared" si="43"/>
        <v>TAMI</v>
      </c>
      <c r="C65" s="55">
        <f t="shared" si="44"/>
        <v>3392.8120555555556</v>
      </c>
      <c r="D65" s="15">
        <f t="shared" ref="D65:M65" si="62">D107*D194</f>
        <v>0</v>
      </c>
      <c r="E65" s="14">
        <f t="shared" si="62"/>
        <v>654.10722222222216</v>
      </c>
      <c r="F65" s="14">
        <f t="shared" si="62"/>
        <v>0</v>
      </c>
      <c r="G65" s="13">
        <f t="shared" si="62"/>
        <v>72.924833333333581</v>
      </c>
      <c r="H65" s="15">
        <f t="shared" si="62"/>
        <v>0</v>
      </c>
      <c r="I65" s="13">
        <f t="shared" si="62"/>
        <v>0</v>
      </c>
      <c r="J65" s="16">
        <f t="shared" si="62"/>
        <v>1710.3999999999999</v>
      </c>
      <c r="K65" s="15">
        <f t="shared" si="62"/>
        <v>239.13333333333335</v>
      </c>
      <c r="L65" s="14">
        <f t="shared" si="62"/>
        <v>507.83333333333331</v>
      </c>
      <c r="M65" s="13">
        <f t="shared" si="62"/>
        <v>208.41333333333338</v>
      </c>
      <c r="N65" s="85"/>
    </row>
    <row r="66" spans="1:14" outlineLevel="1" x14ac:dyDescent="0.2">
      <c r="A66" s="20">
        <f t="shared" si="43"/>
        <v>3665</v>
      </c>
      <c r="B66" s="19" t="str">
        <f t="shared" si="43"/>
        <v>WTAMU</v>
      </c>
      <c r="C66" s="55">
        <f t="shared" si="44"/>
        <v>4497.1496111111128</v>
      </c>
      <c r="D66" s="15">
        <f t="shared" ref="D66:M66" si="63">D108*D195</f>
        <v>0</v>
      </c>
      <c r="E66" s="14">
        <f t="shared" si="63"/>
        <v>1034.2507777777778</v>
      </c>
      <c r="F66" s="14">
        <f t="shared" si="63"/>
        <v>0</v>
      </c>
      <c r="G66" s="13">
        <f t="shared" si="63"/>
        <v>125.17883333333418</v>
      </c>
      <c r="H66" s="15">
        <f t="shared" si="63"/>
        <v>0</v>
      </c>
      <c r="I66" s="13">
        <f t="shared" si="63"/>
        <v>0</v>
      </c>
      <c r="J66" s="16">
        <f t="shared" si="63"/>
        <v>2134.4</v>
      </c>
      <c r="K66" s="15">
        <f t="shared" si="63"/>
        <v>609.16666666666674</v>
      </c>
      <c r="L66" s="14">
        <f t="shared" si="63"/>
        <v>303.16666666666669</v>
      </c>
      <c r="M66" s="13">
        <f t="shared" si="63"/>
        <v>290.98666666666674</v>
      </c>
      <c r="N66" s="85"/>
    </row>
    <row r="67" spans="1:14" outlineLevel="1" x14ac:dyDescent="0.2">
      <c r="A67" s="20">
        <f t="shared" si="43"/>
        <v>3565</v>
      </c>
      <c r="B67" s="19" t="str">
        <f t="shared" si="43"/>
        <v>TAMUC</v>
      </c>
      <c r="C67" s="55">
        <f t="shared" si="44"/>
        <v>4743.7860000000019</v>
      </c>
      <c r="D67" s="15">
        <f t="shared" ref="D67:M67" si="64">D109*D196</f>
        <v>0</v>
      </c>
      <c r="E67" s="14">
        <f t="shared" si="64"/>
        <v>1019.7366666666666</v>
      </c>
      <c r="F67" s="14">
        <f t="shared" si="64"/>
        <v>0</v>
      </c>
      <c r="G67" s="13">
        <f t="shared" si="64"/>
        <v>250.18266666666915</v>
      </c>
      <c r="H67" s="15">
        <f t="shared" si="64"/>
        <v>0</v>
      </c>
      <c r="I67" s="13">
        <f t="shared" si="64"/>
        <v>0</v>
      </c>
      <c r="J67" s="16">
        <f t="shared" si="64"/>
        <v>2446.4</v>
      </c>
      <c r="K67" s="15">
        <f t="shared" si="64"/>
        <v>643.62</v>
      </c>
      <c r="L67" s="14">
        <f t="shared" si="64"/>
        <v>284.33333333333331</v>
      </c>
      <c r="M67" s="13">
        <f t="shared" si="64"/>
        <v>99.513333333333335</v>
      </c>
      <c r="N67" s="85"/>
    </row>
    <row r="68" spans="1:14" outlineLevel="1" x14ac:dyDescent="0.2">
      <c r="A68" s="20">
        <f t="shared" ref="A68:B85" si="65">A25</f>
        <v>29269</v>
      </c>
      <c r="B68" s="19" t="str">
        <f t="shared" si="65"/>
        <v>TAMUT</v>
      </c>
      <c r="C68" s="55">
        <f t="shared" si="44"/>
        <v>1155.9747927902988</v>
      </c>
      <c r="D68" s="15">
        <f t="shared" ref="D68:M68" si="66">D110*D197</f>
        <v>0</v>
      </c>
      <c r="E68" s="14">
        <f t="shared" si="66"/>
        <v>327.88045945696564</v>
      </c>
      <c r="F68" s="14">
        <f t="shared" si="66"/>
        <v>0</v>
      </c>
      <c r="G68" s="13">
        <f t="shared" si="66"/>
        <v>61.990999999999829</v>
      </c>
      <c r="H68" s="15">
        <f t="shared" si="66"/>
        <v>0</v>
      </c>
      <c r="I68" s="13">
        <f t="shared" si="66"/>
        <v>0</v>
      </c>
      <c r="J68" s="16">
        <f t="shared" si="66"/>
        <v>573.6</v>
      </c>
      <c r="K68" s="15">
        <f t="shared" si="66"/>
        <v>147.10666666666665</v>
      </c>
      <c r="L68" s="14">
        <f t="shared" si="66"/>
        <v>45.25</v>
      </c>
      <c r="M68" s="13">
        <f t="shared" si="66"/>
        <v>0.1466666666666667</v>
      </c>
      <c r="N68" s="85"/>
    </row>
    <row r="69" spans="1:14" outlineLevel="1" x14ac:dyDescent="0.2">
      <c r="A69" s="20">
        <f t="shared" si="65"/>
        <v>3652</v>
      </c>
      <c r="B69" s="19" t="str">
        <f t="shared" si="65"/>
        <v>UH</v>
      </c>
      <c r="C69" s="55">
        <f t="shared" si="44"/>
        <v>19035.169222222186</v>
      </c>
      <c r="D69" s="15">
        <f t="shared" ref="D69:M69" si="67">D111*D198</f>
        <v>0</v>
      </c>
      <c r="E69" s="14">
        <f t="shared" si="67"/>
        <v>4785.5235555555555</v>
      </c>
      <c r="F69" s="14">
        <f t="shared" si="67"/>
        <v>0</v>
      </c>
      <c r="G69" s="13">
        <f t="shared" si="67"/>
        <v>529.01233333329719</v>
      </c>
      <c r="H69" s="15">
        <f t="shared" si="67"/>
        <v>0</v>
      </c>
      <c r="I69" s="13">
        <f t="shared" si="67"/>
        <v>0</v>
      </c>
      <c r="J69" s="16">
        <f t="shared" si="67"/>
        <v>8095.2</v>
      </c>
      <c r="K69" s="15">
        <f t="shared" si="67"/>
        <v>1292.3966666666665</v>
      </c>
      <c r="L69" s="14">
        <f t="shared" si="67"/>
        <v>1422.5833333333333</v>
      </c>
      <c r="M69" s="13">
        <f t="shared" si="67"/>
        <v>2910.4533333333338</v>
      </c>
      <c r="N69" s="85"/>
    </row>
    <row r="70" spans="1:14" outlineLevel="1" x14ac:dyDescent="0.2">
      <c r="A70" s="20">
        <f t="shared" si="65"/>
        <v>11711</v>
      </c>
      <c r="B70" s="19" t="str">
        <f t="shared" si="65"/>
        <v>UHCL</v>
      </c>
      <c r="C70" s="55">
        <f t="shared" si="44"/>
        <v>3896.4450222115652</v>
      </c>
      <c r="D70" s="15">
        <f t="shared" ref="D70:M70" si="68">D112*D199</f>
        <v>0</v>
      </c>
      <c r="E70" s="14">
        <f t="shared" si="68"/>
        <v>1083.8496888782297</v>
      </c>
      <c r="F70" s="14">
        <f t="shared" si="68"/>
        <v>0</v>
      </c>
      <c r="G70" s="13">
        <f t="shared" si="68"/>
        <v>228.29533333333529</v>
      </c>
      <c r="H70" s="15">
        <f t="shared" si="68"/>
        <v>0</v>
      </c>
      <c r="I70" s="13">
        <f t="shared" si="68"/>
        <v>0</v>
      </c>
      <c r="J70" s="16">
        <f t="shared" si="68"/>
        <v>1858.4</v>
      </c>
      <c r="K70" s="15">
        <f t="shared" si="68"/>
        <v>236.52666666666664</v>
      </c>
      <c r="L70" s="14">
        <f t="shared" si="68"/>
        <v>476.83333333333331</v>
      </c>
      <c r="M70" s="13">
        <f t="shared" si="68"/>
        <v>12.540000000000001</v>
      </c>
      <c r="N70" s="85"/>
    </row>
    <row r="71" spans="1:14" outlineLevel="1" x14ac:dyDescent="0.2">
      <c r="A71" s="20">
        <f t="shared" si="65"/>
        <v>12826</v>
      </c>
      <c r="B71" s="19" t="str">
        <f t="shared" si="65"/>
        <v>UHD</v>
      </c>
      <c r="C71" s="55">
        <f t="shared" si="44"/>
        <v>7165.3420000000051</v>
      </c>
      <c r="D71" s="15">
        <f t="shared" ref="D71:M71" si="69">D113*D200</f>
        <v>0</v>
      </c>
      <c r="E71" s="14">
        <f t="shared" si="69"/>
        <v>316.85033333333342</v>
      </c>
      <c r="F71" s="14">
        <f t="shared" si="69"/>
        <v>0</v>
      </c>
      <c r="G71" s="13">
        <f t="shared" si="69"/>
        <v>427.13166666667212</v>
      </c>
      <c r="H71" s="15">
        <f t="shared" si="69"/>
        <v>0</v>
      </c>
      <c r="I71" s="13">
        <f t="shared" si="69"/>
        <v>0</v>
      </c>
      <c r="J71" s="16">
        <f t="shared" si="69"/>
        <v>4034.3999999999996</v>
      </c>
      <c r="K71" s="15">
        <f t="shared" si="69"/>
        <v>1319.7666666666667</v>
      </c>
      <c r="L71" s="14">
        <f t="shared" si="69"/>
        <v>934.16666666666663</v>
      </c>
      <c r="M71" s="13">
        <f t="shared" si="69"/>
        <v>133.02666666666667</v>
      </c>
      <c r="N71" s="85"/>
    </row>
    <row r="72" spans="1:14" outlineLevel="1" x14ac:dyDescent="0.2">
      <c r="A72" s="20">
        <f t="shared" si="65"/>
        <v>13231</v>
      </c>
      <c r="B72" s="19" t="str">
        <f t="shared" si="65"/>
        <v>UHV</v>
      </c>
      <c r="C72" s="55">
        <f t="shared" si="44"/>
        <v>1874.3800599680062</v>
      </c>
      <c r="D72" s="15">
        <f t="shared" ref="D72:M72" si="70">D114*D201</f>
        <v>0</v>
      </c>
      <c r="E72" s="14">
        <f t="shared" si="70"/>
        <v>525.3420599680062</v>
      </c>
      <c r="F72" s="14">
        <f t="shared" si="70"/>
        <v>0</v>
      </c>
      <c r="G72" s="13">
        <f t="shared" si="70"/>
        <v>108.44800000000012</v>
      </c>
      <c r="H72" s="15">
        <f t="shared" si="70"/>
        <v>0</v>
      </c>
      <c r="I72" s="13">
        <f t="shared" si="70"/>
        <v>0</v>
      </c>
      <c r="J72" s="16">
        <f t="shared" si="70"/>
        <v>921.59999999999991</v>
      </c>
      <c r="K72" s="15">
        <f t="shared" si="70"/>
        <v>243.44000000000003</v>
      </c>
      <c r="L72" s="14">
        <f t="shared" si="70"/>
        <v>74.083333333333329</v>
      </c>
      <c r="M72" s="13">
        <f t="shared" si="70"/>
        <v>1.4666666666666668</v>
      </c>
      <c r="N72" s="85"/>
    </row>
    <row r="73" spans="1:14" outlineLevel="1" x14ac:dyDescent="0.2">
      <c r="A73" s="20">
        <f t="shared" si="65"/>
        <v>3592</v>
      </c>
      <c r="B73" s="19" t="str">
        <f t="shared" si="65"/>
        <v>Midwestern</v>
      </c>
      <c r="C73" s="55">
        <f t="shared" si="44"/>
        <v>3652.1463888888889</v>
      </c>
      <c r="D73" s="15">
        <f t="shared" ref="D73:M73" si="71">D115*D202</f>
        <v>0</v>
      </c>
      <c r="E73" s="14">
        <f t="shared" si="71"/>
        <v>793.17972222222215</v>
      </c>
      <c r="F73" s="14">
        <f t="shared" si="71"/>
        <v>0</v>
      </c>
      <c r="G73" s="13">
        <f t="shared" si="71"/>
        <v>98.100000000000179</v>
      </c>
      <c r="H73" s="15">
        <f t="shared" si="71"/>
        <v>0</v>
      </c>
      <c r="I73" s="13">
        <f t="shared" si="71"/>
        <v>0</v>
      </c>
      <c r="J73" s="16">
        <f t="shared" si="71"/>
        <v>1656.8</v>
      </c>
      <c r="K73" s="15">
        <f t="shared" si="71"/>
        <v>244.46</v>
      </c>
      <c r="L73" s="14">
        <f t="shared" si="71"/>
        <v>261.5</v>
      </c>
      <c r="M73" s="13">
        <f t="shared" si="71"/>
        <v>598.10666666666668</v>
      </c>
      <c r="N73" s="85"/>
    </row>
    <row r="74" spans="1:14" outlineLevel="1" x14ac:dyDescent="0.2">
      <c r="A74" s="20">
        <f t="shared" si="65"/>
        <v>3594</v>
      </c>
      <c r="B74" s="19" t="str">
        <f t="shared" si="65"/>
        <v>UNT</v>
      </c>
      <c r="C74" s="55">
        <f t="shared" si="44"/>
        <v>21491.024055555514</v>
      </c>
      <c r="D74" s="15">
        <f t="shared" ref="D74:M74" si="72">D116*D203</f>
        <v>0</v>
      </c>
      <c r="E74" s="14">
        <f t="shared" si="72"/>
        <v>6068.3097222222223</v>
      </c>
      <c r="F74" s="14">
        <f t="shared" si="72"/>
        <v>0</v>
      </c>
      <c r="G74" s="13">
        <f t="shared" si="72"/>
        <v>570.57766666662644</v>
      </c>
      <c r="H74" s="15">
        <f t="shared" si="72"/>
        <v>0</v>
      </c>
      <c r="I74" s="13">
        <f t="shared" si="72"/>
        <v>0</v>
      </c>
      <c r="J74" s="16">
        <f t="shared" si="72"/>
        <v>9168</v>
      </c>
      <c r="K74" s="15">
        <f t="shared" si="72"/>
        <v>1336.9933333333336</v>
      </c>
      <c r="L74" s="14">
        <f t="shared" si="72"/>
        <v>1410.5833333333333</v>
      </c>
      <c r="M74" s="13">
        <f t="shared" si="72"/>
        <v>2936.5600000000004</v>
      </c>
      <c r="N74" s="85"/>
    </row>
    <row r="75" spans="1:14" outlineLevel="1" x14ac:dyDescent="0.2">
      <c r="A75" s="27">
        <f t="shared" si="65"/>
        <v>113594</v>
      </c>
      <c r="B75" s="19" t="str">
        <f t="shared" si="65"/>
        <v>UNTD</v>
      </c>
      <c r="C75" s="55">
        <f t="shared" si="44"/>
        <v>1401.5881874999998</v>
      </c>
      <c r="D75" s="15">
        <f t="shared" ref="D75:M75" si="73">D117*D204</f>
        <v>0</v>
      </c>
      <c r="E75" s="14">
        <f t="shared" si="73"/>
        <v>407.78718750000002</v>
      </c>
      <c r="F75" s="14">
        <f t="shared" si="73"/>
        <v>0</v>
      </c>
      <c r="G75" s="13">
        <f t="shared" si="73"/>
        <v>70.585999999999714</v>
      </c>
      <c r="H75" s="15">
        <f t="shared" si="73"/>
        <v>0</v>
      </c>
      <c r="I75" s="13">
        <f t="shared" si="73"/>
        <v>0</v>
      </c>
      <c r="J75" s="16">
        <f t="shared" si="73"/>
        <v>740.4</v>
      </c>
      <c r="K75" s="15">
        <f t="shared" si="73"/>
        <v>162.52000000000001</v>
      </c>
      <c r="L75" s="14">
        <f t="shared" si="73"/>
        <v>17.875</v>
      </c>
      <c r="M75" s="13">
        <f t="shared" si="73"/>
        <v>2.4200000000000004</v>
      </c>
      <c r="N75" s="85"/>
    </row>
    <row r="76" spans="1:14" outlineLevel="1" x14ac:dyDescent="0.2">
      <c r="A76" s="20">
        <f t="shared" si="65"/>
        <v>3624</v>
      </c>
      <c r="B76" s="19" t="str">
        <f t="shared" si="65"/>
        <v>SFA</v>
      </c>
      <c r="C76" s="55">
        <f t="shared" si="44"/>
        <v>7773.1326666666664</v>
      </c>
      <c r="D76" s="15">
        <f t="shared" ref="D76:M76" si="74">D118*D205</f>
        <v>0</v>
      </c>
      <c r="E76" s="14">
        <f t="shared" si="74"/>
        <v>1863.0558333333331</v>
      </c>
      <c r="F76" s="14">
        <f t="shared" si="74"/>
        <v>0</v>
      </c>
      <c r="G76" s="13">
        <f t="shared" si="74"/>
        <v>186.08683333333346</v>
      </c>
      <c r="H76" s="15">
        <f t="shared" si="74"/>
        <v>0</v>
      </c>
      <c r="I76" s="13">
        <f t="shared" si="74"/>
        <v>0</v>
      </c>
      <c r="J76" s="16">
        <f t="shared" si="74"/>
        <v>3504.7999999999997</v>
      </c>
      <c r="K76" s="15">
        <f t="shared" si="74"/>
        <v>470.78666666666669</v>
      </c>
      <c r="L76" s="14">
        <f t="shared" si="74"/>
        <v>518.75</v>
      </c>
      <c r="M76" s="13">
        <f t="shared" si="74"/>
        <v>1229.6533333333334</v>
      </c>
      <c r="N76" s="85"/>
    </row>
    <row r="77" spans="1:14" outlineLevel="1" x14ac:dyDescent="0.2">
      <c r="A77" s="20">
        <f t="shared" si="65"/>
        <v>3642</v>
      </c>
      <c r="B77" s="19" t="str">
        <f t="shared" si="65"/>
        <v>TSU</v>
      </c>
      <c r="C77" s="55">
        <f t="shared" si="44"/>
        <v>3564.5768611111112</v>
      </c>
      <c r="D77" s="15">
        <f t="shared" ref="D77:M77" si="75">D119*D206</f>
        <v>0</v>
      </c>
      <c r="E77" s="14">
        <f t="shared" si="75"/>
        <v>38.131527777777777</v>
      </c>
      <c r="F77" s="14">
        <f t="shared" si="75"/>
        <v>0</v>
      </c>
      <c r="G77" s="13">
        <f t="shared" si="75"/>
        <v>148.86533333333352</v>
      </c>
      <c r="H77" s="15">
        <f t="shared" si="75"/>
        <v>0</v>
      </c>
      <c r="I77" s="13">
        <f t="shared" si="75"/>
        <v>0</v>
      </c>
      <c r="J77" s="16">
        <f t="shared" si="75"/>
        <v>1599.2</v>
      </c>
      <c r="K77" s="15">
        <f t="shared" si="75"/>
        <v>278.34666666666664</v>
      </c>
      <c r="L77" s="14">
        <f t="shared" si="75"/>
        <v>566.5</v>
      </c>
      <c r="M77" s="13">
        <f t="shared" si="75"/>
        <v>933.53333333333342</v>
      </c>
      <c r="N77" s="85"/>
    </row>
    <row r="78" spans="1:14" outlineLevel="1" x14ac:dyDescent="0.2">
      <c r="A78" s="20">
        <f t="shared" si="65"/>
        <v>3644</v>
      </c>
      <c r="B78" s="19" t="str">
        <f t="shared" si="65"/>
        <v>TTU</v>
      </c>
      <c r="C78" s="55">
        <f t="shared" si="44"/>
        <v>19141.555133333302</v>
      </c>
      <c r="D78" s="15">
        <f t="shared" ref="D78:M78" si="76">D120*D207</f>
        <v>0</v>
      </c>
      <c r="E78" s="14">
        <f t="shared" si="76"/>
        <v>7184.8727999999992</v>
      </c>
      <c r="F78" s="14">
        <f t="shared" si="76"/>
        <v>0</v>
      </c>
      <c r="G78" s="13">
        <f t="shared" si="76"/>
        <v>506.40566666663409</v>
      </c>
      <c r="H78" s="15">
        <f t="shared" si="76"/>
        <v>0</v>
      </c>
      <c r="I78" s="13">
        <f t="shared" si="76"/>
        <v>0</v>
      </c>
      <c r="J78" s="16">
        <f t="shared" si="76"/>
        <v>5556</v>
      </c>
      <c r="K78" s="15">
        <f t="shared" si="76"/>
        <v>1102.5066666666667</v>
      </c>
      <c r="L78" s="14">
        <f t="shared" si="76"/>
        <v>1319.5833333333333</v>
      </c>
      <c r="M78" s="13">
        <f t="shared" si="76"/>
        <v>3472.186666666667</v>
      </c>
      <c r="N78" s="85"/>
    </row>
    <row r="79" spans="1:14" outlineLevel="1" x14ac:dyDescent="0.2">
      <c r="A79" s="20">
        <f t="shared" si="65"/>
        <v>3541</v>
      </c>
      <c r="B79" s="19" t="str">
        <f t="shared" si="65"/>
        <v>Angelo</v>
      </c>
      <c r="C79" s="55">
        <f t="shared" si="44"/>
        <v>3711.8108777777779</v>
      </c>
      <c r="D79" s="15">
        <f t="shared" ref="D79:M79" si="77">D121*D208</f>
        <v>0</v>
      </c>
      <c r="E79" s="14">
        <f t="shared" si="77"/>
        <v>596.32004444444453</v>
      </c>
      <c r="F79" s="14">
        <f t="shared" si="77"/>
        <v>0</v>
      </c>
      <c r="G79" s="13">
        <f t="shared" si="77"/>
        <v>98.867500000000263</v>
      </c>
      <c r="H79" s="15">
        <f t="shared" si="77"/>
        <v>0</v>
      </c>
      <c r="I79" s="13">
        <f t="shared" si="77"/>
        <v>0</v>
      </c>
      <c r="J79" s="16">
        <f t="shared" si="77"/>
        <v>1735.2</v>
      </c>
      <c r="K79" s="15">
        <f t="shared" si="77"/>
        <v>244.57333333333338</v>
      </c>
      <c r="L79" s="14">
        <f t="shared" si="77"/>
        <v>258.41666666666669</v>
      </c>
      <c r="M79" s="13">
        <f t="shared" si="77"/>
        <v>778.43333333333339</v>
      </c>
      <c r="N79" s="85"/>
    </row>
    <row r="80" spans="1:14" outlineLevel="1" x14ac:dyDescent="0.2">
      <c r="A80" s="20">
        <f t="shared" si="65"/>
        <v>3646</v>
      </c>
      <c r="B80" s="19" t="str">
        <f t="shared" si="65"/>
        <v>TWU</v>
      </c>
      <c r="C80" s="55">
        <f t="shared" si="44"/>
        <v>6207.9161666666669</v>
      </c>
      <c r="D80" s="15">
        <f t="shared" ref="D80:M80" si="78">D122*D209</f>
        <v>0</v>
      </c>
      <c r="E80" s="14">
        <f t="shared" si="78"/>
        <v>1655.0485000000001</v>
      </c>
      <c r="F80" s="14">
        <f t="shared" si="78"/>
        <v>0</v>
      </c>
      <c r="G80" s="13">
        <f t="shared" si="78"/>
        <v>345.21766666666662</v>
      </c>
      <c r="H80" s="15">
        <f t="shared" si="78"/>
        <v>0</v>
      </c>
      <c r="I80" s="13">
        <f t="shared" si="78"/>
        <v>0</v>
      </c>
      <c r="J80" s="16">
        <f t="shared" si="78"/>
        <v>2992.7999999999997</v>
      </c>
      <c r="K80" s="15">
        <f t="shared" si="78"/>
        <v>746.64</v>
      </c>
      <c r="L80" s="14">
        <f t="shared" si="78"/>
        <v>323.08333333333331</v>
      </c>
      <c r="M80" s="13">
        <f t="shared" si="78"/>
        <v>145.12666666666667</v>
      </c>
      <c r="N80" s="85"/>
    </row>
    <row r="81" spans="1:14" outlineLevel="1" x14ac:dyDescent="0.2">
      <c r="A81" s="20">
        <f t="shared" si="65"/>
        <v>3581</v>
      </c>
      <c r="B81" s="19" t="str">
        <f t="shared" si="65"/>
        <v>Lamar</v>
      </c>
      <c r="C81" s="55">
        <f t="shared" si="44"/>
        <v>4959.7065777777789</v>
      </c>
      <c r="D81" s="15">
        <f t="shared" ref="D81:M81" si="79">D123*D210</f>
        <v>0</v>
      </c>
      <c r="E81" s="14">
        <f t="shared" si="79"/>
        <v>327.46824444444445</v>
      </c>
      <c r="F81" s="14">
        <f t="shared" si="79"/>
        <v>0</v>
      </c>
      <c r="G81" s="13">
        <f t="shared" si="79"/>
        <v>134.24500000000083</v>
      </c>
      <c r="H81" s="15">
        <f t="shared" si="79"/>
        <v>0</v>
      </c>
      <c r="I81" s="13">
        <f t="shared" si="79"/>
        <v>0</v>
      </c>
      <c r="J81" s="16">
        <f t="shared" si="79"/>
        <v>2276.7999999999997</v>
      </c>
      <c r="K81" s="15">
        <f t="shared" si="79"/>
        <v>364.59333333333331</v>
      </c>
      <c r="L81" s="14">
        <f t="shared" si="79"/>
        <v>744.5</v>
      </c>
      <c r="M81" s="13">
        <f t="shared" si="79"/>
        <v>1112.1000000000001</v>
      </c>
      <c r="N81" s="85"/>
    </row>
    <row r="82" spans="1:14" outlineLevel="1" x14ac:dyDescent="0.2">
      <c r="A82" s="20">
        <f t="shared" si="65"/>
        <v>3606</v>
      </c>
      <c r="B82" s="19" t="str">
        <f t="shared" si="65"/>
        <v>SHSU</v>
      </c>
      <c r="C82" s="55">
        <f t="shared" si="44"/>
        <v>11719.494944444452</v>
      </c>
      <c r="D82" s="15">
        <f t="shared" ref="D82:M82" si="80">D124*D211</f>
        <v>0</v>
      </c>
      <c r="E82" s="14">
        <f t="shared" si="80"/>
        <v>3159.7377777777779</v>
      </c>
      <c r="F82" s="14">
        <f t="shared" si="80"/>
        <v>0</v>
      </c>
      <c r="G82" s="13">
        <f t="shared" si="80"/>
        <v>291.85383333333942</v>
      </c>
      <c r="H82" s="15">
        <f t="shared" si="80"/>
        <v>0</v>
      </c>
      <c r="I82" s="13">
        <f t="shared" si="80"/>
        <v>0</v>
      </c>
      <c r="J82" s="16">
        <f t="shared" si="80"/>
        <v>5312.7999999999993</v>
      </c>
      <c r="K82" s="15">
        <f t="shared" si="80"/>
        <v>662.03666666666675</v>
      </c>
      <c r="L82" s="14">
        <f t="shared" si="80"/>
        <v>741.33333333333348</v>
      </c>
      <c r="M82" s="13">
        <f t="shared" si="80"/>
        <v>1551.7333333333336</v>
      </c>
      <c r="N82" s="85"/>
    </row>
    <row r="83" spans="1:14" outlineLevel="1" x14ac:dyDescent="0.2">
      <c r="A83" s="20">
        <f t="shared" si="65"/>
        <v>3615</v>
      </c>
      <c r="B83" s="19" t="str">
        <f t="shared" si="65"/>
        <v>TXST</v>
      </c>
      <c r="C83" s="55">
        <f t="shared" si="44"/>
        <v>20865.273249999966</v>
      </c>
      <c r="D83" s="15">
        <f t="shared" ref="D83:M83" si="81">D125*D212</f>
        <v>0</v>
      </c>
      <c r="E83" s="14">
        <f t="shared" si="81"/>
        <v>5938.6477500000001</v>
      </c>
      <c r="F83" s="14">
        <f t="shared" si="81"/>
        <v>0</v>
      </c>
      <c r="G83" s="13">
        <f t="shared" si="81"/>
        <v>521.86549999996794</v>
      </c>
      <c r="H83" s="15">
        <f t="shared" si="81"/>
        <v>0</v>
      </c>
      <c r="I83" s="13">
        <f t="shared" si="81"/>
        <v>0</v>
      </c>
      <c r="J83" s="16">
        <f t="shared" si="81"/>
        <v>8820.7999999999993</v>
      </c>
      <c r="K83" s="15">
        <f t="shared" si="81"/>
        <v>1269.9566666666667</v>
      </c>
      <c r="L83" s="14">
        <f t="shared" si="81"/>
        <v>1394.75</v>
      </c>
      <c r="M83" s="13">
        <f t="shared" si="81"/>
        <v>2919.253333333334</v>
      </c>
      <c r="N83" s="85"/>
    </row>
    <row r="84" spans="1:14" outlineLevel="1" x14ac:dyDescent="0.2">
      <c r="A84" s="20">
        <f t="shared" si="65"/>
        <v>3625</v>
      </c>
      <c r="B84" s="19" t="str">
        <f t="shared" si="65"/>
        <v>SRSU</v>
      </c>
      <c r="C84" s="55">
        <f t="shared" si="44"/>
        <v>746.05903333333333</v>
      </c>
      <c r="D84" s="15">
        <f t="shared" ref="D84:M84" si="82">D126*D213</f>
        <v>0</v>
      </c>
      <c r="E84" s="14">
        <f t="shared" si="82"/>
        <v>39.89253333333334</v>
      </c>
      <c r="F84" s="14">
        <f t="shared" si="82"/>
        <v>0</v>
      </c>
      <c r="G84" s="13">
        <f t="shared" si="82"/>
        <v>19.716499999999982</v>
      </c>
      <c r="H84" s="15">
        <f t="shared" si="82"/>
        <v>0</v>
      </c>
      <c r="I84" s="13">
        <f t="shared" si="82"/>
        <v>0</v>
      </c>
      <c r="J84" s="16">
        <f t="shared" si="82"/>
        <v>391.2</v>
      </c>
      <c r="K84" s="15">
        <f t="shared" si="82"/>
        <v>102</v>
      </c>
      <c r="L84" s="14">
        <f t="shared" si="82"/>
        <v>48.416666666666664</v>
      </c>
      <c r="M84" s="13">
        <f t="shared" si="82"/>
        <v>144.83333333333334</v>
      </c>
      <c r="N84" s="85"/>
    </row>
    <row r="85" spans="1:14" outlineLevel="1" x14ac:dyDescent="0.2">
      <c r="A85" s="20">
        <f t="shared" si="65"/>
        <v>20</v>
      </c>
      <c r="B85" s="19" t="str">
        <f t="shared" si="65"/>
        <v>SRRG</v>
      </c>
      <c r="C85" s="55">
        <f t="shared" si="44"/>
        <v>567.2993672656728</v>
      </c>
      <c r="D85" s="15">
        <f t="shared" ref="D85:M85" si="83">D127*D214</f>
        <v>0</v>
      </c>
      <c r="E85" s="14">
        <f t="shared" si="83"/>
        <v>71.912367265672856</v>
      </c>
      <c r="F85" s="14">
        <f t="shared" si="83"/>
        <v>0</v>
      </c>
      <c r="G85" s="13">
        <f t="shared" si="83"/>
        <v>27.91699999999998</v>
      </c>
      <c r="H85" s="15">
        <f t="shared" si="83"/>
        <v>0</v>
      </c>
      <c r="I85" s="13">
        <f t="shared" si="83"/>
        <v>0</v>
      </c>
      <c r="J85" s="16">
        <f t="shared" si="83"/>
        <v>345.59999999999997</v>
      </c>
      <c r="K85" s="15">
        <f t="shared" si="83"/>
        <v>97.75</v>
      </c>
      <c r="L85" s="14">
        <f t="shared" si="83"/>
        <v>23.166666666666671</v>
      </c>
      <c r="M85" s="13">
        <f t="shared" si="83"/>
        <v>0.95333333333333337</v>
      </c>
      <c r="N85" s="85"/>
    </row>
    <row r="86" spans="1:14" ht="13.5" outlineLevel="1" thickBot="1" x14ac:dyDescent="0.25">
      <c r="A86" s="12"/>
      <c r="B86" s="11" t="s">
        <v>11</v>
      </c>
      <c r="C86" s="54">
        <f t="shared" ref="C86:M86" si="84">SUM(C48:C85)</f>
        <v>317047.28730318882</v>
      </c>
      <c r="D86" s="9">
        <f t="shared" si="84"/>
        <v>0</v>
      </c>
      <c r="E86" s="7">
        <f t="shared" si="84"/>
        <v>89236.246136522197</v>
      </c>
      <c r="F86" s="7">
        <f t="shared" si="84"/>
        <v>0</v>
      </c>
      <c r="G86" s="3">
        <f t="shared" si="84"/>
        <v>12678.562833333306</v>
      </c>
      <c r="H86" s="5">
        <f t="shared" si="84"/>
        <v>0</v>
      </c>
      <c r="I86" s="3">
        <f t="shared" si="84"/>
        <v>0</v>
      </c>
      <c r="J86" s="6">
        <f t="shared" si="84"/>
        <v>123466.66666666669</v>
      </c>
      <c r="K86" s="5">
        <f t="shared" si="84"/>
        <v>23583.873333333333</v>
      </c>
      <c r="L86" s="4">
        <f t="shared" si="84"/>
        <v>23590.458333333336</v>
      </c>
      <c r="M86" s="3">
        <f t="shared" si="84"/>
        <v>44491.480000000018</v>
      </c>
    </row>
    <row r="87" spans="1:14" ht="13.5" thickBot="1" x14ac:dyDescent="0.25">
      <c r="A87" s="57" t="s">
        <v>30</v>
      </c>
    </row>
    <row r="88" spans="1:14" ht="12.75" customHeight="1" outlineLevel="1" x14ac:dyDescent="0.2">
      <c r="A88" s="234" t="s">
        <v>24</v>
      </c>
      <c r="B88" s="236" t="s">
        <v>23</v>
      </c>
      <c r="C88" s="238" t="s">
        <v>77</v>
      </c>
      <c r="D88" s="247" t="s">
        <v>35</v>
      </c>
      <c r="E88" s="248"/>
      <c r="F88" s="248"/>
      <c r="G88" s="249"/>
      <c r="H88" s="250" t="s">
        <v>18</v>
      </c>
      <c r="I88" s="225" t="s">
        <v>17</v>
      </c>
      <c r="J88" s="227" t="s">
        <v>16</v>
      </c>
      <c r="K88" s="229" t="s">
        <v>34</v>
      </c>
      <c r="L88" s="230"/>
      <c r="M88" s="231"/>
      <c r="N88" s="277"/>
    </row>
    <row r="89" spans="1:14" ht="51.75" outlineLevel="1" thickBot="1" x14ac:dyDescent="0.25">
      <c r="A89" s="273"/>
      <c r="B89" s="270"/>
      <c r="C89" s="274"/>
      <c r="D89" s="147"/>
      <c r="E89" s="148" t="s">
        <v>33</v>
      </c>
      <c r="F89" s="148" t="s">
        <v>32</v>
      </c>
      <c r="G89" s="210" t="s">
        <v>31</v>
      </c>
      <c r="H89" s="279"/>
      <c r="I89" s="280"/>
      <c r="J89" s="278"/>
      <c r="K89" s="150" t="s">
        <v>14</v>
      </c>
      <c r="L89" s="151" t="s">
        <v>13</v>
      </c>
      <c r="M89" s="166" t="s">
        <v>12</v>
      </c>
      <c r="N89" s="277"/>
    </row>
    <row r="90" spans="1:14" outlineLevel="1" x14ac:dyDescent="0.2">
      <c r="A90" s="20">
        <f t="shared" ref="A90:B109" si="85">A5</f>
        <v>3656</v>
      </c>
      <c r="B90" s="19" t="str">
        <f t="shared" si="85"/>
        <v>UTA</v>
      </c>
      <c r="C90" s="143">
        <f>SUM(D90:M90)-I90</f>
        <v>0.99999999999999989</v>
      </c>
      <c r="D90" s="96">
        <f t="shared" ref="D90:H99" si="86">HLOOKUP(D131,$D$170:$L$171,2,0)</f>
        <v>0</v>
      </c>
      <c r="E90" s="96">
        <f t="shared" si="86"/>
        <v>0.25</v>
      </c>
      <c r="F90" s="96">
        <f t="shared" si="86"/>
        <v>0</v>
      </c>
      <c r="G90" s="96">
        <f t="shared" si="86"/>
        <v>0.1</v>
      </c>
      <c r="H90" s="96">
        <f t="shared" si="86"/>
        <v>0</v>
      </c>
      <c r="I90" s="96">
        <f t="shared" ref="I90:I127" si="87">H90</f>
        <v>0</v>
      </c>
      <c r="J90" s="96">
        <f t="shared" ref="J90:M109" si="88">HLOOKUP(J131,$D$170:$L$171,2,0)</f>
        <v>0.3</v>
      </c>
      <c r="K90" s="96">
        <f t="shared" si="88"/>
        <v>0.2</v>
      </c>
      <c r="L90" s="96">
        <f t="shared" si="88"/>
        <v>0.1</v>
      </c>
      <c r="M90" s="97">
        <f t="shared" si="88"/>
        <v>0.05</v>
      </c>
      <c r="N90" s="153"/>
    </row>
    <row r="91" spans="1:14" outlineLevel="1" x14ac:dyDescent="0.2">
      <c r="A91" s="20">
        <f t="shared" si="85"/>
        <v>3658</v>
      </c>
      <c r="B91" s="19" t="str">
        <f t="shared" si="85"/>
        <v>UT</v>
      </c>
      <c r="C91" s="142">
        <f t="shared" ref="C91:C127" si="89">SUM(D91:M91)</f>
        <v>1</v>
      </c>
      <c r="D91" s="96">
        <f t="shared" si="86"/>
        <v>0</v>
      </c>
      <c r="E91" s="96">
        <f t="shared" si="86"/>
        <v>0.3</v>
      </c>
      <c r="F91" s="96">
        <f t="shared" si="86"/>
        <v>0</v>
      </c>
      <c r="G91" s="96">
        <f t="shared" si="86"/>
        <v>0.1</v>
      </c>
      <c r="H91" s="96">
        <f t="shared" si="86"/>
        <v>0</v>
      </c>
      <c r="I91" s="96">
        <f t="shared" si="87"/>
        <v>0</v>
      </c>
      <c r="J91" s="96">
        <f t="shared" si="88"/>
        <v>0.2</v>
      </c>
      <c r="K91" s="96">
        <f t="shared" si="88"/>
        <v>0.05</v>
      </c>
      <c r="L91" s="96">
        <f t="shared" si="88"/>
        <v>0.1</v>
      </c>
      <c r="M91" s="97">
        <f t="shared" si="88"/>
        <v>0.25</v>
      </c>
      <c r="N91" s="85"/>
    </row>
    <row r="92" spans="1:14" outlineLevel="1" x14ac:dyDescent="0.2">
      <c r="A92" s="20">
        <f t="shared" si="85"/>
        <v>9741</v>
      </c>
      <c r="B92" s="19" t="str">
        <f t="shared" si="85"/>
        <v>UTD</v>
      </c>
      <c r="C92" s="142">
        <f t="shared" si="89"/>
        <v>1</v>
      </c>
      <c r="D92" s="96">
        <f t="shared" si="86"/>
        <v>0</v>
      </c>
      <c r="E92" s="96">
        <f t="shared" si="86"/>
        <v>0.3</v>
      </c>
      <c r="F92" s="96">
        <f t="shared" si="86"/>
        <v>0</v>
      </c>
      <c r="G92" s="96">
        <f t="shared" si="86"/>
        <v>0.1</v>
      </c>
      <c r="H92" s="96">
        <f t="shared" si="86"/>
        <v>0</v>
      </c>
      <c r="I92" s="96">
        <f t="shared" si="87"/>
        <v>0</v>
      </c>
      <c r="J92" s="96">
        <f t="shared" si="88"/>
        <v>0.25</v>
      </c>
      <c r="K92" s="96">
        <f t="shared" si="88"/>
        <v>0.2</v>
      </c>
      <c r="L92" s="96">
        <f t="shared" si="88"/>
        <v>0.1</v>
      </c>
      <c r="M92" s="97">
        <f t="shared" si="88"/>
        <v>0.05</v>
      </c>
      <c r="N92" s="85"/>
    </row>
    <row r="93" spans="1:14" outlineLevel="1" x14ac:dyDescent="0.2">
      <c r="A93" s="20">
        <f t="shared" si="85"/>
        <v>3661</v>
      </c>
      <c r="B93" s="19" t="str">
        <f t="shared" si="85"/>
        <v>UTEP</v>
      </c>
      <c r="C93" s="142">
        <f t="shared" si="89"/>
        <v>1</v>
      </c>
      <c r="D93" s="96">
        <f t="shared" si="86"/>
        <v>0</v>
      </c>
      <c r="E93" s="96">
        <f t="shared" si="86"/>
        <v>0.1</v>
      </c>
      <c r="F93" s="96">
        <f t="shared" si="86"/>
        <v>0</v>
      </c>
      <c r="G93" s="96">
        <f t="shared" si="86"/>
        <v>0.05</v>
      </c>
      <c r="H93" s="96">
        <f t="shared" si="86"/>
        <v>0</v>
      </c>
      <c r="I93" s="96">
        <f t="shared" si="87"/>
        <v>0</v>
      </c>
      <c r="J93" s="96">
        <f t="shared" si="88"/>
        <v>0.3</v>
      </c>
      <c r="K93" s="96">
        <f t="shared" si="88"/>
        <v>0.1</v>
      </c>
      <c r="L93" s="96">
        <f t="shared" si="88"/>
        <v>0.2</v>
      </c>
      <c r="M93" s="97">
        <f t="shared" si="88"/>
        <v>0.25</v>
      </c>
      <c r="N93" s="85"/>
    </row>
    <row r="94" spans="1:14" outlineLevel="1" x14ac:dyDescent="0.2">
      <c r="A94" s="20">
        <f t="shared" si="85"/>
        <v>3599</v>
      </c>
      <c r="B94" s="19" t="str">
        <f t="shared" si="85"/>
        <v>UTPA</v>
      </c>
      <c r="C94" s="142">
        <f t="shared" si="89"/>
        <v>1</v>
      </c>
      <c r="D94" s="96">
        <f t="shared" si="86"/>
        <v>0</v>
      </c>
      <c r="E94" s="96">
        <f t="shared" si="86"/>
        <v>0.2</v>
      </c>
      <c r="F94" s="96">
        <f t="shared" si="86"/>
        <v>0</v>
      </c>
      <c r="G94" s="96">
        <f t="shared" si="86"/>
        <v>0.05</v>
      </c>
      <c r="H94" s="96">
        <f t="shared" si="86"/>
        <v>0</v>
      </c>
      <c r="I94" s="96">
        <f t="shared" si="87"/>
        <v>0</v>
      </c>
      <c r="J94" s="96">
        <f t="shared" si="88"/>
        <v>0.3</v>
      </c>
      <c r="K94" s="96">
        <f t="shared" si="88"/>
        <v>0.1</v>
      </c>
      <c r="L94" s="96">
        <f t="shared" si="88"/>
        <v>0.1</v>
      </c>
      <c r="M94" s="97">
        <f t="shared" si="88"/>
        <v>0.25</v>
      </c>
      <c r="N94" s="85"/>
    </row>
    <row r="95" spans="1:14" outlineLevel="1" x14ac:dyDescent="0.2">
      <c r="A95" s="20">
        <f t="shared" si="85"/>
        <v>30646</v>
      </c>
      <c r="B95" s="19" t="str">
        <f t="shared" si="85"/>
        <v>UTB</v>
      </c>
      <c r="C95" s="142">
        <f t="shared" si="89"/>
        <v>0.99999999999999989</v>
      </c>
      <c r="D95" s="96">
        <f t="shared" si="86"/>
        <v>0</v>
      </c>
      <c r="E95" s="96">
        <f t="shared" si="86"/>
        <v>0.25</v>
      </c>
      <c r="F95" s="96">
        <f t="shared" si="86"/>
        <v>0</v>
      </c>
      <c r="G95" s="96">
        <f t="shared" si="86"/>
        <v>0.1</v>
      </c>
      <c r="H95" s="96">
        <f t="shared" si="86"/>
        <v>0</v>
      </c>
      <c r="I95" s="96">
        <f t="shared" si="87"/>
        <v>0</v>
      </c>
      <c r="J95" s="96">
        <f t="shared" si="88"/>
        <v>0.3</v>
      </c>
      <c r="K95" s="96">
        <f t="shared" si="88"/>
        <v>0.2</v>
      </c>
      <c r="L95" s="96">
        <f t="shared" si="88"/>
        <v>0.1</v>
      </c>
      <c r="M95" s="97">
        <f t="shared" si="88"/>
        <v>0.05</v>
      </c>
      <c r="N95" s="85"/>
    </row>
    <row r="96" spans="1:14" outlineLevel="1" x14ac:dyDescent="0.2">
      <c r="A96" s="20">
        <f t="shared" si="85"/>
        <v>9930</v>
      </c>
      <c r="B96" s="19" t="str">
        <f t="shared" si="85"/>
        <v>UTPB</v>
      </c>
      <c r="C96" s="142">
        <f t="shared" si="89"/>
        <v>0.99999999999999989</v>
      </c>
      <c r="D96" s="96">
        <f t="shared" si="86"/>
        <v>0</v>
      </c>
      <c r="E96" s="96">
        <f t="shared" si="86"/>
        <v>0.25</v>
      </c>
      <c r="F96" s="96">
        <f t="shared" si="86"/>
        <v>0</v>
      </c>
      <c r="G96" s="96">
        <f t="shared" si="86"/>
        <v>0.1</v>
      </c>
      <c r="H96" s="96">
        <f t="shared" si="86"/>
        <v>0</v>
      </c>
      <c r="I96" s="96">
        <f t="shared" si="87"/>
        <v>0</v>
      </c>
      <c r="J96" s="96">
        <f t="shared" si="88"/>
        <v>0.3</v>
      </c>
      <c r="K96" s="96">
        <f t="shared" si="88"/>
        <v>0.2</v>
      </c>
      <c r="L96" s="96">
        <f t="shared" si="88"/>
        <v>0.1</v>
      </c>
      <c r="M96" s="97">
        <f t="shared" si="88"/>
        <v>0.05</v>
      </c>
      <c r="N96" s="85"/>
    </row>
    <row r="97" spans="1:14" outlineLevel="1" x14ac:dyDescent="0.2">
      <c r="A97" s="20">
        <f t="shared" si="85"/>
        <v>10115</v>
      </c>
      <c r="B97" s="19" t="str">
        <f t="shared" si="85"/>
        <v>UTSA</v>
      </c>
      <c r="C97" s="142">
        <f t="shared" si="89"/>
        <v>1</v>
      </c>
      <c r="D97" s="96">
        <f t="shared" si="86"/>
        <v>0</v>
      </c>
      <c r="E97" s="96">
        <f t="shared" si="86"/>
        <v>0.25</v>
      </c>
      <c r="F97" s="96">
        <f t="shared" si="86"/>
        <v>0</v>
      </c>
      <c r="G97" s="96">
        <f t="shared" si="86"/>
        <v>0.05</v>
      </c>
      <c r="H97" s="96">
        <f t="shared" si="86"/>
        <v>0</v>
      </c>
      <c r="I97" s="96">
        <f t="shared" si="87"/>
        <v>0</v>
      </c>
      <c r="J97" s="96">
        <f t="shared" si="88"/>
        <v>0.3</v>
      </c>
      <c r="K97" s="96">
        <f t="shared" si="88"/>
        <v>0.2</v>
      </c>
      <c r="L97" s="96">
        <f t="shared" si="88"/>
        <v>0.1</v>
      </c>
      <c r="M97" s="97">
        <f t="shared" si="88"/>
        <v>0.1</v>
      </c>
      <c r="N97" s="85"/>
    </row>
    <row r="98" spans="1:14" outlineLevel="1" x14ac:dyDescent="0.2">
      <c r="A98" s="20">
        <f t="shared" si="85"/>
        <v>11163</v>
      </c>
      <c r="B98" s="19" t="str">
        <f t="shared" si="85"/>
        <v>UTT</v>
      </c>
      <c r="C98" s="142">
        <f t="shared" si="89"/>
        <v>0.99999999999999989</v>
      </c>
      <c r="D98" s="96">
        <f t="shared" si="86"/>
        <v>0</v>
      </c>
      <c r="E98" s="96">
        <f t="shared" si="86"/>
        <v>0.25</v>
      </c>
      <c r="F98" s="96">
        <f t="shared" si="86"/>
        <v>0</v>
      </c>
      <c r="G98" s="96">
        <f t="shared" si="86"/>
        <v>0.1</v>
      </c>
      <c r="H98" s="96">
        <f t="shared" si="86"/>
        <v>0</v>
      </c>
      <c r="I98" s="96">
        <f t="shared" si="87"/>
        <v>0</v>
      </c>
      <c r="J98" s="96">
        <f t="shared" si="88"/>
        <v>0.3</v>
      </c>
      <c r="K98" s="96">
        <f t="shared" si="88"/>
        <v>0.2</v>
      </c>
      <c r="L98" s="96">
        <f t="shared" si="88"/>
        <v>0.1</v>
      </c>
      <c r="M98" s="97">
        <f t="shared" si="88"/>
        <v>0.05</v>
      </c>
      <c r="N98" s="85"/>
    </row>
    <row r="99" spans="1:14" outlineLevel="1" x14ac:dyDescent="0.2">
      <c r="A99" s="20">
        <f t="shared" si="85"/>
        <v>3632</v>
      </c>
      <c r="B99" s="19" t="str">
        <f t="shared" si="85"/>
        <v>TAMU</v>
      </c>
      <c r="C99" s="142">
        <f t="shared" si="89"/>
        <v>1</v>
      </c>
      <c r="D99" s="96">
        <f t="shared" si="86"/>
        <v>0</v>
      </c>
      <c r="E99" s="96">
        <f t="shared" si="86"/>
        <v>0.3</v>
      </c>
      <c r="F99" s="96">
        <f t="shared" si="86"/>
        <v>0</v>
      </c>
      <c r="G99" s="96">
        <f t="shared" si="86"/>
        <v>0.1</v>
      </c>
      <c r="H99" s="96">
        <f t="shared" si="86"/>
        <v>0</v>
      </c>
      <c r="I99" s="96">
        <f t="shared" si="87"/>
        <v>0</v>
      </c>
      <c r="J99" s="96">
        <f t="shared" si="88"/>
        <v>0.2</v>
      </c>
      <c r="K99" s="96">
        <f t="shared" si="88"/>
        <v>0.05</v>
      </c>
      <c r="L99" s="96">
        <f t="shared" si="88"/>
        <v>0.1</v>
      </c>
      <c r="M99" s="97">
        <f t="shared" si="88"/>
        <v>0.25</v>
      </c>
      <c r="N99" s="85"/>
    </row>
    <row r="100" spans="1:14" outlineLevel="1" x14ac:dyDescent="0.2">
      <c r="A100" s="20">
        <f t="shared" si="85"/>
        <v>10298</v>
      </c>
      <c r="B100" s="19" t="str">
        <f t="shared" si="85"/>
        <v>TAMUG</v>
      </c>
      <c r="C100" s="142">
        <f t="shared" si="89"/>
        <v>1</v>
      </c>
      <c r="D100" s="96">
        <f t="shared" ref="D100:H109" si="90">HLOOKUP(D141,$D$170:$L$171,2,0)</f>
        <v>0</v>
      </c>
      <c r="E100" s="96">
        <f t="shared" si="90"/>
        <v>0.25</v>
      </c>
      <c r="F100" s="96">
        <f t="shared" si="90"/>
        <v>0</v>
      </c>
      <c r="G100" s="96">
        <f t="shared" si="90"/>
        <v>0.05</v>
      </c>
      <c r="H100" s="96">
        <f t="shared" si="90"/>
        <v>0</v>
      </c>
      <c r="I100" s="96">
        <f t="shared" si="87"/>
        <v>0</v>
      </c>
      <c r="J100" s="96">
        <f t="shared" si="88"/>
        <v>0.3</v>
      </c>
      <c r="K100" s="96">
        <f t="shared" si="88"/>
        <v>0.1</v>
      </c>
      <c r="L100" s="96">
        <f t="shared" si="88"/>
        <v>0.1</v>
      </c>
      <c r="M100" s="97">
        <f t="shared" si="88"/>
        <v>0.2</v>
      </c>
      <c r="N100" s="85"/>
    </row>
    <row r="101" spans="1:14" outlineLevel="1" x14ac:dyDescent="0.2">
      <c r="A101" s="20">
        <f t="shared" si="85"/>
        <v>3630</v>
      </c>
      <c r="B101" s="19" t="str">
        <f t="shared" si="85"/>
        <v>Prairie View</v>
      </c>
      <c r="C101" s="142">
        <f t="shared" si="89"/>
        <v>1</v>
      </c>
      <c r="D101" s="96">
        <f t="shared" si="90"/>
        <v>0</v>
      </c>
      <c r="E101" s="96">
        <f t="shared" si="90"/>
        <v>0.1</v>
      </c>
      <c r="F101" s="96">
        <f t="shared" si="90"/>
        <v>0</v>
      </c>
      <c r="G101" s="96">
        <f t="shared" si="90"/>
        <v>0.05</v>
      </c>
      <c r="H101" s="96">
        <f t="shared" si="90"/>
        <v>0</v>
      </c>
      <c r="I101" s="96">
        <f t="shared" si="87"/>
        <v>0</v>
      </c>
      <c r="J101" s="96">
        <f t="shared" si="88"/>
        <v>0.3</v>
      </c>
      <c r="K101" s="96">
        <f t="shared" si="88"/>
        <v>0.1</v>
      </c>
      <c r="L101" s="96">
        <f t="shared" si="88"/>
        <v>0.2</v>
      </c>
      <c r="M101" s="97">
        <f t="shared" si="88"/>
        <v>0.25</v>
      </c>
      <c r="N101" s="85"/>
    </row>
    <row r="102" spans="1:14" outlineLevel="1" x14ac:dyDescent="0.2">
      <c r="A102" s="20">
        <f t="shared" si="85"/>
        <v>3631</v>
      </c>
      <c r="B102" s="19" t="str">
        <f t="shared" si="85"/>
        <v>Tarleton</v>
      </c>
      <c r="C102" s="142">
        <f t="shared" si="89"/>
        <v>1</v>
      </c>
      <c r="D102" s="96">
        <f t="shared" si="90"/>
        <v>0</v>
      </c>
      <c r="E102" s="96">
        <f t="shared" si="90"/>
        <v>0.25</v>
      </c>
      <c r="F102" s="96">
        <f t="shared" si="90"/>
        <v>0</v>
      </c>
      <c r="G102" s="96">
        <f t="shared" si="90"/>
        <v>0.05</v>
      </c>
      <c r="H102" s="96">
        <f t="shared" si="90"/>
        <v>0</v>
      </c>
      <c r="I102" s="96">
        <f t="shared" si="87"/>
        <v>0</v>
      </c>
      <c r="J102" s="96">
        <f t="shared" si="88"/>
        <v>0.3</v>
      </c>
      <c r="K102" s="96">
        <f t="shared" si="88"/>
        <v>0.1</v>
      </c>
      <c r="L102" s="96">
        <f t="shared" si="88"/>
        <v>0.1</v>
      </c>
      <c r="M102" s="97">
        <f t="shared" si="88"/>
        <v>0.2</v>
      </c>
      <c r="N102" s="85"/>
    </row>
    <row r="103" spans="1:14" outlineLevel="1" x14ac:dyDescent="0.2">
      <c r="A103" s="27">
        <f t="shared" si="85"/>
        <v>103631</v>
      </c>
      <c r="B103" s="19" t="str">
        <f t="shared" si="85"/>
        <v>TAMUCT</v>
      </c>
      <c r="C103" s="142">
        <f t="shared" si="89"/>
        <v>1</v>
      </c>
      <c r="D103" s="96">
        <f t="shared" si="90"/>
        <v>0</v>
      </c>
      <c r="E103" s="96">
        <f t="shared" si="90"/>
        <v>0.25</v>
      </c>
      <c r="F103" s="96">
        <f t="shared" si="90"/>
        <v>0</v>
      </c>
      <c r="G103" s="96">
        <f t="shared" si="90"/>
        <v>0.2</v>
      </c>
      <c r="H103" s="96">
        <f t="shared" si="90"/>
        <v>0</v>
      </c>
      <c r="I103" s="96">
        <f t="shared" si="87"/>
        <v>0</v>
      </c>
      <c r="J103" s="96">
        <f t="shared" si="88"/>
        <v>0.3</v>
      </c>
      <c r="K103" s="96">
        <f t="shared" si="88"/>
        <v>0.1</v>
      </c>
      <c r="L103" s="96">
        <f t="shared" si="88"/>
        <v>0.1</v>
      </c>
      <c r="M103" s="97">
        <f t="shared" si="88"/>
        <v>0.05</v>
      </c>
      <c r="N103" s="85"/>
    </row>
    <row r="104" spans="1:14" outlineLevel="1" x14ac:dyDescent="0.2">
      <c r="A104" s="20">
        <f t="shared" si="85"/>
        <v>11161</v>
      </c>
      <c r="B104" s="19" t="str">
        <f t="shared" si="85"/>
        <v>TAMUCC</v>
      </c>
      <c r="C104" s="142">
        <f t="shared" si="89"/>
        <v>1</v>
      </c>
      <c r="D104" s="96">
        <f t="shared" si="90"/>
        <v>0</v>
      </c>
      <c r="E104" s="96">
        <f t="shared" si="90"/>
        <v>0.25</v>
      </c>
      <c r="F104" s="96">
        <f t="shared" si="90"/>
        <v>0</v>
      </c>
      <c r="G104" s="96">
        <f t="shared" si="90"/>
        <v>0.05</v>
      </c>
      <c r="H104" s="96">
        <f t="shared" si="90"/>
        <v>0</v>
      </c>
      <c r="I104" s="96">
        <f t="shared" si="87"/>
        <v>0</v>
      </c>
      <c r="J104" s="96">
        <f t="shared" si="88"/>
        <v>0.3</v>
      </c>
      <c r="K104" s="96">
        <f t="shared" si="88"/>
        <v>0.1</v>
      </c>
      <c r="L104" s="96">
        <f t="shared" si="88"/>
        <v>0.1</v>
      </c>
      <c r="M104" s="97">
        <f t="shared" si="88"/>
        <v>0.2</v>
      </c>
      <c r="N104" s="85"/>
    </row>
    <row r="105" spans="1:14" outlineLevel="1" x14ac:dyDescent="0.2">
      <c r="A105" s="20">
        <f t="shared" si="85"/>
        <v>3639</v>
      </c>
      <c r="B105" s="19" t="str">
        <f t="shared" si="85"/>
        <v>TAMUK</v>
      </c>
      <c r="C105" s="142">
        <f t="shared" si="89"/>
        <v>1</v>
      </c>
      <c r="D105" s="96">
        <f t="shared" si="90"/>
        <v>0</v>
      </c>
      <c r="E105" s="96">
        <f t="shared" si="90"/>
        <v>0.1</v>
      </c>
      <c r="F105" s="96">
        <f t="shared" si="90"/>
        <v>0</v>
      </c>
      <c r="G105" s="96">
        <f t="shared" si="90"/>
        <v>0.05</v>
      </c>
      <c r="H105" s="96">
        <f t="shared" si="90"/>
        <v>0</v>
      </c>
      <c r="I105" s="96">
        <f t="shared" si="87"/>
        <v>0</v>
      </c>
      <c r="J105" s="96">
        <f t="shared" si="88"/>
        <v>0.3</v>
      </c>
      <c r="K105" s="96">
        <f t="shared" si="88"/>
        <v>0.1</v>
      </c>
      <c r="L105" s="96">
        <f t="shared" si="88"/>
        <v>0.2</v>
      </c>
      <c r="M105" s="97">
        <f t="shared" si="88"/>
        <v>0.25</v>
      </c>
      <c r="N105" s="85"/>
    </row>
    <row r="106" spans="1:14" outlineLevel="1" x14ac:dyDescent="0.2">
      <c r="A106" s="27">
        <f t="shared" si="85"/>
        <v>103639</v>
      </c>
      <c r="B106" s="19" t="str">
        <f t="shared" si="85"/>
        <v>TAMUSA</v>
      </c>
      <c r="C106" s="142">
        <f t="shared" si="89"/>
        <v>0.99999999999999989</v>
      </c>
      <c r="D106" s="96">
        <f t="shared" si="90"/>
        <v>0</v>
      </c>
      <c r="E106" s="96">
        <f t="shared" si="90"/>
        <v>0.25</v>
      </c>
      <c r="F106" s="96">
        <f t="shared" si="90"/>
        <v>0</v>
      </c>
      <c r="G106" s="96">
        <f t="shared" si="90"/>
        <v>0.1</v>
      </c>
      <c r="H106" s="96">
        <f t="shared" si="90"/>
        <v>0</v>
      </c>
      <c r="I106" s="96">
        <f t="shared" si="87"/>
        <v>0</v>
      </c>
      <c r="J106" s="96">
        <f t="shared" si="88"/>
        <v>0.3</v>
      </c>
      <c r="K106" s="96">
        <f t="shared" si="88"/>
        <v>0.2</v>
      </c>
      <c r="L106" s="96">
        <f t="shared" si="88"/>
        <v>0.1</v>
      </c>
      <c r="M106" s="97">
        <f t="shared" si="88"/>
        <v>0.05</v>
      </c>
      <c r="N106" s="85"/>
    </row>
    <row r="107" spans="1:14" outlineLevel="1" x14ac:dyDescent="0.2">
      <c r="A107" s="20">
        <f t="shared" si="85"/>
        <v>9651</v>
      </c>
      <c r="B107" s="19" t="str">
        <f t="shared" si="85"/>
        <v>TAMI</v>
      </c>
      <c r="C107" s="142">
        <f t="shared" si="89"/>
        <v>0.99999999999999989</v>
      </c>
      <c r="D107" s="96">
        <f t="shared" si="90"/>
        <v>0</v>
      </c>
      <c r="E107" s="96">
        <f t="shared" si="90"/>
        <v>0.25</v>
      </c>
      <c r="F107" s="96">
        <f t="shared" si="90"/>
        <v>0</v>
      </c>
      <c r="G107" s="96">
        <f t="shared" si="90"/>
        <v>0.05</v>
      </c>
      <c r="H107" s="96">
        <f t="shared" si="90"/>
        <v>0</v>
      </c>
      <c r="I107" s="96">
        <f t="shared" si="87"/>
        <v>0</v>
      </c>
      <c r="J107" s="96">
        <f t="shared" si="88"/>
        <v>0.3</v>
      </c>
      <c r="K107" s="96">
        <f t="shared" si="88"/>
        <v>0.1</v>
      </c>
      <c r="L107" s="96">
        <f t="shared" si="88"/>
        <v>0.2</v>
      </c>
      <c r="M107" s="97">
        <f t="shared" si="88"/>
        <v>0.1</v>
      </c>
      <c r="N107" s="85"/>
    </row>
    <row r="108" spans="1:14" outlineLevel="1" x14ac:dyDescent="0.2">
      <c r="A108" s="20">
        <f t="shared" si="85"/>
        <v>3665</v>
      </c>
      <c r="B108" s="19" t="str">
        <f t="shared" si="85"/>
        <v>WTAMU</v>
      </c>
      <c r="C108" s="142">
        <f t="shared" si="89"/>
        <v>1</v>
      </c>
      <c r="D108" s="96">
        <f t="shared" si="90"/>
        <v>0</v>
      </c>
      <c r="E108" s="96">
        <f t="shared" si="90"/>
        <v>0.25</v>
      </c>
      <c r="F108" s="96">
        <f t="shared" si="90"/>
        <v>0</v>
      </c>
      <c r="G108" s="96">
        <f t="shared" si="90"/>
        <v>0.05</v>
      </c>
      <c r="H108" s="96">
        <f t="shared" si="90"/>
        <v>0</v>
      </c>
      <c r="I108" s="96">
        <f t="shared" si="87"/>
        <v>0</v>
      </c>
      <c r="J108" s="96">
        <f t="shared" si="88"/>
        <v>0.3</v>
      </c>
      <c r="K108" s="96">
        <f t="shared" si="88"/>
        <v>0.2</v>
      </c>
      <c r="L108" s="96">
        <f t="shared" si="88"/>
        <v>0.1</v>
      </c>
      <c r="M108" s="97">
        <f t="shared" si="88"/>
        <v>0.1</v>
      </c>
      <c r="N108" s="85"/>
    </row>
    <row r="109" spans="1:14" outlineLevel="1" x14ac:dyDescent="0.2">
      <c r="A109" s="20">
        <f t="shared" si="85"/>
        <v>3565</v>
      </c>
      <c r="B109" s="19" t="str">
        <f t="shared" si="85"/>
        <v>TAMUC</v>
      </c>
      <c r="C109" s="142">
        <f t="shared" si="89"/>
        <v>0.99999999999999989</v>
      </c>
      <c r="D109" s="96">
        <f t="shared" si="90"/>
        <v>0</v>
      </c>
      <c r="E109" s="96">
        <f t="shared" si="90"/>
        <v>0.25</v>
      </c>
      <c r="F109" s="96">
        <f t="shared" si="90"/>
        <v>0</v>
      </c>
      <c r="G109" s="96">
        <f t="shared" si="90"/>
        <v>0.1</v>
      </c>
      <c r="H109" s="96">
        <f t="shared" si="90"/>
        <v>0</v>
      </c>
      <c r="I109" s="96">
        <f t="shared" si="87"/>
        <v>0</v>
      </c>
      <c r="J109" s="96">
        <f t="shared" si="88"/>
        <v>0.3</v>
      </c>
      <c r="K109" s="96">
        <f t="shared" si="88"/>
        <v>0.2</v>
      </c>
      <c r="L109" s="96">
        <f t="shared" si="88"/>
        <v>0.1</v>
      </c>
      <c r="M109" s="97">
        <f t="shared" si="88"/>
        <v>0.05</v>
      </c>
      <c r="N109" s="85"/>
    </row>
    <row r="110" spans="1:14" outlineLevel="1" x14ac:dyDescent="0.2">
      <c r="A110" s="20">
        <f t="shared" ref="A110:B127" si="91">A25</f>
        <v>29269</v>
      </c>
      <c r="B110" s="19" t="str">
        <f t="shared" si="91"/>
        <v>TAMUT</v>
      </c>
      <c r="C110" s="142">
        <f t="shared" si="89"/>
        <v>0.99999999999999989</v>
      </c>
      <c r="D110" s="96">
        <f t="shared" ref="D110:H119" si="92">HLOOKUP(D151,$D$170:$L$171,2,0)</f>
        <v>0</v>
      </c>
      <c r="E110" s="96">
        <f t="shared" si="92"/>
        <v>0.25</v>
      </c>
      <c r="F110" s="96">
        <f t="shared" si="92"/>
        <v>0</v>
      </c>
      <c r="G110" s="96">
        <f t="shared" si="92"/>
        <v>0.1</v>
      </c>
      <c r="H110" s="96">
        <f t="shared" si="92"/>
        <v>0</v>
      </c>
      <c r="I110" s="96">
        <f t="shared" si="87"/>
        <v>0</v>
      </c>
      <c r="J110" s="96">
        <f t="shared" ref="J110:M127" si="93">HLOOKUP(J151,$D$170:$L$171,2,0)</f>
        <v>0.3</v>
      </c>
      <c r="K110" s="96">
        <f t="shared" si="93"/>
        <v>0.2</v>
      </c>
      <c r="L110" s="96">
        <f t="shared" si="93"/>
        <v>0.1</v>
      </c>
      <c r="M110" s="97">
        <f t="shared" si="93"/>
        <v>0.05</v>
      </c>
      <c r="N110" s="85"/>
    </row>
    <row r="111" spans="1:14" outlineLevel="1" x14ac:dyDescent="0.2">
      <c r="A111" s="20">
        <f t="shared" si="91"/>
        <v>3652</v>
      </c>
      <c r="B111" s="19" t="str">
        <f t="shared" si="91"/>
        <v>UH</v>
      </c>
      <c r="C111" s="142">
        <f t="shared" si="89"/>
        <v>1</v>
      </c>
      <c r="D111" s="96">
        <f t="shared" si="92"/>
        <v>0</v>
      </c>
      <c r="E111" s="96">
        <f t="shared" si="92"/>
        <v>0.25</v>
      </c>
      <c r="F111" s="96">
        <f t="shared" si="92"/>
        <v>0</v>
      </c>
      <c r="G111" s="96">
        <f t="shared" si="92"/>
        <v>0.05</v>
      </c>
      <c r="H111" s="96">
        <f t="shared" si="92"/>
        <v>0</v>
      </c>
      <c r="I111" s="96">
        <f t="shared" si="87"/>
        <v>0</v>
      </c>
      <c r="J111" s="96">
        <f t="shared" si="93"/>
        <v>0.3</v>
      </c>
      <c r="K111" s="96">
        <f t="shared" si="93"/>
        <v>0.1</v>
      </c>
      <c r="L111" s="96">
        <f t="shared" si="93"/>
        <v>0.1</v>
      </c>
      <c r="M111" s="97">
        <f t="shared" si="93"/>
        <v>0.2</v>
      </c>
      <c r="N111" s="85"/>
    </row>
    <row r="112" spans="1:14" outlineLevel="1" x14ac:dyDescent="0.2">
      <c r="A112" s="20">
        <f t="shared" si="91"/>
        <v>11711</v>
      </c>
      <c r="B112" s="19" t="str">
        <f t="shared" si="91"/>
        <v>UHCL</v>
      </c>
      <c r="C112" s="142">
        <f t="shared" si="89"/>
        <v>1</v>
      </c>
      <c r="D112" s="96">
        <f t="shared" si="92"/>
        <v>0</v>
      </c>
      <c r="E112" s="96">
        <f t="shared" si="92"/>
        <v>0.25</v>
      </c>
      <c r="F112" s="96">
        <f t="shared" si="92"/>
        <v>0</v>
      </c>
      <c r="G112" s="96">
        <f t="shared" si="92"/>
        <v>0.1</v>
      </c>
      <c r="H112" s="96">
        <f t="shared" si="92"/>
        <v>0</v>
      </c>
      <c r="I112" s="96">
        <f t="shared" si="87"/>
        <v>0</v>
      </c>
      <c r="J112" s="96">
        <f t="shared" si="93"/>
        <v>0.3</v>
      </c>
      <c r="K112" s="96">
        <f t="shared" si="93"/>
        <v>0.1</v>
      </c>
      <c r="L112" s="96">
        <f t="shared" si="93"/>
        <v>0.2</v>
      </c>
      <c r="M112" s="97">
        <f t="shared" si="93"/>
        <v>0.05</v>
      </c>
      <c r="N112" s="85"/>
    </row>
    <row r="113" spans="1:17" outlineLevel="1" x14ac:dyDescent="0.2">
      <c r="A113" s="20">
        <f t="shared" si="91"/>
        <v>12826</v>
      </c>
      <c r="B113" s="19" t="str">
        <f t="shared" si="91"/>
        <v>UHD</v>
      </c>
      <c r="C113" s="142">
        <f t="shared" si="89"/>
        <v>1</v>
      </c>
      <c r="D113" s="96">
        <f t="shared" si="92"/>
        <v>0</v>
      </c>
      <c r="E113" s="96">
        <f t="shared" si="92"/>
        <v>0.1</v>
      </c>
      <c r="F113" s="96">
        <f t="shared" si="92"/>
        <v>0</v>
      </c>
      <c r="G113" s="96">
        <f t="shared" si="92"/>
        <v>0.1</v>
      </c>
      <c r="H113" s="96">
        <f t="shared" si="92"/>
        <v>0</v>
      </c>
      <c r="I113" s="96">
        <f t="shared" si="87"/>
        <v>0</v>
      </c>
      <c r="J113" s="96">
        <f t="shared" si="93"/>
        <v>0.3</v>
      </c>
      <c r="K113" s="96">
        <f t="shared" si="93"/>
        <v>0.25</v>
      </c>
      <c r="L113" s="96">
        <f t="shared" si="93"/>
        <v>0.2</v>
      </c>
      <c r="M113" s="97">
        <f t="shared" si="93"/>
        <v>0.05</v>
      </c>
      <c r="N113" s="85"/>
    </row>
    <row r="114" spans="1:17" outlineLevel="1" x14ac:dyDescent="0.2">
      <c r="A114" s="20">
        <f t="shared" si="91"/>
        <v>13231</v>
      </c>
      <c r="B114" s="19" t="str">
        <f t="shared" si="91"/>
        <v>UHV</v>
      </c>
      <c r="C114" s="142">
        <f t="shared" si="89"/>
        <v>0.99999999999999989</v>
      </c>
      <c r="D114" s="96">
        <f t="shared" si="92"/>
        <v>0</v>
      </c>
      <c r="E114" s="96">
        <f t="shared" si="92"/>
        <v>0.25</v>
      </c>
      <c r="F114" s="96">
        <f t="shared" si="92"/>
        <v>0</v>
      </c>
      <c r="G114" s="96">
        <f t="shared" si="92"/>
        <v>0.1</v>
      </c>
      <c r="H114" s="96">
        <f t="shared" si="92"/>
        <v>0</v>
      </c>
      <c r="I114" s="96">
        <f t="shared" si="87"/>
        <v>0</v>
      </c>
      <c r="J114" s="96">
        <f t="shared" si="93"/>
        <v>0.3</v>
      </c>
      <c r="K114" s="96">
        <f t="shared" si="93"/>
        <v>0.2</v>
      </c>
      <c r="L114" s="96">
        <f t="shared" si="93"/>
        <v>0.1</v>
      </c>
      <c r="M114" s="97">
        <f t="shared" si="93"/>
        <v>0.05</v>
      </c>
      <c r="N114" s="85"/>
    </row>
    <row r="115" spans="1:17" outlineLevel="1" x14ac:dyDescent="0.2">
      <c r="A115" s="20">
        <f t="shared" si="91"/>
        <v>3592</v>
      </c>
      <c r="B115" s="19" t="str">
        <f t="shared" si="91"/>
        <v>Midwestern</v>
      </c>
      <c r="C115" s="142">
        <f t="shared" si="89"/>
        <v>1</v>
      </c>
      <c r="D115" s="96">
        <f t="shared" si="92"/>
        <v>0</v>
      </c>
      <c r="E115" s="96">
        <f t="shared" si="92"/>
        <v>0.25</v>
      </c>
      <c r="F115" s="96">
        <f t="shared" si="92"/>
        <v>0</v>
      </c>
      <c r="G115" s="96">
        <f t="shared" si="92"/>
        <v>0.05</v>
      </c>
      <c r="H115" s="96">
        <f t="shared" si="92"/>
        <v>0</v>
      </c>
      <c r="I115" s="96">
        <f t="shared" si="87"/>
        <v>0</v>
      </c>
      <c r="J115" s="96">
        <f t="shared" si="93"/>
        <v>0.3</v>
      </c>
      <c r="K115" s="96">
        <f t="shared" si="93"/>
        <v>0.1</v>
      </c>
      <c r="L115" s="96">
        <f t="shared" si="93"/>
        <v>0.1</v>
      </c>
      <c r="M115" s="97">
        <f t="shared" si="93"/>
        <v>0.2</v>
      </c>
      <c r="N115" s="85"/>
    </row>
    <row r="116" spans="1:17" outlineLevel="1" x14ac:dyDescent="0.2">
      <c r="A116" s="20">
        <f t="shared" si="91"/>
        <v>3594</v>
      </c>
      <c r="B116" s="19" t="str">
        <f t="shared" si="91"/>
        <v>UNT</v>
      </c>
      <c r="C116" s="142">
        <f t="shared" si="89"/>
        <v>1</v>
      </c>
      <c r="D116" s="96">
        <f t="shared" si="92"/>
        <v>0</v>
      </c>
      <c r="E116" s="96">
        <f t="shared" si="92"/>
        <v>0.25</v>
      </c>
      <c r="F116" s="96">
        <f t="shared" si="92"/>
        <v>0</v>
      </c>
      <c r="G116" s="96">
        <f t="shared" si="92"/>
        <v>0.05</v>
      </c>
      <c r="H116" s="96">
        <f t="shared" si="92"/>
        <v>0</v>
      </c>
      <c r="I116" s="96">
        <f t="shared" si="87"/>
        <v>0</v>
      </c>
      <c r="J116" s="96">
        <f t="shared" si="93"/>
        <v>0.3</v>
      </c>
      <c r="K116" s="96">
        <f t="shared" si="93"/>
        <v>0.1</v>
      </c>
      <c r="L116" s="96">
        <f t="shared" si="93"/>
        <v>0.1</v>
      </c>
      <c r="M116" s="97">
        <f t="shared" si="93"/>
        <v>0.2</v>
      </c>
      <c r="N116" s="85"/>
      <c r="Q116" s="87"/>
    </row>
    <row r="117" spans="1:17" outlineLevel="1" x14ac:dyDescent="0.2">
      <c r="A117" s="27">
        <f t="shared" si="91"/>
        <v>113594</v>
      </c>
      <c r="B117" s="19" t="str">
        <f t="shared" si="91"/>
        <v>UNTD</v>
      </c>
      <c r="C117" s="142">
        <f t="shared" si="89"/>
        <v>0.99999999999999989</v>
      </c>
      <c r="D117" s="96">
        <f t="shared" si="92"/>
        <v>0</v>
      </c>
      <c r="E117" s="96">
        <f t="shared" si="92"/>
        <v>0.25</v>
      </c>
      <c r="F117" s="96">
        <f t="shared" si="92"/>
        <v>0</v>
      </c>
      <c r="G117" s="96">
        <f t="shared" si="92"/>
        <v>0.1</v>
      </c>
      <c r="H117" s="96">
        <f t="shared" si="92"/>
        <v>0</v>
      </c>
      <c r="I117" s="96">
        <f t="shared" si="87"/>
        <v>0</v>
      </c>
      <c r="J117" s="96">
        <f t="shared" si="93"/>
        <v>0.3</v>
      </c>
      <c r="K117" s="96">
        <f t="shared" si="93"/>
        <v>0.2</v>
      </c>
      <c r="L117" s="96">
        <f t="shared" si="93"/>
        <v>0.1</v>
      </c>
      <c r="M117" s="97">
        <f t="shared" si="93"/>
        <v>0.05</v>
      </c>
      <c r="N117" s="85"/>
    </row>
    <row r="118" spans="1:17" outlineLevel="1" x14ac:dyDescent="0.2">
      <c r="A118" s="20">
        <f t="shared" si="91"/>
        <v>3624</v>
      </c>
      <c r="B118" s="19" t="str">
        <f t="shared" si="91"/>
        <v>SFA</v>
      </c>
      <c r="C118" s="142">
        <f t="shared" si="89"/>
        <v>1</v>
      </c>
      <c r="D118" s="96">
        <f t="shared" si="92"/>
        <v>0</v>
      </c>
      <c r="E118" s="96">
        <f t="shared" si="92"/>
        <v>0.25</v>
      </c>
      <c r="F118" s="96">
        <f t="shared" si="92"/>
        <v>0</v>
      </c>
      <c r="G118" s="96">
        <f t="shared" si="92"/>
        <v>0.05</v>
      </c>
      <c r="H118" s="96">
        <f t="shared" si="92"/>
        <v>0</v>
      </c>
      <c r="I118" s="96">
        <f t="shared" si="87"/>
        <v>0</v>
      </c>
      <c r="J118" s="96">
        <f t="shared" si="93"/>
        <v>0.3</v>
      </c>
      <c r="K118" s="96">
        <f t="shared" si="93"/>
        <v>0.1</v>
      </c>
      <c r="L118" s="96">
        <f t="shared" si="93"/>
        <v>0.1</v>
      </c>
      <c r="M118" s="97">
        <f t="shared" si="93"/>
        <v>0.2</v>
      </c>
      <c r="N118" s="85"/>
    </row>
    <row r="119" spans="1:17" outlineLevel="1" x14ac:dyDescent="0.2">
      <c r="A119" s="20">
        <f t="shared" si="91"/>
        <v>3642</v>
      </c>
      <c r="B119" s="19" t="str">
        <f t="shared" si="91"/>
        <v>TSU</v>
      </c>
      <c r="C119" s="142">
        <f t="shared" si="89"/>
        <v>1</v>
      </c>
      <c r="D119" s="96">
        <f t="shared" si="92"/>
        <v>0</v>
      </c>
      <c r="E119" s="96">
        <f t="shared" si="92"/>
        <v>0.05</v>
      </c>
      <c r="F119" s="96">
        <f t="shared" si="92"/>
        <v>0</v>
      </c>
      <c r="G119" s="96">
        <f t="shared" si="92"/>
        <v>0.1</v>
      </c>
      <c r="H119" s="96">
        <f t="shared" si="92"/>
        <v>0</v>
      </c>
      <c r="I119" s="96">
        <f t="shared" si="87"/>
        <v>0</v>
      </c>
      <c r="J119" s="96">
        <f t="shared" si="93"/>
        <v>0.3</v>
      </c>
      <c r="K119" s="96">
        <f t="shared" si="93"/>
        <v>0.1</v>
      </c>
      <c r="L119" s="96">
        <f t="shared" si="93"/>
        <v>0.2</v>
      </c>
      <c r="M119" s="97">
        <f t="shared" si="93"/>
        <v>0.25</v>
      </c>
      <c r="N119" s="85"/>
    </row>
    <row r="120" spans="1:17" outlineLevel="1" x14ac:dyDescent="0.2">
      <c r="A120" s="20">
        <f t="shared" si="91"/>
        <v>3644</v>
      </c>
      <c r="B120" s="19" t="str">
        <f t="shared" si="91"/>
        <v>TTU</v>
      </c>
      <c r="C120" s="142">
        <f t="shared" si="89"/>
        <v>1</v>
      </c>
      <c r="D120" s="96">
        <f t="shared" ref="D120:H127" si="94">HLOOKUP(D161,$D$170:$L$171,2,0)</f>
        <v>0</v>
      </c>
      <c r="E120" s="96">
        <f t="shared" si="94"/>
        <v>0.3</v>
      </c>
      <c r="F120" s="96">
        <f t="shared" si="94"/>
        <v>0</v>
      </c>
      <c r="G120" s="96">
        <f t="shared" si="94"/>
        <v>0.05</v>
      </c>
      <c r="H120" s="96">
        <f t="shared" si="94"/>
        <v>0</v>
      </c>
      <c r="I120" s="96">
        <f t="shared" si="87"/>
        <v>0</v>
      </c>
      <c r="J120" s="96">
        <f t="shared" si="93"/>
        <v>0.25</v>
      </c>
      <c r="K120" s="96">
        <f t="shared" si="93"/>
        <v>0.1</v>
      </c>
      <c r="L120" s="96">
        <f t="shared" si="93"/>
        <v>0.1</v>
      </c>
      <c r="M120" s="97">
        <f t="shared" si="93"/>
        <v>0.2</v>
      </c>
      <c r="N120" s="85"/>
    </row>
    <row r="121" spans="1:17" outlineLevel="1" x14ac:dyDescent="0.2">
      <c r="A121" s="20">
        <f t="shared" si="91"/>
        <v>3541</v>
      </c>
      <c r="B121" s="19" t="str">
        <f t="shared" si="91"/>
        <v>Angelo</v>
      </c>
      <c r="C121" s="142">
        <f t="shared" si="89"/>
        <v>1</v>
      </c>
      <c r="D121" s="96">
        <f t="shared" si="94"/>
        <v>0</v>
      </c>
      <c r="E121" s="96">
        <f t="shared" si="94"/>
        <v>0.2</v>
      </c>
      <c r="F121" s="96">
        <f t="shared" si="94"/>
        <v>0</v>
      </c>
      <c r="G121" s="96">
        <f t="shared" si="94"/>
        <v>0.05</v>
      </c>
      <c r="H121" s="96">
        <f t="shared" si="94"/>
        <v>0</v>
      </c>
      <c r="I121" s="96">
        <f t="shared" si="87"/>
        <v>0</v>
      </c>
      <c r="J121" s="96">
        <f t="shared" si="93"/>
        <v>0.3</v>
      </c>
      <c r="K121" s="96">
        <f t="shared" si="93"/>
        <v>0.1</v>
      </c>
      <c r="L121" s="96">
        <f t="shared" si="93"/>
        <v>0.1</v>
      </c>
      <c r="M121" s="97">
        <f t="shared" si="93"/>
        <v>0.25</v>
      </c>
      <c r="N121" s="85"/>
    </row>
    <row r="122" spans="1:17" outlineLevel="1" x14ac:dyDescent="0.2">
      <c r="A122" s="20">
        <f t="shared" si="91"/>
        <v>3646</v>
      </c>
      <c r="B122" s="19" t="str">
        <f t="shared" si="91"/>
        <v>TWU</v>
      </c>
      <c r="C122" s="142">
        <f t="shared" si="89"/>
        <v>0.99999999999999989</v>
      </c>
      <c r="D122" s="96">
        <f t="shared" si="94"/>
        <v>0</v>
      </c>
      <c r="E122" s="96">
        <f t="shared" si="94"/>
        <v>0.25</v>
      </c>
      <c r="F122" s="96">
        <f t="shared" si="94"/>
        <v>0</v>
      </c>
      <c r="G122" s="96">
        <f t="shared" si="94"/>
        <v>0.1</v>
      </c>
      <c r="H122" s="96">
        <f t="shared" si="94"/>
        <v>0</v>
      </c>
      <c r="I122" s="96">
        <f t="shared" si="87"/>
        <v>0</v>
      </c>
      <c r="J122" s="96">
        <f t="shared" si="93"/>
        <v>0.3</v>
      </c>
      <c r="K122" s="96">
        <f t="shared" si="93"/>
        <v>0.2</v>
      </c>
      <c r="L122" s="96">
        <f t="shared" si="93"/>
        <v>0.1</v>
      </c>
      <c r="M122" s="97">
        <f t="shared" si="93"/>
        <v>0.05</v>
      </c>
      <c r="N122" s="85"/>
    </row>
    <row r="123" spans="1:17" outlineLevel="1" x14ac:dyDescent="0.2">
      <c r="A123" s="20">
        <f t="shared" si="91"/>
        <v>3581</v>
      </c>
      <c r="B123" s="19" t="str">
        <f t="shared" si="91"/>
        <v>Lamar</v>
      </c>
      <c r="C123" s="142">
        <f t="shared" si="89"/>
        <v>1</v>
      </c>
      <c r="D123" s="96">
        <f t="shared" si="94"/>
        <v>0</v>
      </c>
      <c r="E123" s="96">
        <f t="shared" si="94"/>
        <v>0.1</v>
      </c>
      <c r="F123" s="96">
        <f t="shared" si="94"/>
        <v>0</v>
      </c>
      <c r="G123" s="96">
        <f t="shared" si="94"/>
        <v>0.05</v>
      </c>
      <c r="H123" s="96">
        <f t="shared" si="94"/>
        <v>0</v>
      </c>
      <c r="I123" s="96">
        <f t="shared" si="87"/>
        <v>0</v>
      </c>
      <c r="J123" s="96">
        <f t="shared" si="93"/>
        <v>0.3</v>
      </c>
      <c r="K123" s="96">
        <f t="shared" si="93"/>
        <v>0.1</v>
      </c>
      <c r="L123" s="96">
        <f t="shared" si="93"/>
        <v>0.2</v>
      </c>
      <c r="M123" s="97">
        <f t="shared" si="93"/>
        <v>0.25</v>
      </c>
      <c r="N123" s="85"/>
    </row>
    <row r="124" spans="1:17" outlineLevel="1" x14ac:dyDescent="0.2">
      <c r="A124" s="20">
        <f t="shared" si="91"/>
        <v>3606</v>
      </c>
      <c r="B124" s="19" t="str">
        <f t="shared" si="91"/>
        <v>SHSU</v>
      </c>
      <c r="C124" s="142">
        <f t="shared" si="89"/>
        <v>1</v>
      </c>
      <c r="D124" s="96">
        <f t="shared" si="94"/>
        <v>0</v>
      </c>
      <c r="E124" s="96">
        <f t="shared" si="94"/>
        <v>0.25</v>
      </c>
      <c r="F124" s="96">
        <f t="shared" si="94"/>
        <v>0</v>
      </c>
      <c r="G124" s="96">
        <f t="shared" si="94"/>
        <v>0.05</v>
      </c>
      <c r="H124" s="96">
        <f t="shared" si="94"/>
        <v>0</v>
      </c>
      <c r="I124" s="96">
        <f t="shared" si="87"/>
        <v>0</v>
      </c>
      <c r="J124" s="96">
        <f t="shared" si="93"/>
        <v>0.3</v>
      </c>
      <c r="K124" s="96">
        <f t="shared" si="93"/>
        <v>0.1</v>
      </c>
      <c r="L124" s="96">
        <f t="shared" si="93"/>
        <v>0.1</v>
      </c>
      <c r="M124" s="97">
        <f t="shared" si="93"/>
        <v>0.2</v>
      </c>
      <c r="N124" s="85"/>
    </row>
    <row r="125" spans="1:17" outlineLevel="1" x14ac:dyDescent="0.2">
      <c r="A125" s="20">
        <f t="shared" si="91"/>
        <v>3615</v>
      </c>
      <c r="B125" s="19" t="str">
        <f t="shared" si="91"/>
        <v>TXST</v>
      </c>
      <c r="C125" s="142">
        <f t="shared" si="89"/>
        <v>1</v>
      </c>
      <c r="D125" s="96">
        <f t="shared" si="94"/>
        <v>0</v>
      </c>
      <c r="E125" s="96">
        <f t="shared" si="94"/>
        <v>0.25</v>
      </c>
      <c r="F125" s="96">
        <f t="shared" si="94"/>
        <v>0</v>
      </c>
      <c r="G125" s="96">
        <f t="shared" si="94"/>
        <v>0.05</v>
      </c>
      <c r="H125" s="96">
        <f t="shared" si="94"/>
        <v>0</v>
      </c>
      <c r="I125" s="96">
        <f t="shared" si="87"/>
        <v>0</v>
      </c>
      <c r="J125" s="96">
        <f t="shared" si="93"/>
        <v>0.3</v>
      </c>
      <c r="K125" s="96">
        <f t="shared" si="93"/>
        <v>0.1</v>
      </c>
      <c r="L125" s="96">
        <f t="shared" si="93"/>
        <v>0.1</v>
      </c>
      <c r="M125" s="97">
        <f t="shared" si="93"/>
        <v>0.2</v>
      </c>
      <c r="N125" s="85"/>
    </row>
    <row r="126" spans="1:17" outlineLevel="1" x14ac:dyDescent="0.2">
      <c r="A126" s="20">
        <f t="shared" si="91"/>
        <v>3625</v>
      </c>
      <c r="B126" s="19" t="str">
        <f t="shared" si="91"/>
        <v>SRSU</v>
      </c>
      <c r="C126" s="142">
        <f t="shared" si="89"/>
        <v>1</v>
      </c>
      <c r="D126" s="96">
        <f t="shared" si="94"/>
        <v>0</v>
      </c>
      <c r="E126" s="96">
        <f t="shared" si="94"/>
        <v>0.1</v>
      </c>
      <c r="F126" s="96">
        <f t="shared" si="94"/>
        <v>0</v>
      </c>
      <c r="G126" s="96">
        <f t="shared" si="94"/>
        <v>0.05</v>
      </c>
      <c r="H126" s="96">
        <f t="shared" si="94"/>
        <v>0</v>
      </c>
      <c r="I126" s="96">
        <f t="shared" si="87"/>
        <v>0</v>
      </c>
      <c r="J126" s="96">
        <f t="shared" si="93"/>
        <v>0.3</v>
      </c>
      <c r="K126" s="96">
        <f t="shared" si="93"/>
        <v>0.2</v>
      </c>
      <c r="L126" s="96">
        <f t="shared" si="93"/>
        <v>0.1</v>
      </c>
      <c r="M126" s="97">
        <f t="shared" si="93"/>
        <v>0.25</v>
      </c>
      <c r="N126" s="85"/>
    </row>
    <row r="127" spans="1:17" ht="13.5" outlineLevel="1" thickBot="1" x14ac:dyDescent="0.25">
      <c r="A127" s="136">
        <f t="shared" si="91"/>
        <v>20</v>
      </c>
      <c r="B127" s="137" t="str">
        <f t="shared" si="91"/>
        <v>SRRG</v>
      </c>
      <c r="C127" s="167">
        <f t="shared" si="89"/>
        <v>1</v>
      </c>
      <c r="D127" s="146">
        <f t="shared" si="94"/>
        <v>0</v>
      </c>
      <c r="E127" s="146">
        <f t="shared" si="94"/>
        <v>0.2</v>
      </c>
      <c r="F127" s="146">
        <f t="shared" si="94"/>
        <v>0</v>
      </c>
      <c r="G127" s="146">
        <f t="shared" si="94"/>
        <v>0.1</v>
      </c>
      <c r="H127" s="146">
        <f t="shared" si="94"/>
        <v>0</v>
      </c>
      <c r="I127" s="146">
        <f t="shared" si="87"/>
        <v>0</v>
      </c>
      <c r="J127" s="146">
        <f t="shared" si="93"/>
        <v>0.3</v>
      </c>
      <c r="K127" s="146">
        <f t="shared" si="93"/>
        <v>0.25</v>
      </c>
      <c r="L127" s="146">
        <f t="shared" si="93"/>
        <v>0.1</v>
      </c>
      <c r="M127" s="168">
        <f t="shared" si="93"/>
        <v>0.05</v>
      </c>
      <c r="N127" s="85"/>
    </row>
    <row r="128" spans="1:17" collapsed="1" x14ac:dyDescent="0.2">
      <c r="A128" s="86" t="s">
        <v>95</v>
      </c>
      <c r="B128" s="59"/>
      <c r="C128" s="90"/>
      <c r="D128" s="111"/>
      <c r="E128" s="111"/>
      <c r="F128" s="111"/>
      <c r="G128" s="111"/>
      <c r="H128" s="111"/>
      <c r="I128" s="111"/>
      <c r="J128" s="111"/>
      <c r="K128" s="111"/>
      <c r="L128" s="111"/>
      <c r="M128" s="111"/>
      <c r="N128" s="85"/>
    </row>
    <row r="129" spans="1:14" hidden="1" outlineLevel="1" x14ac:dyDescent="0.2">
      <c r="A129" s="258" t="s">
        <v>24</v>
      </c>
      <c r="B129" s="260" t="s">
        <v>23</v>
      </c>
      <c r="C129" s="262" t="s">
        <v>74</v>
      </c>
      <c r="D129" s="248" t="s">
        <v>35</v>
      </c>
      <c r="E129" s="248"/>
      <c r="F129" s="248"/>
      <c r="G129" s="248"/>
      <c r="H129" s="250" t="s">
        <v>18</v>
      </c>
      <c r="I129" s="225" t="s">
        <v>17</v>
      </c>
      <c r="J129" s="227" t="s">
        <v>16</v>
      </c>
      <c r="K129" s="229" t="s">
        <v>34</v>
      </c>
      <c r="L129" s="230"/>
      <c r="M129" s="231"/>
      <c r="N129" s="85"/>
    </row>
    <row r="130" spans="1:14" ht="51.75" hidden="1" outlineLevel="1" thickBot="1" x14ac:dyDescent="0.25">
      <c r="A130" s="267"/>
      <c r="B130" s="268"/>
      <c r="C130" s="269"/>
      <c r="D130" s="122"/>
      <c r="E130" s="123" t="s">
        <v>33</v>
      </c>
      <c r="F130" s="123" t="s">
        <v>32</v>
      </c>
      <c r="G130" s="124" t="s">
        <v>31</v>
      </c>
      <c r="H130" s="264"/>
      <c r="I130" s="265"/>
      <c r="J130" s="266"/>
      <c r="K130" s="125" t="s">
        <v>14</v>
      </c>
      <c r="L130" s="126" t="s">
        <v>13</v>
      </c>
      <c r="M130" s="135" t="s">
        <v>12</v>
      </c>
      <c r="N130" s="85"/>
    </row>
    <row r="131" spans="1:14" hidden="1" outlineLevel="1" x14ac:dyDescent="0.2">
      <c r="A131" s="20">
        <f t="shared" ref="A131:B150" si="95">A90</f>
        <v>3656</v>
      </c>
      <c r="B131" s="19" t="str">
        <f t="shared" si="95"/>
        <v>UTA</v>
      </c>
      <c r="C131" s="90"/>
      <c r="D131" s="98">
        <f t="shared" ref="D131:M131" si="96">RANK(D177,$D177:$M177)</f>
        <v>7</v>
      </c>
      <c r="E131" s="99">
        <f t="shared" si="96"/>
        <v>2</v>
      </c>
      <c r="F131" s="99">
        <f t="shared" si="96"/>
        <v>7</v>
      </c>
      <c r="G131" s="100">
        <f t="shared" si="96"/>
        <v>4</v>
      </c>
      <c r="H131" s="98">
        <f t="shared" si="96"/>
        <v>7</v>
      </c>
      <c r="I131" s="100">
        <f t="shared" si="96"/>
        <v>7</v>
      </c>
      <c r="J131" s="101">
        <f t="shared" si="96"/>
        <v>1</v>
      </c>
      <c r="K131" s="98">
        <f t="shared" si="96"/>
        <v>3</v>
      </c>
      <c r="L131" s="99">
        <f t="shared" si="96"/>
        <v>5</v>
      </c>
      <c r="M131" s="100">
        <f t="shared" si="96"/>
        <v>6</v>
      </c>
      <c r="N131" s="85"/>
    </row>
    <row r="132" spans="1:14" hidden="1" outlineLevel="1" x14ac:dyDescent="0.2">
      <c r="A132" s="20">
        <f t="shared" si="95"/>
        <v>3658</v>
      </c>
      <c r="B132" s="19" t="str">
        <f t="shared" si="95"/>
        <v>UT</v>
      </c>
      <c r="C132" s="90"/>
      <c r="D132" s="102">
        <f t="shared" ref="D132:M132" si="97">RANK(D178,$D178:$M178)</f>
        <v>7</v>
      </c>
      <c r="E132" s="103">
        <f t="shared" si="97"/>
        <v>1</v>
      </c>
      <c r="F132" s="103">
        <f t="shared" si="97"/>
        <v>7</v>
      </c>
      <c r="G132" s="104">
        <f t="shared" si="97"/>
        <v>5</v>
      </c>
      <c r="H132" s="102">
        <f t="shared" si="97"/>
        <v>7</v>
      </c>
      <c r="I132" s="104">
        <f t="shared" si="97"/>
        <v>7</v>
      </c>
      <c r="J132" s="102">
        <f t="shared" si="97"/>
        <v>3</v>
      </c>
      <c r="K132" s="102">
        <f t="shared" si="97"/>
        <v>6</v>
      </c>
      <c r="L132" s="103">
        <f t="shared" si="97"/>
        <v>4</v>
      </c>
      <c r="M132" s="104">
        <f t="shared" si="97"/>
        <v>2</v>
      </c>
      <c r="N132" s="85"/>
    </row>
    <row r="133" spans="1:14" hidden="1" outlineLevel="1" x14ac:dyDescent="0.2">
      <c r="A133" s="20">
        <f t="shared" si="95"/>
        <v>9741</v>
      </c>
      <c r="B133" s="19" t="str">
        <f t="shared" si="95"/>
        <v>UTD</v>
      </c>
      <c r="C133" s="90"/>
      <c r="D133" s="102">
        <f t="shared" ref="D133:M133" si="98">RANK(D179,$D179:$M179)</f>
        <v>7</v>
      </c>
      <c r="E133" s="103">
        <f t="shared" si="98"/>
        <v>1</v>
      </c>
      <c r="F133" s="103">
        <f t="shared" si="98"/>
        <v>7</v>
      </c>
      <c r="G133" s="104">
        <f t="shared" si="98"/>
        <v>5</v>
      </c>
      <c r="H133" s="102">
        <f t="shared" si="98"/>
        <v>7</v>
      </c>
      <c r="I133" s="104">
        <f t="shared" si="98"/>
        <v>7</v>
      </c>
      <c r="J133" s="102">
        <f t="shared" si="98"/>
        <v>2</v>
      </c>
      <c r="K133" s="102">
        <f t="shared" si="98"/>
        <v>3</v>
      </c>
      <c r="L133" s="103">
        <f t="shared" si="98"/>
        <v>4</v>
      </c>
      <c r="M133" s="104">
        <f t="shared" si="98"/>
        <v>6</v>
      </c>
      <c r="N133" s="85"/>
    </row>
    <row r="134" spans="1:14" hidden="1" outlineLevel="1" x14ac:dyDescent="0.2">
      <c r="A134" s="20">
        <f t="shared" si="95"/>
        <v>3661</v>
      </c>
      <c r="B134" s="19" t="str">
        <f t="shared" si="95"/>
        <v>UTEP</v>
      </c>
      <c r="C134" s="90"/>
      <c r="D134" s="102">
        <f t="shared" ref="D134:M134" si="99">RANK(D180,$D180:$M180)</f>
        <v>7</v>
      </c>
      <c r="E134" s="103">
        <f t="shared" si="99"/>
        <v>4</v>
      </c>
      <c r="F134" s="103">
        <f t="shared" si="99"/>
        <v>7</v>
      </c>
      <c r="G134" s="104">
        <f t="shared" si="99"/>
        <v>6</v>
      </c>
      <c r="H134" s="102">
        <f t="shared" si="99"/>
        <v>7</v>
      </c>
      <c r="I134" s="104">
        <f t="shared" si="99"/>
        <v>7</v>
      </c>
      <c r="J134" s="102">
        <f t="shared" si="99"/>
        <v>1</v>
      </c>
      <c r="K134" s="102">
        <f t="shared" si="99"/>
        <v>5</v>
      </c>
      <c r="L134" s="103">
        <f t="shared" si="99"/>
        <v>3</v>
      </c>
      <c r="M134" s="104">
        <f t="shared" si="99"/>
        <v>2</v>
      </c>
      <c r="N134" s="85"/>
    </row>
    <row r="135" spans="1:14" hidden="1" outlineLevel="1" x14ac:dyDescent="0.2">
      <c r="A135" s="20">
        <f t="shared" si="95"/>
        <v>3599</v>
      </c>
      <c r="B135" s="19" t="str">
        <f t="shared" si="95"/>
        <v>UTPA</v>
      </c>
      <c r="C135" s="90"/>
      <c r="D135" s="102">
        <f t="shared" ref="D135:M135" si="100">RANK(D181,$D181:$M181)</f>
        <v>7</v>
      </c>
      <c r="E135" s="103">
        <f t="shared" si="100"/>
        <v>3</v>
      </c>
      <c r="F135" s="103">
        <f t="shared" si="100"/>
        <v>7</v>
      </c>
      <c r="G135" s="104">
        <f t="shared" si="100"/>
        <v>6</v>
      </c>
      <c r="H135" s="102">
        <f t="shared" si="100"/>
        <v>7</v>
      </c>
      <c r="I135" s="104">
        <f t="shared" si="100"/>
        <v>7</v>
      </c>
      <c r="J135" s="102">
        <f t="shared" si="100"/>
        <v>1</v>
      </c>
      <c r="K135" s="102">
        <f t="shared" si="100"/>
        <v>5</v>
      </c>
      <c r="L135" s="103">
        <f t="shared" si="100"/>
        <v>4</v>
      </c>
      <c r="M135" s="104">
        <f t="shared" si="100"/>
        <v>2</v>
      </c>
      <c r="N135" s="85"/>
    </row>
    <row r="136" spans="1:14" hidden="1" outlineLevel="1" x14ac:dyDescent="0.2">
      <c r="A136" s="20">
        <f t="shared" si="95"/>
        <v>30646</v>
      </c>
      <c r="B136" s="19" t="str">
        <f t="shared" si="95"/>
        <v>UTB</v>
      </c>
      <c r="C136" s="90"/>
      <c r="D136" s="102">
        <f t="shared" ref="D136:M136" si="101">RANK(D182,$D182:$M182)</f>
        <v>7</v>
      </c>
      <c r="E136" s="103">
        <f t="shared" si="101"/>
        <v>2</v>
      </c>
      <c r="F136" s="103">
        <f t="shared" si="101"/>
        <v>7</v>
      </c>
      <c r="G136" s="104">
        <f t="shared" si="101"/>
        <v>4</v>
      </c>
      <c r="H136" s="102">
        <f t="shared" si="101"/>
        <v>7</v>
      </c>
      <c r="I136" s="104">
        <f t="shared" si="101"/>
        <v>7</v>
      </c>
      <c r="J136" s="102">
        <f t="shared" si="101"/>
        <v>1</v>
      </c>
      <c r="K136" s="102">
        <f t="shared" si="101"/>
        <v>3</v>
      </c>
      <c r="L136" s="103">
        <f t="shared" si="101"/>
        <v>5</v>
      </c>
      <c r="M136" s="104">
        <f t="shared" si="101"/>
        <v>6</v>
      </c>
      <c r="N136" s="85"/>
    </row>
    <row r="137" spans="1:14" hidden="1" outlineLevel="1" x14ac:dyDescent="0.2">
      <c r="A137" s="20">
        <f t="shared" si="95"/>
        <v>9930</v>
      </c>
      <c r="B137" s="19" t="str">
        <f t="shared" si="95"/>
        <v>UTPB</v>
      </c>
      <c r="C137" s="90"/>
      <c r="D137" s="102">
        <f t="shared" ref="D137:M137" si="102">RANK(D183,$D183:$M183)</f>
        <v>7</v>
      </c>
      <c r="E137" s="103">
        <f t="shared" si="102"/>
        <v>2</v>
      </c>
      <c r="F137" s="103">
        <f t="shared" si="102"/>
        <v>7</v>
      </c>
      <c r="G137" s="104">
        <f t="shared" si="102"/>
        <v>5</v>
      </c>
      <c r="H137" s="102">
        <f t="shared" si="102"/>
        <v>7</v>
      </c>
      <c r="I137" s="104">
        <f t="shared" si="102"/>
        <v>7</v>
      </c>
      <c r="J137" s="102">
        <f t="shared" si="102"/>
        <v>1</v>
      </c>
      <c r="K137" s="102">
        <f t="shared" si="102"/>
        <v>3</v>
      </c>
      <c r="L137" s="103">
        <f t="shared" si="102"/>
        <v>4</v>
      </c>
      <c r="M137" s="104">
        <f t="shared" si="102"/>
        <v>6</v>
      </c>
      <c r="N137" s="85"/>
    </row>
    <row r="138" spans="1:14" hidden="1" outlineLevel="1" x14ac:dyDescent="0.2">
      <c r="A138" s="20">
        <f t="shared" si="95"/>
        <v>10115</v>
      </c>
      <c r="B138" s="19" t="str">
        <f t="shared" si="95"/>
        <v>UTSA</v>
      </c>
      <c r="C138" s="90"/>
      <c r="D138" s="102">
        <f t="shared" ref="D138:M138" si="103">RANK(D184,$D184:$M184)</f>
        <v>7</v>
      </c>
      <c r="E138" s="103">
        <f t="shared" si="103"/>
        <v>2</v>
      </c>
      <c r="F138" s="103">
        <f t="shared" si="103"/>
        <v>7</v>
      </c>
      <c r="G138" s="104">
        <f t="shared" si="103"/>
        <v>6</v>
      </c>
      <c r="H138" s="102">
        <f t="shared" si="103"/>
        <v>7</v>
      </c>
      <c r="I138" s="104">
        <f t="shared" si="103"/>
        <v>7</v>
      </c>
      <c r="J138" s="102">
        <f t="shared" si="103"/>
        <v>1</v>
      </c>
      <c r="K138" s="102">
        <f t="shared" si="103"/>
        <v>3</v>
      </c>
      <c r="L138" s="103">
        <f t="shared" si="103"/>
        <v>5</v>
      </c>
      <c r="M138" s="104">
        <f t="shared" si="103"/>
        <v>4</v>
      </c>
      <c r="N138" s="85"/>
    </row>
    <row r="139" spans="1:14" hidden="1" outlineLevel="1" x14ac:dyDescent="0.2">
      <c r="A139" s="20">
        <f t="shared" si="95"/>
        <v>11163</v>
      </c>
      <c r="B139" s="19" t="str">
        <f t="shared" si="95"/>
        <v>UTT</v>
      </c>
      <c r="C139" s="90"/>
      <c r="D139" s="102">
        <f t="shared" ref="D139:M139" si="104">RANK(D185,$D185:$M185)</f>
        <v>7</v>
      </c>
      <c r="E139" s="103">
        <f t="shared" si="104"/>
        <v>2</v>
      </c>
      <c r="F139" s="103">
        <f t="shared" si="104"/>
        <v>7</v>
      </c>
      <c r="G139" s="104">
        <f t="shared" si="104"/>
        <v>4</v>
      </c>
      <c r="H139" s="102">
        <f t="shared" si="104"/>
        <v>7</v>
      </c>
      <c r="I139" s="104">
        <f t="shared" si="104"/>
        <v>7</v>
      </c>
      <c r="J139" s="102">
        <f t="shared" si="104"/>
        <v>1</v>
      </c>
      <c r="K139" s="102">
        <f t="shared" si="104"/>
        <v>3</v>
      </c>
      <c r="L139" s="103">
        <f t="shared" si="104"/>
        <v>5</v>
      </c>
      <c r="M139" s="104">
        <f t="shared" si="104"/>
        <v>6</v>
      </c>
      <c r="N139" s="85"/>
    </row>
    <row r="140" spans="1:14" hidden="1" outlineLevel="1" x14ac:dyDescent="0.2">
      <c r="A140" s="20">
        <f t="shared" si="95"/>
        <v>3632</v>
      </c>
      <c r="B140" s="19" t="str">
        <f t="shared" si="95"/>
        <v>TAMU</v>
      </c>
      <c r="C140" s="90"/>
      <c r="D140" s="102">
        <f t="shared" ref="D140:M140" si="105">RANK(D186,$D186:$M186)</f>
        <v>7</v>
      </c>
      <c r="E140" s="103">
        <f t="shared" si="105"/>
        <v>1</v>
      </c>
      <c r="F140" s="103">
        <f t="shared" si="105"/>
        <v>7</v>
      </c>
      <c r="G140" s="104">
        <f t="shared" si="105"/>
        <v>5</v>
      </c>
      <c r="H140" s="102">
        <f t="shared" si="105"/>
        <v>7</v>
      </c>
      <c r="I140" s="104">
        <f t="shared" si="105"/>
        <v>7</v>
      </c>
      <c r="J140" s="102">
        <f t="shared" si="105"/>
        <v>3</v>
      </c>
      <c r="K140" s="102">
        <f t="shared" si="105"/>
        <v>6</v>
      </c>
      <c r="L140" s="103">
        <f t="shared" si="105"/>
        <v>4</v>
      </c>
      <c r="M140" s="104">
        <f t="shared" si="105"/>
        <v>2</v>
      </c>
      <c r="N140" s="85"/>
    </row>
    <row r="141" spans="1:14" hidden="1" outlineLevel="1" x14ac:dyDescent="0.2">
      <c r="A141" s="20">
        <f t="shared" si="95"/>
        <v>10298</v>
      </c>
      <c r="B141" s="19" t="str">
        <f t="shared" si="95"/>
        <v>TAMUG</v>
      </c>
      <c r="C141" s="90"/>
      <c r="D141" s="102">
        <f t="shared" ref="D141:M141" si="106">RANK(D187,$D187:$M187)</f>
        <v>7</v>
      </c>
      <c r="E141" s="103">
        <f t="shared" si="106"/>
        <v>2</v>
      </c>
      <c r="F141" s="103">
        <f t="shared" si="106"/>
        <v>7</v>
      </c>
      <c r="G141" s="104">
        <f t="shared" si="106"/>
        <v>6</v>
      </c>
      <c r="H141" s="102">
        <f t="shared" si="106"/>
        <v>7</v>
      </c>
      <c r="I141" s="104">
        <f t="shared" si="106"/>
        <v>7</v>
      </c>
      <c r="J141" s="102">
        <f t="shared" si="106"/>
        <v>1</v>
      </c>
      <c r="K141" s="102">
        <f t="shared" si="106"/>
        <v>4</v>
      </c>
      <c r="L141" s="103">
        <f t="shared" si="106"/>
        <v>5</v>
      </c>
      <c r="M141" s="104">
        <f t="shared" si="106"/>
        <v>3</v>
      </c>
      <c r="N141" s="85"/>
    </row>
    <row r="142" spans="1:14" hidden="1" outlineLevel="1" x14ac:dyDescent="0.2">
      <c r="A142" s="20">
        <f t="shared" si="95"/>
        <v>3630</v>
      </c>
      <c r="B142" s="19" t="str">
        <f t="shared" si="95"/>
        <v>Prairie View</v>
      </c>
      <c r="C142" s="90"/>
      <c r="D142" s="102">
        <f t="shared" ref="D142:M142" si="107">RANK(D188,$D188:$M188)</f>
        <v>7</v>
      </c>
      <c r="E142" s="103">
        <f t="shared" si="107"/>
        <v>5</v>
      </c>
      <c r="F142" s="103">
        <f t="shared" si="107"/>
        <v>7</v>
      </c>
      <c r="G142" s="104">
        <f t="shared" si="107"/>
        <v>6</v>
      </c>
      <c r="H142" s="102">
        <f t="shared" si="107"/>
        <v>7</v>
      </c>
      <c r="I142" s="104">
        <f t="shared" si="107"/>
        <v>7</v>
      </c>
      <c r="J142" s="102">
        <f t="shared" si="107"/>
        <v>1</v>
      </c>
      <c r="K142" s="102">
        <f t="shared" si="107"/>
        <v>4</v>
      </c>
      <c r="L142" s="103">
        <f t="shared" si="107"/>
        <v>3</v>
      </c>
      <c r="M142" s="104">
        <f t="shared" si="107"/>
        <v>2</v>
      </c>
      <c r="N142" s="85"/>
    </row>
    <row r="143" spans="1:14" hidden="1" outlineLevel="1" x14ac:dyDescent="0.2">
      <c r="A143" s="20">
        <f t="shared" si="95"/>
        <v>3631</v>
      </c>
      <c r="B143" s="19" t="str">
        <f t="shared" si="95"/>
        <v>Tarleton</v>
      </c>
      <c r="C143" s="90"/>
      <c r="D143" s="102">
        <f t="shared" ref="D143:M143" si="108">RANK(D189,$D189:$M189)</f>
        <v>7</v>
      </c>
      <c r="E143" s="103">
        <f t="shared" si="108"/>
        <v>2</v>
      </c>
      <c r="F143" s="103">
        <f t="shared" si="108"/>
        <v>7</v>
      </c>
      <c r="G143" s="104">
        <f t="shared" si="108"/>
        <v>6</v>
      </c>
      <c r="H143" s="102">
        <f t="shared" si="108"/>
        <v>7</v>
      </c>
      <c r="I143" s="104">
        <f t="shared" si="108"/>
        <v>7</v>
      </c>
      <c r="J143" s="102">
        <f t="shared" si="108"/>
        <v>1</v>
      </c>
      <c r="K143" s="102">
        <f t="shared" si="108"/>
        <v>4</v>
      </c>
      <c r="L143" s="103">
        <f t="shared" si="108"/>
        <v>5</v>
      </c>
      <c r="M143" s="104">
        <f t="shared" si="108"/>
        <v>3</v>
      </c>
      <c r="N143" s="85"/>
    </row>
    <row r="144" spans="1:14" hidden="1" outlineLevel="1" x14ac:dyDescent="0.2">
      <c r="A144" s="27">
        <f t="shared" si="95"/>
        <v>103631</v>
      </c>
      <c r="B144" s="19" t="str">
        <f t="shared" si="95"/>
        <v>TAMUCT</v>
      </c>
      <c r="C144" s="90"/>
      <c r="D144" s="102">
        <f t="shared" ref="D144:M144" si="109">RANK(D190,$D190:$M190)</f>
        <v>7</v>
      </c>
      <c r="E144" s="103">
        <f t="shared" si="109"/>
        <v>2</v>
      </c>
      <c r="F144" s="103">
        <f t="shared" si="109"/>
        <v>7</v>
      </c>
      <c r="G144" s="104">
        <f t="shared" si="109"/>
        <v>3</v>
      </c>
      <c r="H144" s="102">
        <f t="shared" si="109"/>
        <v>7</v>
      </c>
      <c r="I144" s="104">
        <f t="shared" si="109"/>
        <v>7</v>
      </c>
      <c r="J144" s="102">
        <f t="shared" si="109"/>
        <v>1</v>
      </c>
      <c r="K144" s="102">
        <f t="shared" si="109"/>
        <v>4</v>
      </c>
      <c r="L144" s="103">
        <f t="shared" si="109"/>
        <v>5</v>
      </c>
      <c r="M144" s="104">
        <f t="shared" si="109"/>
        <v>6</v>
      </c>
      <c r="N144" s="85"/>
    </row>
    <row r="145" spans="1:14" hidden="1" outlineLevel="1" x14ac:dyDescent="0.2">
      <c r="A145" s="20">
        <f t="shared" si="95"/>
        <v>11161</v>
      </c>
      <c r="B145" s="19" t="str">
        <f t="shared" si="95"/>
        <v>TAMUCC</v>
      </c>
      <c r="C145" s="90"/>
      <c r="D145" s="102">
        <f t="shared" ref="D145:M145" si="110">RANK(D191,$D191:$M191)</f>
        <v>7</v>
      </c>
      <c r="E145" s="103">
        <f t="shared" si="110"/>
        <v>2</v>
      </c>
      <c r="F145" s="103">
        <f t="shared" si="110"/>
        <v>7</v>
      </c>
      <c r="G145" s="104">
        <f t="shared" si="110"/>
        <v>6</v>
      </c>
      <c r="H145" s="102">
        <f t="shared" si="110"/>
        <v>7</v>
      </c>
      <c r="I145" s="104">
        <f t="shared" si="110"/>
        <v>7</v>
      </c>
      <c r="J145" s="102">
        <f t="shared" si="110"/>
        <v>1</v>
      </c>
      <c r="K145" s="102">
        <f t="shared" si="110"/>
        <v>5</v>
      </c>
      <c r="L145" s="103">
        <f t="shared" si="110"/>
        <v>4</v>
      </c>
      <c r="M145" s="104">
        <f t="shared" si="110"/>
        <v>3</v>
      </c>
      <c r="N145" s="85"/>
    </row>
    <row r="146" spans="1:14" hidden="1" outlineLevel="1" x14ac:dyDescent="0.2">
      <c r="A146" s="20">
        <f t="shared" si="95"/>
        <v>3639</v>
      </c>
      <c r="B146" s="19" t="str">
        <f t="shared" si="95"/>
        <v>TAMUK</v>
      </c>
      <c r="C146" s="90"/>
      <c r="D146" s="102">
        <f t="shared" ref="D146:M146" si="111">RANK(D192,$D192:$M192)</f>
        <v>7</v>
      </c>
      <c r="E146" s="103">
        <f t="shared" si="111"/>
        <v>4</v>
      </c>
      <c r="F146" s="103">
        <f t="shared" si="111"/>
        <v>7</v>
      </c>
      <c r="G146" s="104">
        <f t="shared" si="111"/>
        <v>6</v>
      </c>
      <c r="H146" s="102">
        <f t="shared" si="111"/>
        <v>7</v>
      </c>
      <c r="I146" s="104">
        <f t="shared" si="111"/>
        <v>7</v>
      </c>
      <c r="J146" s="102">
        <f t="shared" si="111"/>
        <v>1</v>
      </c>
      <c r="K146" s="102">
        <f t="shared" si="111"/>
        <v>5</v>
      </c>
      <c r="L146" s="103">
        <f t="shared" si="111"/>
        <v>3</v>
      </c>
      <c r="M146" s="104">
        <f t="shared" si="111"/>
        <v>2</v>
      </c>
      <c r="N146" s="85"/>
    </row>
    <row r="147" spans="1:14" hidden="1" outlineLevel="1" x14ac:dyDescent="0.2">
      <c r="A147" s="27">
        <f t="shared" si="95"/>
        <v>103639</v>
      </c>
      <c r="B147" s="19" t="str">
        <f t="shared" si="95"/>
        <v>TAMUSA</v>
      </c>
      <c r="C147" s="90"/>
      <c r="D147" s="102">
        <f t="shared" ref="D147:M147" si="112">RANK(D193,$D193:$M193)</f>
        <v>7</v>
      </c>
      <c r="E147" s="103">
        <f t="shared" si="112"/>
        <v>2</v>
      </c>
      <c r="F147" s="103">
        <f t="shared" si="112"/>
        <v>7</v>
      </c>
      <c r="G147" s="104">
        <f t="shared" si="112"/>
        <v>4</v>
      </c>
      <c r="H147" s="102">
        <f t="shared" si="112"/>
        <v>7</v>
      </c>
      <c r="I147" s="104">
        <f t="shared" si="112"/>
        <v>7</v>
      </c>
      <c r="J147" s="102">
        <f t="shared" si="112"/>
        <v>1</v>
      </c>
      <c r="K147" s="102">
        <f t="shared" si="112"/>
        <v>3</v>
      </c>
      <c r="L147" s="103">
        <f t="shared" si="112"/>
        <v>5</v>
      </c>
      <c r="M147" s="104">
        <f t="shared" si="112"/>
        <v>6</v>
      </c>
      <c r="N147" s="85"/>
    </row>
    <row r="148" spans="1:14" hidden="1" outlineLevel="1" x14ac:dyDescent="0.2">
      <c r="A148" s="20">
        <f t="shared" si="95"/>
        <v>9651</v>
      </c>
      <c r="B148" s="19" t="str">
        <f t="shared" si="95"/>
        <v>TAMI</v>
      </c>
      <c r="C148" s="90"/>
      <c r="D148" s="102">
        <f t="shared" ref="D148:M148" si="113">RANK(D194,$D194:$M194)</f>
        <v>7</v>
      </c>
      <c r="E148" s="103">
        <f t="shared" si="113"/>
        <v>2</v>
      </c>
      <c r="F148" s="103">
        <f t="shared" si="113"/>
        <v>7</v>
      </c>
      <c r="G148" s="104">
        <f t="shared" si="113"/>
        <v>6</v>
      </c>
      <c r="H148" s="102">
        <f t="shared" si="113"/>
        <v>7</v>
      </c>
      <c r="I148" s="104">
        <f t="shared" si="113"/>
        <v>7</v>
      </c>
      <c r="J148" s="102">
        <f t="shared" si="113"/>
        <v>1</v>
      </c>
      <c r="K148" s="102">
        <f t="shared" si="113"/>
        <v>4</v>
      </c>
      <c r="L148" s="103">
        <f t="shared" si="113"/>
        <v>3</v>
      </c>
      <c r="M148" s="104">
        <f t="shared" si="113"/>
        <v>5</v>
      </c>
      <c r="N148" s="85"/>
    </row>
    <row r="149" spans="1:14" hidden="1" outlineLevel="1" x14ac:dyDescent="0.2">
      <c r="A149" s="20">
        <f t="shared" si="95"/>
        <v>3665</v>
      </c>
      <c r="B149" s="19" t="str">
        <f t="shared" si="95"/>
        <v>WTAMU</v>
      </c>
      <c r="C149" s="90"/>
      <c r="D149" s="102">
        <f t="shared" ref="D149:M149" si="114">RANK(D195,$D195:$M195)</f>
        <v>7</v>
      </c>
      <c r="E149" s="103">
        <f t="shared" si="114"/>
        <v>2</v>
      </c>
      <c r="F149" s="103">
        <f t="shared" si="114"/>
        <v>7</v>
      </c>
      <c r="G149" s="104">
        <f t="shared" si="114"/>
        <v>6</v>
      </c>
      <c r="H149" s="102">
        <f t="shared" si="114"/>
        <v>7</v>
      </c>
      <c r="I149" s="104">
        <f t="shared" si="114"/>
        <v>7</v>
      </c>
      <c r="J149" s="102">
        <f t="shared" si="114"/>
        <v>1</v>
      </c>
      <c r="K149" s="102">
        <f t="shared" si="114"/>
        <v>3</v>
      </c>
      <c r="L149" s="103">
        <f t="shared" si="114"/>
        <v>4</v>
      </c>
      <c r="M149" s="104">
        <f t="shared" si="114"/>
        <v>5</v>
      </c>
      <c r="N149" s="85"/>
    </row>
    <row r="150" spans="1:14" hidden="1" outlineLevel="1" x14ac:dyDescent="0.2">
      <c r="A150" s="20">
        <f t="shared" si="95"/>
        <v>3565</v>
      </c>
      <c r="B150" s="19" t="str">
        <f t="shared" si="95"/>
        <v>TAMUC</v>
      </c>
      <c r="C150" s="90"/>
      <c r="D150" s="102">
        <f t="shared" ref="D150:M150" si="115">RANK(D196,$D196:$M196)</f>
        <v>7</v>
      </c>
      <c r="E150" s="103">
        <f t="shared" si="115"/>
        <v>2</v>
      </c>
      <c r="F150" s="103">
        <f t="shared" si="115"/>
        <v>7</v>
      </c>
      <c r="G150" s="104">
        <f t="shared" si="115"/>
        <v>5</v>
      </c>
      <c r="H150" s="102">
        <f t="shared" si="115"/>
        <v>7</v>
      </c>
      <c r="I150" s="104">
        <f t="shared" si="115"/>
        <v>7</v>
      </c>
      <c r="J150" s="102">
        <f t="shared" si="115"/>
        <v>1</v>
      </c>
      <c r="K150" s="102">
        <f t="shared" si="115"/>
        <v>3</v>
      </c>
      <c r="L150" s="103">
        <f t="shared" si="115"/>
        <v>4</v>
      </c>
      <c r="M150" s="104">
        <f t="shared" si="115"/>
        <v>6</v>
      </c>
      <c r="N150" s="85"/>
    </row>
    <row r="151" spans="1:14" hidden="1" outlineLevel="1" x14ac:dyDescent="0.2">
      <c r="A151" s="20">
        <f t="shared" ref="A151:B168" si="116">A110</f>
        <v>29269</v>
      </c>
      <c r="B151" s="19" t="str">
        <f t="shared" si="116"/>
        <v>TAMUT</v>
      </c>
      <c r="C151" s="90"/>
      <c r="D151" s="102">
        <f t="shared" ref="D151:M151" si="117">RANK(D197,$D197:$M197)</f>
        <v>7</v>
      </c>
      <c r="E151" s="103">
        <f t="shared" si="117"/>
        <v>2</v>
      </c>
      <c r="F151" s="103">
        <f t="shared" si="117"/>
        <v>7</v>
      </c>
      <c r="G151" s="104">
        <f t="shared" si="117"/>
        <v>4</v>
      </c>
      <c r="H151" s="102">
        <f t="shared" si="117"/>
        <v>7</v>
      </c>
      <c r="I151" s="104">
        <f t="shared" si="117"/>
        <v>7</v>
      </c>
      <c r="J151" s="102">
        <f t="shared" si="117"/>
        <v>1</v>
      </c>
      <c r="K151" s="102">
        <f t="shared" si="117"/>
        <v>3</v>
      </c>
      <c r="L151" s="103">
        <f t="shared" si="117"/>
        <v>5</v>
      </c>
      <c r="M151" s="104">
        <f t="shared" si="117"/>
        <v>6</v>
      </c>
      <c r="N151" s="85"/>
    </row>
    <row r="152" spans="1:14" hidden="1" outlineLevel="1" x14ac:dyDescent="0.2">
      <c r="A152" s="20">
        <f t="shared" si="116"/>
        <v>3652</v>
      </c>
      <c r="B152" s="19" t="str">
        <f t="shared" si="116"/>
        <v>UH</v>
      </c>
      <c r="C152" s="90"/>
      <c r="D152" s="102">
        <f t="shared" ref="D152:M152" si="118">RANK(D198,$D198:$M198)</f>
        <v>7</v>
      </c>
      <c r="E152" s="103">
        <f t="shared" si="118"/>
        <v>2</v>
      </c>
      <c r="F152" s="103">
        <f t="shared" si="118"/>
        <v>7</v>
      </c>
      <c r="G152" s="104">
        <f t="shared" si="118"/>
        <v>6</v>
      </c>
      <c r="H152" s="102">
        <f t="shared" si="118"/>
        <v>7</v>
      </c>
      <c r="I152" s="104">
        <f t="shared" si="118"/>
        <v>7</v>
      </c>
      <c r="J152" s="102">
        <f t="shared" si="118"/>
        <v>1</v>
      </c>
      <c r="K152" s="102">
        <f t="shared" si="118"/>
        <v>5</v>
      </c>
      <c r="L152" s="103">
        <f t="shared" si="118"/>
        <v>4</v>
      </c>
      <c r="M152" s="104">
        <f t="shared" si="118"/>
        <v>3</v>
      </c>
      <c r="N152" s="85"/>
    </row>
    <row r="153" spans="1:14" hidden="1" outlineLevel="1" x14ac:dyDescent="0.2">
      <c r="A153" s="20">
        <f t="shared" si="116"/>
        <v>11711</v>
      </c>
      <c r="B153" s="19" t="str">
        <f t="shared" si="116"/>
        <v>UHCL</v>
      </c>
      <c r="C153" s="90"/>
      <c r="D153" s="102">
        <f t="shared" ref="D153:M153" si="119">RANK(D199,$D199:$M199)</f>
        <v>7</v>
      </c>
      <c r="E153" s="103">
        <f t="shared" si="119"/>
        <v>2</v>
      </c>
      <c r="F153" s="103">
        <f t="shared" si="119"/>
        <v>7</v>
      </c>
      <c r="G153" s="104">
        <f t="shared" si="119"/>
        <v>5</v>
      </c>
      <c r="H153" s="102">
        <f t="shared" si="119"/>
        <v>7</v>
      </c>
      <c r="I153" s="104">
        <f t="shared" si="119"/>
        <v>7</v>
      </c>
      <c r="J153" s="102">
        <f t="shared" si="119"/>
        <v>1</v>
      </c>
      <c r="K153" s="102">
        <f t="shared" si="119"/>
        <v>4</v>
      </c>
      <c r="L153" s="103">
        <f t="shared" si="119"/>
        <v>3</v>
      </c>
      <c r="M153" s="104">
        <f t="shared" si="119"/>
        <v>6</v>
      </c>
      <c r="N153" s="85"/>
    </row>
    <row r="154" spans="1:14" hidden="1" outlineLevel="1" x14ac:dyDescent="0.2">
      <c r="A154" s="20">
        <f t="shared" si="116"/>
        <v>12826</v>
      </c>
      <c r="B154" s="19" t="str">
        <f t="shared" si="116"/>
        <v>UHD</v>
      </c>
      <c r="C154" s="90"/>
      <c r="D154" s="102">
        <f t="shared" ref="D154:M154" si="120">RANK(D200,$D200:$M200)</f>
        <v>7</v>
      </c>
      <c r="E154" s="103">
        <f t="shared" si="120"/>
        <v>5</v>
      </c>
      <c r="F154" s="103">
        <f t="shared" si="120"/>
        <v>7</v>
      </c>
      <c r="G154" s="104">
        <f t="shared" si="120"/>
        <v>4</v>
      </c>
      <c r="H154" s="102">
        <f t="shared" si="120"/>
        <v>7</v>
      </c>
      <c r="I154" s="104">
        <f t="shared" si="120"/>
        <v>7</v>
      </c>
      <c r="J154" s="102">
        <f t="shared" si="120"/>
        <v>1</v>
      </c>
      <c r="K154" s="102">
        <f t="shared" si="120"/>
        <v>2</v>
      </c>
      <c r="L154" s="103">
        <f t="shared" si="120"/>
        <v>3</v>
      </c>
      <c r="M154" s="104">
        <f t="shared" si="120"/>
        <v>6</v>
      </c>
      <c r="N154" s="85"/>
    </row>
    <row r="155" spans="1:14" hidden="1" outlineLevel="1" x14ac:dyDescent="0.2">
      <c r="A155" s="20">
        <f t="shared" si="116"/>
        <v>13231</v>
      </c>
      <c r="B155" s="19" t="str">
        <f t="shared" si="116"/>
        <v>UHV</v>
      </c>
      <c r="C155" s="90"/>
      <c r="D155" s="102">
        <f t="shared" ref="D155:M155" si="121">RANK(D201,$D201:$M201)</f>
        <v>7</v>
      </c>
      <c r="E155" s="103">
        <f t="shared" si="121"/>
        <v>2</v>
      </c>
      <c r="F155" s="103">
        <f t="shared" si="121"/>
        <v>7</v>
      </c>
      <c r="G155" s="104">
        <f t="shared" si="121"/>
        <v>4</v>
      </c>
      <c r="H155" s="102">
        <f t="shared" si="121"/>
        <v>7</v>
      </c>
      <c r="I155" s="104">
        <f t="shared" si="121"/>
        <v>7</v>
      </c>
      <c r="J155" s="102">
        <f t="shared" si="121"/>
        <v>1</v>
      </c>
      <c r="K155" s="102">
        <f t="shared" si="121"/>
        <v>3</v>
      </c>
      <c r="L155" s="103">
        <f t="shared" si="121"/>
        <v>5</v>
      </c>
      <c r="M155" s="104">
        <f t="shared" si="121"/>
        <v>6</v>
      </c>
      <c r="N155" s="85"/>
    </row>
    <row r="156" spans="1:14" hidden="1" outlineLevel="1" x14ac:dyDescent="0.2">
      <c r="A156" s="20">
        <f t="shared" si="116"/>
        <v>3592</v>
      </c>
      <c r="B156" s="19" t="str">
        <f t="shared" si="116"/>
        <v>Midwestern</v>
      </c>
      <c r="C156" s="90"/>
      <c r="D156" s="102">
        <f t="shared" ref="D156:M156" si="122">RANK(D202,$D202:$M202)</f>
        <v>7</v>
      </c>
      <c r="E156" s="103">
        <f t="shared" si="122"/>
        <v>2</v>
      </c>
      <c r="F156" s="103">
        <f t="shared" si="122"/>
        <v>7</v>
      </c>
      <c r="G156" s="104">
        <f t="shared" si="122"/>
        <v>6</v>
      </c>
      <c r="H156" s="102">
        <f t="shared" si="122"/>
        <v>7</v>
      </c>
      <c r="I156" s="104">
        <f t="shared" si="122"/>
        <v>7</v>
      </c>
      <c r="J156" s="102">
        <f t="shared" si="122"/>
        <v>1</v>
      </c>
      <c r="K156" s="102">
        <f t="shared" si="122"/>
        <v>5</v>
      </c>
      <c r="L156" s="103">
        <f t="shared" si="122"/>
        <v>4</v>
      </c>
      <c r="M156" s="104">
        <f t="shared" si="122"/>
        <v>3</v>
      </c>
      <c r="N156" s="85"/>
    </row>
    <row r="157" spans="1:14" hidden="1" outlineLevel="1" x14ac:dyDescent="0.2">
      <c r="A157" s="20">
        <f t="shared" si="116"/>
        <v>3594</v>
      </c>
      <c r="B157" s="19" t="str">
        <f t="shared" si="116"/>
        <v>UNT</v>
      </c>
      <c r="C157" s="90"/>
      <c r="D157" s="102">
        <f t="shared" ref="D157:M157" si="123">RANK(D203,$D203:$M203)</f>
        <v>7</v>
      </c>
      <c r="E157" s="103">
        <f t="shared" si="123"/>
        <v>2</v>
      </c>
      <c r="F157" s="103">
        <f t="shared" si="123"/>
        <v>7</v>
      </c>
      <c r="G157" s="104">
        <f t="shared" si="123"/>
        <v>6</v>
      </c>
      <c r="H157" s="102">
        <f t="shared" si="123"/>
        <v>7</v>
      </c>
      <c r="I157" s="104">
        <f t="shared" si="123"/>
        <v>7</v>
      </c>
      <c r="J157" s="102">
        <f t="shared" si="123"/>
        <v>1</v>
      </c>
      <c r="K157" s="102">
        <f t="shared" si="123"/>
        <v>5</v>
      </c>
      <c r="L157" s="103">
        <f t="shared" si="123"/>
        <v>4</v>
      </c>
      <c r="M157" s="104">
        <f t="shared" si="123"/>
        <v>3</v>
      </c>
      <c r="N157" s="85"/>
    </row>
    <row r="158" spans="1:14" hidden="1" outlineLevel="1" x14ac:dyDescent="0.2">
      <c r="A158" s="27">
        <f t="shared" si="116"/>
        <v>113594</v>
      </c>
      <c r="B158" s="19" t="str">
        <f t="shared" si="116"/>
        <v>UNTD</v>
      </c>
      <c r="C158" s="90"/>
      <c r="D158" s="102">
        <f t="shared" ref="D158:M158" si="124">RANK(D204,$D204:$M204)</f>
        <v>7</v>
      </c>
      <c r="E158" s="103">
        <f t="shared" si="124"/>
        <v>2</v>
      </c>
      <c r="F158" s="103">
        <f t="shared" si="124"/>
        <v>7</v>
      </c>
      <c r="G158" s="104">
        <f t="shared" si="124"/>
        <v>4</v>
      </c>
      <c r="H158" s="102">
        <f t="shared" si="124"/>
        <v>7</v>
      </c>
      <c r="I158" s="104">
        <f t="shared" si="124"/>
        <v>7</v>
      </c>
      <c r="J158" s="102">
        <f t="shared" si="124"/>
        <v>1</v>
      </c>
      <c r="K158" s="102">
        <f t="shared" si="124"/>
        <v>3</v>
      </c>
      <c r="L158" s="103">
        <f t="shared" si="124"/>
        <v>5</v>
      </c>
      <c r="M158" s="104">
        <f t="shared" si="124"/>
        <v>6</v>
      </c>
      <c r="N158" s="85"/>
    </row>
    <row r="159" spans="1:14" hidden="1" outlineLevel="1" x14ac:dyDescent="0.2">
      <c r="A159" s="20">
        <f t="shared" si="116"/>
        <v>3624</v>
      </c>
      <c r="B159" s="19" t="str">
        <f t="shared" si="116"/>
        <v>SFA</v>
      </c>
      <c r="C159" s="90"/>
      <c r="D159" s="102">
        <f t="shared" ref="D159:M159" si="125">RANK(D205,$D205:$M205)</f>
        <v>7</v>
      </c>
      <c r="E159" s="103">
        <f t="shared" si="125"/>
        <v>2</v>
      </c>
      <c r="F159" s="103">
        <f t="shared" si="125"/>
        <v>7</v>
      </c>
      <c r="G159" s="104">
        <f t="shared" si="125"/>
        <v>6</v>
      </c>
      <c r="H159" s="102">
        <f t="shared" si="125"/>
        <v>7</v>
      </c>
      <c r="I159" s="104">
        <f t="shared" si="125"/>
        <v>7</v>
      </c>
      <c r="J159" s="102">
        <f t="shared" si="125"/>
        <v>1</v>
      </c>
      <c r="K159" s="102">
        <f t="shared" si="125"/>
        <v>5</v>
      </c>
      <c r="L159" s="103">
        <f t="shared" si="125"/>
        <v>4</v>
      </c>
      <c r="M159" s="104">
        <f t="shared" si="125"/>
        <v>3</v>
      </c>
      <c r="N159" s="85"/>
    </row>
    <row r="160" spans="1:14" hidden="1" outlineLevel="1" x14ac:dyDescent="0.2">
      <c r="A160" s="20">
        <f t="shared" si="116"/>
        <v>3642</v>
      </c>
      <c r="B160" s="19" t="str">
        <f t="shared" si="116"/>
        <v>TSU</v>
      </c>
      <c r="C160" s="90"/>
      <c r="D160" s="102">
        <f t="shared" ref="D160:M160" si="126">RANK(D206,$D206:$M206)</f>
        <v>7</v>
      </c>
      <c r="E160" s="103">
        <f t="shared" si="126"/>
        <v>6</v>
      </c>
      <c r="F160" s="103">
        <f t="shared" si="126"/>
        <v>7</v>
      </c>
      <c r="G160" s="104">
        <f t="shared" si="126"/>
        <v>5</v>
      </c>
      <c r="H160" s="102">
        <f t="shared" si="126"/>
        <v>7</v>
      </c>
      <c r="I160" s="104">
        <f t="shared" si="126"/>
        <v>7</v>
      </c>
      <c r="J160" s="102">
        <f t="shared" si="126"/>
        <v>1</v>
      </c>
      <c r="K160" s="102">
        <f t="shared" si="126"/>
        <v>4</v>
      </c>
      <c r="L160" s="103">
        <f t="shared" si="126"/>
        <v>3</v>
      </c>
      <c r="M160" s="104">
        <f t="shared" si="126"/>
        <v>2</v>
      </c>
      <c r="N160" s="85"/>
    </row>
    <row r="161" spans="1:14" hidden="1" outlineLevel="1" x14ac:dyDescent="0.2">
      <c r="A161" s="20">
        <f t="shared" si="116"/>
        <v>3644</v>
      </c>
      <c r="B161" s="19" t="str">
        <f t="shared" si="116"/>
        <v>TTU</v>
      </c>
      <c r="C161" s="90"/>
      <c r="D161" s="102">
        <f t="shared" ref="D161:M161" si="127">RANK(D207,$D207:$M207)</f>
        <v>7</v>
      </c>
      <c r="E161" s="103">
        <f t="shared" si="127"/>
        <v>1</v>
      </c>
      <c r="F161" s="103">
        <f t="shared" si="127"/>
        <v>7</v>
      </c>
      <c r="G161" s="104">
        <f t="shared" si="127"/>
        <v>6</v>
      </c>
      <c r="H161" s="102">
        <f t="shared" si="127"/>
        <v>7</v>
      </c>
      <c r="I161" s="104">
        <f t="shared" si="127"/>
        <v>7</v>
      </c>
      <c r="J161" s="102">
        <f t="shared" si="127"/>
        <v>2</v>
      </c>
      <c r="K161" s="102">
        <f t="shared" si="127"/>
        <v>5</v>
      </c>
      <c r="L161" s="103">
        <f t="shared" si="127"/>
        <v>4</v>
      </c>
      <c r="M161" s="104">
        <f t="shared" si="127"/>
        <v>3</v>
      </c>
      <c r="N161" s="85"/>
    </row>
    <row r="162" spans="1:14" hidden="1" outlineLevel="1" x14ac:dyDescent="0.2">
      <c r="A162" s="20">
        <f t="shared" si="116"/>
        <v>3541</v>
      </c>
      <c r="B162" s="19" t="str">
        <f t="shared" si="116"/>
        <v>Angelo</v>
      </c>
      <c r="C162" s="90"/>
      <c r="D162" s="102">
        <f t="shared" ref="D162:M162" si="128">RANK(D208,$D208:$M208)</f>
        <v>7</v>
      </c>
      <c r="E162" s="103">
        <f t="shared" si="128"/>
        <v>3</v>
      </c>
      <c r="F162" s="103">
        <f t="shared" si="128"/>
        <v>7</v>
      </c>
      <c r="G162" s="104">
        <f t="shared" si="128"/>
        <v>6</v>
      </c>
      <c r="H162" s="102">
        <f t="shared" si="128"/>
        <v>7</v>
      </c>
      <c r="I162" s="104">
        <f t="shared" si="128"/>
        <v>7</v>
      </c>
      <c r="J162" s="102">
        <f t="shared" si="128"/>
        <v>1</v>
      </c>
      <c r="K162" s="102">
        <f t="shared" si="128"/>
        <v>5</v>
      </c>
      <c r="L162" s="103">
        <f t="shared" si="128"/>
        <v>4</v>
      </c>
      <c r="M162" s="104">
        <f t="shared" si="128"/>
        <v>2</v>
      </c>
      <c r="N162" s="85"/>
    </row>
    <row r="163" spans="1:14" hidden="1" outlineLevel="1" x14ac:dyDescent="0.2">
      <c r="A163" s="20">
        <f t="shared" si="116"/>
        <v>3646</v>
      </c>
      <c r="B163" s="19" t="str">
        <f t="shared" si="116"/>
        <v>TWU</v>
      </c>
      <c r="C163" s="90"/>
      <c r="D163" s="102">
        <f t="shared" ref="D163:M163" si="129">RANK(D209,$D209:$M209)</f>
        <v>7</v>
      </c>
      <c r="E163" s="103">
        <f t="shared" si="129"/>
        <v>2</v>
      </c>
      <c r="F163" s="103">
        <f t="shared" si="129"/>
        <v>7</v>
      </c>
      <c r="G163" s="104">
        <f t="shared" si="129"/>
        <v>4</v>
      </c>
      <c r="H163" s="102">
        <f t="shared" si="129"/>
        <v>7</v>
      </c>
      <c r="I163" s="104">
        <f t="shared" si="129"/>
        <v>7</v>
      </c>
      <c r="J163" s="102">
        <f t="shared" si="129"/>
        <v>1</v>
      </c>
      <c r="K163" s="102">
        <f t="shared" si="129"/>
        <v>3</v>
      </c>
      <c r="L163" s="103">
        <f t="shared" si="129"/>
        <v>5</v>
      </c>
      <c r="M163" s="104">
        <f t="shared" si="129"/>
        <v>6</v>
      </c>
      <c r="N163" s="85"/>
    </row>
    <row r="164" spans="1:14" hidden="1" outlineLevel="1" x14ac:dyDescent="0.2">
      <c r="A164" s="20">
        <f t="shared" si="116"/>
        <v>3581</v>
      </c>
      <c r="B164" s="19" t="str">
        <f t="shared" si="116"/>
        <v>Lamar</v>
      </c>
      <c r="C164" s="90"/>
      <c r="D164" s="102">
        <f t="shared" ref="D164:M164" si="130">RANK(D210,$D210:$M210)</f>
        <v>7</v>
      </c>
      <c r="E164" s="103">
        <f t="shared" si="130"/>
        <v>5</v>
      </c>
      <c r="F164" s="103">
        <f t="shared" si="130"/>
        <v>7</v>
      </c>
      <c r="G164" s="104">
        <f t="shared" si="130"/>
        <v>6</v>
      </c>
      <c r="H164" s="102">
        <f t="shared" si="130"/>
        <v>7</v>
      </c>
      <c r="I164" s="104">
        <f t="shared" si="130"/>
        <v>7</v>
      </c>
      <c r="J164" s="102">
        <f t="shared" si="130"/>
        <v>1</v>
      </c>
      <c r="K164" s="102">
        <f t="shared" si="130"/>
        <v>4</v>
      </c>
      <c r="L164" s="103">
        <f t="shared" si="130"/>
        <v>3</v>
      </c>
      <c r="M164" s="104">
        <f t="shared" si="130"/>
        <v>2</v>
      </c>
      <c r="N164" s="85"/>
    </row>
    <row r="165" spans="1:14" hidden="1" outlineLevel="1" x14ac:dyDescent="0.2">
      <c r="A165" s="20">
        <f t="shared" si="116"/>
        <v>3606</v>
      </c>
      <c r="B165" s="19" t="str">
        <f t="shared" si="116"/>
        <v>SHSU</v>
      </c>
      <c r="C165" s="90"/>
      <c r="D165" s="102">
        <f t="shared" ref="D165:M165" si="131">RANK(D211,$D211:$M211)</f>
        <v>7</v>
      </c>
      <c r="E165" s="103">
        <f t="shared" si="131"/>
        <v>2</v>
      </c>
      <c r="F165" s="103">
        <f t="shared" si="131"/>
        <v>7</v>
      </c>
      <c r="G165" s="104">
        <f t="shared" si="131"/>
        <v>6</v>
      </c>
      <c r="H165" s="102">
        <f t="shared" si="131"/>
        <v>7</v>
      </c>
      <c r="I165" s="104">
        <f t="shared" si="131"/>
        <v>7</v>
      </c>
      <c r="J165" s="102">
        <f t="shared" si="131"/>
        <v>1</v>
      </c>
      <c r="K165" s="102">
        <f t="shared" si="131"/>
        <v>5</v>
      </c>
      <c r="L165" s="103">
        <f t="shared" si="131"/>
        <v>4</v>
      </c>
      <c r="M165" s="104">
        <f t="shared" si="131"/>
        <v>3</v>
      </c>
      <c r="N165" s="85"/>
    </row>
    <row r="166" spans="1:14" hidden="1" outlineLevel="1" x14ac:dyDescent="0.2">
      <c r="A166" s="20">
        <f t="shared" si="116"/>
        <v>3615</v>
      </c>
      <c r="B166" s="19" t="str">
        <f t="shared" si="116"/>
        <v>TXST</v>
      </c>
      <c r="C166" s="90"/>
      <c r="D166" s="102">
        <f t="shared" ref="D166:M166" si="132">RANK(D212,$D212:$M212)</f>
        <v>7</v>
      </c>
      <c r="E166" s="103">
        <f t="shared" si="132"/>
        <v>2</v>
      </c>
      <c r="F166" s="103">
        <f t="shared" si="132"/>
        <v>7</v>
      </c>
      <c r="G166" s="104">
        <f t="shared" si="132"/>
        <v>6</v>
      </c>
      <c r="H166" s="102">
        <f t="shared" si="132"/>
        <v>7</v>
      </c>
      <c r="I166" s="104">
        <f t="shared" si="132"/>
        <v>7</v>
      </c>
      <c r="J166" s="102">
        <f t="shared" si="132"/>
        <v>1</v>
      </c>
      <c r="K166" s="102">
        <f t="shared" si="132"/>
        <v>5</v>
      </c>
      <c r="L166" s="103">
        <f t="shared" si="132"/>
        <v>4</v>
      </c>
      <c r="M166" s="104">
        <f t="shared" si="132"/>
        <v>3</v>
      </c>
      <c r="N166" s="85"/>
    </row>
    <row r="167" spans="1:14" hidden="1" outlineLevel="1" x14ac:dyDescent="0.2">
      <c r="A167" s="20">
        <f t="shared" si="116"/>
        <v>3625</v>
      </c>
      <c r="B167" s="19" t="str">
        <f t="shared" si="116"/>
        <v>SRSU</v>
      </c>
      <c r="C167" s="90"/>
      <c r="D167" s="102">
        <f t="shared" ref="D167:M167" si="133">RANK(D213,$D213:$M213)</f>
        <v>7</v>
      </c>
      <c r="E167" s="103">
        <f t="shared" si="133"/>
        <v>5</v>
      </c>
      <c r="F167" s="103">
        <f t="shared" si="133"/>
        <v>7</v>
      </c>
      <c r="G167" s="104">
        <f t="shared" si="133"/>
        <v>6</v>
      </c>
      <c r="H167" s="102">
        <f t="shared" si="133"/>
        <v>7</v>
      </c>
      <c r="I167" s="104">
        <f t="shared" si="133"/>
        <v>7</v>
      </c>
      <c r="J167" s="102">
        <f t="shared" si="133"/>
        <v>1</v>
      </c>
      <c r="K167" s="102">
        <f t="shared" si="133"/>
        <v>3</v>
      </c>
      <c r="L167" s="103">
        <f t="shared" si="133"/>
        <v>4</v>
      </c>
      <c r="M167" s="104">
        <f t="shared" si="133"/>
        <v>2</v>
      </c>
      <c r="N167" s="85"/>
    </row>
    <row r="168" spans="1:14" ht="13.5" hidden="1" outlineLevel="1" thickBot="1" x14ac:dyDescent="0.25">
      <c r="A168" s="136">
        <f t="shared" si="116"/>
        <v>20</v>
      </c>
      <c r="B168" s="137" t="str">
        <f t="shared" si="116"/>
        <v>SRRG</v>
      </c>
      <c r="C168" s="138"/>
      <c r="D168" s="139">
        <f t="shared" ref="D168:M168" si="134">RANK(D214,$D214:$M214)</f>
        <v>7</v>
      </c>
      <c r="E168" s="140">
        <f t="shared" si="134"/>
        <v>3</v>
      </c>
      <c r="F168" s="140">
        <f t="shared" si="134"/>
        <v>7</v>
      </c>
      <c r="G168" s="141">
        <f t="shared" si="134"/>
        <v>4</v>
      </c>
      <c r="H168" s="139">
        <f t="shared" si="134"/>
        <v>7</v>
      </c>
      <c r="I168" s="141">
        <f t="shared" si="134"/>
        <v>7</v>
      </c>
      <c r="J168" s="139">
        <f t="shared" si="134"/>
        <v>1</v>
      </c>
      <c r="K168" s="139">
        <f t="shared" si="134"/>
        <v>2</v>
      </c>
      <c r="L168" s="140">
        <f t="shared" si="134"/>
        <v>5</v>
      </c>
      <c r="M168" s="141">
        <f t="shared" si="134"/>
        <v>6</v>
      </c>
      <c r="N168" s="85"/>
    </row>
    <row r="169" spans="1:14" ht="13.5" thickBot="1" x14ac:dyDescent="0.25">
      <c r="C169" s="90"/>
      <c r="D169" s="91"/>
      <c r="E169" s="91"/>
      <c r="F169" s="91"/>
      <c r="G169" s="91"/>
      <c r="H169" s="91"/>
      <c r="I169" s="91"/>
      <c r="J169" s="91"/>
      <c r="K169" s="91"/>
      <c r="L169" s="91"/>
      <c r="M169" s="91"/>
      <c r="N169" s="85"/>
    </row>
    <row r="170" spans="1:14" x14ac:dyDescent="0.2">
      <c r="D170" s="113">
        <v>1</v>
      </c>
      <c r="E170" s="114">
        <v>2</v>
      </c>
      <c r="F170" s="114">
        <v>3</v>
      </c>
      <c r="G170" s="114">
        <v>4</v>
      </c>
      <c r="H170" s="114">
        <v>5</v>
      </c>
      <c r="I170" s="114">
        <v>6</v>
      </c>
      <c r="J170" s="114">
        <v>7</v>
      </c>
      <c r="K170" s="114">
        <v>8</v>
      </c>
      <c r="L170" s="114">
        <v>9</v>
      </c>
      <c r="M170" s="115" t="s">
        <v>11</v>
      </c>
    </row>
    <row r="171" spans="1:14" ht="13.5" thickBot="1" x14ac:dyDescent="0.25">
      <c r="D171" s="178">
        <v>0.3</v>
      </c>
      <c r="E171" s="179">
        <v>0.25</v>
      </c>
      <c r="F171" s="180">
        <v>0.2</v>
      </c>
      <c r="G171" s="181">
        <v>0.1</v>
      </c>
      <c r="H171" s="144">
        <v>0.1</v>
      </c>
      <c r="I171" s="182">
        <v>0.05</v>
      </c>
      <c r="J171" s="183">
        <v>0</v>
      </c>
      <c r="K171" s="185">
        <v>0</v>
      </c>
      <c r="L171" s="184">
        <v>0</v>
      </c>
      <c r="M171" s="112">
        <f>SUM(D171:L171)</f>
        <v>1</v>
      </c>
    </row>
    <row r="172" spans="1:14" x14ac:dyDescent="0.2">
      <c r="C172" s="90"/>
      <c r="D172" s="91"/>
      <c r="E172" s="91"/>
      <c r="F172" s="91"/>
      <c r="G172" s="91"/>
      <c r="H172" s="91"/>
      <c r="I172" s="91"/>
      <c r="J172" s="91"/>
      <c r="K172" s="91"/>
      <c r="L172" s="91"/>
      <c r="M172" s="91"/>
      <c r="N172" s="85"/>
    </row>
    <row r="173" spans="1:14" ht="13.5" thickBot="1" x14ac:dyDescent="0.25">
      <c r="A173" s="57" t="s">
        <v>75</v>
      </c>
    </row>
    <row r="174" spans="1:14" ht="12.75" customHeight="1" outlineLevel="1" x14ac:dyDescent="0.2">
      <c r="A174" s="234" t="s">
        <v>24</v>
      </c>
      <c r="B174" s="236" t="s">
        <v>23</v>
      </c>
      <c r="C174" s="238" t="s">
        <v>36</v>
      </c>
      <c r="D174" s="247" t="s">
        <v>35</v>
      </c>
      <c r="E174" s="248"/>
      <c r="F174" s="248"/>
      <c r="G174" s="249"/>
      <c r="H174" s="250" t="s">
        <v>18</v>
      </c>
      <c r="I174" s="225" t="s">
        <v>17</v>
      </c>
      <c r="J174" s="227" t="s">
        <v>16</v>
      </c>
      <c r="K174" s="229" t="s">
        <v>34</v>
      </c>
      <c r="L174" s="230"/>
      <c r="M174" s="231"/>
      <c r="N174" s="277"/>
    </row>
    <row r="175" spans="1:14" ht="51.75" outlineLevel="1" thickBot="1" x14ac:dyDescent="0.25">
      <c r="A175" s="273"/>
      <c r="B175" s="270"/>
      <c r="C175" s="274"/>
      <c r="D175" s="152"/>
      <c r="E175" s="123" t="s">
        <v>33</v>
      </c>
      <c r="F175" s="123" t="s">
        <v>32</v>
      </c>
      <c r="G175" s="209" t="s">
        <v>31</v>
      </c>
      <c r="H175" s="264"/>
      <c r="I175" s="265"/>
      <c r="J175" s="266"/>
      <c r="K175" s="125" t="s">
        <v>14</v>
      </c>
      <c r="L175" s="126" t="s">
        <v>13</v>
      </c>
      <c r="M175" s="135" t="s">
        <v>12</v>
      </c>
      <c r="N175" s="277"/>
    </row>
    <row r="176" spans="1:14" outlineLevel="1" x14ac:dyDescent="0.2">
      <c r="A176" s="244" t="s">
        <v>78</v>
      </c>
      <c r="B176" s="245"/>
      <c r="C176" s="246"/>
      <c r="D176" s="129">
        <v>0</v>
      </c>
      <c r="E176" s="130">
        <v>7</v>
      </c>
      <c r="F176" s="130">
        <v>0</v>
      </c>
      <c r="G176" s="131">
        <v>1</v>
      </c>
      <c r="H176" s="132">
        <v>0</v>
      </c>
      <c r="I176" s="133">
        <v>0</v>
      </c>
      <c r="J176" s="134">
        <v>8</v>
      </c>
      <c r="K176" s="129">
        <v>1.7</v>
      </c>
      <c r="L176" s="130">
        <v>2.5</v>
      </c>
      <c r="M176" s="131">
        <v>4.4000000000000004</v>
      </c>
    </row>
    <row r="177" spans="1:14" outlineLevel="1" x14ac:dyDescent="0.2">
      <c r="A177" s="20">
        <f t="shared" ref="A177:B196" si="135">A5</f>
        <v>3656</v>
      </c>
      <c r="B177" s="19" t="str">
        <f t="shared" si="135"/>
        <v>UTA</v>
      </c>
      <c r="C177" s="55">
        <f t="shared" ref="C177:C214" si="136">SUM(D177:M177)</f>
        <v>82607.596666666723</v>
      </c>
      <c r="D177" s="15">
        <f t="shared" ref="D177:M177" si="137">D219*D$176</f>
        <v>0</v>
      </c>
      <c r="E177" s="14">
        <f t="shared" si="137"/>
        <v>18206.976666666669</v>
      </c>
      <c r="F177" s="14">
        <f t="shared" si="137"/>
        <v>0</v>
      </c>
      <c r="G177" s="13">
        <f t="shared" si="137"/>
        <v>10418.553333333379</v>
      </c>
      <c r="H177" s="36">
        <f t="shared" si="137"/>
        <v>0</v>
      </c>
      <c r="I177" s="35">
        <f t="shared" si="137"/>
        <v>0</v>
      </c>
      <c r="J177" s="34">
        <f t="shared" si="137"/>
        <v>24928</v>
      </c>
      <c r="K177" s="36">
        <f t="shared" si="137"/>
        <v>11621.766666666666</v>
      </c>
      <c r="L177" s="56">
        <f t="shared" si="137"/>
        <v>9584.1666666666661</v>
      </c>
      <c r="M177" s="35">
        <f t="shared" si="137"/>
        <v>7848.1333333333341</v>
      </c>
      <c r="N177" s="153"/>
    </row>
    <row r="178" spans="1:14" outlineLevel="1" x14ac:dyDescent="0.2">
      <c r="A178" s="20">
        <f t="shared" si="135"/>
        <v>3658</v>
      </c>
      <c r="B178" s="19" t="str">
        <f t="shared" si="135"/>
        <v>UT</v>
      </c>
      <c r="C178" s="55">
        <f t="shared" si="136"/>
        <v>168885.38900000055</v>
      </c>
      <c r="D178" s="15">
        <f t="shared" ref="D178:M178" si="138">D220*D$176</f>
        <v>0</v>
      </c>
      <c r="E178" s="14">
        <f t="shared" si="138"/>
        <v>51915.572333333344</v>
      </c>
      <c r="F178" s="14">
        <f t="shared" si="138"/>
        <v>0</v>
      </c>
      <c r="G178" s="13">
        <f t="shared" si="138"/>
        <v>19398.350000000519</v>
      </c>
      <c r="H178" s="15">
        <f t="shared" si="138"/>
        <v>0</v>
      </c>
      <c r="I178" s="13">
        <f t="shared" si="138"/>
        <v>0</v>
      </c>
      <c r="J178" s="16">
        <f t="shared" si="138"/>
        <v>27762.666666666668</v>
      </c>
      <c r="K178" s="15">
        <f t="shared" si="138"/>
        <v>16317.166666666668</v>
      </c>
      <c r="L178" s="14">
        <f t="shared" si="138"/>
        <v>22514.166666666664</v>
      </c>
      <c r="M178" s="13">
        <f t="shared" si="138"/>
        <v>30977.466666666667</v>
      </c>
      <c r="N178" s="85"/>
    </row>
    <row r="179" spans="1:14" outlineLevel="1" x14ac:dyDescent="0.2">
      <c r="A179" s="20">
        <f t="shared" si="135"/>
        <v>9741</v>
      </c>
      <c r="B179" s="19" t="str">
        <f t="shared" si="135"/>
        <v>UTD</v>
      </c>
      <c r="C179" s="55">
        <f t="shared" si="136"/>
        <v>42899.689666666774</v>
      </c>
      <c r="D179" s="15">
        <f t="shared" ref="D179:M179" si="139">D221*D$176</f>
        <v>0</v>
      </c>
      <c r="E179" s="14">
        <f t="shared" si="139"/>
        <v>11775.953</v>
      </c>
      <c r="F179" s="14">
        <f t="shared" si="139"/>
        <v>0</v>
      </c>
      <c r="G179" s="13">
        <f t="shared" si="139"/>
        <v>5101.2033333334393</v>
      </c>
      <c r="H179" s="15">
        <f t="shared" si="139"/>
        <v>0</v>
      </c>
      <c r="I179" s="13">
        <f t="shared" si="139"/>
        <v>0</v>
      </c>
      <c r="J179" s="16">
        <f t="shared" si="139"/>
        <v>10557.333333333334</v>
      </c>
      <c r="K179" s="15">
        <f t="shared" si="139"/>
        <v>5635.5</v>
      </c>
      <c r="L179" s="14">
        <f t="shared" si="139"/>
        <v>5335.8333333333339</v>
      </c>
      <c r="M179" s="13">
        <f t="shared" si="139"/>
        <v>4493.8666666666668</v>
      </c>
      <c r="N179" s="85"/>
    </row>
    <row r="180" spans="1:14" outlineLevel="1" x14ac:dyDescent="0.2">
      <c r="A180" s="20">
        <f t="shared" si="135"/>
        <v>3661</v>
      </c>
      <c r="B180" s="19" t="str">
        <f t="shared" si="135"/>
        <v>UTEP</v>
      </c>
      <c r="C180" s="55">
        <f t="shared" si="136"/>
        <v>58776.286666666812</v>
      </c>
      <c r="D180" s="15">
        <f t="shared" ref="D180:M180" si="140">D222*D$176</f>
        <v>0</v>
      </c>
      <c r="E180" s="14">
        <f t="shared" si="140"/>
        <v>8345.6099999999988</v>
      </c>
      <c r="F180" s="14">
        <f t="shared" si="140"/>
        <v>0</v>
      </c>
      <c r="G180" s="13">
        <f t="shared" si="140"/>
        <v>6298.0766666668133</v>
      </c>
      <c r="H180" s="15">
        <f t="shared" si="140"/>
        <v>0</v>
      </c>
      <c r="I180" s="13">
        <f t="shared" si="140"/>
        <v>0</v>
      </c>
      <c r="J180" s="16">
        <f t="shared" si="140"/>
        <v>19714.666666666668</v>
      </c>
      <c r="K180" s="15">
        <f t="shared" si="140"/>
        <v>7416.5333333333338</v>
      </c>
      <c r="L180" s="14">
        <f t="shared" si="140"/>
        <v>8395</v>
      </c>
      <c r="M180" s="13">
        <f t="shared" si="140"/>
        <v>8606.4000000000015</v>
      </c>
      <c r="N180" s="85"/>
    </row>
    <row r="181" spans="1:14" outlineLevel="1" x14ac:dyDescent="0.2">
      <c r="A181" s="20">
        <f t="shared" si="135"/>
        <v>3599</v>
      </c>
      <c r="B181" s="19" t="str">
        <f t="shared" si="135"/>
        <v>UTPA</v>
      </c>
      <c r="C181" s="55">
        <f t="shared" si="136"/>
        <v>54825.826666666784</v>
      </c>
      <c r="D181" s="15">
        <f t="shared" ref="D181:M181" si="141">D223*D$176</f>
        <v>0</v>
      </c>
      <c r="E181" s="14">
        <f t="shared" si="141"/>
        <v>7783.8600000000006</v>
      </c>
      <c r="F181" s="14">
        <f t="shared" si="141"/>
        <v>0</v>
      </c>
      <c r="G181" s="13">
        <f t="shared" si="141"/>
        <v>5134.1666666667797</v>
      </c>
      <c r="H181" s="15">
        <f t="shared" si="141"/>
        <v>0</v>
      </c>
      <c r="I181" s="13">
        <f t="shared" si="141"/>
        <v>0</v>
      </c>
      <c r="J181" s="16">
        <f t="shared" si="141"/>
        <v>18706.666666666668</v>
      </c>
      <c r="K181" s="15">
        <f t="shared" si="141"/>
        <v>6928.0666666666666</v>
      </c>
      <c r="L181" s="14">
        <f t="shared" si="141"/>
        <v>7740</v>
      </c>
      <c r="M181" s="13">
        <f t="shared" si="141"/>
        <v>8533.0666666666675</v>
      </c>
      <c r="N181" s="85"/>
    </row>
    <row r="182" spans="1:14" outlineLevel="1" x14ac:dyDescent="0.2">
      <c r="A182" s="20">
        <f t="shared" si="135"/>
        <v>30646</v>
      </c>
      <c r="B182" s="19" t="str">
        <f t="shared" si="135"/>
        <v>UTB</v>
      </c>
      <c r="C182" s="55">
        <f t="shared" si="136"/>
        <v>18076.85647159116</v>
      </c>
      <c r="D182" s="15">
        <f t="shared" ref="D182:M182" si="142">D224*D$176</f>
        <v>0</v>
      </c>
      <c r="E182" s="14">
        <f t="shared" si="142"/>
        <v>4397.1964715911399</v>
      </c>
      <c r="F182" s="14">
        <f t="shared" si="142"/>
        <v>0</v>
      </c>
      <c r="G182" s="13">
        <f t="shared" si="142"/>
        <v>2097.7933333333553</v>
      </c>
      <c r="H182" s="15">
        <f t="shared" si="142"/>
        <v>0</v>
      </c>
      <c r="I182" s="13">
        <f t="shared" si="142"/>
        <v>0</v>
      </c>
      <c r="J182" s="16">
        <f t="shared" si="142"/>
        <v>7493.333333333333</v>
      </c>
      <c r="K182" s="15">
        <f t="shared" si="142"/>
        <v>2254.7666666666664</v>
      </c>
      <c r="L182" s="14">
        <f t="shared" si="142"/>
        <v>1390.8333333333335</v>
      </c>
      <c r="M182" s="13">
        <f t="shared" si="142"/>
        <v>442.93333333333339</v>
      </c>
      <c r="N182" s="85"/>
    </row>
    <row r="183" spans="1:14" outlineLevel="1" x14ac:dyDescent="0.2">
      <c r="A183" s="20">
        <f t="shared" si="135"/>
        <v>9930</v>
      </c>
      <c r="B183" s="19" t="str">
        <f t="shared" si="135"/>
        <v>UTPB</v>
      </c>
      <c r="C183" s="55">
        <f t="shared" si="136"/>
        <v>9270.9833333333372</v>
      </c>
      <c r="D183" s="15">
        <f t="shared" ref="D183:M183" si="143">D225*D$176</f>
        <v>0</v>
      </c>
      <c r="E183" s="14">
        <f t="shared" si="143"/>
        <v>1657.6000000000001</v>
      </c>
      <c r="F183" s="14">
        <f t="shared" si="143"/>
        <v>0</v>
      </c>
      <c r="G183" s="13">
        <f t="shared" si="143"/>
        <v>1001.5166666666704</v>
      </c>
      <c r="H183" s="15">
        <f t="shared" si="143"/>
        <v>0</v>
      </c>
      <c r="I183" s="13">
        <f t="shared" si="143"/>
        <v>0</v>
      </c>
      <c r="J183" s="16">
        <f t="shared" si="143"/>
        <v>3192</v>
      </c>
      <c r="K183" s="15">
        <f t="shared" si="143"/>
        <v>1335.6333333333332</v>
      </c>
      <c r="L183" s="14">
        <f t="shared" si="143"/>
        <v>1229.1666666666667</v>
      </c>
      <c r="M183" s="13">
        <f t="shared" si="143"/>
        <v>855.06666666666683</v>
      </c>
      <c r="N183" s="85"/>
    </row>
    <row r="184" spans="1:14" outlineLevel="1" x14ac:dyDescent="0.2">
      <c r="A184" s="20">
        <f t="shared" si="135"/>
        <v>10115</v>
      </c>
      <c r="B184" s="19" t="str">
        <f t="shared" si="135"/>
        <v>UTSA</v>
      </c>
      <c r="C184" s="55">
        <f t="shared" si="136"/>
        <v>79795.462777777677</v>
      </c>
      <c r="D184" s="15">
        <f t="shared" ref="D184:M184" si="144">D226*D$176</f>
        <v>0</v>
      </c>
      <c r="E184" s="14">
        <f t="shared" si="144"/>
        <v>12159.882777777779</v>
      </c>
      <c r="F184" s="14">
        <f t="shared" si="144"/>
        <v>0</v>
      </c>
      <c r="G184" s="13">
        <f t="shared" si="144"/>
        <v>8414.213333333224</v>
      </c>
      <c r="H184" s="15">
        <f t="shared" si="144"/>
        <v>0</v>
      </c>
      <c r="I184" s="13">
        <f t="shared" si="144"/>
        <v>0</v>
      </c>
      <c r="J184" s="16">
        <f t="shared" si="144"/>
        <v>24989.333333333332</v>
      </c>
      <c r="K184" s="15">
        <f t="shared" si="144"/>
        <v>11576.433333333334</v>
      </c>
      <c r="L184" s="14">
        <f t="shared" si="144"/>
        <v>11146.666666666668</v>
      </c>
      <c r="M184" s="13">
        <f t="shared" si="144"/>
        <v>11508.933333333334</v>
      </c>
      <c r="N184" s="85"/>
    </row>
    <row r="185" spans="1:14" outlineLevel="1" x14ac:dyDescent="0.2">
      <c r="A185" s="20">
        <f t="shared" si="135"/>
        <v>11163</v>
      </c>
      <c r="B185" s="19" t="str">
        <f t="shared" si="135"/>
        <v>UTT</v>
      </c>
      <c r="C185" s="55">
        <f t="shared" si="136"/>
        <v>20567.863333333346</v>
      </c>
      <c r="D185" s="15">
        <f t="shared" ref="D185:M185" si="145">D227*D$176</f>
        <v>0</v>
      </c>
      <c r="E185" s="14">
        <f t="shared" si="145"/>
        <v>4295.503333333334</v>
      </c>
      <c r="F185" s="14">
        <f t="shared" si="145"/>
        <v>0</v>
      </c>
      <c r="G185" s="13">
        <f t="shared" si="145"/>
        <v>2362.6600000000103</v>
      </c>
      <c r="H185" s="15">
        <f t="shared" si="145"/>
        <v>0</v>
      </c>
      <c r="I185" s="13">
        <f t="shared" si="145"/>
        <v>0</v>
      </c>
      <c r="J185" s="16">
        <f t="shared" si="145"/>
        <v>7538.666666666667</v>
      </c>
      <c r="K185" s="15">
        <f t="shared" si="145"/>
        <v>2441.7666666666664</v>
      </c>
      <c r="L185" s="14">
        <f t="shared" si="145"/>
        <v>2225</v>
      </c>
      <c r="M185" s="13">
        <f t="shared" si="145"/>
        <v>1704.2666666666667</v>
      </c>
      <c r="N185" s="85"/>
    </row>
    <row r="186" spans="1:14" outlineLevel="1" x14ac:dyDescent="0.2">
      <c r="A186" s="20">
        <f t="shared" si="135"/>
        <v>3632</v>
      </c>
      <c r="B186" s="19" t="str">
        <f t="shared" si="135"/>
        <v>TAMU</v>
      </c>
      <c r="C186" s="55">
        <f t="shared" si="136"/>
        <v>171048.04177777789</v>
      </c>
      <c r="D186" s="15">
        <f t="shared" ref="D186:M186" si="146">D228*D$176</f>
        <v>0</v>
      </c>
      <c r="E186" s="14">
        <f t="shared" si="146"/>
        <v>51430.025111111099</v>
      </c>
      <c r="F186" s="14">
        <f t="shared" si="146"/>
        <v>0</v>
      </c>
      <c r="G186" s="13">
        <f t="shared" si="146"/>
        <v>20104.8166666668</v>
      </c>
      <c r="H186" s="15">
        <f t="shared" si="146"/>
        <v>0</v>
      </c>
      <c r="I186" s="13">
        <f t="shared" si="146"/>
        <v>0</v>
      </c>
      <c r="J186" s="16">
        <f t="shared" si="146"/>
        <v>29792</v>
      </c>
      <c r="K186" s="15">
        <f t="shared" si="146"/>
        <v>17103.133333333331</v>
      </c>
      <c r="L186" s="14">
        <f t="shared" si="146"/>
        <v>22268.333333333336</v>
      </c>
      <c r="M186" s="13">
        <f t="shared" si="146"/>
        <v>30349.733333333337</v>
      </c>
      <c r="N186" s="85"/>
    </row>
    <row r="187" spans="1:14" outlineLevel="1" x14ac:dyDescent="0.2">
      <c r="A187" s="20">
        <f t="shared" si="135"/>
        <v>10298</v>
      </c>
      <c r="B187" s="19" t="str">
        <f t="shared" si="135"/>
        <v>TAMUG</v>
      </c>
      <c r="C187" s="55">
        <f t="shared" si="136"/>
        <v>6061.4737777777755</v>
      </c>
      <c r="D187" s="15">
        <f t="shared" ref="D187:M187" si="147">D229*D$176</f>
        <v>0</v>
      </c>
      <c r="E187" s="14">
        <f t="shared" si="147"/>
        <v>1209.0804444444445</v>
      </c>
      <c r="F187" s="14">
        <f t="shared" si="147"/>
        <v>0</v>
      </c>
      <c r="G187" s="13">
        <f t="shared" si="147"/>
        <v>704.02666666666448</v>
      </c>
      <c r="H187" s="15">
        <f t="shared" si="147"/>
        <v>0</v>
      </c>
      <c r="I187" s="13">
        <f t="shared" si="147"/>
        <v>0</v>
      </c>
      <c r="J187" s="16">
        <f t="shared" si="147"/>
        <v>1264</v>
      </c>
      <c r="K187" s="15">
        <f t="shared" si="147"/>
        <v>1006.9666666666667</v>
      </c>
      <c r="L187" s="14">
        <f t="shared" si="147"/>
        <v>795</v>
      </c>
      <c r="M187" s="13">
        <f t="shared" si="147"/>
        <v>1082.4000000000001</v>
      </c>
      <c r="N187" s="85"/>
    </row>
    <row r="188" spans="1:14" outlineLevel="1" x14ac:dyDescent="0.2">
      <c r="A188" s="20">
        <f t="shared" si="135"/>
        <v>3630</v>
      </c>
      <c r="B188" s="19" t="str">
        <f t="shared" si="135"/>
        <v>Prairie View</v>
      </c>
      <c r="C188" s="55">
        <f t="shared" si="136"/>
        <v>20701.827222222229</v>
      </c>
      <c r="D188" s="15">
        <f t="shared" ref="D188:M188" si="148">D230*D$176</f>
        <v>0</v>
      </c>
      <c r="E188" s="14">
        <f t="shared" si="148"/>
        <v>2436.027222222222</v>
      </c>
      <c r="F188" s="14">
        <f t="shared" si="148"/>
        <v>0</v>
      </c>
      <c r="G188" s="13">
        <f t="shared" si="148"/>
        <v>2072.9000000000092</v>
      </c>
      <c r="H188" s="15">
        <f t="shared" si="148"/>
        <v>0</v>
      </c>
      <c r="I188" s="13">
        <f t="shared" si="148"/>
        <v>0</v>
      </c>
      <c r="J188" s="16">
        <f t="shared" si="148"/>
        <v>6421.333333333333</v>
      </c>
      <c r="K188" s="15">
        <f t="shared" si="148"/>
        <v>2835.6</v>
      </c>
      <c r="L188" s="14">
        <f t="shared" si="148"/>
        <v>2952.5</v>
      </c>
      <c r="M188" s="13">
        <f t="shared" si="148"/>
        <v>3983.4666666666672</v>
      </c>
      <c r="N188" s="85"/>
    </row>
    <row r="189" spans="1:14" outlineLevel="1" x14ac:dyDescent="0.2">
      <c r="A189" s="20">
        <f t="shared" si="135"/>
        <v>3631</v>
      </c>
      <c r="B189" s="19" t="str">
        <f t="shared" si="135"/>
        <v>Tarleton</v>
      </c>
      <c r="C189" s="55">
        <f t="shared" si="136"/>
        <v>28632.995333333361</v>
      </c>
      <c r="D189" s="15">
        <f t="shared" ref="D189:M189" si="149">D231*D$176</f>
        <v>0</v>
      </c>
      <c r="E189" s="14">
        <f t="shared" si="149"/>
        <v>5170.6853333333338</v>
      </c>
      <c r="F189" s="14">
        <f t="shared" si="149"/>
        <v>0</v>
      </c>
      <c r="G189" s="13">
        <f t="shared" si="149"/>
        <v>3122.5433333333599</v>
      </c>
      <c r="H189" s="15">
        <f t="shared" si="149"/>
        <v>0</v>
      </c>
      <c r="I189" s="13">
        <f t="shared" si="149"/>
        <v>0</v>
      </c>
      <c r="J189" s="16">
        <f t="shared" si="149"/>
        <v>9560</v>
      </c>
      <c r="K189" s="15">
        <f t="shared" si="149"/>
        <v>3662.3666666666668</v>
      </c>
      <c r="L189" s="14">
        <f t="shared" si="149"/>
        <v>3321.666666666667</v>
      </c>
      <c r="M189" s="13">
        <f t="shared" si="149"/>
        <v>3795.7333333333336</v>
      </c>
      <c r="N189" s="85"/>
    </row>
    <row r="190" spans="1:14" outlineLevel="1" x14ac:dyDescent="0.2">
      <c r="A190" s="27">
        <f t="shared" si="135"/>
        <v>103631</v>
      </c>
      <c r="B190" s="19" t="str">
        <f t="shared" si="135"/>
        <v>TAMUCT</v>
      </c>
      <c r="C190" s="55">
        <f t="shared" si="136"/>
        <v>6333.4919999999993</v>
      </c>
      <c r="D190" s="15">
        <f t="shared" ref="D190:M190" si="150">D232*D$176</f>
        <v>0</v>
      </c>
      <c r="E190" s="14">
        <f t="shared" si="150"/>
        <v>1540.2753333333333</v>
      </c>
      <c r="F190" s="14">
        <f t="shared" si="150"/>
        <v>0</v>
      </c>
      <c r="G190" s="13">
        <f t="shared" si="150"/>
        <v>853.61666666666588</v>
      </c>
      <c r="H190" s="15">
        <f t="shared" si="150"/>
        <v>0</v>
      </c>
      <c r="I190" s="13">
        <f t="shared" si="150"/>
        <v>0</v>
      </c>
      <c r="J190" s="16">
        <f t="shared" si="150"/>
        <v>2616</v>
      </c>
      <c r="K190" s="15">
        <f t="shared" si="150"/>
        <v>841.5</v>
      </c>
      <c r="L190" s="14">
        <f t="shared" si="150"/>
        <v>332.5</v>
      </c>
      <c r="M190" s="13">
        <f t="shared" si="150"/>
        <v>149.60000000000002</v>
      </c>
      <c r="N190" s="85"/>
    </row>
    <row r="191" spans="1:14" outlineLevel="1" x14ac:dyDescent="0.2">
      <c r="A191" s="20">
        <f t="shared" si="135"/>
        <v>11161</v>
      </c>
      <c r="B191" s="19" t="str">
        <f t="shared" si="135"/>
        <v>TAMUCC</v>
      </c>
      <c r="C191" s="55">
        <f t="shared" si="136"/>
        <v>27407.580000000016</v>
      </c>
      <c r="D191" s="15">
        <f t="shared" ref="D191:M191" si="151">D233*D$176</f>
        <v>0</v>
      </c>
      <c r="E191" s="14">
        <f t="shared" si="151"/>
        <v>4936.913333333333</v>
      </c>
      <c r="F191" s="14">
        <f t="shared" si="151"/>
        <v>0</v>
      </c>
      <c r="G191" s="13">
        <f t="shared" si="151"/>
        <v>2804.2000000000139</v>
      </c>
      <c r="H191" s="15">
        <f t="shared" si="151"/>
        <v>0</v>
      </c>
      <c r="I191" s="13">
        <f t="shared" si="151"/>
        <v>0</v>
      </c>
      <c r="J191" s="16">
        <f t="shared" si="151"/>
        <v>8640</v>
      </c>
      <c r="K191" s="15">
        <f t="shared" si="151"/>
        <v>3491.7999999999997</v>
      </c>
      <c r="L191" s="14">
        <f t="shared" si="151"/>
        <v>3670</v>
      </c>
      <c r="M191" s="13">
        <f t="shared" si="151"/>
        <v>3864.666666666667</v>
      </c>
      <c r="N191" s="85"/>
    </row>
    <row r="192" spans="1:14" outlineLevel="1" x14ac:dyDescent="0.2">
      <c r="A192" s="20">
        <f t="shared" si="135"/>
        <v>3639</v>
      </c>
      <c r="B192" s="19" t="str">
        <f t="shared" si="135"/>
        <v>TAMUK</v>
      </c>
      <c r="C192" s="55">
        <f t="shared" si="136"/>
        <v>15788.993888888896</v>
      </c>
      <c r="D192" s="15">
        <f t="shared" ref="D192:M192" si="152">D234*D$176</f>
        <v>0</v>
      </c>
      <c r="E192" s="14">
        <f t="shared" si="152"/>
        <v>2145.1072222222224</v>
      </c>
      <c r="F192" s="14">
        <f t="shared" si="152"/>
        <v>0</v>
      </c>
      <c r="G192" s="13">
        <f t="shared" si="152"/>
        <v>1763.4533333333395</v>
      </c>
      <c r="H192" s="15">
        <f t="shared" si="152"/>
        <v>0</v>
      </c>
      <c r="I192" s="13">
        <f t="shared" si="152"/>
        <v>0</v>
      </c>
      <c r="J192" s="16">
        <f t="shared" si="152"/>
        <v>5186.666666666667</v>
      </c>
      <c r="K192" s="15">
        <f t="shared" si="152"/>
        <v>2086.4666666666667</v>
      </c>
      <c r="L192" s="14">
        <f t="shared" si="152"/>
        <v>2149.1666666666665</v>
      </c>
      <c r="M192" s="13">
        <f t="shared" si="152"/>
        <v>2458.1333333333332</v>
      </c>
      <c r="N192" s="85"/>
    </row>
    <row r="193" spans="1:14" outlineLevel="1" x14ac:dyDescent="0.2">
      <c r="A193" s="27">
        <f t="shared" si="135"/>
        <v>103639</v>
      </c>
      <c r="B193" s="19" t="str">
        <f t="shared" si="135"/>
        <v>TAMUSA</v>
      </c>
      <c r="C193" s="55">
        <f t="shared" si="136"/>
        <v>8049.2452222222273</v>
      </c>
      <c r="D193" s="15">
        <f t="shared" ref="D193:M193" si="153">D235*D$176</f>
        <v>0</v>
      </c>
      <c r="E193" s="14">
        <f t="shared" si="153"/>
        <v>1655.0652222222222</v>
      </c>
      <c r="F193" s="14">
        <f t="shared" si="153"/>
        <v>0</v>
      </c>
      <c r="G193" s="13">
        <f t="shared" si="153"/>
        <v>1026.0133333333379</v>
      </c>
      <c r="H193" s="15">
        <f t="shared" si="153"/>
        <v>0</v>
      </c>
      <c r="I193" s="13">
        <f t="shared" si="153"/>
        <v>0</v>
      </c>
      <c r="J193" s="16">
        <f t="shared" si="153"/>
        <v>3922.6666666666665</v>
      </c>
      <c r="K193" s="15">
        <f t="shared" si="153"/>
        <v>1240.4333333333332</v>
      </c>
      <c r="L193" s="14">
        <f t="shared" si="153"/>
        <v>193.33333333333331</v>
      </c>
      <c r="M193" s="13">
        <f t="shared" si="153"/>
        <v>11.733333333333334</v>
      </c>
      <c r="N193" s="85"/>
    </row>
    <row r="194" spans="1:14" outlineLevel="1" x14ac:dyDescent="0.2">
      <c r="A194" s="20">
        <f t="shared" si="135"/>
        <v>9651</v>
      </c>
      <c r="B194" s="19" t="str">
        <f t="shared" si="135"/>
        <v>TAMI</v>
      </c>
      <c r="C194" s="55">
        <f t="shared" si="136"/>
        <v>16790.892222222228</v>
      </c>
      <c r="D194" s="15">
        <f t="shared" ref="D194:M194" si="154">D236*D$176</f>
        <v>0</v>
      </c>
      <c r="E194" s="14">
        <f t="shared" si="154"/>
        <v>2616.4288888888887</v>
      </c>
      <c r="F194" s="14">
        <f t="shared" si="154"/>
        <v>0</v>
      </c>
      <c r="G194" s="13">
        <f t="shared" si="154"/>
        <v>1458.4966666666717</v>
      </c>
      <c r="H194" s="15">
        <f t="shared" si="154"/>
        <v>0</v>
      </c>
      <c r="I194" s="13">
        <f t="shared" si="154"/>
        <v>0</v>
      </c>
      <c r="J194" s="16">
        <f t="shared" si="154"/>
        <v>5701.333333333333</v>
      </c>
      <c r="K194" s="15">
        <f t="shared" si="154"/>
        <v>2391.3333333333335</v>
      </c>
      <c r="L194" s="14">
        <f t="shared" si="154"/>
        <v>2539.1666666666665</v>
      </c>
      <c r="M194" s="13">
        <f t="shared" si="154"/>
        <v>2084.1333333333337</v>
      </c>
      <c r="N194" s="85"/>
    </row>
    <row r="195" spans="1:14" outlineLevel="1" x14ac:dyDescent="0.2">
      <c r="A195" s="20">
        <f t="shared" si="135"/>
        <v>3665</v>
      </c>
      <c r="B195" s="19" t="str">
        <f t="shared" si="135"/>
        <v>WTAMU</v>
      </c>
      <c r="C195" s="55">
        <f t="shared" si="136"/>
        <v>22742.613111111132</v>
      </c>
      <c r="D195" s="15">
        <f t="shared" ref="D195:M195" si="155">D237*D$176</f>
        <v>0</v>
      </c>
      <c r="E195" s="14">
        <f t="shared" si="155"/>
        <v>4137.0031111111111</v>
      </c>
      <c r="F195" s="14">
        <f t="shared" si="155"/>
        <v>0</v>
      </c>
      <c r="G195" s="13">
        <f t="shared" si="155"/>
        <v>2503.5766666666836</v>
      </c>
      <c r="H195" s="15">
        <f t="shared" si="155"/>
        <v>0</v>
      </c>
      <c r="I195" s="13">
        <f t="shared" si="155"/>
        <v>0</v>
      </c>
      <c r="J195" s="16">
        <f t="shared" si="155"/>
        <v>7114.666666666667</v>
      </c>
      <c r="K195" s="15">
        <f t="shared" si="155"/>
        <v>3045.8333333333335</v>
      </c>
      <c r="L195" s="14">
        <f t="shared" si="155"/>
        <v>3031.666666666667</v>
      </c>
      <c r="M195" s="13">
        <f t="shared" si="155"/>
        <v>2909.8666666666672</v>
      </c>
      <c r="N195" s="85"/>
    </row>
    <row r="196" spans="1:14" outlineLevel="1" x14ac:dyDescent="0.2">
      <c r="A196" s="20">
        <f t="shared" si="135"/>
        <v>3565</v>
      </c>
      <c r="B196" s="19" t="str">
        <f t="shared" si="135"/>
        <v>TAMUC</v>
      </c>
      <c r="C196" s="55">
        <f t="shared" si="136"/>
        <v>22787.140000000021</v>
      </c>
      <c r="D196" s="15">
        <f t="shared" ref="D196:M196" si="156">D238*D$176</f>
        <v>0</v>
      </c>
      <c r="E196" s="14">
        <f t="shared" si="156"/>
        <v>4078.9466666666663</v>
      </c>
      <c r="F196" s="14">
        <f t="shared" si="156"/>
        <v>0</v>
      </c>
      <c r="G196" s="13">
        <f t="shared" si="156"/>
        <v>2501.8266666666914</v>
      </c>
      <c r="H196" s="15">
        <f t="shared" si="156"/>
        <v>0</v>
      </c>
      <c r="I196" s="13">
        <f t="shared" si="156"/>
        <v>0</v>
      </c>
      <c r="J196" s="16">
        <f t="shared" si="156"/>
        <v>8154.666666666667</v>
      </c>
      <c r="K196" s="15">
        <f t="shared" si="156"/>
        <v>3218.1</v>
      </c>
      <c r="L196" s="14">
        <f t="shared" si="156"/>
        <v>2843.333333333333</v>
      </c>
      <c r="M196" s="13">
        <f t="shared" si="156"/>
        <v>1990.2666666666667</v>
      </c>
      <c r="N196" s="85"/>
    </row>
    <row r="197" spans="1:14" outlineLevel="1" x14ac:dyDescent="0.2">
      <c r="A197" s="20">
        <f t="shared" ref="A197:B214" si="157">A25</f>
        <v>29269</v>
      </c>
      <c r="B197" s="19" t="str">
        <f t="shared" si="157"/>
        <v>TAMUT</v>
      </c>
      <c r="C197" s="55">
        <f t="shared" si="136"/>
        <v>5034.3985044945275</v>
      </c>
      <c r="D197" s="15">
        <f t="shared" ref="D197:M197" si="158">D239*D$176</f>
        <v>0</v>
      </c>
      <c r="E197" s="14">
        <f t="shared" si="158"/>
        <v>1311.5218378278626</v>
      </c>
      <c r="F197" s="14">
        <f t="shared" si="158"/>
        <v>0</v>
      </c>
      <c r="G197" s="13">
        <f t="shared" si="158"/>
        <v>619.90999999999826</v>
      </c>
      <c r="H197" s="15">
        <f t="shared" si="158"/>
        <v>0</v>
      </c>
      <c r="I197" s="13">
        <f t="shared" si="158"/>
        <v>0</v>
      </c>
      <c r="J197" s="16">
        <f t="shared" si="158"/>
        <v>1912</v>
      </c>
      <c r="K197" s="15">
        <f t="shared" si="158"/>
        <v>735.5333333333333</v>
      </c>
      <c r="L197" s="14">
        <f t="shared" si="158"/>
        <v>452.5</v>
      </c>
      <c r="M197" s="13">
        <f t="shared" si="158"/>
        <v>2.9333333333333336</v>
      </c>
      <c r="N197" s="85"/>
    </row>
    <row r="198" spans="1:14" outlineLevel="1" x14ac:dyDescent="0.2">
      <c r="A198" s="20">
        <f t="shared" si="157"/>
        <v>3652</v>
      </c>
      <c r="B198" s="19" t="str">
        <f t="shared" si="157"/>
        <v>UH</v>
      </c>
      <c r="C198" s="55">
        <f t="shared" si="136"/>
        <v>98408.407555554819</v>
      </c>
      <c r="D198" s="15">
        <f t="shared" ref="D198:M198" si="159">D240*D$176</f>
        <v>0</v>
      </c>
      <c r="E198" s="14">
        <f t="shared" si="159"/>
        <v>19142.094222222222</v>
      </c>
      <c r="F198" s="14">
        <f t="shared" si="159"/>
        <v>0</v>
      </c>
      <c r="G198" s="13">
        <f t="shared" si="159"/>
        <v>10580.246666665944</v>
      </c>
      <c r="H198" s="15">
        <f t="shared" si="159"/>
        <v>0</v>
      </c>
      <c r="I198" s="13">
        <f t="shared" si="159"/>
        <v>0</v>
      </c>
      <c r="J198" s="16">
        <f t="shared" si="159"/>
        <v>26984</v>
      </c>
      <c r="K198" s="15">
        <f t="shared" si="159"/>
        <v>12923.966666666665</v>
      </c>
      <c r="L198" s="14">
        <f t="shared" si="159"/>
        <v>14225.833333333332</v>
      </c>
      <c r="M198" s="13">
        <f t="shared" si="159"/>
        <v>14552.266666666668</v>
      </c>
      <c r="N198" s="85"/>
    </row>
    <row r="199" spans="1:14" outlineLevel="1" x14ac:dyDescent="0.2">
      <c r="A199" s="20">
        <f t="shared" si="157"/>
        <v>11711</v>
      </c>
      <c r="B199" s="19" t="str">
        <f t="shared" si="157"/>
        <v>UHCL</v>
      </c>
      <c r="C199" s="55">
        <f t="shared" si="136"/>
        <v>17813.252088846271</v>
      </c>
      <c r="D199" s="15">
        <f t="shared" ref="D199:M199" si="160">D241*D$176</f>
        <v>0</v>
      </c>
      <c r="E199" s="14">
        <f t="shared" si="160"/>
        <v>4335.3987555129188</v>
      </c>
      <c r="F199" s="14">
        <f t="shared" si="160"/>
        <v>0</v>
      </c>
      <c r="G199" s="13">
        <f t="shared" si="160"/>
        <v>2282.9533333333529</v>
      </c>
      <c r="H199" s="15">
        <f t="shared" si="160"/>
        <v>0</v>
      </c>
      <c r="I199" s="13">
        <f t="shared" si="160"/>
        <v>0</v>
      </c>
      <c r="J199" s="16">
        <f t="shared" si="160"/>
        <v>6194.666666666667</v>
      </c>
      <c r="K199" s="15">
        <f t="shared" si="160"/>
        <v>2365.2666666666664</v>
      </c>
      <c r="L199" s="14">
        <f t="shared" si="160"/>
        <v>2384.1666666666665</v>
      </c>
      <c r="M199" s="13">
        <f t="shared" si="160"/>
        <v>250.8</v>
      </c>
      <c r="N199" s="85"/>
    </row>
    <row r="200" spans="1:14" outlineLevel="1" x14ac:dyDescent="0.2">
      <c r="A200" s="20">
        <f t="shared" si="157"/>
        <v>12826</v>
      </c>
      <c r="B200" s="19" t="str">
        <f t="shared" si="157"/>
        <v>UHD</v>
      </c>
      <c r="C200" s="55">
        <f t="shared" si="136"/>
        <v>33498.253333333385</v>
      </c>
      <c r="D200" s="15">
        <f t="shared" ref="D200:M200" si="161">D242*D$176</f>
        <v>0</v>
      </c>
      <c r="E200" s="14">
        <f t="shared" si="161"/>
        <v>3168.503333333334</v>
      </c>
      <c r="F200" s="14">
        <f t="shared" si="161"/>
        <v>0</v>
      </c>
      <c r="G200" s="13">
        <f t="shared" si="161"/>
        <v>4271.3166666667212</v>
      </c>
      <c r="H200" s="15">
        <f t="shared" si="161"/>
        <v>0</v>
      </c>
      <c r="I200" s="13">
        <f t="shared" si="161"/>
        <v>0</v>
      </c>
      <c r="J200" s="16">
        <f t="shared" si="161"/>
        <v>13448</v>
      </c>
      <c r="K200" s="15">
        <f t="shared" si="161"/>
        <v>5279.0666666666666</v>
      </c>
      <c r="L200" s="14">
        <f t="shared" si="161"/>
        <v>4670.833333333333</v>
      </c>
      <c r="M200" s="13">
        <f t="shared" si="161"/>
        <v>2660.5333333333333</v>
      </c>
      <c r="N200" s="85"/>
    </row>
    <row r="201" spans="1:14" outlineLevel="1" x14ac:dyDescent="0.2">
      <c r="A201" s="20">
        <f t="shared" si="157"/>
        <v>13231</v>
      </c>
      <c r="B201" s="19" t="str">
        <f t="shared" si="157"/>
        <v>UHV</v>
      </c>
      <c r="C201" s="55">
        <f t="shared" si="136"/>
        <v>8245.214906538693</v>
      </c>
      <c r="D201" s="15">
        <f t="shared" ref="D201:M201" si="162">D243*D$176</f>
        <v>0</v>
      </c>
      <c r="E201" s="14">
        <f t="shared" si="162"/>
        <v>2101.3682398720248</v>
      </c>
      <c r="F201" s="14">
        <f t="shared" si="162"/>
        <v>0</v>
      </c>
      <c r="G201" s="13">
        <f t="shared" si="162"/>
        <v>1084.4800000000012</v>
      </c>
      <c r="H201" s="15">
        <f t="shared" si="162"/>
        <v>0</v>
      </c>
      <c r="I201" s="13">
        <f t="shared" si="162"/>
        <v>0</v>
      </c>
      <c r="J201" s="16">
        <f t="shared" si="162"/>
        <v>3072</v>
      </c>
      <c r="K201" s="15">
        <f t="shared" si="162"/>
        <v>1217.2</v>
      </c>
      <c r="L201" s="14">
        <f t="shared" si="162"/>
        <v>740.83333333333326</v>
      </c>
      <c r="M201" s="13">
        <f t="shared" si="162"/>
        <v>29.333333333333336</v>
      </c>
      <c r="N201" s="85"/>
    </row>
    <row r="202" spans="1:14" outlineLevel="1" x14ac:dyDescent="0.2">
      <c r="A202" s="20">
        <f t="shared" si="157"/>
        <v>3592</v>
      </c>
      <c r="B202" s="19" t="str">
        <f t="shared" si="157"/>
        <v>Midwestern</v>
      </c>
      <c r="C202" s="55">
        <f t="shared" si="136"/>
        <v>18707.518888888895</v>
      </c>
      <c r="D202" s="15">
        <f t="shared" ref="D202:M202" si="163">D244*D$176</f>
        <v>0</v>
      </c>
      <c r="E202" s="14">
        <f t="shared" si="163"/>
        <v>3172.7188888888886</v>
      </c>
      <c r="F202" s="14">
        <f t="shared" si="163"/>
        <v>0</v>
      </c>
      <c r="G202" s="13">
        <f t="shared" si="163"/>
        <v>1962.0000000000034</v>
      </c>
      <c r="H202" s="15">
        <f t="shared" si="163"/>
        <v>0</v>
      </c>
      <c r="I202" s="13">
        <f t="shared" si="163"/>
        <v>0</v>
      </c>
      <c r="J202" s="16">
        <f t="shared" si="163"/>
        <v>5522.666666666667</v>
      </c>
      <c r="K202" s="15">
        <f t="shared" si="163"/>
        <v>2444.6</v>
      </c>
      <c r="L202" s="14">
        <f t="shared" si="163"/>
        <v>2615</v>
      </c>
      <c r="M202" s="13">
        <f t="shared" si="163"/>
        <v>2990.5333333333333</v>
      </c>
      <c r="N202" s="85"/>
    </row>
    <row r="203" spans="1:14" outlineLevel="1" x14ac:dyDescent="0.2">
      <c r="A203" s="20">
        <f t="shared" si="157"/>
        <v>3594</v>
      </c>
      <c r="B203" s="19" t="str">
        <f t="shared" si="157"/>
        <v>UNT</v>
      </c>
      <c r="C203" s="55">
        <f t="shared" si="136"/>
        <v>108403.35888888808</v>
      </c>
      <c r="D203" s="15">
        <f t="shared" ref="D203:M203" si="164">D245*D$176</f>
        <v>0</v>
      </c>
      <c r="E203" s="14">
        <f t="shared" si="164"/>
        <v>24273.238888888889</v>
      </c>
      <c r="F203" s="14">
        <f t="shared" si="164"/>
        <v>0</v>
      </c>
      <c r="G203" s="13">
        <f t="shared" si="164"/>
        <v>11411.553333332529</v>
      </c>
      <c r="H203" s="15">
        <f t="shared" si="164"/>
        <v>0</v>
      </c>
      <c r="I203" s="13">
        <f t="shared" si="164"/>
        <v>0</v>
      </c>
      <c r="J203" s="16">
        <f t="shared" si="164"/>
        <v>30560</v>
      </c>
      <c r="K203" s="15">
        <f t="shared" si="164"/>
        <v>13369.933333333334</v>
      </c>
      <c r="L203" s="14">
        <f t="shared" si="164"/>
        <v>14105.833333333332</v>
      </c>
      <c r="M203" s="13">
        <f t="shared" si="164"/>
        <v>14682.800000000001</v>
      </c>
      <c r="N203" s="85"/>
    </row>
    <row r="204" spans="1:14" outlineLevel="1" x14ac:dyDescent="0.2">
      <c r="A204" s="27">
        <f t="shared" si="157"/>
        <v>113594</v>
      </c>
      <c r="B204" s="19" t="str">
        <f t="shared" si="157"/>
        <v>UNTD</v>
      </c>
      <c r="C204" s="55">
        <f t="shared" si="136"/>
        <v>5844.7587499999972</v>
      </c>
      <c r="D204" s="15">
        <f t="shared" ref="D204:M204" si="165">D246*D$176</f>
        <v>0</v>
      </c>
      <c r="E204" s="14">
        <f t="shared" si="165"/>
        <v>1631.1487500000001</v>
      </c>
      <c r="F204" s="14">
        <f t="shared" si="165"/>
        <v>0</v>
      </c>
      <c r="G204" s="13">
        <f t="shared" si="165"/>
        <v>705.85999999999717</v>
      </c>
      <c r="H204" s="15">
        <f t="shared" si="165"/>
        <v>0</v>
      </c>
      <c r="I204" s="13">
        <f t="shared" si="165"/>
        <v>0</v>
      </c>
      <c r="J204" s="16">
        <f t="shared" si="165"/>
        <v>2468</v>
      </c>
      <c r="K204" s="15">
        <f t="shared" si="165"/>
        <v>812.6</v>
      </c>
      <c r="L204" s="14">
        <f t="shared" si="165"/>
        <v>178.75</v>
      </c>
      <c r="M204" s="13">
        <f t="shared" si="165"/>
        <v>48.400000000000006</v>
      </c>
      <c r="N204" s="85"/>
    </row>
    <row r="205" spans="1:14" outlineLevel="1" x14ac:dyDescent="0.2">
      <c r="A205" s="20">
        <f t="shared" si="157"/>
        <v>3624</v>
      </c>
      <c r="B205" s="19" t="str">
        <f t="shared" si="157"/>
        <v>SFA</v>
      </c>
      <c r="C205" s="55">
        <f t="shared" si="136"/>
        <v>38900.259999999995</v>
      </c>
      <c r="D205" s="15">
        <f t="shared" ref="D205:M205" si="166">D247*D$176</f>
        <v>0</v>
      </c>
      <c r="E205" s="14">
        <f t="shared" si="166"/>
        <v>7452.2233333333324</v>
      </c>
      <c r="F205" s="14">
        <f t="shared" si="166"/>
        <v>0</v>
      </c>
      <c r="G205" s="13">
        <f t="shared" si="166"/>
        <v>3721.736666666669</v>
      </c>
      <c r="H205" s="15">
        <f t="shared" si="166"/>
        <v>0</v>
      </c>
      <c r="I205" s="13">
        <f t="shared" si="166"/>
        <v>0</v>
      </c>
      <c r="J205" s="16">
        <f t="shared" si="166"/>
        <v>11682.666666666666</v>
      </c>
      <c r="K205" s="15">
        <f t="shared" si="166"/>
        <v>4707.8666666666668</v>
      </c>
      <c r="L205" s="14">
        <f t="shared" si="166"/>
        <v>5187.5</v>
      </c>
      <c r="M205" s="13">
        <f t="shared" si="166"/>
        <v>6148.2666666666664</v>
      </c>
      <c r="N205" s="85"/>
    </row>
    <row r="206" spans="1:14" outlineLevel="1" x14ac:dyDescent="0.2">
      <c r="A206" s="20">
        <f t="shared" si="157"/>
        <v>3642</v>
      </c>
      <c r="B206" s="19" t="str">
        <f t="shared" si="157"/>
        <v>TSU</v>
      </c>
      <c r="C206" s="55">
        <f t="shared" si="136"/>
        <v>16932.050555555557</v>
      </c>
      <c r="D206" s="15">
        <f t="shared" ref="D206:M206" si="167">D248*D$176</f>
        <v>0</v>
      </c>
      <c r="E206" s="14">
        <f t="shared" si="167"/>
        <v>762.63055555555547</v>
      </c>
      <c r="F206" s="14">
        <f t="shared" si="167"/>
        <v>0</v>
      </c>
      <c r="G206" s="13">
        <f t="shared" si="167"/>
        <v>1488.6533333333352</v>
      </c>
      <c r="H206" s="15">
        <f t="shared" si="167"/>
        <v>0</v>
      </c>
      <c r="I206" s="13">
        <f t="shared" si="167"/>
        <v>0</v>
      </c>
      <c r="J206" s="16">
        <f t="shared" si="167"/>
        <v>5330.666666666667</v>
      </c>
      <c r="K206" s="15">
        <f t="shared" si="167"/>
        <v>2783.4666666666662</v>
      </c>
      <c r="L206" s="14">
        <f t="shared" si="167"/>
        <v>2832.5</v>
      </c>
      <c r="M206" s="13">
        <f t="shared" si="167"/>
        <v>3734.1333333333337</v>
      </c>
      <c r="N206" s="85"/>
    </row>
    <row r="207" spans="1:14" outlineLevel="1" x14ac:dyDescent="0.2">
      <c r="A207" s="20">
        <f t="shared" si="157"/>
        <v>3644</v>
      </c>
      <c r="B207" s="19" t="str">
        <f t="shared" si="157"/>
        <v>TTU</v>
      </c>
      <c r="C207" s="55">
        <f t="shared" si="136"/>
        <v>97883.522666666016</v>
      </c>
      <c r="D207" s="15">
        <f t="shared" ref="D207:M207" si="168">D249*D$176</f>
        <v>0</v>
      </c>
      <c r="E207" s="14">
        <f t="shared" si="168"/>
        <v>23949.575999999997</v>
      </c>
      <c r="F207" s="14">
        <f t="shared" si="168"/>
        <v>0</v>
      </c>
      <c r="G207" s="13">
        <f t="shared" si="168"/>
        <v>10128.113333332682</v>
      </c>
      <c r="H207" s="15">
        <f t="shared" si="168"/>
        <v>0</v>
      </c>
      <c r="I207" s="13">
        <f t="shared" si="168"/>
        <v>0</v>
      </c>
      <c r="J207" s="16">
        <f t="shared" si="168"/>
        <v>22224</v>
      </c>
      <c r="K207" s="15">
        <f t="shared" si="168"/>
        <v>11025.066666666666</v>
      </c>
      <c r="L207" s="14">
        <f t="shared" si="168"/>
        <v>13195.833333333332</v>
      </c>
      <c r="M207" s="13">
        <f t="shared" si="168"/>
        <v>17360.933333333334</v>
      </c>
      <c r="N207" s="85"/>
    </row>
    <row r="208" spans="1:14" outlineLevel="1" x14ac:dyDescent="0.2">
      <c r="A208" s="20">
        <f t="shared" si="157"/>
        <v>3541</v>
      </c>
      <c r="B208" s="19" t="str">
        <f t="shared" si="157"/>
        <v>Angelo</v>
      </c>
      <c r="C208" s="55">
        <f t="shared" si="136"/>
        <v>18886.58355555556</v>
      </c>
      <c r="D208" s="15">
        <f t="shared" ref="D208:M208" si="169">D250*D$176</f>
        <v>0</v>
      </c>
      <c r="E208" s="14">
        <f t="shared" si="169"/>
        <v>2981.6002222222223</v>
      </c>
      <c r="F208" s="14">
        <f t="shared" si="169"/>
        <v>0</v>
      </c>
      <c r="G208" s="13">
        <f t="shared" si="169"/>
        <v>1977.3500000000051</v>
      </c>
      <c r="H208" s="15">
        <f t="shared" si="169"/>
        <v>0</v>
      </c>
      <c r="I208" s="13">
        <f t="shared" si="169"/>
        <v>0</v>
      </c>
      <c r="J208" s="16">
        <f t="shared" si="169"/>
        <v>5784</v>
      </c>
      <c r="K208" s="15">
        <f t="shared" si="169"/>
        <v>2445.7333333333336</v>
      </c>
      <c r="L208" s="14">
        <f t="shared" si="169"/>
        <v>2584.166666666667</v>
      </c>
      <c r="M208" s="13">
        <f t="shared" si="169"/>
        <v>3113.7333333333336</v>
      </c>
      <c r="N208" s="85"/>
    </row>
    <row r="209" spans="1:14" outlineLevel="1" x14ac:dyDescent="0.2">
      <c r="A209" s="20">
        <f t="shared" si="157"/>
        <v>3646</v>
      </c>
      <c r="B209" s="19" t="str">
        <f t="shared" si="157"/>
        <v>TWU</v>
      </c>
      <c r="C209" s="55">
        <f t="shared" si="136"/>
        <v>29914.937333333331</v>
      </c>
      <c r="D209" s="15">
        <f t="shared" ref="D209:M209" si="170">D251*D$176</f>
        <v>0</v>
      </c>
      <c r="E209" s="14">
        <f t="shared" si="170"/>
        <v>6620.1940000000004</v>
      </c>
      <c r="F209" s="14">
        <f t="shared" si="170"/>
        <v>0</v>
      </c>
      <c r="G209" s="13">
        <f t="shared" si="170"/>
        <v>3452.1766666666658</v>
      </c>
      <c r="H209" s="15">
        <f t="shared" si="170"/>
        <v>0</v>
      </c>
      <c r="I209" s="13">
        <f t="shared" si="170"/>
        <v>0</v>
      </c>
      <c r="J209" s="16">
        <f t="shared" si="170"/>
        <v>9976</v>
      </c>
      <c r="K209" s="15">
        <f t="shared" si="170"/>
        <v>3733.2</v>
      </c>
      <c r="L209" s="14">
        <f t="shared" si="170"/>
        <v>3230.833333333333</v>
      </c>
      <c r="M209" s="13">
        <f t="shared" si="170"/>
        <v>2902.5333333333333</v>
      </c>
      <c r="N209" s="85"/>
    </row>
    <row r="210" spans="1:14" outlineLevel="1" x14ac:dyDescent="0.2">
      <c r="A210" s="20">
        <f t="shared" si="157"/>
        <v>3581</v>
      </c>
      <c r="B210" s="19" t="str">
        <f t="shared" si="157"/>
        <v>Lamar</v>
      </c>
      <c r="C210" s="55">
        <f t="shared" si="136"/>
        <v>25365.74911111113</v>
      </c>
      <c r="D210" s="15">
        <f t="shared" ref="D210:M210" si="171">D252*D$176</f>
        <v>0</v>
      </c>
      <c r="E210" s="14">
        <f t="shared" si="171"/>
        <v>3274.6824444444442</v>
      </c>
      <c r="F210" s="14">
        <f t="shared" si="171"/>
        <v>0</v>
      </c>
      <c r="G210" s="13">
        <f t="shared" si="171"/>
        <v>2684.9000000000165</v>
      </c>
      <c r="H210" s="15">
        <f t="shared" si="171"/>
        <v>0</v>
      </c>
      <c r="I210" s="13">
        <f t="shared" si="171"/>
        <v>0</v>
      </c>
      <c r="J210" s="16">
        <f t="shared" si="171"/>
        <v>7589.333333333333</v>
      </c>
      <c r="K210" s="15">
        <f t="shared" si="171"/>
        <v>3645.9333333333329</v>
      </c>
      <c r="L210" s="14">
        <f t="shared" si="171"/>
        <v>3722.5</v>
      </c>
      <c r="M210" s="13">
        <f t="shared" si="171"/>
        <v>4448.4000000000005</v>
      </c>
      <c r="N210" s="85"/>
    </row>
    <row r="211" spans="1:14" outlineLevel="1" x14ac:dyDescent="0.2">
      <c r="A211" s="20">
        <f t="shared" si="157"/>
        <v>3606</v>
      </c>
      <c r="B211" s="19" t="str">
        <f t="shared" si="157"/>
        <v>SHSU</v>
      </c>
      <c r="C211" s="55">
        <f t="shared" si="136"/>
        <v>57977.727777777902</v>
      </c>
      <c r="D211" s="15">
        <f t="shared" ref="D211:M211" si="172">D253*D$176</f>
        <v>0</v>
      </c>
      <c r="E211" s="14">
        <f t="shared" si="172"/>
        <v>12638.951111111111</v>
      </c>
      <c r="F211" s="14">
        <f t="shared" si="172"/>
        <v>0</v>
      </c>
      <c r="G211" s="13">
        <f t="shared" si="172"/>
        <v>5837.0766666667887</v>
      </c>
      <c r="H211" s="15">
        <f t="shared" si="172"/>
        <v>0</v>
      </c>
      <c r="I211" s="13">
        <f t="shared" si="172"/>
        <v>0</v>
      </c>
      <c r="J211" s="16">
        <f t="shared" si="172"/>
        <v>17709.333333333332</v>
      </c>
      <c r="K211" s="15">
        <f t="shared" si="172"/>
        <v>6620.3666666666668</v>
      </c>
      <c r="L211" s="14">
        <f t="shared" si="172"/>
        <v>7413.3333333333339</v>
      </c>
      <c r="M211" s="13">
        <f t="shared" si="172"/>
        <v>7758.666666666667</v>
      </c>
      <c r="N211" s="85"/>
    </row>
    <row r="212" spans="1:14" outlineLevel="1" x14ac:dyDescent="0.2">
      <c r="A212" s="20">
        <f t="shared" si="157"/>
        <v>3615</v>
      </c>
      <c r="B212" s="19" t="str">
        <f t="shared" si="157"/>
        <v>TXST</v>
      </c>
      <c r="C212" s="55">
        <f t="shared" si="136"/>
        <v>104837.90099999936</v>
      </c>
      <c r="D212" s="15">
        <f t="shared" ref="D212:M212" si="173">D254*D$176</f>
        <v>0</v>
      </c>
      <c r="E212" s="14">
        <f t="shared" si="173"/>
        <v>23754.591</v>
      </c>
      <c r="F212" s="14">
        <f t="shared" si="173"/>
        <v>0</v>
      </c>
      <c r="G212" s="13">
        <f t="shared" si="173"/>
        <v>10437.309999999357</v>
      </c>
      <c r="H212" s="15">
        <f t="shared" si="173"/>
        <v>0</v>
      </c>
      <c r="I212" s="13">
        <f t="shared" si="173"/>
        <v>0</v>
      </c>
      <c r="J212" s="16">
        <f t="shared" si="173"/>
        <v>29402.666666666668</v>
      </c>
      <c r="K212" s="15">
        <f t="shared" si="173"/>
        <v>12699.566666666666</v>
      </c>
      <c r="L212" s="14">
        <f t="shared" si="173"/>
        <v>13947.5</v>
      </c>
      <c r="M212" s="13">
        <f t="shared" si="173"/>
        <v>14596.266666666668</v>
      </c>
      <c r="N212" s="85"/>
    </row>
    <row r="213" spans="1:14" outlineLevel="1" x14ac:dyDescent="0.2">
      <c r="A213" s="20">
        <f t="shared" si="157"/>
        <v>3625</v>
      </c>
      <c r="B213" s="19" t="str">
        <f t="shared" si="157"/>
        <v>SRSU</v>
      </c>
      <c r="C213" s="55">
        <f t="shared" si="136"/>
        <v>3670.7553333333331</v>
      </c>
      <c r="D213" s="15">
        <f t="shared" ref="D213:M213" si="174">D255*D$176</f>
        <v>0</v>
      </c>
      <c r="E213" s="14">
        <f t="shared" si="174"/>
        <v>398.92533333333336</v>
      </c>
      <c r="F213" s="14">
        <f t="shared" si="174"/>
        <v>0</v>
      </c>
      <c r="G213" s="13">
        <f t="shared" si="174"/>
        <v>394.32999999999964</v>
      </c>
      <c r="H213" s="15">
        <f t="shared" si="174"/>
        <v>0</v>
      </c>
      <c r="I213" s="13">
        <f t="shared" si="174"/>
        <v>0</v>
      </c>
      <c r="J213" s="16">
        <f t="shared" si="174"/>
        <v>1304</v>
      </c>
      <c r="K213" s="15">
        <f t="shared" si="174"/>
        <v>510</v>
      </c>
      <c r="L213" s="14">
        <f t="shared" si="174"/>
        <v>484.16666666666663</v>
      </c>
      <c r="M213" s="13">
        <f t="shared" si="174"/>
        <v>579.33333333333337</v>
      </c>
      <c r="N213" s="85"/>
    </row>
    <row r="214" spans="1:14" outlineLevel="1" x14ac:dyDescent="0.2">
      <c r="A214" s="20">
        <f t="shared" si="157"/>
        <v>20</v>
      </c>
      <c r="B214" s="19" t="str">
        <f t="shared" si="157"/>
        <v>SRRG</v>
      </c>
      <c r="C214" s="55">
        <f t="shared" si="136"/>
        <v>2432.465169661697</v>
      </c>
      <c r="D214" s="15">
        <f t="shared" ref="D214:M214" si="175">D256*D$176</f>
        <v>0</v>
      </c>
      <c r="E214" s="14">
        <f t="shared" si="175"/>
        <v>359.56183632836428</v>
      </c>
      <c r="F214" s="14">
        <f t="shared" si="175"/>
        <v>0</v>
      </c>
      <c r="G214" s="13">
        <f t="shared" si="175"/>
        <v>279.16999999999979</v>
      </c>
      <c r="H214" s="15">
        <f t="shared" si="175"/>
        <v>0</v>
      </c>
      <c r="I214" s="13">
        <f t="shared" si="175"/>
        <v>0</v>
      </c>
      <c r="J214" s="16">
        <f t="shared" si="175"/>
        <v>1152</v>
      </c>
      <c r="K214" s="15">
        <f t="shared" si="175"/>
        <v>391</v>
      </c>
      <c r="L214" s="14">
        <f t="shared" si="175"/>
        <v>231.66666666666669</v>
      </c>
      <c r="M214" s="13">
        <f t="shared" si="175"/>
        <v>19.066666666666666</v>
      </c>
      <c r="N214" s="85"/>
    </row>
    <row r="215" spans="1:14" ht="13.5" outlineLevel="1" thickBot="1" x14ac:dyDescent="0.25">
      <c r="A215" s="12"/>
      <c r="B215" s="11" t="s">
        <v>11</v>
      </c>
      <c r="C215" s="54">
        <f t="shared" ref="C215:M215" si="176">SUM(C177:C214)</f>
        <v>1574807.3645577973</v>
      </c>
      <c r="D215" s="9">
        <f t="shared" si="176"/>
        <v>0</v>
      </c>
      <c r="E215" s="7">
        <f t="shared" si="176"/>
        <v>343222.64122446562</v>
      </c>
      <c r="F215" s="7">
        <f t="shared" si="176"/>
        <v>0</v>
      </c>
      <c r="G215" s="3">
        <f t="shared" si="176"/>
        <v>172461.13999999844</v>
      </c>
      <c r="H215" s="5">
        <f t="shared" si="176"/>
        <v>0</v>
      </c>
      <c r="I215" s="3">
        <f t="shared" si="176"/>
        <v>0</v>
      </c>
      <c r="J215" s="6">
        <f t="shared" si="176"/>
        <v>435572.00000000006</v>
      </c>
      <c r="K215" s="5">
        <f t="shared" si="176"/>
        <v>194161.53333333333</v>
      </c>
      <c r="L215" s="4">
        <f t="shared" si="176"/>
        <v>205861.25000000003</v>
      </c>
      <c r="M215" s="3">
        <f t="shared" si="176"/>
        <v>223528.8</v>
      </c>
      <c r="N215" s="155"/>
    </row>
    <row r="216" spans="1:14" ht="13.5" thickBot="1" x14ac:dyDescent="0.25">
      <c r="A216" s="42" t="s">
        <v>29</v>
      </c>
      <c r="B216" s="42"/>
      <c r="C216" s="127"/>
      <c r="D216" s="51"/>
      <c r="E216" s="51"/>
      <c r="F216" s="53"/>
      <c r="H216" s="53"/>
      <c r="N216" s="155"/>
    </row>
    <row r="217" spans="1:14" ht="12.75" customHeight="1" outlineLevel="1" x14ac:dyDescent="0.2">
      <c r="A217" s="234" t="s">
        <v>24</v>
      </c>
      <c r="B217" s="236" t="s">
        <v>23</v>
      </c>
      <c r="C217" s="238"/>
      <c r="D217" s="240" t="s">
        <v>28</v>
      </c>
      <c r="E217" s="242" t="s">
        <v>21</v>
      </c>
      <c r="F217" s="236" t="s">
        <v>20</v>
      </c>
      <c r="G217" s="221" t="s">
        <v>19</v>
      </c>
      <c r="H217" s="223" t="s">
        <v>18</v>
      </c>
      <c r="I217" s="225" t="s">
        <v>17</v>
      </c>
      <c r="J217" s="227" t="s">
        <v>16</v>
      </c>
      <c r="K217" s="229" t="s">
        <v>15</v>
      </c>
      <c r="L217" s="230"/>
      <c r="M217" s="231"/>
      <c r="N217" s="155"/>
    </row>
    <row r="218" spans="1:14" s="41" customFormat="1" ht="41.25" customHeight="1" outlineLevel="1" thickBot="1" x14ac:dyDescent="0.25">
      <c r="A218" s="273"/>
      <c r="B218" s="270"/>
      <c r="C218" s="274"/>
      <c r="D218" s="275"/>
      <c r="E218" s="276"/>
      <c r="F218" s="270"/>
      <c r="G218" s="271"/>
      <c r="H218" s="272"/>
      <c r="I218" s="265"/>
      <c r="J218" s="266"/>
      <c r="K218" s="125" t="s">
        <v>14</v>
      </c>
      <c r="L218" s="126" t="s">
        <v>13</v>
      </c>
      <c r="M218" s="135" t="s">
        <v>12</v>
      </c>
      <c r="N218" s="155"/>
    </row>
    <row r="219" spans="1:14" outlineLevel="1" x14ac:dyDescent="0.2">
      <c r="A219" s="20">
        <f t="shared" ref="A219:B238" si="177">A177</f>
        <v>3656</v>
      </c>
      <c r="B219" s="19" t="str">
        <f t="shared" si="177"/>
        <v>UTA</v>
      </c>
      <c r="C219" s="38"/>
      <c r="D219" s="33">
        <f t="shared" ref="D219:D256" si="178">AVERAGE(D261,D303,D345)</f>
        <v>5018</v>
      </c>
      <c r="E219" s="118">
        <f t="shared" ref="E219:E256" si="179">AVERAGE(E261,E303,E345)*D219</f>
        <v>2600.9966666666669</v>
      </c>
      <c r="F219" s="32">
        <f t="shared" ref="F219:F256" si="180">D219/AVERAGE(F261,F303,F345)*100</f>
        <v>29.603788278048281</v>
      </c>
      <c r="G219" s="31">
        <f t="shared" ref="G219:M228" si="181">AVERAGE(G261,G303,G345)</f>
        <v>10418.553333333379</v>
      </c>
      <c r="H219" s="36">
        <f t="shared" si="181"/>
        <v>1531.3333333333333</v>
      </c>
      <c r="I219" s="35">
        <f t="shared" si="181"/>
        <v>35</v>
      </c>
      <c r="J219" s="34">
        <f t="shared" si="181"/>
        <v>3116</v>
      </c>
      <c r="K219" s="33">
        <f t="shared" si="181"/>
        <v>6836.333333333333</v>
      </c>
      <c r="L219" s="32">
        <f t="shared" si="181"/>
        <v>3833.6666666666665</v>
      </c>
      <c r="M219" s="31">
        <f t="shared" si="181"/>
        <v>1783.6666666666667</v>
      </c>
      <c r="N219" s="155"/>
    </row>
    <row r="220" spans="1:14" outlineLevel="1" x14ac:dyDescent="0.2">
      <c r="A220" s="20">
        <f t="shared" si="177"/>
        <v>3658</v>
      </c>
      <c r="B220" s="19" t="str">
        <f t="shared" si="177"/>
        <v>UT</v>
      </c>
      <c r="C220" s="18"/>
      <c r="D220" s="15">
        <f t="shared" si="178"/>
        <v>8946.3333333333339</v>
      </c>
      <c r="E220" s="116">
        <f t="shared" si="179"/>
        <v>7416.5103333333345</v>
      </c>
      <c r="F220" s="14">
        <f t="shared" si="180"/>
        <v>26.497692061124674</v>
      </c>
      <c r="G220" s="13">
        <f t="shared" si="181"/>
        <v>19398.350000000519</v>
      </c>
      <c r="H220" s="15">
        <f t="shared" si="181"/>
        <v>1876.3333333333333</v>
      </c>
      <c r="I220" s="13">
        <f t="shared" si="181"/>
        <v>66</v>
      </c>
      <c r="J220" s="16">
        <f t="shared" si="181"/>
        <v>3470.3333333333335</v>
      </c>
      <c r="K220" s="15">
        <f t="shared" si="181"/>
        <v>9598.3333333333339</v>
      </c>
      <c r="L220" s="14">
        <f t="shared" si="181"/>
        <v>9005.6666666666661</v>
      </c>
      <c r="M220" s="13">
        <f t="shared" si="181"/>
        <v>7040.333333333333</v>
      </c>
      <c r="N220" s="155"/>
    </row>
    <row r="221" spans="1:14" outlineLevel="1" x14ac:dyDescent="0.2">
      <c r="A221" s="20">
        <f t="shared" si="177"/>
        <v>9741</v>
      </c>
      <c r="B221" s="19" t="str">
        <f t="shared" si="177"/>
        <v>UTD</v>
      </c>
      <c r="C221" s="18"/>
      <c r="D221" s="15">
        <f t="shared" si="178"/>
        <v>2393</v>
      </c>
      <c r="E221" s="116">
        <f t="shared" si="179"/>
        <v>1682.279</v>
      </c>
      <c r="F221" s="14">
        <f t="shared" si="180"/>
        <v>26.829760516638267</v>
      </c>
      <c r="G221" s="13">
        <f t="shared" si="181"/>
        <v>5101.2033333334393</v>
      </c>
      <c r="H221" s="15">
        <f t="shared" si="181"/>
        <v>421.66666666666669</v>
      </c>
      <c r="I221" s="13">
        <f t="shared" si="181"/>
        <v>32</v>
      </c>
      <c r="J221" s="16">
        <f t="shared" si="181"/>
        <v>1319.6666666666667</v>
      </c>
      <c r="K221" s="15">
        <f t="shared" si="181"/>
        <v>3315</v>
      </c>
      <c r="L221" s="14">
        <f t="shared" si="181"/>
        <v>2134.3333333333335</v>
      </c>
      <c r="M221" s="13">
        <f t="shared" si="181"/>
        <v>1021.3333333333334</v>
      </c>
      <c r="N221" s="155"/>
    </row>
    <row r="222" spans="1:14" outlineLevel="1" x14ac:dyDescent="0.2">
      <c r="A222" s="20">
        <f t="shared" si="177"/>
        <v>3661</v>
      </c>
      <c r="B222" s="19" t="str">
        <f t="shared" si="177"/>
        <v>UTEP</v>
      </c>
      <c r="C222" s="18"/>
      <c r="D222" s="15">
        <f t="shared" si="178"/>
        <v>3057</v>
      </c>
      <c r="E222" s="116">
        <f t="shared" si="179"/>
        <v>1192.2299999999998</v>
      </c>
      <c r="F222" s="14">
        <f t="shared" si="180"/>
        <v>22.870894536023343</v>
      </c>
      <c r="G222" s="13">
        <f t="shared" si="181"/>
        <v>6298.0766666668133</v>
      </c>
      <c r="H222" s="15">
        <f t="shared" si="181"/>
        <v>655</v>
      </c>
      <c r="I222" s="13">
        <f t="shared" si="181"/>
        <v>90</v>
      </c>
      <c r="J222" s="16">
        <f t="shared" si="181"/>
        <v>2464.3333333333335</v>
      </c>
      <c r="K222" s="15">
        <f t="shared" si="181"/>
        <v>4362.666666666667</v>
      </c>
      <c r="L222" s="14">
        <f t="shared" si="181"/>
        <v>3358</v>
      </c>
      <c r="M222" s="13">
        <f t="shared" si="181"/>
        <v>1956</v>
      </c>
      <c r="N222" s="155"/>
    </row>
    <row r="223" spans="1:14" outlineLevel="1" x14ac:dyDescent="0.2">
      <c r="A223" s="20">
        <f t="shared" si="177"/>
        <v>3599</v>
      </c>
      <c r="B223" s="19" t="str">
        <f t="shared" si="177"/>
        <v>UTPA</v>
      </c>
      <c r="C223" s="18"/>
      <c r="D223" s="15">
        <f t="shared" si="178"/>
        <v>2580</v>
      </c>
      <c r="E223" s="116">
        <f t="shared" si="179"/>
        <v>1111.98</v>
      </c>
      <c r="F223" s="14">
        <f t="shared" si="180"/>
        <v>20.492490499497837</v>
      </c>
      <c r="G223" s="13">
        <f t="shared" si="181"/>
        <v>5134.1666666667797</v>
      </c>
      <c r="H223" s="15">
        <f t="shared" si="181"/>
        <v>520.33333333333337</v>
      </c>
      <c r="I223" s="13">
        <f t="shared" si="181"/>
        <v>28</v>
      </c>
      <c r="J223" s="16">
        <f t="shared" si="181"/>
        <v>2338.3333333333335</v>
      </c>
      <c r="K223" s="15">
        <f t="shared" si="181"/>
        <v>4075.3333333333335</v>
      </c>
      <c r="L223" s="14">
        <f t="shared" si="181"/>
        <v>3096</v>
      </c>
      <c r="M223" s="13">
        <f t="shared" si="181"/>
        <v>1939.3333333333333</v>
      </c>
      <c r="N223" s="155"/>
    </row>
    <row r="224" spans="1:14" outlineLevel="1" x14ac:dyDescent="0.2">
      <c r="A224" s="20">
        <f t="shared" si="177"/>
        <v>30646</v>
      </c>
      <c r="B224" s="19" t="str">
        <f t="shared" si="177"/>
        <v>UTB</v>
      </c>
      <c r="C224" s="18"/>
      <c r="D224" s="15">
        <f t="shared" si="178"/>
        <v>1092</v>
      </c>
      <c r="E224" s="116">
        <f t="shared" si="179"/>
        <v>628.17092451302005</v>
      </c>
      <c r="F224" s="14">
        <f t="shared" si="180"/>
        <v>34.461236368736628</v>
      </c>
      <c r="G224" s="13">
        <f t="shared" si="181"/>
        <v>2097.7933333333553</v>
      </c>
      <c r="H224" s="15">
        <f t="shared" si="181"/>
        <v>124.33333333333333</v>
      </c>
      <c r="I224" s="13">
        <f t="shared" si="181"/>
        <v>18.333333333333332</v>
      </c>
      <c r="J224" s="16">
        <f t="shared" si="181"/>
        <v>936.66666666666663</v>
      </c>
      <c r="K224" s="15">
        <f t="shared" si="181"/>
        <v>1326.3333333333333</v>
      </c>
      <c r="L224" s="14">
        <f t="shared" si="181"/>
        <v>556.33333333333337</v>
      </c>
      <c r="M224" s="13">
        <f t="shared" si="181"/>
        <v>100.66666666666667</v>
      </c>
      <c r="N224" s="155"/>
    </row>
    <row r="225" spans="1:14" outlineLevel="1" x14ac:dyDescent="0.2">
      <c r="A225" s="20">
        <f t="shared" si="177"/>
        <v>9930</v>
      </c>
      <c r="B225" s="19" t="str">
        <f t="shared" si="177"/>
        <v>UTPB</v>
      </c>
      <c r="C225" s="18"/>
      <c r="D225" s="15">
        <f t="shared" si="178"/>
        <v>533.33333333333337</v>
      </c>
      <c r="E225" s="116">
        <f t="shared" si="179"/>
        <v>236.8</v>
      </c>
      <c r="F225" s="14">
        <f t="shared" si="180"/>
        <v>23.125174643246009</v>
      </c>
      <c r="G225" s="13">
        <f t="shared" si="181"/>
        <v>1001.5166666666704</v>
      </c>
      <c r="H225" s="15">
        <f t="shared" si="181"/>
        <v>41.333333333333336</v>
      </c>
      <c r="I225" s="13">
        <f t="shared" si="181"/>
        <v>10</v>
      </c>
      <c r="J225" s="16">
        <f t="shared" si="181"/>
        <v>399</v>
      </c>
      <c r="K225" s="15">
        <f t="shared" si="181"/>
        <v>785.66666666666663</v>
      </c>
      <c r="L225" s="14">
        <f t="shared" si="181"/>
        <v>491.66666666666669</v>
      </c>
      <c r="M225" s="13">
        <f t="shared" si="181"/>
        <v>194.33333333333334</v>
      </c>
      <c r="N225" s="155"/>
    </row>
    <row r="226" spans="1:14" outlineLevel="1" x14ac:dyDescent="0.2">
      <c r="A226" s="20">
        <f t="shared" si="177"/>
        <v>10115</v>
      </c>
      <c r="B226" s="19" t="str">
        <f t="shared" si="177"/>
        <v>UTSA</v>
      </c>
      <c r="C226" s="18"/>
      <c r="D226" s="15">
        <f t="shared" si="178"/>
        <v>4119.666666666667</v>
      </c>
      <c r="E226" s="116">
        <f t="shared" si="179"/>
        <v>1737.1261111111112</v>
      </c>
      <c r="F226" s="14">
        <f t="shared" si="180"/>
        <v>20.241034101368403</v>
      </c>
      <c r="G226" s="13">
        <f t="shared" si="181"/>
        <v>8414.213333333224</v>
      </c>
      <c r="H226" s="15">
        <f t="shared" si="181"/>
        <v>392</v>
      </c>
      <c r="I226" s="13">
        <f t="shared" si="181"/>
        <v>49.666666666666664</v>
      </c>
      <c r="J226" s="16">
        <f t="shared" si="181"/>
        <v>3123.6666666666665</v>
      </c>
      <c r="K226" s="15">
        <f t="shared" si="181"/>
        <v>6809.666666666667</v>
      </c>
      <c r="L226" s="14">
        <f t="shared" si="181"/>
        <v>4458.666666666667</v>
      </c>
      <c r="M226" s="13">
        <f t="shared" si="181"/>
        <v>2615.6666666666665</v>
      </c>
      <c r="N226" s="155"/>
    </row>
    <row r="227" spans="1:14" outlineLevel="1" x14ac:dyDescent="0.2">
      <c r="A227" s="20">
        <f t="shared" si="177"/>
        <v>11163</v>
      </c>
      <c r="B227" s="19" t="str">
        <f t="shared" si="177"/>
        <v>UTT</v>
      </c>
      <c r="C227" s="18"/>
      <c r="D227" s="15">
        <f t="shared" si="178"/>
        <v>1190</v>
      </c>
      <c r="E227" s="116">
        <f t="shared" si="179"/>
        <v>613.64333333333343</v>
      </c>
      <c r="F227" s="14">
        <f t="shared" si="180"/>
        <v>29.255740517151896</v>
      </c>
      <c r="G227" s="13">
        <f t="shared" si="181"/>
        <v>2362.6600000000103</v>
      </c>
      <c r="H227" s="15">
        <f t="shared" si="181"/>
        <v>376.66666666666669</v>
      </c>
      <c r="I227" s="13">
        <f t="shared" si="181"/>
        <v>14</v>
      </c>
      <c r="J227" s="16">
        <f t="shared" si="181"/>
        <v>942.33333333333337</v>
      </c>
      <c r="K227" s="15">
        <f t="shared" si="181"/>
        <v>1436.3333333333333</v>
      </c>
      <c r="L227" s="14">
        <f t="shared" si="181"/>
        <v>890</v>
      </c>
      <c r="M227" s="13">
        <f t="shared" si="181"/>
        <v>387.33333333333331</v>
      </c>
      <c r="N227" s="155"/>
    </row>
    <row r="228" spans="1:14" outlineLevel="1" x14ac:dyDescent="0.2">
      <c r="A228" s="20">
        <f t="shared" si="177"/>
        <v>3632</v>
      </c>
      <c r="B228" s="19" t="str">
        <f t="shared" si="177"/>
        <v>TAMU</v>
      </c>
      <c r="C228" s="18"/>
      <c r="D228" s="15">
        <f t="shared" si="178"/>
        <v>8739.6666666666661</v>
      </c>
      <c r="E228" s="116">
        <f t="shared" si="179"/>
        <v>7347.1464444444427</v>
      </c>
      <c r="F228" s="14">
        <f t="shared" si="180"/>
        <v>25.241886570842681</v>
      </c>
      <c r="G228" s="13">
        <f t="shared" si="181"/>
        <v>20104.8166666668</v>
      </c>
      <c r="H228" s="15">
        <f t="shared" si="181"/>
        <v>1763</v>
      </c>
      <c r="I228" s="13">
        <f t="shared" si="181"/>
        <v>126</v>
      </c>
      <c r="J228" s="16">
        <f t="shared" si="181"/>
        <v>3724</v>
      </c>
      <c r="K228" s="15">
        <f t="shared" si="181"/>
        <v>10060.666666666666</v>
      </c>
      <c r="L228" s="14">
        <f t="shared" si="181"/>
        <v>8907.3333333333339</v>
      </c>
      <c r="M228" s="13">
        <f t="shared" si="181"/>
        <v>6897.666666666667</v>
      </c>
      <c r="N228" s="155"/>
    </row>
    <row r="229" spans="1:14" outlineLevel="1" x14ac:dyDescent="0.2">
      <c r="A229" s="20">
        <f t="shared" si="177"/>
        <v>10298</v>
      </c>
      <c r="B229" s="19" t="str">
        <f t="shared" si="177"/>
        <v>TAMUG</v>
      </c>
      <c r="C229" s="18"/>
      <c r="D229" s="15">
        <f t="shared" si="178"/>
        <v>275.33333333333331</v>
      </c>
      <c r="E229" s="116">
        <f t="shared" si="179"/>
        <v>172.72577777777778</v>
      </c>
      <c r="F229" s="14">
        <f t="shared" si="180"/>
        <v>16.399301143583227</v>
      </c>
      <c r="G229" s="13">
        <f t="shared" ref="G229:M238" si="182">AVERAGE(G271,G313,G355)</f>
        <v>704.02666666666448</v>
      </c>
      <c r="H229" s="15">
        <f t="shared" si="182"/>
        <v>37.333333333333336</v>
      </c>
      <c r="I229" s="13">
        <f t="shared" si="182"/>
        <v>0</v>
      </c>
      <c r="J229" s="16">
        <f t="shared" si="182"/>
        <v>158</v>
      </c>
      <c r="K229" s="15">
        <f t="shared" si="182"/>
        <v>592.33333333333337</v>
      </c>
      <c r="L229" s="14">
        <f t="shared" si="182"/>
        <v>318</v>
      </c>
      <c r="M229" s="13">
        <f t="shared" si="182"/>
        <v>246</v>
      </c>
      <c r="N229" s="155"/>
    </row>
    <row r="230" spans="1:14" outlineLevel="1" x14ac:dyDescent="0.2">
      <c r="A230" s="20">
        <f t="shared" si="177"/>
        <v>3630</v>
      </c>
      <c r="B230" s="19" t="str">
        <f t="shared" si="177"/>
        <v>Prairie View</v>
      </c>
      <c r="C230" s="18"/>
      <c r="D230" s="15">
        <f t="shared" si="178"/>
        <v>936.33333333333337</v>
      </c>
      <c r="E230" s="116">
        <f t="shared" si="179"/>
        <v>348.00388888888887</v>
      </c>
      <c r="F230" s="14">
        <f t="shared" si="180"/>
        <v>15.823688025296873</v>
      </c>
      <c r="G230" s="13">
        <f t="shared" si="182"/>
        <v>2072.9000000000092</v>
      </c>
      <c r="H230" s="15">
        <f t="shared" si="182"/>
        <v>315.66666666666669</v>
      </c>
      <c r="I230" s="13">
        <f t="shared" si="182"/>
        <v>9.6666666666666661</v>
      </c>
      <c r="J230" s="16">
        <f t="shared" si="182"/>
        <v>802.66666666666663</v>
      </c>
      <c r="K230" s="15">
        <f t="shared" si="182"/>
        <v>1668</v>
      </c>
      <c r="L230" s="14">
        <f t="shared" si="182"/>
        <v>1181</v>
      </c>
      <c r="M230" s="13">
        <f t="shared" si="182"/>
        <v>905.33333333333337</v>
      </c>
      <c r="N230" s="155"/>
    </row>
    <row r="231" spans="1:14" outlineLevel="1" x14ac:dyDescent="0.2">
      <c r="A231" s="20">
        <f t="shared" si="177"/>
        <v>3631</v>
      </c>
      <c r="B231" s="19" t="str">
        <f t="shared" si="177"/>
        <v>Tarleton</v>
      </c>
      <c r="C231" s="18"/>
      <c r="D231" s="15">
        <f t="shared" si="178"/>
        <v>1545.3333333333333</v>
      </c>
      <c r="E231" s="116">
        <f t="shared" si="179"/>
        <v>738.66933333333338</v>
      </c>
      <c r="F231" s="14">
        <f t="shared" si="180"/>
        <v>24.559767752325659</v>
      </c>
      <c r="G231" s="13">
        <f t="shared" si="182"/>
        <v>3122.5433333333599</v>
      </c>
      <c r="H231" s="15">
        <f t="shared" si="182"/>
        <v>203</v>
      </c>
      <c r="I231" s="13">
        <f t="shared" si="182"/>
        <v>47.666666666666664</v>
      </c>
      <c r="J231" s="16">
        <f t="shared" si="182"/>
        <v>1195</v>
      </c>
      <c r="K231" s="15">
        <f t="shared" si="182"/>
        <v>2154.3333333333335</v>
      </c>
      <c r="L231" s="14">
        <f t="shared" si="182"/>
        <v>1328.6666666666667</v>
      </c>
      <c r="M231" s="13">
        <f t="shared" si="182"/>
        <v>862.66666666666663</v>
      </c>
      <c r="N231" s="155"/>
    </row>
    <row r="232" spans="1:14" outlineLevel="1" x14ac:dyDescent="0.2">
      <c r="A232" s="27">
        <f t="shared" si="177"/>
        <v>103631</v>
      </c>
      <c r="B232" s="19" t="str">
        <f t="shared" si="177"/>
        <v>TAMUCT</v>
      </c>
      <c r="C232" s="18"/>
      <c r="D232" s="15">
        <f t="shared" si="178"/>
        <v>460.33333333333331</v>
      </c>
      <c r="E232" s="116">
        <f t="shared" si="179"/>
        <v>220.03933333333333</v>
      </c>
      <c r="F232" s="14">
        <f t="shared" si="180"/>
        <v>67.587849522007247</v>
      </c>
      <c r="G232" s="13">
        <f t="shared" si="182"/>
        <v>853.61666666666588</v>
      </c>
      <c r="H232" s="15">
        <f t="shared" si="182"/>
        <v>40.666666666666664</v>
      </c>
      <c r="I232" s="13">
        <f t="shared" si="182"/>
        <v>0</v>
      </c>
      <c r="J232" s="16">
        <f t="shared" si="182"/>
        <v>327</v>
      </c>
      <c r="K232" s="15">
        <f t="shared" si="182"/>
        <v>495</v>
      </c>
      <c r="L232" s="14">
        <f t="shared" si="182"/>
        <v>133</v>
      </c>
      <c r="M232" s="13">
        <f t="shared" si="182"/>
        <v>34</v>
      </c>
      <c r="N232" s="155"/>
    </row>
    <row r="233" spans="1:14" outlineLevel="1" x14ac:dyDescent="0.2">
      <c r="A233" s="20">
        <f t="shared" si="177"/>
        <v>11161</v>
      </c>
      <c r="B233" s="19" t="str">
        <f t="shared" si="177"/>
        <v>TAMUCC</v>
      </c>
      <c r="C233" s="18"/>
      <c r="D233" s="15">
        <f t="shared" si="178"/>
        <v>1388.3333333333333</v>
      </c>
      <c r="E233" s="116">
        <f t="shared" si="179"/>
        <v>705.27333333333331</v>
      </c>
      <c r="F233" s="14">
        <f t="shared" si="180"/>
        <v>21.376514062820775</v>
      </c>
      <c r="G233" s="13">
        <f t="shared" si="182"/>
        <v>2804.2000000000139</v>
      </c>
      <c r="H233" s="15">
        <f t="shared" si="182"/>
        <v>266.33333333333331</v>
      </c>
      <c r="I233" s="13">
        <f t="shared" si="182"/>
        <v>25.666666666666668</v>
      </c>
      <c r="J233" s="16">
        <f t="shared" si="182"/>
        <v>1080</v>
      </c>
      <c r="K233" s="15">
        <f t="shared" si="182"/>
        <v>2054</v>
      </c>
      <c r="L233" s="14">
        <f t="shared" si="182"/>
        <v>1468</v>
      </c>
      <c r="M233" s="13">
        <f t="shared" si="182"/>
        <v>878.33333333333337</v>
      </c>
      <c r="N233" s="155"/>
    </row>
    <row r="234" spans="1:14" outlineLevel="1" x14ac:dyDescent="0.2">
      <c r="A234" s="20">
        <f t="shared" si="177"/>
        <v>3639</v>
      </c>
      <c r="B234" s="19" t="str">
        <f t="shared" si="177"/>
        <v>TAMUK</v>
      </c>
      <c r="C234" s="18"/>
      <c r="D234" s="15">
        <f t="shared" si="178"/>
        <v>761.66666666666663</v>
      </c>
      <c r="E234" s="116">
        <f t="shared" si="179"/>
        <v>306.44388888888892</v>
      </c>
      <c r="F234" s="14">
        <f t="shared" si="180"/>
        <v>17.879499217527385</v>
      </c>
      <c r="G234" s="13">
        <f t="shared" si="182"/>
        <v>1763.4533333333395</v>
      </c>
      <c r="H234" s="15">
        <f t="shared" si="182"/>
        <v>260</v>
      </c>
      <c r="I234" s="13">
        <f t="shared" si="182"/>
        <v>16.666666666666668</v>
      </c>
      <c r="J234" s="16">
        <f t="shared" si="182"/>
        <v>648.33333333333337</v>
      </c>
      <c r="K234" s="15">
        <f t="shared" si="182"/>
        <v>1227.3333333333333</v>
      </c>
      <c r="L234" s="14">
        <f t="shared" si="182"/>
        <v>859.66666666666663</v>
      </c>
      <c r="M234" s="13">
        <f t="shared" si="182"/>
        <v>558.66666666666663</v>
      </c>
      <c r="N234" s="155"/>
    </row>
    <row r="235" spans="1:14" outlineLevel="1" x14ac:dyDescent="0.2">
      <c r="A235" s="27">
        <f t="shared" si="177"/>
        <v>103639</v>
      </c>
      <c r="B235" s="19" t="str">
        <f t="shared" si="177"/>
        <v>TAMUSA</v>
      </c>
      <c r="C235" s="18"/>
      <c r="D235" s="15">
        <f t="shared" si="178"/>
        <v>587.66666666666663</v>
      </c>
      <c r="E235" s="116">
        <f t="shared" si="179"/>
        <v>236.43788888888889</v>
      </c>
      <c r="F235" s="14">
        <f t="shared" si="180"/>
        <v>41.598502485370922</v>
      </c>
      <c r="G235" s="13">
        <f t="shared" si="182"/>
        <v>1026.0133333333379</v>
      </c>
      <c r="H235" s="15">
        <f t="shared" si="182"/>
        <v>5</v>
      </c>
      <c r="I235" s="13">
        <f t="shared" si="182"/>
        <v>2</v>
      </c>
      <c r="J235" s="16">
        <f t="shared" si="182"/>
        <v>490.33333333333331</v>
      </c>
      <c r="K235" s="15">
        <f t="shared" si="182"/>
        <v>729.66666666666663</v>
      </c>
      <c r="L235" s="14">
        <f t="shared" si="182"/>
        <v>77.333333333333329</v>
      </c>
      <c r="M235" s="13">
        <f t="shared" si="182"/>
        <v>2.6666666666666665</v>
      </c>
      <c r="N235" s="155"/>
    </row>
    <row r="236" spans="1:14" outlineLevel="1" x14ac:dyDescent="0.2">
      <c r="A236" s="20">
        <f t="shared" si="177"/>
        <v>9651</v>
      </c>
      <c r="B236" s="19" t="str">
        <f t="shared" si="177"/>
        <v>TAMI</v>
      </c>
      <c r="C236" s="18"/>
      <c r="D236" s="15">
        <f t="shared" si="178"/>
        <v>789.66666666666663</v>
      </c>
      <c r="E236" s="116">
        <f t="shared" si="179"/>
        <v>373.77555555555551</v>
      </c>
      <c r="F236" s="14">
        <f t="shared" si="180"/>
        <v>19.326154348180779</v>
      </c>
      <c r="G236" s="13">
        <f t="shared" si="182"/>
        <v>1458.4966666666717</v>
      </c>
      <c r="H236" s="15">
        <f t="shared" si="182"/>
        <v>115.66666666666667</v>
      </c>
      <c r="I236" s="13">
        <f t="shared" si="182"/>
        <v>22.333333333333332</v>
      </c>
      <c r="J236" s="16">
        <f t="shared" si="182"/>
        <v>712.66666666666663</v>
      </c>
      <c r="K236" s="15">
        <f t="shared" si="182"/>
        <v>1406.6666666666667</v>
      </c>
      <c r="L236" s="14">
        <f t="shared" si="182"/>
        <v>1015.6666666666666</v>
      </c>
      <c r="M236" s="13">
        <f t="shared" si="182"/>
        <v>473.66666666666669</v>
      </c>
      <c r="N236" s="155"/>
    </row>
    <row r="237" spans="1:14" outlineLevel="1" x14ac:dyDescent="0.2">
      <c r="A237" s="20">
        <f t="shared" si="177"/>
        <v>3665</v>
      </c>
      <c r="B237" s="19" t="str">
        <f t="shared" si="177"/>
        <v>WTAMU</v>
      </c>
      <c r="C237" s="18"/>
      <c r="D237" s="15">
        <f t="shared" si="178"/>
        <v>1255.6666666666667</v>
      </c>
      <c r="E237" s="116">
        <f t="shared" si="179"/>
        <v>591.00044444444438</v>
      </c>
      <c r="F237" s="14">
        <f t="shared" si="180"/>
        <v>23.187721854032869</v>
      </c>
      <c r="G237" s="13">
        <f t="shared" si="182"/>
        <v>2503.5766666666836</v>
      </c>
      <c r="H237" s="15">
        <f t="shared" si="182"/>
        <v>191.66666666666666</v>
      </c>
      <c r="I237" s="13">
        <f t="shared" si="182"/>
        <v>60.666666666666664</v>
      </c>
      <c r="J237" s="16">
        <f t="shared" si="182"/>
        <v>889.33333333333337</v>
      </c>
      <c r="K237" s="15">
        <f t="shared" si="182"/>
        <v>1791.6666666666667</v>
      </c>
      <c r="L237" s="14">
        <f t="shared" si="182"/>
        <v>1212.6666666666667</v>
      </c>
      <c r="M237" s="13">
        <f t="shared" si="182"/>
        <v>661.33333333333337</v>
      </c>
      <c r="N237" s="155"/>
    </row>
    <row r="238" spans="1:14" outlineLevel="1" x14ac:dyDescent="0.2">
      <c r="A238" s="20">
        <f t="shared" si="177"/>
        <v>3565</v>
      </c>
      <c r="B238" s="19" t="str">
        <f t="shared" si="177"/>
        <v>TAMUC</v>
      </c>
      <c r="C238" s="18"/>
      <c r="D238" s="15">
        <f t="shared" si="178"/>
        <v>1324.3333333333333</v>
      </c>
      <c r="E238" s="116">
        <f t="shared" si="179"/>
        <v>582.70666666666659</v>
      </c>
      <c r="F238" s="14">
        <f t="shared" si="180"/>
        <v>28.19543536269185</v>
      </c>
      <c r="G238" s="13">
        <f t="shared" si="182"/>
        <v>2501.8266666666914</v>
      </c>
      <c r="H238" s="15">
        <f t="shared" si="182"/>
        <v>73</v>
      </c>
      <c r="I238" s="13">
        <f t="shared" si="182"/>
        <v>74.333333333333329</v>
      </c>
      <c r="J238" s="16">
        <f t="shared" si="182"/>
        <v>1019.3333333333334</v>
      </c>
      <c r="K238" s="15">
        <f t="shared" si="182"/>
        <v>1893</v>
      </c>
      <c r="L238" s="14">
        <f t="shared" si="182"/>
        <v>1137.3333333333333</v>
      </c>
      <c r="M238" s="13">
        <f t="shared" si="182"/>
        <v>452.33333333333331</v>
      </c>
      <c r="N238" s="155"/>
    </row>
    <row r="239" spans="1:14" outlineLevel="1" x14ac:dyDescent="0.2">
      <c r="A239" s="20">
        <f t="shared" ref="A239:B256" si="183">A197</f>
        <v>29269</v>
      </c>
      <c r="B239" s="19" t="str">
        <f t="shared" si="183"/>
        <v>TAMUT</v>
      </c>
      <c r="C239" s="18"/>
      <c r="D239" s="15">
        <f t="shared" si="178"/>
        <v>345.66666666666669</v>
      </c>
      <c r="E239" s="116">
        <f t="shared" si="179"/>
        <v>187.3602625468375</v>
      </c>
      <c r="F239" s="14">
        <f t="shared" si="180"/>
        <v>38.766355140186917</v>
      </c>
      <c r="G239" s="13">
        <f t="shared" ref="G239:M248" si="184">AVERAGE(G281,G323,G365)</f>
        <v>619.90999999999826</v>
      </c>
      <c r="H239" s="15">
        <f t="shared" si="184"/>
        <v>41.666666666666664</v>
      </c>
      <c r="I239" s="13">
        <f t="shared" si="184"/>
        <v>19.333333333333332</v>
      </c>
      <c r="J239" s="16">
        <f t="shared" si="184"/>
        <v>239</v>
      </c>
      <c r="K239" s="15">
        <f t="shared" si="184"/>
        <v>432.66666666666669</v>
      </c>
      <c r="L239" s="14">
        <f t="shared" si="184"/>
        <v>181</v>
      </c>
      <c r="M239" s="13">
        <f t="shared" si="184"/>
        <v>0.66666666666666663</v>
      </c>
      <c r="N239" s="155"/>
    </row>
    <row r="240" spans="1:14" outlineLevel="1" x14ac:dyDescent="0.2">
      <c r="A240" s="20">
        <f t="shared" si="183"/>
        <v>3652</v>
      </c>
      <c r="B240" s="19" t="str">
        <f t="shared" si="183"/>
        <v>UH</v>
      </c>
      <c r="C240" s="18"/>
      <c r="D240" s="15">
        <f t="shared" si="178"/>
        <v>5098.666666666667</v>
      </c>
      <c r="E240" s="116">
        <f t="shared" si="179"/>
        <v>2734.5848888888891</v>
      </c>
      <c r="F240" s="14">
        <f t="shared" si="180"/>
        <v>21.425049678026625</v>
      </c>
      <c r="G240" s="13">
        <f t="shared" si="184"/>
        <v>10580.246666665944</v>
      </c>
      <c r="H240" s="15">
        <f t="shared" si="184"/>
        <v>737</v>
      </c>
      <c r="I240" s="13">
        <f t="shared" si="184"/>
        <v>62.666666666666664</v>
      </c>
      <c r="J240" s="16">
        <f t="shared" si="184"/>
        <v>3373</v>
      </c>
      <c r="K240" s="15">
        <f t="shared" si="184"/>
        <v>7602.333333333333</v>
      </c>
      <c r="L240" s="14">
        <f t="shared" si="184"/>
        <v>5690.333333333333</v>
      </c>
      <c r="M240" s="13">
        <f t="shared" si="184"/>
        <v>3307.3333333333335</v>
      </c>
      <c r="N240" s="155"/>
    </row>
    <row r="241" spans="1:14" outlineLevel="1" x14ac:dyDescent="0.2">
      <c r="A241" s="20">
        <f t="shared" si="183"/>
        <v>11711</v>
      </c>
      <c r="B241" s="19" t="str">
        <f t="shared" si="183"/>
        <v>UHCL</v>
      </c>
      <c r="C241" s="18"/>
      <c r="D241" s="15">
        <f t="shared" si="178"/>
        <v>1190.6666666666667</v>
      </c>
      <c r="E241" s="116">
        <f t="shared" si="179"/>
        <v>619.34267935898833</v>
      </c>
      <c r="F241" s="14">
        <f t="shared" si="180"/>
        <v>39.693593314763234</v>
      </c>
      <c r="G241" s="13">
        <f t="shared" si="184"/>
        <v>2282.9533333333529</v>
      </c>
      <c r="H241" s="15">
        <f t="shared" si="184"/>
        <v>106.66666666666667</v>
      </c>
      <c r="I241" s="13">
        <f t="shared" si="184"/>
        <v>8.3333333333333339</v>
      </c>
      <c r="J241" s="16">
        <f t="shared" si="184"/>
        <v>774.33333333333337</v>
      </c>
      <c r="K241" s="15">
        <f t="shared" si="184"/>
        <v>1391.3333333333333</v>
      </c>
      <c r="L241" s="14">
        <f t="shared" si="184"/>
        <v>953.66666666666663</v>
      </c>
      <c r="M241" s="13">
        <f t="shared" si="184"/>
        <v>57</v>
      </c>
      <c r="N241" s="155"/>
    </row>
    <row r="242" spans="1:14" outlineLevel="1" x14ac:dyDescent="0.2">
      <c r="A242" s="20">
        <f t="shared" si="183"/>
        <v>12826</v>
      </c>
      <c r="B242" s="19" t="str">
        <f t="shared" si="183"/>
        <v>UHD</v>
      </c>
      <c r="C242" s="18"/>
      <c r="D242" s="15">
        <f t="shared" si="178"/>
        <v>2382.3333333333335</v>
      </c>
      <c r="E242" s="116">
        <f t="shared" si="179"/>
        <v>452.64333333333343</v>
      </c>
      <c r="F242" s="14">
        <f t="shared" si="180"/>
        <v>29.833031863086134</v>
      </c>
      <c r="G242" s="13">
        <f t="shared" si="184"/>
        <v>4271.3166666667212</v>
      </c>
      <c r="H242" s="15">
        <f t="shared" si="184"/>
        <v>129.66666666666666</v>
      </c>
      <c r="I242" s="13">
        <f t="shared" si="184"/>
        <v>1.6666666666666667</v>
      </c>
      <c r="J242" s="16">
        <f t="shared" si="184"/>
        <v>1681</v>
      </c>
      <c r="K242" s="15">
        <f t="shared" si="184"/>
        <v>3105.3333333333335</v>
      </c>
      <c r="L242" s="14">
        <f t="shared" si="184"/>
        <v>1868.3333333333333</v>
      </c>
      <c r="M242" s="13">
        <f t="shared" si="184"/>
        <v>604.66666666666663</v>
      </c>
      <c r="N242" s="155"/>
    </row>
    <row r="243" spans="1:14" outlineLevel="1" x14ac:dyDescent="0.2">
      <c r="A243" s="20">
        <f t="shared" si="183"/>
        <v>13231</v>
      </c>
      <c r="B243" s="19" t="str">
        <f t="shared" si="183"/>
        <v>UHV</v>
      </c>
      <c r="C243" s="18"/>
      <c r="D243" s="15">
        <f t="shared" si="178"/>
        <v>576.66666666666663</v>
      </c>
      <c r="E243" s="116">
        <f t="shared" si="179"/>
        <v>300.19546283886069</v>
      </c>
      <c r="F243" s="14">
        <f t="shared" si="180"/>
        <v>40.08464889245883</v>
      </c>
      <c r="G243" s="13">
        <f t="shared" si="184"/>
        <v>1084.4800000000012</v>
      </c>
      <c r="H243" s="15">
        <f t="shared" si="184"/>
        <v>108</v>
      </c>
      <c r="I243" s="13">
        <f t="shared" si="184"/>
        <v>7.333333333333333</v>
      </c>
      <c r="J243" s="16">
        <f t="shared" si="184"/>
        <v>384</v>
      </c>
      <c r="K243" s="15">
        <f t="shared" si="184"/>
        <v>716</v>
      </c>
      <c r="L243" s="14">
        <f t="shared" si="184"/>
        <v>296.33333333333331</v>
      </c>
      <c r="M243" s="13">
        <f t="shared" si="184"/>
        <v>6.666666666666667</v>
      </c>
      <c r="N243" s="155"/>
    </row>
    <row r="244" spans="1:14" outlineLevel="1" x14ac:dyDescent="0.2">
      <c r="A244" s="20">
        <f t="shared" si="183"/>
        <v>3592</v>
      </c>
      <c r="B244" s="19" t="str">
        <f t="shared" si="183"/>
        <v>Midwestern</v>
      </c>
      <c r="C244" s="18"/>
      <c r="D244" s="15">
        <f t="shared" si="178"/>
        <v>1031.6666666666667</v>
      </c>
      <c r="E244" s="116">
        <f t="shared" si="179"/>
        <v>453.24555555555554</v>
      </c>
      <c r="F244" s="14">
        <f t="shared" si="180"/>
        <v>24.122522148034601</v>
      </c>
      <c r="G244" s="13">
        <f t="shared" si="184"/>
        <v>1962.0000000000034</v>
      </c>
      <c r="H244" s="15">
        <f t="shared" si="184"/>
        <v>333.33333333333331</v>
      </c>
      <c r="I244" s="13">
        <f t="shared" si="184"/>
        <v>15</v>
      </c>
      <c r="J244" s="16">
        <f t="shared" si="184"/>
        <v>690.33333333333337</v>
      </c>
      <c r="K244" s="15">
        <f t="shared" si="184"/>
        <v>1438</v>
      </c>
      <c r="L244" s="14">
        <f t="shared" si="184"/>
        <v>1046</v>
      </c>
      <c r="M244" s="13">
        <f t="shared" si="184"/>
        <v>679.66666666666663</v>
      </c>
      <c r="N244" s="155"/>
    </row>
    <row r="245" spans="1:14" outlineLevel="1" x14ac:dyDescent="0.2">
      <c r="A245" s="20">
        <f t="shared" si="183"/>
        <v>3594</v>
      </c>
      <c r="B245" s="19" t="str">
        <f t="shared" si="183"/>
        <v>UNT</v>
      </c>
      <c r="C245" s="18"/>
      <c r="D245" s="15">
        <f t="shared" si="178"/>
        <v>6016.666666666667</v>
      </c>
      <c r="E245" s="116">
        <f t="shared" si="179"/>
        <v>3467.6055555555558</v>
      </c>
      <c r="F245" s="14">
        <f t="shared" si="180"/>
        <v>25.886944566084125</v>
      </c>
      <c r="G245" s="13">
        <f t="shared" si="184"/>
        <v>11411.553333332529</v>
      </c>
      <c r="H245" s="15">
        <f t="shared" si="184"/>
        <v>336.66666666666669</v>
      </c>
      <c r="I245" s="13">
        <f t="shared" si="184"/>
        <v>43.333333333333336</v>
      </c>
      <c r="J245" s="16">
        <f t="shared" si="184"/>
        <v>3820</v>
      </c>
      <c r="K245" s="15">
        <f t="shared" si="184"/>
        <v>7864.666666666667</v>
      </c>
      <c r="L245" s="14">
        <f t="shared" si="184"/>
        <v>5642.333333333333</v>
      </c>
      <c r="M245" s="13">
        <f t="shared" si="184"/>
        <v>3337</v>
      </c>
      <c r="N245" s="155"/>
    </row>
    <row r="246" spans="1:14" outlineLevel="1" x14ac:dyDescent="0.2">
      <c r="A246" s="27">
        <f t="shared" si="183"/>
        <v>113594</v>
      </c>
      <c r="B246" s="19" t="str">
        <f t="shared" si="183"/>
        <v>UNTD</v>
      </c>
      <c r="C246" s="18"/>
      <c r="D246" s="15">
        <f t="shared" si="178"/>
        <v>403.5</v>
      </c>
      <c r="E246" s="116">
        <f t="shared" si="179"/>
        <v>233.02125000000001</v>
      </c>
      <c r="F246" s="14">
        <f t="shared" si="180"/>
        <v>42.647266065388948</v>
      </c>
      <c r="G246" s="13">
        <f t="shared" si="184"/>
        <v>705.85999999999717</v>
      </c>
      <c r="H246" s="15">
        <f t="shared" si="184"/>
        <v>12</v>
      </c>
      <c r="I246" s="13">
        <f t="shared" si="184"/>
        <v>0</v>
      </c>
      <c r="J246" s="16">
        <f t="shared" si="184"/>
        <v>308.5</v>
      </c>
      <c r="K246" s="15">
        <f t="shared" si="184"/>
        <v>478</v>
      </c>
      <c r="L246" s="14">
        <f t="shared" si="184"/>
        <v>71.5</v>
      </c>
      <c r="M246" s="13">
        <f t="shared" si="184"/>
        <v>11</v>
      </c>
      <c r="N246" s="155"/>
    </row>
    <row r="247" spans="1:14" outlineLevel="1" x14ac:dyDescent="0.2">
      <c r="A247" s="20">
        <f t="shared" si="183"/>
        <v>3624</v>
      </c>
      <c r="B247" s="19" t="str">
        <f t="shared" si="183"/>
        <v>SFA</v>
      </c>
      <c r="C247" s="18"/>
      <c r="D247" s="15">
        <f t="shared" si="178"/>
        <v>1921.6666666666667</v>
      </c>
      <c r="E247" s="116">
        <f t="shared" si="179"/>
        <v>1064.6033333333332</v>
      </c>
      <c r="F247" s="14">
        <f t="shared" si="180"/>
        <v>20.257544310083915</v>
      </c>
      <c r="G247" s="13">
        <f t="shared" si="184"/>
        <v>3721.736666666669</v>
      </c>
      <c r="H247" s="15">
        <f t="shared" si="184"/>
        <v>248</v>
      </c>
      <c r="I247" s="13">
        <f t="shared" si="184"/>
        <v>44.666666666666664</v>
      </c>
      <c r="J247" s="16">
        <f t="shared" si="184"/>
        <v>1460.3333333333333</v>
      </c>
      <c r="K247" s="15">
        <f t="shared" si="184"/>
        <v>2769.3333333333335</v>
      </c>
      <c r="L247" s="14">
        <f t="shared" si="184"/>
        <v>2075</v>
      </c>
      <c r="M247" s="13">
        <f t="shared" si="184"/>
        <v>1397.3333333333333</v>
      </c>
      <c r="N247" s="155"/>
    </row>
    <row r="248" spans="1:14" outlineLevel="1" x14ac:dyDescent="0.2">
      <c r="A248" s="20">
        <f t="shared" si="183"/>
        <v>3642</v>
      </c>
      <c r="B248" s="19" t="str">
        <f t="shared" si="183"/>
        <v>TSU</v>
      </c>
      <c r="C248" s="18"/>
      <c r="D248" s="15">
        <f t="shared" si="178"/>
        <v>758.33333333333337</v>
      </c>
      <c r="E248" s="116">
        <f t="shared" si="179"/>
        <v>108.94722222222221</v>
      </c>
      <c r="F248" s="14">
        <f t="shared" si="180"/>
        <v>12.933681010892716</v>
      </c>
      <c r="G248" s="13">
        <f t="shared" si="184"/>
        <v>1488.6533333333352</v>
      </c>
      <c r="H248" s="15">
        <f t="shared" si="184"/>
        <v>134.33333333333334</v>
      </c>
      <c r="I248" s="13">
        <f t="shared" si="184"/>
        <v>3</v>
      </c>
      <c r="J248" s="16">
        <f t="shared" si="184"/>
        <v>666.33333333333337</v>
      </c>
      <c r="K248" s="15">
        <f t="shared" si="184"/>
        <v>1637.3333333333333</v>
      </c>
      <c r="L248" s="14">
        <f t="shared" si="184"/>
        <v>1133</v>
      </c>
      <c r="M248" s="13">
        <f t="shared" si="184"/>
        <v>848.66666666666663</v>
      </c>
      <c r="N248" s="155"/>
    </row>
    <row r="249" spans="1:14" outlineLevel="1" x14ac:dyDescent="0.2">
      <c r="A249" s="20">
        <f t="shared" si="183"/>
        <v>3644</v>
      </c>
      <c r="B249" s="19" t="str">
        <f t="shared" si="183"/>
        <v>TTU</v>
      </c>
      <c r="C249" s="18"/>
      <c r="D249" s="15">
        <f t="shared" si="178"/>
        <v>4674</v>
      </c>
      <c r="E249" s="116">
        <f t="shared" si="179"/>
        <v>3421.3679999999995</v>
      </c>
      <c r="F249" s="14">
        <f t="shared" si="180"/>
        <v>21.061243127033354</v>
      </c>
      <c r="G249" s="13">
        <f t="shared" ref="G249:M256" si="185">AVERAGE(G291,G333,G375)</f>
        <v>10128.113333332682</v>
      </c>
      <c r="H249" s="15">
        <f t="shared" si="185"/>
        <v>727.33333333333337</v>
      </c>
      <c r="I249" s="13">
        <f t="shared" si="185"/>
        <v>57.333333333333336</v>
      </c>
      <c r="J249" s="16">
        <f t="shared" si="185"/>
        <v>2778</v>
      </c>
      <c r="K249" s="15">
        <f t="shared" si="185"/>
        <v>6485.333333333333</v>
      </c>
      <c r="L249" s="14">
        <f t="shared" si="185"/>
        <v>5278.333333333333</v>
      </c>
      <c r="M249" s="13">
        <f t="shared" si="185"/>
        <v>3945.6666666666665</v>
      </c>
      <c r="N249" s="155"/>
    </row>
    <row r="250" spans="1:14" outlineLevel="1" x14ac:dyDescent="0.2">
      <c r="A250" s="20">
        <f t="shared" si="183"/>
        <v>3541</v>
      </c>
      <c r="B250" s="19" t="str">
        <f t="shared" si="183"/>
        <v>Angelo</v>
      </c>
      <c r="C250" s="18"/>
      <c r="D250" s="15">
        <f t="shared" si="178"/>
        <v>991.33333333333337</v>
      </c>
      <c r="E250" s="116">
        <f t="shared" si="179"/>
        <v>425.94288888888889</v>
      </c>
      <c r="F250" s="14">
        <f t="shared" si="180"/>
        <v>20.305700708264297</v>
      </c>
      <c r="G250" s="13">
        <f t="shared" si="185"/>
        <v>1977.3500000000051</v>
      </c>
      <c r="H250" s="15">
        <f t="shared" si="185"/>
        <v>254.33333333333334</v>
      </c>
      <c r="I250" s="13">
        <f t="shared" si="185"/>
        <v>19.333333333333332</v>
      </c>
      <c r="J250" s="16">
        <f t="shared" si="185"/>
        <v>723</v>
      </c>
      <c r="K250" s="15">
        <f t="shared" si="185"/>
        <v>1438.6666666666667</v>
      </c>
      <c r="L250" s="14">
        <f t="shared" si="185"/>
        <v>1033.6666666666667</v>
      </c>
      <c r="M250" s="13">
        <f t="shared" si="185"/>
        <v>707.66666666666663</v>
      </c>
      <c r="N250" s="155"/>
    </row>
    <row r="251" spans="1:14" outlineLevel="1" x14ac:dyDescent="0.2">
      <c r="A251" s="20">
        <f t="shared" si="183"/>
        <v>3646</v>
      </c>
      <c r="B251" s="19" t="str">
        <f t="shared" si="183"/>
        <v>TWU</v>
      </c>
      <c r="C251" s="18"/>
      <c r="D251" s="15">
        <f t="shared" si="178"/>
        <v>1806</v>
      </c>
      <c r="E251" s="116">
        <f t="shared" si="179"/>
        <v>945.74200000000008</v>
      </c>
      <c r="F251" s="14">
        <f t="shared" si="180"/>
        <v>27.545604295039961</v>
      </c>
      <c r="G251" s="13">
        <f t="shared" si="185"/>
        <v>3452.1766666666658</v>
      </c>
      <c r="H251" s="15">
        <f t="shared" si="185"/>
        <v>569.33333333333337</v>
      </c>
      <c r="I251" s="13">
        <f t="shared" si="185"/>
        <v>31.666666666666668</v>
      </c>
      <c r="J251" s="16">
        <f t="shared" si="185"/>
        <v>1247</v>
      </c>
      <c r="K251" s="15">
        <f t="shared" si="185"/>
        <v>2196</v>
      </c>
      <c r="L251" s="14">
        <f t="shared" si="185"/>
        <v>1292.3333333333333</v>
      </c>
      <c r="M251" s="13">
        <f t="shared" si="185"/>
        <v>659.66666666666663</v>
      </c>
      <c r="N251" s="155"/>
    </row>
    <row r="252" spans="1:14" outlineLevel="1" x14ac:dyDescent="0.2">
      <c r="A252" s="20">
        <f t="shared" si="183"/>
        <v>3581</v>
      </c>
      <c r="B252" s="19" t="str">
        <f t="shared" si="183"/>
        <v>Lamar</v>
      </c>
      <c r="C252" s="18"/>
      <c r="D252" s="15">
        <f t="shared" si="178"/>
        <v>1335.3333333333333</v>
      </c>
      <c r="E252" s="116">
        <f t="shared" si="179"/>
        <v>467.81177777777776</v>
      </c>
      <c r="F252" s="14">
        <f t="shared" si="180"/>
        <v>18.354929164452098</v>
      </c>
      <c r="G252" s="13">
        <f t="shared" si="185"/>
        <v>2684.9000000000165</v>
      </c>
      <c r="H252" s="15">
        <f t="shared" si="185"/>
        <v>330</v>
      </c>
      <c r="I252" s="13">
        <f t="shared" si="185"/>
        <v>17</v>
      </c>
      <c r="J252" s="16">
        <f t="shared" si="185"/>
        <v>948.66666666666663</v>
      </c>
      <c r="K252" s="15">
        <f t="shared" si="185"/>
        <v>2144.6666666666665</v>
      </c>
      <c r="L252" s="14">
        <f t="shared" si="185"/>
        <v>1489</v>
      </c>
      <c r="M252" s="13">
        <f t="shared" si="185"/>
        <v>1011</v>
      </c>
      <c r="N252" s="155"/>
    </row>
    <row r="253" spans="1:14" outlineLevel="1" x14ac:dyDescent="0.2">
      <c r="A253" s="20">
        <f t="shared" si="183"/>
        <v>3606</v>
      </c>
      <c r="B253" s="19" t="str">
        <f t="shared" si="183"/>
        <v>SHSU</v>
      </c>
      <c r="C253" s="18"/>
      <c r="D253" s="15">
        <f t="shared" si="178"/>
        <v>3077.6666666666665</v>
      </c>
      <c r="E253" s="116">
        <f t="shared" si="179"/>
        <v>1805.5644444444445</v>
      </c>
      <c r="F253" s="14">
        <f t="shared" si="180"/>
        <v>24.475654239301015</v>
      </c>
      <c r="G253" s="13">
        <f t="shared" si="185"/>
        <v>5837.0766666667887</v>
      </c>
      <c r="H253" s="15">
        <f t="shared" si="185"/>
        <v>167</v>
      </c>
      <c r="I253" s="13">
        <f t="shared" si="185"/>
        <v>61</v>
      </c>
      <c r="J253" s="16">
        <f t="shared" si="185"/>
        <v>2213.6666666666665</v>
      </c>
      <c r="K253" s="15">
        <f t="shared" si="185"/>
        <v>3894.3333333333335</v>
      </c>
      <c r="L253" s="14">
        <f t="shared" si="185"/>
        <v>2965.3333333333335</v>
      </c>
      <c r="M253" s="13">
        <f t="shared" si="185"/>
        <v>1763.3333333333333</v>
      </c>
    </row>
    <row r="254" spans="1:14" outlineLevel="1" x14ac:dyDescent="0.2">
      <c r="A254" s="20">
        <f t="shared" si="183"/>
        <v>3615</v>
      </c>
      <c r="B254" s="19" t="str">
        <f t="shared" si="183"/>
        <v>TXST</v>
      </c>
      <c r="C254" s="18"/>
      <c r="D254" s="15">
        <f t="shared" si="178"/>
        <v>5361</v>
      </c>
      <c r="E254" s="116">
        <f t="shared" si="179"/>
        <v>3393.5129999999999</v>
      </c>
      <c r="F254" s="14">
        <f t="shared" si="180"/>
        <v>23.406891519786395</v>
      </c>
      <c r="G254" s="13">
        <f t="shared" si="185"/>
        <v>10437.309999999357</v>
      </c>
      <c r="H254" s="15">
        <f t="shared" si="185"/>
        <v>488.66666666666669</v>
      </c>
      <c r="I254" s="13">
        <f t="shared" si="185"/>
        <v>66.666666666666671</v>
      </c>
      <c r="J254" s="16">
        <f t="shared" si="185"/>
        <v>3675.3333333333335</v>
      </c>
      <c r="K254" s="15">
        <f t="shared" si="185"/>
        <v>7470.333333333333</v>
      </c>
      <c r="L254" s="14">
        <f t="shared" si="185"/>
        <v>5579</v>
      </c>
      <c r="M254" s="13">
        <f t="shared" si="185"/>
        <v>3317.3333333333335</v>
      </c>
    </row>
    <row r="255" spans="1:14" outlineLevel="1" x14ac:dyDescent="0.2">
      <c r="A255" s="20">
        <f t="shared" si="183"/>
        <v>3625</v>
      </c>
      <c r="B255" s="19" t="str">
        <f t="shared" si="183"/>
        <v>SRSU</v>
      </c>
      <c r="C255" s="18"/>
      <c r="D255" s="15">
        <f t="shared" si="178"/>
        <v>189.33333333333334</v>
      </c>
      <c r="E255" s="116">
        <f t="shared" si="179"/>
        <v>56.989333333333335</v>
      </c>
      <c r="F255" s="14">
        <f t="shared" si="180"/>
        <v>15.518843008324076</v>
      </c>
      <c r="G255" s="13">
        <f t="shared" si="185"/>
        <v>394.32999999999964</v>
      </c>
      <c r="H255" s="15">
        <f t="shared" si="185"/>
        <v>12.666666666666666</v>
      </c>
      <c r="I255" s="13">
        <f t="shared" si="185"/>
        <v>6.333333333333333</v>
      </c>
      <c r="J255" s="16">
        <f t="shared" si="185"/>
        <v>163</v>
      </c>
      <c r="K255" s="15">
        <f t="shared" si="185"/>
        <v>300</v>
      </c>
      <c r="L255" s="14">
        <f t="shared" si="185"/>
        <v>193.66666666666666</v>
      </c>
      <c r="M255" s="13">
        <f t="shared" si="185"/>
        <v>131.66666666666666</v>
      </c>
      <c r="N255" s="156"/>
    </row>
    <row r="256" spans="1:14" outlineLevel="1" x14ac:dyDescent="0.2">
      <c r="A256" s="20">
        <f t="shared" si="183"/>
        <v>20</v>
      </c>
      <c r="B256" s="19" t="str">
        <f t="shared" si="183"/>
        <v>SRRG</v>
      </c>
      <c r="C256" s="18"/>
      <c r="D256" s="15">
        <f t="shared" si="178"/>
        <v>161.66666666666666</v>
      </c>
      <c r="E256" s="116">
        <f t="shared" si="179"/>
        <v>51.365976618337754</v>
      </c>
      <c r="F256" s="14">
        <f t="shared" si="180"/>
        <v>36.596408270033706</v>
      </c>
      <c r="G256" s="13">
        <f t="shared" si="185"/>
        <v>279.16999999999979</v>
      </c>
      <c r="H256" s="15">
        <f t="shared" si="185"/>
        <v>6.333333333333333</v>
      </c>
      <c r="I256" s="13">
        <f t="shared" si="185"/>
        <v>5.666666666666667</v>
      </c>
      <c r="J256" s="16">
        <f t="shared" si="185"/>
        <v>144</v>
      </c>
      <c r="K256" s="15">
        <f t="shared" si="185"/>
        <v>230</v>
      </c>
      <c r="L256" s="14">
        <f t="shared" si="185"/>
        <v>92.666666666666671</v>
      </c>
      <c r="M256" s="13">
        <f t="shared" si="185"/>
        <v>4.333333333333333</v>
      </c>
    </row>
    <row r="257" spans="1:14" ht="13.5" outlineLevel="1" thickBot="1" x14ac:dyDescent="0.25">
      <c r="A257" s="12"/>
      <c r="B257" s="11" t="s">
        <v>11</v>
      </c>
      <c r="C257" s="10"/>
      <c r="D257" s="9">
        <f t="shared" ref="D257:M257" si="186">SUM(D219:D256)</f>
        <v>84315.833333333314</v>
      </c>
      <c r="E257" s="117">
        <f t="shared" si="186"/>
        <v>49031.80588920939</v>
      </c>
      <c r="F257" s="7">
        <f t="shared" si="186"/>
        <v>1017.4700431877567</v>
      </c>
      <c r="G257" s="3">
        <f t="shared" si="186"/>
        <v>172461.13999999844</v>
      </c>
      <c r="H257" s="5">
        <f t="shared" si="186"/>
        <v>13953.333333333332</v>
      </c>
      <c r="I257" s="3">
        <f t="shared" si="186"/>
        <v>1198.3333333333335</v>
      </c>
      <c r="J257" s="6">
        <f t="shared" si="186"/>
        <v>54446.500000000007</v>
      </c>
      <c r="K257" s="5">
        <f t="shared" si="186"/>
        <v>114212.66666666664</v>
      </c>
      <c r="L257" s="4">
        <f t="shared" si="186"/>
        <v>82344.5</v>
      </c>
      <c r="M257" s="3">
        <f t="shared" si="186"/>
        <v>50801.999999999993</v>
      </c>
    </row>
    <row r="258" spans="1:14" ht="13.5" thickBot="1" x14ac:dyDescent="0.25">
      <c r="A258" s="42" t="s">
        <v>27</v>
      </c>
      <c r="B258" s="42"/>
      <c r="C258" s="42"/>
      <c r="D258" s="51"/>
      <c r="F258" s="51"/>
      <c r="J258" s="51"/>
    </row>
    <row r="259" spans="1:14" ht="12.75" customHeight="1" outlineLevel="1" x14ac:dyDescent="0.2">
      <c r="A259" s="234" t="s">
        <v>24</v>
      </c>
      <c r="B259" s="236" t="s">
        <v>23</v>
      </c>
      <c r="C259" s="238"/>
      <c r="D259" s="240" t="s">
        <v>22</v>
      </c>
      <c r="E259" s="242" t="s">
        <v>21</v>
      </c>
      <c r="F259" s="236" t="s">
        <v>20</v>
      </c>
      <c r="G259" s="221" t="s">
        <v>19</v>
      </c>
      <c r="H259" s="223" t="s">
        <v>18</v>
      </c>
      <c r="I259" s="225" t="s">
        <v>17</v>
      </c>
      <c r="J259" s="227" t="s">
        <v>16</v>
      </c>
      <c r="K259" s="229" t="s">
        <v>15</v>
      </c>
      <c r="L259" s="230"/>
      <c r="M259" s="231"/>
    </row>
    <row r="260" spans="1:14" s="41" customFormat="1" ht="36" customHeight="1" outlineLevel="1" thickBot="1" x14ac:dyDescent="0.25">
      <c r="A260" s="273"/>
      <c r="B260" s="270"/>
      <c r="C260" s="274"/>
      <c r="D260" s="275"/>
      <c r="E260" s="276"/>
      <c r="F260" s="270"/>
      <c r="G260" s="271"/>
      <c r="H260" s="272"/>
      <c r="I260" s="265"/>
      <c r="J260" s="266"/>
      <c r="K260" s="125" t="s">
        <v>14</v>
      </c>
      <c r="L260" s="126" t="s">
        <v>13</v>
      </c>
      <c r="M260" s="135" t="s">
        <v>12</v>
      </c>
      <c r="N260" s="154"/>
    </row>
    <row r="261" spans="1:14" outlineLevel="1" x14ac:dyDescent="0.2">
      <c r="A261" s="40">
        <f t="shared" ref="A261:B280" si="187">A219</f>
        <v>3656</v>
      </c>
      <c r="B261" s="39" t="str">
        <f t="shared" si="187"/>
        <v>UTA</v>
      </c>
      <c r="C261" s="38"/>
      <c r="D261" s="33">
        <v>5773</v>
      </c>
      <c r="E261" s="37">
        <v>0.55500000000000005</v>
      </c>
      <c r="F261" s="32">
        <v>17781.466666666667</v>
      </c>
      <c r="G261" s="48">
        <v>12087.560000000249</v>
      </c>
      <c r="H261" s="36">
        <v>2140</v>
      </c>
      <c r="I261" s="35">
        <v>43</v>
      </c>
      <c r="J261" s="34">
        <v>3528</v>
      </c>
      <c r="K261" s="50">
        <v>6893</v>
      </c>
      <c r="L261" s="49">
        <v>3962</v>
      </c>
      <c r="M261" s="48">
        <v>1894</v>
      </c>
    </row>
    <row r="262" spans="1:14" outlineLevel="1" x14ac:dyDescent="0.2">
      <c r="A262" s="20">
        <f t="shared" si="187"/>
        <v>3658</v>
      </c>
      <c r="B262" s="19" t="str">
        <f t="shared" si="187"/>
        <v>UT</v>
      </c>
      <c r="C262" s="18"/>
      <c r="D262" s="15">
        <v>8860</v>
      </c>
      <c r="E262" s="21">
        <v>0.82499999999999996</v>
      </c>
      <c r="F262" s="14">
        <v>33841.466666666667</v>
      </c>
      <c r="G262" s="28">
        <v>19542.67999999996</v>
      </c>
      <c r="H262" s="15">
        <v>1981</v>
      </c>
      <c r="I262" s="13">
        <v>83</v>
      </c>
      <c r="J262" s="16">
        <v>3501</v>
      </c>
      <c r="K262" s="30">
        <v>9260</v>
      </c>
      <c r="L262" s="29">
        <v>8373</v>
      </c>
      <c r="M262" s="28">
        <v>6348</v>
      </c>
    </row>
    <row r="263" spans="1:14" outlineLevel="1" x14ac:dyDescent="0.2">
      <c r="A263" s="20">
        <f t="shared" si="187"/>
        <v>9741</v>
      </c>
      <c r="B263" s="19" t="str">
        <f t="shared" si="187"/>
        <v>UTD</v>
      </c>
      <c r="C263" s="18"/>
      <c r="D263" s="15">
        <v>2510</v>
      </c>
      <c r="E263" s="21">
        <v>0.71900000000000008</v>
      </c>
      <c r="F263" s="14">
        <v>9826.5333333333328</v>
      </c>
      <c r="G263" s="28">
        <v>5443.8700000002518</v>
      </c>
      <c r="H263" s="15">
        <v>449</v>
      </c>
      <c r="I263" s="13">
        <v>33</v>
      </c>
      <c r="J263" s="16">
        <v>1410</v>
      </c>
      <c r="K263" s="30">
        <v>3522</v>
      </c>
      <c r="L263" s="29">
        <v>2348</v>
      </c>
      <c r="M263" s="28">
        <v>1065</v>
      </c>
    </row>
    <row r="264" spans="1:14" outlineLevel="1" x14ac:dyDescent="0.2">
      <c r="A264" s="20">
        <f t="shared" si="187"/>
        <v>3661</v>
      </c>
      <c r="B264" s="19" t="str">
        <f t="shared" si="187"/>
        <v>UTEP</v>
      </c>
      <c r="C264" s="18"/>
      <c r="D264" s="15">
        <v>3132</v>
      </c>
      <c r="E264" s="21">
        <v>0.41200000000000003</v>
      </c>
      <c r="F264" s="14">
        <v>13931.066666666668</v>
      </c>
      <c r="G264" s="28">
        <v>6456.0600000003096</v>
      </c>
      <c r="H264" s="15">
        <v>643</v>
      </c>
      <c r="I264" s="13">
        <v>86</v>
      </c>
      <c r="J264" s="16">
        <v>2590</v>
      </c>
      <c r="K264" s="30">
        <v>4400</v>
      </c>
      <c r="L264" s="29">
        <v>3304</v>
      </c>
      <c r="M264" s="28">
        <v>1986</v>
      </c>
    </row>
    <row r="265" spans="1:14" outlineLevel="1" x14ac:dyDescent="0.2">
      <c r="A265" s="20">
        <f t="shared" si="187"/>
        <v>3599</v>
      </c>
      <c r="B265" s="19" t="str">
        <f t="shared" si="187"/>
        <v>UTPA</v>
      </c>
      <c r="C265" s="18"/>
      <c r="D265" s="15">
        <v>2462</v>
      </c>
      <c r="E265" s="21">
        <v>0.44</v>
      </c>
      <c r="F265" s="14">
        <v>12698.333333333334</v>
      </c>
      <c r="G265" s="28">
        <v>5000.2800000001325</v>
      </c>
      <c r="H265" s="15">
        <v>547</v>
      </c>
      <c r="I265" s="13">
        <v>19</v>
      </c>
      <c r="J265" s="16">
        <v>2247</v>
      </c>
      <c r="K265" s="30">
        <v>3730</v>
      </c>
      <c r="L265" s="29">
        <v>2862</v>
      </c>
      <c r="M265" s="28">
        <v>1896</v>
      </c>
    </row>
    <row r="266" spans="1:14" outlineLevel="1" x14ac:dyDescent="0.2">
      <c r="A266" s="20">
        <f t="shared" si="187"/>
        <v>30646</v>
      </c>
      <c r="B266" s="19" t="str">
        <f t="shared" si="187"/>
        <v>UTB</v>
      </c>
      <c r="C266" s="18"/>
      <c r="D266" s="15">
        <v>1149</v>
      </c>
      <c r="E266" s="17">
        <v>0.52783109404990403</v>
      </c>
      <c r="F266" s="14">
        <v>3400.5333333333333</v>
      </c>
      <c r="G266" s="28">
        <v>2236.3100000000127</v>
      </c>
      <c r="H266" s="15">
        <v>133</v>
      </c>
      <c r="I266" s="13">
        <v>21</v>
      </c>
      <c r="J266" s="16">
        <v>978</v>
      </c>
      <c r="K266" s="30">
        <v>1243</v>
      </c>
      <c r="L266" s="29">
        <v>486</v>
      </c>
      <c r="M266" s="28">
        <v>99</v>
      </c>
    </row>
    <row r="267" spans="1:14" outlineLevel="1" x14ac:dyDescent="0.2">
      <c r="A267" s="20">
        <f t="shared" si="187"/>
        <v>9930</v>
      </c>
      <c r="B267" s="19" t="str">
        <f t="shared" si="187"/>
        <v>UTPB</v>
      </c>
      <c r="C267" s="18"/>
      <c r="D267" s="15">
        <v>546</v>
      </c>
      <c r="E267" s="21">
        <v>0.47899999999999998</v>
      </c>
      <c r="F267" s="14">
        <v>2343.2666666666669</v>
      </c>
      <c r="G267" s="28">
        <v>1054.6599999999951</v>
      </c>
      <c r="H267" s="15">
        <v>51</v>
      </c>
      <c r="I267" s="13">
        <v>7</v>
      </c>
      <c r="J267" s="16">
        <v>411</v>
      </c>
      <c r="K267" s="30">
        <v>742</v>
      </c>
      <c r="L267" s="29">
        <v>535</v>
      </c>
      <c r="M267" s="28">
        <v>210</v>
      </c>
    </row>
    <row r="268" spans="1:14" outlineLevel="1" x14ac:dyDescent="0.2">
      <c r="A268" s="20">
        <f t="shared" si="187"/>
        <v>10115</v>
      </c>
      <c r="B268" s="19" t="str">
        <f t="shared" si="187"/>
        <v>UTSA</v>
      </c>
      <c r="C268" s="18"/>
      <c r="D268" s="15">
        <v>4243</v>
      </c>
      <c r="E268" s="21">
        <v>0.43099999999999999</v>
      </c>
      <c r="F268" s="14">
        <v>21066.866666666665</v>
      </c>
      <c r="G268" s="28">
        <v>8736.7000000001954</v>
      </c>
      <c r="H268" s="15">
        <v>407</v>
      </c>
      <c r="I268" s="13">
        <v>63</v>
      </c>
      <c r="J268" s="16">
        <v>3204</v>
      </c>
      <c r="K268" s="30">
        <v>6815</v>
      </c>
      <c r="L268" s="29">
        <v>4371</v>
      </c>
      <c r="M268" s="28">
        <v>2560</v>
      </c>
    </row>
    <row r="269" spans="1:14" outlineLevel="1" x14ac:dyDescent="0.2">
      <c r="A269" s="20">
        <f t="shared" si="187"/>
        <v>11163</v>
      </c>
      <c r="B269" s="19" t="str">
        <f t="shared" si="187"/>
        <v>UTT</v>
      </c>
      <c r="C269" s="18"/>
      <c r="D269" s="15">
        <v>1144</v>
      </c>
      <c r="E269" s="21">
        <v>0.51800000000000002</v>
      </c>
      <c r="F269" s="14">
        <v>4086.7333333333331</v>
      </c>
      <c r="G269" s="28">
        <v>2263.8699999999944</v>
      </c>
      <c r="H269" s="15">
        <v>392</v>
      </c>
      <c r="I269" s="13">
        <v>23</v>
      </c>
      <c r="J269" s="16">
        <v>886</v>
      </c>
      <c r="K269" s="30">
        <v>1409</v>
      </c>
      <c r="L269" s="29">
        <v>844</v>
      </c>
      <c r="M269" s="28">
        <v>383</v>
      </c>
    </row>
    <row r="270" spans="1:14" outlineLevel="1" x14ac:dyDescent="0.2">
      <c r="A270" s="20">
        <f t="shared" si="187"/>
        <v>3632</v>
      </c>
      <c r="B270" s="19" t="str">
        <f t="shared" si="187"/>
        <v>TAMU</v>
      </c>
      <c r="C270" s="18"/>
      <c r="D270" s="15">
        <v>9020</v>
      </c>
      <c r="E270" s="21">
        <v>0.84200000000000008</v>
      </c>
      <c r="F270" s="14">
        <v>35116.666666666664</v>
      </c>
      <c r="G270" s="28">
        <v>21108.189999999984</v>
      </c>
      <c r="H270" s="15">
        <v>1934</v>
      </c>
      <c r="I270" s="13">
        <v>137</v>
      </c>
      <c r="J270" s="16">
        <v>3915</v>
      </c>
      <c r="K270" s="30">
        <v>10547</v>
      </c>
      <c r="L270" s="29">
        <v>8924</v>
      </c>
      <c r="M270" s="28">
        <v>6938</v>
      </c>
    </row>
    <row r="271" spans="1:14" outlineLevel="1" x14ac:dyDescent="0.2">
      <c r="A271" s="20">
        <f t="shared" si="187"/>
        <v>10298</v>
      </c>
      <c r="B271" s="19" t="str">
        <f t="shared" si="187"/>
        <v>TAMUG</v>
      </c>
      <c r="C271" s="18"/>
      <c r="D271" s="15">
        <v>314</v>
      </c>
      <c r="E271" s="21">
        <v>0.626</v>
      </c>
      <c r="F271" s="14">
        <v>1769.4666666666667</v>
      </c>
      <c r="G271" s="28">
        <v>826.3399999999923</v>
      </c>
      <c r="H271" s="15">
        <v>46</v>
      </c>
      <c r="I271" s="13">
        <v>0</v>
      </c>
      <c r="J271" s="16">
        <v>186</v>
      </c>
      <c r="K271" s="30">
        <v>607</v>
      </c>
      <c r="L271" s="29">
        <v>296</v>
      </c>
      <c r="M271" s="28">
        <v>263</v>
      </c>
    </row>
    <row r="272" spans="1:14" outlineLevel="1" x14ac:dyDescent="0.2">
      <c r="A272" s="20">
        <f t="shared" si="187"/>
        <v>3630</v>
      </c>
      <c r="B272" s="19" t="str">
        <f t="shared" si="187"/>
        <v>Prairie View</v>
      </c>
      <c r="C272" s="18"/>
      <c r="D272" s="15">
        <v>1026</v>
      </c>
      <c r="E272" s="21">
        <v>0.40299999999999997</v>
      </c>
      <c r="F272" s="14">
        <v>5822.8</v>
      </c>
      <c r="G272" s="28">
        <v>2288.9700000000062</v>
      </c>
      <c r="H272" s="15">
        <v>373</v>
      </c>
      <c r="I272" s="13">
        <v>11</v>
      </c>
      <c r="J272" s="16">
        <v>877</v>
      </c>
      <c r="K272" s="30">
        <v>1701</v>
      </c>
      <c r="L272" s="29">
        <v>1132</v>
      </c>
      <c r="M272" s="28">
        <v>871</v>
      </c>
    </row>
    <row r="273" spans="1:13" outlineLevel="1" x14ac:dyDescent="0.2">
      <c r="A273" s="20">
        <f t="shared" si="187"/>
        <v>3631</v>
      </c>
      <c r="B273" s="19" t="str">
        <f t="shared" si="187"/>
        <v>Tarleton</v>
      </c>
      <c r="C273" s="18"/>
      <c r="D273" s="15">
        <v>1662</v>
      </c>
      <c r="E273" s="21">
        <v>0.47600000000000003</v>
      </c>
      <c r="F273" s="14">
        <v>6766.4</v>
      </c>
      <c r="G273" s="28">
        <v>3337.2399999999966</v>
      </c>
      <c r="H273" s="15">
        <v>229</v>
      </c>
      <c r="I273" s="13">
        <v>49</v>
      </c>
      <c r="J273" s="16">
        <v>1296</v>
      </c>
      <c r="K273" s="30">
        <v>2227</v>
      </c>
      <c r="L273" s="29">
        <v>1216</v>
      </c>
      <c r="M273" s="28">
        <v>845</v>
      </c>
    </row>
    <row r="274" spans="1:13" outlineLevel="1" x14ac:dyDescent="0.2">
      <c r="A274" s="27">
        <f t="shared" si="187"/>
        <v>103631</v>
      </c>
      <c r="B274" s="19" t="str">
        <f t="shared" si="187"/>
        <v>TAMUCT</v>
      </c>
      <c r="C274" s="18"/>
      <c r="D274" s="15">
        <v>469</v>
      </c>
      <c r="E274" s="21">
        <f>E273</f>
        <v>0.47600000000000003</v>
      </c>
      <c r="F274" s="14">
        <v>684.13333333333333</v>
      </c>
      <c r="G274" s="28">
        <v>882.20999999999208</v>
      </c>
      <c r="H274" s="15">
        <v>42</v>
      </c>
      <c r="I274" s="13">
        <v>0</v>
      </c>
      <c r="J274" s="16">
        <v>329</v>
      </c>
      <c r="K274" s="30">
        <v>550</v>
      </c>
      <c r="L274" s="29">
        <v>119</v>
      </c>
      <c r="M274" s="28">
        <v>5</v>
      </c>
    </row>
    <row r="275" spans="1:13" outlineLevel="1" x14ac:dyDescent="0.2">
      <c r="A275" s="20">
        <f t="shared" si="187"/>
        <v>11161</v>
      </c>
      <c r="B275" s="19" t="str">
        <f t="shared" si="187"/>
        <v>TAMUCC</v>
      </c>
      <c r="C275" s="18"/>
      <c r="D275" s="15">
        <v>1515</v>
      </c>
      <c r="E275" s="21">
        <v>0.51</v>
      </c>
      <c r="F275" s="14">
        <v>6742.2</v>
      </c>
      <c r="G275" s="28">
        <v>3028.8999999999978</v>
      </c>
      <c r="H275" s="15">
        <v>310</v>
      </c>
      <c r="I275" s="13">
        <v>23</v>
      </c>
      <c r="J275" s="16">
        <v>1182</v>
      </c>
      <c r="K275" s="30">
        <v>1957</v>
      </c>
      <c r="L275" s="29">
        <v>1470</v>
      </c>
      <c r="M275" s="28">
        <v>959</v>
      </c>
    </row>
    <row r="276" spans="1:13" outlineLevel="1" x14ac:dyDescent="0.2">
      <c r="A276" s="20">
        <f t="shared" si="187"/>
        <v>3639</v>
      </c>
      <c r="B276" s="19" t="str">
        <f t="shared" si="187"/>
        <v>TAMUK</v>
      </c>
      <c r="C276" s="18"/>
      <c r="D276" s="15">
        <v>855</v>
      </c>
      <c r="E276" s="21">
        <v>0.39200000000000002</v>
      </c>
      <c r="F276" s="14">
        <v>4577.5333333333338</v>
      </c>
      <c r="G276" s="28">
        <v>1952.6200000000099</v>
      </c>
      <c r="H276" s="15">
        <v>298</v>
      </c>
      <c r="I276" s="13">
        <v>19</v>
      </c>
      <c r="J276" s="16">
        <v>742</v>
      </c>
      <c r="K276" s="30">
        <v>1343</v>
      </c>
      <c r="L276" s="29">
        <v>910</v>
      </c>
      <c r="M276" s="28">
        <v>571</v>
      </c>
    </row>
    <row r="277" spans="1:13" outlineLevel="1" x14ac:dyDescent="0.2">
      <c r="A277" s="27">
        <f t="shared" si="187"/>
        <v>103639</v>
      </c>
      <c r="B277" s="19" t="str">
        <f t="shared" si="187"/>
        <v>TAMUSA</v>
      </c>
      <c r="C277" s="18"/>
      <c r="D277" s="15">
        <v>647</v>
      </c>
      <c r="E277" s="21">
        <f>E276</f>
        <v>0.39200000000000002</v>
      </c>
      <c r="F277" s="14">
        <v>1673.0666666666666</v>
      </c>
      <c r="G277" s="28">
        <v>1155.5399999999984</v>
      </c>
      <c r="H277" s="15">
        <v>10</v>
      </c>
      <c r="I277" s="13">
        <v>4</v>
      </c>
      <c r="J277" s="16">
        <v>549</v>
      </c>
      <c r="K277" s="30">
        <v>887</v>
      </c>
      <c r="L277" s="29">
        <v>190</v>
      </c>
      <c r="M277" s="28">
        <v>1</v>
      </c>
    </row>
    <row r="278" spans="1:13" outlineLevel="1" x14ac:dyDescent="0.2">
      <c r="A278" s="20">
        <f t="shared" si="187"/>
        <v>9651</v>
      </c>
      <c r="B278" s="19" t="str">
        <f t="shared" si="187"/>
        <v>TAMI</v>
      </c>
      <c r="C278" s="18"/>
      <c r="D278" s="15">
        <v>805</v>
      </c>
      <c r="E278" s="21">
        <v>0.45700000000000002</v>
      </c>
      <c r="F278" s="14">
        <v>4312.1333333333332</v>
      </c>
      <c r="G278" s="28">
        <v>1498.7699999999936</v>
      </c>
      <c r="H278" s="15">
        <v>142</v>
      </c>
      <c r="I278" s="13">
        <v>23</v>
      </c>
      <c r="J278" s="16">
        <v>737</v>
      </c>
      <c r="K278" s="30">
        <v>1292</v>
      </c>
      <c r="L278" s="29">
        <v>1039</v>
      </c>
      <c r="M278" s="28">
        <v>488</v>
      </c>
    </row>
    <row r="279" spans="1:13" outlineLevel="1" x14ac:dyDescent="0.2">
      <c r="A279" s="20">
        <f t="shared" si="187"/>
        <v>3665</v>
      </c>
      <c r="B279" s="19" t="str">
        <f t="shared" si="187"/>
        <v>WTAMU</v>
      </c>
      <c r="C279" s="18"/>
      <c r="D279" s="15">
        <v>1253</v>
      </c>
      <c r="E279" s="21">
        <v>0.48200000000000004</v>
      </c>
      <c r="F279" s="14">
        <v>5523.2</v>
      </c>
      <c r="G279" s="28">
        <v>2523.9800000000132</v>
      </c>
      <c r="H279" s="15">
        <v>175</v>
      </c>
      <c r="I279" s="13">
        <v>60</v>
      </c>
      <c r="J279" s="16">
        <v>902</v>
      </c>
      <c r="K279" s="30">
        <v>1631</v>
      </c>
      <c r="L279" s="29">
        <v>1213</v>
      </c>
      <c r="M279" s="28">
        <v>689</v>
      </c>
    </row>
    <row r="280" spans="1:13" outlineLevel="1" x14ac:dyDescent="0.2">
      <c r="A280" s="20">
        <f t="shared" si="187"/>
        <v>3565</v>
      </c>
      <c r="B280" s="19" t="str">
        <f t="shared" si="187"/>
        <v>TAMUC</v>
      </c>
      <c r="C280" s="18"/>
      <c r="D280" s="15">
        <v>1507</v>
      </c>
      <c r="E280" s="21">
        <v>0.44600000000000001</v>
      </c>
      <c r="F280" s="14">
        <v>5135.2666666666664</v>
      </c>
      <c r="G280" s="28">
        <v>2861.9500000000121</v>
      </c>
      <c r="H280" s="15">
        <v>89</v>
      </c>
      <c r="I280" s="13">
        <v>81</v>
      </c>
      <c r="J280" s="16">
        <v>1172</v>
      </c>
      <c r="K280" s="30">
        <v>2056</v>
      </c>
      <c r="L280" s="29">
        <v>1174</v>
      </c>
      <c r="M280" s="28">
        <v>457</v>
      </c>
    </row>
    <row r="281" spans="1:13" outlineLevel="1" x14ac:dyDescent="0.2">
      <c r="A281" s="20">
        <f t="shared" ref="A281:B298" si="188">A239</f>
        <v>29269</v>
      </c>
      <c r="B281" s="19" t="str">
        <f t="shared" si="188"/>
        <v>TAMUT</v>
      </c>
      <c r="C281" s="18"/>
      <c r="D281" s="15">
        <v>376</v>
      </c>
      <c r="E281" s="17">
        <v>0.49242424242424243</v>
      </c>
      <c r="F281" s="14">
        <v>1101.2666666666667</v>
      </c>
      <c r="G281" s="28">
        <v>680.4399999999946</v>
      </c>
      <c r="H281" s="15">
        <v>47</v>
      </c>
      <c r="I281" s="13">
        <v>25</v>
      </c>
      <c r="J281" s="16">
        <v>277</v>
      </c>
      <c r="K281" s="30">
        <v>484</v>
      </c>
      <c r="L281" s="29">
        <v>219</v>
      </c>
      <c r="M281" s="28">
        <v>1</v>
      </c>
    </row>
    <row r="282" spans="1:13" outlineLevel="1" x14ac:dyDescent="0.2">
      <c r="A282" s="20">
        <f t="shared" si="188"/>
        <v>3652</v>
      </c>
      <c r="B282" s="19" t="str">
        <f t="shared" si="188"/>
        <v>UH</v>
      </c>
      <c r="C282" s="18"/>
      <c r="D282" s="15">
        <v>5426</v>
      </c>
      <c r="E282" s="21">
        <v>0.53600000000000003</v>
      </c>
      <c r="F282" s="14">
        <v>24760.400000000001</v>
      </c>
      <c r="G282" s="28">
        <v>11378.949999999324</v>
      </c>
      <c r="H282" s="15">
        <v>835</v>
      </c>
      <c r="I282" s="13">
        <v>60</v>
      </c>
      <c r="J282" s="16">
        <v>3688</v>
      </c>
      <c r="K282" s="30">
        <v>7823</v>
      </c>
      <c r="L282" s="29">
        <v>5667</v>
      </c>
      <c r="M282" s="28">
        <v>3232</v>
      </c>
    </row>
    <row r="283" spans="1:13" outlineLevel="1" x14ac:dyDescent="0.2">
      <c r="A283" s="20">
        <f t="shared" si="188"/>
        <v>11711</v>
      </c>
      <c r="B283" s="19" t="str">
        <f t="shared" si="188"/>
        <v>UHCL</v>
      </c>
      <c r="C283" s="18"/>
      <c r="D283" s="15">
        <v>1251</v>
      </c>
      <c r="E283" s="17">
        <v>0.51671732522796354</v>
      </c>
      <c r="F283" s="14">
        <v>3079.2666666666669</v>
      </c>
      <c r="G283" s="28">
        <v>2423.7000000000025</v>
      </c>
      <c r="H283" s="15">
        <v>119</v>
      </c>
      <c r="I283" s="13">
        <v>9</v>
      </c>
      <c r="J283" s="16">
        <v>839</v>
      </c>
      <c r="K283" s="30">
        <v>1391</v>
      </c>
      <c r="L283" s="29">
        <v>1014</v>
      </c>
      <c r="M283" s="28">
        <v>37</v>
      </c>
    </row>
    <row r="284" spans="1:13" outlineLevel="1" x14ac:dyDescent="0.2">
      <c r="A284" s="20">
        <f t="shared" si="188"/>
        <v>12826</v>
      </c>
      <c r="B284" s="19" t="str">
        <f t="shared" si="188"/>
        <v>UHD</v>
      </c>
      <c r="C284" s="18"/>
      <c r="D284" s="15">
        <v>2351</v>
      </c>
      <c r="E284" s="21">
        <v>0.17399999999999999</v>
      </c>
      <c r="F284" s="14">
        <v>8043.8</v>
      </c>
      <c r="G284" s="28">
        <v>4292.430000000033</v>
      </c>
      <c r="H284" s="15">
        <v>134</v>
      </c>
      <c r="I284" s="13">
        <v>3</v>
      </c>
      <c r="J284" s="16">
        <v>1694</v>
      </c>
      <c r="K284" s="30">
        <v>3011</v>
      </c>
      <c r="L284" s="29">
        <v>1820</v>
      </c>
      <c r="M284" s="28">
        <v>590</v>
      </c>
    </row>
    <row r="285" spans="1:13" outlineLevel="1" x14ac:dyDescent="0.2">
      <c r="A285" s="20">
        <f t="shared" si="188"/>
        <v>13231</v>
      </c>
      <c r="B285" s="19" t="str">
        <f t="shared" si="188"/>
        <v>UHV</v>
      </c>
      <c r="C285" s="18"/>
      <c r="D285" s="15">
        <v>619</v>
      </c>
      <c r="E285" s="17">
        <v>0.47520661157024796</v>
      </c>
      <c r="F285" s="14">
        <v>1685.8666666666666</v>
      </c>
      <c r="G285" s="28">
        <v>1187.5899999999924</v>
      </c>
      <c r="H285" s="15">
        <v>134</v>
      </c>
      <c r="I285" s="13">
        <v>9</v>
      </c>
      <c r="J285" s="16">
        <v>418</v>
      </c>
      <c r="K285" s="30">
        <v>776</v>
      </c>
      <c r="L285" s="29">
        <v>334</v>
      </c>
      <c r="M285" s="28">
        <v>6</v>
      </c>
    </row>
    <row r="286" spans="1:13" outlineLevel="1" x14ac:dyDescent="0.2">
      <c r="A286" s="20">
        <f t="shared" si="188"/>
        <v>3592</v>
      </c>
      <c r="B286" s="19" t="str">
        <f t="shared" si="188"/>
        <v>Midwestern</v>
      </c>
      <c r="C286" s="18"/>
      <c r="D286" s="15">
        <v>1066</v>
      </c>
      <c r="E286" s="21">
        <v>0.46299999999999997</v>
      </c>
      <c r="F286" s="14">
        <v>4147.7333333333336</v>
      </c>
      <c r="G286" s="28">
        <v>2062.1399999999949</v>
      </c>
      <c r="H286" s="15">
        <v>358</v>
      </c>
      <c r="I286" s="13">
        <v>15</v>
      </c>
      <c r="J286" s="16">
        <v>723</v>
      </c>
      <c r="K286" s="30">
        <v>1310</v>
      </c>
      <c r="L286" s="29">
        <v>979</v>
      </c>
      <c r="M286" s="28">
        <v>683</v>
      </c>
    </row>
    <row r="287" spans="1:13" outlineLevel="1" x14ac:dyDescent="0.2">
      <c r="A287" s="20">
        <f t="shared" si="188"/>
        <v>3594</v>
      </c>
      <c r="B287" s="19" t="str">
        <f t="shared" si="188"/>
        <v>UNT</v>
      </c>
      <c r="C287" s="18"/>
      <c r="D287" s="15">
        <v>5843</v>
      </c>
      <c r="E287" s="21">
        <v>0.56799999999999995</v>
      </c>
      <c r="F287" s="14">
        <v>23213.466666666667</v>
      </c>
      <c r="G287" s="28">
        <v>11338.869999999399</v>
      </c>
      <c r="H287" s="15">
        <v>368</v>
      </c>
      <c r="I287" s="13">
        <v>56</v>
      </c>
      <c r="J287" s="16">
        <v>3771</v>
      </c>
      <c r="K287" s="30">
        <v>7310</v>
      </c>
      <c r="L287" s="29">
        <v>5432</v>
      </c>
      <c r="M287" s="28">
        <v>3116</v>
      </c>
    </row>
    <row r="288" spans="1:13" outlineLevel="1" x14ac:dyDescent="0.2">
      <c r="A288" s="27">
        <f t="shared" si="188"/>
        <v>113594</v>
      </c>
      <c r="B288" s="19" t="str">
        <f t="shared" si="188"/>
        <v>UNTD</v>
      </c>
      <c r="C288" s="18"/>
      <c r="D288" s="15">
        <v>419</v>
      </c>
      <c r="E288" s="21">
        <f>E287</f>
        <v>0.56799999999999995</v>
      </c>
      <c r="F288" s="14">
        <v>983.4666666666667</v>
      </c>
      <c r="G288" s="28">
        <v>742.11999999999398</v>
      </c>
      <c r="H288" s="15">
        <v>14</v>
      </c>
      <c r="I288" s="13">
        <v>0</v>
      </c>
      <c r="J288" s="16">
        <v>313</v>
      </c>
      <c r="K288" s="30">
        <v>469</v>
      </c>
      <c r="L288" s="29">
        <v>80</v>
      </c>
      <c r="M288" s="28">
        <v>4</v>
      </c>
    </row>
    <row r="289" spans="1:14" outlineLevel="1" x14ac:dyDescent="0.2">
      <c r="A289" s="20">
        <f t="shared" si="188"/>
        <v>3624</v>
      </c>
      <c r="B289" s="19" t="str">
        <f t="shared" si="188"/>
        <v>SFA</v>
      </c>
      <c r="C289" s="18"/>
      <c r="D289" s="15">
        <v>2011</v>
      </c>
      <c r="E289" s="21">
        <v>0.55299999999999994</v>
      </c>
      <c r="F289" s="14">
        <v>9507.3333333333339</v>
      </c>
      <c r="G289" s="28">
        <v>3932.9399999999569</v>
      </c>
      <c r="H289" s="15">
        <v>273</v>
      </c>
      <c r="I289" s="13">
        <v>42</v>
      </c>
      <c r="J289" s="16">
        <v>1513</v>
      </c>
      <c r="K289" s="30">
        <v>2605</v>
      </c>
      <c r="L289" s="29">
        <v>2125</v>
      </c>
      <c r="M289" s="28">
        <v>1473</v>
      </c>
    </row>
    <row r="290" spans="1:14" outlineLevel="1" x14ac:dyDescent="0.2">
      <c r="A290" s="20">
        <f t="shared" si="188"/>
        <v>3642</v>
      </c>
      <c r="B290" s="19" t="str">
        <f t="shared" si="188"/>
        <v>TSU</v>
      </c>
      <c r="C290" s="18"/>
      <c r="D290" s="15">
        <v>737</v>
      </c>
      <c r="E290" s="21">
        <v>0.14099999999999999</v>
      </c>
      <c r="F290" s="14">
        <v>5767.1333333333332</v>
      </c>
      <c r="G290" s="28">
        <v>1478.8299999999929</v>
      </c>
      <c r="H290" s="15">
        <v>154</v>
      </c>
      <c r="I290" s="13">
        <v>5</v>
      </c>
      <c r="J290" s="16">
        <v>641</v>
      </c>
      <c r="K290" s="30">
        <v>1349</v>
      </c>
      <c r="L290" s="29">
        <v>988</v>
      </c>
      <c r="M290" s="28">
        <v>760</v>
      </c>
    </row>
    <row r="291" spans="1:14" outlineLevel="1" x14ac:dyDescent="0.2">
      <c r="A291" s="20">
        <f t="shared" si="188"/>
        <v>3644</v>
      </c>
      <c r="B291" s="19" t="str">
        <f t="shared" si="188"/>
        <v>TTU</v>
      </c>
      <c r="C291" s="18"/>
      <c r="D291" s="15">
        <v>4941</v>
      </c>
      <c r="E291" s="21">
        <v>0.73599999999999999</v>
      </c>
      <c r="F291" s="14">
        <v>22627.599999999999</v>
      </c>
      <c r="G291" s="28">
        <v>10741.019999999262</v>
      </c>
      <c r="H291" s="15">
        <v>839</v>
      </c>
      <c r="I291" s="13">
        <v>67</v>
      </c>
      <c r="J291" s="16">
        <v>3071</v>
      </c>
      <c r="K291" s="30">
        <v>6449</v>
      </c>
      <c r="L291" s="29">
        <v>5332</v>
      </c>
      <c r="M291" s="28">
        <v>4048</v>
      </c>
    </row>
    <row r="292" spans="1:14" outlineLevel="1" x14ac:dyDescent="0.2">
      <c r="A292" s="20">
        <f t="shared" si="188"/>
        <v>3541</v>
      </c>
      <c r="B292" s="19" t="str">
        <f t="shared" si="188"/>
        <v>Angelo</v>
      </c>
      <c r="C292" s="18"/>
      <c r="D292" s="15">
        <v>1073</v>
      </c>
      <c r="E292" s="21">
        <v>0.40799999999999997</v>
      </c>
      <c r="F292" s="14">
        <v>4921.333333333333</v>
      </c>
      <c r="G292" s="28">
        <v>2141.5100000000025</v>
      </c>
      <c r="H292" s="15">
        <v>304</v>
      </c>
      <c r="I292" s="13">
        <v>19</v>
      </c>
      <c r="J292" s="16">
        <v>773</v>
      </c>
      <c r="K292" s="30">
        <v>1398</v>
      </c>
      <c r="L292" s="29">
        <v>1022</v>
      </c>
      <c r="M292" s="28">
        <v>707</v>
      </c>
    </row>
    <row r="293" spans="1:14" outlineLevel="1" x14ac:dyDescent="0.2">
      <c r="A293" s="20">
        <f t="shared" si="188"/>
        <v>3646</v>
      </c>
      <c r="B293" s="19" t="str">
        <f t="shared" si="188"/>
        <v>TWU</v>
      </c>
      <c r="C293" s="18"/>
      <c r="D293" s="15">
        <v>1919</v>
      </c>
      <c r="E293" s="21">
        <v>0.54200000000000004</v>
      </c>
      <c r="F293" s="14">
        <v>6999.5333333333338</v>
      </c>
      <c r="G293" s="28">
        <v>3704.3199999999606</v>
      </c>
      <c r="H293" s="15">
        <v>571</v>
      </c>
      <c r="I293" s="13">
        <v>30</v>
      </c>
      <c r="J293" s="16">
        <v>1326</v>
      </c>
      <c r="K293" s="30">
        <v>2425</v>
      </c>
      <c r="L293" s="29">
        <v>1247</v>
      </c>
      <c r="M293" s="28">
        <v>703</v>
      </c>
    </row>
    <row r="294" spans="1:14" outlineLevel="1" x14ac:dyDescent="0.2">
      <c r="A294" s="20">
        <f t="shared" si="188"/>
        <v>3581</v>
      </c>
      <c r="B294" s="19" t="str">
        <f t="shared" si="188"/>
        <v>Lamar</v>
      </c>
      <c r="C294" s="18"/>
      <c r="D294" s="15">
        <v>1380</v>
      </c>
      <c r="E294" s="21">
        <v>0.35899999999999999</v>
      </c>
      <c r="F294" s="14">
        <v>7404.4666666666662</v>
      </c>
      <c r="G294" s="28">
        <v>2721.5300000000057</v>
      </c>
      <c r="H294" s="15">
        <v>318</v>
      </c>
      <c r="I294" s="13">
        <v>18</v>
      </c>
      <c r="J294" s="16">
        <v>995</v>
      </c>
      <c r="K294" s="30">
        <v>2074</v>
      </c>
      <c r="L294" s="29">
        <v>1486</v>
      </c>
      <c r="M294" s="28">
        <v>1002</v>
      </c>
    </row>
    <row r="295" spans="1:14" outlineLevel="1" x14ac:dyDescent="0.2">
      <c r="A295" s="20">
        <f t="shared" si="188"/>
        <v>3606</v>
      </c>
      <c r="B295" s="19" t="str">
        <f t="shared" si="188"/>
        <v>SHSU</v>
      </c>
      <c r="C295" s="18"/>
      <c r="D295" s="15">
        <v>2978</v>
      </c>
      <c r="E295" s="21">
        <v>0.57799999999999996</v>
      </c>
      <c r="F295" s="14">
        <v>12574.466666666667</v>
      </c>
      <c r="G295" s="28">
        <v>5694.020000000286</v>
      </c>
      <c r="H295" s="15">
        <v>172</v>
      </c>
      <c r="I295" s="13">
        <v>51</v>
      </c>
      <c r="J295" s="16">
        <v>2163</v>
      </c>
      <c r="K295" s="30">
        <v>3894</v>
      </c>
      <c r="L295" s="29">
        <v>2915</v>
      </c>
      <c r="M295" s="28">
        <v>1704</v>
      </c>
    </row>
    <row r="296" spans="1:14" outlineLevel="1" x14ac:dyDescent="0.2">
      <c r="A296" s="20">
        <f t="shared" si="188"/>
        <v>3615</v>
      </c>
      <c r="B296" s="19" t="str">
        <f t="shared" si="188"/>
        <v>TXST</v>
      </c>
      <c r="C296" s="18"/>
      <c r="D296" s="15">
        <v>5435</v>
      </c>
      <c r="E296" s="21">
        <v>0.61399999999999999</v>
      </c>
      <c r="F296" s="14">
        <v>24028</v>
      </c>
      <c r="G296" s="28">
        <v>10677.06999999951</v>
      </c>
      <c r="H296" s="15">
        <v>582</v>
      </c>
      <c r="I296" s="13">
        <v>67</v>
      </c>
      <c r="J296" s="16">
        <v>3816</v>
      </c>
      <c r="K296" s="30">
        <v>7425</v>
      </c>
      <c r="L296" s="29">
        <v>5561</v>
      </c>
      <c r="M296" s="28">
        <v>3333</v>
      </c>
    </row>
    <row r="297" spans="1:14" outlineLevel="1" x14ac:dyDescent="0.2">
      <c r="A297" s="20">
        <f t="shared" si="188"/>
        <v>3625</v>
      </c>
      <c r="B297" s="19" t="str">
        <f t="shared" si="188"/>
        <v>SRSU</v>
      </c>
      <c r="C297" s="18"/>
      <c r="D297" s="15">
        <v>191</v>
      </c>
      <c r="E297" s="21">
        <v>0.32600000000000001</v>
      </c>
      <c r="F297" s="14">
        <v>1229</v>
      </c>
      <c r="G297" s="28">
        <v>409.0499999999999</v>
      </c>
      <c r="H297" s="15">
        <v>10</v>
      </c>
      <c r="I297" s="13">
        <v>5</v>
      </c>
      <c r="J297" s="16">
        <v>167</v>
      </c>
      <c r="K297" s="30">
        <v>284</v>
      </c>
      <c r="L297" s="29">
        <v>188</v>
      </c>
      <c r="M297" s="28">
        <v>144</v>
      </c>
      <c r="N297" s="156"/>
    </row>
    <row r="298" spans="1:14" outlineLevel="1" x14ac:dyDescent="0.2">
      <c r="A298" s="20">
        <f t="shared" si="188"/>
        <v>20</v>
      </c>
      <c r="B298" s="19" t="str">
        <f t="shared" si="188"/>
        <v>SRRG</v>
      </c>
      <c r="C298" s="18"/>
      <c r="D298" s="15">
        <v>154</v>
      </c>
      <c r="E298" s="17">
        <v>0.25423728813559321</v>
      </c>
      <c r="F298" s="14">
        <v>436.8</v>
      </c>
      <c r="G298" s="28">
        <v>268.06000000000023</v>
      </c>
      <c r="H298" s="15">
        <v>6</v>
      </c>
      <c r="I298" s="13">
        <v>1</v>
      </c>
      <c r="J298" s="16">
        <v>138</v>
      </c>
      <c r="K298" s="30">
        <v>215</v>
      </c>
      <c r="L298" s="29">
        <v>91</v>
      </c>
      <c r="M298" s="28">
        <v>6</v>
      </c>
    </row>
    <row r="299" spans="1:14" ht="13.5" outlineLevel="1" thickBot="1" x14ac:dyDescent="0.25">
      <c r="A299" s="12"/>
      <c r="B299" s="11" t="s">
        <v>11</v>
      </c>
      <c r="C299" s="10"/>
      <c r="D299" s="9">
        <f>SUM(D261:D298)</f>
        <v>87062</v>
      </c>
      <c r="E299" s="8">
        <v>0.58700000000000008</v>
      </c>
      <c r="F299" s="7">
        <f t="shared" ref="F299:M299" si="189">SUM(F261:F298)</f>
        <v>359610.06666666665</v>
      </c>
      <c r="G299" s="3">
        <f t="shared" si="189"/>
        <v>180161.28999999876</v>
      </c>
      <c r="H299" s="5">
        <f t="shared" si="189"/>
        <v>15629</v>
      </c>
      <c r="I299" s="3">
        <f t="shared" si="189"/>
        <v>1267</v>
      </c>
      <c r="J299" s="6">
        <f t="shared" si="189"/>
        <v>56968</v>
      </c>
      <c r="K299" s="5">
        <f t="shared" si="189"/>
        <v>113504</v>
      </c>
      <c r="L299" s="4">
        <f t="shared" si="189"/>
        <v>81268</v>
      </c>
      <c r="M299" s="3">
        <f t="shared" si="189"/>
        <v>50077</v>
      </c>
    </row>
    <row r="300" spans="1:14" ht="13.5" thickBot="1" x14ac:dyDescent="0.25">
      <c r="A300" s="42" t="s">
        <v>26</v>
      </c>
      <c r="B300" s="42"/>
      <c r="C300" s="42"/>
      <c r="D300" s="42"/>
      <c r="F300" s="42"/>
      <c r="J300" s="42"/>
    </row>
    <row r="301" spans="1:14" ht="12.75" customHeight="1" outlineLevel="1" x14ac:dyDescent="0.2">
      <c r="A301" s="234" t="s">
        <v>24</v>
      </c>
      <c r="B301" s="236" t="s">
        <v>23</v>
      </c>
      <c r="C301" s="238"/>
      <c r="D301" s="240" t="s">
        <v>22</v>
      </c>
      <c r="E301" s="242" t="s">
        <v>21</v>
      </c>
      <c r="F301" s="236" t="s">
        <v>20</v>
      </c>
      <c r="G301" s="221" t="s">
        <v>19</v>
      </c>
      <c r="H301" s="223" t="s">
        <v>18</v>
      </c>
      <c r="I301" s="225" t="s">
        <v>17</v>
      </c>
      <c r="J301" s="227" t="s">
        <v>16</v>
      </c>
      <c r="K301" s="229" t="s">
        <v>15</v>
      </c>
      <c r="L301" s="230"/>
      <c r="M301" s="231"/>
    </row>
    <row r="302" spans="1:14" s="41" customFormat="1" ht="40.5" customHeight="1" outlineLevel="1" thickBot="1" x14ac:dyDescent="0.25">
      <c r="A302" s="273"/>
      <c r="B302" s="270"/>
      <c r="C302" s="274"/>
      <c r="D302" s="275"/>
      <c r="E302" s="276"/>
      <c r="F302" s="270"/>
      <c r="G302" s="271"/>
      <c r="H302" s="272"/>
      <c r="I302" s="265"/>
      <c r="J302" s="266"/>
      <c r="K302" s="125" t="s">
        <v>14</v>
      </c>
      <c r="L302" s="126" t="s">
        <v>13</v>
      </c>
      <c r="M302" s="135" t="s">
        <v>12</v>
      </c>
      <c r="N302" s="154"/>
    </row>
    <row r="303" spans="1:14" outlineLevel="1" x14ac:dyDescent="0.2">
      <c r="A303" s="40">
        <f t="shared" ref="A303:B322" si="190">A261</f>
        <v>3656</v>
      </c>
      <c r="B303" s="39" t="str">
        <f t="shared" si="190"/>
        <v>UTA</v>
      </c>
      <c r="C303" s="38"/>
      <c r="D303" s="33">
        <v>5103</v>
      </c>
      <c r="E303" s="37">
        <v>0.49299999999999999</v>
      </c>
      <c r="F303" s="32">
        <v>17372</v>
      </c>
      <c r="G303" s="31">
        <v>10527.860000000002</v>
      </c>
      <c r="H303" s="36">
        <v>1620</v>
      </c>
      <c r="I303" s="35">
        <v>26</v>
      </c>
      <c r="J303" s="34">
        <v>3158</v>
      </c>
      <c r="K303" s="33">
        <v>6986</v>
      </c>
      <c r="L303" s="32">
        <v>3903</v>
      </c>
      <c r="M303" s="31">
        <v>1733</v>
      </c>
    </row>
    <row r="304" spans="1:14" outlineLevel="1" x14ac:dyDescent="0.2">
      <c r="A304" s="20">
        <f t="shared" si="190"/>
        <v>3658</v>
      </c>
      <c r="B304" s="19" t="str">
        <f t="shared" si="190"/>
        <v>UT</v>
      </c>
      <c r="C304" s="18"/>
      <c r="D304" s="15">
        <v>9027</v>
      </c>
      <c r="E304" s="21">
        <v>0.83299999999999996</v>
      </c>
      <c r="F304" s="14">
        <v>33709.866666666669</v>
      </c>
      <c r="G304" s="13">
        <v>19422.050000001858</v>
      </c>
      <c r="H304" s="15">
        <v>1894</v>
      </c>
      <c r="I304" s="13">
        <v>60</v>
      </c>
      <c r="J304" s="16">
        <v>3475</v>
      </c>
      <c r="K304" s="15">
        <v>9939</v>
      </c>
      <c r="L304" s="14">
        <v>8895</v>
      </c>
      <c r="M304" s="13">
        <v>7485</v>
      </c>
    </row>
    <row r="305" spans="1:13" outlineLevel="1" x14ac:dyDescent="0.2">
      <c r="A305" s="20">
        <f t="shared" si="190"/>
        <v>9741</v>
      </c>
      <c r="B305" s="19" t="str">
        <f t="shared" si="190"/>
        <v>UTD</v>
      </c>
      <c r="C305" s="18"/>
      <c r="D305" s="15">
        <v>2314</v>
      </c>
      <c r="E305" s="21">
        <v>0.68299999999999994</v>
      </c>
      <c r="F305" s="14">
        <v>8822.2000000000007</v>
      </c>
      <c r="G305" s="13">
        <v>4904.1700000000228</v>
      </c>
      <c r="H305" s="15">
        <v>424</v>
      </c>
      <c r="I305" s="13">
        <v>27</v>
      </c>
      <c r="J305" s="16">
        <v>1294</v>
      </c>
      <c r="K305" s="15">
        <v>3345</v>
      </c>
      <c r="L305" s="14">
        <v>2105</v>
      </c>
      <c r="M305" s="13">
        <v>1076</v>
      </c>
    </row>
    <row r="306" spans="1:13" outlineLevel="1" x14ac:dyDescent="0.2">
      <c r="A306" s="20">
        <f t="shared" si="190"/>
        <v>3661</v>
      </c>
      <c r="B306" s="19" t="str">
        <f t="shared" si="190"/>
        <v>UTEP</v>
      </c>
      <c r="C306" s="18"/>
      <c r="D306" s="15">
        <v>3008</v>
      </c>
      <c r="E306" s="21">
        <v>0.38400000000000001</v>
      </c>
      <c r="F306" s="14">
        <v>13376</v>
      </c>
      <c r="G306" s="13">
        <v>6142.7200000000885</v>
      </c>
      <c r="H306" s="15">
        <v>613</v>
      </c>
      <c r="I306" s="13">
        <v>91</v>
      </c>
      <c r="J306" s="16">
        <v>2409</v>
      </c>
      <c r="K306" s="15">
        <v>4488</v>
      </c>
      <c r="L306" s="14">
        <v>3404</v>
      </c>
      <c r="M306" s="13">
        <v>1910</v>
      </c>
    </row>
    <row r="307" spans="1:13" outlineLevel="1" x14ac:dyDescent="0.2">
      <c r="A307" s="20">
        <f t="shared" si="190"/>
        <v>3599</v>
      </c>
      <c r="B307" s="19" t="str">
        <f t="shared" si="190"/>
        <v>UTPA</v>
      </c>
      <c r="C307" s="18"/>
      <c r="D307" s="15">
        <v>2658</v>
      </c>
      <c r="E307" s="21">
        <v>0.46399999999999997</v>
      </c>
      <c r="F307" s="14">
        <v>12499.266666666666</v>
      </c>
      <c r="G307" s="13">
        <v>5231.3300000001427</v>
      </c>
      <c r="H307" s="15">
        <v>534</v>
      </c>
      <c r="I307" s="13">
        <v>34</v>
      </c>
      <c r="J307" s="16">
        <v>2427</v>
      </c>
      <c r="K307" s="15">
        <v>4142</v>
      </c>
      <c r="L307" s="14">
        <v>3290</v>
      </c>
      <c r="M307" s="13">
        <v>1998</v>
      </c>
    </row>
    <row r="308" spans="1:13" outlineLevel="1" x14ac:dyDescent="0.2">
      <c r="A308" s="20">
        <f t="shared" si="190"/>
        <v>30646</v>
      </c>
      <c r="B308" s="19" t="str">
        <f t="shared" si="190"/>
        <v>UTB</v>
      </c>
      <c r="C308" s="18"/>
      <c r="D308" s="15">
        <v>1075</v>
      </c>
      <c r="E308" s="17">
        <v>0.55124653739612184</v>
      </c>
      <c r="F308" s="14">
        <v>3116.2</v>
      </c>
      <c r="G308" s="13">
        <v>2052.0600000000218</v>
      </c>
      <c r="H308" s="15">
        <v>132</v>
      </c>
      <c r="I308" s="13">
        <v>15</v>
      </c>
      <c r="J308" s="16">
        <v>916</v>
      </c>
      <c r="K308" s="15">
        <v>1359</v>
      </c>
      <c r="L308" s="14">
        <v>600</v>
      </c>
      <c r="M308" s="13">
        <v>131</v>
      </c>
    </row>
    <row r="309" spans="1:13" outlineLevel="1" x14ac:dyDescent="0.2">
      <c r="A309" s="20">
        <f t="shared" si="190"/>
        <v>9930</v>
      </c>
      <c r="B309" s="19" t="str">
        <f t="shared" si="190"/>
        <v>UTPB</v>
      </c>
      <c r="C309" s="18"/>
      <c r="D309" s="15">
        <v>541</v>
      </c>
      <c r="E309" s="21">
        <v>0.40700000000000003</v>
      </c>
      <c r="F309" s="14">
        <v>2416</v>
      </c>
      <c r="G309" s="13">
        <v>1005.1500000000051</v>
      </c>
      <c r="H309" s="15">
        <v>40</v>
      </c>
      <c r="I309" s="13">
        <v>10</v>
      </c>
      <c r="J309" s="16">
        <v>407</v>
      </c>
      <c r="K309" s="15">
        <v>908</v>
      </c>
      <c r="L309" s="14">
        <v>490</v>
      </c>
      <c r="M309" s="13">
        <v>191</v>
      </c>
    </row>
    <row r="310" spans="1:13" outlineLevel="1" x14ac:dyDescent="0.2">
      <c r="A310" s="20">
        <f t="shared" si="190"/>
        <v>10115</v>
      </c>
      <c r="B310" s="19" t="str">
        <f t="shared" si="190"/>
        <v>UTSA</v>
      </c>
      <c r="C310" s="18"/>
      <c r="D310" s="15">
        <v>4148</v>
      </c>
      <c r="E310" s="21">
        <v>0.39400000000000002</v>
      </c>
      <c r="F310" s="14">
        <v>20284.733333333334</v>
      </c>
      <c r="G310" s="13">
        <v>8398.8499999997166</v>
      </c>
      <c r="H310" s="15">
        <v>394</v>
      </c>
      <c r="I310" s="13">
        <v>47</v>
      </c>
      <c r="J310" s="16">
        <v>3211</v>
      </c>
      <c r="K310" s="15">
        <v>6802</v>
      </c>
      <c r="L310" s="14">
        <v>4390</v>
      </c>
      <c r="M310" s="13">
        <v>2699</v>
      </c>
    </row>
    <row r="311" spans="1:13" outlineLevel="1" x14ac:dyDescent="0.2">
      <c r="A311" s="20">
        <f t="shared" si="190"/>
        <v>11163</v>
      </c>
      <c r="B311" s="19" t="str">
        <f t="shared" si="190"/>
        <v>UTT</v>
      </c>
      <c r="C311" s="18"/>
      <c r="D311" s="15">
        <v>1188</v>
      </c>
      <c r="E311" s="21">
        <v>0.53300000000000003</v>
      </c>
      <c r="F311" s="14">
        <v>4030.7333333333331</v>
      </c>
      <c r="G311" s="13">
        <v>2364.9800000000037</v>
      </c>
      <c r="H311" s="15">
        <v>366</v>
      </c>
      <c r="I311" s="13">
        <v>9</v>
      </c>
      <c r="J311" s="16">
        <v>939</v>
      </c>
      <c r="K311" s="15">
        <v>1496</v>
      </c>
      <c r="L311" s="14">
        <v>905</v>
      </c>
      <c r="M311" s="13">
        <v>401</v>
      </c>
    </row>
    <row r="312" spans="1:13" outlineLevel="1" x14ac:dyDescent="0.2">
      <c r="A312" s="20">
        <f t="shared" si="190"/>
        <v>3632</v>
      </c>
      <c r="B312" s="19" t="str">
        <f t="shared" si="190"/>
        <v>TAMU</v>
      </c>
      <c r="C312" s="18"/>
      <c r="D312" s="15">
        <v>8748</v>
      </c>
      <c r="E312" s="21">
        <v>0.84399999999999997</v>
      </c>
      <c r="F312" s="14">
        <v>34425.133333333331</v>
      </c>
      <c r="G312" s="13">
        <v>20060.050000001262</v>
      </c>
      <c r="H312" s="15">
        <v>1775</v>
      </c>
      <c r="I312" s="13">
        <v>133</v>
      </c>
      <c r="J312" s="16">
        <v>3727</v>
      </c>
      <c r="K312" s="15">
        <v>9623</v>
      </c>
      <c r="L312" s="14">
        <v>8962</v>
      </c>
      <c r="M312" s="13">
        <v>6823</v>
      </c>
    </row>
    <row r="313" spans="1:13" outlineLevel="1" x14ac:dyDescent="0.2">
      <c r="A313" s="20">
        <f t="shared" si="190"/>
        <v>10298</v>
      </c>
      <c r="B313" s="19" t="str">
        <f t="shared" si="190"/>
        <v>TAMUG</v>
      </c>
      <c r="C313" s="18"/>
      <c r="D313" s="15">
        <v>250</v>
      </c>
      <c r="E313" s="21">
        <v>0.66400000000000003</v>
      </c>
      <c r="F313" s="14">
        <v>1668.1333333333334</v>
      </c>
      <c r="G313" s="13">
        <v>648.89999999999895</v>
      </c>
      <c r="H313" s="15">
        <v>35</v>
      </c>
      <c r="I313" s="13">
        <v>0</v>
      </c>
      <c r="J313" s="16">
        <v>151</v>
      </c>
      <c r="K313" s="15">
        <v>600</v>
      </c>
      <c r="L313" s="14">
        <v>336</v>
      </c>
      <c r="M313" s="13">
        <v>234</v>
      </c>
    </row>
    <row r="314" spans="1:13" outlineLevel="1" x14ac:dyDescent="0.2">
      <c r="A314" s="20">
        <f t="shared" si="190"/>
        <v>3630</v>
      </c>
      <c r="B314" s="19" t="str">
        <f t="shared" si="190"/>
        <v>Prairie View</v>
      </c>
      <c r="C314" s="18"/>
      <c r="D314" s="15">
        <v>904</v>
      </c>
      <c r="E314" s="21">
        <v>0.37</v>
      </c>
      <c r="F314" s="46">
        <v>6088.2666666666664</v>
      </c>
      <c r="G314" s="13">
        <v>1934.240000000003</v>
      </c>
      <c r="H314" s="15">
        <v>279</v>
      </c>
      <c r="I314" s="13">
        <v>10</v>
      </c>
      <c r="J314" s="16">
        <v>775</v>
      </c>
      <c r="K314" s="15">
        <v>1660</v>
      </c>
      <c r="L314" s="14">
        <v>1237</v>
      </c>
      <c r="M314" s="13">
        <v>905</v>
      </c>
    </row>
    <row r="315" spans="1:13" outlineLevel="1" x14ac:dyDescent="0.2">
      <c r="A315" s="20">
        <f t="shared" si="190"/>
        <v>3631</v>
      </c>
      <c r="B315" s="19" t="str">
        <f t="shared" si="190"/>
        <v>Tarleton</v>
      </c>
      <c r="C315" s="18"/>
      <c r="D315" s="15">
        <v>1552</v>
      </c>
      <c r="E315" s="21">
        <v>0.48299999999999998</v>
      </c>
      <c r="F315" s="46">
        <v>6264.4666666666662</v>
      </c>
      <c r="G315" s="13">
        <v>3063.9600000000341</v>
      </c>
      <c r="H315" s="15">
        <v>197</v>
      </c>
      <c r="I315" s="45">
        <v>56</v>
      </c>
      <c r="J315" s="16">
        <v>1196</v>
      </c>
      <c r="K315" s="47">
        <v>2096</v>
      </c>
      <c r="L315" s="46">
        <v>1464</v>
      </c>
      <c r="M315" s="45">
        <v>840</v>
      </c>
    </row>
    <row r="316" spans="1:13" outlineLevel="1" x14ac:dyDescent="0.2">
      <c r="A316" s="27">
        <f t="shared" si="190"/>
        <v>103631</v>
      </c>
      <c r="B316" s="19" t="str">
        <f t="shared" si="190"/>
        <v>TAMUCT</v>
      </c>
      <c r="C316" s="18"/>
      <c r="D316" s="15">
        <v>462</v>
      </c>
      <c r="E316" s="21">
        <v>0.48299999999999998</v>
      </c>
      <c r="F316" s="46">
        <v>700.66666666666663</v>
      </c>
      <c r="G316" s="13">
        <v>846.68000000000006</v>
      </c>
      <c r="H316" s="15">
        <v>36</v>
      </c>
      <c r="I316" s="45">
        <v>0</v>
      </c>
      <c r="J316" s="16">
        <v>330</v>
      </c>
      <c r="K316" s="47">
        <v>555</v>
      </c>
      <c r="L316" s="46">
        <v>143</v>
      </c>
      <c r="M316" s="45">
        <v>66</v>
      </c>
    </row>
    <row r="317" spans="1:13" outlineLevel="1" x14ac:dyDescent="0.2">
      <c r="A317" s="20">
        <f t="shared" si="190"/>
        <v>11161</v>
      </c>
      <c r="B317" s="19" t="str">
        <f t="shared" si="190"/>
        <v>TAMUCC</v>
      </c>
      <c r="C317" s="18"/>
      <c r="D317" s="15">
        <v>1315</v>
      </c>
      <c r="E317" s="21">
        <v>0.51100000000000001</v>
      </c>
      <c r="F317" s="46">
        <v>6609.8666666666668</v>
      </c>
      <c r="G317" s="13">
        <v>2639.1300000000101</v>
      </c>
      <c r="H317" s="15">
        <v>252</v>
      </c>
      <c r="I317" s="45">
        <v>25</v>
      </c>
      <c r="J317" s="16">
        <v>1034</v>
      </c>
      <c r="K317" s="15">
        <v>2126</v>
      </c>
      <c r="L317" s="14">
        <v>1577</v>
      </c>
      <c r="M317" s="13">
        <v>864</v>
      </c>
    </row>
    <row r="318" spans="1:13" outlineLevel="1" x14ac:dyDescent="0.2">
      <c r="A318" s="20">
        <f t="shared" si="190"/>
        <v>3639</v>
      </c>
      <c r="B318" s="19" t="str">
        <f t="shared" si="190"/>
        <v>TAMUK</v>
      </c>
      <c r="C318" s="18"/>
      <c r="D318" s="15">
        <v>738</v>
      </c>
      <c r="E318" s="21">
        <v>0.39799999999999996</v>
      </c>
      <c r="F318" s="46">
        <v>4394.2</v>
      </c>
      <c r="G318" s="13">
        <v>1735.8600000000065</v>
      </c>
      <c r="H318" s="15">
        <v>246</v>
      </c>
      <c r="I318" s="45">
        <v>16</v>
      </c>
      <c r="J318" s="16">
        <v>613</v>
      </c>
      <c r="K318" s="47">
        <v>1180</v>
      </c>
      <c r="L318" s="46">
        <v>879</v>
      </c>
      <c r="M318" s="45">
        <v>555</v>
      </c>
    </row>
    <row r="319" spans="1:13" outlineLevel="1" x14ac:dyDescent="0.2">
      <c r="A319" s="27">
        <f t="shared" si="190"/>
        <v>103639</v>
      </c>
      <c r="B319" s="19" t="str">
        <f t="shared" si="190"/>
        <v>TAMUSA</v>
      </c>
      <c r="C319" s="18"/>
      <c r="D319" s="15">
        <v>620</v>
      </c>
      <c r="E319" s="21">
        <v>0.39799999999999996</v>
      </c>
      <c r="F319" s="46">
        <v>1492.4</v>
      </c>
      <c r="G319" s="13">
        <v>1078.0000000000073</v>
      </c>
      <c r="H319" s="15">
        <v>1</v>
      </c>
      <c r="I319" s="45">
        <v>0</v>
      </c>
      <c r="J319" s="16">
        <v>520</v>
      </c>
      <c r="K319" s="47">
        <v>995</v>
      </c>
      <c r="L319" s="46">
        <v>37</v>
      </c>
      <c r="M319" s="45">
        <v>2</v>
      </c>
    </row>
    <row r="320" spans="1:13" outlineLevel="1" x14ac:dyDescent="0.2">
      <c r="A320" s="20">
        <f t="shared" si="190"/>
        <v>9651</v>
      </c>
      <c r="B320" s="19" t="str">
        <f t="shared" si="190"/>
        <v>TAMI</v>
      </c>
      <c r="C320" s="18"/>
      <c r="D320" s="15">
        <v>766</v>
      </c>
      <c r="E320" s="21">
        <v>0.503</v>
      </c>
      <c r="F320" s="14">
        <v>4126.8</v>
      </c>
      <c r="G320" s="13">
        <v>1400.4200000000046</v>
      </c>
      <c r="H320" s="15">
        <v>120</v>
      </c>
      <c r="I320" s="13">
        <v>18</v>
      </c>
      <c r="J320" s="16">
        <v>688</v>
      </c>
      <c r="K320" s="15">
        <v>1515</v>
      </c>
      <c r="L320" s="14">
        <v>1027</v>
      </c>
      <c r="M320" s="13">
        <v>486</v>
      </c>
    </row>
    <row r="321" spans="1:13" outlineLevel="1" x14ac:dyDescent="0.2">
      <c r="A321" s="20">
        <f t="shared" si="190"/>
        <v>3665</v>
      </c>
      <c r="B321" s="19" t="str">
        <f t="shared" si="190"/>
        <v>WTAMU</v>
      </c>
      <c r="C321" s="18"/>
      <c r="D321" s="15">
        <v>1294</v>
      </c>
      <c r="E321" s="21">
        <v>0.47399999999999998</v>
      </c>
      <c r="F321" s="14">
        <v>5457.666666666667</v>
      </c>
      <c r="G321" s="13">
        <v>2570.7800000000157</v>
      </c>
      <c r="H321" s="15">
        <v>184</v>
      </c>
      <c r="I321" s="13">
        <v>58</v>
      </c>
      <c r="J321" s="16">
        <v>913</v>
      </c>
      <c r="K321" s="15">
        <v>1871</v>
      </c>
      <c r="L321" s="14">
        <v>1264</v>
      </c>
      <c r="M321" s="13">
        <v>664</v>
      </c>
    </row>
    <row r="322" spans="1:13" outlineLevel="1" x14ac:dyDescent="0.2">
      <c r="A322" s="20">
        <f t="shared" si="190"/>
        <v>3565</v>
      </c>
      <c r="B322" s="19" t="str">
        <f t="shared" si="190"/>
        <v>TAMUC</v>
      </c>
      <c r="C322" s="18"/>
      <c r="D322" s="15">
        <v>1313</v>
      </c>
      <c r="E322" s="21">
        <v>0.42600000000000005</v>
      </c>
      <c r="F322" s="14">
        <v>4783.5333333333338</v>
      </c>
      <c r="G322" s="13">
        <v>2463.6900000000296</v>
      </c>
      <c r="H322" s="15">
        <v>71</v>
      </c>
      <c r="I322" s="13">
        <v>77</v>
      </c>
      <c r="J322" s="16">
        <v>1002</v>
      </c>
      <c r="K322" s="15">
        <v>1911</v>
      </c>
      <c r="L322" s="14">
        <v>1200</v>
      </c>
      <c r="M322" s="13">
        <v>477</v>
      </c>
    </row>
    <row r="323" spans="1:13" outlineLevel="1" x14ac:dyDescent="0.2">
      <c r="A323" s="20">
        <f t="shared" ref="A323:B340" si="191">A281</f>
        <v>29269</v>
      </c>
      <c r="B323" s="19" t="str">
        <f t="shared" si="191"/>
        <v>TAMUT</v>
      </c>
      <c r="C323" s="18"/>
      <c r="D323" s="15">
        <v>335</v>
      </c>
      <c r="E323" s="17">
        <v>0.56028368794326244</v>
      </c>
      <c r="F323" s="14">
        <v>879.13333333333333</v>
      </c>
      <c r="G323" s="13">
        <v>609.83000000000015</v>
      </c>
      <c r="H323" s="15">
        <v>48</v>
      </c>
      <c r="I323" s="13">
        <v>18</v>
      </c>
      <c r="J323" s="16">
        <v>230</v>
      </c>
      <c r="K323" s="15">
        <v>411</v>
      </c>
      <c r="L323" s="14">
        <v>186</v>
      </c>
      <c r="M323" s="13">
        <v>1</v>
      </c>
    </row>
    <row r="324" spans="1:13" outlineLevel="1" x14ac:dyDescent="0.2">
      <c r="A324" s="20">
        <f t="shared" si="191"/>
        <v>3652</v>
      </c>
      <c r="B324" s="19" t="str">
        <f t="shared" si="191"/>
        <v>UH</v>
      </c>
      <c r="C324" s="18"/>
      <c r="D324" s="15">
        <v>5092</v>
      </c>
      <c r="E324" s="21">
        <v>0.54200000000000004</v>
      </c>
      <c r="F324" s="14">
        <v>23853.933333333334</v>
      </c>
      <c r="G324" s="13">
        <v>10569.339999999527</v>
      </c>
      <c r="H324" s="15">
        <v>720</v>
      </c>
      <c r="I324" s="13">
        <v>74</v>
      </c>
      <c r="J324" s="16">
        <v>3340</v>
      </c>
      <c r="K324" s="15">
        <v>7467</v>
      </c>
      <c r="L324" s="14">
        <v>5804</v>
      </c>
      <c r="M324" s="13">
        <v>3314</v>
      </c>
    </row>
    <row r="325" spans="1:13" outlineLevel="1" x14ac:dyDescent="0.2">
      <c r="A325" s="20">
        <f t="shared" si="191"/>
        <v>11711</v>
      </c>
      <c r="B325" s="19" t="str">
        <f t="shared" si="191"/>
        <v>UHCL</v>
      </c>
      <c r="C325" s="18"/>
      <c r="D325" s="15">
        <v>1197</v>
      </c>
      <c r="E325" s="17">
        <v>0.53820033955857383</v>
      </c>
      <c r="F325" s="14">
        <v>3046.8</v>
      </c>
      <c r="G325" s="13">
        <v>2293.9500000000248</v>
      </c>
      <c r="H325" s="15">
        <v>113</v>
      </c>
      <c r="I325" s="13">
        <v>8</v>
      </c>
      <c r="J325" s="16">
        <v>777</v>
      </c>
      <c r="K325" s="15">
        <v>1434</v>
      </c>
      <c r="L325" s="14">
        <v>959</v>
      </c>
      <c r="M325" s="13">
        <v>53</v>
      </c>
    </row>
    <row r="326" spans="1:13" outlineLevel="1" x14ac:dyDescent="0.2">
      <c r="A326" s="20">
        <f t="shared" si="191"/>
        <v>12826</v>
      </c>
      <c r="B326" s="19" t="str">
        <f t="shared" si="191"/>
        <v>UHD</v>
      </c>
      <c r="C326" s="18"/>
      <c r="D326" s="15">
        <v>2437</v>
      </c>
      <c r="E326" s="21">
        <v>0.215</v>
      </c>
      <c r="F326" s="14">
        <v>7949.2666666666664</v>
      </c>
      <c r="G326" s="13">
        <v>4368.2100000000464</v>
      </c>
      <c r="H326" s="15">
        <v>143</v>
      </c>
      <c r="I326" s="13">
        <v>0</v>
      </c>
      <c r="J326" s="16">
        <v>1730</v>
      </c>
      <c r="K326" s="15">
        <v>3223</v>
      </c>
      <c r="L326" s="14">
        <v>1896</v>
      </c>
      <c r="M326" s="13">
        <v>618</v>
      </c>
    </row>
    <row r="327" spans="1:13" outlineLevel="1" x14ac:dyDescent="0.2">
      <c r="A327" s="20">
        <f t="shared" si="191"/>
        <v>13231</v>
      </c>
      <c r="B327" s="19" t="str">
        <f t="shared" si="191"/>
        <v>UHV</v>
      </c>
      <c r="C327" s="18"/>
      <c r="D327" s="15">
        <v>596</v>
      </c>
      <c r="E327" s="17">
        <v>0.5339366515837104</v>
      </c>
      <c r="F327" s="14">
        <v>1494.2</v>
      </c>
      <c r="G327" s="13">
        <v>1103.6999999999998</v>
      </c>
      <c r="H327" s="15">
        <v>118</v>
      </c>
      <c r="I327" s="13">
        <v>11</v>
      </c>
      <c r="J327" s="16">
        <v>397</v>
      </c>
      <c r="K327" s="15">
        <v>718</v>
      </c>
      <c r="L327" s="14">
        <v>286</v>
      </c>
      <c r="M327" s="13">
        <v>6</v>
      </c>
    </row>
    <row r="328" spans="1:13" outlineLevel="1" x14ac:dyDescent="0.2">
      <c r="A328" s="20">
        <f t="shared" si="191"/>
        <v>3592</v>
      </c>
      <c r="B328" s="19" t="str">
        <f t="shared" si="191"/>
        <v>Midwestern</v>
      </c>
      <c r="C328" s="18"/>
      <c r="D328" s="15">
        <v>1027</v>
      </c>
      <c r="E328" s="21">
        <v>0.443</v>
      </c>
      <c r="F328" s="14">
        <v>4387.7333333333336</v>
      </c>
      <c r="G328" s="13">
        <v>1924.84</v>
      </c>
      <c r="H328" s="15">
        <v>340</v>
      </c>
      <c r="I328" s="13">
        <v>11</v>
      </c>
      <c r="J328" s="16">
        <v>675</v>
      </c>
      <c r="K328" s="15">
        <v>1507</v>
      </c>
      <c r="L328" s="14">
        <v>1079</v>
      </c>
      <c r="M328" s="13">
        <v>734</v>
      </c>
    </row>
    <row r="329" spans="1:13" outlineLevel="1" x14ac:dyDescent="0.2">
      <c r="A329" s="20">
        <f t="shared" si="191"/>
        <v>3594</v>
      </c>
      <c r="B329" s="19" t="str">
        <f t="shared" si="191"/>
        <v>UNT</v>
      </c>
      <c r="C329" s="18"/>
      <c r="D329" s="15">
        <v>6183</v>
      </c>
      <c r="E329" s="21">
        <v>0.58700000000000008</v>
      </c>
      <c r="F329" s="14">
        <v>23168.733333333334</v>
      </c>
      <c r="G329" s="13">
        <v>11731.089999999795</v>
      </c>
      <c r="H329" s="15">
        <v>345</v>
      </c>
      <c r="I329" s="13">
        <v>47</v>
      </c>
      <c r="J329" s="16">
        <v>3942</v>
      </c>
      <c r="K329" s="15">
        <v>7957</v>
      </c>
      <c r="L329" s="14">
        <v>5891</v>
      </c>
      <c r="M329" s="13">
        <v>3310</v>
      </c>
    </row>
    <row r="330" spans="1:13" outlineLevel="1" x14ac:dyDescent="0.2">
      <c r="A330" s="27">
        <f t="shared" si="191"/>
        <v>113594</v>
      </c>
      <c r="B330" s="19" t="str">
        <f t="shared" si="191"/>
        <v>UNTD</v>
      </c>
      <c r="C330" s="18"/>
      <c r="D330" s="30">
        <v>388</v>
      </c>
      <c r="E330" s="44">
        <v>0.58700000000000008</v>
      </c>
      <c r="F330" s="29">
        <v>908.8</v>
      </c>
      <c r="G330" s="28">
        <v>669.60000000000036</v>
      </c>
      <c r="H330" s="30">
        <v>10</v>
      </c>
      <c r="I330" s="28"/>
      <c r="J330" s="43">
        <v>304</v>
      </c>
      <c r="K330" s="30">
        <v>487</v>
      </c>
      <c r="L330" s="29">
        <v>63</v>
      </c>
      <c r="M330" s="28">
        <v>18</v>
      </c>
    </row>
    <row r="331" spans="1:13" outlineLevel="1" x14ac:dyDescent="0.2">
      <c r="A331" s="20">
        <f t="shared" si="191"/>
        <v>3624</v>
      </c>
      <c r="B331" s="19" t="str">
        <f t="shared" si="191"/>
        <v>SFA</v>
      </c>
      <c r="C331" s="18"/>
      <c r="D331" s="15">
        <v>1880</v>
      </c>
      <c r="E331" s="21">
        <v>0.53900000000000003</v>
      </c>
      <c r="F331" s="14">
        <v>9440.9333333333325</v>
      </c>
      <c r="G331" s="13">
        <v>3606.8600000000297</v>
      </c>
      <c r="H331" s="15">
        <v>241</v>
      </c>
      <c r="I331" s="13">
        <v>49</v>
      </c>
      <c r="J331" s="16">
        <v>1446</v>
      </c>
      <c r="K331" s="15">
        <v>3040</v>
      </c>
      <c r="L331" s="14">
        <v>2166</v>
      </c>
      <c r="M331" s="13">
        <v>1402</v>
      </c>
    </row>
    <row r="332" spans="1:13" outlineLevel="1" x14ac:dyDescent="0.2">
      <c r="A332" s="20">
        <f t="shared" si="191"/>
        <v>3642</v>
      </c>
      <c r="B332" s="19" t="str">
        <f t="shared" si="191"/>
        <v>TSU</v>
      </c>
      <c r="C332" s="18"/>
      <c r="D332" s="15">
        <v>721</v>
      </c>
      <c r="E332" s="21">
        <v>0.14099999999999999</v>
      </c>
      <c r="F332" s="14">
        <v>5912.8</v>
      </c>
      <c r="G332" s="13">
        <v>1385.6100000000063</v>
      </c>
      <c r="H332" s="15">
        <v>122</v>
      </c>
      <c r="I332" s="13">
        <v>2</v>
      </c>
      <c r="J332" s="16">
        <v>635</v>
      </c>
      <c r="K332" s="15">
        <v>1692</v>
      </c>
      <c r="L332" s="14">
        <v>1274</v>
      </c>
      <c r="M332" s="13">
        <v>870</v>
      </c>
    </row>
    <row r="333" spans="1:13" outlineLevel="1" x14ac:dyDescent="0.2">
      <c r="A333" s="20">
        <f t="shared" si="191"/>
        <v>3644</v>
      </c>
      <c r="B333" s="19" t="str">
        <f t="shared" si="191"/>
        <v>TTU</v>
      </c>
      <c r="C333" s="18"/>
      <c r="D333" s="15">
        <v>4605</v>
      </c>
      <c r="E333" s="21">
        <v>0.7320000000000001</v>
      </c>
      <c r="F333" s="14">
        <v>22527.466666666667</v>
      </c>
      <c r="G333" s="13">
        <v>9815.7899999997753</v>
      </c>
      <c r="H333" s="15">
        <v>687</v>
      </c>
      <c r="I333" s="13">
        <v>62</v>
      </c>
      <c r="J333" s="16">
        <v>2724</v>
      </c>
      <c r="K333" s="15">
        <v>6577</v>
      </c>
      <c r="L333" s="14">
        <v>5355</v>
      </c>
      <c r="M333" s="13">
        <v>3957</v>
      </c>
    </row>
    <row r="334" spans="1:13" outlineLevel="1" x14ac:dyDescent="0.2">
      <c r="A334" s="20">
        <f t="shared" si="191"/>
        <v>3541</v>
      </c>
      <c r="B334" s="19" t="str">
        <f t="shared" si="191"/>
        <v>Angelo</v>
      </c>
      <c r="C334" s="18"/>
      <c r="D334" s="15">
        <v>960</v>
      </c>
      <c r="E334" s="21">
        <v>0.441</v>
      </c>
      <c r="F334" s="14">
        <v>4895.666666666667</v>
      </c>
      <c r="G334" s="13">
        <v>1856.9499999999953</v>
      </c>
      <c r="H334" s="15">
        <v>242</v>
      </c>
      <c r="I334" s="13">
        <v>21</v>
      </c>
      <c r="J334" s="16">
        <v>720</v>
      </c>
      <c r="K334" s="15">
        <v>1444</v>
      </c>
      <c r="L334" s="14">
        <v>1071</v>
      </c>
      <c r="M334" s="13">
        <v>708</v>
      </c>
    </row>
    <row r="335" spans="1:13" outlineLevel="1" x14ac:dyDescent="0.2">
      <c r="A335" s="20">
        <f t="shared" si="191"/>
        <v>3646</v>
      </c>
      <c r="B335" s="19" t="str">
        <f t="shared" si="191"/>
        <v>TWU</v>
      </c>
      <c r="C335" s="18"/>
      <c r="D335" s="15">
        <v>1725</v>
      </c>
      <c r="E335" s="21">
        <v>0.48399999999999999</v>
      </c>
      <c r="F335" s="14">
        <v>6598.2</v>
      </c>
      <c r="G335" s="13">
        <v>3227.0100000000139</v>
      </c>
      <c r="H335" s="15">
        <v>523</v>
      </c>
      <c r="I335" s="13">
        <v>34</v>
      </c>
      <c r="J335" s="16">
        <v>1201</v>
      </c>
      <c r="K335" s="15">
        <v>2121</v>
      </c>
      <c r="L335" s="14">
        <v>1259</v>
      </c>
      <c r="M335" s="13">
        <v>608</v>
      </c>
    </row>
    <row r="336" spans="1:13" outlineLevel="1" x14ac:dyDescent="0.2">
      <c r="A336" s="20">
        <f t="shared" si="191"/>
        <v>3581</v>
      </c>
      <c r="B336" s="19" t="str">
        <f t="shared" si="191"/>
        <v>Lamar</v>
      </c>
      <c r="C336" s="18"/>
      <c r="D336" s="15">
        <v>1340</v>
      </c>
      <c r="E336" s="21">
        <v>0.35399999999999998</v>
      </c>
      <c r="F336" s="14">
        <v>7247.8</v>
      </c>
      <c r="G336" s="13">
        <v>2695.0800000000122</v>
      </c>
      <c r="H336" s="15">
        <v>358</v>
      </c>
      <c r="I336" s="13">
        <v>16</v>
      </c>
      <c r="J336" s="16">
        <v>943</v>
      </c>
      <c r="K336" s="15">
        <v>2317</v>
      </c>
      <c r="L336" s="14">
        <v>1577</v>
      </c>
      <c r="M336" s="13">
        <v>1000</v>
      </c>
    </row>
    <row r="337" spans="1:15" outlineLevel="1" x14ac:dyDescent="0.2">
      <c r="A337" s="20">
        <f t="shared" si="191"/>
        <v>3606</v>
      </c>
      <c r="B337" s="19" t="str">
        <f t="shared" si="191"/>
        <v>SHSU</v>
      </c>
      <c r="C337" s="18"/>
      <c r="D337" s="15">
        <v>3013</v>
      </c>
      <c r="E337" s="21">
        <v>0.60299999999999998</v>
      </c>
      <c r="F337" s="14">
        <v>12631.666666666666</v>
      </c>
      <c r="G337" s="13">
        <v>5628.5800000000427</v>
      </c>
      <c r="H337" s="15">
        <v>166</v>
      </c>
      <c r="I337" s="13">
        <v>63</v>
      </c>
      <c r="J337" s="16">
        <v>2160</v>
      </c>
      <c r="K337" s="15">
        <v>3940</v>
      </c>
      <c r="L337" s="14">
        <v>2970</v>
      </c>
      <c r="M337" s="13">
        <v>1716</v>
      </c>
    </row>
    <row r="338" spans="1:15" outlineLevel="1" x14ac:dyDescent="0.2">
      <c r="A338" s="20">
        <f t="shared" si="191"/>
        <v>3615</v>
      </c>
      <c r="B338" s="19" t="str">
        <f t="shared" si="191"/>
        <v>TXST</v>
      </c>
      <c r="C338" s="18"/>
      <c r="D338" s="15">
        <v>5349</v>
      </c>
      <c r="E338" s="21">
        <v>0.6409999999999999</v>
      </c>
      <c r="F338" s="14">
        <v>22917.933333333334</v>
      </c>
      <c r="G338" s="13">
        <v>10250.389999999717</v>
      </c>
      <c r="H338" s="15">
        <v>445</v>
      </c>
      <c r="I338" s="13">
        <v>65</v>
      </c>
      <c r="J338" s="16">
        <v>3665</v>
      </c>
      <c r="K338" s="15">
        <v>7685</v>
      </c>
      <c r="L338" s="14">
        <v>5748</v>
      </c>
      <c r="M338" s="13">
        <v>3317</v>
      </c>
    </row>
    <row r="339" spans="1:15" outlineLevel="1" x14ac:dyDescent="0.2">
      <c r="A339" s="20">
        <f t="shared" si="191"/>
        <v>3625</v>
      </c>
      <c r="B339" s="19" t="str">
        <f t="shared" si="191"/>
        <v>SRSU</v>
      </c>
      <c r="C339" s="18"/>
      <c r="D339" s="15">
        <v>196</v>
      </c>
      <c r="E339" s="21">
        <v>0.29199999999999998</v>
      </c>
      <c r="F339" s="14">
        <v>1200.1333333333334</v>
      </c>
      <c r="G339" s="13">
        <v>405.49999999999949</v>
      </c>
      <c r="H339" s="15">
        <v>18</v>
      </c>
      <c r="I339" s="13">
        <v>4</v>
      </c>
      <c r="J339" s="16">
        <v>166</v>
      </c>
      <c r="K339" s="15">
        <v>298</v>
      </c>
      <c r="L339" s="14">
        <v>217</v>
      </c>
      <c r="M339" s="13">
        <v>136</v>
      </c>
      <c r="N339" s="156"/>
    </row>
    <row r="340" spans="1:15" outlineLevel="1" x14ac:dyDescent="0.2">
      <c r="A340" s="20">
        <f t="shared" si="191"/>
        <v>20</v>
      </c>
      <c r="B340" s="19" t="str">
        <f t="shared" si="191"/>
        <v>SRRG</v>
      </c>
      <c r="C340" s="18"/>
      <c r="D340" s="15">
        <v>163</v>
      </c>
      <c r="E340" s="17">
        <v>0.33750000000000002</v>
      </c>
      <c r="F340" s="14">
        <v>472.13333333333333</v>
      </c>
      <c r="G340" s="13">
        <v>281.52999999999975</v>
      </c>
      <c r="H340" s="15">
        <v>5</v>
      </c>
      <c r="I340" s="13">
        <v>7</v>
      </c>
      <c r="J340" s="16">
        <v>145</v>
      </c>
      <c r="K340" s="15">
        <v>224</v>
      </c>
      <c r="L340" s="14">
        <v>97</v>
      </c>
      <c r="M340" s="13">
        <v>2</v>
      </c>
    </row>
    <row r="341" spans="1:15" ht="13.5" outlineLevel="1" thickBot="1" x14ac:dyDescent="0.25">
      <c r="A341" s="12"/>
      <c r="B341" s="11" t="s">
        <v>11</v>
      </c>
      <c r="C341" s="10"/>
      <c r="D341" s="9">
        <f>SUM(D303:D340)</f>
        <v>84231</v>
      </c>
      <c r="E341" s="8">
        <v>0.58399999999999996</v>
      </c>
      <c r="F341" s="7">
        <f t="shared" ref="F341:M341" si="192">SUM(F303:F340)</f>
        <v>351171.46666666673</v>
      </c>
      <c r="G341" s="3">
        <f t="shared" si="192"/>
        <v>170914.74000000223</v>
      </c>
      <c r="H341" s="5">
        <f t="shared" si="192"/>
        <v>13857</v>
      </c>
      <c r="I341" s="3">
        <f t="shared" si="192"/>
        <v>1204</v>
      </c>
      <c r="J341" s="6">
        <f t="shared" si="192"/>
        <v>54385</v>
      </c>
      <c r="K341" s="5">
        <f t="shared" si="192"/>
        <v>116139</v>
      </c>
      <c r="L341" s="4">
        <f t="shared" si="192"/>
        <v>84006</v>
      </c>
      <c r="M341" s="3">
        <f t="shared" si="192"/>
        <v>51310</v>
      </c>
    </row>
    <row r="342" spans="1:15" ht="13.5" thickBot="1" x14ac:dyDescent="0.25">
      <c r="A342" s="42" t="s">
        <v>25</v>
      </c>
      <c r="B342" s="42"/>
      <c r="C342" s="42"/>
      <c r="D342" s="42"/>
      <c r="F342" s="42"/>
      <c r="J342" s="42"/>
    </row>
    <row r="343" spans="1:15" ht="12.75" customHeight="1" outlineLevel="1" x14ac:dyDescent="0.2">
      <c r="A343" s="234" t="s">
        <v>24</v>
      </c>
      <c r="B343" s="236" t="s">
        <v>23</v>
      </c>
      <c r="C343" s="238"/>
      <c r="D343" s="240" t="s">
        <v>22</v>
      </c>
      <c r="E343" s="242" t="s">
        <v>21</v>
      </c>
      <c r="F343" s="236" t="s">
        <v>20</v>
      </c>
      <c r="G343" s="221" t="s">
        <v>19</v>
      </c>
      <c r="H343" s="223" t="s">
        <v>18</v>
      </c>
      <c r="I343" s="225" t="s">
        <v>17</v>
      </c>
      <c r="J343" s="227" t="s">
        <v>16</v>
      </c>
      <c r="K343" s="229" t="s">
        <v>15</v>
      </c>
      <c r="L343" s="230"/>
      <c r="M343" s="231"/>
    </row>
    <row r="344" spans="1:15" s="41" customFormat="1" ht="39.75" customHeight="1" outlineLevel="1" thickBot="1" x14ac:dyDescent="0.25">
      <c r="A344" s="273"/>
      <c r="B344" s="270"/>
      <c r="C344" s="274"/>
      <c r="D344" s="275"/>
      <c r="E344" s="276"/>
      <c r="F344" s="270"/>
      <c r="G344" s="271"/>
      <c r="H344" s="272"/>
      <c r="I344" s="265"/>
      <c r="J344" s="266"/>
      <c r="K344" s="125" t="s">
        <v>14</v>
      </c>
      <c r="L344" s="126" t="s">
        <v>13</v>
      </c>
      <c r="M344" s="135" t="s">
        <v>12</v>
      </c>
      <c r="N344" s="154"/>
    </row>
    <row r="345" spans="1:15" outlineLevel="1" x14ac:dyDescent="0.2">
      <c r="A345" s="40">
        <f t="shared" ref="A345:B364" si="193">A303</f>
        <v>3656</v>
      </c>
      <c r="B345" s="39" t="str">
        <f t="shared" si="193"/>
        <v>UTA</v>
      </c>
      <c r="C345" s="38"/>
      <c r="D345" s="33">
        <v>4178</v>
      </c>
      <c r="E345" s="37">
        <v>0.50700000000000001</v>
      </c>
      <c r="F345" s="32">
        <v>15698.133333333333</v>
      </c>
      <c r="G345" s="31">
        <v>8640.2399999998797</v>
      </c>
      <c r="H345" s="36">
        <v>834</v>
      </c>
      <c r="I345" s="35">
        <v>36</v>
      </c>
      <c r="J345" s="34">
        <v>2662</v>
      </c>
      <c r="K345" s="33">
        <v>6630</v>
      </c>
      <c r="L345" s="32">
        <v>3636</v>
      </c>
      <c r="M345" s="31">
        <v>1724</v>
      </c>
    </row>
    <row r="346" spans="1:15" outlineLevel="1" x14ac:dyDescent="0.2">
      <c r="A346" s="20">
        <f t="shared" si="193"/>
        <v>3658</v>
      </c>
      <c r="B346" s="19" t="str">
        <f t="shared" si="193"/>
        <v>UT</v>
      </c>
      <c r="C346" s="18"/>
      <c r="D346" s="15">
        <v>8952</v>
      </c>
      <c r="E346" s="21">
        <v>0.82899999999999996</v>
      </c>
      <c r="F346" s="14">
        <v>33736.73333333333</v>
      </c>
      <c r="G346" s="13">
        <v>19230.319999999745</v>
      </c>
      <c r="H346" s="15">
        <v>1754</v>
      </c>
      <c r="I346" s="13">
        <v>55</v>
      </c>
      <c r="J346" s="16">
        <v>3435</v>
      </c>
      <c r="K346" s="15">
        <v>9596</v>
      </c>
      <c r="L346" s="14">
        <v>9749</v>
      </c>
      <c r="M346" s="13">
        <v>7288</v>
      </c>
      <c r="O346" s="2"/>
    </row>
    <row r="347" spans="1:15" outlineLevel="1" x14ac:dyDescent="0.2">
      <c r="A347" s="20">
        <f t="shared" si="193"/>
        <v>9741</v>
      </c>
      <c r="B347" s="19" t="str">
        <f t="shared" si="193"/>
        <v>UTD</v>
      </c>
      <c r="C347" s="18"/>
      <c r="D347" s="15">
        <v>2355</v>
      </c>
      <c r="E347" s="21">
        <v>0.70699999999999996</v>
      </c>
      <c r="F347" s="14">
        <v>8108.8666666666668</v>
      </c>
      <c r="G347" s="13">
        <v>4955.5700000000443</v>
      </c>
      <c r="H347" s="15">
        <v>392</v>
      </c>
      <c r="I347" s="13">
        <v>36</v>
      </c>
      <c r="J347" s="16">
        <v>1255</v>
      </c>
      <c r="K347" s="15">
        <v>3078</v>
      </c>
      <c r="L347" s="14">
        <v>1950</v>
      </c>
      <c r="M347" s="13">
        <v>923</v>
      </c>
      <c r="O347" s="2"/>
    </row>
    <row r="348" spans="1:15" outlineLevel="1" x14ac:dyDescent="0.2">
      <c r="A348" s="20">
        <f t="shared" si="193"/>
        <v>3661</v>
      </c>
      <c r="B348" s="19" t="str">
        <f t="shared" si="193"/>
        <v>UTEP</v>
      </c>
      <c r="C348" s="18"/>
      <c r="D348" s="15">
        <v>3031</v>
      </c>
      <c r="E348" s="21">
        <v>0.374</v>
      </c>
      <c r="F348" s="14">
        <v>12791.933333333332</v>
      </c>
      <c r="G348" s="13">
        <v>6295.4500000000389</v>
      </c>
      <c r="H348" s="15">
        <v>709</v>
      </c>
      <c r="I348" s="13">
        <v>93</v>
      </c>
      <c r="J348" s="16">
        <v>2394</v>
      </c>
      <c r="K348" s="15">
        <v>4200</v>
      </c>
      <c r="L348" s="14">
        <v>3366</v>
      </c>
      <c r="M348" s="13">
        <v>1972</v>
      </c>
      <c r="O348" s="2"/>
    </row>
    <row r="349" spans="1:15" outlineLevel="1" x14ac:dyDescent="0.2">
      <c r="A349" s="20">
        <f t="shared" si="193"/>
        <v>3599</v>
      </c>
      <c r="B349" s="19" t="str">
        <f t="shared" si="193"/>
        <v>UTPA</v>
      </c>
      <c r="C349" s="18"/>
      <c r="D349" s="15">
        <v>2620</v>
      </c>
      <c r="E349" s="21">
        <v>0.38900000000000001</v>
      </c>
      <c r="F349" s="14">
        <v>12572.333333333334</v>
      </c>
      <c r="G349" s="13">
        <v>5170.8900000000631</v>
      </c>
      <c r="H349" s="15">
        <v>480</v>
      </c>
      <c r="I349" s="13">
        <v>31</v>
      </c>
      <c r="J349" s="16">
        <v>2341</v>
      </c>
      <c r="K349" s="15">
        <v>4354</v>
      </c>
      <c r="L349" s="14">
        <v>3136</v>
      </c>
      <c r="M349" s="13">
        <v>1924</v>
      </c>
      <c r="O349" s="2"/>
    </row>
    <row r="350" spans="1:15" outlineLevel="1" x14ac:dyDescent="0.2">
      <c r="A350" s="20">
        <f t="shared" si="193"/>
        <v>30646</v>
      </c>
      <c r="B350" s="19" t="str">
        <f t="shared" si="193"/>
        <v>UTB</v>
      </c>
      <c r="C350" s="18"/>
      <c r="D350" s="15">
        <v>1052</v>
      </c>
      <c r="E350" s="17">
        <v>0.64666666666666661</v>
      </c>
      <c r="F350" s="14">
        <v>2989.6</v>
      </c>
      <c r="G350" s="13">
        <v>2005.0100000000309</v>
      </c>
      <c r="H350" s="15">
        <v>108</v>
      </c>
      <c r="I350" s="13">
        <v>19</v>
      </c>
      <c r="J350" s="16">
        <v>916</v>
      </c>
      <c r="K350" s="15">
        <v>1377</v>
      </c>
      <c r="L350" s="14">
        <v>583</v>
      </c>
      <c r="M350" s="13">
        <v>72</v>
      </c>
      <c r="O350" s="2"/>
    </row>
    <row r="351" spans="1:15" outlineLevel="1" x14ac:dyDescent="0.2">
      <c r="A351" s="20">
        <f t="shared" si="193"/>
        <v>9930</v>
      </c>
      <c r="B351" s="19" t="str">
        <f t="shared" si="193"/>
        <v>UTPB</v>
      </c>
      <c r="C351" s="18"/>
      <c r="D351" s="15">
        <v>513</v>
      </c>
      <c r="E351" s="21">
        <v>0.44600000000000001</v>
      </c>
      <c r="F351" s="14">
        <v>2159.6</v>
      </c>
      <c r="G351" s="13">
        <v>944.74000000001092</v>
      </c>
      <c r="H351" s="15">
        <v>33</v>
      </c>
      <c r="I351" s="13">
        <v>13</v>
      </c>
      <c r="J351" s="16">
        <v>379</v>
      </c>
      <c r="K351" s="15">
        <v>707</v>
      </c>
      <c r="L351" s="14">
        <v>450</v>
      </c>
      <c r="M351" s="13">
        <v>182</v>
      </c>
      <c r="O351" s="2"/>
    </row>
    <row r="352" spans="1:15" outlineLevel="1" x14ac:dyDescent="0.2">
      <c r="A352" s="20">
        <f t="shared" si="193"/>
        <v>10115</v>
      </c>
      <c r="B352" s="19" t="str">
        <f t="shared" si="193"/>
        <v>UTSA</v>
      </c>
      <c r="C352" s="18"/>
      <c r="D352" s="15">
        <v>3968</v>
      </c>
      <c r="E352" s="21">
        <v>0.44</v>
      </c>
      <c r="F352" s="14">
        <v>19707.533333333333</v>
      </c>
      <c r="G352" s="13">
        <v>8107.0899999997582</v>
      </c>
      <c r="H352" s="15">
        <v>375</v>
      </c>
      <c r="I352" s="13">
        <v>39</v>
      </c>
      <c r="J352" s="16">
        <v>2956</v>
      </c>
      <c r="K352" s="15">
        <v>6812</v>
      </c>
      <c r="L352" s="14">
        <v>4615</v>
      </c>
      <c r="M352" s="13">
        <v>2588</v>
      </c>
      <c r="O352" s="2"/>
    </row>
    <row r="353" spans="1:15" outlineLevel="1" x14ac:dyDescent="0.2">
      <c r="A353" s="20">
        <f t="shared" si="193"/>
        <v>11163</v>
      </c>
      <c r="B353" s="19" t="str">
        <f t="shared" si="193"/>
        <v>UTT</v>
      </c>
      <c r="C353" s="18"/>
      <c r="D353" s="15">
        <v>1238</v>
      </c>
      <c r="E353" s="21">
        <v>0.496</v>
      </c>
      <c r="F353" s="14">
        <v>4085.2666666666669</v>
      </c>
      <c r="G353" s="13">
        <v>2459.1300000000315</v>
      </c>
      <c r="H353" s="15">
        <v>372</v>
      </c>
      <c r="I353" s="13">
        <v>10</v>
      </c>
      <c r="J353" s="16">
        <v>1002</v>
      </c>
      <c r="K353" s="15">
        <v>1404</v>
      </c>
      <c r="L353" s="14">
        <v>921</v>
      </c>
      <c r="M353" s="13">
        <v>378</v>
      </c>
      <c r="O353" s="2"/>
    </row>
    <row r="354" spans="1:15" outlineLevel="1" x14ac:dyDescent="0.2">
      <c r="A354" s="20">
        <f t="shared" si="193"/>
        <v>3632</v>
      </c>
      <c r="B354" s="19" t="str">
        <f t="shared" si="193"/>
        <v>TAMU</v>
      </c>
      <c r="C354" s="18"/>
      <c r="D354" s="15">
        <v>8451</v>
      </c>
      <c r="E354" s="21">
        <v>0.83599999999999997</v>
      </c>
      <c r="F354" s="14">
        <v>34329.199999999997</v>
      </c>
      <c r="G354" s="13">
        <v>19146.209999999159</v>
      </c>
      <c r="H354" s="15">
        <v>1580</v>
      </c>
      <c r="I354" s="13">
        <v>108</v>
      </c>
      <c r="J354" s="16">
        <v>3530</v>
      </c>
      <c r="K354" s="15">
        <v>10012</v>
      </c>
      <c r="L354" s="14">
        <v>8836</v>
      </c>
      <c r="M354" s="13">
        <v>6932</v>
      </c>
      <c r="O354" s="2"/>
    </row>
    <row r="355" spans="1:15" outlineLevel="1" x14ac:dyDescent="0.2">
      <c r="A355" s="20">
        <f t="shared" si="193"/>
        <v>10298</v>
      </c>
      <c r="B355" s="19" t="str">
        <f t="shared" si="193"/>
        <v>TAMUG</v>
      </c>
      <c r="C355" s="18"/>
      <c r="D355" s="15">
        <v>262</v>
      </c>
      <c r="E355" s="21">
        <v>0.59199999999999997</v>
      </c>
      <c r="F355" s="14">
        <v>1599.2</v>
      </c>
      <c r="G355" s="13">
        <v>636.84000000000231</v>
      </c>
      <c r="H355" s="15">
        <v>31</v>
      </c>
      <c r="I355" s="13">
        <v>0</v>
      </c>
      <c r="J355" s="16">
        <v>137</v>
      </c>
      <c r="K355" s="15">
        <v>570</v>
      </c>
      <c r="L355" s="14">
        <v>322</v>
      </c>
      <c r="M355" s="13">
        <v>241</v>
      </c>
      <c r="O355" s="2"/>
    </row>
    <row r="356" spans="1:15" outlineLevel="1" x14ac:dyDescent="0.2">
      <c r="A356" s="20">
        <f t="shared" si="193"/>
        <v>3630</v>
      </c>
      <c r="B356" s="19" t="str">
        <f t="shared" si="193"/>
        <v>Prairie View</v>
      </c>
      <c r="C356" s="18"/>
      <c r="D356" s="15">
        <v>879</v>
      </c>
      <c r="E356" s="21">
        <v>0.34200000000000003</v>
      </c>
      <c r="F356" s="14">
        <v>5840.8</v>
      </c>
      <c r="G356" s="13">
        <v>1995.4900000000189</v>
      </c>
      <c r="H356" s="15">
        <v>295</v>
      </c>
      <c r="I356" s="13">
        <v>8</v>
      </c>
      <c r="J356" s="16">
        <v>756</v>
      </c>
      <c r="K356" s="15">
        <v>1643</v>
      </c>
      <c r="L356" s="14">
        <v>1174</v>
      </c>
      <c r="M356" s="13">
        <v>940</v>
      </c>
      <c r="O356" s="2"/>
    </row>
    <row r="357" spans="1:15" outlineLevel="1" x14ac:dyDescent="0.2">
      <c r="A357" s="20">
        <f t="shared" si="193"/>
        <v>3631</v>
      </c>
      <c r="B357" s="19" t="str">
        <f t="shared" si="193"/>
        <v>Tarleton</v>
      </c>
      <c r="C357" s="18"/>
      <c r="D357" s="15">
        <v>1422</v>
      </c>
      <c r="E357" s="21">
        <v>0.47499999999999998</v>
      </c>
      <c r="F357" s="14">
        <v>5845.5333333333338</v>
      </c>
      <c r="G357" s="13">
        <v>2966.430000000048</v>
      </c>
      <c r="H357" s="15">
        <v>183</v>
      </c>
      <c r="I357" s="13">
        <v>38</v>
      </c>
      <c r="J357" s="16">
        <v>1093</v>
      </c>
      <c r="K357" s="15">
        <v>2140</v>
      </c>
      <c r="L357" s="14">
        <v>1306</v>
      </c>
      <c r="M357" s="13">
        <v>903</v>
      </c>
      <c r="O357" s="2"/>
    </row>
    <row r="358" spans="1:15" outlineLevel="1" x14ac:dyDescent="0.2">
      <c r="A358" s="27">
        <f t="shared" si="193"/>
        <v>103631</v>
      </c>
      <c r="B358" s="19" t="str">
        <f t="shared" si="193"/>
        <v>TAMUCT</v>
      </c>
      <c r="C358" s="18"/>
      <c r="D358" s="15">
        <v>450</v>
      </c>
      <c r="E358" s="21">
        <v>0.47499999999999998</v>
      </c>
      <c r="F358" s="14">
        <v>658.4666666666667</v>
      </c>
      <c r="G358" s="13">
        <v>831.96000000000549</v>
      </c>
      <c r="H358" s="15">
        <v>44</v>
      </c>
      <c r="I358" s="13"/>
      <c r="J358" s="16">
        <v>322</v>
      </c>
      <c r="K358" s="15">
        <v>380</v>
      </c>
      <c r="L358" s="14">
        <v>137</v>
      </c>
      <c r="M358" s="13">
        <v>31</v>
      </c>
      <c r="O358" s="2"/>
    </row>
    <row r="359" spans="1:15" outlineLevel="1" x14ac:dyDescent="0.2">
      <c r="A359" s="20">
        <f t="shared" si="193"/>
        <v>11161</v>
      </c>
      <c r="B359" s="19" t="str">
        <f t="shared" si="193"/>
        <v>TAMUCC</v>
      </c>
      <c r="C359" s="18"/>
      <c r="D359" s="15">
        <v>1335</v>
      </c>
      <c r="E359" s="21">
        <v>0.503</v>
      </c>
      <c r="F359" s="14">
        <v>6131.9333333333334</v>
      </c>
      <c r="G359" s="13">
        <v>2744.5700000000347</v>
      </c>
      <c r="H359" s="15">
        <v>237</v>
      </c>
      <c r="I359" s="13">
        <v>29</v>
      </c>
      <c r="J359" s="16">
        <v>1024</v>
      </c>
      <c r="K359" s="15">
        <v>2079</v>
      </c>
      <c r="L359" s="14">
        <v>1357</v>
      </c>
      <c r="M359" s="13">
        <v>812</v>
      </c>
      <c r="O359" s="2"/>
    </row>
    <row r="360" spans="1:15" outlineLevel="1" x14ac:dyDescent="0.2">
      <c r="A360" s="20">
        <f t="shared" si="193"/>
        <v>3639</v>
      </c>
      <c r="B360" s="19" t="str">
        <f t="shared" si="193"/>
        <v>TAMUK</v>
      </c>
      <c r="C360" s="18"/>
      <c r="D360" s="15">
        <v>692</v>
      </c>
      <c r="E360" s="21">
        <v>0.41699999999999998</v>
      </c>
      <c r="F360" s="14">
        <v>3808.2666666666669</v>
      </c>
      <c r="G360" s="13">
        <v>1601.8800000000022</v>
      </c>
      <c r="H360" s="15">
        <v>236</v>
      </c>
      <c r="I360" s="13">
        <v>15</v>
      </c>
      <c r="J360" s="16">
        <v>590</v>
      </c>
      <c r="K360" s="15">
        <v>1159</v>
      </c>
      <c r="L360" s="14">
        <v>790</v>
      </c>
      <c r="M360" s="13">
        <v>550</v>
      </c>
      <c r="O360" s="2"/>
    </row>
    <row r="361" spans="1:15" outlineLevel="1" x14ac:dyDescent="0.2">
      <c r="A361" s="27">
        <f t="shared" si="193"/>
        <v>103639</v>
      </c>
      <c r="B361" s="19" t="str">
        <f t="shared" si="193"/>
        <v>TAMUSA</v>
      </c>
      <c r="C361" s="18"/>
      <c r="D361" s="15">
        <v>496</v>
      </c>
      <c r="E361" s="21">
        <v>0.41699999999999998</v>
      </c>
      <c r="F361" s="14">
        <v>1072.6666666666667</v>
      </c>
      <c r="G361" s="13">
        <v>844.50000000000807</v>
      </c>
      <c r="H361" s="15">
        <v>4</v>
      </c>
      <c r="I361" s="13"/>
      <c r="J361" s="16">
        <v>402</v>
      </c>
      <c r="K361" s="15">
        <v>307</v>
      </c>
      <c r="L361" s="14">
        <v>5</v>
      </c>
      <c r="M361" s="13">
        <v>5</v>
      </c>
      <c r="O361" s="2"/>
    </row>
    <row r="362" spans="1:15" outlineLevel="1" x14ac:dyDescent="0.2">
      <c r="A362" s="20">
        <f t="shared" si="193"/>
        <v>9651</v>
      </c>
      <c r="B362" s="19" t="str">
        <f t="shared" si="193"/>
        <v>TAMI</v>
      </c>
      <c r="C362" s="18"/>
      <c r="D362" s="15">
        <v>798</v>
      </c>
      <c r="E362" s="21">
        <v>0.46</v>
      </c>
      <c r="F362" s="14">
        <v>3819.0666666666666</v>
      </c>
      <c r="G362" s="13">
        <v>1476.3000000000168</v>
      </c>
      <c r="H362" s="15">
        <v>85</v>
      </c>
      <c r="I362" s="13">
        <v>26</v>
      </c>
      <c r="J362" s="16">
        <v>713</v>
      </c>
      <c r="K362" s="15">
        <v>1413</v>
      </c>
      <c r="L362" s="14">
        <v>981</v>
      </c>
      <c r="M362" s="13">
        <v>447</v>
      </c>
      <c r="O362" s="2"/>
    </row>
    <row r="363" spans="1:15" outlineLevel="1" x14ac:dyDescent="0.2">
      <c r="A363" s="20">
        <f t="shared" si="193"/>
        <v>3665</v>
      </c>
      <c r="B363" s="19" t="str">
        <f t="shared" si="193"/>
        <v>WTAMU</v>
      </c>
      <c r="C363" s="18"/>
      <c r="D363" s="15">
        <v>1220</v>
      </c>
      <c r="E363" s="21">
        <v>0.45600000000000002</v>
      </c>
      <c r="F363" s="14">
        <v>5264.8</v>
      </c>
      <c r="G363" s="13">
        <v>2415.9700000000216</v>
      </c>
      <c r="H363" s="15">
        <v>216</v>
      </c>
      <c r="I363" s="13">
        <v>64</v>
      </c>
      <c r="J363" s="16">
        <v>853</v>
      </c>
      <c r="K363" s="15">
        <v>1873</v>
      </c>
      <c r="L363" s="14">
        <v>1161</v>
      </c>
      <c r="M363" s="13">
        <v>631</v>
      </c>
      <c r="O363" s="2"/>
    </row>
    <row r="364" spans="1:15" outlineLevel="1" x14ac:dyDescent="0.2">
      <c r="A364" s="20">
        <f t="shared" si="193"/>
        <v>3565</v>
      </c>
      <c r="B364" s="19" t="str">
        <f t="shared" si="193"/>
        <v>TAMUC</v>
      </c>
      <c r="C364" s="18"/>
      <c r="D364" s="15">
        <v>1153</v>
      </c>
      <c r="E364" s="21">
        <v>0.44800000000000001</v>
      </c>
      <c r="F364" s="14">
        <v>4172.1333333333332</v>
      </c>
      <c r="G364" s="13">
        <v>2179.8400000000324</v>
      </c>
      <c r="H364" s="15">
        <v>59</v>
      </c>
      <c r="I364" s="13">
        <v>65</v>
      </c>
      <c r="J364" s="16">
        <v>884</v>
      </c>
      <c r="K364" s="15">
        <v>1712</v>
      </c>
      <c r="L364" s="14">
        <v>1038</v>
      </c>
      <c r="M364" s="13">
        <v>423</v>
      </c>
      <c r="O364" s="2"/>
    </row>
    <row r="365" spans="1:15" outlineLevel="1" x14ac:dyDescent="0.2">
      <c r="A365" s="20">
        <f t="shared" ref="A365:B382" si="194">A323</f>
        <v>29269</v>
      </c>
      <c r="B365" s="19" t="str">
        <f t="shared" si="194"/>
        <v>TAMUT</v>
      </c>
      <c r="C365" s="18"/>
      <c r="D365" s="15">
        <v>326</v>
      </c>
      <c r="E365" s="17">
        <v>0.57336956521739135</v>
      </c>
      <c r="F365" s="14">
        <v>694.6</v>
      </c>
      <c r="G365" s="13">
        <v>569.46</v>
      </c>
      <c r="H365" s="15">
        <v>30</v>
      </c>
      <c r="I365" s="13">
        <v>15</v>
      </c>
      <c r="J365" s="16">
        <v>210</v>
      </c>
      <c r="K365" s="15">
        <v>403</v>
      </c>
      <c r="L365" s="14">
        <v>138</v>
      </c>
      <c r="M365" s="13">
        <v>0</v>
      </c>
      <c r="O365" s="2"/>
    </row>
    <row r="366" spans="1:15" outlineLevel="1" x14ac:dyDescent="0.2">
      <c r="A366" s="20">
        <f t="shared" si="194"/>
        <v>3652</v>
      </c>
      <c r="B366" s="19" t="str">
        <f t="shared" si="194"/>
        <v>UH</v>
      </c>
      <c r="C366" s="18"/>
      <c r="D366" s="15">
        <v>4778</v>
      </c>
      <c r="E366" s="21">
        <v>0.53100000000000003</v>
      </c>
      <c r="F366" s="14">
        <v>22778.733333333334</v>
      </c>
      <c r="G366" s="13">
        <v>9792.4499999989821</v>
      </c>
      <c r="H366" s="15">
        <v>656</v>
      </c>
      <c r="I366" s="13">
        <v>54</v>
      </c>
      <c r="J366" s="16">
        <v>3091</v>
      </c>
      <c r="K366" s="15">
        <v>7517</v>
      </c>
      <c r="L366" s="14">
        <v>5600</v>
      </c>
      <c r="M366" s="13">
        <v>3376</v>
      </c>
      <c r="O366" s="2"/>
    </row>
    <row r="367" spans="1:15" outlineLevel="1" x14ac:dyDescent="0.2">
      <c r="A367" s="20">
        <f t="shared" si="194"/>
        <v>11711</v>
      </c>
      <c r="B367" s="19" t="str">
        <f t="shared" si="194"/>
        <v>UHCL</v>
      </c>
      <c r="C367" s="18"/>
      <c r="D367" s="15">
        <v>1124</v>
      </c>
      <c r="E367" s="17">
        <v>0.50557620817843862</v>
      </c>
      <c r="F367" s="14">
        <v>2872.8666666666668</v>
      </c>
      <c r="G367" s="13">
        <v>2131.2100000000323</v>
      </c>
      <c r="H367" s="15">
        <v>88</v>
      </c>
      <c r="I367" s="13">
        <v>8</v>
      </c>
      <c r="J367" s="16">
        <v>707</v>
      </c>
      <c r="K367" s="15">
        <v>1349</v>
      </c>
      <c r="L367" s="14">
        <v>888</v>
      </c>
      <c r="M367" s="13">
        <v>81</v>
      </c>
      <c r="O367" s="2"/>
    </row>
    <row r="368" spans="1:15" outlineLevel="1" x14ac:dyDescent="0.2">
      <c r="A368" s="20">
        <f t="shared" si="194"/>
        <v>12826</v>
      </c>
      <c r="B368" s="19" t="str">
        <f t="shared" si="194"/>
        <v>UHD</v>
      </c>
      <c r="C368" s="18"/>
      <c r="D368" s="15">
        <v>2359</v>
      </c>
      <c r="E368" s="21">
        <v>0.18099999999999999</v>
      </c>
      <c r="F368" s="14">
        <v>7963.6</v>
      </c>
      <c r="G368" s="13">
        <v>4153.3100000000841</v>
      </c>
      <c r="H368" s="15">
        <v>112</v>
      </c>
      <c r="I368" s="13">
        <v>2</v>
      </c>
      <c r="J368" s="16">
        <v>1619</v>
      </c>
      <c r="K368" s="15">
        <v>3082</v>
      </c>
      <c r="L368" s="14">
        <v>1889</v>
      </c>
      <c r="M368" s="13">
        <v>606</v>
      </c>
      <c r="O368" s="2"/>
    </row>
    <row r="369" spans="1:15" outlineLevel="1" x14ac:dyDescent="0.2">
      <c r="A369" s="20">
        <f t="shared" si="194"/>
        <v>13231</v>
      </c>
      <c r="B369" s="19" t="str">
        <f t="shared" si="194"/>
        <v>UHV</v>
      </c>
      <c r="C369" s="18"/>
      <c r="D369" s="15">
        <v>515</v>
      </c>
      <c r="E369" s="17">
        <v>0.55256723716381417</v>
      </c>
      <c r="F369" s="14">
        <v>1135.8</v>
      </c>
      <c r="G369" s="13">
        <v>962.15000000001089</v>
      </c>
      <c r="H369" s="15">
        <v>72</v>
      </c>
      <c r="I369" s="13">
        <v>2</v>
      </c>
      <c r="J369" s="16">
        <v>337</v>
      </c>
      <c r="K369" s="15">
        <v>654</v>
      </c>
      <c r="L369" s="14">
        <v>269</v>
      </c>
      <c r="M369" s="13">
        <v>8</v>
      </c>
      <c r="O369" s="2"/>
    </row>
    <row r="370" spans="1:15" outlineLevel="1" x14ac:dyDescent="0.2">
      <c r="A370" s="20">
        <f t="shared" si="194"/>
        <v>3592</v>
      </c>
      <c r="B370" s="19" t="str">
        <f t="shared" si="194"/>
        <v>Midwestern</v>
      </c>
      <c r="C370" s="18"/>
      <c r="D370" s="15">
        <v>1002</v>
      </c>
      <c r="E370" s="21">
        <v>0.41199999999999998</v>
      </c>
      <c r="F370" s="14">
        <v>4294.8666666666668</v>
      </c>
      <c r="G370" s="13">
        <v>1899.0200000000148</v>
      </c>
      <c r="H370" s="15">
        <v>302</v>
      </c>
      <c r="I370" s="13">
        <v>19</v>
      </c>
      <c r="J370" s="16">
        <v>673</v>
      </c>
      <c r="K370" s="15">
        <v>1497</v>
      </c>
      <c r="L370" s="14">
        <v>1080</v>
      </c>
      <c r="M370" s="13">
        <v>622</v>
      </c>
      <c r="O370" s="2"/>
    </row>
    <row r="371" spans="1:15" outlineLevel="1" x14ac:dyDescent="0.2">
      <c r="A371" s="20">
        <f t="shared" si="194"/>
        <v>3594</v>
      </c>
      <c r="B371" s="19" t="str">
        <f t="shared" si="194"/>
        <v>UNT</v>
      </c>
      <c r="C371" s="18"/>
      <c r="D371" s="15">
        <v>6024</v>
      </c>
      <c r="E371" s="21">
        <v>0.57399999999999995</v>
      </c>
      <c r="F371" s="14">
        <f>22506.0666666667+838</f>
        <v>23344.066666666698</v>
      </c>
      <c r="G371" s="13">
        <v>11164.699999998398</v>
      </c>
      <c r="H371" s="15">
        <v>297</v>
      </c>
      <c r="I371" s="13">
        <v>27</v>
      </c>
      <c r="J371" s="16">
        <v>3747</v>
      </c>
      <c r="K371" s="30">
        <v>8327</v>
      </c>
      <c r="L371" s="29">
        <v>5604</v>
      </c>
      <c r="M371" s="28">
        <v>3585</v>
      </c>
      <c r="O371" s="2"/>
    </row>
    <row r="372" spans="1:15" outlineLevel="1" x14ac:dyDescent="0.2">
      <c r="A372" s="27">
        <f t="shared" si="194"/>
        <v>113594</v>
      </c>
      <c r="B372" s="19" t="str">
        <f t="shared" si="194"/>
        <v>UNTD</v>
      </c>
      <c r="C372" s="18"/>
      <c r="D372" s="24"/>
      <c r="E372" s="26"/>
      <c r="F372" s="23"/>
      <c r="G372" s="22"/>
      <c r="H372" s="24"/>
      <c r="I372" s="22"/>
      <c r="J372" s="25"/>
      <c r="K372" s="24"/>
      <c r="L372" s="23"/>
      <c r="M372" s="22"/>
      <c r="O372" s="2"/>
    </row>
    <row r="373" spans="1:15" outlineLevel="1" x14ac:dyDescent="0.2">
      <c r="A373" s="20">
        <f t="shared" si="194"/>
        <v>3624</v>
      </c>
      <c r="B373" s="19" t="str">
        <f t="shared" si="194"/>
        <v>SFA</v>
      </c>
      <c r="C373" s="18"/>
      <c r="D373" s="15">
        <v>1874</v>
      </c>
      <c r="E373" s="21">
        <v>0.56999999999999995</v>
      </c>
      <c r="F373" s="14">
        <v>9510.2666666666664</v>
      </c>
      <c r="G373" s="13">
        <v>3625.4100000000203</v>
      </c>
      <c r="H373" s="15">
        <v>230</v>
      </c>
      <c r="I373" s="13">
        <v>43</v>
      </c>
      <c r="J373" s="16">
        <v>1422</v>
      </c>
      <c r="K373" s="15">
        <v>2663</v>
      </c>
      <c r="L373" s="14">
        <v>1934</v>
      </c>
      <c r="M373" s="13">
        <v>1317</v>
      </c>
      <c r="O373" s="2"/>
    </row>
    <row r="374" spans="1:15" outlineLevel="1" x14ac:dyDescent="0.2">
      <c r="A374" s="20">
        <f t="shared" si="194"/>
        <v>3642</v>
      </c>
      <c r="B374" s="19" t="str">
        <f t="shared" si="194"/>
        <v>TSU</v>
      </c>
      <c r="C374" s="18"/>
      <c r="D374" s="15">
        <v>817</v>
      </c>
      <c r="E374" s="21">
        <v>0.14899999999999999</v>
      </c>
      <c r="F374" s="14">
        <v>5909.8</v>
      </c>
      <c r="G374" s="13">
        <v>1601.5200000000066</v>
      </c>
      <c r="H374" s="15">
        <v>127</v>
      </c>
      <c r="I374" s="13">
        <v>2</v>
      </c>
      <c r="J374" s="16">
        <v>723</v>
      </c>
      <c r="K374" s="15">
        <v>1871</v>
      </c>
      <c r="L374" s="14">
        <v>1137</v>
      </c>
      <c r="M374" s="13">
        <v>916</v>
      </c>
      <c r="O374" s="2"/>
    </row>
    <row r="375" spans="1:15" outlineLevel="1" x14ac:dyDescent="0.2">
      <c r="A375" s="20">
        <f t="shared" si="194"/>
        <v>3644</v>
      </c>
      <c r="B375" s="19" t="str">
        <f t="shared" si="194"/>
        <v>TTU</v>
      </c>
      <c r="C375" s="18"/>
      <c r="D375" s="15">
        <v>4476</v>
      </c>
      <c r="E375" s="21">
        <v>0.72799999999999998</v>
      </c>
      <c r="F375" s="14">
        <v>21422.2</v>
      </c>
      <c r="G375" s="13">
        <v>9827.5299999990111</v>
      </c>
      <c r="H375" s="15">
        <v>656</v>
      </c>
      <c r="I375" s="13">
        <v>43</v>
      </c>
      <c r="J375" s="16">
        <v>2539</v>
      </c>
      <c r="K375" s="15">
        <v>6430</v>
      </c>
      <c r="L375" s="14">
        <v>5148</v>
      </c>
      <c r="M375" s="13">
        <v>3832</v>
      </c>
      <c r="O375" s="2"/>
    </row>
    <row r="376" spans="1:15" outlineLevel="1" x14ac:dyDescent="0.2">
      <c r="A376" s="20">
        <f t="shared" si="194"/>
        <v>3541</v>
      </c>
      <c r="B376" s="19" t="str">
        <f t="shared" si="194"/>
        <v>Angelo</v>
      </c>
      <c r="C376" s="18"/>
      <c r="D376" s="15">
        <v>941</v>
      </c>
      <c r="E376" s="21">
        <v>0.44</v>
      </c>
      <c r="F376" s="14">
        <v>4829.1333333333332</v>
      </c>
      <c r="G376" s="13">
        <v>1933.5900000000179</v>
      </c>
      <c r="H376" s="15">
        <v>217</v>
      </c>
      <c r="I376" s="13">
        <v>18</v>
      </c>
      <c r="J376" s="16">
        <v>676</v>
      </c>
      <c r="K376" s="15">
        <v>1474</v>
      </c>
      <c r="L376" s="14">
        <v>1008</v>
      </c>
      <c r="M376" s="13">
        <v>708</v>
      </c>
      <c r="O376" s="2"/>
    </row>
    <row r="377" spans="1:15" outlineLevel="1" x14ac:dyDescent="0.2">
      <c r="A377" s="20">
        <f t="shared" si="194"/>
        <v>3646</v>
      </c>
      <c r="B377" s="19" t="str">
        <f t="shared" si="194"/>
        <v>TWU</v>
      </c>
      <c r="C377" s="18"/>
      <c r="D377" s="15">
        <v>1774</v>
      </c>
      <c r="E377" s="21">
        <v>0.54500000000000004</v>
      </c>
      <c r="F377" s="14">
        <v>6071.4666666666662</v>
      </c>
      <c r="G377" s="13">
        <v>3425.2000000000221</v>
      </c>
      <c r="H377" s="15">
        <v>614</v>
      </c>
      <c r="I377" s="13">
        <v>31</v>
      </c>
      <c r="J377" s="16">
        <v>1214</v>
      </c>
      <c r="K377" s="15">
        <v>2042</v>
      </c>
      <c r="L377" s="14">
        <v>1371</v>
      </c>
      <c r="M377" s="13">
        <v>668</v>
      </c>
      <c r="O377" s="2"/>
    </row>
    <row r="378" spans="1:15" outlineLevel="1" x14ac:dyDescent="0.2">
      <c r="A378" s="20">
        <f t="shared" si="194"/>
        <v>3581</v>
      </c>
      <c r="B378" s="19" t="str">
        <f t="shared" si="194"/>
        <v>Lamar</v>
      </c>
      <c r="C378" s="18"/>
      <c r="D378" s="15">
        <v>1286</v>
      </c>
      <c r="E378" s="21">
        <v>0.33800000000000002</v>
      </c>
      <c r="F378" s="14">
        <v>7172.9333333333334</v>
      </c>
      <c r="G378" s="13">
        <v>2638.0900000000311</v>
      </c>
      <c r="H378" s="15">
        <v>314</v>
      </c>
      <c r="I378" s="13">
        <v>17</v>
      </c>
      <c r="J378" s="16">
        <v>908</v>
      </c>
      <c r="K378" s="15">
        <v>2043</v>
      </c>
      <c r="L378" s="14">
        <v>1404</v>
      </c>
      <c r="M378" s="13">
        <v>1031</v>
      </c>
      <c r="O378" s="2"/>
    </row>
    <row r="379" spans="1:15" outlineLevel="1" x14ac:dyDescent="0.2">
      <c r="A379" s="20">
        <f t="shared" si="194"/>
        <v>3606</v>
      </c>
      <c r="B379" s="19" t="str">
        <f t="shared" si="194"/>
        <v>SHSU</v>
      </c>
      <c r="C379" s="18"/>
      <c r="D379" s="15">
        <v>3242</v>
      </c>
      <c r="E379" s="21">
        <v>0.57899999999999996</v>
      </c>
      <c r="F379" s="14">
        <v>12517.066666666668</v>
      </c>
      <c r="G379" s="13">
        <v>6188.6300000000374</v>
      </c>
      <c r="H379" s="15">
        <v>163</v>
      </c>
      <c r="I379" s="13">
        <v>69</v>
      </c>
      <c r="J379" s="16">
        <v>2318</v>
      </c>
      <c r="K379" s="15">
        <v>3849</v>
      </c>
      <c r="L379" s="14">
        <v>3011</v>
      </c>
      <c r="M379" s="13">
        <v>1870</v>
      </c>
      <c r="O379" s="2"/>
    </row>
    <row r="380" spans="1:15" outlineLevel="1" x14ac:dyDescent="0.2">
      <c r="A380" s="20">
        <f t="shared" si="194"/>
        <v>3615</v>
      </c>
      <c r="B380" s="19" t="str">
        <f t="shared" si="194"/>
        <v>TXST</v>
      </c>
      <c r="C380" s="18"/>
      <c r="D380" s="15">
        <v>5299</v>
      </c>
      <c r="E380" s="21">
        <v>0.64400000000000002</v>
      </c>
      <c r="F380" s="14">
        <v>21764.6</v>
      </c>
      <c r="G380" s="13">
        <v>10384.469999998846</v>
      </c>
      <c r="H380" s="15">
        <v>439</v>
      </c>
      <c r="I380" s="13">
        <v>68</v>
      </c>
      <c r="J380" s="16">
        <v>3545</v>
      </c>
      <c r="K380" s="15">
        <v>7301</v>
      </c>
      <c r="L380" s="14">
        <v>5428</v>
      </c>
      <c r="M380" s="13">
        <v>3302</v>
      </c>
      <c r="O380" s="2"/>
    </row>
    <row r="381" spans="1:15" outlineLevel="1" x14ac:dyDescent="0.2">
      <c r="A381" s="20">
        <f t="shared" si="194"/>
        <v>3625</v>
      </c>
      <c r="B381" s="19" t="str">
        <f t="shared" si="194"/>
        <v>SRSU</v>
      </c>
      <c r="C381" s="18"/>
      <c r="D381" s="15">
        <v>181</v>
      </c>
      <c r="E381" s="21">
        <v>0.28499999999999998</v>
      </c>
      <c r="F381" s="14">
        <v>1230.9333333333334</v>
      </c>
      <c r="G381" s="13">
        <v>368.43999999999954</v>
      </c>
      <c r="H381" s="15">
        <v>10</v>
      </c>
      <c r="I381" s="13">
        <v>10</v>
      </c>
      <c r="J381" s="16">
        <v>156</v>
      </c>
      <c r="K381" s="15">
        <v>318</v>
      </c>
      <c r="L381" s="14">
        <v>176</v>
      </c>
      <c r="M381" s="13">
        <v>115</v>
      </c>
      <c r="O381" s="2"/>
    </row>
    <row r="382" spans="1:15" outlineLevel="1" x14ac:dyDescent="0.2">
      <c r="A382" s="20">
        <f t="shared" si="194"/>
        <v>20</v>
      </c>
      <c r="B382" s="19" t="str">
        <f t="shared" si="194"/>
        <v>SRRG</v>
      </c>
      <c r="C382" s="18"/>
      <c r="D382" s="15">
        <v>168</v>
      </c>
      <c r="E382" s="17">
        <v>0.36144578313253012</v>
      </c>
      <c r="F382" s="14">
        <v>416.33333333333331</v>
      </c>
      <c r="G382" s="13">
        <v>287.9199999999995</v>
      </c>
      <c r="H382" s="15">
        <v>8</v>
      </c>
      <c r="I382" s="13">
        <v>9</v>
      </c>
      <c r="J382" s="16">
        <v>149</v>
      </c>
      <c r="K382" s="15">
        <v>251</v>
      </c>
      <c r="L382" s="14">
        <v>90</v>
      </c>
      <c r="M382" s="13">
        <v>5</v>
      </c>
      <c r="O382" s="2"/>
    </row>
    <row r="383" spans="1:15" ht="13.5" outlineLevel="1" thickBot="1" x14ac:dyDescent="0.25">
      <c r="A383" s="12"/>
      <c r="B383" s="11" t="s">
        <v>11</v>
      </c>
      <c r="C383" s="10"/>
      <c r="D383" s="9">
        <f>SUM(D345:D382)</f>
        <v>81251</v>
      </c>
      <c r="E383" s="8">
        <v>0.56799999999999995</v>
      </c>
      <c r="F383" s="7">
        <f t="shared" ref="F383:M383" si="195">SUM(F345:F382)</f>
        <v>338321.33333333337</v>
      </c>
      <c r="G383" s="3">
        <f t="shared" si="195"/>
        <v>165601.52999999447</v>
      </c>
      <c r="H383" s="5">
        <f t="shared" si="195"/>
        <v>12362</v>
      </c>
      <c r="I383" s="3">
        <f t="shared" si="195"/>
        <v>1122</v>
      </c>
      <c r="J383" s="6">
        <f t="shared" si="195"/>
        <v>51678</v>
      </c>
      <c r="K383" s="5">
        <f t="shared" si="195"/>
        <v>112517</v>
      </c>
      <c r="L383" s="4">
        <f t="shared" si="195"/>
        <v>81688</v>
      </c>
      <c r="M383" s="3">
        <f t="shared" si="195"/>
        <v>51008</v>
      </c>
      <c r="O383" s="2"/>
    </row>
    <row r="384" spans="1:15" x14ac:dyDescent="0.2">
      <c r="O384" s="2"/>
    </row>
    <row r="386" spans="1:1" x14ac:dyDescent="0.2">
      <c r="A386" s="1" t="s">
        <v>10</v>
      </c>
    </row>
    <row r="387" spans="1:1" x14ac:dyDescent="0.2">
      <c r="A387" s="1" t="s">
        <v>9</v>
      </c>
    </row>
    <row r="388" spans="1:1" x14ac:dyDescent="0.2">
      <c r="A388" s="1" t="s">
        <v>8</v>
      </c>
    </row>
    <row r="389" spans="1:1" x14ac:dyDescent="0.2">
      <c r="A389" s="1" t="s">
        <v>7</v>
      </c>
    </row>
    <row r="390" spans="1:1" x14ac:dyDescent="0.2">
      <c r="A390" s="1" t="s">
        <v>6</v>
      </c>
    </row>
    <row r="391" spans="1:1" x14ac:dyDescent="0.2">
      <c r="A391" s="1" t="s">
        <v>5</v>
      </c>
    </row>
    <row r="392" spans="1:1" x14ac:dyDescent="0.2">
      <c r="A392" s="1" t="s">
        <v>4</v>
      </c>
    </row>
    <row r="393" spans="1:1" x14ac:dyDescent="0.2">
      <c r="A393" s="1" t="s">
        <v>3</v>
      </c>
    </row>
    <row r="394" spans="1:1" x14ac:dyDescent="0.2">
      <c r="A394" s="1" t="s">
        <v>2</v>
      </c>
    </row>
    <row r="395" spans="1:1" x14ac:dyDescent="0.2">
      <c r="A395" s="1" t="s">
        <v>1</v>
      </c>
    </row>
    <row r="396" spans="1:1" x14ac:dyDescent="0.2">
      <c r="A396" s="1" t="s">
        <v>0</v>
      </c>
    </row>
  </sheetData>
  <mergeCells count="90">
    <mergeCell ref="A129:A130"/>
    <mergeCell ref="B129:B130"/>
    <mergeCell ref="C129:C130"/>
    <mergeCell ref="D129:G129"/>
    <mergeCell ref="J301:J302"/>
    <mergeCell ref="K301:M301"/>
    <mergeCell ref="H129:H130"/>
    <mergeCell ref="I129:I130"/>
    <mergeCell ref="J129:J130"/>
    <mergeCell ref="K129:M129"/>
    <mergeCell ref="A343:A344"/>
    <mergeCell ref="B343:B344"/>
    <mergeCell ref="C343:C344"/>
    <mergeCell ref="D343:D344"/>
    <mergeCell ref="E343:E344"/>
    <mergeCell ref="K343:M343"/>
    <mergeCell ref="F301:F302"/>
    <mergeCell ref="F259:F260"/>
    <mergeCell ref="G259:G260"/>
    <mergeCell ref="H259:H260"/>
    <mergeCell ref="I259:I260"/>
    <mergeCell ref="K259:M259"/>
    <mergeCell ref="J259:J260"/>
    <mergeCell ref="F343:F344"/>
    <mergeCell ref="G343:G344"/>
    <mergeCell ref="H343:H344"/>
    <mergeCell ref="I343:I344"/>
    <mergeCell ref="J343:J344"/>
    <mergeCell ref="G301:G302"/>
    <mergeCell ref="H301:H302"/>
    <mergeCell ref="I301:I302"/>
    <mergeCell ref="A301:A302"/>
    <mergeCell ref="B301:B302"/>
    <mergeCell ref="C301:C302"/>
    <mergeCell ref="D301:D302"/>
    <mergeCell ref="E301:E302"/>
    <mergeCell ref="G217:G218"/>
    <mergeCell ref="H217:H218"/>
    <mergeCell ref="I217:I218"/>
    <mergeCell ref="J217:J218"/>
    <mergeCell ref="K217:M217"/>
    <mergeCell ref="A259:A260"/>
    <mergeCell ref="B259:B260"/>
    <mergeCell ref="C259:C260"/>
    <mergeCell ref="D259:D260"/>
    <mergeCell ref="E259:E260"/>
    <mergeCell ref="J174:J175"/>
    <mergeCell ref="K174:M174"/>
    <mergeCell ref="N174:N175"/>
    <mergeCell ref="A176:C176"/>
    <mergeCell ref="A174:A175"/>
    <mergeCell ref="B174:B175"/>
    <mergeCell ref="C174:C175"/>
    <mergeCell ref="D174:G174"/>
    <mergeCell ref="H174:H175"/>
    <mergeCell ref="F217:F218"/>
    <mergeCell ref="J88:J89"/>
    <mergeCell ref="K88:M88"/>
    <mergeCell ref="N88:N89"/>
    <mergeCell ref="A88:A89"/>
    <mergeCell ref="B88:B89"/>
    <mergeCell ref="C88:C89"/>
    <mergeCell ref="D88:G88"/>
    <mergeCell ref="H88:H89"/>
    <mergeCell ref="I88:I89"/>
    <mergeCell ref="A217:A218"/>
    <mergeCell ref="B217:B218"/>
    <mergeCell ref="C217:C218"/>
    <mergeCell ref="D217:D218"/>
    <mergeCell ref="E217:E218"/>
    <mergeCell ref="I174:I175"/>
    <mergeCell ref="O3:Q3"/>
    <mergeCell ref="A46:A47"/>
    <mergeCell ref="B46:B47"/>
    <mergeCell ref="C46:C47"/>
    <mergeCell ref="D46:G46"/>
    <mergeCell ref="H46:H47"/>
    <mergeCell ref="I46:I47"/>
    <mergeCell ref="J46:J47"/>
    <mergeCell ref="K46:M46"/>
    <mergeCell ref="N46:N47"/>
    <mergeCell ref="A1:M1"/>
    <mergeCell ref="A3:A4"/>
    <mergeCell ref="B3:B4"/>
    <mergeCell ref="C3:C4"/>
    <mergeCell ref="D3:G3"/>
    <mergeCell ref="H3:H4"/>
    <mergeCell ref="I3:I4"/>
    <mergeCell ref="J3:J4"/>
    <mergeCell ref="K3:M3"/>
  </mergeCells>
  <conditionalFormatting sqref="D128:M128">
    <cfRule type="colorScale" priority="10">
      <colorScale>
        <cfvo type="min"/>
        <cfvo type="max"/>
        <color theme="6" tint="0.79998168889431442"/>
        <color theme="6" tint="-0.499984740745262"/>
      </colorScale>
    </cfRule>
  </conditionalFormatting>
  <conditionalFormatting sqref="D90:M127">
    <cfRule type="cellIs" dxfId="89" priority="1" operator="equal">
      <formula>$D$171</formula>
    </cfRule>
    <cfRule type="cellIs" dxfId="88" priority="2" operator="equal">
      <formula>$E$171</formula>
    </cfRule>
    <cfRule type="cellIs" dxfId="87" priority="3" operator="equal">
      <formula>$F$171</formula>
    </cfRule>
    <cfRule type="cellIs" dxfId="86" priority="4" operator="equal">
      <formula>$G$171</formula>
    </cfRule>
    <cfRule type="cellIs" dxfId="85" priority="5" operator="equal">
      <formula>$H$171</formula>
    </cfRule>
    <cfRule type="cellIs" dxfId="84" priority="6" operator="equal">
      <formula>$I$171</formula>
    </cfRule>
    <cfRule type="cellIs" dxfId="83" priority="7" operator="equal">
      <formula>$J$171</formula>
    </cfRule>
    <cfRule type="cellIs" dxfId="82" priority="8" operator="equal">
      <formula>$K$171</formula>
    </cfRule>
    <cfRule type="cellIs" dxfId="81" priority="9" operator="equal">
      <formula>$L$171</formula>
    </cfRule>
  </conditionalFormatting>
  <pageMargins left="0.25" right="0.25" top="0.5" bottom="0.25" header="0.3" footer="0.3"/>
  <pageSetup paperSize="5" scale="7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U375"/>
  <sheetViews>
    <sheetView showGridLines="0" zoomScale="70" zoomScaleNormal="70" workbookViewId="0">
      <pane xSplit="2" ySplit="4" topLeftCell="C5" activePane="bottomRight" state="frozen"/>
      <selection activeCell="C5" sqref="C5"/>
      <selection pane="topRight" activeCell="C5" sqref="C5"/>
      <selection pane="bottomLeft" activeCell="C5" sqref="C5"/>
      <selection pane="bottomRight" activeCell="A2" sqref="A2"/>
    </sheetView>
  </sheetViews>
  <sheetFormatPr defaultRowHeight="12.75" outlineLevelRow="1" x14ac:dyDescent="0.2"/>
  <cols>
    <col min="1" max="1" width="7.28515625" style="1" customWidth="1"/>
    <col min="2" max="2" width="10.85546875" style="1" bestFit="1" customWidth="1"/>
    <col min="3" max="3" width="13.7109375" style="1" bestFit="1" customWidth="1"/>
    <col min="4" max="4" width="13.140625" style="1" customWidth="1"/>
    <col min="5" max="5" width="12.5703125" style="1" customWidth="1"/>
    <col min="6" max="6" width="13" style="1" customWidth="1"/>
    <col min="7" max="7" width="12.42578125" style="1" customWidth="1"/>
    <col min="8" max="8" width="12.85546875" style="1" customWidth="1"/>
    <col min="9" max="9" width="12.28515625" style="1" customWidth="1"/>
    <col min="10" max="10" width="12.42578125" style="1" customWidth="1"/>
    <col min="11" max="13" width="12.5703125" style="1" bestFit="1" customWidth="1"/>
    <col min="14" max="14" width="14.28515625" style="1" customWidth="1"/>
    <col min="15" max="15" width="16.42578125" style="1" customWidth="1"/>
    <col min="16" max="16" width="14.85546875" style="1" customWidth="1"/>
    <col min="17" max="17" width="16.85546875" style="1" customWidth="1"/>
    <col min="18" max="18" width="9.140625" style="1"/>
    <col min="19" max="20" width="12.5703125" style="1" customWidth="1"/>
    <col min="21" max="21" width="11.85546875" style="1" customWidth="1"/>
    <col min="22" max="16384" width="9.140625" style="1"/>
  </cols>
  <sheetData>
    <row r="1" spans="1:21" ht="41.25" customHeight="1" x14ac:dyDescent="0.2">
      <c r="A1" s="257" t="s">
        <v>102</v>
      </c>
      <c r="B1" s="257"/>
      <c r="C1" s="257"/>
      <c r="D1" s="257"/>
      <c r="E1" s="257"/>
      <c r="F1" s="257"/>
      <c r="G1" s="257"/>
      <c r="H1" s="257"/>
      <c r="I1" s="257"/>
      <c r="J1" s="257"/>
      <c r="K1" s="257"/>
      <c r="L1" s="257"/>
      <c r="M1" s="257"/>
    </row>
    <row r="2" spans="1:21" ht="13.5" thickBot="1" x14ac:dyDescent="0.25">
      <c r="A2" s="72"/>
      <c r="B2" s="71"/>
      <c r="C2" s="71"/>
      <c r="D2" s="71"/>
      <c r="E2" s="71"/>
      <c r="F2" s="71"/>
      <c r="G2" s="71"/>
      <c r="H2" s="71"/>
    </row>
    <row r="3" spans="1:21" ht="12.75" customHeight="1" thickBot="1" x14ac:dyDescent="0.25">
      <c r="A3" s="258" t="s">
        <v>24</v>
      </c>
      <c r="B3" s="260" t="s">
        <v>23</v>
      </c>
      <c r="C3" s="262" t="s">
        <v>74</v>
      </c>
      <c r="D3" s="248" t="s">
        <v>35</v>
      </c>
      <c r="E3" s="248"/>
      <c r="F3" s="248"/>
      <c r="G3" s="248"/>
      <c r="H3" s="250" t="s">
        <v>18</v>
      </c>
      <c r="I3" s="225" t="s">
        <v>17</v>
      </c>
      <c r="J3" s="227" t="s">
        <v>16</v>
      </c>
      <c r="K3" s="229" t="s">
        <v>34</v>
      </c>
      <c r="L3" s="230"/>
      <c r="M3" s="231"/>
      <c r="O3" s="254" t="s">
        <v>94</v>
      </c>
      <c r="P3" s="255"/>
      <c r="Q3" s="256"/>
    </row>
    <row r="4" spans="1:21" ht="54" customHeight="1" x14ac:dyDescent="0.2">
      <c r="A4" s="259"/>
      <c r="B4" s="261"/>
      <c r="C4" s="263"/>
      <c r="D4" s="186"/>
      <c r="E4" s="121" t="s">
        <v>33</v>
      </c>
      <c r="F4" s="121" t="s">
        <v>32</v>
      </c>
      <c r="G4" s="187" t="s">
        <v>31</v>
      </c>
      <c r="H4" s="251"/>
      <c r="I4" s="226"/>
      <c r="J4" s="228"/>
      <c r="K4" s="188" t="s">
        <v>14</v>
      </c>
      <c r="L4" s="189" t="s">
        <v>13</v>
      </c>
      <c r="M4" s="190" t="s">
        <v>12</v>
      </c>
      <c r="O4" s="157" t="s">
        <v>87</v>
      </c>
      <c r="P4" s="121" t="s">
        <v>92</v>
      </c>
      <c r="Q4" s="158" t="s">
        <v>93</v>
      </c>
      <c r="S4" s="204" t="s">
        <v>96</v>
      </c>
    </row>
    <row r="5" spans="1:21" x14ac:dyDescent="0.2">
      <c r="A5" s="40">
        <v>3656</v>
      </c>
      <c r="B5" s="39" t="s">
        <v>73</v>
      </c>
      <c r="C5" s="70">
        <f t="shared" ref="C5:C42" si="0">SUM(D5:M5)</f>
        <v>12060418.200098421</v>
      </c>
      <c r="D5" s="68">
        <f t="shared" ref="D5:M5" si="1">D48/$C$86*$C$43</f>
        <v>0</v>
      </c>
      <c r="E5" s="67">
        <f t="shared" si="1"/>
        <v>3483826.4263040307</v>
      </c>
      <c r="F5" s="67">
        <f t="shared" si="1"/>
        <v>28322.785767774578</v>
      </c>
      <c r="G5" s="66">
        <f t="shared" si="1"/>
        <v>0</v>
      </c>
      <c r="H5" s="68">
        <f t="shared" si="1"/>
        <v>0</v>
      </c>
      <c r="I5" s="66">
        <f t="shared" si="1"/>
        <v>0</v>
      </c>
      <c r="J5" s="69">
        <f t="shared" si="1"/>
        <v>5723838.2897849726</v>
      </c>
      <c r="K5" s="68">
        <f t="shared" si="1"/>
        <v>889509.96258040948</v>
      </c>
      <c r="L5" s="67">
        <f t="shared" si="1"/>
        <v>733555.57528812939</v>
      </c>
      <c r="M5" s="66">
        <f t="shared" si="1"/>
        <v>1201365.1603731043</v>
      </c>
      <c r="O5" s="74">
        <v>5.3941374102444546E-2</v>
      </c>
      <c r="P5" s="119">
        <f t="shared" ref="P5:P42" si="2">MIN(0,C48/$C$86-O5+$P$44)*-1*$Q$43</f>
        <v>0</v>
      </c>
      <c r="Q5" s="159">
        <f t="shared" ref="Q5:Q42" si="3">C5+P5</f>
        <v>12060418.200098421</v>
      </c>
      <c r="S5" s="205">
        <f t="shared" ref="S5:S43" si="4">Q5-O5*$Q$43</f>
        <v>-615804.71397604607</v>
      </c>
      <c r="T5" s="202"/>
      <c r="U5" s="203"/>
    </row>
    <row r="6" spans="1:21" x14ac:dyDescent="0.2">
      <c r="A6" s="20">
        <v>3658</v>
      </c>
      <c r="B6" s="19" t="s">
        <v>72</v>
      </c>
      <c r="C6" s="55">
        <f t="shared" si="0"/>
        <v>25095237.012050562</v>
      </c>
      <c r="D6" s="15">
        <f t="shared" ref="D6:M6" si="5">D49/$C$86*$C$43</f>
        <v>0</v>
      </c>
      <c r="E6" s="14">
        <f t="shared" si="5"/>
        <v>11920584.914860189</v>
      </c>
      <c r="F6" s="14">
        <f t="shared" si="5"/>
        <v>25351.095222640663</v>
      </c>
      <c r="G6" s="13">
        <f t="shared" si="5"/>
        <v>0</v>
      </c>
      <c r="H6" s="15">
        <f t="shared" si="5"/>
        <v>0</v>
      </c>
      <c r="I6" s="13">
        <f t="shared" si="5"/>
        <v>0</v>
      </c>
      <c r="J6" s="16">
        <f t="shared" si="5"/>
        <v>4249813.1817822959</v>
      </c>
      <c r="K6" s="15">
        <f t="shared" si="5"/>
        <v>1248887.7747575648</v>
      </c>
      <c r="L6" s="14">
        <f t="shared" si="5"/>
        <v>1723195.4593130506</v>
      </c>
      <c r="M6" s="13">
        <f t="shared" si="5"/>
        <v>5927404.586114822</v>
      </c>
      <c r="O6" s="74">
        <v>9.7535367886092073E-2</v>
      </c>
      <c r="P6" s="120">
        <f t="shared" si="2"/>
        <v>0</v>
      </c>
      <c r="Q6" s="160">
        <f t="shared" si="3"/>
        <v>25095237.012050562</v>
      </c>
      <c r="S6" s="206">
        <f t="shared" si="4"/>
        <v>2174425.5588189252</v>
      </c>
      <c r="T6" s="202"/>
      <c r="U6" s="203"/>
    </row>
    <row r="7" spans="1:21" x14ac:dyDescent="0.2">
      <c r="A7" s="20">
        <v>9741</v>
      </c>
      <c r="B7" s="19" t="s">
        <v>71</v>
      </c>
      <c r="C7" s="55">
        <f t="shared" si="0"/>
        <v>6230699.3228667099</v>
      </c>
      <c r="D7" s="15">
        <f t="shared" ref="D7:M7" si="6">D50/$C$86*$C$43</f>
        <v>0</v>
      </c>
      <c r="E7" s="14">
        <f t="shared" si="6"/>
        <v>2253277.7960562492</v>
      </c>
      <c r="F7" s="14">
        <f t="shared" si="6"/>
        <v>25668.794553463169</v>
      </c>
      <c r="G7" s="13">
        <f t="shared" si="6"/>
        <v>0</v>
      </c>
      <c r="H7" s="15">
        <f t="shared" si="6"/>
        <v>0</v>
      </c>
      <c r="I7" s="13">
        <f t="shared" si="6"/>
        <v>0</v>
      </c>
      <c r="J7" s="16">
        <f t="shared" si="6"/>
        <v>2424120.2170794513</v>
      </c>
      <c r="K7" s="15">
        <f t="shared" si="6"/>
        <v>431331.44365216111</v>
      </c>
      <c r="L7" s="14">
        <f t="shared" si="6"/>
        <v>408395.47418223578</v>
      </c>
      <c r="M7" s="13">
        <f t="shared" si="6"/>
        <v>687905.59734314913</v>
      </c>
      <c r="O7" s="74">
        <v>3.0845130992374833E-2</v>
      </c>
      <c r="P7" s="120">
        <f t="shared" si="2"/>
        <v>0</v>
      </c>
      <c r="Q7" s="160">
        <f t="shared" si="3"/>
        <v>6230699.3228667099</v>
      </c>
      <c r="S7" s="206">
        <f t="shared" si="4"/>
        <v>-1017906.4603413763</v>
      </c>
      <c r="T7" s="202"/>
      <c r="U7" s="203"/>
    </row>
    <row r="8" spans="1:21" x14ac:dyDescent="0.2">
      <c r="A8" s="20">
        <v>3661</v>
      </c>
      <c r="B8" s="19" t="s">
        <v>70</v>
      </c>
      <c r="C8" s="55">
        <f t="shared" si="0"/>
        <v>8673182.858450545</v>
      </c>
      <c r="D8" s="15">
        <f t="shared" ref="D8:M8" si="7">D51/$C$86*$C$43</f>
        <v>0</v>
      </c>
      <c r="E8" s="14">
        <f t="shared" si="7"/>
        <v>1596896.4641371269</v>
      </c>
      <c r="F8" s="14">
        <f t="shared" si="7"/>
        <v>21881.234934431886</v>
      </c>
      <c r="G8" s="13">
        <f t="shared" si="7"/>
        <v>0</v>
      </c>
      <c r="H8" s="15">
        <f t="shared" si="7"/>
        <v>0</v>
      </c>
      <c r="I8" s="13">
        <f t="shared" si="7"/>
        <v>0</v>
      </c>
      <c r="J8" s="16">
        <f t="shared" si="7"/>
        <v>4526779.6829675129</v>
      </c>
      <c r="K8" s="15">
        <f t="shared" si="7"/>
        <v>567648.66108793218</v>
      </c>
      <c r="L8" s="14">
        <f t="shared" si="7"/>
        <v>642538.81101231335</v>
      </c>
      <c r="M8" s="13">
        <f t="shared" si="7"/>
        <v>1317438.004311227</v>
      </c>
      <c r="O8" s="74">
        <v>3.8067899960727944E-2</v>
      </c>
      <c r="P8" s="120">
        <f t="shared" si="2"/>
        <v>0</v>
      </c>
      <c r="Q8" s="160">
        <f t="shared" si="3"/>
        <v>8673182.858450545</v>
      </c>
      <c r="S8" s="206">
        <f t="shared" si="4"/>
        <v>-272773.6323205214</v>
      </c>
      <c r="T8" s="202"/>
      <c r="U8" s="203"/>
    </row>
    <row r="9" spans="1:21" x14ac:dyDescent="0.2">
      <c r="A9" s="20">
        <v>3599</v>
      </c>
      <c r="B9" s="19" t="s">
        <v>69</v>
      </c>
      <c r="C9" s="55">
        <f t="shared" si="0"/>
        <v>8233222.613479048</v>
      </c>
      <c r="D9" s="15">
        <f t="shared" ref="D9:M9" si="8">D52/$C$86*$C$43</f>
        <v>0</v>
      </c>
      <c r="E9" s="14">
        <f t="shared" si="8"/>
        <v>1489408.0254575063</v>
      </c>
      <c r="F9" s="14">
        <f t="shared" si="8"/>
        <v>19605.748183782711</v>
      </c>
      <c r="G9" s="13">
        <f t="shared" si="8"/>
        <v>0</v>
      </c>
      <c r="H9" s="15">
        <f t="shared" si="8"/>
        <v>0</v>
      </c>
      <c r="I9" s="13">
        <f t="shared" si="8"/>
        <v>0</v>
      </c>
      <c r="J9" s="16">
        <f t="shared" si="8"/>
        <v>4295327.9421097115</v>
      </c>
      <c r="K9" s="15">
        <f t="shared" si="8"/>
        <v>530262.26546921278</v>
      </c>
      <c r="L9" s="14">
        <f t="shared" si="8"/>
        <v>592406.24148127518</v>
      </c>
      <c r="M9" s="13">
        <f t="shared" si="8"/>
        <v>1306212.3907775595</v>
      </c>
      <c r="O9" s="74">
        <v>3.6041180893975448E-2</v>
      </c>
      <c r="P9" s="120">
        <f t="shared" si="2"/>
        <v>0</v>
      </c>
      <c r="Q9" s="160">
        <f t="shared" si="3"/>
        <v>8233222.613479048</v>
      </c>
      <c r="S9" s="206">
        <f t="shared" si="4"/>
        <v>-236454.89660518244</v>
      </c>
      <c r="T9" s="202"/>
      <c r="U9" s="203"/>
    </row>
    <row r="10" spans="1:21" x14ac:dyDescent="0.2">
      <c r="A10" s="20">
        <v>30646</v>
      </c>
      <c r="B10" s="19" t="s">
        <v>68</v>
      </c>
      <c r="C10" s="55">
        <f t="shared" si="0"/>
        <v>3080440.2520655477</v>
      </c>
      <c r="D10" s="15">
        <f t="shared" ref="D10:M10" si="9">D53/$C$86*$C$43</f>
        <v>0</v>
      </c>
      <c r="E10" s="14">
        <f t="shared" si="9"/>
        <v>841384.57196060475</v>
      </c>
      <c r="F10" s="14">
        <f t="shared" si="9"/>
        <v>32970.044434756295</v>
      </c>
      <c r="G10" s="13">
        <f t="shared" si="9"/>
        <v>0</v>
      </c>
      <c r="H10" s="15">
        <f t="shared" si="9"/>
        <v>0</v>
      </c>
      <c r="I10" s="13">
        <f t="shared" si="9"/>
        <v>0</v>
      </c>
      <c r="J10" s="16">
        <f t="shared" si="9"/>
        <v>1720580.4016148667</v>
      </c>
      <c r="K10" s="15">
        <f t="shared" si="9"/>
        <v>345151.89829903445</v>
      </c>
      <c r="L10" s="14">
        <f t="shared" si="9"/>
        <v>106451.98288460901</v>
      </c>
      <c r="M10" s="13">
        <f t="shared" si="9"/>
        <v>33901.352871676085</v>
      </c>
      <c r="O10" s="74">
        <v>1.3127311227878089E-2</v>
      </c>
      <c r="P10" s="120">
        <f t="shared" si="2"/>
        <v>0</v>
      </c>
      <c r="Q10" s="160">
        <f t="shared" si="3"/>
        <v>3080440.2520655477</v>
      </c>
      <c r="S10" s="206">
        <f t="shared" si="4"/>
        <v>-4477.886485802941</v>
      </c>
      <c r="T10" s="202"/>
      <c r="U10" s="203"/>
    </row>
    <row r="11" spans="1:21" x14ac:dyDescent="0.2">
      <c r="A11" s="20">
        <v>9930</v>
      </c>
      <c r="B11" s="19" t="s">
        <v>67</v>
      </c>
      <c r="C11" s="55">
        <f t="shared" si="0"/>
        <v>1436207.3949499151</v>
      </c>
      <c r="D11" s="15">
        <f t="shared" ref="D11:M11" si="10">D54/$C$86*$C$43</f>
        <v>0</v>
      </c>
      <c r="E11" s="14">
        <f t="shared" si="10"/>
        <v>317174.60784217122</v>
      </c>
      <c r="F11" s="14">
        <f t="shared" si="10"/>
        <v>22124.511941220055</v>
      </c>
      <c r="G11" s="13">
        <f t="shared" si="10"/>
        <v>0</v>
      </c>
      <c r="H11" s="15">
        <f t="shared" si="10"/>
        <v>0</v>
      </c>
      <c r="I11" s="13">
        <f t="shared" si="10"/>
        <v>0</v>
      </c>
      <c r="J11" s="16">
        <f t="shared" si="10"/>
        <v>732930.51271636842</v>
      </c>
      <c r="K11" s="15">
        <f t="shared" si="10"/>
        <v>204454.14030933005</v>
      </c>
      <c r="L11" s="14">
        <f t="shared" si="10"/>
        <v>94078.295239543615</v>
      </c>
      <c r="M11" s="13">
        <f t="shared" si="10"/>
        <v>65445.32690128198</v>
      </c>
      <c r="O11" s="74">
        <v>6.658597974462911E-3</v>
      </c>
      <c r="P11" s="120">
        <f t="shared" si="2"/>
        <v>0</v>
      </c>
      <c r="Q11" s="160">
        <f t="shared" si="3"/>
        <v>1436207.3949499151</v>
      </c>
      <c r="S11" s="206">
        <f t="shared" si="4"/>
        <v>-128563.12904886901</v>
      </c>
      <c r="T11" s="202"/>
      <c r="U11" s="203"/>
    </row>
    <row r="12" spans="1:21" x14ac:dyDescent="0.2">
      <c r="A12" s="20">
        <v>10115</v>
      </c>
      <c r="B12" s="19" t="s">
        <v>66</v>
      </c>
      <c r="C12" s="55">
        <f t="shared" si="0"/>
        <v>11584962.25140506</v>
      </c>
      <c r="D12" s="15">
        <f t="shared" ref="D12:M12" si="11">D55/$C$86*$C$43</f>
        <v>0</v>
      </c>
      <c r="E12" s="14">
        <f t="shared" si="11"/>
        <v>2326741.1024664803</v>
      </c>
      <c r="F12" s="14">
        <f t="shared" si="11"/>
        <v>19365.172699751256</v>
      </c>
      <c r="G12" s="13">
        <f t="shared" si="11"/>
        <v>0</v>
      </c>
      <c r="H12" s="15">
        <f t="shared" si="11"/>
        <v>0</v>
      </c>
      <c r="I12" s="13">
        <f t="shared" si="11"/>
        <v>0</v>
      </c>
      <c r="J12" s="16">
        <f t="shared" si="11"/>
        <v>5737921.3322181189</v>
      </c>
      <c r="K12" s="15">
        <f t="shared" si="11"/>
        <v>886040.22748818493</v>
      </c>
      <c r="L12" s="14">
        <f t="shared" si="11"/>
        <v>853146.62855873583</v>
      </c>
      <c r="M12" s="13">
        <f t="shared" si="11"/>
        <v>1761747.7879737895</v>
      </c>
      <c r="O12" s="74">
        <v>5.1993931386758195E-2</v>
      </c>
      <c r="P12" s="120">
        <f t="shared" si="2"/>
        <v>0</v>
      </c>
      <c r="Q12" s="160">
        <f t="shared" si="3"/>
        <v>11584962.25140506</v>
      </c>
      <c r="S12" s="206">
        <f t="shared" si="4"/>
        <v>-633611.62448311597</v>
      </c>
      <c r="T12" s="202"/>
      <c r="U12" s="203"/>
    </row>
    <row r="13" spans="1:21" x14ac:dyDescent="0.2">
      <c r="A13" s="20">
        <v>11163</v>
      </c>
      <c r="B13" s="19" t="s">
        <v>65</v>
      </c>
      <c r="C13" s="55">
        <f t="shared" si="0"/>
        <v>3255421.9361384232</v>
      </c>
      <c r="D13" s="15">
        <f t="shared" ref="D13:M13" si="12">D56/$C$86*$C$43</f>
        <v>0</v>
      </c>
      <c r="E13" s="14">
        <f t="shared" si="12"/>
        <v>821926.02873717376</v>
      </c>
      <c r="F13" s="14">
        <f t="shared" si="12"/>
        <v>27989.798581261974</v>
      </c>
      <c r="G13" s="13">
        <f t="shared" si="12"/>
        <v>0</v>
      </c>
      <c r="H13" s="15">
        <f t="shared" si="12"/>
        <v>0</v>
      </c>
      <c r="I13" s="13">
        <f t="shared" si="12"/>
        <v>0</v>
      </c>
      <c r="J13" s="16">
        <f t="shared" si="12"/>
        <v>1730989.6068915401</v>
      </c>
      <c r="K13" s="15">
        <f t="shared" si="12"/>
        <v>373777.21280988678</v>
      </c>
      <c r="L13" s="14">
        <f t="shared" si="12"/>
        <v>170297.65985734336</v>
      </c>
      <c r="M13" s="13">
        <f t="shared" si="12"/>
        <v>130441.62926121724</v>
      </c>
      <c r="O13" s="74">
        <v>1.2069401585431769E-2</v>
      </c>
      <c r="P13" s="120">
        <f t="shared" si="2"/>
        <v>0</v>
      </c>
      <c r="Q13" s="160">
        <f t="shared" si="3"/>
        <v>3255421.9361384232</v>
      </c>
      <c r="S13" s="206">
        <f t="shared" si="4"/>
        <v>419112.56356195733</v>
      </c>
      <c r="T13" s="202"/>
      <c r="U13" s="203"/>
    </row>
    <row r="14" spans="1:21" x14ac:dyDescent="0.2">
      <c r="A14" s="20">
        <v>3632</v>
      </c>
      <c r="B14" s="19" t="s">
        <v>64</v>
      </c>
      <c r="C14" s="55">
        <f t="shared" si="0"/>
        <v>25214416.858190887</v>
      </c>
      <c r="D14" s="15">
        <f t="shared" ref="D14:M14" si="13">D57/$C$86*$C$43</f>
        <v>0</v>
      </c>
      <c r="E14" s="14">
        <f t="shared" si="13"/>
        <v>11809096.075721292</v>
      </c>
      <c r="F14" s="14">
        <f t="shared" si="13"/>
        <v>24149.630412353985</v>
      </c>
      <c r="G14" s="13">
        <f t="shared" si="13"/>
        <v>0</v>
      </c>
      <c r="H14" s="15">
        <f t="shared" si="13"/>
        <v>0</v>
      </c>
      <c r="I14" s="13">
        <f t="shared" si="13"/>
        <v>0</v>
      </c>
      <c r="J14" s="16">
        <f t="shared" si="13"/>
        <v>4560456.5235685157</v>
      </c>
      <c r="K14" s="15">
        <f t="shared" si="13"/>
        <v>1309044.3069190071</v>
      </c>
      <c r="L14" s="14">
        <f t="shared" si="13"/>
        <v>1704379.800265142</v>
      </c>
      <c r="M14" s="13">
        <f t="shared" si="13"/>
        <v>5807290.5213045795</v>
      </c>
      <c r="O14" s="74">
        <v>0.10514316433214833</v>
      </c>
      <c r="P14" s="120">
        <f t="shared" si="2"/>
        <v>0</v>
      </c>
      <c r="Q14" s="160">
        <f t="shared" si="3"/>
        <v>25214416.858190887</v>
      </c>
      <c r="S14" s="206">
        <f t="shared" si="4"/>
        <v>505773.24013602734</v>
      </c>
      <c r="T14" s="202"/>
      <c r="U14" s="203"/>
    </row>
    <row r="15" spans="1:21" x14ac:dyDescent="0.2">
      <c r="A15" s="20">
        <v>10298</v>
      </c>
      <c r="B15" s="19" t="s">
        <v>63</v>
      </c>
      <c r="C15" s="55">
        <f t="shared" si="0"/>
        <v>1252666.6144999568</v>
      </c>
      <c r="D15" s="15">
        <f t="shared" ref="D15:M15" si="14">D58/$C$86*$C$43</f>
        <v>0</v>
      </c>
      <c r="E15" s="14">
        <f t="shared" si="14"/>
        <v>347028.48921600927</v>
      </c>
      <c r="F15" s="14">
        <f t="shared" si="14"/>
        <v>23534.516359955716</v>
      </c>
      <c r="G15" s="13">
        <f t="shared" si="14"/>
        <v>0</v>
      </c>
      <c r="H15" s="15">
        <f t="shared" si="14"/>
        <v>0</v>
      </c>
      <c r="I15" s="13">
        <f t="shared" si="14"/>
        <v>0</v>
      </c>
      <c r="J15" s="16">
        <f t="shared" si="14"/>
        <v>435349.70304205344</v>
      </c>
      <c r="K15" s="15">
        <f t="shared" si="14"/>
        <v>231214.47220811169</v>
      </c>
      <c r="L15" s="14">
        <f t="shared" si="14"/>
        <v>91271.89185612672</v>
      </c>
      <c r="M15" s="13">
        <f t="shared" si="14"/>
        <v>124267.54181770007</v>
      </c>
      <c r="O15" s="74">
        <v>7.0859752523080169E-3</v>
      </c>
      <c r="P15" s="120">
        <f t="shared" si="2"/>
        <v>0</v>
      </c>
      <c r="Q15" s="160">
        <f t="shared" si="3"/>
        <v>1252666.6144999568</v>
      </c>
      <c r="S15" s="206">
        <f t="shared" si="4"/>
        <v>-412537.56979242712</v>
      </c>
      <c r="T15" s="202"/>
      <c r="U15" s="203"/>
    </row>
    <row r="16" spans="1:21" x14ac:dyDescent="0.2">
      <c r="A16" s="20">
        <v>3630</v>
      </c>
      <c r="B16" s="19" t="s">
        <v>62</v>
      </c>
      <c r="C16" s="55">
        <f t="shared" si="0"/>
        <v>3008482.093781624</v>
      </c>
      <c r="D16" s="15">
        <f t="shared" ref="D16:M16" si="15">D59/$C$86*$C$43</f>
        <v>0</v>
      </c>
      <c r="E16" s="14">
        <f t="shared" si="15"/>
        <v>466123.29808227962</v>
      </c>
      <c r="F16" s="14">
        <f t="shared" si="15"/>
        <v>15138.972140565864</v>
      </c>
      <c r="G16" s="13">
        <f t="shared" si="15"/>
        <v>0</v>
      </c>
      <c r="H16" s="15">
        <f t="shared" si="15"/>
        <v>0</v>
      </c>
      <c r="I16" s="13">
        <f t="shared" si="15"/>
        <v>0</v>
      </c>
      <c r="J16" s="16">
        <f t="shared" si="15"/>
        <v>1474433.3121311739</v>
      </c>
      <c r="K16" s="15">
        <f t="shared" si="15"/>
        <v>217031.93001864394</v>
      </c>
      <c r="L16" s="14">
        <f t="shared" si="15"/>
        <v>225979.25426013762</v>
      </c>
      <c r="M16" s="13">
        <f t="shared" si="15"/>
        <v>609775.32714882283</v>
      </c>
      <c r="O16" s="74">
        <v>1.5279410782616385E-2</v>
      </c>
      <c r="P16" s="120">
        <f t="shared" si="2"/>
        <v>0</v>
      </c>
      <c r="Q16" s="160">
        <f t="shared" si="3"/>
        <v>3008482.093781624</v>
      </c>
      <c r="S16" s="206">
        <f t="shared" si="4"/>
        <v>-582179.44013322657</v>
      </c>
      <c r="T16" s="202"/>
      <c r="U16" s="203"/>
    </row>
    <row r="17" spans="1:21" x14ac:dyDescent="0.2">
      <c r="A17" s="20">
        <v>3631</v>
      </c>
      <c r="B17" s="19" t="s">
        <v>61</v>
      </c>
      <c r="C17" s="55">
        <f t="shared" si="0"/>
        <v>4323586.671217286</v>
      </c>
      <c r="D17" s="15">
        <f t="shared" ref="D17:M17" si="16">D60/$C$86*$C$43</f>
        <v>0</v>
      </c>
      <c r="E17" s="14">
        <f t="shared" si="16"/>
        <v>989388.32823073491</v>
      </c>
      <c r="F17" s="14">
        <f t="shared" si="16"/>
        <v>23497.027948656771</v>
      </c>
      <c r="G17" s="13">
        <f t="shared" si="16"/>
        <v>0</v>
      </c>
      <c r="H17" s="15">
        <f t="shared" si="16"/>
        <v>0</v>
      </c>
      <c r="I17" s="13">
        <f t="shared" si="16"/>
        <v>0</v>
      </c>
      <c r="J17" s="16">
        <f t="shared" si="16"/>
        <v>2195117.7009926322</v>
      </c>
      <c r="K17" s="15">
        <f t="shared" si="16"/>
        <v>280311.2237630887</v>
      </c>
      <c r="L17" s="14">
        <f t="shared" si="16"/>
        <v>254234.63377953958</v>
      </c>
      <c r="M17" s="13">
        <f t="shared" si="16"/>
        <v>581037.7565026338</v>
      </c>
      <c r="O17" s="74">
        <v>1.9985241623354359E-2</v>
      </c>
      <c r="P17" s="120">
        <f t="shared" si="2"/>
        <v>0</v>
      </c>
      <c r="Q17" s="160">
        <f t="shared" si="3"/>
        <v>4323586.671217286</v>
      </c>
      <c r="S17" s="206">
        <f t="shared" si="4"/>
        <v>-372945.1102709882</v>
      </c>
      <c r="T17" s="202"/>
      <c r="U17" s="203"/>
    </row>
    <row r="18" spans="1:21" x14ac:dyDescent="0.2">
      <c r="A18" s="65">
        <v>103631</v>
      </c>
      <c r="B18" s="19" t="s">
        <v>60</v>
      </c>
      <c r="C18" s="55">
        <f t="shared" si="0"/>
        <v>1125773.6483276656</v>
      </c>
      <c r="D18" s="15">
        <f t="shared" ref="D18:M18" si="17">D61/$C$86*$C$43</f>
        <v>0</v>
      </c>
      <c r="E18" s="14">
        <f t="shared" si="17"/>
        <v>294725.039104108</v>
      </c>
      <c r="F18" s="14">
        <f t="shared" si="17"/>
        <v>64663.21690105673</v>
      </c>
      <c r="G18" s="13">
        <f t="shared" si="17"/>
        <v>0</v>
      </c>
      <c r="H18" s="15">
        <f t="shared" si="17"/>
        <v>0</v>
      </c>
      <c r="I18" s="13">
        <f t="shared" si="17"/>
        <v>0</v>
      </c>
      <c r="J18" s="16">
        <f t="shared" si="17"/>
        <v>600672.37508333952</v>
      </c>
      <c r="K18" s="15">
        <f t="shared" si="17"/>
        <v>128813.91529883545</v>
      </c>
      <c r="L18" s="14">
        <f t="shared" si="17"/>
        <v>25448.976135985016</v>
      </c>
      <c r="M18" s="13">
        <f t="shared" si="17"/>
        <v>11450.125804340931</v>
      </c>
      <c r="O18" s="74">
        <v>3.4527219750504121E-3</v>
      </c>
      <c r="P18" s="120">
        <f t="shared" si="2"/>
        <v>0</v>
      </c>
      <c r="Q18" s="160">
        <f t="shared" si="3"/>
        <v>1125773.6483276656</v>
      </c>
      <c r="S18" s="206">
        <f t="shared" si="4"/>
        <v>314383.98419081874</v>
      </c>
      <c r="T18" s="202"/>
      <c r="U18" s="203"/>
    </row>
    <row r="19" spans="1:21" x14ac:dyDescent="0.2">
      <c r="A19" s="20">
        <v>11161</v>
      </c>
      <c r="B19" s="19" t="s">
        <v>59</v>
      </c>
      <c r="C19" s="55">
        <f t="shared" si="0"/>
        <v>4088722.2924789744</v>
      </c>
      <c r="D19" s="15">
        <f t="shared" ref="D19:M19" si="18">D62/$C$86*$C$43</f>
        <v>0</v>
      </c>
      <c r="E19" s="14">
        <f t="shared" si="18"/>
        <v>944657.06470245286</v>
      </c>
      <c r="F19" s="14">
        <f t="shared" si="18"/>
        <v>20451.518656213306</v>
      </c>
      <c r="G19" s="13">
        <f t="shared" si="18"/>
        <v>0</v>
      </c>
      <c r="H19" s="15">
        <f t="shared" si="18"/>
        <v>0</v>
      </c>
      <c r="I19" s="13">
        <f t="shared" si="18"/>
        <v>0</v>
      </c>
      <c r="J19" s="16">
        <f t="shared" si="18"/>
        <v>1983872.0644954334</v>
      </c>
      <c r="K19" s="15">
        <f t="shared" si="18"/>
        <v>267256.3454785939</v>
      </c>
      <c r="L19" s="14">
        <f t="shared" si="18"/>
        <v>280895.465922</v>
      </c>
      <c r="M19" s="13">
        <f t="shared" si="18"/>
        <v>591589.83322428132</v>
      </c>
      <c r="O19" s="74">
        <v>1.9224284187157891E-2</v>
      </c>
      <c r="P19" s="120">
        <f t="shared" si="2"/>
        <v>0</v>
      </c>
      <c r="Q19" s="160">
        <f t="shared" si="3"/>
        <v>4088722.2924789744</v>
      </c>
      <c r="S19" s="206">
        <f t="shared" si="4"/>
        <v>-428984.49150313018</v>
      </c>
      <c r="T19" s="202"/>
      <c r="U19" s="203"/>
    </row>
    <row r="20" spans="1:21" x14ac:dyDescent="0.2">
      <c r="A20" s="20">
        <v>3639</v>
      </c>
      <c r="B20" s="19" t="s">
        <v>58</v>
      </c>
      <c r="C20" s="55">
        <f t="shared" si="0"/>
        <v>2318969.0120447576</v>
      </c>
      <c r="D20" s="15">
        <f t="shared" ref="D20:M20" si="19">D63/$C$86*$C$43</f>
        <v>0</v>
      </c>
      <c r="E20" s="14">
        <f t="shared" si="19"/>
        <v>410457.01133430406</v>
      </c>
      <c r="F20" s="14">
        <f t="shared" si="19"/>
        <v>17105.825147000647</v>
      </c>
      <c r="G20" s="13">
        <f t="shared" si="19"/>
        <v>0</v>
      </c>
      <c r="H20" s="15">
        <f t="shared" si="19"/>
        <v>0</v>
      </c>
      <c r="I20" s="13">
        <f t="shared" si="19"/>
        <v>0</v>
      </c>
      <c r="J20" s="16">
        <f t="shared" si="19"/>
        <v>1190935.5448900056</v>
      </c>
      <c r="K20" s="15">
        <f t="shared" si="19"/>
        <v>159694.55761963371</v>
      </c>
      <c r="L20" s="14">
        <f t="shared" si="19"/>
        <v>164493.50740527658</v>
      </c>
      <c r="M20" s="13">
        <f t="shared" si="19"/>
        <v>376282.56564853713</v>
      </c>
      <c r="O20" s="74">
        <v>1.296528221607569E-2</v>
      </c>
      <c r="P20" s="120">
        <f t="shared" si="2"/>
        <v>0</v>
      </c>
      <c r="Q20" s="160">
        <f t="shared" si="3"/>
        <v>2318969.0120447576</v>
      </c>
      <c r="S20" s="206">
        <f t="shared" si="4"/>
        <v>-727872.30873302976</v>
      </c>
      <c r="T20" s="202"/>
      <c r="U20" s="203"/>
    </row>
    <row r="21" spans="1:21" x14ac:dyDescent="0.2">
      <c r="A21" s="65">
        <v>103639</v>
      </c>
      <c r="B21" s="19" t="s">
        <v>57</v>
      </c>
      <c r="C21" s="55">
        <f t="shared" si="0"/>
        <v>1462767.1700563461</v>
      </c>
      <c r="D21" s="15">
        <f t="shared" ref="D21:M21" si="20">D64/$C$86*$C$43</f>
        <v>0</v>
      </c>
      <c r="E21" s="14">
        <f t="shared" si="20"/>
        <v>316689.589051369</v>
      </c>
      <c r="F21" s="14">
        <f t="shared" si="20"/>
        <v>39798.469813643533</v>
      </c>
      <c r="G21" s="13">
        <f t="shared" si="20"/>
        <v>0</v>
      </c>
      <c r="H21" s="15">
        <f t="shared" si="20"/>
        <v>0</v>
      </c>
      <c r="I21" s="13">
        <f t="shared" si="20"/>
        <v>0</v>
      </c>
      <c r="J21" s="16">
        <f t="shared" si="20"/>
        <v>900702.40952863661</v>
      </c>
      <c r="K21" s="15">
        <f t="shared" si="20"/>
        <v>189881.25292198703</v>
      </c>
      <c r="L21" s="14">
        <f t="shared" si="20"/>
        <v>14797.399658016349</v>
      </c>
      <c r="M21" s="13">
        <f t="shared" si="20"/>
        <v>898.04908269340626</v>
      </c>
      <c r="O21" s="74">
        <v>5.939285915308113E-3</v>
      </c>
      <c r="P21" s="120">
        <f t="shared" si="2"/>
        <v>0</v>
      </c>
      <c r="Q21" s="160">
        <f t="shared" si="3"/>
        <v>1462767.1700563461</v>
      </c>
      <c r="S21" s="206">
        <f t="shared" si="4"/>
        <v>67034.979958939599</v>
      </c>
      <c r="T21" s="202"/>
      <c r="U21" s="203"/>
    </row>
    <row r="22" spans="1:21" x14ac:dyDescent="0.2">
      <c r="A22" s="20">
        <v>9651</v>
      </c>
      <c r="B22" s="19" t="s">
        <v>56</v>
      </c>
      <c r="C22" s="55">
        <f t="shared" si="0"/>
        <v>2524646.7969743204</v>
      </c>
      <c r="D22" s="15">
        <f t="shared" ref="D22:M22" si="21">D65/$C$86*$C$43</f>
        <v>0</v>
      </c>
      <c r="E22" s="14">
        <f t="shared" si="21"/>
        <v>500642.37860778283</v>
      </c>
      <c r="F22" s="14">
        <f t="shared" si="21"/>
        <v>18489.881233353975</v>
      </c>
      <c r="G22" s="13">
        <f t="shared" si="21"/>
        <v>0</v>
      </c>
      <c r="H22" s="15">
        <f t="shared" si="21"/>
        <v>0</v>
      </c>
      <c r="I22" s="13">
        <f t="shared" si="21"/>
        <v>0</v>
      </c>
      <c r="J22" s="16">
        <f t="shared" si="21"/>
        <v>1309110.6400898877</v>
      </c>
      <c r="K22" s="15">
        <f t="shared" si="21"/>
        <v>183028.52611484361</v>
      </c>
      <c r="L22" s="14">
        <f t="shared" si="21"/>
        <v>194343.43430161991</v>
      </c>
      <c r="M22" s="13">
        <f t="shared" si="21"/>
        <v>319031.93662683258</v>
      </c>
      <c r="O22" s="74">
        <v>1.0886031395541047E-2</v>
      </c>
      <c r="P22" s="120">
        <f t="shared" si="2"/>
        <v>0</v>
      </c>
      <c r="Q22" s="160">
        <f t="shared" si="3"/>
        <v>2524646.7969743204</v>
      </c>
      <c r="S22" s="206">
        <f t="shared" si="4"/>
        <v>-33570.580977825448</v>
      </c>
      <c r="T22" s="202"/>
      <c r="U22" s="203"/>
    </row>
    <row r="23" spans="1:21" x14ac:dyDescent="0.2">
      <c r="A23" s="20">
        <v>3665</v>
      </c>
      <c r="B23" s="19" t="s">
        <v>55</v>
      </c>
      <c r="C23" s="55">
        <f t="shared" si="0"/>
        <v>3358008.675804527</v>
      </c>
      <c r="D23" s="15">
        <f t="shared" ref="D23:M23" si="22">D66/$C$86*$C$43</f>
        <v>0</v>
      </c>
      <c r="E23" s="14">
        <f t="shared" si="22"/>
        <v>791597.69510648458</v>
      </c>
      <c r="F23" s="14">
        <f t="shared" si="22"/>
        <v>22184.352635757175</v>
      </c>
      <c r="G23" s="13">
        <f t="shared" si="22"/>
        <v>0</v>
      </c>
      <c r="H23" s="15">
        <f t="shared" si="22"/>
        <v>0</v>
      </c>
      <c r="I23" s="13">
        <f t="shared" si="22"/>
        <v>0</v>
      </c>
      <c r="J23" s="16">
        <f t="shared" si="22"/>
        <v>1633632.9222450051</v>
      </c>
      <c r="K23" s="15">
        <f t="shared" si="22"/>
        <v>233122.82650883522</v>
      </c>
      <c r="L23" s="14">
        <f t="shared" si="22"/>
        <v>232038.53429251502</v>
      </c>
      <c r="M23" s="13">
        <f t="shared" si="22"/>
        <v>445432.34501592949</v>
      </c>
      <c r="O23" s="74">
        <v>1.5183466872892367E-2</v>
      </c>
      <c r="P23" s="120">
        <f t="shared" si="2"/>
        <v>0</v>
      </c>
      <c r="Q23" s="160">
        <f t="shared" si="3"/>
        <v>3358008.675804527</v>
      </c>
      <c r="S23" s="206">
        <f t="shared" si="4"/>
        <v>-210106.03932517953</v>
      </c>
      <c r="T23" s="202"/>
      <c r="U23" s="203"/>
    </row>
    <row r="24" spans="1:21" x14ac:dyDescent="0.2">
      <c r="A24" s="20">
        <v>3565</v>
      </c>
      <c r="B24" s="19" t="s">
        <v>54</v>
      </c>
      <c r="C24" s="55">
        <f t="shared" si="0"/>
        <v>3448491.3540453957</v>
      </c>
      <c r="D24" s="15">
        <f t="shared" ref="D24:M24" si="23">D67/$C$86*$C$43</f>
        <v>0</v>
      </c>
      <c r="E24" s="14">
        <f t="shared" si="23"/>
        <v>780488.84496207233</v>
      </c>
      <c r="F24" s="14">
        <f t="shared" si="23"/>
        <v>26975.374499580939</v>
      </c>
      <c r="G24" s="13">
        <f t="shared" si="23"/>
        <v>0</v>
      </c>
      <c r="H24" s="15">
        <f t="shared" si="23"/>
        <v>0</v>
      </c>
      <c r="I24" s="13">
        <f t="shared" si="23"/>
        <v>0</v>
      </c>
      <c r="J24" s="16">
        <f t="shared" si="23"/>
        <v>1872432.3374157515</v>
      </c>
      <c r="K24" s="15">
        <f t="shared" si="23"/>
        <v>246307.81985928834</v>
      </c>
      <c r="L24" s="14">
        <f t="shared" si="23"/>
        <v>217623.82600496459</v>
      </c>
      <c r="M24" s="13">
        <f t="shared" si="23"/>
        <v>304663.15130373801</v>
      </c>
      <c r="O24" s="74">
        <v>1.411122580581306E-2</v>
      </c>
      <c r="P24" s="120">
        <f t="shared" si="2"/>
        <v>0</v>
      </c>
      <c r="Q24" s="160">
        <f t="shared" si="3"/>
        <v>3448491.3540453957</v>
      </c>
      <c r="S24" s="206">
        <f t="shared" si="4"/>
        <v>132353.28967932658</v>
      </c>
      <c r="T24" s="202"/>
      <c r="U24" s="203"/>
    </row>
    <row r="25" spans="1:21" x14ac:dyDescent="0.2">
      <c r="A25" s="20">
        <v>29269</v>
      </c>
      <c r="B25" s="19" t="s">
        <v>53</v>
      </c>
      <c r="C25" s="55">
        <f t="shared" si="0"/>
        <v>874517.44393764844</v>
      </c>
      <c r="D25" s="15">
        <f t="shared" ref="D25:M25" si="24">D68/$C$86*$C$43</f>
        <v>0</v>
      </c>
      <c r="E25" s="14">
        <f t="shared" si="24"/>
        <v>250954.04475717657</v>
      </c>
      <c r="F25" s="14">
        <f t="shared" si="24"/>
        <v>37088.873941418686</v>
      </c>
      <c r="G25" s="13">
        <f t="shared" si="24"/>
        <v>0</v>
      </c>
      <c r="H25" s="15">
        <f t="shared" si="24"/>
        <v>0</v>
      </c>
      <c r="I25" s="13">
        <f t="shared" si="24"/>
        <v>0</v>
      </c>
      <c r="J25" s="16">
        <f t="shared" si="24"/>
        <v>439023.54019852652</v>
      </c>
      <c r="K25" s="15">
        <f t="shared" si="24"/>
        <v>112592.90374268578</v>
      </c>
      <c r="L25" s="14">
        <f t="shared" si="24"/>
        <v>34633.569027167578</v>
      </c>
      <c r="M25" s="13">
        <f t="shared" si="24"/>
        <v>224.51227067335157</v>
      </c>
      <c r="O25" s="74">
        <v>2.885126155730112E-3</v>
      </c>
      <c r="P25" s="120">
        <f t="shared" si="2"/>
        <v>0</v>
      </c>
      <c r="Q25" s="160">
        <f t="shared" si="3"/>
        <v>874517.44393764844</v>
      </c>
      <c r="S25" s="206">
        <f t="shared" si="4"/>
        <v>196512.79734107212</v>
      </c>
      <c r="T25" s="202"/>
      <c r="U25" s="203"/>
    </row>
    <row r="26" spans="1:21" x14ac:dyDescent="0.2">
      <c r="A26" s="20">
        <v>3652</v>
      </c>
      <c r="B26" s="19" t="s">
        <v>52</v>
      </c>
      <c r="C26" s="55">
        <f t="shared" si="0"/>
        <v>14184791.037792137</v>
      </c>
      <c r="D26" s="15">
        <f t="shared" ref="D26:M26" si="25">D69/$C$86*$C$43</f>
        <v>0</v>
      </c>
      <c r="E26" s="14">
        <f t="shared" si="25"/>
        <v>3662757.1357451882</v>
      </c>
      <c r="F26" s="14">
        <f t="shared" si="25"/>
        <v>20497.954058962147</v>
      </c>
      <c r="G26" s="13">
        <f t="shared" si="25"/>
        <v>0</v>
      </c>
      <c r="H26" s="15">
        <f t="shared" si="25"/>
        <v>0</v>
      </c>
      <c r="I26" s="13">
        <f t="shared" si="25"/>
        <v>0</v>
      </c>
      <c r="J26" s="16">
        <f t="shared" si="25"/>
        <v>6195926.3643917572</v>
      </c>
      <c r="K26" s="15">
        <f t="shared" si="25"/>
        <v>989178.10310455866</v>
      </c>
      <c r="L26" s="14">
        <f t="shared" si="25"/>
        <v>1088820.7308706772</v>
      </c>
      <c r="M26" s="13">
        <f t="shared" si="25"/>
        <v>2227610.7496209941</v>
      </c>
      <c r="O26" s="74">
        <v>6.680079885949769E-2</v>
      </c>
      <c r="P26" s="120">
        <f t="shared" si="2"/>
        <v>319108.83435931656</v>
      </c>
      <c r="Q26" s="160">
        <f t="shared" si="3"/>
        <v>14503899.872151453</v>
      </c>
      <c r="S26" s="206">
        <f t="shared" si="4"/>
        <v>-1194287.8598305043</v>
      </c>
      <c r="T26" s="202"/>
      <c r="U26" s="203"/>
    </row>
    <row r="27" spans="1:21" x14ac:dyDescent="0.2">
      <c r="A27" s="20">
        <v>11711</v>
      </c>
      <c r="B27" s="19" t="s">
        <v>51</v>
      </c>
      <c r="C27" s="55">
        <f t="shared" si="0"/>
        <v>2853665.7782738288</v>
      </c>
      <c r="D27" s="15">
        <f t="shared" ref="D27:M27" si="26">D70/$C$86*$C$43</f>
        <v>0</v>
      </c>
      <c r="E27" s="14">
        <f t="shared" si="26"/>
        <v>829559.84563178511</v>
      </c>
      <c r="F27" s="14">
        <f t="shared" si="26"/>
        <v>37975.989060861051</v>
      </c>
      <c r="G27" s="13">
        <f t="shared" si="26"/>
        <v>0</v>
      </c>
      <c r="H27" s="15">
        <f t="shared" si="26"/>
        <v>0</v>
      </c>
      <c r="I27" s="13">
        <f t="shared" si="26"/>
        <v>0</v>
      </c>
      <c r="J27" s="16">
        <f t="shared" si="26"/>
        <v>1422387.2857478061</v>
      </c>
      <c r="K27" s="15">
        <f t="shared" si="26"/>
        <v>362066.85687362903</v>
      </c>
      <c r="L27" s="14">
        <f t="shared" si="26"/>
        <v>182480.00181717577</v>
      </c>
      <c r="M27" s="13">
        <f t="shared" si="26"/>
        <v>19195.799142571555</v>
      </c>
      <c r="O27" s="74">
        <v>1.0972897764284933E-2</v>
      </c>
      <c r="P27" s="120">
        <f t="shared" si="2"/>
        <v>0</v>
      </c>
      <c r="Q27" s="160">
        <f t="shared" si="3"/>
        <v>2853665.7782738288</v>
      </c>
      <c r="S27" s="206">
        <f t="shared" si="4"/>
        <v>275034.80366686964</v>
      </c>
      <c r="T27" s="202"/>
      <c r="U27" s="203"/>
    </row>
    <row r="28" spans="1:21" x14ac:dyDescent="0.2">
      <c r="A28" s="20">
        <v>12826</v>
      </c>
      <c r="B28" s="19" t="s">
        <v>50</v>
      </c>
      <c r="C28" s="55">
        <f t="shared" si="0"/>
        <v>5091913.1355073769</v>
      </c>
      <c r="D28" s="15">
        <f t="shared" ref="D28:M28" si="27">D71/$C$86*$C$43</f>
        <v>0</v>
      </c>
      <c r="E28" s="14">
        <f t="shared" si="27"/>
        <v>606279.44147961657</v>
      </c>
      <c r="F28" s="14">
        <f t="shared" si="27"/>
        <v>28542.109622096232</v>
      </c>
      <c r="G28" s="13">
        <f t="shared" si="27"/>
        <v>0</v>
      </c>
      <c r="H28" s="15">
        <f t="shared" si="27"/>
        <v>0</v>
      </c>
      <c r="I28" s="13">
        <f t="shared" si="27"/>
        <v>0</v>
      </c>
      <c r="J28" s="16">
        <f t="shared" si="27"/>
        <v>3087860.1300155772</v>
      </c>
      <c r="K28" s="15">
        <f t="shared" si="27"/>
        <v>808101.30297909153</v>
      </c>
      <c r="L28" s="14">
        <f t="shared" si="27"/>
        <v>357497.52191026567</v>
      </c>
      <c r="M28" s="13">
        <f t="shared" si="27"/>
        <v>203632.62950072985</v>
      </c>
      <c r="O28" s="74">
        <v>2.262163232206927E-2</v>
      </c>
      <c r="P28" s="120">
        <f t="shared" si="2"/>
        <v>0</v>
      </c>
      <c r="Q28" s="160">
        <f t="shared" si="3"/>
        <v>5091913.1355073769</v>
      </c>
      <c r="S28" s="206">
        <f t="shared" si="4"/>
        <v>-224170.46017890144</v>
      </c>
      <c r="T28" s="202"/>
      <c r="U28" s="203"/>
    </row>
    <row r="29" spans="1:21" x14ac:dyDescent="0.2">
      <c r="A29" s="20">
        <v>13231</v>
      </c>
      <c r="B29" s="19" t="s">
        <v>49</v>
      </c>
      <c r="C29" s="55">
        <f t="shared" si="0"/>
        <v>1391086.6047594135</v>
      </c>
      <c r="D29" s="15">
        <f t="shared" ref="D29:M29" si="28">D72/$C$86*$C$43</f>
        <v>0</v>
      </c>
      <c r="E29" s="14">
        <f t="shared" si="28"/>
        <v>402087.74578511278</v>
      </c>
      <c r="F29" s="14">
        <f t="shared" si="28"/>
        <v>38350.123048252754</v>
      </c>
      <c r="G29" s="13">
        <f t="shared" si="28"/>
        <v>0</v>
      </c>
      <c r="H29" s="15">
        <f t="shared" si="28"/>
        <v>0</v>
      </c>
      <c r="I29" s="13">
        <f t="shared" si="28"/>
        <v>0</v>
      </c>
      <c r="J29" s="16">
        <f t="shared" si="28"/>
        <v>705376.73404282075</v>
      </c>
      <c r="K29" s="15">
        <f t="shared" si="28"/>
        <v>186324.77445245694</v>
      </c>
      <c r="L29" s="14">
        <f t="shared" si="28"/>
        <v>56702.104724036784</v>
      </c>
      <c r="M29" s="13">
        <f t="shared" si="28"/>
        <v>2245.1227067335158</v>
      </c>
      <c r="O29" s="74">
        <v>5.6229417841748381E-3</v>
      </c>
      <c r="P29" s="120">
        <f t="shared" si="2"/>
        <v>0</v>
      </c>
      <c r="Q29" s="160">
        <f t="shared" si="3"/>
        <v>1391086.6047594135</v>
      </c>
      <c r="S29" s="206">
        <f t="shared" si="4"/>
        <v>69695.285478326492</v>
      </c>
      <c r="T29" s="202"/>
      <c r="U29" s="203"/>
    </row>
    <row r="30" spans="1:21" x14ac:dyDescent="0.2">
      <c r="A30" s="20">
        <v>3592</v>
      </c>
      <c r="B30" s="19" t="s">
        <v>48</v>
      </c>
      <c r="C30" s="55">
        <f t="shared" si="0"/>
        <v>2701499.6740733706</v>
      </c>
      <c r="D30" s="15">
        <f t="shared" ref="D30:M30" si="29">D73/$C$86*$C$43</f>
        <v>0</v>
      </c>
      <c r="E30" s="14">
        <f t="shared" si="29"/>
        <v>607086.06984603172</v>
      </c>
      <c r="F30" s="14">
        <f t="shared" si="29"/>
        <v>23078.702649815888</v>
      </c>
      <c r="G30" s="13">
        <f t="shared" si="29"/>
        <v>0</v>
      </c>
      <c r="H30" s="15">
        <f t="shared" si="29"/>
        <v>0</v>
      </c>
      <c r="I30" s="13">
        <f t="shared" si="29"/>
        <v>0</v>
      </c>
      <c r="J30" s="16">
        <f t="shared" si="29"/>
        <v>1268086.1251759392</v>
      </c>
      <c r="K30" s="15">
        <f t="shared" si="29"/>
        <v>374210.92969641485</v>
      </c>
      <c r="L30" s="14">
        <f t="shared" si="29"/>
        <v>200147.58675368669</v>
      </c>
      <c r="M30" s="13">
        <f t="shared" si="29"/>
        <v>228890.25995148186</v>
      </c>
      <c r="O30" s="74">
        <v>1.0364568727977754E-2</v>
      </c>
      <c r="P30" s="120">
        <f t="shared" si="2"/>
        <v>0</v>
      </c>
      <c r="Q30" s="160">
        <f t="shared" si="3"/>
        <v>2701499.6740733706</v>
      </c>
      <c r="S30" s="206">
        <f t="shared" si="4"/>
        <v>265826.0229985984</v>
      </c>
      <c r="T30" s="202"/>
      <c r="U30" s="203"/>
    </row>
    <row r="31" spans="1:21" x14ac:dyDescent="0.2">
      <c r="A31" s="20">
        <v>3594</v>
      </c>
      <c r="B31" s="19" t="s">
        <v>47</v>
      </c>
      <c r="C31" s="55">
        <f t="shared" si="0"/>
        <v>16036915.374379158</v>
      </c>
      <c r="D31" s="15">
        <f t="shared" ref="D31:M31" si="30">D74/$C$86*$C$43</f>
        <v>0</v>
      </c>
      <c r="E31" s="14">
        <f t="shared" si="30"/>
        <v>4644579.528018021</v>
      </c>
      <c r="F31" s="14">
        <f t="shared" si="30"/>
        <v>24766.775732926388</v>
      </c>
      <c r="G31" s="13">
        <f t="shared" si="30"/>
        <v>0</v>
      </c>
      <c r="H31" s="15">
        <f t="shared" si="30"/>
        <v>0</v>
      </c>
      <c r="I31" s="13">
        <f t="shared" si="30"/>
        <v>0</v>
      </c>
      <c r="J31" s="16">
        <f t="shared" si="30"/>
        <v>7017028.9688634779</v>
      </c>
      <c r="K31" s="15">
        <f t="shared" si="30"/>
        <v>1023311.6220743179</v>
      </c>
      <c r="L31" s="14">
        <f t="shared" si="30"/>
        <v>1079636.1379794946</v>
      </c>
      <c r="M31" s="13">
        <f t="shared" si="30"/>
        <v>2247592.3417109223</v>
      </c>
      <c r="O31" s="74">
        <v>5.9972196847224775E-2</v>
      </c>
      <c r="P31" s="120">
        <f t="shared" si="2"/>
        <v>0</v>
      </c>
      <c r="Q31" s="160">
        <f t="shared" si="3"/>
        <v>16036915.374379158</v>
      </c>
      <c r="S31" s="206">
        <f t="shared" si="4"/>
        <v>1943449.115281336</v>
      </c>
      <c r="T31" s="202"/>
      <c r="U31" s="203"/>
    </row>
    <row r="32" spans="1:21" x14ac:dyDescent="0.2">
      <c r="A32" s="65">
        <v>113594</v>
      </c>
      <c r="B32" s="19" t="s">
        <v>46</v>
      </c>
      <c r="C32" s="55">
        <f t="shared" si="0"/>
        <v>1061380.1804311066</v>
      </c>
      <c r="D32" s="15">
        <f t="shared" ref="D32:M32" si="31">D75/$C$86*$C$43</f>
        <v>0</v>
      </c>
      <c r="E32" s="14">
        <f t="shared" si="31"/>
        <v>312113.27528565255</v>
      </c>
      <c r="F32" s="14">
        <f t="shared" si="31"/>
        <v>40801.851742973195</v>
      </c>
      <c r="G32" s="13">
        <f t="shared" si="31"/>
        <v>0</v>
      </c>
      <c r="H32" s="15">
        <f t="shared" si="31"/>
        <v>0</v>
      </c>
      <c r="I32" s="13">
        <f t="shared" si="31"/>
        <v>0</v>
      </c>
      <c r="J32" s="16">
        <f t="shared" si="31"/>
        <v>566689.38138596411</v>
      </c>
      <c r="K32" s="15">
        <f t="shared" si="31"/>
        <v>124390.00305624917</v>
      </c>
      <c r="L32" s="14">
        <f t="shared" si="31"/>
        <v>13681.216494157357</v>
      </c>
      <c r="M32" s="13">
        <f t="shared" si="31"/>
        <v>3704.4524661103005</v>
      </c>
      <c r="O32" s="74">
        <v>2.8602942419239919E-3</v>
      </c>
      <c r="P32" s="120">
        <f t="shared" si="2"/>
        <v>0</v>
      </c>
      <c r="Q32" s="160">
        <f t="shared" si="3"/>
        <v>1061380.1804311066</v>
      </c>
      <c r="S32" s="206">
        <f t="shared" si="4"/>
        <v>389211.03357896849</v>
      </c>
      <c r="T32" s="202"/>
      <c r="U32" s="203"/>
    </row>
    <row r="33" spans="1:21" x14ac:dyDescent="0.2">
      <c r="A33" s="20">
        <v>3624</v>
      </c>
      <c r="B33" s="19" t="s">
        <v>45</v>
      </c>
      <c r="C33" s="55">
        <f t="shared" si="0"/>
        <v>5826374.9039782193</v>
      </c>
      <c r="D33" s="15">
        <f t="shared" ref="D33:M33" si="32">D76/$C$86*$C$43</f>
        <v>0</v>
      </c>
      <c r="E33" s="14">
        <f t="shared" si="32"/>
        <v>1425950.7802257948</v>
      </c>
      <c r="F33" s="14">
        <f t="shared" si="32"/>
        <v>19380.968485751298</v>
      </c>
      <c r="G33" s="13">
        <f t="shared" si="32"/>
        <v>0</v>
      </c>
      <c r="H33" s="15">
        <f t="shared" si="32"/>
        <v>0</v>
      </c>
      <c r="I33" s="13">
        <f t="shared" si="32"/>
        <v>0</v>
      </c>
      <c r="J33" s="16">
        <f t="shared" si="32"/>
        <v>2682513.4304180532</v>
      </c>
      <c r="K33" s="15">
        <f t="shared" si="32"/>
        <v>360331.98932751681</v>
      </c>
      <c r="L33" s="14">
        <f t="shared" si="32"/>
        <v>397042.29685841285</v>
      </c>
      <c r="M33" s="13">
        <f t="shared" si="32"/>
        <v>941155.43866268964</v>
      </c>
      <c r="O33" s="74">
        <v>2.3435865298122357E-2</v>
      </c>
      <c r="P33" s="120">
        <f t="shared" si="2"/>
        <v>0</v>
      </c>
      <c r="Q33" s="160">
        <f t="shared" si="3"/>
        <v>5826374.9039782193</v>
      </c>
      <c r="S33" s="206">
        <f t="shared" si="4"/>
        <v>318946.55891946517</v>
      </c>
      <c r="T33" s="202"/>
      <c r="U33" s="203"/>
    </row>
    <row r="34" spans="1:21" x14ac:dyDescent="0.2">
      <c r="A34" s="20">
        <v>3642</v>
      </c>
      <c r="B34" s="19" t="s">
        <v>44</v>
      </c>
      <c r="C34" s="55">
        <f t="shared" si="0"/>
        <v>2383744.8029746045</v>
      </c>
      <c r="D34" s="15">
        <f t="shared" ref="D34:M34" si="33">D77/$C$86*$C$43</f>
        <v>0</v>
      </c>
      <c r="E34" s="14">
        <f t="shared" si="33"/>
        <v>145926.06623237839</v>
      </c>
      <c r="F34" s="14">
        <f t="shared" si="33"/>
        <v>12374.0202780696</v>
      </c>
      <c r="G34" s="13">
        <f t="shared" si="33"/>
        <v>0</v>
      </c>
      <c r="H34" s="15">
        <f t="shared" si="33"/>
        <v>0</v>
      </c>
      <c r="I34" s="13">
        <f t="shared" si="33"/>
        <v>0</v>
      </c>
      <c r="J34" s="16">
        <f t="shared" si="33"/>
        <v>1224000.0792982627</v>
      </c>
      <c r="K34" s="15">
        <f t="shared" si="33"/>
        <v>213041.73466258572</v>
      </c>
      <c r="L34" s="14">
        <f t="shared" si="33"/>
        <v>216794.66136895507</v>
      </c>
      <c r="M34" s="13">
        <f t="shared" si="33"/>
        <v>571608.2411343531</v>
      </c>
      <c r="O34" s="74">
        <v>1.3524899052819646E-2</v>
      </c>
      <c r="P34" s="120">
        <f t="shared" si="2"/>
        <v>0</v>
      </c>
      <c r="Q34" s="160">
        <f t="shared" si="3"/>
        <v>2383744.8029746045</v>
      </c>
      <c r="S34" s="206">
        <f t="shared" si="4"/>
        <v>-794606.47443801211</v>
      </c>
      <c r="T34" s="202"/>
      <c r="U34" s="203"/>
    </row>
    <row r="35" spans="1:21" x14ac:dyDescent="0.2">
      <c r="A35" s="20">
        <v>3644</v>
      </c>
      <c r="B35" s="19" t="s">
        <v>43</v>
      </c>
      <c r="C35" s="55">
        <f t="shared" si="0"/>
        <v>14217135.362034287</v>
      </c>
      <c r="D35" s="15">
        <f t="shared" ref="D35:M35" si="34">D78/$C$86*$C$43</f>
        <v>0</v>
      </c>
      <c r="E35" s="14">
        <f t="shared" si="34"/>
        <v>4582648.0307590934</v>
      </c>
      <c r="F35" s="14">
        <f t="shared" si="34"/>
        <v>20149.889990001891</v>
      </c>
      <c r="G35" s="13">
        <f t="shared" si="34"/>
        <v>0</v>
      </c>
      <c r="H35" s="15">
        <f t="shared" si="34"/>
        <v>0</v>
      </c>
      <c r="I35" s="13">
        <f t="shared" si="34"/>
        <v>0</v>
      </c>
      <c r="J35" s="16">
        <f t="shared" si="34"/>
        <v>5102959.8103410313</v>
      </c>
      <c r="K35" s="15">
        <f t="shared" si="34"/>
        <v>843839.5744290041</v>
      </c>
      <c r="L35" s="14">
        <f t="shared" si="34"/>
        <v>1009986.3085546936</v>
      </c>
      <c r="M35" s="13">
        <f t="shared" si="34"/>
        <v>2657551.7479604622</v>
      </c>
      <c r="O35" s="74">
        <v>6.3345925146063756E-2</v>
      </c>
      <c r="P35" s="120">
        <f t="shared" si="2"/>
        <v>0</v>
      </c>
      <c r="Q35" s="160">
        <f t="shared" si="3"/>
        <v>14217135.362034287</v>
      </c>
      <c r="S35" s="206">
        <f t="shared" si="4"/>
        <v>-669157.04729069583</v>
      </c>
      <c r="T35" s="202"/>
      <c r="U35" s="203"/>
    </row>
    <row r="36" spans="1:21" x14ac:dyDescent="0.2">
      <c r="A36" s="20">
        <v>3541</v>
      </c>
      <c r="B36" s="19" t="s">
        <v>42</v>
      </c>
      <c r="C36" s="55">
        <f t="shared" si="0"/>
        <v>2728527.3591642799</v>
      </c>
      <c r="D36" s="15">
        <f t="shared" ref="D36:M36" si="35">D79/$C$86*$C$43</f>
        <v>0</v>
      </c>
      <c r="E36" s="14">
        <f t="shared" si="35"/>
        <v>570516.33761188691</v>
      </c>
      <c r="F36" s="14">
        <f t="shared" si="35"/>
        <v>19427.041080792183</v>
      </c>
      <c r="G36" s="13">
        <f t="shared" si="35"/>
        <v>0</v>
      </c>
      <c r="H36" s="15">
        <f t="shared" si="35"/>
        <v>0</v>
      </c>
      <c r="I36" s="13">
        <f t="shared" si="35"/>
        <v>0</v>
      </c>
      <c r="J36" s="16">
        <f t="shared" si="35"/>
        <v>1328092.1320649986</v>
      </c>
      <c r="K36" s="15">
        <f t="shared" si="35"/>
        <v>374384.41645102616</v>
      </c>
      <c r="L36" s="14">
        <f t="shared" si="35"/>
        <v>197787.65663581339</v>
      </c>
      <c r="M36" s="13">
        <f t="shared" si="35"/>
        <v>238319.77531976267</v>
      </c>
      <c r="O36" s="74">
        <v>1.2561069385453944E-2</v>
      </c>
      <c r="P36" s="120">
        <f t="shared" si="2"/>
        <v>0</v>
      </c>
      <c r="Q36" s="160">
        <f t="shared" si="3"/>
        <v>2728527.3591642799</v>
      </c>
      <c r="S36" s="206">
        <f t="shared" si="4"/>
        <v>-223323.94641739689</v>
      </c>
      <c r="T36" s="202"/>
      <c r="U36" s="203"/>
    </row>
    <row r="37" spans="1:21" x14ac:dyDescent="0.2">
      <c r="A37" s="20">
        <v>3646</v>
      </c>
      <c r="B37" s="19" t="s">
        <v>41</v>
      </c>
      <c r="C37" s="55">
        <f t="shared" si="0"/>
        <v>4561061.5627344074</v>
      </c>
      <c r="D37" s="15">
        <f t="shared" ref="D37:M37" si="36">D80/$C$86*$C$43</f>
        <v>0</v>
      </c>
      <c r="E37" s="14">
        <f t="shared" si="36"/>
        <v>1266745.557305197</v>
      </c>
      <c r="F37" s="14">
        <f t="shared" si="36"/>
        <v>26353.662644953325</v>
      </c>
      <c r="G37" s="13">
        <f t="shared" si="36"/>
        <v>0</v>
      </c>
      <c r="H37" s="15">
        <f t="shared" si="36"/>
        <v>0</v>
      </c>
      <c r="I37" s="13">
        <f t="shared" si="36"/>
        <v>0</v>
      </c>
      <c r="J37" s="16">
        <f t="shared" si="36"/>
        <v>2290637.4670609306</v>
      </c>
      <c r="K37" s="15">
        <f t="shared" si="36"/>
        <v>285732.6848446895</v>
      </c>
      <c r="L37" s="14">
        <f t="shared" si="36"/>
        <v>247282.40721607493</v>
      </c>
      <c r="M37" s="13">
        <f t="shared" si="36"/>
        <v>444309.78366256267</v>
      </c>
      <c r="O37" s="74">
        <v>1.8983457031793705E-2</v>
      </c>
      <c r="P37" s="120">
        <f t="shared" si="2"/>
        <v>0</v>
      </c>
      <c r="Q37" s="160">
        <f t="shared" si="3"/>
        <v>4561061.5627344074</v>
      </c>
      <c r="S37" s="206">
        <f t="shared" si="4"/>
        <v>99949.160262886435</v>
      </c>
      <c r="T37" s="202"/>
      <c r="U37" s="203"/>
    </row>
    <row r="38" spans="1:21" x14ac:dyDescent="0.2">
      <c r="A38" s="20">
        <v>3581</v>
      </c>
      <c r="B38" s="19" t="s">
        <v>40</v>
      </c>
      <c r="C38" s="55">
        <f t="shared" si="0"/>
        <v>3631693.3503545029</v>
      </c>
      <c r="D38" s="15">
        <f t="shared" ref="D38:M38" si="37">D81/$C$86*$C$43</f>
        <v>0</v>
      </c>
      <c r="E38" s="14">
        <f t="shared" si="37"/>
        <v>626596.35625259962</v>
      </c>
      <c r="F38" s="14">
        <f t="shared" si="37"/>
        <v>17560.682491873566</v>
      </c>
      <c r="G38" s="13">
        <f t="shared" si="37"/>
        <v>0</v>
      </c>
      <c r="H38" s="15">
        <f t="shared" si="37"/>
        <v>0</v>
      </c>
      <c r="I38" s="13">
        <f t="shared" si="37"/>
        <v>0</v>
      </c>
      <c r="J38" s="16">
        <f t="shared" si="37"/>
        <v>1742623.4245537047</v>
      </c>
      <c r="K38" s="15">
        <f t="shared" si="37"/>
        <v>279053.44479215733</v>
      </c>
      <c r="L38" s="14">
        <f t="shared" si="37"/>
        <v>284913.7253118924</v>
      </c>
      <c r="M38" s="13">
        <f t="shared" si="37"/>
        <v>680945.71695227525</v>
      </c>
      <c r="O38" s="74">
        <v>1.8519296567582645E-2</v>
      </c>
      <c r="P38" s="120">
        <f t="shared" si="2"/>
        <v>0</v>
      </c>
      <c r="Q38" s="160">
        <f t="shared" si="3"/>
        <v>3631693.3503545029</v>
      </c>
      <c r="S38" s="206">
        <f t="shared" si="4"/>
        <v>-720341.34302741848</v>
      </c>
      <c r="T38" s="202"/>
      <c r="U38" s="203"/>
    </row>
    <row r="39" spans="1:21" x14ac:dyDescent="0.2">
      <c r="A39" s="20">
        <v>3606</v>
      </c>
      <c r="B39" s="19" t="s">
        <v>39</v>
      </c>
      <c r="C39" s="55">
        <f t="shared" si="0"/>
        <v>8769935.8301677816</v>
      </c>
      <c r="D39" s="15">
        <f t="shared" ref="D39:M39" si="38">D82/$C$86*$C$43</f>
        <v>0</v>
      </c>
      <c r="E39" s="14">
        <f t="shared" si="38"/>
        <v>2418408.7609815639</v>
      </c>
      <c r="F39" s="14">
        <f t="shared" si="38"/>
        <v>23416.554159721505</v>
      </c>
      <c r="G39" s="13">
        <f t="shared" si="38"/>
        <v>0</v>
      </c>
      <c r="H39" s="15">
        <f t="shared" si="38"/>
        <v>0</v>
      </c>
      <c r="I39" s="13">
        <f t="shared" si="38"/>
        <v>0</v>
      </c>
      <c r="J39" s="16">
        <f t="shared" si="38"/>
        <v>4066325.4260228928</v>
      </c>
      <c r="K39" s="15">
        <f t="shared" si="38"/>
        <v>506711.43853073893</v>
      </c>
      <c r="L39" s="14">
        <f t="shared" si="38"/>
        <v>567403.738610834</v>
      </c>
      <c r="M39" s="13">
        <f t="shared" si="38"/>
        <v>1187669.9118620297</v>
      </c>
      <c r="O39" s="74">
        <v>3.2554270941238916E-2</v>
      </c>
      <c r="P39" s="120">
        <f t="shared" si="2"/>
        <v>0</v>
      </c>
      <c r="Q39" s="160">
        <f t="shared" si="3"/>
        <v>8769935.8301677816</v>
      </c>
      <c r="S39" s="206">
        <f t="shared" si="4"/>
        <v>1119682.1589766359</v>
      </c>
      <c r="T39" s="202"/>
      <c r="U39" s="203"/>
    </row>
    <row r="40" spans="1:21" x14ac:dyDescent="0.2">
      <c r="A40" s="20">
        <v>3615</v>
      </c>
      <c r="B40" s="19" t="s">
        <v>85</v>
      </c>
      <c r="C40" s="55">
        <f t="shared" si="0"/>
        <v>15592887.222074989</v>
      </c>
      <c r="D40" s="15">
        <f t="shared" ref="D40:M40" si="39">D83/$C$86*$C$43</f>
        <v>0</v>
      </c>
      <c r="E40" s="14">
        <f t="shared" si="39"/>
        <v>4545338.4923239434</v>
      </c>
      <c r="F40" s="14">
        <f t="shared" si="39"/>
        <v>22394.038485136618</v>
      </c>
      <c r="G40" s="13">
        <f t="shared" si="39"/>
        <v>0</v>
      </c>
      <c r="H40" s="15">
        <f t="shared" si="39"/>
        <v>0</v>
      </c>
      <c r="I40" s="13">
        <f t="shared" si="39"/>
        <v>0</v>
      </c>
      <c r="J40" s="16">
        <f t="shared" si="39"/>
        <v>6751288.0812119283</v>
      </c>
      <c r="K40" s="15">
        <f t="shared" si="39"/>
        <v>972002.91439804737</v>
      </c>
      <c r="L40" s="14">
        <f t="shared" si="39"/>
        <v>1067517.57791474</v>
      </c>
      <c r="M40" s="13">
        <f t="shared" si="39"/>
        <v>2234346.1177411946</v>
      </c>
      <c r="O40" s="74">
        <v>6.1387457427191858E-2</v>
      </c>
      <c r="P40" s="120">
        <f t="shared" si="2"/>
        <v>0</v>
      </c>
      <c r="Q40" s="160">
        <f t="shared" si="3"/>
        <v>15592887.222074989</v>
      </c>
      <c r="S40" s="206">
        <f t="shared" si="4"/>
        <v>1166834.7266849019</v>
      </c>
      <c r="T40" s="202"/>
      <c r="U40" s="203"/>
    </row>
    <row r="41" spans="1:21" x14ac:dyDescent="0.2">
      <c r="A41" s="20">
        <v>3625</v>
      </c>
      <c r="B41" s="19" t="s">
        <v>38</v>
      </c>
      <c r="C41" s="55">
        <f t="shared" si="0"/>
        <v>550065.18183641962</v>
      </c>
      <c r="D41" s="15">
        <f t="shared" ref="D41:M41" si="40">D84/$C$86*$C$43</f>
        <v>0</v>
      </c>
      <c r="E41" s="14">
        <f t="shared" si="40"/>
        <v>76332.641263457655</v>
      </c>
      <c r="F41" s="14">
        <f t="shared" si="40"/>
        <v>14847.318247253286</v>
      </c>
      <c r="G41" s="13">
        <f t="shared" si="40"/>
        <v>0</v>
      </c>
      <c r="H41" s="15">
        <f t="shared" si="40"/>
        <v>0</v>
      </c>
      <c r="I41" s="13">
        <f t="shared" si="40"/>
        <v>0</v>
      </c>
      <c r="J41" s="16">
        <f t="shared" si="40"/>
        <v>299417.72825255152</v>
      </c>
      <c r="K41" s="15">
        <f t="shared" si="40"/>
        <v>78069.039575051778</v>
      </c>
      <c r="L41" s="14">
        <f t="shared" si="40"/>
        <v>37057.281040118527</v>
      </c>
      <c r="M41" s="13">
        <f t="shared" si="40"/>
        <v>44341.173457986923</v>
      </c>
      <c r="O41" s="74">
        <v>2.5717361648878246E-3</v>
      </c>
      <c r="P41" s="120">
        <f t="shared" si="2"/>
        <v>0</v>
      </c>
      <c r="Q41" s="160">
        <f t="shared" si="3"/>
        <v>550065.18183641962</v>
      </c>
      <c r="S41" s="206">
        <f t="shared" si="4"/>
        <v>-54292.816912219161</v>
      </c>
      <c r="T41" s="202"/>
      <c r="U41" s="203"/>
    </row>
    <row r="42" spans="1:21" x14ac:dyDescent="0.2">
      <c r="A42" s="20">
        <v>20</v>
      </c>
      <c r="B42" s="19" t="s">
        <v>37</v>
      </c>
      <c r="C42" s="64">
        <f t="shared" si="0"/>
        <v>447373.33224124764</v>
      </c>
      <c r="D42" s="15">
        <f t="shared" ref="D42:M42" si="41">D85/$C$86*$C$43</f>
        <v>0</v>
      </c>
      <c r="E42" s="14">
        <f t="shared" si="41"/>
        <v>68800.605955875886</v>
      </c>
      <c r="F42" s="14">
        <f t="shared" si="41"/>
        <v>35012.824087475659</v>
      </c>
      <c r="G42" s="13">
        <f t="shared" si="41"/>
        <v>0</v>
      </c>
      <c r="H42" s="15">
        <f t="shared" si="41"/>
        <v>0</v>
      </c>
      <c r="I42" s="13">
        <f t="shared" si="41"/>
        <v>0</v>
      </c>
      <c r="J42" s="16">
        <f t="shared" si="41"/>
        <v>264516.27526605775</v>
      </c>
      <c r="K42" s="15">
        <f t="shared" si="41"/>
        <v>59852.930340873034</v>
      </c>
      <c r="L42" s="14">
        <f t="shared" si="41"/>
        <v>17731.366831588562</v>
      </c>
      <c r="M42" s="13">
        <f t="shared" si="41"/>
        <v>1459.329759376785</v>
      </c>
      <c r="O42" s="74">
        <v>1.4792799135503695E-3</v>
      </c>
      <c r="P42" s="120">
        <f t="shared" si="2"/>
        <v>0</v>
      </c>
      <c r="Q42" s="160">
        <f t="shared" si="3"/>
        <v>447373.33224124764</v>
      </c>
      <c r="S42" s="206">
        <f t="shared" si="4"/>
        <v>99742.552556910785</v>
      </c>
      <c r="T42" s="202"/>
      <c r="U42" s="203"/>
    </row>
    <row r="43" spans="1:21" ht="13.5" thickBot="1" x14ac:dyDescent="0.25">
      <c r="A43" s="12"/>
      <c r="B43" s="11" t="s">
        <v>11</v>
      </c>
      <c r="C43" s="62">
        <f>Q43-P43</f>
        <v>234680891.16564068</v>
      </c>
      <c r="D43" s="62">
        <f t="shared" ref="D43:M43" si="42">SUM(D5:D42)</f>
        <v>0</v>
      </c>
      <c r="E43" s="61">
        <f t="shared" si="42"/>
        <v>69744794.467400789</v>
      </c>
      <c r="F43" s="61">
        <f t="shared" si="42"/>
        <v>981287.35187555675</v>
      </c>
      <c r="G43" s="60">
        <f t="shared" si="42"/>
        <v>0</v>
      </c>
      <c r="H43" s="62">
        <f t="shared" si="42"/>
        <v>0</v>
      </c>
      <c r="I43" s="60">
        <f t="shared" si="42"/>
        <v>0</v>
      </c>
      <c r="J43" s="63">
        <f t="shared" si="42"/>
        <v>95753769.084959522</v>
      </c>
      <c r="K43" s="62">
        <f t="shared" si="42"/>
        <v>16875967.426495675</v>
      </c>
      <c r="L43" s="61">
        <f t="shared" si="42"/>
        <v>15786688.741618345</v>
      </c>
      <c r="M43" s="60">
        <f t="shared" si="42"/>
        <v>35538384.093290821</v>
      </c>
      <c r="O43" s="161">
        <f>SUM(O5:O42)</f>
        <v>1.0000000000000002</v>
      </c>
      <c r="P43" s="119">
        <f>SUM(P5:P42)</f>
        <v>319108.83435931656</v>
      </c>
      <c r="Q43" s="162">
        <v>235000000</v>
      </c>
      <c r="S43" s="207">
        <f t="shared" si="4"/>
        <v>0</v>
      </c>
      <c r="T43" s="202"/>
      <c r="U43" s="203"/>
    </row>
    <row r="44" spans="1:21" ht="13.5" thickBot="1" x14ac:dyDescent="0.25">
      <c r="A44" s="59"/>
      <c r="C44" s="88"/>
      <c r="D44" s="89"/>
      <c r="E44" s="58"/>
      <c r="F44" s="58"/>
      <c r="G44" s="58"/>
      <c r="H44" s="58"/>
      <c r="I44" s="58"/>
      <c r="J44" s="58"/>
      <c r="K44" s="58"/>
      <c r="L44" s="58"/>
      <c r="M44" s="58"/>
      <c r="O44" s="163" t="s">
        <v>91</v>
      </c>
      <c r="P44" s="164">
        <v>5.0000000000000001E-3</v>
      </c>
      <c r="Q44" s="165"/>
    </row>
    <row r="45" spans="1:21" ht="13.5" thickBot="1" x14ac:dyDescent="0.25">
      <c r="A45" s="57" t="s">
        <v>76</v>
      </c>
    </row>
    <row r="46" spans="1:21" ht="12.75" customHeight="1" outlineLevel="1" x14ac:dyDescent="0.2">
      <c r="A46" s="234" t="s">
        <v>24</v>
      </c>
      <c r="B46" s="236" t="s">
        <v>23</v>
      </c>
      <c r="C46" s="238" t="s">
        <v>36</v>
      </c>
      <c r="D46" s="247" t="s">
        <v>35</v>
      </c>
      <c r="E46" s="248"/>
      <c r="F46" s="248"/>
      <c r="G46" s="249"/>
      <c r="H46" s="250" t="s">
        <v>18</v>
      </c>
      <c r="I46" s="225" t="s">
        <v>17</v>
      </c>
      <c r="J46" s="227" t="s">
        <v>16</v>
      </c>
      <c r="K46" s="229" t="s">
        <v>34</v>
      </c>
      <c r="L46" s="230"/>
      <c r="M46" s="230"/>
      <c r="N46" s="232" t="s">
        <v>86</v>
      </c>
    </row>
    <row r="47" spans="1:21" ht="51" outlineLevel="1" x14ac:dyDescent="0.2">
      <c r="A47" s="235"/>
      <c r="B47" s="237"/>
      <c r="C47" s="239"/>
      <c r="D47" s="192"/>
      <c r="E47" s="121" t="s">
        <v>33</v>
      </c>
      <c r="F47" s="121" t="s">
        <v>32</v>
      </c>
      <c r="G47" s="208" t="s">
        <v>31</v>
      </c>
      <c r="H47" s="251"/>
      <c r="I47" s="226"/>
      <c r="J47" s="228"/>
      <c r="K47" s="188" t="s">
        <v>14</v>
      </c>
      <c r="L47" s="189" t="s">
        <v>13</v>
      </c>
      <c r="M47" s="187" t="s">
        <v>12</v>
      </c>
      <c r="N47" s="233"/>
    </row>
    <row r="48" spans="1:21" outlineLevel="1" x14ac:dyDescent="0.2">
      <c r="A48" s="40">
        <f t="shared" ref="A48:B67" si="43">A5</f>
        <v>3656</v>
      </c>
      <c r="B48" s="39" t="str">
        <f t="shared" si="43"/>
        <v>UTA</v>
      </c>
      <c r="C48" s="191">
        <f t="shared" ref="C48:C85" si="44">SUM(D48:M48)</f>
        <v>15757.368902014226</v>
      </c>
      <c r="D48" s="36">
        <f t="shared" ref="D48:M48" si="45">D90*D156</f>
        <v>0</v>
      </c>
      <c r="E48" s="56">
        <f t="shared" si="45"/>
        <v>4551.7441666666673</v>
      </c>
      <c r="F48" s="56">
        <f t="shared" si="45"/>
        <v>37.004735347560356</v>
      </c>
      <c r="G48" s="35">
        <f t="shared" si="45"/>
        <v>0</v>
      </c>
      <c r="H48" s="36">
        <f t="shared" si="45"/>
        <v>0</v>
      </c>
      <c r="I48" s="35">
        <f t="shared" si="45"/>
        <v>0</v>
      </c>
      <c r="J48" s="34">
        <f t="shared" si="45"/>
        <v>7478.4</v>
      </c>
      <c r="K48" s="36">
        <f t="shared" si="45"/>
        <v>1162.1766666666667</v>
      </c>
      <c r="L48" s="56">
        <f t="shared" si="45"/>
        <v>958.41666666666663</v>
      </c>
      <c r="M48" s="35">
        <f t="shared" si="45"/>
        <v>1569.626666666667</v>
      </c>
      <c r="N48" s="110" t="s">
        <v>80</v>
      </c>
    </row>
    <row r="49" spans="1:14" outlineLevel="1" x14ac:dyDescent="0.2">
      <c r="A49" s="20">
        <f t="shared" si="43"/>
        <v>3658</v>
      </c>
      <c r="B49" s="19" t="str">
        <f t="shared" si="43"/>
        <v>UT</v>
      </c>
      <c r="C49" s="55">
        <f t="shared" si="44"/>
        <v>32787.827148409742</v>
      </c>
      <c r="D49" s="15">
        <f t="shared" ref="D49:M49" si="46">D91*D157</f>
        <v>0</v>
      </c>
      <c r="E49" s="14">
        <f t="shared" si="46"/>
        <v>15574.671700000003</v>
      </c>
      <c r="F49" s="14">
        <f t="shared" si="46"/>
        <v>33.122115076405848</v>
      </c>
      <c r="G49" s="13">
        <f t="shared" si="46"/>
        <v>0</v>
      </c>
      <c r="H49" s="15">
        <f t="shared" si="46"/>
        <v>0</v>
      </c>
      <c r="I49" s="13">
        <f t="shared" si="46"/>
        <v>0</v>
      </c>
      <c r="J49" s="16">
        <f t="shared" si="46"/>
        <v>5552.5333333333338</v>
      </c>
      <c r="K49" s="15">
        <f t="shared" si="46"/>
        <v>1631.7166666666669</v>
      </c>
      <c r="L49" s="14">
        <f t="shared" si="46"/>
        <v>2251.4166666666665</v>
      </c>
      <c r="M49" s="13">
        <f t="shared" si="46"/>
        <v>7744.3666666666668</v>
      </c>
      <c r="N49" s="108" t="s">
        <v>79</v>
      </c>
    </row>
    <row r="50" spans="1:14" outlineLevel="1" x14ac:dyDescent="0.2">
      <c r="A50" s="20">
        <f t="shared" si="43"/>
        <v>9741</v>
      </c>
      <c r="B50" s="19" t="str">
        <f t="shared" si="43"/>
        <v>UTD</v>
      </c>
      <c r="C50" s="55">
        <f t="shared" si="44"/>
        <v>8140.6321173124643</v>
      </c>
      <c r="D50" s="15">
        <f t="shared" ref="D50:M50" si="47">D92*D158</f>
        <v>0</v>
      </c>
      <c r="E50" s="14">
        <f t="shared" si="47"/>
        <v>2943.9882499999999</v>
      </c>
      <c r="F50" s="14">
        <f t="shared" si="47"/>
        <v>33.537200645797832</v>
      </c>
      <c r="G50" s="13">
        <f t="shared" si="47"/>
        <v>0</v>
      </c>
      <c r="H50" s="15">
        <f t="shared" si="47"/>
        <v>0</v>
      </c>
      <c r="I50" s="13">
        <f t="shared" si="47"/>
        <v>0</v>
      </c>
      <c r="J50" s="16">
        <f t="shared" si="47"/>
        <v>3167.2000000000003</v>
      </c>
      <c r="K50" s="15">
        <f t="shared" si="47"/>
        <v>563.55000000000007</v>
      </c>
      <c r="L50" s="14">
        <f t="shared" si="47"/>
        <v>533.58333333333337</v>
      </c>
      <c r="M50" s="13">
        <f t="shared" si="47"/>
        <v>898.77333333333343</v>
      </c>
      <c r="N50" s="108" t="s">
        <v>80</v>
      </c>
    </row>
    <row r="51" spans="1:14" outlineLevel="1" x14ac:dyDescent="0.2">
      <c r="A51" s="20">
        <f t="shared" si="43"/>
        <v>3661</v>
      </c>
      <c r="B51" s="19" t="str">
        <f t="shared" si="43"/>
        <v>UTEP</v>
      </c>
      <c r="C51" s="55">
        <f t="shared" si="44"/>
        <v>11331.824451503364</v>
      </c>
      <c r="D51" s="15">
        <f t="shared" ref="D51:M51" si="48">D93*D159</f>
        <v>0</v>
      </c>
      <c r="E51" s="14">
        <f t="shared" si="48"/>
        <v>2086.4024999999997</v>
      </c>
      <c r="F51" s="14">
        <f t="shared" si="48"/>
        <v>28.588618170029179</v>
      </c>
      <c r="G51" s="13">
        <f t="shared" si="48"/>
        <v>0</v>
      </c>
      <c r="H51" s="15">
        <f t="shared" si="48"/>
        <v>0</v>
      </c>
      <c r="I51" s="13">
        <f t="shared" si="48"/>
        <v>0</v>
      </c>
      <c r="J51" s="16">
        <f t="shared" si="48"/>
        <v>5914.4000000000005</v>
      </c>
      <c r="K51" s="15">
        <f t="shared" si="48"/>
        <v>741.65333333333342</v>
      </c>
      <c r="L51" s="14">
        <f t="shared" si="48"/>
        <v>839.5</v>
      </c>
      <c r="M51" s="13">
        <f t="shared" si="48"/>
        <v>1721.2800000000004</v>
      </c>
      <c r="N51" s="108" t="s">
        <v>80</v>
      </c>
    </row>
    <row r="52" spans="1:14" outlineLevel="1" x14ac:dyDescent="0.2">
      <c r="A52" s="20">
        <f t="shared" si="43"/>
        <v>3599</v>
      </c>
      <c r="B52" s="19" t="str">
        <f t="shared" si="43"/>
        <v>UTPA</v>
      </c>
      <c r="C52" s="55">
        <f t="shared" si="44"/>
        <v>10757.000613124372</v>
      </c>
      <c r="D52" s="15">
        <f t="shared" ref="D52:M52" si="49">D94*D160</f>
        <v>0</v>
      </c>
      <c r="E52" s="14">
        <f t="shared" si="49"/>
        <v>1945.9650000000001</v>
      </c>
      <c r="F52" s="14">
        <f t="shared" si="49"/>
        <v>25.615613124372295</v>
      </c>
      <c r="G52" s="13">
        <f t="shared" si="49"/>
        <v>0</v>
      </c>
      <c r="H52" s="15">
        <f t="shared" si="49"/>
        <v>0</v>
      </c>
      <c r="I52" s="13">
        <f t="shared" si="49"/>
        <v>0</v>
      </c>
      <c r="J52" s="16">
        <f t="shared" si="49"/>
        <v>5612</v>
      </c>
      <c r="K52" s="15">
        <f t="shared" si="49"/>
        <v>692.80666666666673</v>
      </c>
      <c r="L52" s="14">
        <f t="shared" si="49"/>
        <v>774</v>
      </c>
      <c r="M52" s="13">
        <f t="shared" si="49"/>
        <v>1706.6133333333337</v>
      </c>
      <c r="N52" s="108" t="s">
        <v>81</v>
      </c>
    </row>
    <row r="53" spans="1:14" outlineLevel="1" x14ac:dyDescent="0.2">
      <c r="A53" s="20">
        <f t="shared" si="43"/>
        <v>30646</v>
      </c>
      <c r="B53" s="19" t="str">
        <f t="shared" si="43"/>
        <v>UTB</v>
      </c>
      <c r="C53" s="55">
        <f t="shared" si="44"/>
        <v>4024.7056633587063</v>
      </c>
      <c r="D53" s="15">
        <f t="shared" ref="D53:M53" si="50">D95*D161</f>
        <v>0</v>
      </c>
      <c r="E53" s="14">
        <f t="shared" si="50"/>
        <v>1099.299117897785</v>
      </c>
      <c r="F53" s="14">
        <f t="shared" si="50"/>
        <v>43.076545460920784</v>
      </c>
      <c r="G53" s="13">
        <f t="shared" si="50"/>
        <v>0</v>
      </c>
      <c r="H53" s="15">
        <f t="shared" si="50"/>
        <v>0</v>
      </c>
      <c r="I53" s="13">
        <f t="shared" si="50"/>
        <v>0</v>
      </c>
      <c r="J53" s="16">
        <f t="shared" si="50"/>
        <v>2248</v>
      </c>
      <c r="K53" s="15">
        <f t="shared" si="50"/>
        <v>450.95333333333332</v>
      </c>
      <c r="L53" s="14">
        <f t="shared" si="50"/>
        <v>139.08333333333334</v>
      </c>
      <c r="M53" s="13">
        <f t="shared" si="50"/>
        <v>44.293333333333344</v>
      </c>
      <c r="N53" s="108" t="s">
        <v>82</v>
      </c>
    </row>
    <row r="54" spans="1:14" outlineLevel="1" x14ac:dyDescent="0.2">
      <c r="A54" s="20">
        <f t="shared" si="43"/>
        <v>9930</v>
      </c>
      <c r="B54" s="19" t="str">
        <f t="shared" si="43"/>
        <v>UTPB</v>
      </c>
      <c r="C54" s="55">
        <f t="shared" si="44"/>
        <v>1876.4564683040574</v>
      </c>
      <c r="D54" s="15">
        <f t="shared" ref="D54:M54" si="51">D96*D162</f>
        <v>0</v>
      </c>
      <c r="E54" s="14">
        <f t="shared" si="51"/>
        <v>414.40000000000003</v>
      </c>
      <c r="F54" s="14">
        <f t="shared" si="51"/>
        <v>28.906468304057512</v>
      </c>
      <c r="G54" s="13">
        <f t="shared" si="51"/>
        <v>0</v>
      </c>
      <c r="H54" s="15">
        <f t="shared" si="51"/>
        <v>0</v>
      </c>
      <c r="I54" s="13">
        <f t="shared" si="51"/>
        <v>0</v>
      </c>
      <c r="J54" s="16">
        <f t="shared" si="51"/>
        <v>957.59999999999991</v>
      </c>
      <c r="K54" s="15">
        <f t="shared" si="51"/>
        <v>267.12666666666667</v>
      </c>
      <c r="L54" s="14">
        <f t="shared" si="51"/>
        <v>122.91666666666669</v>
      </c>
      <c r="M54" s="13">
        <f t="shared" si="51"/>
        <v>85.506666666666689</v>
      </c>
      <c r="N54" s="108" t="s">
        <v>82</v>
      </c>
    </row>
    <row r="55" spans="1:14" outlineLevel="1" x14ac:dyDescent="0.2">
      <c r="A55" s="20">
        <f t="shared" si="43"/>
        <v>10115</v>
      </c>
      <c r="B55" s="19" t="str">
        <f t="shared" si="43"/>
        <v>UTSA</v>
      </c>
      <c r="C55" s="55">
        <f t="shared" si="44"/>
        <v>15136.168653737821</v>
      </c>
      <c r="D55" s="15">
        <f t="shared" ref="D55:M55" si="52">D97*D163</f>
        <v>0</v>
      </c>
      <c r="E55" s="14">
        <f t="shared" si="52"/>
        <v>3039.9706944444447</v>
      </c>
      <c r="F55" s="14">
        <f t="shared" si="52"/>
        <v>25.301292626710506</v>
      </c>
      <c r="G55" s="13">
        <f t="shared" si="52"/>
        <v>0</v>
      </c>
      <c r="H55" s="15">
        <f t="shared" si="52"/>
        <v>0</v>
      </c>
      <c r="I55" s="13">
        <f t="shared" si="52"/>
        <v>0</v>
      </c>
      <c r="J55" s="16">
        <f t="shared" si="52"/>
        <v>7496.7999999999993</v>
      </c>
      <c r="K55" s="15">
        <f t="shared" si="52"/>
        <v>1157.6433333333334</v>
      </c>
      <c r="L55" s="14">
        <f t="shared" si="52"/>
        <v>1114.6666666666667</v>
      </c>
      <c r="M55" s="13">
        <f t="shared" si="52"/>
        <v>2301.7866666666669</v>
      </c>
      <c r="N55" s="108" t="s">
        <v>80</v>
      </c>
    </row>
    <row r="56" spans="1:14" outlineLevel="1" x14ac:dyDescent="0.2">
      <c r="A56" s="20">
        <f t="shared" si="43"/>
        <v>11163</v>
      </c>
      <c r="B56" s="19" t="str">
        <f t="shared" si="43"/>
        <v>UTT</v>
      </c>
      <c r="C56" s="55">
        <f t="shared" si="44"/>
        <v>4253.3255089797731</v>
      </c>
      <c r="D56" s="15">
        <f t="shared" ref="D56:M56" si="53">D98*D164</f>
        <v>0</v>
      </c>
      <c r="E56" s="14">
        <f t="shared" si="53"/>
        <v>1073.8758333333335</v>
      </c>
      <c r="F56" s="14">
        <f t="shared" si="53"/>
        <v>36.569675646439869</v>
      </c>
      <c r="G56" s="13">
        <f t="shared" si="53"/>
        <v>0</v>
      </c>
      <c r="H56" s="15">
        <f t="shared" si="53"/>
        <v>0</v>
      </c>
      <c r="I56" s="13">
        <f t="shared" si="53"/>
        <v>0</v>
      </c>
      <c r="J56" s="16">
        <f t="shared" si="53"/>
        <v>2261.6</v>
      </c>
      <c r="K56" s="15">
        <f t="shared" si="53"/>
        <v>488.3533333333333</v>
      </c>
      <c r="L56" s="14">
        <f t="shared" si="53"/>
        <v>222.5</v>
      </c>
      <c r="M56" s="13">
        <f t="shared" si="53"/>
        <v>170.42666666666668</v>
      </c>
      <c r="N56" s="108" t="s">
        <v>82</v>
      </c>
    </row>
    <row r="57" spans="1:14" outlineLevel="1" x14ac:dyDescent="0.2">
      <c r="A57" s="20">
        <f t="shared" si="43"/>
        <v>3632</v>
      </c>
      <c r="B57" s="19" t="str">
        <f t="shared" si="43"/>
        <v>TAMU</v>
      </c>
      <c r="C57" s="55">
        <f t="shared" si="44"/>
        <v>32943.539891546883</v>
      </c>
      <c r="D57" s="15">
        <f t="shared" ref="D57:M57" si="54">D99*D165</f>
        <v>0</v>
      </c>
      <c r="E57" s="14">
        <f t="shared" si="54"/>
        <v>15429.00753333333</v>
      </c>
      <c r="F57" s="14">
        <f t="shared" si="54"/>
        <v>31.552358213553351</v>
      </c>
      <c r="G57" s="13">
        <f t="shared" si="54"/>
        <v>0</v>
      </c>
      <c r="H57" s="15">
        <f t="shared" si="54"/>
        <v>0</v>
      </c>
      <c r="I57" s="13">
        <f t="shared" si="54"/>
        <v>0</v>
      </c>
      <c r="J57" s="16">
        <f t="shared" si="54"/>
        <v>5958.4000000000005</v>
      </c>
      <c r="K57" s="15">
        <f t="shared" si="54"/>
        <v>1710.3133333333333</v>
      </c>
      <c r="L57" s="14">
        <f t="shared" si="54"/>
        <v>2226.8333333333335</v>
      </c>
      <c r="M57" s="13">
        <f t="shared" si="54"/>
        <v>7587.4333333333343</v>
      </c>
      <c r="N57" s="108" t="s">
        <v>79</v>
      </c>
    </row>
    <row r="58" spans="1:14" outlineLevel="1" x14ac:dyDescent="0.2">
      <c r="A58" s="20">
        <f t="shared" si="43"/>
        <v>10298</v>
      </c>
      <c r="B58" s="19" t="str">
        <f t="shared" si="43"/>
        <v>TAMUG</v>
      </c>
      <c r="C58" s="55">
        <f t="shared" si="44"/>
        <v>1636.6538563108852</v>
      </c>
      <c r="D58" s="15">
        <f t="shared" ref="D58:M58" si="55">D100*D166*1.5</f>
        <v>0</v>
      </c>
      <c r="E58" s="14">
        <f t="shared" si="55"/>
        <v>453.40516666666667</v>
      </c>
      <c r="F58" s="14">
        <f t="shared" si="55"/>
        <v>30.748689644218551</v>
      </c>
      <c r="G58" s="13">
        <f t="shared" si="55"/>
        <v>0</v>
      </c>
      <c r="H58" s="15">
        <f t="shared" si="55"/>
        <v>0</v>
      </c>
      <c r="I58" s="13">
        <f t="shared" si="55"/>
        <v>0</v>
      </c>
      <c r="J58" s="16">
        <f t="shared" si="55"/>
        <v>568.79999999999995</v>
      </c>
      <c r="K58" s="15">
        <f t="shared" si="55"/>
        <v>302.09000000000003</v>
      </c>
      <c r="L58" s="14">
        <f t="shared" si="55"/>
        <v>119.25</v>
      </c>
      <c r="M58" s="13">
        <f t="shared" si="55"/>
        <v>162.36000000000001</v>
      </c>
      <c r="N58" s="108" t="s">
        <v>82</v>
      </c>
    </row>
    <row r="59" spans="1:14" outlineLevel="1" x14ac:dyDescent="0.2">
      <c r="A59" s="20">
        <f t="shared" si="43"/>
        <v>3630</v>
      </c>
      <c r="B59" s="19" t="str">
        <f t="shared" si="43"/>
        <v>Prairie View</v>
      </c>
      <c r="C59" s="55">
        <f t="shared" si="44"/>
        <v>3930.6897489205098</v>
      </c>
      <c r="D59" s="15">
        <f t="shared" ref="D59:M59" si="56">D101*D167</f>
        <v>0</v>
      </c>
      <c r="E59" s="14">
        <f t="shared" si="56"/>
        <v>609.0068055555555</v>
      </c>
      <c r="F59" s="14">
        <f t="shared" si="56"/>
        <v>19.77961003162109</v>
      </c>
      <c r="G59" s="13">
        <f t="shared" si="56"/>
        <v>0</v>
      </c>
      <c r="H59" s="15">
        <f t="shared" si="56"/>
        <v>0</v>
      </c>
      <c r="I59" s="13">
        <f t="shared" si="56"/>
        <v>0</v>
      </c>
      <c r="J59" s="16">
        <f t="shared" si="56"/>
        <v>1926.3999999999999</v>
      </c>
      <c r="K59" s="15">
        <f t="shared" si="56"/>
        <v>283.56</v>
      </c>
      <c r="L59" s="14">
        <f t="shared" si="56"/>
        <v>295.25</v>
      </c>
      <c r="M59" s="13">
        <f t="shared" si="56"/>
        <v>796.6933333333335</v>
      </c>
      <c r="N59" s="108" t="s">
        <v>83</v>
      </c>
    </row>
    <row r="60" spans="1:14" outlineLevel="1" x14ac:dyDescent="0.2">
      <c r="A60" s="20">
        <f t="shared" si="43"/>
        <v>3631</v>
      </c>
      <c r="B60" s="19" t="str">
        <f t="shared" si="43"/>
        <v>Tarleton</v>
      </c>
      <c r="C60" s="55">
        <f t="shared" si="44"/>
        <v>5648.9210430237408</v>
      </c>
      <c r="D60" s="15">
        <f t="shared" ref="D60:M60" si="57">D102*D168</f>
        <v>0</v>
      </c>
      <c r="E60" s="14">
        <f t="shared" si="57"/>
        <v>1292.6713333333335</v>
      </c>
      <c r="F60" s="14">
        <f t="shared" si="57"/>
        <v>30.699709690407076</v>
      </c>
      <c r="G60" s="13">
        <f t="shared" si="57"/>
        <v>0</v>
      </c>
      <c r="H60" s="15">
        <f t="shared" si="57"/>
        <v>0</v>
      </c>
      <c r="I60" s="13">
        <f t="shared" si="57"/>
        <v>0</v>
      </c>
      <c r="J60" s="16">
        <f t="shared" si="57"/>
        <v>2868</v>
      </c>
      <c r="K60" s="15">
        <f t="shared" si="57"/>
        <v>366.23666666666668</v>
      </c>
      <c r="L60" s="14">
        <f t="shared" si="57"/>
        <v>332.16666666666674</v>
      </c>
      <c r="M60" s="13">
        <f t="shared" si="57"/>
        <v>759.14666666666676</v>
      </c>
      <c r="N60" s="108" t="s">
        <v>83</v>
      </c>
    </row>
    <row r="61" spans="1:14" outlineLevel="1" x14ac:dyDescent="0.2">
      <c r="A61" s="27">
        <f t="shared" si="43"/>
        <v>103631</v>
      </c>
      <c r="B61" s="19" t="str">
        <f t="shared" si="43"/>
        <v>TAMUCT</v>
      </c>
      <c r="C61" s="55">
        <f t="shared" si="44"/>
        <v>1470.8636452358423</v>
      </c>
      <c r="D61" s="15">
        <f t="shared" ref="D61:M61" si="58">D103*D169</f>
        <v>0</v>
      </c>
      <c r="E61" s="14">
        <f t="shared" si="58"/>
        <v>385.06883333333332</v>
      </c>
      <c r="F61" s="14">
        <f t="shared" si="58"/>
        <v>84.484811902509065</v>
      </c>
      <c r="G61" s="13">
        <f t="shared" si="58"/>
        <v>0</v>
      </c>
      <c r="H61" s="15">
        <f t="shared" si="58"/>
        <v>0</v>
      </c>
      <c r="I61" s="13">
        <f t="shared" si="58"/>
        <v>0</v>
      </c>
      <c r="J61" s="16">
        <f t="shared" si="58"/>
        <v>784.8</v>
      </c>
      <c r="K61" s="15">
        <f t="shared" si="58"/>
        <v>168.3</v>
      </c>
      <c r="L61" s="14">
        <f t="shared" si="58"/>
        <v>33.25</v>
      </c>
      <c r="M61" s="13">
        <f t="shared" si="58"/>
        <v>14.960000000000003</v>
      </c>
      <c r="N61" s="108" t="s">
        <v>82</v>
      </c>
    </row>
    <row r="62" spans="1:14" outlineLevel="1" x14ac:dyDescent="0.2">
      <c r="A62" s="20">
        <f t="shared" si="43"/>
        <v>11161</v>
      </c>
      <c r="B62" s="19" t="str">
        <f t="shared" si="43"/>
        <v>TAMUCC</v>
      </c>
      <c r="C62" s="55">
        <f t="shared" si="44"/>
        <v>5342.0623092451924</v>
      </c>
      <c r="D62" s="15">
        <f t="shared" ref="D62:M62" si="59">D104*D170</f>
        <v>0</v>
      </c>
      <c r="E62" s="14">
        <f t="shared" si="59"/>
        <v>1234.2283333333332</v>
      </c>
      <c r="F62" s="14">
        <f t="shared" si="59"/>
        <v>26.720642578525968</v>
      </c>
      <c r="G62" s="13">
        <f t="shared" si="59"/>
        <v>0</v>
      </c>
      <c r="H62" s="15">
        <f t="shared" si="59"/>
        <v>0</v>
      </c>
      <c r="I62" s="13">
        <f t="shared" si="59"/>
        <v>0</v>
      </c>
      <c r="J62" s="16">
        <f t="shared" si="59"/>
        <v>2592</v>
      </c>
      <c r="K62" s="15">
        <f t="shared" si="59"/>
        <v>349.18</v>
      </c>
      <c r="L62" s="14">
        <f t="shared" si="59"/>
        <v>367</v>
      </c>
      <c r="M62" s="13">
        <f t="shared" si="59"/>
        <v>772.93333333333339</v>
      </c>
      <c r="N62" s="108" t="s">
        <v>81</v>
      </c>
    </row>
    <row r="63" spans="1:14" outlineLevel="1" x14ac:dyDescent="0.2">
      <c r="A63" s="20">
        <f t="shared" si="43"/>
        <v>3639</v>
      </c>
      <c r="B63" s="19" t="str">
        <f t="shared" si="43"/>
        <v>TAMUK</v>
      </c>
      <c r="C63" s="55">
        <f t="shared" si="44"/>
        <v>3029.8161795774645</v>
      </c>
      <c r="D63" s="15">
        <f t="shared" ref="D63:M63" si="60">D105*D171</f>
        <v>0</v>
      </c>
      <c r="E63" s="14">
        <f t="shared" si="60"/>
        <v>536.2768055555556</v>
      </c>
      <c r="F63" s="14">
        <f t="shared" si="60"/>
        <v>22.349374021909235</v>
      </c>
      <c r="G63" s="13">
        <f t="shared" si="60"/>
        <v>0</v>
      </c>
      <c r="H63" s="15">
        <f t="shared" si="60"/>
        <v>0</v>
      </c>
      <c r="I63" s="13">
        <f t="shared" si="60"/>
        <v>0</v>
      </c>
      <c r="J63" s="16">
        <f t="shared" si="60"/>
        <v>1556</v>
      </c>
      <c r="K63" s="15">
        <f t="shared" si="60"/>
        <v>208.64666666666668</v>
      </c>
      <c r="L63" s="14">
        <f t="shared" si="60"/>
        <v>214.91666666666666</v>
      </c>
      <c r="M63" s="13">
        <f t="shared" si="60"/>
        <v>491.62666666666667</v>
      </c>
      <c r="N63" s="108" t="s">
        <v>81</v>
      </c>
    </row>
    <row r="64" spans="1:14" outlineLevel="1" x14ac:dyDescent="0.2">
      <c r="A64" s="27">
        <f t="shared" si="43"/>
        <v>103639</v>
      </c>
      <c r="B64" s="19" t="str">
        <f t="shared" si="43"/>
        <v>TAMUSA</v>
      </c>
      <c r="C64" s="55">
        <f t="shared" si="44"/>
        <v>1911.1577669956023</v>
      </c>
      <c r="D64" s="15">
        <f t="shared" ref="D64:M64" si="61">D106*D172</f>
        <v>0</v>
      </c>
      <c r="E64" s="14">
        <f t="shared" si="61"/>
        <v>413.76630555555556</v>
      </c>
      <c r="F64" s="14">
        <f t="shared" si="61"/>
        <v>51.998128106713651</v>
      </c>
      <c r="G64" s="13">
        <f t="shared" si="61"/>
        <v>0</v>
      </c>
      <c r="H64" s="15">
        <f t="shared" si="61"/>
        <v>0</v>
      </c>
      <c r="I64" s="13">
        <f t="shared" si="61"/>
        <v>0</v>
      </c>
      <c r="J64" s="16">
        <f t="shared" si="61"/>
        <v>1176.8</v>
      </c>
      <c r="K64" s="15">
        <f t="shared" si="61"/>
        <v>248.08666666666664</v>
      </c>
      <c r="L64" s="14">
        <f t="shared" si="61"/>
        <v>19.333333333333332</v>
      </c>
      <c r="M64" s="13">
        <f t="shared" si="61"/>
        <v>1.1733333333333336</v>
      </c>
      <c r="N64" s="108" t="s">
        <v>82</v>
      </c>
    </row>
    <row r="65" spans="1:14" outlineLevel="1" x14ac:dyDescent="0.2">
      <c r="A65" s="20">
        <f t="shared" si="43"/>
        <v>9651</v>
      </c>
      <c r="B65" s="19" t="str">
        <f t="shared" si="43"/>
        <v>TAMI</v>
      </c>
      <c r="C65" s="55">
        <f t="shared" si="44"/>
        <v>3298.5415818241145</v>
      </c>
      <c r="D65" s="15">
        <f t="shared" ref="D65:M65" si="62">D107*D173</f>
        <v>0</v>
      </c>
      <c r="E65" s="14">
        <f t="shared" si="62"/>
        <v>654.10722222222216</v>
      </c>
      <c r="F65" s="14">
        <f t="shared" si="62"/>
        <v>24.157692935225977</v>
      </c>
      <c r="G65" s="13">
        <f t="shared" si="62"/>
        <v>0</v>
      </c>
      <c r="H65" s="15">
        <f t="shared" si="62"/>
        <v>0</v>
      </c>
      <c r="I65" s="13">
        <f t="shared" si="62"/>
        <v>0</v>
      </c>
      <c r="J65" s="16">
        <f t="shared" si="62"/>
        <v>1710.3999999999999</v>
      </c>
      <c r="K65" s="15">
        <f t="shared" si="62"/>
        <v>239.13333333333335</v>
      </c>
      <c r="L65" s="14">
        <f t="shared" si="62"/>
        <v>253.91666666666666</v>
      </c>
      <c r="M65" s="13">
        <f t="shared" si="62"/>
        <v>416.82666666666677</v>
      </c>
      <c r="N65" s="108" t="s">
        <v>83</v>
      </c>
    </row>
    <row r="66" spans="1:14" outlineLevel="1" x14ac:dyDescent="0.2">
      <c r="A66" s="20">
        <f t="shared" si="43"/>
        <v>3665</v>
      </c>
      <c r="B66" s="19" t="str">
        <f t="shared" si="43"/>
        <v>WTAMU</v>
      </c>
      <c r="C66" s="55">
        <f t="shared" si="44"/>
        <v>4387.3587634286523</v>
      </c>
      <c r="D66" s="15">
        <f t="shared" ref="D66:M66" si="63">D108*D174</f>
        <v>0</v>
      </c>
      <c r="E66" s="14">
        <f t="shared" si="63"/>
        <v>1034.2507777777778</v>
      </c>
      <c r="F66" s="14">
        <f t="shared" si="63"/>
        <v>28.984652317541091</v>
      </c>
      <c r="G66" s="13">
        <f t="shared" si="63"/>
        <v>0</v>
      </c>
      <c r="H66" s="15">
        <f t="shared" si="63"/>
        <v>0</v>
      </c>
      <c r="I66" s="13">
        <f t="shared" si="63"/>
        <v>0</v>
      </c>
      <c r="J66" s="16">
        <f t="shared" si="63"/>
        <v>2134.4</v>
      </c>
      <c r="K66" s="15">
        <f t="shared" si="63"/>
        <v>304.58333333333337</v>
      </c>
      <c r="L66" s="14">
        <f t="shared" si="63"/>
        <v>303.16666666666669</v>
      </c>
      <c r="M66" s="13">
        <f t="shared" si="63"/>
        <v>581.97333333333347</v>
      </c>
      <c r="N66" s="108" t="s">
        <v>83</v>
      </c>
    </row>
    <row r="67" spans="1:14" outlineLevel="1" x14ac:dyDescent="0.2">
      <c r="A67" s="20">
        <f t="shared" si="43"/>
        <v>3565</v>
      </c>
      <c r="B67" s="19" t="str">
        <f t="shared" si="43"/>
        <v>TAMUC</v>
      </c>
      <c r="C67" s="55">
        <f t="shared" si="44"/>
        <v>4505.5776275366979</v>
      </c>
      <c r="D67" s="15">
        <f t="shared" ref="D67:M67" si="64">D109*D175</f>
        <v>0</v>
      </c>
      <c r="E67" s="14">
        <f t="shared" si="64"/>
        <v>1019.7366666666666</v>
      </c>
      <c r="F67" s="14">
        <f t="shared" si="64"/>
        <v>35.244294203364817</v>
      </c>
      <c r="G67" s="13">
        <f t="shared" si="64"/>
        <v>0</v>
      </c>
      <c r="H67" s="15">
        <f t="shared" si="64"/>
        <v>0</v>
      </c>
      <c r="I67" s="13">
        <f t="shared" si="64"/>
        <v>0</v>
      </c>
      <c r="J67" s="16">
        <f t="shared" si="64"/>
        <v>2446.4</v>
      </c>
      <c r="K67" s="15">
        <f t="shared" si="64"/>
        <v>321.81</v>
      </c>
      <c r="L67" s="14">
        <f t="shared" si="64"/>
        <v>284.33333333333331</v>
      </c>
      <c r="M67" s="13">
        <f t="shared" si="64"/>
        <v>398.05333333333334</v>
      </c>
      <c r="N67" s="108" t="s">
        <v>81</v>
      </c>
    </row>
    <row r="68" spans="1:14" outlineLevel="1" x14ac:dyDescent="0.2">
      <c r="A68" s="20">
        <f t="shared" ref="A68:B85" si="65">A25</f>
        <v>29269</v>
      </c>
      <c r="B68" s="19" t="str">
        <f t="shared" si="65"/>
        <v>TAMUT</v>
      </c>
      <c r="C68" s="55">
        <f t="shared" si="44"/>
        <v>1142.5884033821992</v>
      </c>
      <c r="D68" s="15">
        <f t="shared" ref="D68:M68" si="66">D110*D176</f>
        <v>0</v>
      </c>
      <c r="E68" s="14">
        <f t="shared" si="66"/>
        <v>327.88045945696564</v>
      </c>
      <c r="F68" s="14">
        <f t="shared" si="66"/>
        <v>48.45794392523365</v>
      </c>
      <c r="G68" s="13">
        <f t="shared" si="66"/>
        <v>0</v>
      </c>
      <c r="H68" s="15">
        <f t="shared" si="66"/>
        <v>0</v>
      </c>
      <c r="I68" s="13">
        <f t="shared" si="66"/>
        <v>0</v>
      </c>
      <c r="J68" s="16">
        <f t="shared" si="66"/>
        <v>573.6</v>
      </c>
      <c r="K68" s="15">
        <f t="shared" si="66"/>
        <v>147.10666666666665</v>
      </c>
      <c r="L68" s="14">
        <f t="shared" si="66"/>
        <v>45.25</v>
      </c>
      <c r="M68" s="13">
        <f t="shared" si="66"/>
        <v>0.29333333333333339</v>
      </c>
      <c r="N68" s="108" t="s">
        <v>82</v>
      </c>
    </row>
    <row r="69" spans="1:14" outlineLevel="1" x14ac:dyDescent="0.2">
      <c r="A69" s="20">
        <f t="shared" si="65"/>
        <v>3652</v>
      </c>
      <c r="B69" s="19" t="str">
        <f t="shared" si="65"/>
        <v>UH</v>
      </c>
      <c r="C69" s="55">
        <f t="shared" si="44"/>
        <v>18532.938200986424</v>
      </c>
      <c r="D69" s="15">
        <f t="shared" ref="D69:M69" si="67">D111*D177</f>
        <v>0</v>
      </c>
      <c r="E69" s="14">
        <f t="shared" si="67"/>
        <v>4785.5235555555555</v>
      </c>
      <c r="F69" s="14">
        <f t="shared" si="67"/>
        <v>26.781312097533284</v>
      </c>
      <c r="G69" s="13">
        <f t="shared" si="67"/>
        <v>0</v>
      </c>
      <c r="H69" s="15">
        <f t="shared" si="67"/>
        <v>0</v>
      </c>
      <c r="I69" s="13">
        <f t="shared" si="67"/>
        <v>0</v>
      </c>
      <c r="J69" s="16">
        <f t="shared" si="67"/>
        <v>8095.2</v>
      </c>
      <c r="K69" s="15">
        <f t="shared" si="67"/>
        <v>1292.3966666666665</v>
      </c>
      <c r="L69" s="14">
        <f t="shared" si="67"/>
        <v>1422.5833333333333</v>
      </c>
      <c r="M69" s="13">
        <f t="shared" si="67"/>
        <v>2910.4533333333338</v>
      </c>
      <c r="N69" s="108" t="s">
        <v>80</v>
      </c>
    </row>
    <row r="70" spans="1:14" outlineLevel="1" x14ac:dyDescent="0.2">
      <c r="A70" s="20">
        <f t="shared" si="65"/>
        <v>11711</v>
      </c>
      <c r="B70" s="19" t="str">
        <f t="shared" si="65"/>
        <v>UHCL</v>
      </c>
      <c r="C70" s="55">
        <f t="shared" si="44"/>
        <v>3728.4166805216832</v>
      </c>
      <c r="D70" s="15">
        <f t="shared" ref="D70:M70" si="68">D112*D178</f>
        <v>0</v>
      </c>
      <c r="E70" s="14">
        <f t="shared" si="68"/>
        <v>1083.8496888782297</v>
      </c>
      <c r="F70" s="14">
        <f t="shared" si="68"/>
        <v>49.616991643454043</v>
      </c>
      <c r="G70" s="13">
        <f t="shared" si="68"/>
        <v>0</v>
      </c>
      <c r="H70" s="15">
        <f t="shared" si="68"/>
        <v>0</v>
      </c>
      <c r="I70" s="13">
        <f t="shared" si="68"/>
        <v>0</v>
      </c>
      <c r="J70" s="16">
        <f t="shared" si="68"/>
        <v>1858.4</v>
      </c>
      <c r="K70" s="15">
        <f t="shared" si="68"/>
        <v>473.05333333333328</v>
      </c>
      <c r="L70" s="14">
        <f t="shared" si="68"/>
        <v>238.41666666666666</v>
      </c>
      <c r="M70" s="13">
        <f t="shared" si="68"/>
        <v>25.080000000000002</v>
      </c>
      <c r="N70" s="108" t="s">
        <v>82</v>
      </c>
    </row>
    <row r="71" spans="1:14" outlineLevel="1" x14ac:dyDescent="0.2">
      <c r="A71" s="20">
        <f t="shared" si="65"/>
        <v>12826</v>
      </c>
      <c r="B71" s="19" t="str">
        <f t="shared" si="65"/>
        <v>UHD</v>
      </c>
      <c r="C71" s="55">
        <f t="shared" si="44"/>
        <v>6652.7671231621907</v>
      </c>
      <c r="D71" s="15">
        <f t="shared" ref="D71:M71" si="69">D113*D179</f>
        <v>0</v>
      </c>
      <c r="E71" s="14">
        <f t="shared" si="69"/>
        <v>792.1258333333335</v>
      </c>
      <c r="F71" s="14">
        <f t="shared" si="69"/>
        <v>37.291289828857671</v>
      </c>
      <c r="G71" s="13">
        <f t="shared" si="69"/>
        <v>0</v>
      </c>
      <c r="H71" s="15">
        <f t="shared" si="69"/>
        <v>0</v>
      </c>
      <c r="I71" s="13">
        <f t="shared" si="69"/>
        <v>0</v>
      </c>
      <c r="J71" s="16">
        <f t="shared" si="69"/>
        <v>4034.3999999999996</v>
      </c>
      <c r="K71" s="15">
        <f t="shared" si="69"/>
        <v>1055.8133333333333</v>
      </c>
      <c r="L71" s="14">
        <f t="shared" si="69"/>
        <v>467.08333333333331</v>
      </c>
      <c r="M71" s="13">
        <f t="shared" si="69"/>
        <v>266.05333333333334</v>
      </c>
      <c r="N71" s="108" t="s">
        <v>82</v>
      </c>
    </row>
    <row r="72" spans="1:14" outlineLevel="1" x14ac:dyDescent="0.2">
      <c r="A72" s="20">
        <f t="shared" si="65"/>
        <v>13231</v>
      </c>
      <c r="B72" s="19" t="str">
        <f t="shared" si="65"/>
        <v>UHV</v>
      </c>
      <c r="C72" s="55">
        <f t="shared" si="44"/>
        <v>1817.5045377502463</v>
      </c>
      <c r="D72" s="15">
        <f t="shared" ref="D72:M72" si="70">D114*D180</f>
        <v>0</v>
      </c>
      <c r="E72" s="14">
        <f t="shared" si="70"/>
        <v>525.3420599680062</v>
      </c>
      <c r="F72" s="14">
        <f t="shared" si="70"/>
        <v>50.105811115573545</v>
      </c>
      <c r="G72" s="13">
        <f t="shared" si="70"/>
        <v>0</v>
      </c>
      <c r="H72" s="15">
        <f t="shared" si="70"/>
        <v>0</v>
      </c>
      <c r="I72" s="13">
        <f t="shared" si="70"/>
        <v>0</v>
      </c>
      <c r="J72" s="16">
        <f t="shared" si="70"/>
        <v>921.59999999999991</v>
      </c>
      <c r="K72" s="15">
        <f t="shared" si="70"/>
        <v>243.44000000000003</v>
      </c>
      <c r="L72" s="14">
        <f t="shared" si="70"/>
        <v>74.083333333333329</v>
      </c>
      <c r="M72" s="13">
        <f t="shared" si="70"/>
        <v>2.9333333333333336</v>
      </c>
      <c r="N72" s="108" t="s">
        <v>82</v>
      </c>
    </row>
    <row r="73" spans="1:14" outlineLevel="1" x14ac:dyDescent="0.2">
      <c r="A73" s="20">
        <f t="shared" si="65"/>
        <v>3592</v>
      </c>
      <c r="B73" s="19" t="str">
        <f t="shared" si="65"/>
        <v>Midwestern</v>
      </c>
      <c r="C73" s="55">
        <f t="shared" si="44"/>
        <v>3529.6062082405988</v>
      </c>
      <c r="D73" s="15">
        <f t="shared" ref="D73:M73" si="71">D115*D181</f>
        <v>0</v>
      </c>
      <c r="E73" s="14">
        <f t="shared" si="71"/>
        <v>793.17972222222215</v>
      </c>
      <c r="F73" s="14">
        <f t="shared" si="71"/>
        <v>30.153152685043253</v>
      </c>
      <c r="G73" s="13">
        <f t="shared" si="71"/>
        <v>0</v>
      </c>
      <c r="H73" s="15">
        <f t="shared" si="71"/>
        <v>0</v>
      </c>
      <c r="I73" s="13">
        <f t="shared" si="71"/>
        <v>0</v>
      </c>
      <c r="J73" s="16">
        <f t="shared" si="71"/>
        <v>1656.8</v>
      </c>
      <c r="K73" s="15">
        <f t="shared" si="71"/>
        <v>488.92</v>
      </c>
      <c r="L73" s="14">
        <f t="shared" si="71"/>
        <v>261.5</v>
      </c>
      <c r="M73" s="13">
        <f t="shared" si="71"/>
        <v>299.05333333333334</v>
      </c>
      <c r="N73" s="108" t="s">
        <v>82</v>
      </c>
    </row>
    <row r="74" spans="1:14" outlineLevel="1" x14ac:dyDescent="0.2">
      <c r="A74" s="20">
        <f t="shared" si="65"/>
        <v>3594</v>
      </c>
      <c r="B74" s="19" t="str">
        <f t="shared" si="65"/>
        <v>UNT</v>
      </c>
      <c r="C74" s="55">
        <f t="shared" si="44"/>
        <v>20952.805069596492</v>
      </c>
      <c r="D74" s="15">
        <f t="shared" ref="D74:M74" si="72">D116*D182</f>
        <v>0</v>
      </c>
      <c r="E74" s="14">
        <f t="shared" si="72"/>
        <v>6068.3097222222223</v>
      </c>
      <c r="F74" s="14">
        <f t="shared" si="72"/>
        <v>32.35868070760516</v>
      </c>
      <c r="G74" s="13">
        <f t="shared" si="72"/>
        <v>0</v>
      </c>
      <c r="H74" s="15">
        <f t="shared" si="72"/>
        <v>0</v>
      </c>
      <c r="I74" s="13">
        <f t="shared" si="72"/>
        <v>0</v>
      </c>
      <c r="J74" s="16">
        <f t="shared" si="72"/>
        <v>9168</v>
      </c>
      <c r="K74" s="15">
        <f t="shared" si="72"/>
        <v>1336.9933333333336</v>
      </c>
      <c r="L74" s="14">
        <f t="shared" si="72"/>
        <v>1410.5833333333333</v>
      </c>
      <c r="M74" s="13">
        <f t="shared" si="72"/>
        <v>2936.5600000000004</v>
      </c>
      <c r="N74" s="108" t="s">
        <v>80</v>
      </c>
    </row>
    <row r="75" spans="1:14" outlineLevel="1" x14ac:dyDescent="0.2">
      <c r="A75" s="27">
        <f t="shared" si="65"/>
        <v>113594</v>
      </c>
      <c r="B75" s="19" t="str">
        <f t="shared" si="65"/>
        <v>UNTD</v>
      </c>
      <c r="C75" s="55">
        <f t="shared" si="44"/>
        <v>1386.7312700817361</v>
      </c>
      <c r="D75" s="15">
        <f t="shared" ref="D75:M75" si="73">D117*D183</f>
        <v>0</v>
      </c>
      <c r="E75" s="14">
        <f t="shared" si="73"/>
        <v>407.78718750000002</v>
      </c>
      <c r="F75" s="14">
        <f t="shared" si="73"/>
        <v>53.309082581736192</v>
      </c>
      <c r="G75" s="13">
        <f t="shared" si="73"/>
        <v>0</v>
      </c>
      <c r="H75" s="15">
        <f t="shared" si="73"/>
        <v>0</v>
      </c>
      <c r="I75" s="13">
        <f t="shared" si="73"/>
        <v>0</v>
      </c>
      <c r="J75" s="16">
        <f t="shared" si="73"/>
        <v>740.4</v>
      </c>
      <c r="K75" s="15">
        <f t="shared" si="73"/>
        <v>162.52000000000001</v>
      </c>
      <c r="L75" s="14">
        <f t="shared" si="73"/>
        <v>17.875</v>
      </c>
      <c r="M75" s="13">
        <f t="shared" si="73"/>
        <v>4.8400000000000007</v>
      </c>
      <c r="N75" s="108" t="s">
        <v>82</v>
      </c>
    </row>
    <row r="76" spans="1:14" outlineLevel="1" x14ac:dyDescent="0.2">
      <c r="A76" s="20">
        <f t="shared" si="65"/>
        <v>3624</v>
      </c>
      <c r="B76" s="19" t="str">
        <f t="shared" si="65"/>
        <v>SFA</v>
      </c>
      <c r="C76" s="55">
        <f t="shared" si="44"/>
        <v>7612.3677637209385</v>
      </c>
      <c r="D76" s="15">
        <f t="shared" ref="D76:M76" si="74">D118*D184</f>
        <v>0</v>
      </c>
      <c r="E76" s="14">
        <f t="shared" si="74"/>
        <v>1863.0558333333331</v>
      </c>
      <c r="F76" s="14">
        <f t="shared" si="74"/>
        <v>25.321930387604894</v>
      </c>
      <c r="G76" s="13">
        <f t="shared" si="74"/>
        <v>0</v>
      </c>
      <c r="H76" s="15">
        <f t="shared" si="74"/>
        <v>0</v>
      </c>
      <c r="I76" s="13">
        <f t="shared" si="74"/>
        <v>0</v>
      </c>
      <c r="J76" s="16">
        <f t="shared" si="74"/>
        <v>3504.7999999999997</v>
      </c>
      <c r="K76" s="15">
        <f t="shared" si="74"/>
        <v>470.78666666666669</v>
      </c>
      <c r="L76" s="14">
        <f t="shared" si="74"/>
        <v>518.75</v>
      </c>
      <c r="M76" s="13">
        <f t="shared" si="74"/>
        <v>1229.6533333333334</v>
      </c>
      <c r="N76" s="108" t="s">
        <v>83</v>
      </c>
    </row>
    <row r="77" spans="1:14" outlineLevel="1" x14ac:dyDescent="0.2">
      <c r="A77" s="20">
        <f t="shared" si="65"/>
        <v>3642</v>
      </c>
      <c r="B77" s="19" t="str">
        <f t="shared" si="65"/>
        <v>TSU</v>
      </c>
      <c r="C77" s="55">
        <f t="shared" si="44"/>
        <v>3114.4480734858384</v>
      </c>
      <c r="D77" s="15">
        <f t="shared" ref="D77:M77" si="75">D119*D185</f>
        <v>0</v>
      </c>
      <c r="E77" s="14">
        <f t="shared" si="75"/>
        <v>190.65763888888887</v>
      </c>
      <c r="F77" s="14">
        <f t="shared" si="75"/>
        <v>16.167101263615898</v>
      </c>
      <c r="G77" s="13">
        <f t="shared" si="75"/>
        <v>0</v>
      </c>
      <c r="H77" s="15">
        <f t="shared" si="75"/>
        <v>0</v>
      </c>
      <c r="I77" s="13">
        <f t="shared" si="75"/>
        <v>0</v>
      </c>
      <c r="J77" s="16">
        <f t="shared" si="75"/>
        <v>1599.2</v>
      </c>
      <c r="K77" s="15">
        <f t="shared" si="75"/>
        <v>278.34666666666664</v>
      </c>
      <c r="L77" s="14">
        <f t="shared" si="75"/>
        <v>283.25</v>
      </c>
      <c r="M77" s="13">
        <f t="shared" si="75"/>
        <v>746.82666666666682</v>
      </c>
      <c r="N77" s="108" t="s">
        <v>81</v>
      </c>
    </row>
    <row r="78" spans="1:14" outlineLevel="1" x14ac:dyDescent="0.2">
      <c r="A78" s="20">
        <f t="shared" si="65"/>
        <v>3644</v>
      </c>
      <c r="B78" s="19" t="str">
        <f t="shared" si="65"/>
        <v>TTU</v>
      </c>
      <c r="C78" s="55">
        <f t="shared" si="44"/>
        <v>18575.197220575457</v>
      </c>
      <c r="D78" s="15">
        <f t="shared" ref="D78:M78" si="76">D120*D186</f>
        <v>0</v>
      </c>
      <c r="E78" s="14">
        <f t="shared" si="76"/>
        <v>5987.3939999999993</v>
      </c>
      <c r="F78" s="14">
        <f t="shared" si="76"/>
        <v>26.326553908791695</v>
      </c>
      <c r="G78" s="13">
        <f t="shared" si="76"/>
        <v>0</v>
      </c>
      <c r="H78" s="15">
        <f t="shared" si="76"/>
        <v>0</v>
      </c>
      <c r="I78" s="13">
        <f t="shared" si="76"/>
        <v>0</v>
      </c>
      <c r="J78" s="16">
        <f t="shared" si="76"/>
        <v>6667.2</v>
      </c>
      <c r="K78" s="15">
        <f t="shared" si="76"/>
        <v>1102.5066666666667</v>
      </c>
      <c r="L78" s="14">
        <f t="shared" si="76"/>
        <v>1319.5833333333333</v>
      </c>
      <c r="M78" s="13">
        <f t="shared" si="76"/>
        <v>3472.186666666667</v>
      </c>
      <c r="N78" s="108" t="s">
        <v>80</v>
      </c>
    </row>
    <row r="79" spans="1:14" outlineLevel="1" x14ac:dyDescent="0.2">
      <c r="A79" s="20">
        <f t="shared" si="65"/>
        <v>3541</v>
      </c>
      <c r="B79" s="19" t="str">
        <f t="shared" si="65"/>
        <v>Angelo</v>
      </c>
      <c r="C79" s="55">
        <f t="shared" si="44"/>
        <v>3564.9188481075525</v>
      </c>
      <c r="D79" s="15">
        <f t="shared" ref="D79:M79" si="77">D121*D187</f>
        <v>0</v>
      </c>
      <c r="E79" s="14">
        <f t="shared" si="77"/>
        <v>745.40005555555558</v>
      </c>
      <c r="F79" s="14">
        <f t="shared" si="77"/>
        <v>25.382125885330371</v>
      </c>
      <c r="G79" s="13">
        <f t="shared" si="77"/>
        <v>0</v>
      </c>
      <c r="H79" s="15">
        <f t="shared" si="77"/>
        <v>0</v>
      </c>
      <c r="I79" s="13">
        <f t="shared" si="77"/>
        <v>0</v>
      </c>
      <c r="J79" s="16">
        <f t="shared" si="77"/>
        <v>1735.2</v>
      </c>
      <c r="K79" s="15">
        <f t="shared" si="77"/>
        <v>489.14666666666676</v>
      </c>
      <c r="L79" s="14">
        <f t="shared" si="77"/>
        <v>258.41666666666669</v>
      </c>
      <c r="M79" s="13">
        <f t="shared" si="77"/>
        <v>311.37333333333339</v>
      </c>
      <c r="N79" s="108" t="s">
        <v>82</v>
      </c>
    </row>
    <row r="80" spans="1:14" outlineLevel="1" x14ac:dyDescent="0.2">
      <c r="A80" s="20">
        <f t="shared" si="65"/>
        <v>3646</v>
      </c>
      <c r="B80" s="19" t="str">
        <f t="shared" si="65"/>
        <v>TWU</v>
      </c>
      <c r="C80" s="55">
        <f t="shared" si="44"/>
        <v>5959.1905053687988</v>
      </c>
      <c r="D80" s="15">
        <f t="shared" ref="D80:M80" si="78">D122*D188</f>
        <v>0</v>
      </c>
      <c r="E80" s="14">
        <f t="shared" si="78"/>
        <v>1655.0485000000001</v>
      </c>
      <c r="F80" s="14">
        <f t="shared" si="78"/>
        <v>34.432005368799956</v>
      </c>
      <c r="G80" s="13">
        <f t="shared" si="78"/>
        <v>0</v>
      </c>
      <c r="H80" s="15">
        <f t="shared" si="78"/>
        <v>0</v>
      </c>
      <c r="I80" s="13">
        <f t="shared" si="78"/>
        <v>0</v>
      </c>
      <c r="J80" s="16">
        <f t="shared" si="78"/>
        <v>2992.7999999999997</v>
      </c>
      <c r="K80" s="15">
        <f t="shared" si="78"/>
        <v>373.32</v>
      </c>
      <c r="L80" s="14">
        <f t="shared" si="78"/>
        <v>323.08333333333331</v>
      </c>
      <c r="M80" s="13">
        <f t="shared" si="78"/>
        <v>580.50666666666666</v>
      </c>
      <c r="N80" s="108" t="s">
        <v>81</v>
      </c>
    </row>
    <row r="81" spans="1:14" outlineLevel="1" x14ac:dyDescent="0.2">
      <c r="A81" s="20">
        <f t="shared" si="65"/>
        <v>3581</v>
      </c>
      <c r="B81" s="19" t="str">
        <f t="shared" si="65"/>
        <v>Lamar</v>
      </c>
      <c r="C81" s="55">
        <f t="shared" si="44"/>
        <v>4744.9376059000097</v>
      </c>
      <c r="D81" s="15">
        <f t="shared" ref="D81:M81" si="79">D123*D189</f>
        <v>0</v>
      </c>
      <c r="E81" s="14">
        <f t="shared" si="79"/>
        <v>818.67061111111104</v>
      </c>
      <c r="F81" s="14">
        <f t="shared" si="79"/>
        <v>22.943661455565124</v>
      </c>
      <c r="G81" s="13">
        <f t="shared" si="79"/>
        <v>0</v>
      </c>
      <c r="H81" s="15">
        <f t="shared" si="79"/>
        <v>0</v>
      </c>
      <c r="I81" s="13">
        <f t="shared" si="79"/>
        <v>0</v>
      </c>
      <c r="J81" s="16">
        <f t="shared" si="79"/>
        <v>2276.7999999999997</v>
      </c>
      <c r="K81" s="15">
        <f t="shared" si="79"/>
        <v>364.59333333333331</v>
      </c>
      <c r="L81" s="14">
        <f t="shared" si="79"/>
        <v>372.25</v>
      </c>
      <c r="M81" s="13">
        <f t="shared" si="79"/>
        <v>889.68000000000018</v>
      </c>
      <c r="N81" s="108" t="s">
        <v>83</v>
      </c>
    </row>
    <row r="82" spans="1:14" outlineLevel="1" x14ac:dyDescent="0.2">
      <c r="A82" s="20">
        <f t="shared" si="65"/>
        <v>3606</v>
      </c>
      <c r="B82" s="19" t="str">
        <f t="shared" si="65"/>
        <v>SHSU</v>
      </c>
      <c r="C82" s="55">
        <f t="shared" si="44"/>
        <v>11458.235678910238</v>
      </c>
      <c r="D82" s="15">
        <f t="shared" ref="D82:M82" si="80">D124*D190</f>
        <v>0</v>
      </c>
      <c r="E82" s="14">
        <f t="shared" si="80"/>
        <v>3159.7377777777779</v>
      </c>
      <c r="F82" s="14">
        <f t="shared" si="80"/>
        <v>30.594567799126271</v>
      </c>
      <c r="G82" s="13">
        <f t="shared" si="80"/>
        <v>0</v>
      </c>
      <c r="H82" s="15">
        <f t="shared" si="80"/>
        <v>0</v>
      </c>
      <c r="I82" s="13">
        <f t="shared" si="80"/>
        <v>0</v>
      </c>
      <c r="J82" s="16">
        <f t="shared" si="80"/>
        <v>5312.7999999999993</v>
      </c>
      <c r="K82" s="15">
        <f t="shared" si="80"/>
        <v>662.03666666666675</v>
      </c>
      <c r="L82" s="14">
        <f t="shared" si="80"/>
        <v>741.33333333333348</v>
      </c>
      <c r="M82" s="13">
        <f t="shared" si="80"/>
        <v>1551.7333333333336</v>
      </c>
      <c r="N82" s="108" t="s">
        <v>81</v>
      </c>
    </row>
    <row r="83" spans="1:14" outlineLevel="1" x14ac:dyDescent="0.2">
      <c r="A83" s="20">
        <f t="shared" si="65"/>
        <v>3615</v>
      </c>
      <c r="B83" s="19" t="str">
        <f t="shared" si="65"/>
        <v>TXST</v>
      </c>
      <c r="C83" s="55">
        <f t="shared" si="44"/>
        <v>20372.666364399731</v>
      </c>
      <c r="D83" s="15">
        <f t="shared" ref="D83:M83" si="81">D125*D191</f>
        <v>0</v>
      </c>
      <c r="E83" s="14">
        <f t="shared" si="81"/>
        <v>5938.6477500000001</v>
      </c>
      <c r="F83" s="14">
        <f t="shared" si="81"/>
        <v>29.258614399732995</v>
      </c>
      <c r="G83" s="13">
        <f t="shared" si="81"/>
        <v>0</v>
      </c>
      <c r="H83" s="15">
        <f t="shared" si="81"/>
        <v>0</v>
      </c>
      <c r="I83" s="13">
        <f t="shared" si="81"/>
        <v>0</v>
      </c>
      <c r="J83" s="16">
        <f t="shared" si="81"/>
        <v>8820.7999999999993</v>
      </c>
      <c r="K83" s="15">
        <f t="shared" si="81"/>
        <v>1269.9566666666667</v>
      </c>
      <c r="L83" s="14">
        <f t="shared" si="81"/>
        <v>1394.75</v>
      </c>
      <c r="M83" s="13">
        <f t="shared" si="81"/>
        <v>2919.253333333334</v>
      </c>
      <c r="N83" s="108" t="s">
        <v>80</v>
      </c>
    </row>
    <row r="84" spans="1:14" outlineLevel="1" x14ac:dyDescent="0.2">
      <c r="A84" s="20">
        <f t="shared" si="65"/>
        <v>3625</v>
      </c>
      <c r="B84" s="19" t="str">
        <f t="shared" si="65"/>
        <v>SRSU</v>
      </c>
      <c r="C84" s="55">
        <f t="shared" si="44"/>
        <v>718.67988709373844</v>
      </c>
      <c r="D84" s="15">
        <f t="shared" ref="D84:M84" si="82">D126*D192</f>
        <v>0</v>
      </c>
      <c r="E84" s="14">
        <f t="shared" si="82"/>
        <v>99.731333333333339</v>
      </c>
      <c r="F84" s="14">
        <f t="shared" si="82"/>
        <v>19.398553760405097</v>
      </c>
      <c r="G84" s="13">
        <f t="shared" si="82"/>
        <v>0</v>
      </c>
      <c r="H84" s="15">
        <f t="shared" si="82"/>
        <v>0</v>
      </c>
      <c r="I84" s="13">
        <f t="shared" si="82"/>
        <v>0</v>
      </c>
      <c r="J84" s="16">
        <f t="shared" si="82"/>
        <v>391.2</v>
      </c>
      <c r="K84" s="15">
        <f t="shared" si="82"/>
        <v>102</v>
      </c>
      <c r="L84" s="14">
        <f t="shared" si="82"/>
        <v>48.416666666666664</v>
      </c>
      <c r="M84" s="13">
        <f t="shared" si="82"/>
        <v>57.933333333333337</v>
      </c>
      <c r="N84" s="108" t="s">
        <v>82</v>
      </c>
    </row>
    <row r="85" spans="1:14" outlineLevel="1" x14ac:dyDescent="0.2">
      <c r="A85" s="20">
        <f t="shared" si="65"/>
        <v>20</v>
      </c>
      <c r="B85" s="19" t="str">
        <f t="shared" si="65"/>
        <v>SRRG</v>
      </c>
      <c r="C85" s="55">
        <f t="shared" si="44"/>
        <v>584.50930275296651</v>
      </c>
      <c r="D85" s="15">
        <f t="shared" ref="D85:M85" si="83">D127*D193</f>
        <v>0</v>
      </c>
      <c r="E85" s="14">
        <f t="shared" si="83"/>
        <v>89.89045908209107</v>
      </c>
      <c r="F85" s="14">
        <f t="shared" si="83"/>
        <v>45.745510337542136</v>
      </c>
      <c r="G85" s="13">
        <f t="shared" si="83"/>
        <v>0</v>
      </c>
      <c r="H85" s="15">
        <f t="shared" si="83"/>
        <v>0</v>
      </c>
      <c r="I85" s="13">
        <f t="shared" si="83"/>
        <v>0</v>
      </c>
      <c r="J85" s="16">
        <f t="shared" si="83"/>
        <v>345.59999999999997</v>
      </c>
      <c r="K85" s="15">
        <f t="shared" si="83"/>
        <v>78.2</v>
      </c>
      <c r="L85" s="14">
        <f t="shared" si="83"/>
        <v>23.166666666666671</v>
      </c>
      <c r="M85" s="13">
        <f t="shared" si="83"/>
        <v>1.9066666666666667</v>
      </c>
      <c r="N85" s="108" t="s">
        <v>82</v>
      </c>
    </row>
    <row r="86" spans="1:14" ht="13.5" outlineLevel="1" thickBot="1" x14ac:dyDescent="0.25">
      <c r="A86" s="12"/>
      <c r="B86" s="11" t="s">
        <v>11</v>
      </c>
      <c r="C86" s="54">
        <f t="shared" ref="C86:M86" si="84">SUM(C48:C85)</f>
        <v>306619.00068442686</v>
      </c>
      <c r="D86" s="9">
        <f t="shared" si="84"/>
        <v>0</v>
      </c>
      <c r="E86" s="7">
        <f t="shared" si="84"/>
        <v>91124.075233894182</v>
      </c>
      <c r="F86" s="7">
        <f t="shared" si="84"/>
        <v>1282.0871171994356</v>
      </c>
      <c r="G86" s="3">
        <f t="shared" si="84"/>
        <v>0</v>
      </c>
      <c r="H86" s="5">
        <f t="shared" si="84"/>
        <v>0</v>
      </c>
      <c r="I86" s="3">
        <f t="shared" si="84"/>
        <v>0</v>
      </c>
      <c r="J86" s="6">
        <f t="shared" si="84"/>
        <v>125105.73333333335</v>
      </c>
      <c r="K86" s="5">
        <f t="shared" si="84"/>
        <v>22049.056666666671</v>
      </c>
      <c r="L86" s="4">
        <f t="shared" si="84"/>
        <v>20625.875</v>
      </c>
      <c r="M86" s="3">
        <f t="shared" si="84"/>
        <v>46432.173333333354</v>
      </c>
      <c r="N86" s="165"/>
    </row>
    <row r="87" spans="1:14" ht="13.5" thickBot="1" x14ac:dyDescent="0.25">
      <c r="A87" s="57" t="s">
        <v>30</v>
      </c>
    </row>
    <row r="88" spans="1:14" ht="12.75" customHeight="1" outlineLevel="1" x14ac:dyDescent="0.2">
      <c r="A88" s="234" t="s">
        <v>24</v>
      </c>
      <c r="B88" s="236" t="s">
        <v>23</v>
      </c>
      <c r="C88" s="238" t="s">
        <v>77</v>
      </c>
      <c r="D88" s="247" t="s">
        <v>35</v>
      </c>
      <c r="E88" s="248"/>
      <c r="F88" s="248"/>
      <c r="G88" s="249"/>
      <c r="H88" s="250" t="s">
        <v>18</v>
      </c>
      <c r="I88" s="225" t="s">
        <v>17</v>
      </c>
      <c r="J88" s="227" t="s">
        <v>16</v>
      </c>
      <c r="K88" s="229" t="s">
        <v>34</v>
      </c>
      <c r="L88" s="230"/>
      <c r="M88" s="230"/>
      <c r="N88" s="232" t="s">
        <v>86</v>
      </c>
    </row>
    <row r="89" spans="1:14" ht="51.75" outlineLevel="1" thickBot="1" x14ac:dyDescent="0.25">
      <c r="A89" s="235"/>
      <c r="B89" s="237"/>
      <c r="C89" s="239"/>
      <c r="D89" s="192"/>
      <c r="E89" s="121" t="s">
        <v>33</v>
      </c>
      <c r="F89" s="121" t="s">
        <v>32</v>
      </c>
      <c r="G89" s="208" t="s">
        <v>31</v>
      </c>
      <c r="H89" s="251"/>
      <c r="I89" s="226"/>
      <c r="J89" s="228"/>
      <c r="K89" s="188" t="s">
        <v>14</v>
      </c>
      <c r="L89" s="189" t="s">
        <v>13</v>
      </c>
      <c r="M89" s="187" t="s">
        <v>12</v>
      </c>
      <c r="N89" s="233"/>
    </row>
    <row r="90" spans="1:14" outlineLevel="1" x14ac:dyDescent="0.2">
      <c r="A90" s="20">
        <f t="shared" ref="A90:B109" si="85">A5</f>
        <v>3656</v>
      </c>
      <c r="B90" s="19" t="str">
        <f t="shared" si="85"/>
        <v>UTA</v>
      </c>
      <c r="C90" s="73">
        <f t="shared" ref="C90:C127" si="86">SUM(D90:M90)</f>
        <v>1</v>
      </c>
      <c r="D90" s="92">
        <f t="shared" ref="D90:M99" si="87">SUMIF($N$131:$N$135,$N90,D$131:D$135)</f>
        <v>0</v>
      </c>
      <c r="E90" s="93">
        <f t="shared" si="87"/>
        <v>0.25</v>
      </c>
      <c r="F90" s="93">
        <f t="shared" si="87"/>
        <v>0.05</v>
      </c>
      <c r="G90" s="94">
        <f t="shared" si="87"/>
        <v>0</v>
      </c>
      <c r="H90" s="92">
        <f t="shared" si="87"/>
        <v>0</v>
      </c>
      <c r="I90" s="94">
        <f t="shared" si="87"/>
        <v>0</v>
      </c>
      <c r="J90" s="95">
        <f t="shared" si="87"/>
        <v>0.3</v>
      </c>
      <c r="K90" s="92">
        <f t="shared" si="87"/>
        <v>0.1</v>
      </c>
      <c r="L90" s="93">
        <f t="shared" si="87"/>
        <v>0.1</v>
      </c>
      <c r="M90" s="94">
        <f t="shared" si="87"/>
        <v>0.2</v>
      </c>
      <c r="N90" s="169" t="s">
        <v>80</v>
      </c>
    </row>
    <row r="91" spans="1:14" outlineLevel="1" x14ac:dyDescent="0.2">
      <c r="A91" s="20">
        <f t="shared" si="85"/>
        <v>3658</v>
      </c>
      <c r="B91" s="19" t="str">
        <f t="shared" si="85"/>
        <v>UT</v>
      </c>
      <c r="C91" s="73">
        <f t="shared" si="86"/>
        <v>1</v>
      </c>
      <c r="D91" s="74">
        <f t="shared" si="87"/>
        <v>0</v>
      </c>
      <c r="E91" s="75">
        <f t="shared" si="87"/>
        <v>0.3</v>
      </c>
      <c r="F91" s="75">
        <f t="shared" si="87"/>
        <v>0.05</v>
      </c>
      <c r="G91" s="76">
        <f t="shared" si="87"/>
        <v>0</v>
      </c>
      <c r="H91" s="77">
        <f t="shared" si="87"/>
        <v>0</v>
      </c>
      <c r="I91" s="78">
        <f t="shared" si="87"/>
        <v>0</v>
      </c>
      <c r="J91" s="79">
        <f t="shared" si="87"/>
        <v>0.2</v>
      </c>
      <c r="K91" s="77">
        <f t="shared" si="87"/>
        <v>0.1</v>
      </c>
      <c r="L91" s="80">
        <f t="shared" si="87"/>
        <v>0.1</v>
      </c>
      <c r="M91" s="78">
        <f t="shared" si="87"/>
        <v>0.25</v>
      </c>
      <c r="N91" s="108" t="s">
        <v>79</v>
      </c>
    </row>
    <row r="92" spans="1:14" outlineLevel="1" x14ac:dyDescent="0.2">
      <c r="A92" s="20">
        <f t="shared" si="85"/>
        <v>9741</v>
      </c>
      <c r="B92" s="19" t="str">
        <f t="shared" si="85"/>
        <v>UTD</v>
      </c>
      <c r="C92" s="73">
        <f t="shared" si="86"/>
        <v>1</v>
      </c>
      <c r="D92" s="74">
        <f t="shared" si="87"/>
        <v>0</v>
      </c>
      <c r="E92" s="75">
        <f t="shared" si="87"/>
        <v>0.25</v>
      </c>
      <c r="F92" s="75">
        <f t="shared" si="87"/>
        <v>0.05</v>
      </c>
      <c r="G92" s="76">
        <f t="shared" si="87"/>
        <v>0</v>
      </c>
      <c r="H92" s="74">
        <f t="shared" si="87"/>
        <v>0</v>
      </c>
      <c r="I92" s="76">
        <f t="shared" si="87"/>
        <v>0</v>
      </c>
      <c r="J92" s="81">
        <f t="shared" si="87"/>
        <v>0.3</v>
      </c>
      <c r="K92" s="74">
        <f t="shared" si="87"/>
        <v>0.1</v>
      </c>
      <c r="L92" s="75">
        <f t="shared" si="87"/>
        <v>0.1</v>
      </c>
      <c r="M92" s="76">
        <f t="shared" si="87"/>
        <v>0.2</v>
      </c>
      <c r="N92" s="108" t="s">
        <v>80</v>
      </c>
    </row>
    <row r="93" spans="1:14" outlineLevel="1" x14ac:dyDescent="0.2">
      <c r="A93" s="20">
        <f t="shared" si="85"/>
        <v>3661</v>
      </c>
      <c r="B93" s="19" t="str">
        <f t="shared" si="85"/>
        <v>UTEP</v>
      </c>
      <c r="C93" s="73">
        <f t="shared" si="86"/>
        <v>1</v>
      </c>
      <c r="D93" s="74">
        <f t="shared" si="87"/>
        <v>0</v>
      </c>
      <c r="E93" s="75">
        <f t="shared" si="87"/>
        <v>0.25</v>
      </c>
      <c r="F93" s="75">
        <f t="shared" si="87"/>
        <v>0.05</v>
      </c>
      <c r="G93" s="76">
        <f t="shared" si="87"/>
        <v>0</v>
      </c>
      <c r="H93" s="74">
        <f t="shared" si="87"/>
        <v>0</v>
      </c>
      <c r="I93" s="76">
        <f t="shared" si="87"/>
        <v>0</v>
      </c>
      <c r="J93" s="81">
        <f t="shared" si="87"/>
        <v>0.3</v>
      </c>
      <c r="K93" s="74">
        <f t="shared" si="87"/>
        <v>0.1</v>
      </c>
      <c r="L93" s="75">
        <f t="shared" si="87"/>
        <v>0.1</v>
      </c>
      <c r="M93" s="76">
        <f t="shared" si="87"/>
        <v>0.2</v>
      </c>
      <c r="N93" s="108" t="s">
        <v>80</v>
      </c>
    </row>
    <row r="94" spans="1:14" outlineLevel="1" x14ac:dyDescent="0.2">
      <c r="A94" s="20">
        <f t="shared" si="85"/>
        <v>3599</v>
      </c>
      <c r="B94" s="19" t="str">
        <f t="shared" si="85"/>
        <v>UTPA</v>
      </c>
      <c r="C94" s="73">
        <f t="shared" si="86"/>
        <v>1</v>
      </c>
      <c r="D94" s="74">
        <f t="shared" si="87"/>
        <v>0</v>
      </c>
      <c r="E94" s="75">
        <f t="shared" si="87"/>
        <v>0.25</v>
      </c>
      <c r="F94" s="75">
        <f t="shared" si="87"/>
        <v>0.05</v>
      </c>
      <c r="G94" s="76">
        <f t="shared" si="87"/>
        <v>0</v>
      </c>
      <c r="H94" s="74">
        <f t="shared" si="87"/>
        <v>0</v>
      </c>
      <c r="I94" s="76">
        <f t="shared" si="87"/>
        <v>0</v>
      </c>
      <c r="J94" s="81">
        <f t="shared" si="87"/>
        <v>0.3</v>
      </c>
      <c r="K94" s="74">
        <f t="shared" si="87"/>
        <v>0.1</v>
      </c>
      <c r="L94" s="75">
        <f t="shared" si="87"/>
        <v>0.1</v>
      </c>
      <c r="M94" s="76">
        <f t="shared" si="87"/>
        <v>0.2</v>
      </c>
      <c r="N94" s="108" t="s">
        <v>81</v>
      </c>
    </row>
    <row r="95" spans="1:14" outlineLevel="1" x14ac:dyDescent="0.2">
      <c r="A95" s="20">
        <f t="shared" si="85"/>
        <v>30646</v>
      </c>
      <c r="B95" s="19" t="str">
        <f t="shared" si="85"/>
        <v>UTB</v>
      </c>
      <c r="C95" s="73">
        <f t="shared" si="86"/>
        <v>1</v>
      </c>
      <c r="D95" s="74">
        <f t="shared" si="87"/>
        <v>0</v>
      </c>
      <c r="E95" s="75">
        <f t="shared" si="87"/>
        <v>0.25</v>
      </c>
      <c r="F95" s="75">
        <f t="shared" si="87"/>
        <v>0.05</v>
      </c>
      <c r="G95" s="76">
        <f t="shared" si="87"/>
        <v>0</v>
      </c>
      <c r="H95" s="74">
        <f t="shared" si="87"/>
        <v>0</v>
      </c>
      <c r="I95" s="76">
        <f t="shared" si="87"/>
        <v>0</v>
      </c>
      <c r="J95" s="81">
        <f t="shared" si="87"/>
        <v>0.3</v>
      </c>
      <c r="K95" s="74">
        <f t="shared" si="87"/>
        <v>0.2</v>
      </c>
      <c r="L95" s="75">
        <f t="shared" si="87"/>
        <v>0.1</v>
      </c>
      <c r="M95" s="76">
        <f t="shared" si="87"/>
        <v>0.1</v>
      </c>
      <c r="N95" s="108" t="s">
        <v>82</v>
      </c>
    </row>
    <row r="96" spans="1:14" outlineLevel="1" x14ac:dyDescent="0.2">
      <c r="A96" s="20">
        <f t="shared" si="85"/>
        <v>9930</v>
      </c>
      <c r="B96" s="19" t="str">
        <f t="shared" si="85"/>
        <v>UTPB</v>
      </c>
      <c r="C96" s="73">
        <f t="shared" si="86"/>
        <v>1</v>
      </c>
      <c r="D96" s="74">
        <f t="shared" si="87"/>
        <v>0</v>
      </c>
      <c r="E96" s="75">
        <f t="shared" si="87"/>
        <v>0.25</v>
      </c>
      <c r="F96" s="75">
        <f t="shared" si="87"/>
        <v>0.05</v>
      </c>
      <c r="G96" s="76">
        <f t="shared" si="87"/>
        <v>0</v>
      </c>
      <c r="H96" s="74">
        <f t="shared" si="87"/>
        <v>0</v>
      </c>
      <c r="I96" s="76">
        <f t="shared" si="87"/>
        <v>0</v>
      </c>
      <c r="J96" s="81">
        <f t="shared" si="87"/>
        <v>0.3</v>
      </c>
      <c r="K96" s="74">
        <f t="shared" si="87"/>
        <v>0.2</v>
      </c>
      <c r="L96" s="75">
        <f t="shared" si="87"/>
        <v>0.1</v>
      </c>
      <c r="M96" s="76">
        <f t="shared" si="87"/>
        <v>0.1</v>
      </c>
      <c r="N96" s="108" t="s">
        <v>82</v>
      </c>
    </row>
    <row r="97" spans="1:14" outlineLevel="1" x14ac:dyDescent="0.2">
      <c r="A97" s="20">
        <f t="shared" si="85"/>
        <v>10115</v>
      </c>
      <c r="B97" s="19" t="str">
        <f t="shared" si="85"/>
        <v>UTSA</v>
      </c>
      <c r="C97" s="73">
        <f t="shared" si="86"/>
        <v>1</v>
      </c>
      <c r="D97" s="74">
        <f t="shared" si="87"/>
        <v>0</v>
      </c>
      <c r="E97" s="75">
        <f t="shared" si="87"/>
        <v>0.25</v>
      </c>
      <c r="F97" s="75">
        <f t="shared" si="87"/>
        <v>0.05</v>
      </c>
      <c r="G97" s="76">
        <f t="shared" si="87"/>
        <v>0</v>
      </c>
      <c r="H97" s="74">
        <f t="shared" si="87"/>
        <v>0</v>
      </c>
      <c r="I97" s="76">
        <f t="shared" si="87"/>
        <v>0</v>
      </c>
      <c r="J97" s="81">
        <f t="shared" si="87"/>
        <v>0.3</v>
      </c>
      <c r="K97" s="74">
        <f t="shared" si="87"/>
        <v>0.1</v>
      </c>
      <c r="L97" s="75">
        <f t="shared" si="87"/>
        <v>0.1</v>
      </c>
      <c r="M97" s="76">
        <f t="shared" si="87"/>
        <v>0.2</v>
      </c>
      <c r="N97" s="108" t="s">
        <v>80</v>
      </c>
    </row>
    <row r="98" spans="1:14" outlineLevel="1" x14ac:dyDescent="0.2">
      <c r="A98" s="20">
        <f t="shared" si="85"/>
        <v>11163</v>
      </c>
      <c r="B98" s="19" t="str">
        <f t="shared" si="85"/>
        <v>UTT</v>
      </c>
      <c r="C98" s="73">
        <f t="shared" si="86"/>
        <v>1</v>
      </c>
      <c r="D98" s="74">
        <f t="shared" si="87"/>
        <v>0</v>
      </c>
      <c r="E98" s="75">
        <f t="shared" si="87"/>
        <v>0.25</v>
      </c>
      <c r="F98" s="75">
        <f t="shared" si="87"/>
        <v>0.05</v>
      </c>
      <c r="G98" s="76">
        <f t="shared" si="87"/>
        <v>0</v>
      </c>
      <c r="H98" s="74">
        <f t="shared" si="87"/>
        <v>0</v>
      </c>
      <c r="I98" s="76">
        <f t="shared" si="87"/>
        <v>0</v>
      </c>
      <c r="J98" s="81">
        <f t="shared" si="87"/>
        <v>0.3</v>
      </c>
      <c r="K98" s="74">
        <f t="shared" si="87"/>
        <v>0.2</v>
      </c>
      <c r="L98" s="75">
        <f t="shared" si="87"/>
        <v>0.1</v>
      </c>
      <c r="M98" s="76">
        <f t="shared" si="87"/>
        <v>0.1</v>
      </c>
      <c r="N98" s="108" t="s">
        <v>82</v>
      </c>
    </row>
    <row r="99" spans="1:14" outlineLevel="1" x14ac:dyDescent="0.2">
      <c r="A99" s="20">
        <f t="shared" si="85"/>
        <v>3632</v>
      </c>
      <c r="B99" s="19" t="str">
        <f t="shared" si="85"/>
        <v>TAMU</v>
      </c>
      <c r="C99" s="73">
        <f t="shared" si="86"/>
        <v>1</v>
      </c>
      <c r="D99" s="74">
        <f t="shared" si="87"/>
        <v>0</v>
      </c>
      <c r="E99" s="75">
        <f t="shared" si="87"/>
        <v>0.3</v>
      </c>
      <c r="F99" s="75">
        <f t="shared" si="87"/>
        <v>0.05</v>
      </c>
      <c r="G99" s="76">
        <f t="shared" si="87"/>
        <v>0</v>
      </c>
      <c r="H99" s="77">
        <f t="shared" si="87"/>
        <v>0</v>
      </c>
      <c r="I99" s="78">
        <f t="shared" si="87"/>
        <v>0</v>
      </c>
      <c r="J99" s="79">
        <f t="shared" si="87"/>
        <v>0.2</v>
      </c>
      <c r="K99" s="77">
        <f t="shared" si="87"/>
        <v>0.1</v>
      </c>
      <c r="L99" s="80">
        <f t="shared" si="87"/>
        <v>0.1</v>
      </c>
      <c r="M99" s="78">
        <f t="shared" si="87"/>
        <v>0.25</v>
      </c>
      <c r="N99" s="108" t="s">
        <v>79</v>
      </c>
    </row>
    <row r="100" spans="1:14" outlineLevel="1" x14ac:dyDescent="0.2">
      <c r="A100" s="20">
        <f t="shared" si="85"/>
        <v>10298</v>
      </c>
      <c r="B100" s="19" t="str">
        <f t="shared" si="85"/>
        <v>TAMUG</v>
      </c>
      <c r="C100" s="73">
        <f t="shared" si="86"/>
        <v>1</v>
      </c>
      <c r="D100" s="74">
        <f t="shared" ref="D100:M109" si="88">SUMIF($N$131:$N$135,$N100,D$131:D$135)</f>
        <v>0</v>
      </c>
      <c r="E100" s="75">
        <f t="shared" si="88"/>
        <v>0.25</v>
      </c>
      <c r="F100" s="75">
        <f t="shared" si="88"/>
        <v>0.05</v>
      </c>
      <c r="G100" s="76">
        <f t="shared" si="88"/>
        <v>0</v>
      </c>
      <c r="H100" s="74">
        <f t="shared" si="88"/>
        <v>0</v>
      </c>
      <c r="I100" s="76">
        <f t="shared" si="88"/>
        <v>0</v>
      </c>
      <c r="J100" s="81">
        <f t="shared" si="88"/>
        <v>0.3</v>
      </c>
      <c r="K100" s="74">
        <f t="shared" si="88"/>
        <v>0.2</v>
      </c>
      <c r="L100" s="75">
        <f t="shared" si="88"/>
        <v>0.1</v>
      </c>
      <c r="M100" s="76">
        <f t="shared" si="88"/>
        <v>0.1</v>
      </c>
      <c r="N100" s="108" t="s">
        <v>82</v>
      </c>
    </row>
    <row r="101" spans="1:14" outlineLevel="1" x14ac:dyDescent="0.2">
      <c r="A101" s="20">
        <f t="shared" si="85"/>
        <v>3630</v>
      </c>
      <c r="B101" s="19" t="str">
        <f t="shared" si="85"/>
        <v>Prairie View</v>
      </c>
      <c r="C101" s="73">
        <f t="shared" si="86"/>
        <v>1</v>
      </c>
      <c r="D101" s="74">
        <f t="shared" si="88"/>
        <v>0</v>
      </c>
      <c r="E101" s="75">
        <f t="shared" si="88"/>
        <v>0.25</v>
      </c>
      <c r="F101" s="75">
        <f t="shared" si="88"/>
        <v>0.05</v>
      </c>
      <c r="G101" s="76">
        <f t="shared" si="88"/>
        <v>0</v>
      </c>
      <c r="H101" s="74">
        <f t="shared" si="88"/>
        <v>0</v>
      </c>
      <c r="I101" s="76">
        <f t="shared" si="88"/>
        <v>0</v>
      </c>
      <c r="J101" s="81">
        <f t="shared" si="88"/>
        <v>0.3</v>
      </c>
      <c r="K101" s="74">
        <f t="shared" si="88"/>
        <v>0.1</v>
      </c>
      <c r="L101" s="75">
        <f t="shared" si="88"/>
        <v>0.1</v>
      </c>
      <c r="M101" s="76">
        <f t="shared" si="88"/>
        <v>0.2</v>
      </c>
      <c r="N101" s="108" t="s">
        <v>83</v>
      </c>
    </row>
    <row r="102" spans="1:14" outlineLevel="1" x14ac:dyDescent="0.2">
      <c r="A102" s="20">
        <f t="shared" si="85"/>
        <v>3631</v>
      </c>
      <c r="B102" s="19" t="str">
        <f t="shared" si="85"/>
        <v>Tarleton</v>
      </c>
      <c r="C102" s="73">
        <f t="shared" si="86"/>
        <v>1</v>
      </c>
      <c r="D102" s="74">
        <f t="shared" si="88"/>
        <v>0</v>
      </c>
      <c r="E102" s="75">
        <f t="shared" si="88"/>
        <v>0.25</v>
      </c>
      <c r="F102" s="75">
        <f t="shared" si="88"/>
        <v>0.05</v>
      </c>
      <c r="G102" s="76">
        <f t="shared" si="88"/>
        <v>0</v>
      </c>
      <c r="H102" s="74">
        <f t="shared" si="88"/>
        <v>0</v>
      </c>
      <c r="I102" s="76">
        <f t="shared" si="88"/>
        <v>0</v>
      </c>
      <c r="J102" s="81">
        <f t="shared" si="88"/>
        <v>0.3</v>
      </c>
      <c r="K102" s="74">
        <f t="shared" si="88"/>
        <v>0.1</v>
      </c>
      <c r="L102" s="75">
        <f t="shared" si="88"/>
        <v>0.1</v>
      </c>
      <c r="M102" s="76">
        <f t="shared" si="88"/>
        <v>0.2</v>
      </c>
      <c r="N102" s="108" t="s">
        <v>83</v>
      </c>
    </row>
    <row r="103" spans="1:14" outlineLevel="1" x14ac:dyDescent="0.2">
      <c r="A103" s="27">
        <f t="shared" si="85"/>
        <v>103631</v>
      </c>
      <c r="B103" s="19" t="str">
        <f t="shared" si="85"/>
        <v>TAMUCT</v>
      </c>
      <c r="C103" s="73">
        <f t="shared" si="86"/>
        <v>1</v>
      </c>
      <c r="D103" s="74">
        <f t="shared" si="88"/>
        <v>0</v>
      </c>
      <c r="E103" s="75">
        <f t="shared" si="88"/>
        <v>0.25</v>
      </c>
      <c r="F103" s="75">
        <f t="shared" si="88"/>
        <v>0.05</v>
      </c>
      <c r="G103" s="76">
        <f t="shared" si="88"/>
        <v>0</v>
      </c>
      <c r="H103" s="74">
        <f t="shared" si="88"/>
        <v>0</v>
      </c>
      <c r="I103" s="76">
        <f t="shared" si="88"/>
        <v>0</v>
      </c>
      <c r="J103" s="81">
        <f t="shared" si="88"/>
        <v>0.3</v>
      </c>
      <c r="K103" s="74">
        <f t="shared" si="88"/>
        <v>0.2</v>
      </c>
      <c r="L103" s="75">
        <f t="shared" si="88"/>
        <v>0.1</v>
      </c>
      <c r="M103" s="76">
        <f t="shared" si="88"/>
        <v>0.1</v>
      </c>
      <c r="N103" s="108" t="s">
        <v>82</v>
      </c>
    </row>
    <row r="104" spans="1:14" outlineLevel="1" x14ac:dyDescent="0.2">
      <c r="A104" s="20">
        <f t="shared" si="85"/>
        <v>11161</v>
      </c>
      <c r="B104" s="19" t="str">
        <f t="shared" si="85"/>
        <v>TAMUCC</v>
      </c>
      <c r="C104" s="73">
        <f t="shared" si="86"/>
        <v>1</v>
      </c>
      <c r="D104" s="74">
        <f t="shared" si="88"/>
        <v>0</v>
      </c>
      <c r="E104" s="75">
        <f t="shared" si="88"/>
        <v>0.25</v>
      </c>
      <c r="F104" s="75">
        <f t="shared" si="88"/>
        <v>0.05</v>
      </c>
      <c r="G104" s="76">
        <f t="shared" si="88"/>
        <v>0</v>
      </c>
      <c r="H104" s="74">
        <f t="shared" si="88"/>
        <v>0</v>
      </c>
      <c r="I104" s="76">
        <f t="shared" si="88"/>
        <v>0</v>
      </c>
      <c r="J104" s="81">
        <f t="shared" si="88"/>
        <v>0.3</v>
      </c>
      <c r="K104" s="74">
        <f t="shared" si="88"/>
        <v>0.1</v>
      </c>
      <c r="L104" s="75">
        <f t="shared" si="88"/>
        <v>0.1</v>
      </c>
      <c r="M104" s="76">
        <f t="shared" si="88"/>
        <v>0.2</v>
      </c>
      <c r="N104" s="108" t="s">
        <v>81</v>
      </c>
    </row>
    <row r="105" spans="1:14" outlineLevel="1" x14ac:dyDescent="0.2">
      <c r="A105" s="20">
        <f t="shared" si="85"/>
        <v>3639</v>
      </c>
      <c r="B105" s="19" t="str">
        <f t="shared" si="85"/>
        <v>TAMUK</v>
      </c>
      <c r="C105" s="73">
        <f t="shared" si="86"/>
        <v>1</v>
      </c>
      <c r="D105" s="74">
        <f t="shared" si="88"/>
        <v>0</v>
      </c>
      <c r="E105" s="75">
        <f t="shared" si="88"/>
        <v>0.25</v>
      </c>
      <c r="F105" s="75">
        <f t="shared" si="88"/>
        <v>0.05</v>
      </c>
      <c r="G105" s="76">
        <f t="shared" si="88"/>
        <v>0</v>
      </c>
      <c r="H105" s="74">
        <f t="shared" si="88"/>
        <v>0</v>
      </c>
      <c r="I105" s="76">
        <f t="shared" si="88"/>
        <v>0</v>
      </c>
      <c r="J105" s="81">
        <f t="shared" si="88"/>
        <v>0.3</v>
      </c>
      <c r="K105" s="74">
        <f t="shared" si="88"/>
        <v>0.1</v>
      </c>
      <c r="L105" s="75">
        <f t="shared" si="88"/>
        <v>0.1</v>
      </c>
      <c r="M105" s="76">
        <f t="shared" si="88"/>
        <v>0.2</v>
      </c>
      <c r="N105" s="108" t="s">
        <v>81</v>
      </c>
    </row>
    <row r="106" spans="1:14" outlineLevel="1" x14ac:dyDescent="0.2">
      <c r="A106" s="27">
        <f t="shared" si="85"/>
        <v>103639</v>
      </c>
      <c r="B106" s="19" t="str">
        <f t="shared" si="85"/>
        <v>TAMUSA</v>
      </c>
      <c r="C106" s="73">
        <f t="shared" si="86"/>
        <v>1</v>
      </c>
      <c r="D106" s="74">
        <f t="shared" si="88"/>
        <v>0</v>
      </c>
      <c r="E106" s="75">
        <f t="shared" si="88"/>
        <v>0.25</v>
      </c>
      <c r="F106" s="75">
        <f t="shared" si="88"/>
        <v>0.05</v>
      </c>
      <c r="G106" s="76">
        <f t="shared" si="88"/>
        <v>0</v>
      </c>
      <c r="H106" s="74">
        <f t="shared" si="88"/>
        <v>0</v>
      </c>
      <c r="I106" s="76">
        <f t="shared" si="88"/>
        <v>0</v>
      </c>
      <c r="J106" s="81">
        <f t="shared" si="88"/>
        <v>0.3</v>
      </c>
      <c r="K106" s="74">
        <f t="shared" si="88"/>
        <v>0.2</v>
      </c>
      <c r="L106" s="75">
        <f t="shared" si="88"/>
        <v>0.1</v>
      </c>
      <c r="M106" s="76">
        <f t="shared" si="88"/>
        <v>0.1</v>
      </c>
      <c r="N106" s="108" t="s">
        <v>82</v>
      </c>
    </row>
    <row r="107" spans="1:14" outlineLevel="1" x14ac:dyDescent="0.2">
      <c r="A107" s="20">
        <f t="shared" si="85"/>
        <v>9651</v>
      </c>
      <c r="B107" s="19" t="str">
        <f t="shared" si="85"/>
        <v>TAMI</v>
      </c>
      <c r="C107" s="73">
        <f t="shared" si="86"/>
        <v>1</v>
      </c>
      <c r="D107" s="74">
        <f t="shared" si="88"/>
        <v>0</v>
      </c>
      <c r="E107" s="75">
        <f t="shared" si="88"/>
        <v>0.25</v>
      </c>
      <c r="F107" s="75">
        <f t="shared" si="88"/>
        <v>0.05</v>
      </c>
      <c r="G107" s="76">
        <f t="shared" si="88"/>
        <v>0</v>
      </c>
      <c r="H107" s="74">
        <f t="shared" si="88"/>
        <v>0</v>
      </c>
      <c r="I107" s="76">
        <f t="shared" si="88"/>
        <v>0</v>
      </c>
      <c r="J107" s="81">
        <f t="shared" si="88"/>
        <v>0.3</v>
      </c>
      <c r="K107" s="74">
        <f t="shared" si="88"/>
        <v>0.1</v>
      </c>
      <c r="L107" s="75">
        <f t="shared" si="88"/>
        <v>0.1</v>
      </c>
      <c r="M107" s="76">
        <f t="shared" si="88"/>
        <v>0.2</v>
      </c>
      <c r="N107" s="108" t="s">
        <v>83</v>
      </c>
    </row>
    <row r="108" spans="1:14" outlineLevel="1" x14ac:dyDescent="0.2">
      <c r="A108" s="20">
        <f t="shared" si="85"/>
        <v>3665</v>
      </c>
      <c r="B108" s="19" t="str">
        <f t="shared" si="85"/>
        <v>WTAMU</v>
      </c>
      <c r="C108" s="73">
        <f t="shared" si="86"/>
        <v>1</v>
      </c>
      <c r="D108" s="74">
        <f t="shared" si="88"/>
        <v>0</v>
      </c>
      <c r="E108" s="75">
        <f t="shared" si="88"/>
        <v>0.25</v>
      </c>
      <c r="F108" s="75">
        <f t="shared" si="88"/>
        <v>0.05</v>
      </c>
      <c r="G108" s="76">
        <f t="shared" si="88"/>
        <v>0</v>
      </c>
      <c r="H108" s="74">
        <f t="shared" si="88"/>
        <v>0</v>
      </c>
      <c r="I108" s="76">
        <f t="shared" si="88"/>
        <v>0</v>
      </c>
      <c r="J108" s="81">
        <f t="shared" si="88"/>
        <v>0.3</v>
      </c>
      <c r="K108" s="74">
        <f t="shared" si="88"/>
        <v>0.1</v>
      </c>
      <c r="L108" s="75">
        <f t="shared" si="88"/>
        <v>0.1</v>
      </c>
      <c r="M108" s="76">
        <f t="shared" si="88"/>
        <v>0.2</v>
      </c>
      <c r="N108" s="108" t="s">
        <v>83</v>
      </c>
    </row>
    <row r="109" spans="1:14" outlineLevel="1" x14ac:dyDescent="0.2">
      <c r="A109" s="20">
        <f t="shared" si="85"/>
        <v>3565</v>
      </c>
      <c r="B109" s="19" t="str">
        <f t="shared" si="85"/>
        <v>TAMUC</v>
      </c>
      <c r="C109" s="73">
        <f t="shared" si="86"/>
        <v>1</v>
      </c>
      <c r="D109" s="74">
        <f t="shared" si="88"/>
        <v>0</v>
      </c>
      <c r="E109" s="75">
        <f t="shared" si="88"/>
        <v>0.25</v>
      </c>
      <c r="F109" s="75">
        <f t="shared" si="88"/>
        <v>0.05</v>
      </c>
      <c r="G109" s="76">
        <f t="shared" si="88"/>
        <v>0</v>
      </c>
      <c r="H109" s="74">
        <f t="shared" si="88"/>
        <v>0</v>
      </c>
      <c r="I109" s="76">
        <f t="shared" si="88"/>
        <v>0</v>
      </c>
      <c r="J109" s="81">
        <f t="shared" si="88"/>
        <v>0.3</v>
      </c>
      <c r="K109" s="74">
        <f t="shared" si="88"/>
        <v>0.1</v>
      </c>
      <c r="L109" s="75">
        <f t="shared" si="88"/>
        <v>0.1</v>
      </c>
      <c r="M109" s="76">
        <f t="shared" si="88"/>
        <v>0.2</v>
      </c>
      <c r="N109" s="108" t="s">
        <v>81</v>
      </c>
    </row>
    <row r="110" spans="1:14" outlineLevel="1" x14ac:dyDescent="0.2">
      <c r="A110" s="20">
        <f t="shared" ref="A110:B127" si="89">A25</f>
        <v>29269</v>
      </c>
      <c r="B110" s="19" t="str">
        <f t="shared" si="89"/>
        <v>TAMUT</v>
      </c>
      <c r="C110" s="73">
        <f t="shared" si="86"/>
        <v>1</v>
      </c>
      <c r="D110" s="74">
        <f t="shared" ref="D110:M119" si="90">SUMIF($N$131:$N$135,$N110,D$131:D$135)</f>
        <v>0</v>
      </c>
      <c r="E110" s="75">
        <f t="shared" si="90"/>
        <v>0.25</v>
      </c>
      <c r="F110" s="75">
        <f t="shared" si="90"/>
        <v>0.05</v>
      </c>
      <c r="G110" s="76">
        <f t="shared" si="90"/>
        <v>0</v>
      </c>
      <c r="H110" s="74">
        <f t="shared" si="90"/>
        <v>0</v>
      </c>
      <c r="I110" s="76">
        <f t="shared" si="90"/>
        <v>0</v>
      </c>
      <c r="J110" s="81">
        <f t="shared" si="90"/>
        <v>0.3</v>
      </c>
      <c r="K110" s="74">
        <f t="shared" si="90"/>
        <v>0.2</v>
      </c>
      <c r="L110" s="75">
        <f t="shared" si="90"/>
        <v>0.1</v>
      </c>
      <c r="M110" s="76">
        <f t="shared" si="90"/>
        <v>0.1</v>
      </c>
      <c r="N110" s="108" t="s">
        <v>82</v>
      </c>
    </row>
    <row r="111" spans="1:14" outlineLevel="1" x14ac:dyDescent="0.2">
      <c r="A111" s="20">
        <f t="shared" si="89"/>
        <v>3652</v>
      </c>
      <c r="B111" s="19" t="str">
        <f t="shared" si="89"/>
        <v>UH</v>
      </c>
      <c r="C111" s="73">
        <f t="shared" si="86"/>
        <v>1</v>
      </c>
      <c r="D111" s="74">
        <f t="shared" si="90"/>
        <v>0</v>
      </c>
      <c r="E111" s="75">
        <f t="shared" si="90"/>
        <v>0.25</v>
      </c>
      <c r="F111" s="75">
        <f t="shared" si="90"/>
        <v>0.05</v>
      </c>
      <c r="G111" s="76">
        <f t="shared" si="90"/>
        <v>0</v>
      </c>
      <c r="H111" s="74">
        <f t="shared" si="90"/>
        <v>0</v>
      </c>
      <c r="I111" s="76">
        <f t="shared" si="90"/>
        <v>0</v>
      </c>
      <c r="J111" s="81">
        <f t="shared" si="90"/>
        <v>0.3</v>
      </c>
      <c r="K111" s="74">
        <f t="shared" si="90"/>
        <v>0.1</v>
      </c>
      <c r="L111" s="75">
        <f t="shared" si="90"/>
        <v>0.1</v>
      </c>
      <c r="M111" s="76">
        <f t="shared" si="90"/>
        <v>0.2</v>
      </c>
      <c r="N111" s="108" t="s">
        <v>80</v>
      </c>
    </row>
    <row r="112" spans="1:14" outlineLevel="1" x14ac:dyDescent="0.2">
      <c r="A112" s="20">
        <f t="shared" si="89"/>
        <v>11711</v>
      </c>
      <c r="B112" s="19" t="str">
        <f t="shared" si="89"/>
        <v>UHCL</v>
      </c>
      <c r="C112" s="73">
        <f t="shared" si="86"/>
        <v>1</v>
      </c>
      <c r="D112" s="74">
        <f t="shared" si="90"/>
        <v>0</v>
      </c>
      <c r="E112" s="75">
        <f t="shared" si="90"/>
        <v>0.25</v>
      </c>
      <c r="F112" s="75">
        <f t="shared" si="90"/>
        <v>0.05</v>
      </c>
      <c r="G112" s="76">
        <f t="shared" si="90"/>
        <v>0</v>
      </c>
      <c r="H112" s="74">
        <f t="shared" si="90"/>
        <v>0</v>
      </c>
      <c r="I112" s="76">
        <f t="shared" si="90"/>
        <v>0</v>
      </c>
      <c r="J112" s="81">
        <f t="shared" si="90"/>
        <v>0.3</v>
      </c>
      <c r="K112" s="74">
        <f t="shared" si="90"/>
        <v>0.2</v>
      </c>
      <c r="L112" s="75">
        <f t="shared" si="90"/>
        <v>0.1</v>
      </c>
      <c r="M112" s="76">
        <f t="shared" si="90"/>
        <v>0.1</v>
      </c>
      <c r="N112" s="108" t="s">
        <v>82</v>
      </c>
    </row>
    <row r="113" spans="1:19" outlineLevel="1" x14ac:dyDescent="0.2">
      <c r="A113" s="20">
        <f t="shared" si="89"/>
        <v>12826</v>
      </c>
      <c r="B113" s="19" t="str">
        <f t="shared" si="89"/>
        <v>UHD</v>
      </c>
      <c r="C113" s="73">
        <f t="shared" si="86"/>
        <v>1</v>
      </c>
      <c r="D113" s="74">
        <f t="shared" si="90"/>
        <v>0</v>
      </c>
      <c r="E113" s="75">
        <f t="shared" si="90"/>
        <v>0.25</v>
      </c>
      <c r="F113" s="75">
        <f t="shared" si="90"/>
        <v>0.05</v>
      </c>
      <c r="G113" s="76">
        <f t="shared" si="90"/>
        <v>0</v>
      </c>
      <c r="H113" s="74">
        <f t="shared" si="90"/>
        <v>0</v>
      </c>
      <c r="I113" s="76">
        <f t="shared" si="90"/>
        <v>0</v>
      </c>
      <c r="J113" s="81">
        <f t="shared" si="90"/>
        <v>0.3</v>
      </c>
      <c r="K113" s="74">
        <f t="shared" si="90"/>
        <v>0.2</v>
      </c>
      <c r="L113" s="75">
        <f t="shared" si="90"/>
        <v>0.1</v>
      </c>
      <c r="M113" s="76">
        <f t="shared" si="90"/>
        <v>0.1</v>
      </c>
      <c r="N113" s="108" t="s">
        <v>82</v>
      </c>
    </row>
    <row r="114" spans="1:19" outlineLevel="1" x14ac:dyDescent="0.2">
      <c r="A114" s="20">
        <f t="shared" si="89"/>
        <v>13231</v>
      </c>
      <c r="B114" s="19" t="str">
        <f t="shared" si="89"/>
        <v>UHV</v>
      </c>
      <c r="C114" s="73">
        <f t="shared" si="86"/>
        <v>1</v>
      </c>
      <c r="D114" s="74">
        <f t="shared" si="90"/>
        <v>0</v>
      </c>
      <c r="E114" s="75">
        <f t="shared" si="90"/>
        <v>0.25</v>
      </c>
      <c r="F114" s="75">
        <f t="shared" si="90"/>
        <v>0.05</v>
      </c>
      <c r="G114" s="76">
        <f t="shared" si="90"/>
        <v>0</v>
      </c>
      <c r="H114" s="74">
        <f t="shared" si="90"/>
        <v>0</v>
      </c>
      <c r="I114" s="76">
        <f t="shared" si="90"/>
        <v>0</v>
      </c>
      <c r="J114" s="81">
        <f t="shared" si="90"/>
        <v>0.3</v>
      </c>
      <c r="K114" s="74">
        <f t="shared" si="90"/>
        <v>0.2</v>
      </c>
      <c r="L114" s="75">
        <f t="shared" si="90"/>
        <v>0.1</v>
      </c>
      <c r="M114" s="76">
        <f t="shared" si="90"/>
        <v>0.1</v>
      </c>
      <c r="N114" s="108" t="s">
        <v>82</v>
      </c>
    </row>
    <row r="115" spans="1:19" outlineLevel="1" x14ac:dyDescent="0.2">
      <c r="A115" s="20">
        <f t="shared" si="89"/>
        <v>3592</v>
      </c>
      <c r="B115" s="19" t="str">
        <f t="shared" si="89"/>
        <v>Midwestern</v>
      </c>
      <c r="C115" s="73">
        <f t="shared" si="86"/>
        <v>1</v>
      </c>
      <c r="D115" s="74">
        <f t="shared" si="90"/>
        <v>0</v>
      </c>
      <c r="E115" s="75">
        <f t="shared" si="90"/>
        <v>0.25</v>
      </c>
      <c r="F115" s="75">
        <f t="shared" si="90"/>
        <v>0.05</v>
      </c>
      <c r="G115" s="76">
        <f t="shared" si="90"/>
        <v>0</v>
      </c>
      <c r="H115" s="74">
        <f t="shared" si="90"/>
        <v>0</v>
      </c>
      <c r="I115" s="76">
        <f t="shared" si="90"/>
        <v>0</v>
      </c>
      <c r="J115" s="81">
        <f t="shared" si="90"/>
        <v>0.3</v>
      </c>
      <c r="K115" s="74">
        <f t="shared" si="90"/>
        <v>0.2</v>
      </c>
      <c r="L115" s="75">
        <f t="shared" si="90"/>
        <v>0.1</v>
      </c>
      <c r="M115" s="76">
        <f t="shared" si="90"/>
        <v>0.1</v>
      </c>
      <c r="N115" s="108" t="s">
        <v>82</v>
      </c>
    </row>
    <row r="116" spans="1:19" outlineLevel="1" x14ac:dyDescent="0.2">
      <c r="A116" s="20">
        <f t="shared" si="89"/>
        <v>3594</v>
      </c>
      <c r="B116" s="19" t="str">
        <f t="shared" si="89"/>
        <v>UNT</v>
      </c>
      <c r="C116" s="73">
        <f t="shared" si="86"/>
        <v>1</v>
      </c>
      <c r="D116" s="74">
        <f t="shared" si="90"/>
        <v>0</v>
      </c>
      <c r="E116" s="75">
        <f t="shared" si="90"/>
        <v>0.25</v>
      </c>
      <c r="F116" s="75">
        <f t="shared" si="90"/>
        <v>0.05</v>
      </c>
      <c r="G116" s="76">
        <f t="shared" si="90"/>
        <v>0</v>
      </c>
      <c r="H116" s="74">
        <f t="shared" si="90"/>
        <v>0</v>
      </c>
      <c r="I116" s="76">
        <f t="shared" si="90"/>
        <v>0</v>
      </c>
      <c r="J116" s="81">
        <f t="shared" si="90"/>
        <v>0.3</v>
      </c>
      <c r="K116" s="74">
        <f t="shared" si="90"/>
        <v>0.1</v>
      </c>
      <c r="L116" s="75">
        <f t="shared" si="90"/>
        <v>0.1</v>
      </c>
      <c r="M116" s="76">
        <f t="shared" si="90"/>
        <v>0.2</v>
      </c>
      <c r="N116" s="108" t="s">
        <v>80</v>
      </c>
      <c r="Q116" s="87"/>
      <c r="S116" s="87"/>
    </row>
    <row r="117" spans="1:19" outlineLevel="1" x14ac:dyDescent="0.2">
      <c r="A117" s="27">
        <f t="shared" si="89"/>
        <v>113594</v>
      </c>
      <c r="B117" s="19" t="str">
        <f t="shared" si="89"/>
        <v>UNTD</v>
      </c>
      <c r="C117" s="73">
        <f t="shared" si="86"/>
        <v>1</v>
      </c>
      <c r="D117" s="74">
        <f t="shared" si="90"/>
        <v>0</v>
      </c>
      <c r="E117" s="75">
        <f t="shared" si="90"/>
        <v>0.25</v>
      </c>
      <c r="F117" s="75">
        <f t="shared" si="90"/>
        <v>0.05</v>
      </c>
      <c r="G117" s="76">
        <f t="shared" si="90"/>
        <v>0</v>
      </c>
      <c r="H117" s="74">
        <f t="shared" si="90"/>
        <v>0</v>
      </c>
      <c r="I117" s="76">
        <f t="shared" si="90"/>
        <v>0</v>
      </c>
      <c r="J117" s="81">
        <f t="shared" si="90"/>
        <v>0.3</v>
      </c>
      <c r="K117" s="74">
        <f t="shared" si="90"/>
        <v>0.2</v>
      </c>
      <c r="L117" s="75">
        <f t="shared" si="90"/>
        <v>0.1</v>
      </c>
      <c r="M117" s="76">
        <f t="shared" si="90"/>
        <v>0.1</v>
      </c>
      <c r="N117" s="108" t="s">
        <v>82</v>
      </c>
    </row>
    <row r="118" spans="1:19" outlineLevel="1" x14ac:dyDescent="0.2">
      <c r="A118" s="20">
        <f t="shared" si="89"/>
        <v>3624</v>
      </c>
      <c r="B118" s="19" t="str">
        <f t="shared" si="89"/>
        <v>SFA</v>
      </c>
      <c r="C118" s="73">
        <f t="shared" si="86"/>
        <v>1</v>
      </c>
      <c r="D118" s="74">
        <f t="shared" si="90"/>
        <v>0</v>
      </c>
      <c r="E118" s="75">
        <f t="shared" si="90"/>
        <v>0.25</v>
      </c>
      <c r="F118" s="75">
        <f t="shared" si="90"/>
        <v>0.05</v>
      </c>
      <c r="G118" s="76">
        <f t="shared" si="90"/>
        <v>0</v>
      </c>
      <c r="H118" s="74">
        <f t="shared" si="90"/>
        <v>0</v>
      </c>
      <c r="I118" s="76">
        <f t="shared" si="90"/>
        <v>0</v>
      </c>
      <c r="J118" s="81">
        <f t="shared" si="90"/>
        <v>0.3</v>
      </c>
      <c r="K118" s="74">
        <f t="shared" si="90"/>
        <v>0.1</v>
      </c>
      <c r="L118" s="75">
        <f t="shared" si="90"/>
        <v>0.1</v>
      </c>
      <c r="M118" s="76">
        <f t="shared" si="90"/>
        <v>0.2</v>
      </c>
      <c r="N118" s="108" t="s">
        <v>83</v>
      </c>
    </row>
    <row r="119" spans="1:19" outlineLevel="1" x14ac:dyDescent="0.2">
      <c r="A119" s="20">
        <f t="shared" si="89"/>
        <v>3642</v>
      </c>
      <c r="B119" s="19" t="str">
        <f t="shared" si="89"/>
        <v>TSU</v>
      </c>
      <c r="C119" s="73">
        <f t="shared" si="86"/>
        <v>1</v>
      </c>
      <c r="D119" s="74">
        <f t="shared" si="90"/>
        <v>0</v>
      </c>
      <c r="E119" s="75">
        <f t="shared" si="90"/>
        <v>0.25</v>
      </c>
      <c r="F119" s="75">
        <f t="shared" si="90"/>
        <v>0.05</v>
      </c>
      <c r="G119" s="76">
        <f t="shared" si="90"/>
        <v>0</v>
      </c>
      <c r="H119" s="74">
        <f t="shared" si="90"/>
        <v>0</v>
      </c>
      <c r="I119" s="76">
        <f t="shared" si="90"/>
        <v>0</v>
      </c>
      <c r="J119" s="81">
        <f t="shared" si="90"/>
        <v>0.3</v>
      </c>
      <c r="K119" s="74">
        <f t="shared" si="90"/>
        <v>0.1</v>
      </c>
      <c r="L119" s="75">
        <f t="shared" si="90"/>
        <v>0.1</v>
      </c>
      <c r="M119" s="76">
        <f t="shared" si="90"/>
        <v>0.2</v>
      </c>
      <c r="N119" s="108" t="s">
        <v>81</v>
      </c>
    </row>
    <row r="120" spans="1:19" outlineLevel="1" x14ac:dyDescent="0.2">
      <c r="A120" s="20">
        <f t="shared" si="89"/>
        <v>3644</v>
      </c>
      <c r="B120" s="19" t="str">
        <f t="shared" si="89"/>
        <v>TTU</v>
      </c>
      <c r="C120" s="73">
        <f t="shared" si="86"/>
        <v>1</v>
      </c>
      <c r="D120" s="74">
        <f t="shared" ref="D120:M127" si="91">SUMIF($N$131:$N$135,$N120,D$131:D$135)</f>
        <v>0</v>
      </c>
      <c r="E120" s="75">
        <f t="shared" si="91"/>
        <v>0.25</v>
      </c>
      <c r="F120" s="75">
        <f t="shared" si="91"/>
        <v>0.05</v>
      </c>
      <c r="G120" s="76">
        <f t="shared" si="91"/>
        <v>0</v>
      </c>
      <c r="H120" s="74">
        <f t="shared" si="91"/>
        <v>0</v>
      </c>
      <c r="I120" s="76">
        <f t="shared" si="91"/>
        <v>0</v>
      </c>
      <c r="J120" s="81">
        <f t="shared" si="91"/>
        <v>0.3</v>
      </c>
      <c r="K120" s="74">
        <f t="shared" si="91"/>
        <v>0.1</v>
      </c>
      <c r="L120" s="75">
        <f t="shared" si="91"/>
        <v>0.1</v>
      </c>
      <c r="M120" s="76">
        <f t="shared" si="91"/>
        <v>0.2</v>
      </c>
      <c r="N120" s="108" t="s">
        <v>80</v>
      </c>
    </row>
    <row r="121" spans="1:19" outlineLevel="1" x14ac:dyDescent="0.2">
      <c r="A121" s="20">
        <f t="shared" si="89"/>
        <v>3541</v>
      </c>
      <c r="B121" s="19" t="str">
        <f t="shared" si="89"/>
        <v>Angelo</v>
      </c>
      <c r="C121" s="73">
        <f t="shared" si="86"/>
        <v>1</v>
      </c>
      <c r="D121" s="74">
        <f t="shared" si="91"/>
        <v>0</v>
      </c>
      <c r="E121" s="75">
        <f t="shared" si="91"/>
        <v>0.25</v>
      </c>
      <c r="F121" s="75">
        <f t="shared" si="91"/>
        <v>0.05</v>
      </c>
      <c r="G121" s="76">
        <f t="shared" si="91"/>
        <v>0</v>
      </c>
      <c r="H121" s="74">
        <f t="shared" si="91"/>
        <v>0</v>
      </c>
      <c r="I121" s="76">
        <f t="shared" si="91"/>
        <v>0</v>
      </c>
      <c r="J121" s="81">
        <f t="shared" si="91"/>
        <v>0.3</v>
      </c>
      <c r="K121" s="74">
        <f t="shared" si="91"/>
        <v>0.2</v>
      </c>
      <c r="L121" s="75">
        <f t="shared" si="91"/>
        <v>0.1</v>
      </c>
      <c r="M121" s="76">
        <f t="shared" si="91"/>
        <v>0.1</v>
      </c>
      <c r="N121" s="108" t="s">
        <v>82</v>
      </c>
    </row>
    <row r="122" spans="1:19" outlineLevel="1" x14ac:dyDescent="0.2">
      <c r="A122" s="20">
        <f t="shared" si="89"/>
        <v>3646</v>
      </c>
      <c r="B122" s="19" t="str">
        <f t="shared" si="89"/>
        <v>TWU</v>
      </c>
      <c r="C122" s="73">
        <f t="shared" si="86"/>
        <v>1</v>
      </c>
      <c r="D122" s="74">
        <f t="shared" si="91"/>
        <v>0</v>
      </c>
      <c r="E122" s="75">
        <f t="shared" si="91"/>
        <v>0.25</v>
      </c>
      <c r="F122" s="75">
        <f t="shared" si="91"/>
        <v>0.05</v>
      </c>
      <c r="G122" s="76">
        <f t="shared" si="91"/>
        <v>0</v>
      </c>
      <c r="H122" s="74">
        <f t="shared" si="91"/>
        <v>0</v>
      </c>
      <c r="I122" s="76">
        <f t="shared" si="91"/>
        <v>0</v>
      </c>
      <c r="J122" s="81">
        <f t="shared" si="91"/>
        <v>0.3</v>
      </c>
      <c r="K122" s="74">
        <f t="shared" si="91"/>
        <v>0.1</v>
      </c>
      <c r="L122" s="75">
        <f t="shared" si="91"/>
        <v>0.1</v>
      </c>
      <c r="M122" s="76">
        <f t="shared" si="91"/>
        <v>0.2</v>
      </c>
      <c r="N122" s="108" t="s">
        <v>81</v>
      </c>
    </row>
    <row r="123" spans="1:19" outlineLevel="1" x14ac:dyDescent="0.2">
      <c r="A123" s="20">
        <f t="shared" si="89"/>
        <v>3581</v>
      </c>
      <c r="B123" s="19" t="str">
        <f t="shared" si="89"/>
        <v>Lamar</v>
      </c>
      <c r="C123" s="73">
        <f t="shared" si="86"/>
        <v>1</v>
      </c>
      <c r="D123" s="74">
        <f t="shared" si="91"/>
        <v>0</v>
      </c>
      <c r="E123" s="75">
        <f t="shared" si="91"/>
        <v>0.25</v>
      </c>
      <c r="F123" s="75">
        <f t="shared" si="91"/>
        <v>0.05</v>
      </c>
      <c r="G123" s="76">
        <f t="shared" si="91"/>
        <v>0</v>
      </c>
      <c r="H123" s="74">
        <f t="shared" si="91"/>
        <v>0</v>
      </c>
      <c r="I123" s="76">
        <f t="shared" si="91"/>
        <v>0</v>
      </c>
      <c r="J123" s="81">
        <f t="shared" si="91"/>
        <v>0.3</v>
      </c>
      <c r="K123" s="74">
        <f t="shared" si="91"/>
        <v>0.1</v>
      </c>
      <c r="L123" s="75">
        <f t="shared" si="91"/>
        <v>0.1</v>
      </c>
      <c r="M123" s="76">
        <f t="shared" si="91"/>
        <v>0.2</v>
      </c>
      <c r="N123" s="108" t="s">
        <v>83</v>
      </c>
    </row>
    <row r="124" spans="1:19" outlineLevel="1" x14ac:dyDescent="0.2">
      <c r="A124" s="20">
        <f t="shared" si="89"/>
        <v>3606</v>
      </c>
      <c r="B124" s="19" t="str">
        <f t="shared" si="89"/>
        <v>SHSU</v>
      </c>
      <c r="C124" s="73">
        <f t="shared" si="86"/>
        <v>1</v>
      </c>
      <c r="D124" s="74">
        <f t="shared" si="91"/>
        <v>0</v>
      </c>
      <c r="E124" s="75">
        <f t="shared" si="91"/>
        <v>0.25</v>
      </c>
      <c r="F124" s="75">
        <f t="shared" si="91"/>
        <v>0.05</v>
      </c>
      <c r="G124" s="76">
        <f t="shared" si="91"/>
        <v>0</v>
      </c>
      <c r="H124" s="74">
        <f t="shared" si="91"/>
        <v>0</v>
      </c>
      <c r="I124" s="76">
        <f t="shared" si="91"/>
        <v>0</v>
      </c>
      <c r="J124" s="81">
        <f t="shared" si="91"/>
        <v>0.3</v>
      </c>
      <c r="K124" s="74">
        <f t="shared" si="91"/>
        <v>0.1</v>
      </c>
      <c r="L124" s="75">
        <f t="shared" si="91"/>
        <v>0.1</v>
      </c>
      <c r="M124" s="76">
        <f t="shared" si="91"/>
        <v>0.2</v>
      </c>
      <c r="N124" s="108" t="s">
        <v>81</v>
      </c>
    </row>
    <row r="125" spans="1:19" outlineLevel="1" x14ac:dyDescent="0.2">
      <c r="A125" s="20">
        <f t="shared" si="89"/>
        <v>3615</v>
      </c>
      <c r="B125" s="19" t="str">
        <f t="shared" si="89"/>
        <v>TXST</v>
      </c>
      <c r="C125" s="73">
        <f t="shared" si="86"/>
        <v>1</v>
      </c>
      <c r="D125" s="74">
        <f t="shared" si="91"/>
        <v>0</v>
      </c>
      <c r="E125" s="75">
        <f t="shared" si="91"/>
        <v>0.25</v>
      </c>
      <c r="F125" s="75">
        <f t="shared" si="91"/>
        <v>0.05</v>
      </c>
      <c r="G125" s="76">
        <f t="shared" si="91"/>
        <v>0</v>
      </c>
      <c r="H125" s="74">
        <f t="shared" si="91"/>
        <v>0</v>
      </c>
      <c r="I125" s="76">
        <f t="shared" si="91"/>
        <v>0</v>
      </c>
      <c r="J125" s="81">
        <f t="shared" si="91"/>
        <v>0.3</v>
      </c>
      <c r="K125" s="74">
        <f t="shared" si="91"/>
        <v>0.1</v>
      </c>
      <c r="L125" s="75">
        <f t="shared" si="91"/>
        <v>0.1</v>
      </c>
      <c r="M125" s="76">
        <f t="shared" si="91"/>
        <v>0.2</v>
      </c>
      <c r="N125" s="108" t="s">
        <v>80</v>
      </c>
    </row>
    <row r="126" spans="1:19" outlineLevel="1" x14ac:dyDescent="0.2">
      <c r="A126" s="20">
        <f t="shared" si="89"/>
        <v>3625</v>
      </c>
      <c r="B126" s="19" t="str">
        <f t="shared" si="89"/>
        <v>SRSU</v>
      </c>
      <c r="C126" s="73">
        <f t="shared" si="86"/>
        <v>1</v>
      </c>
      <c r="D126" s="74">
        <f t="shared" si="91"/>
        <v>0</v>
      </c>
      <c r="E126" s="75">
        <f t="shared" si="91"/>
        <v>0.25</v>
      </c>
      <c r="F126" s="75">
        <f t="shared" si="91"/>
        <v>0.05</v>
      </c>
      <c r="G126" s="76">
        <f t="shared" si="91"/>
        <v>0</v>
      </c>
      <c r="H126" s="74">
        <f t="shared" si="91"/>
        <v>0</v>
      </c>
      <c r="I126" s="76">
        <f t="shared" si="91"/>
        <v>0</v>
      </c>
      <c r="J126" s="81">
        <f t="shared" si="91"/>
        <v>0.3</v>
      </c>
      <c r="K126" s="74">
        <f t="shared" si="91"/>
        <v>0.2</v>
      </c>
      <c r="L126" s="75">
        <f t="shared" si="91"/>
        <v>0.1</v>
      </c>
      <c r="M126" s="76">
        <f t="shared" si="91"/>
        <v>0.1</v>
      </c>
      <c r="N126" s="108" t="s">
        <v>82</v>
      </c>
    </row>
    <row r="127" spans="1:19" ht="13.5" outlineLevel="1" thickBot="1" x14ac:dyDescent="0.25">
      <c r="A127" s="136">
        <f t="shared" si="89"/>
        <v>20</v>
      </c>
      <c r="B127" s="137" t="str">
        <f t="shared" si="89"/>
        <v>SRRG</v>
      </c>
      <c r="C127" s="173">
        <f t="shared" si="86"/>
        <v>1</v>
      </c>
      <c r="D127" s="174">
        <f t="shared" si="91"/>
        <v>0</v>
      </c>
      <c r="E127" s="175">
        <f t="shared" si="91"/>
        <v>0.25</v>
      </c>
      <c r="F127" s="175">
        <f t="shared" si="91"/>
        <v>0.05</v>
      </c>
      <c r="G127" s="176">
        <f t="shared" si="91"/>
        <v>0</v>
      </c>
      <c r="H127" s="174">
        <f t="shared" si="91"/>
        <v>0</v>
      </c>
      <c r="I127" s="176">
        <f t="shared" si="91"/>
        <v>0</v>
      </c>
      <c r="J127" s="177">
        <f t="shared" si="91"/>
        <v>0.3</v>
      </c>
      <c r="K127" s="174">
        <f t="shared" si="91"/>
        <v>0.2</v>
      </c>
      <c r="L127" s="175">
        <f t="shared" si="91"/>
        <v>0.1</v>
      </c>
      <c r="M127" s="176">
        <f t="shared" si="91"/>
        <v>0.1</v>
      </c>
      <c r="N127" s="170" t="s">
        <v>82</v>
      </c>
    </row>
    <row r="128" spans="1:19" ht="13.5" thickBot="1" x14ac:dyDescent="0.25">
      <c r="A128" s="86" t="s">
        <v>84</v>
      </c>
      <c r="B128" s="59"/>
      <c r="C128" s="84"/>
      <c r="D128" s="84"/>
      <c r="E128" s="84"/>
      <c r="F128" s="84"/>
      <c r="G128" s="84"/>
      <c r="H128" s="84"/>
      <c r="I128" s="84"/>
      <c r="J128" s="84"/>
      <c r="K128" s="84"/>
      <c r="L128" s="84"/>
      <c r="M128" s="84"/>
      <c r="N128" s="85"/>
    </row>
    <row r="129" spans="1:14" ht="12.75" customHeight="1" x14ac:dyDescent="0.2">
      <c r="A129" s="83"/>
      <c r="B129" s="59"/>
      <c r="C129" s="252" t="s">
        <v>77</v>
      </c>
      <c r="D129" s="247" t="s">
        <v>35</v>
      </c>
      <c r="E129" s="248"/>
      <c r="F129" s="248"/>
      <c r="G129" s="249"/>
      <c r="H129" s="250" t="s">
        <v>18</v>
      </c>
      <c r="I129" s="225" t="s">
        <v>17</v>
      </c>
      <c r="J129" s="227" t="s">
        <v>16</v>
      </c>
      <c r="K129" s="229" t="s">
        <v>34</v>
      </c>
      <c r="L129" s="230"/>
      <c r="M129" s="230"/>
      <c r="N129" s="232" t="s">
        <v>86</v>
      </c>
    </row>
    <row r="130" spans="1:14" ht="51" x14ac:dyDescent="0.2">
      <c r="A130" s="83"/>
      <c r="B130" s="59"/>
      <c r="C130" s="253"/>
      <c r="D130" s="192"/>
      <c r="E130" s="121" t="s">
        <v>33</v>
      </c>
      <c r="F130" s="121" t="s">
        <v>32</v>
      </c>
      <c r="G130" s="208" t="s">
        <v>31</v>
      </c>
      <c r="H130" s="251"/>
      <c r="I130" s="226"/>
      <c r="J130" s="228"/>
      <c r="K130" s="188" t="s">
        <v>14</v>
      </c>
      <c r="L130" s="189" t="s">
        <v>13</v>
      </c>
      <c r="M130" s="187" t="s">
        <v>12</v>
      </c>
      <c r="N130" s="233"/>
    </row>
    <row r="131" spans="1:14" x14ac:dyDescent="0.2">
      <c r="A131" s="83"/>
      <c r="B131" s="59"/>
      <c r="C131" s="194">
        <f>SUM(D131:M131)-I131</f>
        <v>1</v>
      </c>
      <c r="D131" s="195">
        <f t="shared" ref="D131:H135" si="92">HLOOKUP(D143,$D$149:$L$150,2,0)</f>
        <v>0</v>
      </c>
      <c r="E131" s="196">
        <f t="shared" si="92"/>
        <v>0.3</v>
      </c>
      <c r="F131" s="196">
        <f t="shared" si="92"/>
        <v>0.05</v>
      </c>
      <c r="G131" s="197">
        <f t="shared" si="92"/>
        <v>0</v>
      </c>
      <c r="H131" s="195">
        <f t="shared" si="92"/>
        <v>0</v>
      </c>
      <c r="I131" s="197">
        <f>H131</f>
        <v>0</v>
      </c>
      <c r="J131" s="195">
        <f t="shared" ref="J131:M135" si="93">HLOOKUP(J143,$D$149:$L$150,2,0)</f>
        <v>0.2</v>
      </c>
      <c r="K131" s="195">
        <f t="shared" si="93"/>
        <v>0.1</v>
      </c>
      <c r="L131" s="196">
        <f t="shared" si="93"/>
        <v>0.1</v>
      </c>
      <c r="M131" s="197">
        <f t="shared" si="93"/>
        <v>0.25</v>
      </c>
      <c r="N131" s="110" t="s">
        <v>79</v>
      </c>
    </row>
    <row r="132" spans="1:14" x14ac:dyDescent="0.2">
      <c r="A132" s="83"/>
      <c r="B132" s="59"/>
      <c r="C132" s="171">
        <f>SUM(D132:M132)-I132</f>
        <v>1</v>
      </c>
      <c r="D132" s="95">
        <f t="shared" si="92"/>
        <v>0</v>
      </c>
      <c r="E132" s="96">
        <f t="shared" si="92"/>
        <v>0.25</v>
      </c>
      <c r="F132" s="96">
        <f t="shared" si="92"/>
        <v>0.05</v>
      </c>
      <c r="G132" s="97">
        <f t="shared" si="92"/>
        <v>0</v>
      </c>
      <c r="H132" s="95">
        <f t="shared" si="92"/>
        <v>0</v>
      </c>
      <c r="I132" s="97">
        <f>H132</f>
        <v>0</v>
      </c>
      <c r="J132" s="95">
        <f t="shared" si="93"/>
        <v>0.3</v>
      </c>
      <c r="K132" s="95">
        <f t="shared" si="93"/>
        <v>0.1</v>
      </c>
      <c r="L132" s="96">
        <f t="shared" si="93"/>
        <v>0.1</v>
      </c>
      <c r="M132" s="97">
        <f t="shared" si="93"/>
        <v>0.2</v>
      </c>
      <c r="N132" s="108" t="s">
        <v>80</v>
      </c>
    </row>
    <row r="133" spans="1:14" x14ac:dyDescent="0.2">
      <c r="A133" s="83"/>
      <c r="B133" s="59"/>
      <c r="C133" s="171">
        <f>SUM(D133:M133)-I133</f>
        <v>1</v>
      </c>
      <c r="D133" s="95">
        <f t="shared" si="92"/>
        <v>0</v>
      </c>
      <c r="E133" s="96">
        <f t="shared" si="92"/>
        <v>0.25</v>
      </c>
      <c r="F133" s="96">
        <f t="shared" si="92"/>
        <v>0.05</v>
      </c>
      <c r="G133" s="97">
        <f t="shared" si="92"/>
        <v>0</v>
      </c>
      <c r="H133" s="95">
        <f t="shared" si="92"/>
        <v>0</v>
      </c>
      <c r="I133" s="97">
        <f>H133</f>
        <v>0</v>
      </c>
      <c r="J133" s="95">
        <f t="shared" si="93"/>
        <v>0.3</v>
      </c>
      <c r="K133" s="95">
        <f t="shared" si="93"/>
        <v>0.1</v>
      </c>
      <c r="L133" s="96">
        <f t="shared" si="93"/>
        <v>0.1</v>
      </c>
      <c r="M133" s="97">
        <f t="shared" si="93"/>
        <v>0.2</v>
      </c>
      <c r="N133" s="108" t="s">
        <v>81</v>
      </c>
    </row>
    <row r="134" spans="1:14" x14ac:dyDescent="0.2">
      <c r="A134" s="83"/>
      <c r="B134" s="59"/>
      <c r="C134" s="171">
        <f>SUM(D134:M134)-I134</f>
        <v>1</v>
      </c>
      <c r="D134" s="95">
        <f t="shared" si="92"/>
        <v>0</v>
      </c>
      <c r="E134" s="96">
        <f t="shared" si="92"/>
        <v>0.25</v>
      </c>
      <c r="F134" s="96">
        <f t="shared" si="92"/>
        <v>0.05</v>
      </c>
      <c r="G134" s="97">
        <f t="shared" si="92"/>
        <v>0</v>
      </c>
      <c r="H134" s="95">
        <f t="shared" si="92"/>
        <v>0</v>
      </c>
      <c r="I134" s="97">
        <f>H134</f>
        <v>0</v>
      </c>
      <c r="J134" s="95">
        <f t="shared" si="93"/>
        <v>0.3</v>
      </c>
      <c r="K134" s="95">
        <f t="shared" si="93"/>
        <v>0.1</v>
      </c>
      <c r="L134" s="96">
        <f t="shared" si="93"/>
        <v>0.1</v>
      </c>
      <c r="M134" s="97">
        <f t="shared" si="93"/>
        <v>0.2</v>
      </c>
      <c r="N134" s="108" t="s">
        <v>83</v>
      </c>
    </row>
    <row r="135" spans="1:14" ht="13.5" thickBot="1" x14ac:dyDescent="0.25">
      <c r="A135" s="83"/>
      <c r="B135" s="59"/>
      <c r="C135" s="172">
        <f>SUM(D135:M135)-I135</f>
        <v>1</v>
      </c>
      <c r="D135" s="145">
        <f t="shared" si="92"/>
        <v>0</v>
      </c>
      <c r="E135" s="146">
        <f t="shared" si="92"/>
        <v>0.25</v>
      </c>
      <c r="F135" s="146">
        <f t="shared" si="92"/>
        <v>0.05</v>
      </c>
      <c r="G135" s="168">
        <f t="shared" si="92"/>
        <v>0</v>
      </c>
      <c r="H135" s="145">
        <f t="shared" si="92"/>
        <v>0</v>
      </c>
      <c r="I135" s="168">
        <f>H135</f>
        <v>0</v>
      </c>
      <c r="J135" s="145">
        <f t="shared" si="93"/>
        <v>0.3</v>
      </c>
      <c r="K135" s="145">
        <f t="shared" si="93"/>
        <v>0.2</v>
      </c>
      <c r="L135" s="146">
        <f t="shared" si="93"/>
        <v>0.1</v>
      </c>
      <c r="M135" s="168">
        <f t="shared" si="93"/>
        <v>0.1</v>
      </c>
      <c r="N135" s="170" t="s">
        <v>82</v>
      </c>
    </row>
    <row r="136" spans="1:14" ht="13.5" thickBot="1" x14ac:dyDescent="0.25">
      <c r="A136" s="86" t="s">
        <v>88</v>
      </c>
      <c r="B136" s="59"/>
      <c r="C136" s="90"/>
      <c r="D136" s="91"/>
      <c r="E136" s="91"/>
      <c r="F136" s="91"/>
      <c r="G136" s="91"/>
      <c r="H136" s="91"/>
      <c r="I136" s="91"/>
      <c r="J136" s="91"/>
      <c r="K136" s="91"/>
      <c r="L136" s="91"/>
      <c r="M136" s="91"/>
      <c r="N136" s="85"/>
    </row>
    <row r="137" spans="1:14" x14ac:dyDescent="0.2">
      <c r="A137" s="83"/>
      <c r="B137" s="59"/>
      <c r="C137" s="90"/>
      <c r="D137" s="98">
        <f t="shared" ref="D137:G141" si="94">SUMIF($N$156:$N$193,$N137,D$156:D$193)/COUNTIF($N$156:$N$193,$N137)</f>
        <v>0</v>
      </c>
      <c r="E137" s="99">
        <f t="shared" si="94"/>
        <v>51672.798722222222</v>
      </c>
      <c r="F137" s="99">
        <f t="shared" si="94"/>
        <v>646.74473289959201</v>
      </c>
      <c r="G137" s="100">
        <f t="shared" si="94"/>
        <v>0</v>
      </c>
      <c r="H137" s="98">
        <f>(SUMIF($N$156:$N$193,$N137,H$156:H$193)+SUMIF($N$156:$N$193,$N137,I$156:I$193))/COUNTIF($N$156:$N$193,$N137)</f>
        <v>0</v>
      </c>
      <c r="I137" s="100"/>
      <c r="J137" s="101">
        <f t="shared" ref="J137:M141" si="95">SUMIF($N$156:$N$193,$N137,J$156:J$193)/COUNTIF($N$156:$N$193,$N137)</f>
        <v>28777.333333333336</v>
      </c>
      <c r="K137" s="98">
        <f t="shared" si="95"/>
        <v>16710.150000000001</v>
      </c>
      <c r="L137" s="99">
        <f t="shared" si="95"/>
        <v>22391.25</v>
      </c>
      <c r="M137" s="100">
        <f t="shared" si="95"/>
        <v>30663.600000000002</v>
      </c>
      <c r="N137" s="169" t="s">
        <v>79</v>
      </c>
    </row>
    <row r="138" spans="1:14" x14ac:dyDescent="0.2">
      <c r="A138" s="83"/>
      <c r="B138" s="59"/>
      <c r="C138" s="90"/>
      <c r="D138" s="102">
        <f t="shared" si="94"/>
        <v>0</v>
      </c>
      <c r="E138" s="103">
        <f t="shared" si="94"/>
        <v>17700.990319444441</v>
      </c>
      <c r="F138" s="103">
        <f t="shared" si="94"/>
        <v>597.89251975940249</v>
      </c>
      <c r="G138" s="104">
        <f t="shared" si="94"/>
        <v>0</v>
      </c>
      <c r="H138" s="102">
        <f>(SUMIF($N$156:$N$193,$N138,H$156:H$193)+SUMIF($N$156:$N$193,$N138,I$156:I$193))/COUNTIF($N$156:$N$193,$N138)</f>
        <v>0</v>
      </c>
      <c r="I138" s="104"/>
      <c r="J138" s="102">
        <f t="shared" si="95"/>
        <v>23669.999999999996</v>
      </c>
      <c r="K138" s="102">
        <f t="shared" si="95"/>
        <v>10783.595833333335</v>
      </c>
      <c r="L138" s="103">
        <f t="shared" si="95"/>
        <v>11242.083333333332</v>
      </c>
      <c r="M138" s="104">
        <f t="shared" si="95"/>
        <v>11706.2</v>
      </c>
      <c r="N138" s="108" t="s">
        <v>80</v>
      </c>
    </row>
    <row r="139" spans="1:14" x14ac:dyDescent="0.2">
      <c r="A139" s="83"/>
      <c r="B139" s="59"/>
      <c r="C139" s="90"/>
      <c r="D139" s="102">
        <f t="shared" si="94"/>
        <v>0</v>
      </c>
      <c r="E139" s="103">
        <f t="shared" si="94"/>
        <v>5566.6575555555555</v>
      </c>
      <c r="F139" s="103">
        <f t="shared" si="94"/>
        <v>546.0674238848984</v>
      </c>
      <c r="G139" s="104">
        <f t="shared" si="94"/>
        <v>0</v>
      </c>
      <c r="H139" s="102">
        <f>(SUMIF($N$156:$N$193,$N139,H$156:H$193)+SUMIF($N$156:$N$193,$N139,I$156:I$193))/COUNTIF($N$156:$N$193,$N139)</f>
        <v>0</v>
      </c>
      <c r="I139" s="104"/>
      <c r="J139" s="102">
        <f t="shared" si="95"/>
        <v>10529.142857142857</v>
      </c>
      <c r="K139" s="102">
        <f t="shared" si="95"/>
        <v>4123.0666666666666</v>
      </c>
      <c r="L139" s="103">
        <f t="shared" si="95"/>
        <v>4268.4523809523807</v>
      </c>
      <c r="M139" s="104">
        <f t="shared" si="95"/>
        <v>4463.0666666666675</v>
      </c>
      <c r="N139" s="108" t="s">
        <v>81</v>
      </c>
    </row>
    <row r="140" spans="1:14" x14ac:dyDescent="0.2">
      <c r="A140" s="83"/>
      <c r="B140" s="59"/>
      <c r="C140" s="90"/>
      <c r="D140" s="102">
        <f t="shared" si="94"/>
        <v>0</v>
      </c>
      <c r="E140" s="103">
        <f t="shared" si="94"/>
        <v>4181.1750555555554</v>
      </c>
      <c r="F140" s="103">
        <f t="shared" si="94"/>
        <v>506.29085605988416</v>
      </c>
      <c r="G140" s="104">
        <f t="shared" si="94"/>
        <v>0</v>
      </c>
      <c r="H140" s="102">
        <f>(SUMIF($N$156:$N$193,$N140,H$156:H$193)+SUMIF($N$156:$N$193,$N140,I$156:I$193))/COUNTIF($N$156:$N$193,$N140)</f>
        <v>0</v>
      </c>
      <c r="I140" s="104"/>
      <c r="J140" s="102">
        <f t="shared" si="95"/>
        <v>8011.5555555555557</v>
      </c>
      <c r="K140" s="102">
        <f t="shared" si="95"/>
        <v>3381.4888888888891</v>
      </c>
      <c r="L140" s="103">
        <f t="shared" si="95"/>
        <v>3459.1666666666665</v>
      </c>
      <c r="M140" s="104">
        <f t="shared" si="95"/>
        <v>3894.9777777777781</v>
      </c>
      <c r="N140" s="108" t="s">
        <v>83</v>
      </c>
    </row>
    <row r="141" spans="1:14" ht="13.5" thickBot="1" x14ac:dyDescent="0.25">
      <c r="A141" s="83"/>
      <c r="B141" s="59"/>
      <c r="C141" s="90"/>
      <c r="D141" s="139">
        <f t="shared" si="94"/>
        <v>0</v>
      </c>
      <c r="E141" s="140">
        <f t="shared" si="94"/>
        <v>2281.0312001495613</v>
      </c>
      <c r="F141" s="140">
        <f t="shared" si="94"/>
        <v>833.32695681772793</v>
      </c>
      <c r="G141" s="141">
        <f t="shared" si="94"/>
        <v>0</v>
      </c>
      <c r="H141" s="139">
        <f>(SUMIF($N$156:$N$193,$N141,H$156:H$193)+SUMIF($N$156:$N$193,$N141,I$156:I$193))/COUNTIF($N$156:$N$193,$N141)</f>
        <v>0</v>
      </c>
      <c r="I141" s="141"/>
      <c r="J141" s="139">
        <f t="shared" si="95"/>
        <v>4458.9333333333334</v>
      </c>
      <c r="K141" s="139">
        <f t="shared" si="95"/>
        <v>1688.1377777777775</v>
      </c>
      <c r="L141" s="140">
        <f t="shared" si="95"/>
        <v>1367.1944444444446</v>
      </c>
      <c r="M141" s="141">
        <f t="shared" si="95"/>
        <v>929.37777777777796</v>
      </c>
      <c r="N141" s="170" t="s">
        <v>82</v>
      </c>
    </row>
    <row r="142" spans="1:14" ht="13.5" thickBot="1" x14ac:dyDescent="0.25">
      <c r="A142" s="86" t="s">
        <v>89</v>
      </c>
      <c r="B142" s="59"/>
      <c r="C142" s="90"/>
      <c r="D142" s="111"/>
      <c r="E142" s="111"/>
      <c r="F142" s="111"/>
      <c r="G142" s="111"/>
      <c r="H142" s="111"/>
      <c r="I142" s="111"/>
      <c r="J142" s="111"/>
      <c r="K142" s="111"/>
      <c r="L142" s="111"/>
      <c r="M142" s="111"/>
      <c r="N142" s="85"/>
    </row>
    <row r="143" spans="1:14" x14ac:dyDescent="0.2">
      <c r="A143" s="83"/>
      <c r="B143" s="59"/>
      <c r="C143" s="90"/>
      <c r="D143" s="98">
        <f t="shared" ref="D143:H147" si="96">RANK(D137,$D137:$M137)</f>
        <v>7</v>
      </c>
      <c r="E143" s="99">
        <f t="shared" si="96"/>
        <v>1</v>
      </c>
      <c r="F143" s="99">
        <f t="shared" si="96"/>
        <v>6</v>
      </c>
      <c r="G143" s="100">
        <f t="shared" si="96"/>
        <v>7</v>
      </c>
      <c r="H143" s="98">
        <f t="shared" si="96"/>
        <v>7</v>
      </c>
      <c r="I143" s="100"/>
      <c r="J143" s="101">
        <f t="shared" ref="J143:M147" si="97">RANK(J137,$D137:$M137)</f>
        <v>3</v>
      </c>
      <c r="K143" s="98">
        <f t="shared" si="97"/>
        <v>5</v>
      </c>
      <c r="L143" s="99">
        <f t="shared" si="97"/>
        <v>4</v>
      </c>
      <c r="M143" s="100">
        <f t="shared" si="97"/>
        <v>2</v>
      </c>
      <c r="N143" s="169" t="s">
        <v>79</v>
      </c>
    </row>
    <row r="144" spans="1:14" x14ac:dyDescent="0.2">
      <c r="A144" s="83"/>
      <c r="B144" s="59"/>
      <c r="C144" s="90"/>
      <c r="D144" s="102">
        <f t="shared" si="96"/>
        <v>7</v>
      </c>
      <c r="E144" s="103">
        <f t="shared" si="96"/>
        <v>2</v>
      </c>
      <c r="F144" s="103">
        <f t="shared" si="96"/>
        <v>6</v>
      </c>
      <c r="G144" s="104">
        <f t="shared" si="96"/>
        <v>7</v>
      </c>
      <c r="H144" s="102">
        <f t="shared" si="96"/>
        <v>7</v>
      </c>
      <c r="I144" s="104"/>
      <c r="J144" s="102">
        <f t="shared" si="97"/>
        <v>1</v>
      </c>
      <c r="K144" s="102">
        <f t="shared" si="97"/>
        <v>5</v>
      </c>
      <c r="L144" s="103">
        <f t="shared" si="97"/>
        <v>4</v>
      </c>
      <c r="M144" s="104">
        <f t="shared" si="97"/>
        <v>3</v>
      </c>
      <c r="N144" s="108" t="s">
        <v>80</v>
      </c>
    </row>
    <row r="145" spans="1:14" x14ac:dyDescent="0.2">
      <c r="A145" s="83"/>
      <c r="B145" s="59"/>
      <c r="C145" s="90"/>
      <c r="D145" s="102">
        <f t="shared" si="96"/>
        <v>7</v>
      </c>
      <c r="E145" s="103">
        <f t="shared" si="96"/>
        <v>2</v>
      </c>
      <c r="F145" s="103">
        <f t="shared" si="96"/>
        <v>6</v>
      </c>
      <c r="G145" s="104">
        <f t="shared" si="96"/>
        <v>7</v>
      </c>
      <c r="H145" s="102">
        <f t="shared" si="96"/>
        <v>7</v>
      </c>
      <c r="I145" s="104"/>
      <c r="J145" s="102">
        <f t="shared" si="97"/>
        <v>1</v>
      </c>
      <c r="K145" s="102">
        <f t="shared" si="97"/>
        <v>5</v>
      </c>
      <c r="L145" s="103">
        <f t="shared" si="97"/>
        <v>4</v>
      </c>
      <c r="M145" s="104">
        <f t="shared" si="97"/>
        <v>3</v>
      </c>
      <c r="N145" s="108" t="s">
        <v>81</v>
      </c>
    </row>
    <row r="146" spans="1:14" x14ac:dyDescent="0.2">
      <c r="A146" s="83"/>
      <c r="B146" s="59"/>
      <c r="C146" s="90"/>
      <c r="D146" s="102">
        <f t="shared" si="96"/>
        <v>7</v>
      </c>
      <c r="E146" s="103">
        <f t="shared" si="96"/>
        <v>2</v>
      </c>
      <c r="F146" s="103">
        <f t="shared" si="96"/>
        <v>6</v>
      </c>
      <c r="G146" s="104">
        <f t="shared" si="96"/>
        <v>7</v>
      </c>
      <c r="H146" s="102">
        <f t="shared" si="96"/>
        <v>7</v>
      </c>
      <c r="I146" s="104"/>
      <c r="J146" s="102">
        <f t="shared" si="97"/>
        <v>1</v>
      </c>
      <c r="K146" s="102">
        <f t="shared" si="97"/>
        <v>5</v>
      </c>
      <c r="L146" s="103">
        <f t="shared" si="97"/>
        <v>4</v>
      </c>
      <c r="M146" s="104">
        <f t="shared" si="97"/>
        <v>3</v>
      </c>
      <c r="N146" s="108" t="s">
        <v>83</v>
      </c>
    </row>
    <row r="147" spans="1:14" ht="13.5" thickBot="1" x14ac:dyDescent="0.25">
      <c r="A147" s="83"/>
      <c r="B147" s="59"/>
      <c r="C147" s="90"/>
      <c r="D147" s="139">
        <f t="shared" si="96"/>
        <v>7</v>
      </c>
      <c r="E147" s="140">
        <f t="shared" si="96"/>
        <v>2</v>
      </c>
      <c r="F147" s="140">
        <f t="shared" si="96"/>
        <v>6</v>
      </c>
      <c r="G147" s="141">
        <f t="shared" si="96"/>
        <v>7</v>
      </c>
      <c r="H147" s="139">
        <f t="shared" si="96"/>
        <v>7</v>
      </c>
      <c r="I147" s="141"/>
      <c r="J147" s="139">
        <f t="shared" si="97"/>
        <v>1</v>
      </c>
      <c r="K147" s="139">
        <f t="shared" si="97"/>
        <v>3</v>
      </c>
      <c r="L147" s="140">
        <f t="shared" si="97"/>
        <v>4</v>
      </c>
      <c r="M147" s="141">
        <f t="shared" si="97"/>
        <v>5</v>
      </c>
      <c r="N147" s="170" t="s">
        <v>82</v>
      </c>
    </row>
    <row r="148" spans="1:14" ht="13.5" thickBot="1" x14ac:dyDescent="0.25">
      <c r="A148" s="86" t="s">
        <v>90</v>
      </c>
      <c r="B148" s="59"/>
      <c r="C148" s="90"/>
      <c r="D148" s="91"/>
      <c r="E148" s="91"/>
      <c r="F148" s="91"/>
      <c r="G148" s="91"/>
      <c r="H148" s="91"/>
      <c r="I148" s="91"/>
      <c r="J148" s="91"/>
      <c r="K148" s="91"/>
      <c r="L148" s="91"/>
      <c r="M148" s="91"/>
      <c r="N148" s="85"/>
    </row>
    <row r="149" spans="1:14" x14ac:dyDescent="0.2">
      <c r="A149" s="83"/>
      <c r="B149" s="59"/>
      <c r="D149" s="113">
        <v>1</v>
      </c>
      <c r="E149" s="114">
        <v>2</v>
      </c>
      <c r="F149" s="114">
        <v>3</v>
      </c>
      <c r="G149" s="114">
        <v>4</v>
      </c>
      <c r="H149" s="114">
        <v>5</v>
      </c>
      <c r="I149" s="114">
        <v>6</v>
      </c>
      <c r="J149" s="114">
        <v>7</v>
      </c>
      <c r="K149" s="114">
        <v>8</v>
      </c>
      <c r="L149" s="114">
        <v>9</v>
      </c>
      <c r="M149" s="115" t="s">
        <v>11</v>
      </c>
    </row>
    <row r="150" spans="1:14" ht="13.5" thickBot="1" x14ac:dyDescent="0.25">
      <c r="A150" s="83"/>
      <c r="B150" s="59"/>
      <c r="D150" s="178">
        <v>0.3</v>
      </c>
      <c r="E150" s="179">
        <v>0.25</v>
      </c>
      <c r="F150" s="180">
        <v>0.2</v>
      </c>
      <c r="G150" s="181">
        <v>0.1</v>
      </c>
      <c r="H150" s="144">
        <v>0.1</v>
      </c>
      <c r="I150" s="182">
        <v>0.05</v>
      </c>
      <c r="J150" s="183">
        <v>0</v>
      </c>
      <c r="K150" s="185">
        <v>0</v>
      </c>
      <c r="L150" s="184">
        <v>0</v>
      </c>
      <c r="M150" s="112">
        <f>SUM(D150:L150)</f>
        <v>1</v>
      </c>
    </row>
    <row r="151" spans="1:14" x14ac:dyDescent="0.2">
      <c r="A151" s="83"/>
      <c r="B151" s="59"/>
      <c r="C151" s="90"/>
      <c r="D151" s="91"/>
      <c r="E151" s="91"/>
      <c r="F151" s="91"/>
      <c r="G151" s="91"/>
      <c r="H151" s="91"/>
      <c r="I151" s="91"/>
      <c r="J151" s="91"/>
      <c r="K151" s="91"/>
      <c r="L151" s="91"/>
      <c r="M151" s="91"/>
      <c r="N151" s="85"/>
    </row>
    <row r="152" spans="1:14" ht="13.5" thickBot="1" x14ac:dyDescent="0.25">
      <c r="A152" s="57" t="s">
        <v>75</v>
      </c>
    </row>
    <row r="153" spans="1:14" ht="12.75" customHeight="1" outlineLevel="1" x14ac:dyDescent="0.2">
      <c r="A153" s="234" t="s">
        <v>24</v>
      </c>
      <c r="B153" s="236" t="s">
        <v>23</v>
      </c>
      <c r="C153" s="238" t="s">
        <v>36</v>
      </c>
      <c r="D153" s="247" t="s">
        <v>35</v>
      </c>
      <c r="E153" s="248"/>
      <c r="F153" s="248"/>
      <c r="G153" s="249"/>
      <c r="H153" s="250" t="s">
        <v>18</v>
      </c>
      <c r="I153" s="225" t="s">
        <v>17</v>
      </c>
      <c r="J153" s="227" t="s">
        <v>16</v>
      </c>
      <c r="K153" s="229" t="s">
        <v>34</v>
      </c>
      <c r="L153" s="230"/>
      <c r="M153" s="230"/>
      <c r="N153" s="232" t="s">
        <v>86</v>
      </c>
    </row>
    <row r="154" spans="1:14" ht="51" outlineLevel="1" x14ac:dyDescent="0.2">
      <c r="A154" s="235"/>
      <c r="B154" s="237"/>
      <c r="C154" s="239"/>
      <c r="D154" s="192"/>
      <c r="E154" s="121" t="s">
        <v>33</v>
      </c>
      <c r="F154" s="121" t="s">
        <v>32</v>
      </c>
      <c r="G154" s="208" t="s">
        <v>31</v>
      </c>
      <c r="H154" s="251"/>
      <c r="I154" s="226"/>
      <c r="J154" s="228"/>
      <c r="K154" s="188" t="s">
        <v>14</v>
      </c>
      <c r="L154" s="189" t="s">
        <v>13</v>
      </c>
      <c r="M154" s="187" t="s">
        <v>12</v>
      </c>
      <c r="N154" s="233"/>
    </row>
    <row r="155" spans="1:14" outlineLevel="1" x14ac:dyDescent="0.2">
      <c r="A155" s="244" t="s">
        <v>78</v>
      </c>
      <c r="B155" s="245"/>
      <c r="C155" s="246"/>
      <c r="D155" s="132">
        <v>0</v>
      </c>
      <c r="E155" s="198">
        <v>7</v>
      </c>
      <c r="F155" s="198">
        <v>25</v>
      </c>
      <c r="G155" s="133">
        <v>0</v>
      </c>
      <c r="H155" s="132">
        <v>0</v>
      </c>
      <c r="I155" s="133">
        <v>0</v>
      </c>
      <c r="J155" s="134">
        <v>8</v>
      </c>
      <c r="K155" s="132">
        <v>1.7</v>
      </c>
      <c r="L155" s="198">
        <v>2.5</v>
      </c>
      <c r="M155" s="199">
        <v>4.4000000000000004</v>
      </c>
      <c r="N155" s="200"/>
    </row>
    <row r="156" spans="1:14" outlineLevel="1" x14ac:dyDescent="0.2">
      <c r="A156" s="20">
        <f t="shared" ref="A156:B175" si="98">A5</f>
        <v>3656</v>
      </c>
      <c r="B156" s="19" t="str">
        <f t="shared" si="98"/>
        <v>UTA</v>
      </c>
      <c r="C156" s="55">
        <f t="shared" ref="C156:C193" si="99">SUM(D156:M156)</f>
        <v>72929.138040284539</v>
      </c>
      <c r="D156" s="15">
        <f t="shared" ref="D156:M156" si="100">D198*D$155</f>
        <v>0</v>
      </c>
      <c r="E156" s="14">
        <f t="shared" si="100"/>
        <v>18206.976666666669</v>
      </c>
      <c r="F156" s="14">
        <f t="shared" si="100"/>
        <v>740.09470695120706</v>
      </c>
      <c r="G156" s="13">
        <f t="shared" si="100"/>
        <v>0</v>
      </c>
      <c r="H156" s="36">
        <f t="shared" si="100"/>
        <v>0</v>
      </c>
      <c r="I156" s="35">
        <f t="shared" si="100"/>
        <v>0</v>
      </c>
      <c r="J156" s="34">
        <f t="shared" si="100"/>
        <v>24928</v>
      </c>
      <c r="K156" s="36">
        <f t="shared" si="100"/>
        <v>11621.766666666666</v>
      </c>
      <c r="L156" s="56">
        <f t="shared" si="100"/>
        <v>9584.1666666666661</v>
      </c>
      <c r="M156" s="105">
        <f t="shared" si="100"/>
        <v>7848.1333333333341</v>
      </c>
      <c r="N156" s="110" t="s">
        <v>80</v>
      </c>
    </row>
    <row r="157" spans="1:14" outlineLevel="1" x14ac:dyDescent="0.2">
      <c r="A157" s="20">
        <f t="shared" si="98"/>
        <v>3658</v>
      </c>
      <c r="B157" s="19" t="str">
        <f t="shared" si="98"/>
        <v>UT</v>
      </c>
      <c r="C157" s="55">
        <f t="shared" si="99"/>
        <v>150149.48130152814</v>
      </c>
      <c r="D157" s="15">
        <f t="shared" ref="D157:M157" si="101">D199*D$155</f>
        <v>0</v>
      </c>
      <c r="E157" s="14">
        <f t="shared" si="101"/>
        <v>51915.572333333344</v>
      </c>
      <c r="F157" s="14">
        <f t="shared" si="101"/>
        <v>662.4423015281169</v>
      </c>
      <c r="G157" s="13">
        <f t="shared" si="101"/>
        <v>0</v>
      </c>
      <c r="H157" s="15">
        <f t="shared" si="101"/>
        <v>0</v>
      </c>
      <c r="I157" s="13">
        <f t="shared" si="101"/>
        <v>0</v>
      </c>
      <c r="J157" s="16">
        <f t="shared" si="101"/>
        <v>27762.666666666668</v>
      </c>
      <c r="K157" s="15">
        <f t="shared" si="101"/>
        <v>16317.166666666668</v>
      </c>
      <c r="L157" s="14">
        <f t="shared" si="101"/>
        <v>22514.166666666664</v>
      </c>
      <c r="M157" s="106">
        <f t="shared" si="101"/>
        <v>30977.466666666667</v>
      </c>
      <c r="N157" s="108" t="s">
        <v>79</v>
      </c>
    </row>
    <row r="158" spans="1:14" outlineLevel="1" x14ac:dyDescent="0.2">
      <c r="A158" s="20">
        <f t="shared" si="98"/>
        <v>9741</v>
      </c>
      <c r="B158" s="19" t="str">
        <f t="shared" si="98"/>
        <v>UTD</v>
      </c>
      <c r="C158" s="55">
        <f t="shared" si="99"/>
        <v>38469.230346249293</v>
      </c>
      <c r="D158" s="15">
        <f t="shared" ref="D158:M158" si="102">D200*D$155</f>
        <v>0</v>
      </c>
      <c r="E158" s="14">
        <f t="shared" si="102"/>
        <v>11775.953</v>
      </c>
      <c r="F158" s="14">
        <f t="shared" si="102"/>
        <v>670.74401291595666</v>
      </c>
      <c r="G158" s="13">
        <f t="shared" si="102"/>
        <v>0</v>
      </c>
      <c r="H158" s="15">
        <f t="shared" si="102"/>
        <v>0</v>
      </c>
      <c r="I158" s="13">
        <f t="shared" si="102"/>
        <v>0</v>
      </c>
      <c r="J158" s="16">
        <f t="shared" si="102"/>
        <v>10557.333333333334</v>
      </c>
      <c r="K158" s="15">
        <f t="shared" si="102"/>
        <v>5635.5</v>
      </c>
      <c r="L158" s="14">
        <f t="shared" si="102"/>
        <v>5335.8333333333339</v>
      </c>
      <c r="M158" s="106">
        <f t="shared" si="102"/>
        <v>4493.8666666666668</v>
      </c>
      <c r="N158" s="108" t="s">
        <v>80</v>
      </c>
    </row>
    <row r="159" spans="1:14" outlineLevel="1" x14ac:dyDescent="0.2">
      <c r="A159" s="20">
        <f t="shared" si="98"/>
        <v>3661</v>
      </c>
      <c r="B159" s="19" t="str">
        <f t="shared" si="98"/>
        <v>UTEP</v>
      </c>
      <c r="C159" s="55">
        <f t="shared" si="99"/>
        <v>53049.982363400588</v>
      </c>
      <c r="D159" s="15">
        <f t="shared" ref="D159:M159" si="103">D201*D$155</f>
        <v>0</v>
      </c>
      <c r="E159" s="14">
        <f t="shared" si="103"/>
        <v>8345.6099999999988</v>
      </c>
      <c r="F159" s="14">
        <f t="shared" si="103"/>
        <v>571.77236340058357</v>
      </c>
      <c r="G159" s="13">
        <f t="shared" si="103"/>
        <v>0</v>
      </c>
      <c r="H159" s="15">
        <f t="shared" si="103"/>
        <v>0</v>
      </c>
      <c r="I159" s="13">
        <f t="shared" si="103"/>
        <v>0</v>
      </c>
      <c r="J159" s="16">
        <f t="shared" si="103"/>
        <v>19714.666666666668</v>
      </c>
      <c r="K159" s="15">
        <f t="shared" si="103"/>
        <v>7416.5333333333338</v>
      </c>
      <c r="L159" s="14">
        <f t="shared" si="103"/>
        <v>8395</v>
      </c>
      <c r="M159" s="106">
        <f t="shared" si="103"/>
        <v>8606.4000000000015</v>
      </c>
      <c r="N159" s="108" t="s">
        <v>80</v>
      </c>
    </row>
    <row r="160" spans="1:14" outlineLevel="1" x14ac:dyDescent="0.2">
      <c r="A160" s="20">
        <f t="shared" si="98"/>
        <v>3599</v>
      </c>
      <c r="B160" s="19" t="str">
        <f t="shared" si="98"/>
        <v>UTPA</v>
      </c>
      <c r="C160" s="55">
        <f t="shared" si="99"/>
        <v>50203.972262487448</v>
      </c>
      <c r="D160" s="15">
        <f t="shared" ref="D160:M160" si="104">D202*D$155</f>
        <v>0</v>
      </c>
      <c r="E160" s="14">
        <f t="shared" si="104"/>
        <v>7783.8600000000006</v>
      </c>
      <c r="F160" s="14">
        <f t="shared" si="104"/>
        <v>512.31226248744588</v>
      </c>
      <c r="G160" s="13">
        <f t="shared" si="104"/>
        <v>0</v>
      </c>
      <c r="H160" s="15">
        <f t="shared" si="104"/>
        <v>0</v>
      </c>
      <c r="I160" s="13">
        <f t="shared" si="104"/>
        <v>0</v>
      </c>
      <c r="J160" s="16">
        <f t="shared" si="104"/>
        <v>18706.666666666668</v>
      </c>
      <c r="K160" s="15">
        <f t="shared" si="104"/>
        <v>6928.0666666666666</v>
      </c>
      <c r="L160" s="14">
        <f t="shared" si="104"/>
        <v>7740</v>
      </c>
      <c r="M160" s="106">
        <f t="shared" si="104"/>
        <v>8533.0666666666675</v>
      </c>
      <c r="N160" s="108" t="s">
        <v>81</v>
      </c>
    </row>
    <row r="161" spans="1:14" outlineLevel="1" x14ac:dyDescent="0.2">
      <c r="A161" s="20">
        <f t="shared" si="98"/>
        <v>30646</v>
      </c>
      <c r="B161" s="19" t="str">
        <f t="shared" si="98"/>
        <v>UTB</v>
      </c>
      <c r="C161" s="55">
        <f t="shared" si="99"/>
        <v>16840.594047476221</v>
      </c>
      <c r="D161" s="15">
        <f t="shared" ref="D161:M161" si="105">D203*D$155</f>
        <v>0</v>
      </c>
      <c r="E161" s="14">
        <f t="shared" si="105"/>
        <v>4397.1964715911399</v>
      </c>
      <c r="F161" s="14">
        <f t="shared" si="105"/>
        <v>861.53090921841567</v>
      </c>
      <c r="G161" s="13">
        <f t="shared" si="105"/>
        <v>0</v>
      </c>
      <c r="H161" s="15">
        <f t="shared" si="105"/>
        <v>0</v>
      </c>
      <c r="I161" s="13">
        <f t="shared" si="105"/>
        <v>0</v>
      </c>
      <c r="J161" s="16">
        <f t="shared" si="105"/>
        <v>7493.333333333333</v>
      </c>
      <c r="K161" s="15">
        <f t="shared" si="105"/>
        <v>2254.7666666666664</v>
      </c>
      <c r="L161" s="14">
        <f t="shared" si="105"/>
        <v>1390.8333333333335</v>
      </c>
      <c r="M161" s="106">
        <f t="shared" si="105"/>
        <v>442.93333333333339</v>
      </c>
      <c r="N161" s="108" t="s">
        <v>82</v>
      </c>
    </row>
    <row r="162" spans="1:14" outlineLevel="1" x14ac:dyDescent="0.2">
      <c r="A162" s="20">
        <f t="shared" si="98"/>
        <v>9930</v>
      </c>
      <c r="B162" s="19" t="str">
        <f t="shared" si="98"/>
        <v>UTPB</v>
      </c>
      <c r="C162" s="55">
        <f t="shared" si="99"/>
        <v>8847.5960327478169</v>
      </c>
      <c r="D162" s="15">
        <f t="shared" ref="D162:M162" si="106">D204*D$155</f>
        <v>0</v>
      </c>
      <c r="E162" s="14">
        <f t="shared" si="106"/>
        <v>1657.6000000000001</v>
      </c>
      <c r="F162" s="14">
        <f t="shared" si="106"/>
        <v>578.12936608115024</v>
      </c>
      <c r="G162" s="13">
        <f t="shared" si="106"/>
        <v>0</v>
      </c>
      <c r="H162" s="15">
        <f t="shared" si="106"/>
        <v>0</v>
      </c>
      <c r="I162" s="13">
        <f t="shared" si="106"/>
        <v>0</v>
      </c>
      <c r="J162" s="16">
        <f t="shared" si="106"/>
        <v>3192</v>
      </c>
      <c r="K162" s="15">
        <f t="shared" si="106"/>
        <v>1335.6333333333332</v>
      </c>
      <c r="L162" s="14">
        <f t="shared" si="106"/>
        <v>1229.1666666666667</v>
      </c>
      <c r="M162" s="106">
        <f t="shared" si="106"/>
        <v>855.06666666666683</v>
      </c>
      <c r="N162" s="108" t="s">
        <v>82</v>
      </c>
    </row>
    <row r="163" spans="1:14" outlineLevel="1" x14ac:dyDescent="0.2">
      <c r="A163" s="20">
        <f t="shared" si="98"/>
        <v>10115</v>
      </c>
      <c r="B163" s="19" t="str">
        <f t="shared" si="98"/>
        <v>UTSA</v>
      </c>
      <c r="C163" s="55">
        <f t="shared" si="99"/>
        <v>71887.275296978652</v>
      </c>
      <c r="D163" s="15">
        <f t="shared" ref="D163:M163" si="107">D205*D$155</f>
        <v>0</v>
      </c>
      <c r="E163" s="14">
        <f t="shared" si="107"/>
        <v>12159.882777777779</v>
      </c>
      <c r="F163" s="14">
        <f t="shared" si="107"/>
        <v>506.02585253421006</v>
      </c>
      <c r="G163" s="13">
        <f t="shared" si="107"/>
        <v>0</v>
      </c>
      <c r="H163" s="15">
        <f t="shared" si="107"/>
        <v>0</v>
      </c>
      <c r="I163" s="13">
        <f t="shared" si="107"/>
        <v>0</v>
      </c>
      <c r="J163" s="16">
        <f t="shared" si="107"/>
        <v>24989.333333333332</v>
      </c>
      <c r="K163" s="15">
        <f t="shared" si="107"/>
        <v>11576.433333333334</v>
      </c>
      <c r="L163" s="14">
        <f t="shared" si="107"/>
        <v>11146.666666666668</v>
      </c>
      <c r="M163" s="106">
        <f t="shared" si="107"/>
        <v>11508.933333333334</v>
      </c>
      <c r="N163" s="108" t="s">
        <v>80</v>
      </c>
    </row>
    <row r="164" spans="1:14" outlineLevel="1" x14ac:dyDescent="0.2">
      <c r="A164" s="20">
        <f t="shared" si="98"/>
        <v>11163</v>
      </c>
      <c r="B164" s="19" t="str">
        <f t="shared" si="98"/>
        <v>UTT</v>
      </c>
      <c r="C164" s="55">
        <f t="shared" si="99"/>
        <v>18936.596846262131</v>
      </c>
      <c r="D164" s="15">
        <f t="shared" ref="D164:M164" si="108">D206*D$155</f>
        <v>0</v>
      </c>
      <c r="E164" s="14">
        <f t="shared" si="108"/>
        <v>4295.503333333334</v>
      </c>
      <c r="F164" s="14">
        <f t="shared" si="108"/>
        <v>731.39351292879735</v>
      </c>
      <c r="G164" s="13">
        <f t="shared" si="108"/>
        <v>0</v>
      </c>
      <c r="H164" s="15">
        <f t="shared" si="108"/>
        <v>0</v>
      </c>
      <c r="I164" s="13">
        <f t="shared" si="108"/>
        <v>0</v>
      </c>
      <c r="J164" s="16">
        <f t="shared" si="108"/>
        <v>7538.666666666667</v>
      </c>
      <c r="K164" s="15">
        <f t="shared" si="108"/>
        <v>2441.7666666666664</v>
      </c>
      <c r="L164" s="14">
        <f t="shared" si="108"/>
        <v>2225</v>
      </c>
      <c r="M164" s="106">
        <f t="shared" si="108"/>
        <v>1704.2666666666667</v>
      </c>
      <c r="N164" s="108" t="s">
        <v>82</v>
      </c>
    </row>
    <row r="165" spans="1:14" outlineLevel="1" x14ac:dyDescent="0.2">
      <c r="A165" s="20">
        <f t="shared" si="98"/>
        <v>3632</v>
      </c>
      <c r="B165" s="19" t="str">
        <f t="shared" si="98"/>
        <v>TAMU</v>
      </c>
      <c r="C165" s="55">
        <f t="shared" si="99"/>
        <v>151574.27227538219</v>
      </c>
      <c r="D165" s="15">
        <f t="shared" ref="D165:M165" si="109">D207*D$155</f>
        <v>0</v>
      </c>
      <c r="E165" s="14">
        <f t="shared" si="109"/>
        <v>51430.025111111099</v>
      </c>
      <c r="F165" s="14">
        <f t="shared" si="109"/>
        <v>631.047164271067</v>
      </c>
      <c r="G165" s="13">
        <f t="shared" si="109"/>
        <v>0</v>
      </c>
      <c r="H165" s="15">
        <f t="shared" si="109"/>
        <v>0</v>
      </c>
      <c r="I165" s="13">
        <f t="shared" si="109"/>
        <v>0</v>
      </c>
      <c r="J165" s="16">
        <f t="shared" si="109"/>
        <v>29792</v>
      </c>
      <c r="K165" s="15">
        <f t="shared" si="109"/>
        <v>17103.133333333331</v>
      </c>
      <c r="L165" s="14">
        <f t="shared" si="109"/>
        <v>22268.333333333336</v>
      </c>
      <c r="M165" s="106">
        <f t="shared" si="109"/>
        <v>30349.733333333337</v>
      </c>
      <c r="N165" s="108" t="s">
        <v>79</v>
      </c>
    </row>
    <row r="166" spans="1:14" outlineLevel="1" x14ac:dyDescent="0.2">
      <c r="A166" s="20">
        <f t="shared" si="98"/>
        <v>10298</v>
      </c>
      <c r="B166" s="19" t="str">
        <f t="shared" si="98"/>
        <v>TAMUG</v>
      </c>
      <c r="C166" s="55">
        <f t="shared" si="99"/>
        <v>5767.429639700691</v>
      </c>
      <c r="D166" s="15">
        <f t="shared" ref="D166:M166" si="110">D208*D$155</f>
        <v>0</v>
      </c>
      <c r="E166" s="14">
        <f t="shared" si="110"/>
        <v>1209.0804444444445</v>
      </c>
      <c r="F166" s="14">
        <f t="shared" si="110"/>
        <v>409.98252858958068</v>
      </c>
      <c r="G166" s="13">
        <f t="shared" si="110"/>
        <v>0</v>
      </c>
      <c r="H166" s="15">
        <f t="shared" si="110"/>
        <v>0</v>
      </c>
      <c r="I166" s="13">
        <f t="shared" si="110"/>
        <v>0</v>
      </c>
      <c r="J166" s="16">
        <f t="shared" si="110"/>
        <v>1264</v>
      </c>
      <c r="K166" s="15">
        <f t="shared" si="110"/>
        <v>1006.9666666666667</v>
      </c>
      <c r="L166" s="14">
        <f t="shared" si="110"/>
        <v>795</v>
      </c>
      <c r="M166" s="106">
        <f t="shared" si="110"/>
        <v>1082.4000000000001</v>
      </c>
      <c r="N166" s="108" t="s">
        <v>82</v>
      </c>
    </row>
    <row r="167" spans="1:14" outlineLevel="1" x14ac:dyDescent="0.2">
      <c r="A167" s="20">
        <f t="shared" si="98"/>
        <v>3630</v>
      </c>
      <c r="B167" s="19" t="str">
        <f t="shared" si="98"/>
        <v>Prairie View</v>
      </c>
      <c r="C167" s="55">
        <f t="shared" si="99"/>
        <v>19024.519422854646</v>
      </c>
      <c r="D167" s="15">
        <f t="shared" ref="D167:M167" si="111">D209*D$155</f>
        <v>0</v>
      </c>
      <c r="E167" s="14">
        <f t="shared" si="111"/>
        <v>2436.027222222222</v>
      </c>
      <c r="F167" s="14">
        <f t="shared" si="111"/>
        <v>395.59220063242179</v>
      </c>
      <c r="G167" s="13">
        <f t="shared" si="111"/>
        <v>0</v>
      </c>
      <c r="H167" s="15">
        <f t="shared" si="111"/>
        <v>0</v>
      </c>
      <c r="I167" s="13">
        <f t="shared" si="111"/>
        <v>0</v>
      </c>
      <c r="J167" s="16">
        <f t="shared" si="111"/>
        <v>6421.333333333333</v>
      </c>
      <c r="K167" s="15">
        <f t="shared" si="111"/>
        <v>2835.6</v>
      </c>
      <c r="L167" s="14">
        <f t="shared" si="111"/>
        <v>2952.5</v>
      </c>
      <c r="M167" s="106">
        <f t="shared" si="111"/>
        <v>3983.4666666666672</v>
      </c>
      <c r="N167" s="108" t="s">
        <v>83</v>
      </c>
    </row>
    <row r="168" spans="1:14" outlineLevel="1" x14ac:dyDescent="0.2">
      <c r="A168" s="20">
        <f t="shared" si="98"/>
        <v>3631</v>
      </c>
      <c r="B168" s="19" t="str">
        <f t="shared" si="98"/>
        <v>Tarleton</v>
      </c>
      <c r="C168" s="55">
        <f t="shared" si="99"/>
        <v>26124.446193808144</v>
      </c>
      <c r="D168" s="15">
        <f t="shared" ref="D168:M168" si="112">D210*D$155</f>
        <v>0</v>
      </c>
      <c r="E168" s="14">
        <f t="shared" si="112"/>
        <v>5170.6853333333338</v>
      </c>
      <c r="F168" s="14">
        <f t="shared" si="112"/>
        <v>613.99419380814152</v>
      </c>
      <c r="G168" s="13">
        <f t="shared" si="112"/>
        <v>0</v>
      </c>
      <c r="H168" s="15">
        <f t="shared" si="112"/>
        <v>0</v>
      </c>
      <c r="I168" s="13">
        <f t="shared" si="112"/>
        <v>0</v>
      </c>
      <c r="J168" s="16">
        <f t="shared" si="112"/>
        <v>9560</v>
      </c>
      <c r="K168" s="15">
        <f t="shared" si="112"/>
        <v>3662.3666666666668</v>
      </c>
      <c r="L168" s="14">
        <f t="shared" si="112"/>
        <v>3321.666666666667</v>
      </c>
      <c r="M168" s="106">
        <f t="shared" si="112"/>
        <v>3795.7333333333336</v>
      </c>
      <c r="N168" s="108" t="s">
        <v>83</v>
      </c>
    </row>
    <row r="169" spans="1:14" outlineLevel="1" x14ac:dyDescent="0.2">
      <c r="A169" s="27">
        <f t="shared" si="98"/>
        <v>103631</v>
      </c>
      <c r="B169" s="19" t="str">
        <f t="shared" si="98"/>
        <v>TAMUCT</v>
      </c>
      <c r="C169" s="55">
        <f t="shared" si="99"/>
        <v>7169.5715713835143</v>
      </c>
      <c r="D169" s="15">
        <f t="shared" ref="D169:M169" si="113">D211*D$155</f>
        <v>0</v>
      </c>
      <c r="E169" s="14">
        <f t="shared" si="113"/>
        <v>1540.2753333333333</v>
      </c>
      <c r="F169" s="14">
        <f t="shared" si="113"/>
        <v>1689.6962380501811</v>
      </c>
      <c r="G169" s="13">
        <f t="shared" si="113"/>
        <v>0</v>
      </c>
      <c r="H169" s="15">
        <f t="shared" si="113"/>
        <v>0</v>
      </c>
      <c r="I169" s="13">
        <f t="shared" si="113"/>
        <v>0</v>
      </c>
      <c r="J169" s="16">
        <f t="shared" si="113"/>
        <v>2616</v>
      </c>
      <c r="K169" s="15">
        <f t="shared" si="113"/>
        <v>841.5</v>
      </c>
      <c r="L169" s="14">
        <f t="shared" si="113"/>
        <v>332.5</v>
      </c>
      <c r="M169" s="106">
        <f t="shared" si="113"/>
        <v>149.60000000000002</v>
      </c>
      <c r="N169" s="108" t="s">
        <v>82</v>
      </c>
    </row>
    <row r="170" spans="1:14" outlineLevel="1" x14ac:dyDescent="0.2">
      <c r="A170" s="20">
        <f t="shared" si="98"/>
        <v>11161</v>
      </c>
      <c r="B170" s="19" t="str">
        <f t="shared" si="98"/>
        <v>TAMUCC</v>
      </c>
      <c r="C170" s="55">
        <f t="shared" si="99"/>
        <v>25137.792851570521</v>
      </c>
      <c r="D170" s="15">
        <f t="shared" ref="D170:M170" si="114">D212*D$155</f>
        <v>0</v>
      </c>
      <c r="E170" s="14">
        <f t="shared" si="114"/>
        <v>4936.913333333333</v>
      </c>
      <c r="F170" s="14">
        <f t="shared" si="114"/>
        <v>534.41285157051936</v>
      </c>
      <c r="G170" s="13">
        <f t="shared" si="114"/>
        <v>0</v>
      </c>
      <c r="H170" s="15">
        <f t="shared" si="114"/>
        <v>0</v>
      </c>
      <c r="I170" s="13">
        <f t="shared" si="114"/>
        <v>0</v>
      </c>
      <c r="J170" s="16">
        <f t="shared" si="114"/>
        <v>8640</v>
      </c>
      <c r="K170" s="15">
        <f t="shared" si="114"/>
        <v>3491.7999999999997</v>
      </c>
      <c r="L170" s="14">
        <f t="shared" si="114"/>
        <v>3670</v>
      </c>
      <c r="M170" s="106">
        <f t="shared" si="114"/>
        <v>3864.666666666667</v>
      </c>
      <c r="N170" s="108" t="s">
        <v>81</v>
      </c>
    </row>
    <row r="171" spans="1:14" outlineLevel="1" x14ac:dyDescent="0.2">
      <c r="A171" s="20">
        <f t="shared" si="98"/>
        <v>3639</v>
      </c>
      <c r="B171" s="19" t="str">
        <f t="shared" si="98"/>
        <v>TAMUK</v>
      </c>
      <c r="C171" s="55">
        <f t="shared" si="99"/>
        <v>14472.528035993741</v>
      </c>
      <c r="D171" s="15">
        <f t="shared" ref="D171:M171" si="115">D213*D$155</f>
        <v>0</v>
      </c>
      <c r="E171" s="14">
        <f t="shared" si="115"/>
        <v>2145.1072222222224</v>
      </c>
      <c r="F171" s="14">
        <f t="shared" si="115"/>
        <v>446.98748043818466</v>
      </c>
      <c r="G171" s="13">
        <f t="shared" si="115"/>
        <v>0</v>
      </c>
      <c r="H171" s="15">
        <f t="shared" si="115"/>
        <v>0</v>
      </c>
      <c r="I171" s="13">
        <f t="shared" si="115"/>
        <v>0</v>
      </c>
      <c r="J171" s="16">
        <f t="shared" si="115"/>
        <v>5186.666666666667</v>
      </c>
      <c r="K171" s="15">
        <f t="shared" si="115"/>
        <v>2086.4666666666667</v>
      </c>
      <c r="L171" s="14">
        <f t="shared" si="115"/>
        <v>2149.1666666666665</v>
      </c>
      <c r="M171" s="106">
        <f t="shared" si="115"/>
        <v>2458.1333333333332</v>
      </c>
      <c r="N171" s="108" t="s">
        <v>81</v>
      </c>
    </row>
    <row r="172" spans="1:14" outlineLevel="1" x14ac:dyDescent="0.2">
      <c r="A172" s="27">
        <f t="shared" si="98"/>
        <v>103639</v>
      </c>
      <c r="B172" s="19" t="str">
        <f t="shared" si="98"/>
        <v>TAMUSA</v>
      </c>
      <c r="C172" s="55">
        <f t="shared" si="99"/>
        <v>8063.1944510231624</v>
      </c>
      <c r="D172" s="15">
        <f t="shared" ref="D172:M172" si="116">D214*D$155</f>
        <v>0</v>
      </c>
      <c r="E172" s="14">
        <f t="shared" si="116"/>
        <v>1655.0652222222222</v>
      </c>
      <c r="F172" s="14">
        <f t="shared" si="116"/>
        <v>1039.962562134273</v>
      </c>
      <c r="G172" s="13">
        <f t="shared" si="116"/>
        <v>0</v>
      </c>
      <c r="H172" s="15">
        <f t="shared" si="116"/>
        <v>0</v>
      </c>
      <c r="I172" s="13">
        <f t="shared" si="116"/>
        <v>0</v>
      </c>
      <c r="J172" s="16">
        <f t="shared" si="116"/>
        <v>3922.6666666666665</v>
      </c>
      <c r="K172" s="15">
        <f t="shared" si="116"/>
        <v>1240.4333333333332</v>
      </c>
      <c r="L172" s="14">
        <f t="shared" si="116"/>
        <v>193.33333333333331</v>
      </c>
      <c r="M172" s="106">
        <f t="shared" si="116"/>
        <v>11.733333333333334</v>
      </c>
      <c r="N172" s="108" t="s">
        <v>82</v>
      </c>
    </row>
    <row r="173" spans="1:14" outlineLevel="1" x14ac:dyDescent="0.2">
      <c r="A173" s="20">
        <f t="shared" si="98"/>
        <v>9651</v>
      </c>
      <c r="B173" s="19" t="str">
        <f t="shared" si="98"/>
        <v>TAMI</v>
      </c>
      <c r="C173" s="55">
        <f t="shared" si="99"/>
        <v>15815.549414260075</v>
      </c>
      <c r="D173" s="15">
        <f t="shared" ref="D173:M173" si="117">D215*D$155</f>
        <v>0</v>
      </c>
      <c r="E173" s="14">
        <f t="shared" si="117"/>
        <v>2616.4288888888887</v>
      </c>
      <c r="F173" s="14">
        <f t="shared" si="117"/>
        <v>483.15385870451951</v>
      </c>
      <c r="G173" s="13">
        <f t="shared" si="117"/>
        <v>0</v>
      </c>
      <c r="H173" s="15">
        <f t="shared" si="117"/>
        <v>0</v>
      </c>
      <c r="I173" s="13">
        <f t="shared" si="117"/>
        <v>0</v>
      </c>
      <c r="J173" s="16">
        <f t="shared" si="117"/>
        <v>5701.333333333333</v>
      </c>
      <c r="K173" s="15">
        <f t="shared" si="117"/>
        <v>2391.3333333333335</v>
      </c>
      <c r="L173" s="14">
        <f t="shared" si="117"/>
        <v>2539.1666666666665</v>
      </c>
      <c r="M173" s="106">
        <f t="shared" si="117"/>
        <v>2084.1333333333337</v>
      </c>
      <c r="N173" s="108" t="s">
        <v>83</v>
      </c>
    </row>
    <row r="174" spans="1:14" outlineLevel="1" x14ac:dyDescent="0.2">
      <c r="A174" s="20">
        <f t="shared" si="98"/>
        <v>3665</v>
      </c>
      <c r="B174" s="19" t="str">
        <f t="shared" si="98"/>
        <v>WTAMU</v>
      </c>
      <c r="C174" s="55">
        <f t="shared" si="99"/>
        <v>20818.729490795267</v>
      </c>
      <c r="D174" s="15">
        <f t="shared" ref="D174:M174" si="118">D216*D$155</f>
        <v>0</v>
      </c>
      <c r="E174" s="14">
        <f t="shared" si="118"/>
        <v>4137.0031111111111</v>
      </c>
      <c r="F174" s="14">
        <f t="shared" si="118"/>
        <v>579.69304635082176</v>
      </c>
      <c r="G174" s="13">
        <f t="shared" si="118"/>
        <v>0</v>
      </c>
      <c r="H174" s="15">
        <f t="shared" si="118"/>
        <v>0</v>
      </c>
      <c r="I174" s="13">
        <f t="shared" si="118"/>
        <v>0</v>
      </c>
      <c r="J174" s="16">
        <f t="shared" si="118"/>
        <v>7114.666666666667</v>
      </c>
      <c r="K174" s="15">
        <f t="shared" si="118"/>
        <v>3045.8333333333335</v>
      </c>
      <c r="L174" s="14">
        <f t="shared" si="118"/>
        <v>3031.666666666667</v>
      </c>
      <c r="M174" s="106">
        <f t="shared" si="118"/>
        <v>2909.8666666666672</v>
      </c>
      <c r="N174" s="108" t="s">
        <v>83</v>
      </c>
    </row>
    <row r="175" spans="1:14" outlineLevel="1" x14ac:dyDescent="0.2">
      <c r="A175" s="20">
        <f t="shared" si="98"/>
        <v>3565</v>
      </c>
      <c r="B175" s="19" t="str">
        <f t="shared" si="98"/>
        <v>TAMUC</v>
      </c>
      <c r="C175" s="55">
        <f t="shared" si="99"/>
        <v>20990.19921740063</v>
      </c>
      <c r="D175" s="15">
        <f t="shared" ref="D175:M175" si="119">D217*D$155</f>
        <v>0</v>
      </c>
      <c r="E175" s="14">
        <f t="shared" si="119"/>
        <v>4078.9466666666663</v>
      </c>
      <c r="F175" s="14">
        <f t="shared" si="119"/>
        <v>704.88588406729627</v>
      </c>
      <c r="G175" s="13">
        <f t="shared" si="119"/>
        <v>0</v>
      </c>
      <c r="H175" s="15">
        <f t="shared" si="119"/>
        <v>0</v>
      </c>
      <c r="I175" s="13">
        <f t="shared" si="119"/>
        <v>0</v>
      </c>
      <c r="J175" s="16">
        <f t="shared" si="119"/>
        <v>8154.666666666667</v>
      </c>
      <c r="K175" s="15">
        <f t="shared" si="119"/>
        <v>3218.1</v>
      </c>
      <c r="L175" s="14">
        <f t="shared" si="119"/>
        <v>2843.333333333333</v>
      </c>
      <c r="M175" s="106">
        <f t="shared" si="119"/>
        <v>1990.2666666666667</v>
      </c>
      <c r="N175" s="108" t="s">
        <v>81</v>
      </c>
    </row>
    <row r="176" spans="1:14" outlineLevel="1" x14ac:dyDescent="0.2">
      <c r="A176" s="20">
        <f t="shared" ref="A176:B193" si="120">A25</f>
        <v>29269</v>
      </c>
      <c r="B176" s="19" t="str">
        <f t="shared" si="120"/>
        <v>TAMUT</v>
      </c>
      <c r="C176" s="55">
        <f t="shared" si="99"/>
        <v>5383.6473829992019</v>
      </c>
      <c r="D176" s="15">
        <f t="shared" ref="D176:M176" si="121">D218*D$155</f>
        <v>0</v>
      </c>
      <c r="E176" s="14">
        <f t="shared" si="121"/>
        <v>1311.5218378278626</v>
      </c>
      <c r="F176" s="14">
        <f t="shared" si="121"/>
        <v>969.15887850467288</v>
      </c>
      <c r="G176" s="13">
        <f t="shared" si="121"/>
        <v>0</v>
      </c>
      <c r="H176" s="15">
        <f t="shared" si="121"/>
        <v>0</v>
      </c>
      <c r="I176" s="13">
        <f t="shared" si="121"/>
        <v>0</v>
      </c>
      <c r="J176" s="16">
        <f t="shared" si="121"/>
        <v>1912</v>
      </c>
      <c r="K176" s="15">
        <f t="shared" si="121"/>
        <v>735.5333333333333</v>
      </c>
      <c r="L176" s="14">
        <f t="shared" si="121"/>
        <v>452.5</v>
      </c>
      <c r="M176" s="106">
        <f t="shared" si="121"/>
        <v>2.9333333333333336</v>
      </c>
      <c r="N176" s="108" t="s">
        <v>82</v>
      </c>
    </row>
    <row r="177" spans="1:14" outlineLevel="1" x14ac:dyDescent="0.2">
      <c r="A177" s="20">
        <f t="shared" si="120"/>
        <v>3652</v>
      </c>
      <c r="B177" s="19" t="str">
        <f t="shared" si="120"/>
        <v>UH</v>
      </c>
      <c r="C177" s="55">
        <f t="shared" si="99"/>
        <v>88363.787130839555</v>
      </c>
      <c r="D177" s="15">
        <f t="shared" ref="D177:M177" si="122">D219*D$155</f>
        <v>0</v>
      </c>
      <c r="E177" s="14">
        <f t="shared" si="122"/>
        <v>19142.094222222222</v>
      </c>
      <c r="F177" s="14">
        <f t="shared" si="122"/>
        <v>535.62624195066564</v>
      </c>
      <c r="G177" s="13">
        <f t="shared" si="122"/>
        <v>0</v>
      </c>
      <c r="H177" s="15">
        <f t="shared" si="122"/>
        <v>0</v>
      </c>
      <c r="I177" s="13">
        <f t="shared" si="122"/>
        <v>0</v>
      </c>
      <c r="J177" s="16">
        <f t="shared" si="122"/>
        <v>26984</v>
      </c>
      <c r="K177" s="15">
        <f t="shared" si="122"/>
        <v>12923.966666666665</v>
      </c>
      <c r="L177" s="14">
        <f t="shared" si="122"/>
        <v>14225.833333333332</v>
      </c>
      <c r="M177" s="106">
        <f t="shared" si="122"/>
        <v>14552.266666666668</v>
      </c>
      <c r="N177" s="108" t="s">
        <v>80</v>
      </c>
    </row>
    <row r="178" spans="1:14" outlineLevel="1" x14ac:dyDescent="0.2">
      <c r="A178" s="20">
        <f t="shared" si="120"/>
        <v>11711</v>
      </c>
      <c r="B178" s="19" t="str">
        <f t="shared" si="120"/>
        <v>UHCL</v>
      </c>
      <c r="C178" s="55">
        <f t="shared" si="99"/>
        <v>16522.638588382</v>
      </c>
      <c r="D178" s="15">
        <f t="shared" ref="D178:M178" si="123">D220*D$155</f>
        <v>0</v>
      </c>
      <c r="E178" s="14">
        <f t="shared" si="123"/>
        <v>4335.3987555129188</v>
      </c>
      <c r="F178" s="14">
        <f t="shared" si="123"/>
        <v>992.33983286908085</v>
      </c>
      <c r="G178" s="13">
        <f t="shared" si="123"/>
        <v>0</v>
      </c>
      <c r="H178" s="15">
        <f t="shared" si="123"/>
        <v>0</v>
      </c>
      <c r="I178" s="13">
        <f t="shared" si="123"/>
        <v>0</v>
      </c>
      <c r="J178" s="16">
        <f t="shared" si="123"/>
        <v>6194.666666666667</v>
      </c>
      <c r="K178" s="15">
        <f t="shared" si="123"/>
        <v>2365.2666666666664</v>
      </c>
      <c r="L178" s="14">
        <f t="shared" si="123"/>
        <v>2384.1666666666665</v>
      </c>
      <c r="M178" s="106">
        <f t="shared" si="123"/>
        <v>250.8</v>
      </c>
      <c r="N178" s="108" t="s">
        <v>82</v>
      </c>
    </row>
    <row r="179" spans="1:14" outlineLevel="1" x14ac:dyDescent="0.2">
      <c r="A179" s="20">
        <f t="shared" si="120"/>
        <v>12826</v>
      </c>
      <c r="B179" s="19" t="str">
        <f t="shared" si="120"/>
        <v>UHD</v>
      </c>
      <c r="C179" s="55">
        <f t="shared" si="99"/>
        <v>29972.76246324382</v>
      </c>
      <c r="D179" s="15">
        <f t="shared" ref="D179:M179" si="124">D221*D$155</f>
        <v>0</v>
      </c>
      <c r="E179" s="14">
        <f t="shared" si="124"/>
        <v>3168.503333333334</v>
      </c>
      <c r="F179" s="14">
        <f t="shared" si="124"/>
        <v>745.82579657715337</v>
      </c>
      <c r="G179" s="13">
        <f t="shared" si="124"/>
        <v>0</v>
      </c>
      <c r="H179" s="15">
        <f t="shared" si="124"/>
        <v>0</v>
      </c>
      <c r="I179" s="13">
        <f t="shared" si="124"/>
        <v>0</v>
      </c>
      <c r="J179" s="16">
        <f t="shared" si="124"/>
        <v>13448</v>
      </c>
      <c r="K179" s="15">
        <f t="shared" si="124"/>
        <v>5279.0666666666666</v>
      </c>
      <c r="L179" s="14">
        <f t="shared" si="124"/>
        <v>4670.833333333333</v>
      </c>
      <c r="M179" s="106">
        <f t="shared" si="124"/>
        <v>2660.5333333333333</v>
      </c>
      <c r="N179" s="108" t="s">
        <v>82</v>
      </c>
    </row>
    <row r="180" spans="1:14" outlineLevel="1" x14ac:dyDescent="0.2">
      <c r="A180" s="20">
        <f t="shared" si="120"/>
        <v>13231</v>
      </c>
      <c r="B180" s="19" t="str">
        <f t="shared" si="120"/>
        <v>UHV</v>
      </c>
      <c r="C180" s="55">
        <f t="shared" si="99"/>
        <v>8162.8511288501613</v>
      </c>
      <c r="D180" s="15">
        <f t="shared" ref="D180:M180" si="125">D222*D$155</f>
        <v>0</v>
      </c>
      <c r="E180" s="14">
        <f t="shared" si="125"/>
        <v>2101.3682398720248</v>
      </c>
      <c r="F180" s="14">
        <f t="shared" si="125"/>
        <v>1002.1162223114708</v>
      </c>
      <c r="G180" s="13">
        <f t="shared" si="125"/>
        <v>0</v>
      </c>
      <c r="H180" s="15">
        <f t="shared" si="125"/>
        <v>0</v>
      </c>
      <c r="I180" s="13">
        <f t="shared" si="125"/>
        <v>0</v>
      </c>
      <c r="J180" s="16">
        <f t="shared" si="125"/>
        <v>3072</v>
      </c>
      <c r="K180" s="15">
        <f t="shared" si="125"/>
        <v>1217.2</v>
      </c>
      <c r="L180" s="14">
        <f t="shared" si="125"/>
        <v>740.83333333333326</v>
      </c>
      <c r="M180" s="106">
        <f t="shared" si="125"/>
        <v>29.333333333333336</v>
      </c>
      <c r="N180" s="108" t="s">
        <v>82</v>
      </c>
    </row>
    <row r="181" spans="1:14" outlineLevel="1" x14ac:dyDescent="0.2">
      <c r="A181" s="20">
        <f t="shared" si="120"/>
        <v>3592</v>
      </c>
      <c r="B181" s="19" t="str">
        <f t="shared" si="120"/>
        <v>Midwestern</v>
      </c>
      <c r="C181" s="55">
        <f t="shared" si="99"/>
        <v>17348.581942589753</v>
      </c>
      <c r="D181" s="15">
        <f t="shared" ref="D181:M181" si="126">D223*D$155</f>
        <v>0</v>
      </c>
      <c r="E181" s="14">
        <f t="shared" si="126"/>
        <v>3172.7188888888886</v>
      </c>
      <c r="F181" s="14">
        <f t="shared" si="126"/>
        <v>603.063053700865</v>
      </c>
      <c r="G181" s="13">
        <f t="shared" si="126"/>
        <v>0</v>
      </c>
      <c r="H181" s="15">
        <f t="shared" si="126"/>
        <v>0</v>
      </c>
      <c r="I181" s="13">
        <f t="shared" si="126"/>
        <v>0</v>
      </c>
      <c r="J181" s="16">
        <f t="shared" si="126"/>
        <v>5522.666666666667</v>
      </c>
      <c r="K181" s="15">
        <f t="shared" si="126"/>
        <v>2444.6</v>
      </c>
      <c r="L181" s="14">
        <f t="shared" si="126"/>
        <v>2615</v>
      </c>
      <c r="M181" s="106">
        <f t="shared" si="126"/>
        <v>2990.5333333333333</v>
      </c>
      <c r="N181" s="108" t="s">
        <v>82</v>
      </c>
    </row>
    <row r="182" spans="1:14" outlineLevel="1" x14ac:dyDescent="0.2">
      <c r="A182" s="20">
        <f t="shared" si="120"/>
        <v>3594</v>
      </c>
      <c r="B182" s="19" t="str">
        <f t="shared" si="120"/>
        <v>UNT</v>
      </c>
      <c r="C182" s="55">
        <f t="shared" si="99"/>
        <v>97638.979169707658</v>
      </c>
      <c r="D182" s="15">
        <f t="shared" ref="D182:M182" si="127">D224*D$155</f>
        <v>0</v>
      </c>
      <c r="E182" s="14">
        <f t="shared" si="127"/>
        <v>24273.238888888889</v>
      </c>
      <c r="F182" s="14">
        <f t="shared" si="127"/>
        <v>647.17361415210314</v>
      </c>
      <c r="G182" s="13">
        <f t="shared" si="127"/>
        <v>0</v>
      </c>
      <c r="H182" s="15">
        <f t="shared" si="127"/>
        <v>0</v>
      </c>
      <c r="I182" s="13">
        <f t="shared" si="127"/>
        <v>0</v>
      </c>
      <c r="J182" s="16">
        <f t="shared" si="127"/>
        <v>30560</v>
      </c>
      <c r="K182" s="15">
        <f t="shared" si="127"/>
        <v>13369.933333333334</v>
      </c>
      <c r="L182" s="14">
        <f t="shared" si="127"/>
        <v>14105.833333333332</v>
      </c>
      <c r="M182" s="106">
        <f t="shared" si="127"/>
        <v>14682.800000000001</v>
      </c>
      <c r="N182" s="108" t="s">
        <v>80</v>
      </c>
    </row>
    <row r="183" spans="1:14" outlineLevel="1" x14ac:dyDescent="0.2">
      <c r="A183" s="27">
        <f t="shared" si="120"/>
        <v>113594</v>
      </c>
      <c r="B183" s="19" t="str">
        <f t="shared" si="120"/>
        <v>UNTD</v>
      </c>
      <c r="C183" s="55">
        <f t="shared" si="99"/>
        <v>6205.0804016347238</v>
      </c>
      <c r="D183" s="15">
        <f t="shared" ref="D183:M183" si="128">D225*D$155</f>
        <v>0</v>
      </c>
      <c r="E183" s="14">
        <f t="shared" si="128"/>
        <v>1631.1487500000001</v>
      </c>
      <c r="F183" s="14">
        <f t="shared" si="128"/>
        <v>1066.1816516347237</v>
      </c>
      <c r="G183" s="13">
        <f t="shared" si="128"/>
        <v>0</v>
      </c>
      <c r="H183" s="15">
        <f t="shared" si="128"/>
        <v>0</v>
      </c>
      <c r="I183" s="13">
        <f t="shared" si="128"/>
        <v>0</v>
      </c>
      <c r="J183" s="16">
        <f t="shared" si="128"/>
        <v>2468</v>
      </c>
      <c r="K183" s="15">
        <f t="shared" si="128"/>
        <v>812.6</v>
      </c>
      <c r="L183" s="14">
        <f t="shared" si="128"/>
        <v>178.75</v>
      </c>
      <c r="M183" s="106">
        <f t="shared" si="128"/>
        <v>48.400000000000006</v>
      </c>
      <c r="N183" s="108" t="s">
        <v>82</v>
      </c>
    </row>
    <row r="184" spans="1:14" outlineLevel="1" x14ac:dyDescent="0.2">
      <c r="A184" s="20">
        <f t="shared" si="120"/>
        <v>3624</v>
      </c>
      <c r="B184" s="19" t="str">
        <f t="shared" si="120"/>
        <v>SFA</v>
      </c>
      <c r="C184" s="55">
        <f t="shared" si="99"/>
        <v>35684.961941085436</v>
      </c>
      <c r="D184" s="15">
        <f t="shared" ref="D184:M184" si="129">D226*D$155</f>
        <v>0</v>
      </c>
      <c r="E184" s="14">
        <f t="shared" si="129"/>
        <v>7452.2233333333324</v>
      </c>
      <c r="F184" s="14">
        <f t="shared" si="129"/>
        <v>506.43860775209788</v>
      </c>
      <c r="G184" s="13">
        <f t="shared" si="129"/>
        <v>0</v>
      </c>
      <c r="H184" s="15">
        <f t="shared" si="129"/>
        <v>0</v>
      </c>
      <c r="I184" s="13">
        <f t="shared" si="129"/>
        <v>0</v>
      </c>
      <c r="J184" s="16">
        <f t="shared" si="129"/>
        <v>11682.666666666666</v>
      </c>
      <c r="K184" s="15">
        <f t="shared" si="129"/>
        <v>4707.8666666666668</v>
      </c>
      <c r="L184" s="14">
        <f t="shared" si="129"/>
        <v>5187.5</v>
      </c>
      <c r="M184" s="106">
        <f t="shared" si="129"/>
        <v>6148.2666666666664</v>
      </c>
      <c r="N184" s="108" t="s">
        <v>83</v>
      </c>
    </row>
    <row r="185" spans="1:14" outlineLevel="1" x14ac:dyDescent="0.2">
      <c r="A185" s="20">
        <f t="shared" si="120"/>
        <v>3642</v>
      </c>
      <c r="B185" s="19" t="str">
        <f t="shared" si="120"/>
        <v>TSU</v>
      </c>
      <c r="C185" s="55">
        <f t="shared" si="99"/>
        <v>15766.739247494539</v>
      </c>
      <c r="D185" s="15">
        <f t="shared" ref="D185:M185" si="130">D227*D$155</f>
        <v>0</v>
      </c>
      <c r="E185" s="14">
        <f t="shared" si="130"/>
        <v>762.63055555555547</v>
      </c>
      <c r="F185" s="14">
        <f t="shared" si="130"/>
        <v>323.34202527231793</v>
      </c>
      <c r="G185" s="13">
        <f t="shared" si="130"/>
        <v>0</v>
      </c>
      <c r="H185" s="15">
        <f t="shared" si="130"/>
        <v>0</v>
      </c>
      <c r="I185" s="13">
        <f t="shared" si="130"/>
        <v>0</v>
      </c>
      <c r="J185" s="16">
        <f t="shared" si="130"/>
        <v>5330.666666666667</v>
      </c>
      <c r="K185" s="15">
        <f t="shared" si="130"/>
        <v>2783.4666666666662</v>
      </c>
      <c r="L185" s="14">
        <f t="shared" si="130"/>
        <v>2832.5</v>
      </c>
      <c r="M185" s="106">
        <f t="shared" si="130"/>
        <v>3734.1333333333337</v>
      </c>
      <c r="N185" s="108" t="s">
        <v>81</v>
      </c>
    </row>
    <row r="186" spans="1:14" outlineLevel="1" x14ac:dyDescent="0.2">
      <c r="A186" s="20">
        <f t="shared" si="120"/>
        <v>3644</v>
      </c>
      <c r="B186" s="19" t="str">
        <f t="shared" si="120"/>
        <v>TTU</v>
      </c>
      <c r="C186" s="55">
        <f t="shared" si="99"/>
        <v>88281.94041150916</v>
      </c>
      <c r="D186" s="15">
        <f t="shared" ref="D186:M186" si="131">D228*D$155</f>
        <v>0</v>
      </c>
      <c r="E186" s="14">
        <f t="shared" si="131"/>
        <v>23949.575999999997</v>
      </c>
      <c r="F186" s="14">
        <f t="shared" si="131"/>
        <v>526.53107817583384</v>
      </c>
      <c r="G186" s="13">
        <f t="shared" si="131"/>
        <v>0</v>
      </c>
      <c r="H186" s="15">
        <f t="shared" si="131"/>
        <v>0</v>
      </c>
      <c r="I186" s="13">
        <f t="shared" si="131"/>
        <v>0</v>
      </c>
      <c r="J186" s="16">
        <f t="shared" si="131"/>
        <v>22224</v>
      </c>
      <c r="K186" s="15">
        <f t="shared" si="131"/>
        <v>11025.066666666666</v>
      </c>
      <c r="L186" s="14">
        <f t="shared" si="131"/>
        <v>13195.833333333332</v>
      </c>
      <c r="M186" s="106">
        <f t="shared" si="131"/>
        <v>17360.933333333334</v>
      </c>
      <c r="N186" s="108" t="s">
        <v>80</v>
      </c>
    </row>
    <row r="187" spans="1:14" outlineLevel="1" x14ac:dyDescent="0.2">
      <c r="A187" s="20">
        <f t="shared" si="120"/>
        <v>3541</v>
      </c>
      <c r="B187" s="19" t="str">
        <f t="shared" si="120"/>
        <v>Angelo</v>
      </c>
      <c r="C187" s="55">
        <f t="shared" si="99"/>
        <v>17416.876073262163</v>
      </c>
      <c r="D187" s="15">
        <f t="shared" ref="D187:M187" si="132">D229*D$155</f>
        <v>0</v>
      </c>
      <c r="E187" s="14">
        <f t="shared" si="132"/>
        <v>2981.6002222222223</v>
      </c>
      <c r="F187" s="14">
        <f t="shared" si="132"/>
        <v>507.64251770660741</v>
      </c>
      <c r="G187" s="13">
        <f t="shared" si="132"/>
        <v>0</v>
      </c>
      <c r="H187" s="15">
        <f t="shared" si="132"/>
        <v>0</v>
      </c>
      <c r="I187" s="13">
        <f t="shared" si="132"/>
        <v>0</v>
      </c>
      <c r="J187" s="16">
        <f t="shared" si="132"/>
        <v>5784</v>
      </c>
      <c r="K187" s="15">
        <f t="shared" si="132"/>
        <v>2445.7333333333336</v>
      </c>
      <c r="L187" s="14">
        <f t="shared" si="132"/>
        <v>2584.166666666667</v>
      </c>
      <c r="M187" s="106">
        <f t="shared" si="132"/>
        <v>3113.7333333333336</v>
      </c>
      <c r="N187" s="108" t="s">
        <v>82</v>
      </c>
    </row>
    <row r="188" spans="1:14" outlineLevel="1" x14ac:dyDescent="0.2">
      <c r="A188" s="20">
        <f t="shared" si="120"/>
        <v>3646</v>
      </c>
      <c r="B188" s="19" t="str">
        <f t="shared" si="120"/>
        <v>TWU</v>
      </c>
      <c r="C188" s="55">
        <f t="shared" si="99"/>
        <v>27151.400774042664</v>
      </c>
      <c r="D188" s="15">
        <f t="shared" ref="D188:M188" si="133">D230*D$155</f>
        <v>0</v>
      </c>
      <c r="E188" s="14">
        <f t="shared" si="133"/>
        <v>6620.1940000000004</v>
      </c>
      <c r="F188" s="14">
        <f t="shared" si="133"/>
        <v>688.64010737599904</v>
      </c>
      <c r="G188" s="13">
        <f t="shared" si="133"/>
        <v>0</v>
      </c>
      <c r="H188" s="15">
        <f t="shared" si="133"/>
        <v>0</v>
      </c>
      <c r="I188" s="13">
        <f t="shared" si="133"/>
        <v>0</v>
      </c>
      <c r="J188" s="16">
        <f t="shared" si="133"/>
        <v>9976</v>
      </c>
      <c r="K188" s="15">
        <f t="shared" si="133"/>
        <v>3733.2</v>
      </c>
      <c r="L188" s="14">
        <f t="shared" si="133"/>
        <v>3230.833333333333</v>
      </c>
      <c r="M188" s="106">
        <f t="shared" si="133"/>
        <v>2902.5333333333333</v>
      </c>
      <c r="N188" s="108" t="s">
        <v>81</v>
      </c>
    </row>
    <row r="189" spans="1:14" outlineLevel="1" x14ac:dyDescent="0.2">
      <c r="A189" s="20">
        <f t="shared" si="120"/>
        <v>3581</v>
      </c>
      <c r="B189" s="19" t="str">
        <f t="shared" si="120"/>
        <v>Lamar</v>
      </c>
      <c r="C189" s="55">
        <f t="shared" si="99"/>
        <v>23139.722340222412</v>
      </c>
      <c r="D189" s="15">
        <f t="shared" ref="D189:M189" si="134">D231*D$155</f>
        <v>0</v>
      </c>
      <c r="E189" s="14">
        <f t="shared" si="134"/>
        <v>3274.6824444444442</v>
      </c>
      <c r="F189" s="14">
        <f t="shared" si="134"/>
        <v>458.87322911130246</v>
      </c>
      <c r="G189" s="13">
        <f t="shared" si="134"/>
        <v>0</v>
      </c>
      <c r="H189" s="15">
        <f t="shared" si="134"/>
        <v>0</v>
      </c>
      <c r="I189" s="13">
        <f t="shared" si="134"/>
        <v>0</v>
      </c>
      <c r="J189" s="16">
        <f t="shared" si="134"/>
        <v>7589.333333333333</v>
      </c>
      <c r="K189" s="15">
        <f t="shared" si="134"/>
        <v>3645.9333333333329</v>
      </c>
      <c r="L189" s="14">
        <f t="shared" si="134"/>
        <v>3722.5</v>
      </c>
      <c r="M189" s="106">
        <f t="shared" si="134"/>
        <v>4448.4000000000005</v>
      </c>
      <c r="N189" s="108" t="s">
        <v>83</v>
      </c>
    </row>
    <row r="190" spans="1:14" outlineLevel="1" x14ac:dyDescent="0.2">
      <c r="A190" s="20">
        <f t="shared" si="120"/>
        <v>3606</v>
      </c>
      <c r="B190" s="19" t="str">
        <f t="shared" si="120"/>
        <v>SHSU</v>
      </c>
      <c r="C190" s="55">
        <f t="shared" si="99"/>
        <v>52752.542467093634</v>
      </c>
      <c r="D190" s="15">
        <f t="shared" ref="D190:M190" si="135">D232*D$155</f>
        <v>0</v>
      </c>
      <c r="E190" s="14">
        <f t="shared" si="135"/>
        <v>12638.951111111111</v>
      </c>
      <c r="F190" s="14">
        <f t="shared" si="135"/>
        <v>611.8913559825254</v>
      </c>
      <c r="G190" s="13">
        <f t="shared" si="135"/>
        <v>0</v>
      </c>
      <c r="H190" s="15">
        <f t="shared" si="135"/>
        <v>0</v>
      </c>
      <c r="I190" s="13">
        <f t="shared" si="135"/>
        <v>0</v>
      </c>
      <c r="J190" s="16">
        <f t="shared" si="135"/>
        <v>17709.333333333332</v>
      </c>
      <c r="K190" s="15">
        <f t="shared" si="135"/>
        <v>6620.3666666666668</v>
      </c>
      <c r="L190" s="14">
        <f t="shared" si="135"/>
        <v>7413.3333333333339</v>
      </c>
      <c r="M190" s="106">
        <f t="shared" si="135"/>
        <v>7758.666666666667</v>
      </c>
      <c r="N190" s="108" t="s">
        <v>81</v>
      </c>
    </row>
    <row r="191" spans="1:14" outlineLevel="1" x14ac:dyDescent="0.2">
      <c r="A191" s="20">
        <f t="shared" si="120"/>
        <v>3615</v>
      </c>
      <c r="B191" s="19" t="str">
        <f t="shared" si="120"/>
        <v>TXST</v>
      </c>
      <c r="C191" s="55">
        <f t="shared" si="99"/>
        <v>94985.763287994661</v>
      </c>
      <c r="D191" s="15">
        <f t="shared" ref="D191:M191" si="136">D233*D$155</f>
        <v>0</v>
      </c>
      <c r="E191" s="14">
        <f t="shared" si="136"/>
        <v>23754.591</v>
      </c>
      <c r="F191" s="14">
        <f t="shared" si="136"/>
        <v>585.17228799465988</v>
      </c>
      <c r="G191" s="13">
        <f t="shared" si="136"/>
        <v>0</v>
      </c>
      <c r="H191" s="15">
        <f t="shared" si="136"/>
        <v>0</v>
      </c>
      <c r="I191" s="13">
        <f t="shared" si="136"/>
        <v>0</v>
      </c>
      <c r="J191" s="16">
        <f t="shared" si="136"/>
        <v>29402.666666666668</v>
      </c>
      <c r="K191" s="15">
        <f t="shared" si="136"/>
        <v>12699.566666666666</v>
      </c>
      <c r="L191" s="14">
        <f t="shared" si="136"/>
        <v>13947.5</v>
      </c>
      <c r="M191" s="106">
        <f t="shared" si="136"/>
        <v>14596.266666666668</v>
      </c>
      <c r="N191" s="108" t="s">
        <v>80</v>
      </c>
    </row>
    <row r="192" spans="1:14" outlineLevel="1" x14ac:dyDescent="0.2">
      <c r="A192" s="20">
        <f t="shared" si="120"/>
        <v>3625</v>
      </c>
      <c r="B192" s="19" t="str">
        <f t="shared" si="120"/>
        <v>SRSU</v>
      </c>
      <c r="C192" s="55">
        <f t="shared" si="99"/>
        <v>3664.3964085414354</v>
      </c>
      <c r="D192" s="15">
        <f t="shared" ref="D192:M192" si="137">D234*D$155</f>
        <v>0</v>
      </c>
      <c r="E192" s="14">
        <f t="shared" si="137"/>
        <v>398.92533333333336</v>
      </c>
      <c r="F192" s="14">
        <f t="shared" si="137"/>
        <v>387.97107520810192</v>
      </c>
      <c r="G192" s="13">
        <f t="shared" si="137"/>
        <v>0</v>
      </c>
      <c r="H192" s="15">
        <f t="shared" si="137"/>
        <v>0</v>
      </c>
      <c r="I192" s="13">
        <f t="shared" si="137"/>
        <v>0</v>
      </c>
      <c r="J192" s="16">
        <f t="shared" si="137"/>
        <v>1304</v>
      </c>
      <c r="K192" s="15">
        <f t="shared" si="137"/>
        <v>510</v>
      </c>
      <c r="L192" s="14">
        <f t="shared" si="137"/>
        <v>484.16666666666663</v>
      </c>
      <c r="M192" s="106">
        <f t="shared" si="137"/>
        <v>579.33333333333337</v>
      </c>
      <c r="N192" s="108" t="s">
        <v>82</v>
      </c>
    </row>
    <row r="193" spans="1:14" outlineLevel="1" x14ac:dyDescent="0.2">
      <c r="A193" s="20">
        <f t="shared" si="120"/>
        <v>20</v>
      </c>
      <c r="B193" s="19" t="str">
        <f t="shared" si="120"/>
        <v>SRRG</v>
      </c>
      <c r="C193" s="55">
        <f t="shared" si="99"/>
        <v>3068.2053764125399</v>
      </c>
      <c r="D193" s="15">
        <f t="shared" ref="D193:M193" si="138">D235*D$155</f>
        <v>0</v>
      </c>
      <c r="E193" s="14">
        <f t="shared" si="138"/>
        <v>359.56183632836428</v>
      </c>
      <c r="F193" s="14">
        <f t="shared" si="138"/>
        <v>914.91020675084269</v>
      </c>
      <c r="G193" s="13">
        <f t="shared" si="138"/>
        <v>0</v>
      </c>
      <c r="H193" s="15">
        <f t="shared" si="138"/>
        <v>0</v>
      </c>
      <c r="I193" s="13">
        <f t="shared" si="138"/>
        <v>0</v>
      </c>
      <c r="J193" s="16">
        <f t="shared" si="138"/>
        <v>1152</v>
      </c>
      <c r="K193" s="15">
        <f t="shared" si="138"/>
        <v>391</v>
      </c>
      <c r="L193" s="14">
        <f t="shared" si="138"/>
        <v>231.66666666666669</v>
      </c>
      <c r="M193" s="106">
        <f t="shared" si="138"/>
        <v>19.066666666666666</v>
      </c>
      <c r="N193" s="108" t="s">
        <v>82</v>
      </c>
    </row>
    <row r="194" spans="1:14" ht="13.5" outlineLevel="1" thickBot="1" x14ac:dyDescent="0.25">
      <c r="A194" s="12"/>
      <c r="B194" s="11" t="s">
        <v>11</v>
      </c>
      <c r="C194" s="54">
        <f t="shared" ref="C194:M194" si="139">SUM(C156:C193)</f>
        <v>1427782.9756374927</v>
      </c>
      <c r="D194" s="9">
        <f t="shared" si="139"/>
        <v>0</v>
      </c>
      <c r="E194" s="7">
        <f t="shared" si="139"/>
        <v>343222.64122446562</v>
      </c>
      <c r="F194" s="7">
        <f t="shared" si="139"/>
        <v>25436.751079693917</v>
      </c>
      <c r="G194" s="3">
        <f t="shared" si="139"/>
        <v>0</v>
      </c>
      <c r="H194" s="5">
        <f t="shared" si="139"/>
        <v>0</v>
      </c>
      <c r="I194" s="3">
        <f t="shared" si="139"/>
        <v>0</v>
      </c>
      <c r="J194" s="6">
        <f t="shared" si="139"/>
        <v>435572.00000000006</v>
      </c>
      <c r="K194" s="5">
        <f t="shared" si="139"/>
        <v>194161.53333333333</v>
      </c>
      <c r="L194" s="4">
        <f t="shared" si="139"/>
        <v>205861.25000000003</v>
      </c>
      <c r="M194" s="107">
        <f t="shared" si="139"/>
        <v>223528.8</v>
      </c>
      <c r="N194" s="109"/>
    </row>
    <row r="195" spans="1:14" ht="13.5" thickBot="1" x14ac:dyDescent="0.25">
      <c r="A195" s="42" t="s">
        <v>29</v>
      </c>
      <c r="B195" s="42"/>
      <c r="C195" s="127"/>
      <c r="D195" s="51"/>
      <c r="E195" s="51"/>
      <c r="F195" s="53"/>
      <c r="H195" s="53"/>
      <c r="N195" s="52"/>
    </row>
    <row r="196" spans="1:14" ht="12.75" customHeight="1" outlineLevel="1" x14ac:dyDescent="0.2">
      <c r="A196" s="234" t="s">
        <v>24</v>
      </c>
      <c r="B196" s="236" t="s">
        <v>23</v>
      </c>
      <c r="C196" s="238"/>
      <c r="D196" s="240" t="s">
        <v>28</v>
      </c>
      <c r="E196" s="242" t="s">
        <v>21</v>
      </c>
      <c r="F196" s="236" t="s">
        <v>20</v>
      </c>
      <c r="G196" s="221" t="s">
        <v>19</v>
      </c>
      <c r="H196" s="223" t="s">
        <v>18</v>
      </c>
      <c r="I196" s="225" t="s">
        <v>17</v>
      </c>
      <c r="J196" s="227" t="s">
        <v>16</v>
      </c>
      <c r="K196" s="229" t="s">
        <v>15</v>
      </c>
      <c r="L196" s="230"/>
      <c r="M196" s="231"/>
      <c r="N196" s="52"/>
    </row>
    <row r="197" spans="1:14" s="41" customFormat="1" ht="41.25" customHeight="1" outlineLevel="1" x14ac:dyDescent="0.2">
      <c r="A197" s="235"/>
      <c r="B197" s="237"/>
      <c r="C197" s="239"/>
      <c r="D197" s="241"/>
      <c r="E197" s="243"/>
      <c r="F197" s="237"/>
      <c r="G197" s="222"/>
      <c r="H197" s="224"/>
      <c r="I197" s="226"/>
      <c r="J197" s="228"/>
      <c r="K197" s="188" t="s">
        <v>14</v>
      </c>
      <c r="L197" s="189" t="s">
        <v>13</v>
      </c>
      <c r="M197" s="190" t="s">
        <v>12</v>
      </c>
      <c r="N197" s="52"/>
    </row>
    <row r="198" spans="1:14" outlineLevel="1" x14ac:dyDescent="0.2">
      <c r="A198" s="40">
        <f t="shared" ref="A198:B217" si="140">A156</f>
        <v>3656</v>
      </c>
      <c r="B198" s="39" t="str">
        <f t="shared" si="140"/>
        <v>UTA</v>
      </c>
      <c r="C198" s="18"/>
      <c r="D198" s="36">
        <f t="shared" ref="D198:D235" si="141">AVERAGE(D240,D282,D324)</f>
        <v>5018</v>
      </c>
      <c r="E198" s="201">
        <f t="shared" ref="E198:E235" si="142">AVERAGE(E240,E282,E324)*D198</f>
        <v>2600.9966666666669</v>
      </c>
      <c r="F198" s="56">
        <f t="shared" ref="F198:F235" si="143">D198/AVERAGE(F240,F282,F324)*100</f>
        <v>29.603788278048281</v>
      </c>
      <c r="G198" s="35">
        <f t="shared" ref="G198:M207" si="144">AVERAGE(G240,G282,G324)</f>
        <v>10418.553333333379</v>
      </c>
      <c r="H198" s="36">
        <f t="shared" si="144"/>
        <v>1531.3333333333333</v>
      </c>
      <c r="I198" s="35">
        <f t="shared" si="144"/>
        <v>35</v>
      </c>
      <c r="J198" s="34">
        <f t="shared" si="144"/>
        <v>3116</v>
      </c>
      <c r="K198" s="36">
        <f t="shared" si="144"/>
        <v>6836.333333333333</v>
      </c>
      <c r="L198" s="56">
        <f t="shared" si="144"/>
        <v>3833.6666666666665</v>
      </c>
      <c r="M198" s="35">
        <f t="shared" si="144"/>
        <v>1783.6666666666667</v>
      </c>
      <c r="N198" s="52"/>
    </row>
    <row r="199" spans="1:14" outlineLevel="1" x14ac:dyDescent="0.2">
      <c r="A199" s="20">
        <f t="shared" si="140"/>
        <v>3658</v>
      </c>
      <c r="B199" s="19" t="str">
        <f t="shared" si="140"/>
        <v>UT</v>
      </c>
      <c r="C199" s="18"/>
      <c r="D199" s="15">
        <f t="shared" si="141"/>
        <v>8946.3333333333339</v>
      </c>
      <c r="E199" s="116">
        <f t="shared" si="142"/>
        <v>7416.5103333333345</v>
      </c>
      <c r="F199" s="14">
        <f t="shared" si="143"/>
        <v>26.497692061124674</v>
      </c>
      <c r="G199" s="13">
        <f t="shared" si="144"/>
        <v>19398.350000000519</v>
      </c>
      <c r="H199" s="15">
        <f t="shared" si="144"/>
        <v>1876.3333333333333</v>
      </c>
      <c r="I199" s="13">
        <f t="shared" si="144"/>
        <v>66</v>
      </c>
      <c r="J199" s="16">
        <f t="shared" si="144"/>
        <v>3470.3333333333335</v>
      </c>
      <c r="K199" s="15">
        <f t="shared" si="144"/>
        <v>9598.3333333333339</v>
      </c>
      <c r="L199" s="14">
        <f t="shared" si="144"/>
        <v>9005.6666666666661</v>
      </c>
      <c r="M199" s="13">
        <f t="shared" si="144"/>
        <v>7040.333333333333</v>
      </c>
      <c r="N199" s="52"/>
    </row>
    <row r="200" spans="1:14" outlineLevel="1" x14ac:dyDescent="0.2">
      <c r="A200" s="20">
        <f t="shared" si="140"/>
        <v>9741</v>
      </c>
      <c r="B200" s="19" t="str">
        <f t="shared" si="140"/>
        <v>UTD</v>
      </c>
      <c r="C200" s="18"/>
      <c r="D200" s="15">
        <f t="shared" si="141"/>
        <v>2393</v>
      </c>
      <c r="E200" s="116">
        <f t="shared" si="142"/>
        <v>1682.279</v>
      </c>
      <c r="F200" s="14">
        <f t="shared" si="143"/>
        <v>26.829760516638267</v>
      </c>
      <c r="G200" s="13">
        <f t="shared" si="144"/>
        <v>5101.2033333334393</v>
      </c>
      <c r="H200" s="15">
        <f t="shared" si="144"/>
        <v>421.66666666666669</v>
      </c>
      <c r="I200" s="13">
        <f t="shared" si="144"/>
        <v>32</v>
      </c>
      <c r="J200" s="16">
        <f t="shared" si="144"/>
        <v>1319.6666666666667</v>
      </c>
      <c r="K200" s="15">
        <f t="shared" si="144"/>
        <v>3315</v>
      </c>
      <c r="L200" s="14">
        <f t="shared" si="144"/>
        <v>2134.3333333333335</v>
      </c>
      <c r="M200" s="13">
        <f t="shared" si="144"/>
        <v>1021.3333333333334</v>
      </c>
      <c r="N200" s="52"/>
    </row>
    <row r="201" spans="1:14" outlineLevel="1" x14ac:dyDescent="0.2">
      <c r="A201" s="20">
        <f t="shared" si="140"/>
        <v>3661</v>
      </c>
      <c r="B201" s="19" t="str">
        <f t="shared" si="140"/>
        <v>UTEP</v>
      </c>
      <c r="C201" s="18"/>
      <c r="D201" s="15">
        <f t="shared" si="141"/>
        <v>3057</v>
      </c>
      <c r="E201" s="116">
        <f t="shared" si="142"/>
        <v>1192.2299999999998</v>
      </c>
      <c r="F201" s="14">
        <f t="shared" si="143"/>
        <v>22.870894536023343</v>
      </c>
      <c r="G201" s="13">
        <f t="shared" si="144"/>
        <v>6298.0766666668133</v>
      </c>
      <c r="H201" s="15">
        <f t="shared" si="144"/>
        <v>655</v>
      </c>
      <c r="I201" s="13">
        <f t="shared" si="144"/>
        <v>90</v>
      </c>
      <c r="J201" s="16">
        <f t="shared" si="144"/>
        <v>2464.3333333333335</v>
      </c>
      <c r="K201" s="15">
        <f t="shared" si="144"/>
        <v>4362.666666666667</v>
      </c>
      <c r="L201" s="14">
        <f t="shared" si="144"/>
        <v>3358</v>
      </c>
      <c r="M201" s="13">
        <f t="shared" si="144"/>
        <v>1956</v>
      </c>
      <c r="N201" s="52"/>
    </row>
    <row r="202" spans="1:14" outlineLevel="1" x14ac:dyDescent="0.2">
      <c r="A202" s="20">
        <f t="shared" si="140"/>
        <v>3599</v>
      </c>
      <c r="B202" s="19" t="str">
        <f t="shared" si="140"/>
        <v>UTPA</v>
      </c>
      <c r="C202" s="18"/>
      <c r="D202" s="15">
        <f t="shared" si="141"/>
        <v>2580</v>
      </c>
      <c r="E202" s="116">
        <f t="shared" si="142"/>
        <v>1111.98</v>
      </c>
      <c r="F202" s="14">
        <f t="shared" si="143"/>
        <v>20.492490499497837</v>
      </c>
      <c r="G202" s="13">
        <f t="shared" si="144"/>
        <v>5134.1666666667797</v>
      </c>
      <c r="H202" s="15">
        <f t="shared" si="144"/>
        <v>520.33333333333337</v>
      </c>
      <c r="I202" s="13">
        <f t="shared" si="144"/>
        <v>28</v>
      </c>
      <c r="J202" s="16">
        <f t="shared" si="144"/>
        <v>2338.3333333333335</v>
      </c>
      <c r="K202" s="15">
        <f t="shared" si="144"/>
        <v>4075.3333333333335</v>
      </c>
      <c r="L202" s="14">
        <f t="shared" si="144"/>
        <v>3096</v>
      </c>
      <c r="M202" s="13">
        <f t="shared" si="144"/>
        <v>1939.3333333333333</v>
      </c>
      <c r="N202" s="52"/>
    </row>
    <row r="203" spans="1:14" outlineLevel="1" x14ac:dyDescent="0.2">
      <c r="A203" s="20">
        <f t="shared" si="140"/>
        <v>30646</v>
      </c>
      <c r="B203" s="19" t="str">
        <f t="shared" si="140"/>
        <v>UTB</v>
      </c>
      <c r="C203" s="18"/>
      <c r="D203" s="15">
        <f t="shared" si="141"/>
        <v>1092</v>
      </c>
      <c r="E203" s="116">
        <f t="shared" si="142"/>
        <v>628.17092451302005</v>
      </c>
      <c r="F203" s="14">
        <f t="shared" si="143"/>
        <v>34.461236368736628</v>
      </c>
      <c r="G203" s="13">
        <f t="shared" si="144"/>
        <v>2097.7933333333553</v>
      </c>
      <c r="H203" s="15">
        <f t="shared" si="144"/>
        <v>124.33333333333333</v>
      </c>
      <c r="I203" s="13">
        <f t="shared" si="144"/>
        <v>18.333333333333332</v>
      </c>
      <c r="J203" s="16">
        <f t="shared" si="144"/>
        <v>936.66666666666663</v>
      </c>
      <c r="K203" s="15">
        <f t="shared" si="144"/>
        <v>1326.3333333333333</v>
      </c>
      <c r="L203" s="14">
        <f t="shared" si="144"/>
        <v>556.33333333333337</v>
      </c>
      <c r="M203" s="13">
        <f t="shared" si="144"/>
        <v>100.66666666666667</v>
      </c>
      <c r="N203" s="52"/>
    </row>
    <row r="204" spans="1:14" outlineLevel="1" x14ac:dyDescent="0.2">
      <c r="A204" s="20">
        <f t="shared" si="140"/>
        <v>9930</v>
      </c>
      <c r="B204" s="19" t="str">
        <f t="shared" si="140"/>
        <v>UTPB</v>
      </c>
      <c r="C204" s="18"/>
      <c r="D204" s="15">
        <f t="shared" si="141"/>
        <v>533.33333333333337</v>
      </c>
      <c r="E204" s="116">
        <f t="shared" si="142"/>
        <v>236.8</v>
      </c>
      <c r="F204" s="14">
        <f t="shared" si="143"/>
        <v>23.125174643246009</v>
      </c>
      <c r="G204" s="13">
        <f t="shared" si="144"/>
        <v>1001.5166666666704</v>
      </c>
      <c r="H204" s="15">
        <f t="shared" si="144"/>
        <v>41.333333333333336</v>
      </c>
      <c r="I204" s="13">
        <f t="shared" si="144"/>
        <v>10</v>
      </c>
      <c r="J204" s="16">
        <f t="shared" si="144"/>
        <v>399</v>
      </c>
      <c r="K204" s="15">
        <f t="shared" si="144"/>
        <v>785.66666666666663</v>
      </c>
      <c r="L204" s="14">
        <f t="shared" si="144"/>
        <v>491.66666666666669</v>
      </c>
      <c r="M204" s="13">
        <f t="shared" si="144"/>
        <v>194.33333333333334</v>
      </c>
      <c r="N204" s="52"/>
    </row>
    <row r="205" spans="1:14" outlineLevel="1" x14ac:dyDescent="0.2">
      <c r="A205" s="20">
        <f t="shared" si="140"/>
        <v>10115</v>
      </c>
      <c r="B205" s="19" t="str">
        <f t="shared" si="140"/>
        <v>UTSA</v>
      </c>
      <c r="C205" s="18"/>
      <c r="D205" s="15">
        <f t="shared" si="141"/>
        <v>4119.666666666667</v>
      </c>
      <c r="E205" s="116">
        <f t="shared" si="142"/>
        <v>1737.1261111111112</v>
      </c>
      <c r="F205" s="14">
        <f t="shared" si="143"/>
        <v>20.241034101368403</v>
      </c>
      <c r="G205" s="13">
        <f t="shared" si="144"/>
        <v>8414.213333333224</v>
      </c>
      <c r="H205" s="15">
        <f t="shared" si="144"/>
        <v>392</v>
      </c>
      <c r="I205" s="13">
        <f t="shared" si="144"/>
        <v>49.666666666666664</v>
      </c>
      <c r="J205" s="16">
        <f t="shared" si="144"/>
        <v>3123.6666666666665</v>
      </c>
      <c r="K205" s="15">
        <f t="shared" si="144"/>
        <v>6809.666666666667</v>
      </c>
      <c r="L205" s="14">
        <f t="shared" si="144"/>
        <v>4458.666666666667</v>
      </c>
      <c r="M205" s="13">
        <f t="shared" si="144"/>
        <v>2615.6666666666665</v>
      </c>
      <c r="N205" s="52"/>
    </row>
    <row r="206" spans="1:14" outlineLevel="1" x14ac:dyDescent="0.2">
      <c r="A206" s="20">
        <f t="shared" si="140"/>
        <v>11163</v>
      </c>
      <c r="B206" s="19" t="str">
        <f t="shared" si="140"/>
        <v>UTT</v>
      </c>
      <c r="C206" s="18"/>
      <c r="D206" s="15">
        <f t="shared" si="141"/>
        <v>1190</v>
      </c>
      <c r="E206" s="116">
        <f t="shared" si="142"/>
        <v>613.64333333333343</v>
      </c>
      <c r="F206" s="14">
        <f t="shared" si="143"/>
        <v>29.255740517151896</v>
      </c>
      <c r="G206" s="13">
        <f t="shared" si="144"/>
        <v>2362.6600000000103</v>
      </c>
      <c r="H206" s="15">
        <f t="shared" si="144"/>
        <v>376.66666666666669</v>
      </c>
      <c r="I206" s="13">
        <f t="shared" si="144"/>
        <v>14</v>
      </c>
      <c r="J206" s="16">
        <f t="shared" si="144"/>
        <v>942.33333333333337</v>
      </c>
      <c r="K206" s="15">
        <f t="shared" si="144"/>
        <v>1436.3333333333333</v>
      </c>
      <c r="L206" s="14">
        <f t="shared" si="144"/>
        <v>890</v>
      </c>
      <c r="M206" s="13">
        <f t="shared" si="144"/>
        <v>387.33333333333331</v>
      </c>
      <c r="N206" s="52"/>
    </row>
    <row r="207" spans="1:14" outlineLevel="1" x14ac:dyDescent="0.2">
      <c r="A207" s="20">
        <f t="shared" si="140"/>
        <v>3632</v>
      </c>
      <c r="B207" s="19" t="str">
        <f t="shared" si="140"/>
        <v>TAMU</v>
      </c>
      <c r="C207" s="18"/>
      <c r="D207" s="15">
        <f t="shared" si="141"/>
        <v>8739.6666666666661</v>
      </c>
      <c r="E207" s="116">
        <f t="shared" si="142"/>
        <v>7347.1464444444427</v>
      </c>
      <c r="F207" s="14">
        <f t="shared" si="143"/>
        <v>25.241886570842681</v>
      </c>
      <c r="G207" s="13">
        <f t="shared" si="144"/>
        <v>20104.8166666668</v>
      </c>
      <c r="H207" s="15">
        <f t="shared" si="144"/>
        <v>1763</v>
      </c>
      <c r="I207" s="13">
        <f t="shared" si="144"/>
        <v>126</v>
      </c>
      <c r="J207" s="16">
        <f t="shared" si="144"/>
        <v>3724</v>
      </c>
      <c r="K207" s="15">
        <f t="shared" si="144"/>
        <v>10060.666666666666</v>
      </c>
      <c r="L207" s="14">
        <f t="shared" si="144"/>
        <v>8907.3333333333339</v>
      </c>
      <c r="M207" s="13">
        <f t="shared" si="144"/>
        <v>6897.666666666667</v>
      </c>
      <c r="N207" s="52"/>
    </row>
    <row r="208" spans="1:14" outlineLevel="1" x14ac:dyDescent="0.2">
      <c r="A208" s="20">
        <f t="shared" si="140"/>
        <v>10298</v>
      </c>
      <c r="B208" s="19" t="str">
        <f t="shared" si="140"/>
        <v>TAMUG</v>
      </c>
      <c r="C208" s="18"/>
      <c r="D208" s="15">
        <f t="shared" si="141"/>
        <v>275.33333333333331</v>
      </c>
      <c r="E208" s="116">
        <f t="shared" si="142"/>
        <v>172.72577777777778</v>
      </c>
      <c r="F208" s="14">
        <f t="shared" si="143"/>
        <v>16.399301143583227</v>
      </c>
      <c r="G208" s="13">
        <f t="shared" ref="G208:M217" si="145">AVERAGE(G250,G292,G334)</f>
        <v>704.02666666666448</v>
      </c>
      <c r="H208" s="15">
        <f t="shared" si="145"/>
        <v>37.333333333333336</v>
      </c>
      <c r="I208" s="13">
        <f t="shared" si="145"/>
        <v>0</v>
      </c>
      <c r="J208" s="16">
        <f t="shared" si="145"/>
        <v>158</v>
      </c>
      <c r="K208" s="15">
        <f t="shared" si="145"/>
        <v>592.33333333333337</v>
      </c>
      <c r="L208" s="14">
        <f t="shared" si="145"/>
        <v>318</v>
      </c>
      <c r="M208" s="13">
        <f t="shared" si="145"/>
        <v>246</v>
      </c>
      <c r="N208" s="52"/>
    </row>
    <row r="209" spans="1:14" outlineLevel="1" x14ac:dyDescent="0.2">
      <c r="A209" s="20">
        <f t="shared" si="140"/>
        <v>3630</v>
      </c>
      <c r="B209" s="19" t="str">
        <f t="shared" si="140"/>
        <v>Prairie View</v>
      </c>
      <c r="C209" s="18"/>
      <c r="D209" s="15">
        <f t="shared" si="141"/>
        <v>936.33333333333337</v>
      </c>
      <c r="E209" s="116">
        <f t="shared" si="142"/>
        <v>348.00388888888887</v>
      </c>
      <c r="F209" s="14">
        <f t="shared" si="143"/>
        <v>15.823688025296873</v>
      </c>
      <c r="G209" s="13">
        <f t="shared" si="145"/>
        <v>2072.9000000000092</v>
      </c>
      <c r="H209" s="15">
        <f t="shared" si="145"/>
        <v>315.66666666666669</v>
      </c>
      <c r="I209" s="13">
        <f t="shared" si="145"/>
        <v>9.6666666666666661</v>
      </c>
      <c r="J209" s="16">
        <f t="shared" si="145"/>
        <v>802.66666666666663</v>
      </c>
      <c r="K209" s="15">
        <f t="shared" si="145"/>
        <v>1668</v>
      </c>
      <c r="L209" s="14">
        <f t="shared" si="145"/>
        <v>1181</v>
      </c>
      <c r="M209" s="13">
        <f t="shared" si="145"/>
        <v>905.33333333333337</v>
      </c>
      <c r="N209" s="52"/>
    </row>
    <row r="210" spans="1:14" outlineLevel="1" x14ac:dyDescent="0.2">
      <c r="A210" s="20">
        <f t="shared" si="140"/>
        <v>3631</v>
      </c>
      <c r="B210" s="19" t="str">
        <f t="shared" si="140"/>
        <v>Tarleton</v>
      </c>
      <c r="C210" s="18"/>
      <c r="D210" s="15">
        <f t="shared" si="141"/>
        <v>1545.3333333333333</v>
      </c>
      <c r="E210" s="116">
        <f t="shared" si="142"/>
        <v>738.66933333333338</v>
      </c>
      <c r="F210" s="14">
        <f t="shared" si="143"/>
        <v>24.559767752325659</v>
      </c>
      <c r="G210" s="13">
        <f t="shared" si="145"/>
        <v>3122.5433333333599</v>
      </c>
      <c r="H210" s="15">
        <f t="shared" si="145"/>
        <v>203</v>
      </c>
      <c r="I210" s="13">
        <f t="shared" si="145"/>
        <v>47.666666666666664</v>
      </c>
      <c r="J210" s="16">
        <f t="shared" si="145"/>
        <v>1195</v>
      </c>
      <c r="K210" s="15">
        <f t="shared" si="145"/>
        <v>2154.3333333333335</v>
      </c>
      <c r="L210" s="14">
        <f t="shared" si="145"/>
        <v>1328.6666666666667</v>
      </c>
      <c r="M210" s="13">
        <f t="shared" si="145"/>
        <v>862.66666666666663</v>
      </c>
      <c r="N210" s="52"/>
    </row>
    <row r="211" spans="1:14" outlineLevel="1" x14ac:dyDescent="0.2">
      <c r="A211" s="27">
        <f t="shared" si="140"/>
        <v>103631</v>
      </c>
      <c r="B211" s="19" t="str">
        <f t="shared" si="140"/>
        <v>TAMUCT</v>
      </c>
      <c r="C211" s="18"/>
      <c r="D211" s="15">
        <f t="shared" si="141"/>
        <v>460.33333333333331</v>
      </c>
      <c r="E211" s="116">
        <f t="shared" si="142"/>
        <v>220.03933333333333</v>
      </c>
      <c r="F211" s="14">
        <f t="shared" si="143"/>
        <v>67.587849522007247</v>
      </c>
      <c r="G211" s="13">
        <f t="shared" si="145"/>
        <v>853.61666666666588</v>
      </c>
      <c r="H211" s="15">
        <f t="shared" si="145"/>
        <v>40.666666666666664</v>
      </c>
      <c r="I211" s="13">
        <f t="shared" si="145"/>
        <v>0</v>
      </c>
      <c r="J211" s="16">
        <f t="shared" si="145"/>
        <v>327</v>
      </c>
      <c r="K211" s="15">
        <f t="shared" si="145"/>
        <v>495</v>
      </c>
      <c r="L211" s="14">
        <f t="shared" si="145"/>
        <v>133</v>
      </c>
      <c r="M211" s="13">
        <f t="shared" si="145"/>
        <v>34</v>
      </c>
      <c r="N211" s="52"/>
    </row>
    <row r="212" spans="1:14" outlineLevel="1" x14ac:dyDescent="0.2">
      <c r="A212" s="20">
        <f t="shared" si="140"/>
        <v>11161</v>
      </c>
      <c r="B212" s="19" t="str">
        <f t="shared" si="140"/>
        <v>TAMUCC</v>
      </c>
      <c r="C212" s="18"/>
      <c r="D212" s="15">
        <f t="shared" si="141"/>
        <v>1388.3333333333333</v>
      </c>
      <c r="E212" s="116">
        <f t="shared" si="142"/>
        <v>705.27333333333331</v>
      </c>
      <c r="F212" s="14">
        <f t="shared" si="143"/>
        <v>21.376514062820775</v>
      </c>
      <c r="G212" s="13">
        <f t="shared" si="145"/>
        <v>2804.2000000000139</v>
      </c>
      <c r="H212" s="15">
        <f t="shared" si="145"/>
        <v>266.33333333333331</v>
      </c>
      <c r="I212" s="13">
        <f t="shared" si="145"/>
        <v>25.666666666666668</v>
      </c>
      <c r="J212" s="16">
        <f t="shared" si="145"/>
        <v>1080</v>
      </c>
      <c r="K212" s="15">
        <f t="shared" si="145"/>
        <v>2054</v>
      </c>
      <c r="L212" s="14">
        <f t="shared" si="145"/>
        <v>1468</v>
      </c>
      <c r="M212" s="13">
        <f t="shared" si="145"/>
        <v>878.33333333333337</v>
      </c>
      <c r="N212" s="52"/>
    </row>
    <row r="213" spans="1:14" outlineLevel="1" x14ac:dyDescent="0.2">
      <c r="A213" s="20">
        <f t="shared" si="140"/>
        <v>3639</v>
      </c>
      <c r="B213" s="19" t="str">
        <f t="shared" si="140"/>
        <v>TAMUK</v>
      </c>
      <c r="C213" s="18"/>
      <c r="D213" s="15">
        <f t="shared" si="141"/>
        <v>761.66666666666663</v>
      </c>
      <c r="E213" s="116">
        <f t="shared" si="142"/>
        <v>306.44388888888892</v>
      </c>
      <c r="F213" s="14">
        <f t="shared" si="143"/>
        <v>17.879499217527385</v>
      </c>
      <c r="G213" s="13">
        <f t="shared" si="145"/>
        <v>1763.4533333333395</v>
      </c>
      <c r="H213" s="15">
        <f t="shared" si="145"/>
        <v>260</v>
      </c>
      <c r="I213" s="13">
        <f t="shared" si="145"/>
        <v>16.666666666666668</v>
      </c>
      <c r="J213" s="16">
        <f t="shared" si="145"/>
        <v>648.33333333333337</v>
      </c>
      <c r="K213" s="15">
        <f t="shared" si="145"/>
        <v>1227.3333333333333</v>
      </c>
      <c r="L213" s="14">
        <f t="shared" si="145"/>
        <v>859.66666666666663</v>
      </c>
      <c r="M213" s="13">
        <f t="shared" si="145"/>
        <v>558.66666666666663</v>
      </c>
      <c r="N213" s="52"/>
    </row>
    <row r="214" spans="1:14" outlineLevel="1" x14ac:dyDescent="0.2">
      <c r="A214" s="27">
        <f t="shared" si="140"/>
        <v>103639</v>
      </c>
      <c r="B214" s="19" t="str">
        <f t="shared" si="140"/>
        <v>TAMUSA</v>
      </c>
      <c r="C214" s="18"/>
      <c r="D214" s="15">
        <f t="shared" si="141"/>
        <v>587.66666666666663</v>
      </c>
      <c r="E214" s="116">
        <f t="shared" si="142"/>
        <v>236.43788888888889</v>
      </c>
      <c r="F214" s="14">
        <f t="shared" si="143"/>
        <v>41.598502485370922</v>
      </c>
      <c r="G214" s="13">
        <f t="shared" si="145"/>
        <v>1026.0133333333379</v>
      </c>
      <c r="H214" s="15">
        <f t="shared" si="145"/>
        <v>5</v>
      </c>
      <c r="I214" s="13">
        <f t="shared" si="145"/>
        <v>2</v>
      </c>
      <c r="J214" s="16">
        <f t="shared" si="145"/>
        <v>490.33333333333331</v>
      </c>
      <c r="K214" s="15">
        <f t="shared" si="145"/>
        <v>729.66666666666663</v>
      </c>
      <c r="L214" s="14">
        <f t="shared" si="145"/>
        <v>77.333333333333329</v>
      </c>
      <c r="M214" s="13">
        <f t="shared" si="145"/>
        <v>2.6666666666666665</v>
      </c>
      <c r="N214" s="52"/>
    </row>
    <row r="215" spans="1:14" outlineLevel="1" x14ac:dyDescent="0.2">
      <c r="A215" s="20">
        <f t="shared" si="140"/>
        <v>9651</v>
      </c>
      <c r="B215" s="19" t="str">
        <f t="shared" si="140"/>
        <v>TAMI</v>
      </c>
      <c r="C215" s="18"/>
      <c r="D215" s="15">
        <f t="shared" si="141"/>
        <v>789.66666666666663</v>
      </c>
      <c r="E215" s="116">
        <f t="shared" si="142"/>
        <v>373.77555555555551</v>
      </c>
      <c r="F215" s="14">
        <f t="shared" si="143"/>
        <v>19.326154348180779</v>
      </c>
      <c r="G215" s="13">
        <f t="shared" si="145"/>
        <v>1458.4966666666717</v>
      </c>
      <c r="H215" s="15">
        <f t="shared" si="145"/>
        <v>115.66666666666667</v>
      </c>
      <c r="I215" s="13">
        <f t="shared" si="145"/>
        <v>22.333333333333332</v>
      </c>
      <c r="J215" s="16">
        <f t="shared" si="145"/>
        <v>712.66666666666663</v>
      </c>
      <c r="K215" s="15">
        <f t="shared" si="145"/>
        <v>1406.6666666666667</v>
      </c>
      <c r="L215" s="14">
        <f t="shared" si="145"/>
        <v>1015.6666666666666</v>
      </c>
      <c r="M215" s="13">
        <f t="shared" si="145"/>
        <v>473.66666666666669</v>
      </c>
      <c r="N215" s="52"/>
    </row>
    <row r="216" spans="1:14" outlineLevel="1" x14ac:dyDescent="0.2">
      <c r="A216" s="20">
        <f t="shared" si="140"/>
        <v>3665</v>
      </c>
      <c r="B216" s="19" t="str">
        <f t="shared" si="140"/>
        <v>WTAMU</v>
      </c>
      <c r="C216" s="18"/>
      <c r="D216" s="15">
        <f t="shared" si="141"/>
        <v>1255.6666666666667</v>
      </c>
      <c r="E216" s="116">
        <f t="shared" si="142"/>
        <v>591.00044444444438</v>
      </c>
      <c r="F216" s="14">
        <f t="shared" si="143"/>
        <v>23.187721854032869</v>
      </c>
      <c r="G216" s="13">
        <f t="shared" si="145"/>
        <v>2503.5766666666836</v>
      </c>
      <c r="H216" s="15">
        <f t="shared" si="145"/>
        <v>191.66666666666666</v>
      </c>
      <c r="I216" s="13">
        <f t="shared" si="145"/>
        <v>60.666666666666664</v>
      </c>
      <c r="J216" s="16">
        <f t="shared" si="145"/>
        <v>889.33333333333337</v>
      </c>
      <c r="K216" s="15">
        <f t="shared" si="145"/>
        <v>1791.6666666666667</v>
      </c>
      <c r="L216" s="14">
        <f t="shared" si="145"/>
        <v>1212.6666666666667</v>
      </c>
      <c r="M216" s="13">
        <f t="shared" si="145"/>
        <v>661.33333333333337</v>
      </c>
      <c r="N216" s="52"/>
    </row>
    <row r="217" spans="1:14" outlineLevel="1" x14ac:dyDescent="0.2">
      <c r="A217" s="20">
        <f t="shared" si="140"/>
        <v>3565</v>
      </c>
      <c r="B217" s="19" t="str">
        <f t="shared" si="140"/>
        <v>TAMUC</v>
      </c>
      <c r="C217" s="18"/>
      <c r="D217" s="15">
        <f t="shared" si="141"/>
        <v>1324.3333333333333</v>
      </c>
      <c r="E217" s="116">
        <f t="shared" si="142"/>
        <v>582.70666666666659</v>
      </c>
      <c r="F217" s="14">
        <f t="shared" si="143"/>
        <v>28.19543536269185</v>
      </c>
      <c r="G217" s="13">
        <f t="shared" si="145"/>
        <v>2501.8266666666914</v>
      </c>
      <c r="H217" s="15">
        <f t="shared" si="145"/>
        <v>73</v>
      </c>
      <c r="I217" s="13">
        <f t="shared" si="145"/>
        <v>74.333333333333329</v>
      </c>
      <c r="J217" s="16">
        <f t="shared" si="145"/>
        <v>1019.3333333333334</v>
      </c>
      <c r="K217" s="15">
        <f t="shared" si="145"/>
        <v>1893</v>
      </c>
      <c r="L217" s="14">
        <f t="shared" si="145"/>
        <v>1137.3333333333333</v>
      </c>
      <c r="M217" s="13">
        <f t="shared" si="145"/>
        <v>452.33333333333331</v>
      </c>
      <c r="N217" s="52"/>
    </row>
    <row r="218" spans="1:14" outlineLevel="1" x14ac:dyDescent="0.2">
      <c r="A218" s="20">
        <f t="shared" ref="A218:B235" si="146">A176</f>
        <v>29269</v>
      </c>
      <c r="B218" s="19" t="str">
        <f t="shared" si="146"/>
        <v>TAMUT</v>
      </c>
      <c r="C218" s="18"/>
      <c r="D218" s="15">
        <f t="shared" si="141"/>
        <v>345.66666666666669</v>
      </c>
      <c r="E218" s="116">
        <f t="shared" si="142"/>
        <v>187.3602625468375</v>
      </c>
      <c r="F218" s="14">
        <f t="shared" si="143"/>
        <v>38.766355140186917</v>
      </c>
      <c r="G218" s="13">
        <f t="shared" ref="G218:M227" si="147">AVERAGE(G260,G302,G344)</f>
        <v>619.90999999999826</v>
      </c>
      <c r="H218" s="15">
        <f t="shared" si="147"/>
        <v>41.666666666666664</v>
      </c>
      <c r="I218" s="13">
        <f t="shared" si="147"/>
        <v>19.333333333333332</v>
      </c>
      <c r="J218" s="16">
        <f t="shared" si="147"/>
        <v>239</v>
      </c>
      <c r="K218" s="15">
        <f t="shared" si="147"/>
        <v>432.66666666666669</v>
      </c>
      <c r="L218" s="14">
        <f t="shared" si="147"/>
        <v>181</v>
      </c>
      <c r="M218" s="13">
        <f t="shared" si="147"/>
        <v>0.66666666666666663</v>
      </c>
      <c r="N218" s="52"/>
    </row>
    <row r="219" spans="1:14" outlineLevel="1" x14ac:dyDescent="0.2">
      <c r="A219" s="20">
        <f t="shared" si="146"/>
        <v>3652</v>
      </c>
      <c r="B219" s="19" t="str">
        <f t="shared" si="146"/>
        <v>UH</v>
      </c>
      <c r="C219" s="18"/>
      <c r="D219" s="15">
        <f t="shared" si="141"/>
        <v>5098.666666666667</v>
      </c>
      <c r="E219" s="116">
        <f t="shared" si="142"/>
        <v>2734.5848888888891</v>
      </c>
      <c r="F219" s="14">
        <f t="shared" si="143"/>
        <v>21.425049678026625</v>
      </c>
      <c r="G219" s="13">
        <f t="shared" si="147"/>
        <v>10580.246666665944</v>
      </c>
      <c r="H219" s="15">
        <f t="shared" si="147"/>
        <v>737</v>
      </c>
      <c r="I219" s="13">
        <f t="shared" si="147"/>
        <v>62.666666666666664</v>
      </c>
      <c r="J219" s="16">
        <f t="shared" si="147"/>
        <v>3373</v>
      </c>
      <c r="K219" s="15">
        <f t="shared" si="147"/>
        <v>7602.333333333333</v>
      </c>
      <c r="L219" s="14">
        <f t="shared" si="147"/>
        <v>5690.333333333333</v>
      </c>
      <c r="M219" s="13">
        <f t="shared" si="147"/>
        <v>3307.3333333333335</v>
      </c>
      <c r="N219" s="52"/>
    </row>
    <row r="220" spans="1:14" outlineLevel="1" x14ac:dyDescent="0.2">
      <c r="A220" s="20">
        <f t="shared" si="146"/>
        <v>11711</v>
      </c>
      <c r="B220" s="19" t="str">
        <f t="shared" si="146"/>
        <v>UHCL</v>
      </c>
      <c r="C220" s="18"/>
      <c r="D220" s="15">
        <f t="shared" si="141"/>
        <v>1190.6666666666667</v>
      </c>
      <c r="E220" s="116">
        <f t="shared" si="142"/>
        <v>619.34267935898833</v>
      </c>
      <c r="F220" s="14">
        <f t="shared" si="143"/>
        <v>39.693593314763234</v>
      </c>
      <c r="G220" s="13">
        <f t="shared" si="147"/>
        <v>2282.9533333333529</v>
      </c>
      <c r="H220" s="15">
        <f t="shared" si="147"/>
        <v>106.66666666666667</v>
      </c>
      <c r="I220" s="13">
        <f t="shared" si="147"/>
        <v>8.3333333333333339</v>
      </c>
      <c r="J220" s="16">
        <f t="shared" si="147"/>
        <v>774.33333333333337</v>
      </c>
      <c r="K220" s="15">
        <f t="shared" si="147"/>
        <v>1391.3333333333333</v>
      </c>
      <c r="L220" s="14">
        <f t="shared" si="147"/>
        <v>953.66666666666663</v>
      </c>
      <c r="M220" s="13">
        <f t="shared" si="147"/>
        <v>57</v>
      </c>
      <c r="N220" s="52"/>
    </row>
    <row r="221" spans="1:14" outlineLevel="1" x14ac:dyDescent="0.2">
      <c r="A221" s="20">
        <f t="shared" si="146"/>
        <v>12826</v>
      </c>
      <c r="B221" s="19" t="str">
        <f t="shared" si="146"/>
        <v>UHD</v>
      </c>
      <c r="C221" s="18"/>
      <c r="D221" s="15">
        <f t="shared" si="141"/>
        <v>2382.3333333333335</v>
      </c>
      <c r="E221" s="116">
        <f t="shared" si="142"/>
        <v>452.64333333333343</v>
      </c>
      <c r="F221" s="14">
        <f t="shared" si="143"/>
        <v>29.833031863086134</v>
      </c>
      <c r="G221" s="13">
        <f t="shared" si="147"/>
        <v>4271.3166666667212</v>
      </c>
      <c r="H221" s="15">
        <f t="shared" si="147"/>
        <v>129.66666666666666</v>
      </c>
      <c r="I221" s="13">
        <f t="shared" si="147"/>
        <v>1.6666666666666667</v>
      </c>
      <c r="J221" s="16">
        <f t="shared" si="147"/>
        <v>1681</v>
      </c>
      <c r="K221" s="15">
        <f t="shared" si="147"/>
        <v>3105.3333333333335</v>
      </c>
      <c r="L221" s="14">
        <f t="shared" si="147"/>
        <v>1868.3333333333333</v>
      </c>
      <c r="M221" s="13">
        <f t="shared" si="147"/>
        <v>604.66666666666663</v>
      </c>
      <c r="N221" s="52"/>
    </row>
    <row r="222" spans="1:14" outlineLevel="1" x14ac:dyDescent="0.2">
      <c r="A222" s="20">
        <f t="shared" si="146"/>
        <v>13231</v>
      </c>
      <c r="B222" s="19" t="str">
        <f t="shared" si="146"/>
        <v>UHV</v>
      </c>
      <c r="C222" s="18"/>
      <c r="D222" s="15">
        <f t="shared" si="141"/>
        <v>576.66666666666663</v>
      </c>
      <c r="E222" s="116">
        <f t="shared" si="142"/>
        <v>300.19546283886069</v>
      </c>
      <c r="F222" s="14">
        <f t="shared" si="143"/>
        <v>40.08464889245883</v>
      </c>
      <c r="G222" s="13">
        <f t="shared" si="147"/>
        <v>1084.4800000000012</v>
      </c>
      <c r="H222" s="15">
        <f t="shared" si="147"/>
        <v>108</v>
      </c>
      <c r="I222" s="13">
        <f t="shared" si="147"/>
        <v>7.333333333333333</v>
      </c>
      <c r="J222" s="16">
        <f t="shared" si="147"/>
        <v>384</v>
      </c>
      <c r="K222" s="15">
        <f t="shared" si="147"/>
        <v>716</v>
      </c>
      <c r="L222" s="14">
        <f t="shared" si="147"/>
        <v>296.33333333333331</v>
      </c>
      <c r="M222" s="13">
        <f t="shared" si="147"/>
        <v>6.666666666666667</v>
      </c>
      <c r="N222" s="52"/>
    </row>
    <row r="223" spans="1:14" outlineLevel="1" x14ac:dyDescent="0.2">
      <c r="A223" s="20">
        <f t="shared" si="146"/>
        <v>3592</v>
      </c>
      <c r="B223" s="19" t="str">
        <f t="shared" si="146"/>
        <v>Midwestern</v>
      </c>
      <c r="C223" s="18"/>
      <c r="D223" s="15">
        <f t="shared" si="141"/>
        <v>1031.6666666666667</v>
      </c>
      <c r="E223" s="116">
        <f t="shared" si="142"/>
        <v>453.24555555555554</v>
      </c>
      <c r="F223" s="14">
        <f t="shared" si="143"/>
        <v>24.122522148034601</v>
      </c>
      <c r="G223" s="13">
        <f t="shared" si="147"/>
        <v>1962.0000000000034</v>
      </c>
      <c r="H223" s="15">
        <f t="shared" si="147"/>
        <v>333.33333333333331</v>
      </c>
      <c r="I223" s="13">
        <f t="shared" si="147"/>
        <v>15</v>
      </c>
      <c r="J223" s="16">
        <f t="shared" si="147"/>
        <v>690.33333333333337</v>
      </c>
      <c r="K223" s="15">
        <f t="shared" si="147"/>
        <v>1438</v>
      </c>
      <c r="L223" s="14">
        <f t="shared" si="147"/>
        <v>1046</v>
      </c>
      <c r="M223" s="13">
        <f t="shared" si="147"/>
        <v>679.66666666666663</v>
      </c>
      <c r="N223" s="52"/>
    </row>
    <row r="224" spans="1:14" outlineLevel="1" x14ac:dyDescent="0.2">
      <c r="A224" s="20">
        <f t="shared" si="146"/>
        <v>3594</v>
      </c>
      <c r="B224" s="19" t="str">
        <f t="shared" si="146"/>
        <v>UNT</v>
      </c>
      <c r="C224" s="18"/>
      <c r="D224" s="15">
        <f t="shared" si="141"/>
        <v>6016.666666666667</v>
      </c>
      <c r="E224" s="116">
        <f t="shared" si="142"/>
        <v>3467.6055555555558</v>
      </c>
      <c r="F224" s="14">
        <f t="shared" si="143"/>
        <v>25.886944566084125</v>
      </c>
      <c r="G224" s="13">
        <f t="shared" si="147"/>
        <v>11411.553333332529</v>
      </c>
      <c r="H224" s="15">
        <f t="shared" si="147"/>
        <v>336.66666666666669</v>
      </c>
      <c r="I224" s="13">
        <f t="shared" si="147"/>
        <v>43.333333333333336</v>
      </c>
      <c r="J224" s="16">
        <f t="shared" si="147"/>
        <v>3820</v>
      </c>
      <c r="K224" s="15">
        <f t="shared" si="147"/>
        <v>7864.666666666667</v>
      </c>
      <c r="L224" s="14">
        <f t="shared" si="147"/>
        <v>5642.333333333333</v>
      </c>
      <c r="M224" s="13">
        <f t="shared" si="147"/>
        <v>3337</v>
      </c>
      <c r="N224" s="52"/>
    </row>
    <row r="225" spans="1:14" outlineLevel="1" x14ac:dyDescent="0.2">
      <c r="A225" s="27">
        <f t="shared" si="146"/>
        <v>113594</v>
      </c>
      <c r="B225" s="19" t="str">
        <f t="shared" si="146"/>
        <v>UNTD</v>
      </c>
      <c r="C225" s="18"/>
      <c r="D225" s="15">
        <f t="shared" si="141"/>
        <v>403.5</v>
      </c>
      <c r="E225" s="116">
        <f t="shared" si="142"/>
        <v>233.02125000000001</v>
      </c>
      <c r="F225" s="14">
        <f t="shared" si="143"/>
        <v>42.647266065388948</v>
      </c>
      <c r="G225" s="13">
        <f t="shared" si="147"/>
        <v>705.85999999999717</v>
      </c>
      <c r="H225" s="15">
        <f t="shared" si="147"/>
        <v>12</v>
      </c>
      <c r="I225" s="13">
        <f t="shared" si="147"/>
        <v>0</v>
      </c>
      <c r="J225" s="16">
        <f t="shared" si="147"/>
        <v>308.5</v>
      </c>
      <c r="K225" s="15">
        <f t="shared" si="147"/>
        <v>478</v>
      </c>
      <c r="L225" s="14">
        <f t="shared" si="147"/>
        <v>71.5</v>
      </c>
      <c r="M225" s="13">
        <f t="shared" si="147"/>
        <v>11</v>
      </c>
      <c r="N225" s="52"/>
    </row>
    <row r="226" spans="1:14" outlineLevel="1" x14ac:dyDescent="0.2">
      <c r="A226" s="20">
        <f t="shared" si="146"/>
        <v>3624</v>
      </c>
      <c r="B226" s="19" t="str">
        <f t="shared" si="146"/>
        <v>SFA</v>
      </c>
      <c r="C226" s="18"/>
      <c r="D226" s="15">
        <f t="shared" si="141"/>
        <v>1921.6666666666667</v>
      </c>
      <c r="E226" s="116">
        <f t="shared" si="142"/>
        <v>1064.6033333333332</v>
      </c>
      <c r="F226" s="14">
        <f t="shared" si="143"/>
        <v>20.257544310083915</v>
      </c>
      <c r="G226" s="13">
        <f t="shared" si="147"/>
        <v>3721.736666666669</v>
      </c>
      <c r="H226" s="15">
        <f t="shared" si="147"/>
        <v>248</v>
      </c>
      <c r="I226" s="13">
        <f t="shared" si="147"/>
        <v>44.666666666666664</v>
      </c>
      <c r="J226" s="16">
        <f t="shared" si="147"/>
        <v>1460.3333333333333</v>
      </c>
      <c r="K226" s="15">
        <f t="shared" si="147"/>
        <v>2769.3333333333335</v>
      </c>
      <c r="L226" s="14">
        <f t="shared" si="147"/>
        <v>2075</v>
      </c>
      <c r="M226" s="13">
        <f t="shared" si="147"/>
        <v>1397.3333333333333</v>
      </c>
      <c r="N226" s="52"/>
    </row>
    <row r="227" spans="1:14" outlineLevel="1" x14ac:dyDescent="0.2">
      <c r="A227" s="20">
        <f t="shared" si="146"/>
        <v>3642</v>
      </c>
      <c r="B227" s="19" t="str">
        <f t="shared" si="146"/>
        <v>TSU</v>
      </c>
      <c r="C227" s="18"/>
      <c r="D227" s="15">
        <f t="shared" si="141"/>
        <v>758.33333333333337</v>
      </c>
      <c r="E227" s="116">
        <f t="shared" si="142"/>
        <v>108.94722222222221</v>
      </c>
      <c r="F227" s="14">
        <f t="shared" si="143"/>
        <v>12.933681010892716</v>
      </c>
      <c r="G227" s="13">
        <f t="shared" si="147"/>
        <v>1488.6533333333352</v>
      </c>
      <c r="H227" s="15">
        <f t="shared" si="147"/>
        <v>134.33333333333334</v>
      </c>
      <c r="I227" s="13">
        <f t="shared" si="147"/>
        <v>3</v>
      </c>
      <c r="J227" s="16">
        <f t="shared" si="147"/>
        <v>666.33333333333337</v>
      </c>
      <c r="K227" s="15">
        <f t="shared" si="147"/>
        <v>1637.3333333333333</v>
      </c>
      <c r="L227" s="14">
        <f t="shared" si="147"/>
        <v>1133</v>
      </c>
      <c r="M227" s="13">
        <f t="shared" si="147"/>
        <v>848.66666666666663</v>
      </c>
      <c r="N227" s="52"/>
    </row>
    <row r="228" spans="1:14" outlineLevel="1" x14ac:dyDescent="0.2">
      <c r="A228" s="20">
        <f t="shared" si="146"/>
        <v>3644</v>
      </c>
      <c r="B228" s="19" t="str">
        <f t="shared" si="146"/>
        <v>TTU</v>
      </c>
      <c r="C228" s="18"/>
      <c r="D228" s="15">
        <f t="shared" si="141"/>
        <v>4674</v>
      </c>
      <c r="E228" s="116">
        <f t="shared" si="142"/>
        <v>3421.3679999999995</v>
      </c>
      <c r="F228" s="14">
        <f t="shared" si="143"/>
        <v>21.061243127033354</v>
      </c>
      <c r="G228" s="13">
        <f t="shared" ref="G228:M235" si="148">AVERAGE(G270,G312,G354)</f>
        <v>10128.113333332682</v>
      </c>
      <c r="H228" s="15">
        <f t="shared" si="148"/>
        <v>727.33333333333337</v>
      </c>
      <c r="I228" s="13">
        <f t="shared" si="148"/>
        <v>57.333333333333336</v>
      </c>
      <c r="J228" s="16">
        <f t="shared" si="148"/>
        <v>2778</v>
      </c>
      <c r="K228" s="15">
        <f t="shared" si="148"/>
        <v>6485.333333333333</v>
      </c>
      <c r="L228" s="14">
        <f t="shared" si="148"/>
        <v>5278.333333333333</v>
      </c>
      <c r="M228" s="13">
        <f t="shared" si="148"/>
        <v>3945.6666666666665</v>
      </c>
      <c r="N228" s="52"/>
    </row>
    <row r="229" spans="1:14" outlineLevel="1" x14ac:dyDescent="0.2">
      <c r="A229" s="20">
        <f t="shared" si="146"/>
        <v>3541</v>
      </c>
      <c r="B229" s="19" t="str">
        <f t="shared" si="146"/>
        <v>Angelo</v>
      </c>
      <c r="C229" s="18"/>
      <c r="D229" s="15">
        <f t="shared" si="141"/>
        <v>991.33333333333337</v>
      </c>
      <c r="E229" s="116">
        <f t="shared" si="142"/>
        <v>425.94288888888889</v>
      </c>
      <c r="F229" s="14">
        <f t="shared" si="143"/>
        <v>20.305700708264297</v>
      </c>
      <c r="G229" s="13">
        <f t="shared" si="148"/>
        <v>1977.3500000000051</v>
      </c>
      <c r="H229" s="15">
        <f t="shared" si="148"/>
        <v>254.33333333333334</v>
      </c>
      <c r="I229" s="13">
        <f t="shared" si="148"/>
        <v>19.333333333333332</v>
      </c>
      <c r="J229" s="16">
        <f t="shared" si="148"/>
        <v>723</v>
      </c>
      <c r="K229" s="15">
        <f t="shared" si="148"/>
        <v>1438.6666666666667</v>
      </c>
      <c r="L229" s="14">
        <f t="shared" si="148"/>
        <v>1033.6666666666667</v>
      </c>
      <c r="M229" s="13">
        <f t="shared" si="148"/>
        <v>707.66666666666663</v>
      </c>
      <c r="N229" s="52"/>
    </row>
    <row r="230" spans="1:14" outlineLevel="1" x14ac:dyDescent="0.2">
      <c r="A230" s="20">
        <f t="shared" si="146"/>
        <v>3646</v>
      </c>
      <c r="B230" s="19" t="str">
        <f t="shared" si="146"/>
        <v>TWU</v>
      </c>
      <c r="C230" s="18"/>
      <c r="D230" s="15">
        <f t="shared" si="141"/>
        <v>1806</v>
      </c>
      <c r="E230" s="116">
        <f t="shared" si="142"/>
        <v>945.74200000000008</v>
      </c>
      <c r="F230" s="14">
        <f t="shared" si="143"/>
        <v>27.545604295039961</v>
      </c>
      <c r="G230" s="13">
        <f t="shared" si="148"/>
        <v>3452.1766666666658</v>
      </c>
      <c r="H230" s="15">
        <f t="shared" si="148"/>
        <v>569.33333333333337</v>
      </c>
      <c r="I230" s="13">
        <f t="shared" si="148"/>
        <v>31.666666666666668</v>
      </c>
      <c r="J230" s="16">
        <f t="shared" si="148"/>
        <v>1247</v>
      </c>
      <c r="K230" s="15">
        <f t="shared" si="148"/>
        <v>2196</v>
      </c>
      <c r="L230" s="14">
        <f t="shared" si="148"/>
        <v>1292.3333333333333</v>
      </c>
      <c r="M230" s="13">
        <f t="shared" si="148"/>
        <v>659.66666666666663</v>
      </c>
      <c r="N230" s="52"/>
    </row>
    <row r="231" spans="1:14" outlineLevel="1" x14ac:dyDescent="0.2">
      <c r="A231" s="20">
        <f t="shared" si="146"/>
        <v>3581</v>
      </c>
      <c r="B231" s="19" t="str">
        <f t="shared" si="146"/>
        <v>Lamar</v>
      </c>
      <c r="C231" s="18"/>
      <c r="D231" s="15">
        <f t="shared" si="141"/>
        <v>1335.3333333333333</v>
      </c>
      <c r="E231" s="116">
        <f t="shared" si="142"/>
        <v>467.81177777777776</v>
      </c>
      <c r="F231" s="14">
        <f t="shared" si="143"/>
        <v>18.354929164452098</v>
      </c>
      <c r="G231" s="13">
        <f t="shared" si="148"/>
        <v>2684.9000000000165</v>
      </c>
      <c r="H231" s="15">
        <f t="shared" si="148"/>
        <v>330</v>
      </c>
      <c r="I231" s="13">
        <f t="shared" si="148"/>
        <v>17</v>
      </c>
      <c r="J231" s="16">
        <f t="shared" si="148"/>
        <v>948.66666666666663</v>
      </c>
      <c r="K231" s="15">
        <f t="shared" si="148"/>
        <v>2144.6666666666665</v>
      </c>
      <c r="L231" s="14">
        <f t="shared" si="148"/>
        <v>1489</v>
      </c>
      <c r="M231" s="13">
        <f t="shared" si="148"/>
        <v>1011</v>
      </c>
      <c r="N231" s="52"/>
    </row>
    <row r="232" spans="1:14" outlineLevel="1" x14ac:dyDescent="0.2">
      <c r="A232" s="20">
        <f t="shared" si="146"/>
        <v>3606</v>
      </c>
      <c r="B232" s="19" t="str">
        <f t="shared" si="146"/>
        <v>SHSU</v>
      </c>
      <c r="C232" s="18"/>
      <c r="D232" s="15">
        <f t="shared" si="141"/>
        <v>3077.6666666666665</v>
      </c>
      <c r="E232" s="116">
        <f t="shared" si="142"/>
        <v>1805.5644444444445</v>
      </c>
      <c r="F232" s="14">
        <f t="shared" si="143"/>
        <v>24.475654239301015</v>
      </c>
      <c r="G232" s="13">
        <f t="shared" si="148"/>
        <v>5837.0766666667887</v>
      </c>
      <c r="H232" s="15">
        <f t="shared" si="148"/>
        <v>167</v>
      </c>
      <c r="I232" s="13">
        <f t="shared" si="148"/>
        <v>61</v>
      </c>
      <c r="J232" s="16">
        <f t="shared" si="148"/>
        <v>2213.6666666666665</v>
      </c>
      <c r="K232" s="15">
        <f t="shared" si="148"/>
        <v>3894.3333333333335</v>
      </c>
      <c r="L232" s="14">
        <f t="shared" si="148"/>
        <v>2965.3333333333335</v>
      </c>
      <c r="M232" s="13">
        <f t="shared" si="148"/>
        <v>1763.3333333333333</v>
      </c>
    </row>
    <row r="233" spans="1:14" outlineLevel="1" x14ac:dyDescent="0.2">
      <c r="A233" s="20">
        <f t="shared" si="146"/>
        <v>3615</v>
      </c>
      <c r="B233" s="19" t="str">
        <f t="shared" si="146"/>
        <v>TXST</v>
      </c>
      <c r="C233" s="18"/>
      <c r="D233" s="15">
        <f t="shared" si="141"/>
        <v>5361</v>
      </c>
      <c r="E233" s="116">
        <f t="shared" si="142"/>
        <v>3393.5129999999999</v>
      </c>
      <c r="F233" s="14">
        <f t="shared" si="143"/>
        <v>23.406891519786395</v>
      </c>
      <c r="G233" s="13">
        <f t="shared" si="148"/>
        <v>10437.309999999357</v>
      </c>
      <c r="H233" s="15">
        <f t="shared" si="148"/>
        <v>488.66666666666669</v>
      </c>
      <c r="I233" s="13">
        <f t="shared" si="148"/>
        <v>66.666666666666671</v>
      </c>
      <c r="J233" s="16">
        <f t="shared" si="148"/>
        <v>3675.3333333333335</v>
      </c>
      <c r="K233" s="15">
        <f t="shared" si="148"/>
        <v>7470.333333333333</v>
      </c>
      <c r="L233" s="14">
        <f t="shared" si="148"/>
        <v>5579</v>
      </c>
      <c r="M233" s="13">
        <f t="shared" si="148"/>
        <v>3317.3333333333335</v>
      </c>
    </row>
    <row r="234" spans="1:14" outlineLevel="1" x14ac:dyDescent="0.2">
      <c r="A234" s="20">
        <f t="shared" si="146"/>
        <v>3625</v>
      </c>
      <c r="B234" s="19" t="str">
        <f t="shared" si="146"/>
        <v>SRSU</v>
      </c>
      <c r="C234" s="18"/>
      <c r="D234" s="15">
        <f t="shared" si="141"/>
        <v>189.33333333333334</v>
      </c>
      <c r="E234" s="116">
        <f t="shared" si="142"/>
        <v>56.989333333333335</v>
      </c>
      <c r="F234" s="14">
        <f t="shared" si="143"/>
        <v>15.518843008324076</v>
      </c>
      <c r="G234" s="13">
        <f t="shared" si="148"/>
        <v>394.32999999999964</v>
      </c>
      <c r="H234" s="15">
        <f t="shared" si="148"/>
        <v>12.666666666666666</v>
      </c>
      <c r="I234" s="13">
        <f t="shared" si="148"/>
        <v>6.333333333333333</v>
      </c>
      <c r="J234" s="16">
        <f t="shared" si="148"/>
        <v>163</v>
      </c>
      <c r="K234" s="15">
        <f t="shared" si="148"/>
        <v>300</v>
      </c>
      <c r="L234" s="14">
        <f t="shared" si="148"/>
        <v>193.66666666666666</v>
      </c>
      <c r="M234" s="13">
        <f t="shared" si="148"/>
        <v>131.66666666666666</v>
      </c>
      <c r="N234" s="41"/>
    </row>
    <row r="235" spans="1:14" outlineLevel="1" x14ac:dyDescent="0.2">
      <c r="A235" s="20">
        <f t="shared" si="146"/>
        <v>20</v>
      </c>
      <c r="B235" s="19" t="str">
        <f t="shared" si="146"/>
        <v>SRRG</v>
      </c>
      <c r="C235" s="18"/>
      <c r="D235" s="15">
        <f t="shared" si="141"/>
        <v>161.66666666666666</v>
      </c>
      <c r="E235" s="116">
        <f t="shared" si="142"/>
        <v>51.365976618337754</v>
      </c>
      <c r="F235" s="14">
        <f t="shared" si="143"/>
        <v>36.596408270033706</v>
      </c>
      <c r="G235" s="13">
        <f t="shared" si="148"/>
        <v>279.16999999999979</v>
      </c>
      <c r="H235" s="15">
        <f t="shared" si="148"/>
        <v>6.333333333333333</v>
      </c>
      <c r="I235" s="13">
        <f t="shared" si="148"/>
        <v>5.666666666666667</v>
      </c>
      <c r="J235" s="16">
        <f t="shared" si="148"/>
        <v>144</v>
      </c>
      <c r="K235" s="15">
        <f t="shared" si="148"/>
        <v>230</v>
      </c>
      <c r="L235" s="14">
        <f t="shared" si="148"/>
        <v>92.666666666666671</v>
      </c>
      <c r="M235" s="13">
        <f t="shared" si="148"/>
        <v>4.333333333333333</v>
      </c>
    </row>
    <row r="236" spans="1:14" ht="13.5" outlineLevel="1" thickBot="1" x14ac:dyDescent="0.25">
      <c r="A236" s="12"/>
      <c r="B236" s="11" t="s">
        <v>11</v>
      </c>
      <c r="C236" s="10"/>
      <c r="D236" s="9">
        <f t="shared" ref="D236:M236" si="149">SUM(D198:D235)</f>
        <v>84315.833333333314</v>
      </c>
      <c r="E236" s="117">
        <f t="shared" si="149"/>
        <v>49031.80588920939</v>
      </c>
      <c r="F236" s="7">
        <f t="shared" si="149"/>
        <v>1017.4700431877567</v>
      </c>
      <c r="G236" s="3">
        <f t="shared" si="149"/>
        <v>172461.13999999844</v>
      </c>
      <c r="H236" s="5">
        <f t="shared" si="149"/>
        <v>13953.333333333332</v>
      </c>
      <c r="I236" s="3">
        <f t="shared" si="149"/>
        <v>1198.3333333333335</v>
      </c>
      <c r="J236" s="6">
        <f t="shared" si="149"/>
        <v>54446.500000000007</v>
      </c>
      <c r="K236" s="5">
        <f t="shared" si="149"/>
        <v>114212.66666666664</v>
      </c>
      <c r="L236" s="4">
        <f t="shared" si="149"/>
        <v>82344.5</v>
      </c>
      <c r="M236" s="3">
        <f t="shared" si="149"/>
        <v>50801.999999999993</v>
      </c>
    </row>
    <row r="237" spans="1:14" ht="13.5" thickBot="1" x14ac:dyDescent="0.25">
      <c r="A237" s="42" t="s">
        <v>27</v>
      </c>
      <c r="B237" s="42"/>
      <c r="C237" s="42"/>
      <c r="D237" s="51"/>
      <c r="F237" s="51"/>
      <c r="J237" s="51"/>
    </row>
    <row r="238" spans="1:14" ht="12.75" customHeight="1" outlineLevel="1" x14ac:dyDescent="0.2">
      <c r="A238" s="234" t="s">
        <v>24</v>
      </c>
      <c r="B238" s="236" t="s">
        <v>23</v>
      </c>
      <c r="C238" s="238"/>
      <c r="D238" s="240" t="s">
        <v>28</v>
      </c>
      <c r="E238" s="242" t="s">
        <v>21</v>
      </c>
      <c r="F238" s="236" t="s">
        <v>20</v>
      </c>
      <c r="G238" s="221" t="s">
        <v>19</v>
      </c>
      <c r="H238" s="223" t="s">
        <v>18</v>
      </c>
      <c r="I238" s="225" t="s">
        <v>17</v>
      </c>
      <c r="J238" s="227" t="s">
        <v>16</v>
      </c>
      <c r="K238" s="229" t="s">
        <v>15</v>
      </c>
      <c r="L238" s="230"/>
      <c r="M238" s="231"/>
    </row>
    <row r="239" spans="1:14" s="41" customFormat="1" ht="36" customHeight="1" outlineLevel="1" thickBot="1" x14ac:dyDescent="0.25">
      <c r="A239" s="235"/>
      <c r="B239" s="237"/>
      <c r="C239" s="239"/>
      <c r="D239" s="241"/>
      <c r="E239" s="243"/>
      <c r="F239" s="237"/>
      <c r="G239" s="222"/>
      <c r="H239" s="224"/>
      <c r="I239" s="226"/>
      <c r="J239" s="228"/>
      <c r="K239" s="188" t="s">
        <v>14</v>
      </c>
      <c r="L239" s="189" t="s">
        <v>13</v>
      </c>
      <c r="M239" s="190" t="s">
        <v>12</v>
      </c>
      <c r="N239" s="1"/>
    </row>
    <row r="240" spans="1:14" outlineLevel="1" x14ac:dyDescent="0.2">
      <c r="A240" s="40">
        <f t="shared" ref="A240:B259" si="150">A198</f>
        <v>3656</v>
      </c>
      <c r="B240" s="39" t="str">
        <f t="shared" si="150"/>
        <v>UTA</v>
      </c>
      <c r="C240" s="38"/>
      <c r="D240" s="33">
        <v>5773</v>
      </c>
      <c r="E240" s="37">
        <v>0.55500000000000005</v>
      </c>
      <c r="F240" s="32">
        <v>17781.466666666667</v>
      </c>
      <c r="G240" s="48">
        <v>12087.560000000249</v>
      </c>
      <c r="H240" s="36">
        <v>2140</v>
      </c>
      <c r="I240" s="35">
        <v>43</v>
      </c>
      <c r="J240" s="34">
        <v>3528</v>
      </c>
      <c r="K240" s="50">
        <v>6893</v>
      </c>
      <c r="L240" s="49">
        <v>3962</v>
      </c>
      <c r="M240" s="48">
        <v>1894</v>
      </c>
    </row>
    <row r="241" spans="1:13" outlineLevel="1" x14ac:dyDescent="0.2">
      <c r="A241" s="20">
        <f t="shared" si="150"/>
        <v>3658</v>
      </c>
      <c r="B241" s="19" t="str">
        <f t="shared" si="150"/>
        <v>UT</v>
      </c>
      <c r="C241" s="18"/>
      <c r="D241" s="15">
        <v>8860</v>
      </c>
      <c r="E241" s="21">
        <v>0.82499999999999996</v>
      </c>
      <c r="F241" s="14">
        <v>33841.466666666667</v>
      </c>
      <c r="G241" s="28">
        <v>19542.67999999996</v>
      </c>
      <c r="H241" s="15">
        <v>1981</v>
      </c>
      <c r="I241" s="13">
        <v>83</v>
      </c>
      <c r="J241" s="16">
        <v>3501</v>
      </c>
      <c r="K241" s="30">
        <v>9260</v>
      </c>
      <c r="L241" s="29">
        <v>8373</v>
      </c>
      <c r="M241" s="28">
        <v>6348</v>
      </c>
    </row>
    <row r="242" spans="1:13" outlineLevel="1" x14ac:dyDescent="0.2">
      <c r="A242" s="20">
        <f t="shared" si="150"/>
        <v>9741</v>
      </c>
      <c r="B242" s="19" t="str">
        <f t="shared" si="150"/>
        <v>UTD</v>
      </c>
      <c r="C242" s="18"/>
      <c r="D242" s="15">
        <v>2510</v>
      </c>
      <c r="E242" s="21">
        <v>0.71900000000000008</v>
      </c>
      <c r="F242" s="14">
        <v>9826.5333333333328</v>
      </c>
      <c r="G242" s="28">
        <v>5443.8700000002518</v>
      </c>
      <c r="H242" s="15">
        <v>449</v>
      </c>
      <c r="I242" s="13">
        <v>33</v>
      </c>
      <c r="J242" s="16">
        <v>1410</v>
      </c>
      <c r="K242" s="30">
        <v>3522</v>
      </c>
      <c r="L242" s="29">
        <v>2348</v>
      </c>
      <c r="M242" s="28">
        <v>1065</v>
      </c>
    </row>
    <row r="243" spans="1:13" outlineLevel="1" x14ac:dyDescent="0.2">
      <c r="A243" s="20">
        <f t="shared" si="150"/>
        <v>3661</v>
      </c>
      <c r="B243" s="19" t="str">
        <f t="shared" si="150"/>
        <v>UTEP</v>
      </c>
      <c r="C243" s="18"/>
      <c r="D243" s="15">
        <v>3132</v>
      </c>
      <c r="E243" s="21">
        <v>0.41200000000000003</v>
      </c>
      <c r="F243" s="14">
        <v>13931.066666666668</v>
      </c>
      <c r="G243" s="28">
        <v>6456.0600000003096</v>
      </c>
      <c r="H243" s="15">
        <v>643</v>
      </c>
      <c r="I243" s="13">
        <v>86</v>
      </c>
      <c r="J243" s="16">
        <v>2590</v>
      </c>
      <c r="K243" s="30">
        <v>4400</v>
      </c>
      <c r="L243" s="29">
        <v>3304</v>
      </c>
      <c r="M243" s="28">
        <v>1986</v>
      </c>
    </row>
    <row r="244" spans="1:13" outlineLevel="1" x14ac:dyDescent="0.2">
      <c r="A244" s="20">
        <f t="shared" si="150"/>
        <v>3599</v>
      </c>
      <c r="B244" s="19" t="str">
        <f t="shared" si="150"/>
        <v>UTPA</v>
      </c>
      <c r="C244" s="18"/>
      <c r="D244" s="15">
        <v>2462</v>
      </c>
      <c r="E244" s="21">
        <v>0.44</v>
      </c>
      <c r="F244" s="14">
        <v>12698.333333333334</v>
      </c>
      <c r="G244" s="28">
        <v>5000.2800000001325</v>
      </c>
      <c r="H244" s="15">
        <v>547</v>
      </c>
      <c r="I244" s="13">
        <v>19</v>
      </c>
      <c r="J244" s="16">
        <v>2247</v>
      </c>
      <c r="K244" s="30">
        <v>3730</v>
      </c>
      <c r="L244" s="29">
        <v>2862</v>
      </c>
      <c r="M244" s="28">
        <v>1896</v>
      </c>
    </row>
    <row r="245" spans="1:13" outlineLevel="1" x14ac:dyDescent="0.2">
      <c r="A245" s="20">
        <f t="shared" si="150"/>
        <v>30646</v>
      </c>
      <c r="B245" s="19" t="str">
        <f t="shared" si="150"/>
        <v>UTB</v>
      </c>
      <c r="C245" s="18"/>
      <c r="D245" s="15">
        <v>1149</v>
      </c>
      <c r="E245" s="17">
        <v>0.52783109404990403</v>
      </c>
      <c r="F245" s="14">
        <v>3400.5333333333333</v>
      </c>
      <c r="G245" s="28">
        <v>2236.3100000000127</v>
      </c>
      <c r="H245" s="15">
        <v>133</v>
      </c>
      <c r="I245" s="13">
        <v>21</v>
      </c>
      <c r="J245" s="16">
        <v>978</v>
      </c>
      <c r="K245" s="30">
        <v>1243</v>
      </c>
      <c r="L245" s="29">
        <v>486</v>
      </c>
      <c r="M245" s="28">
        <v>99</v>
      </c>
    </row>
    <row r="246" spans="1:13" outlineLevel="1" x14ac:dyDescent="0.2">
      <c r="A246" s="20">
        <f t="shared" si="150"/>
        <v>9930</v>
      </c>
      <c r="B246" s="19" t="str">
        <f t="shared" si="150"/>
        <v>UTPB</v>
      </c>
      <c r="C246" s="18"/>
      <c r="D246" s="15">
        <v>546</v>
      </c>
      <c r="E246" s="21">
        <v>0.47899999999999998</v>
      </c>
      <c r="F246" s="14">
        <v>2343.2666666666669</v>
      </c>
      <c r="G246" s="28">
        <v>1054.6599999999951</v>
      </c>
      <c r="H246" s="15">
        <v>51</v>
      </c>
      <c r="I246" s="13">
        <v>7</v>
      </c>
      <c r="J246" s="16">
        <v>411</v>
      </c>
      <c r="K246" s="30">
        <v>742</v>
      </c>
      <c r="L246" s="29">
        <v>535</v>
      </c>
      <c r="M246" s="28">
        <v>210</v>
      </c>
    </row>
    <row r="247" spans="1:13" outlineLevel="1" x14ac:dyDescent="0.2">
      <c r="A247" s="20">
        <f t="shared" si="150"/>
        <v>10115</v>
      </c>
      <c r="B247" s="19" t="str">
        <f t="shared" si="150"/>
        <v>UTSA</v>
      </c>
      <c r="C247" s="18"/>
      <c r="D247" s="15">
        <v>4243</v>
      </c>
      <c r="E247" s="21">
        <v>0.43099999999999999</v>
      </c>
      <c r="F247" s="14">
        <v>21066.866666666665</v>
      </c>
      <c r="G247" s="28">
        <v>8736.7000000001954</v>
      </c>
      <c r="H247" s="15">
        <v>407</v>
      </c>
      <c r="I247" s="13">
        <v>63</v>
      </c>
      <c r="J247" s="16">
        <v>3204</v>
      </c>
      <c r="K247" s="30">
        <v>6815</v>
      </c>
      <c r="L247" s="29">
        <v>4371</v>
      </c>
      <c r="M247" s="28">
        <v>2560</v>
      </c>
    </row>
    <row r="248" spans="1:13" outlineLevel="1" x14ac:dyDescent="0.2">
      <c r="A248" s="20">
        <f t="shared" si="150"/>
        <v>11163</v>
      </c>
      <c r="B248" s="19" t="str">
        <f t="shared" si="150"/>
        <v>UTT</v>
      </c>
      <c r="C248" s="18"/>
      <c r="D248" s="15">
        <v>1144</v>
      </c>
      <c r="E248" s="21">
        <v>0.51800000000000002</v>
      </c>
      <c r="F248" s="14">
        <v>4086.7333333333331</v>
      </c>
      <c r="G248" s="28">
        <v>2263.8699999999944</v>
      </c>
      <c r="H248" s="15">
        <v>392</v>
      </c>
      <c r="I248" s="13">
        <v>23</v>
      </c>
      <c r="J248" s="16">
        <v>886</v>
      </c>
      <c r="K248" s="30">
        <v>1409</v>
      </c>
      <c r="L248" s="29">
        <v>844</v>
      </c>
      <c r="M248" s="28">
        <v>383</v>
      </c>
    </row>
    <row r="249" spans="1:13" outlineLevel="1" x14ac:dyDescent="0.2">
      <c r="A249" s="20">
        <f t="shared" si="150"/>
        <v>3632</v>
      </c>
      <c r="B249" s="19" t="str">
        <f t="shared" si="150"/>
        <v>TAMU</v>
      </c>
      <c r="C249" s="18"/>
      <c r="D249" s="15">
        <v>9020</v>
      </c>
      <c r="E249" s="21">
        <v>0.84200000000000008</v>
      </c>
      <c r="F249" s="14">
        <v>35116.666666666664</v>
      </c>
      <c r="G249" s="28">
        <v>21108.189999999984</v>
      </c>
      <c r="H249" s="15">
        <v>1934</v>
      </c>
      <c r="I249" s="13">
        <v>137</v>
      </c>
      <c r="J249" s="16">
        <v>3915</v>
      </c>
      <c r="K249" s="30">
        <v>10547</v>
      </c>
      <c r="L249" s="29">
        <v>8924</v>
      </c>
      <c r="M249" s="28">
        <v>6938</v>
      </c>
    </row>
    <row r="250" spans="1:13" outlineLevel="1" x14ac:dyDescent="0.2">
      <c r="A250" s="20">
        <f t="shared" si="150"/>
        <v>10298</v>
      </c>
      <c r="B250" s="19" t="str">
        <f t="shared" si="150"/>
        <v>TAMUG</v>
      </c>
      <c r="C250" s="18"/>
      <c r="D250" s="15">
        <v>314</v>
      </c>
      <c r="E250" s="21">
        <v>0.626</v>
      </c>
      <c r="F250" s="14">
        <v>1769.4666666666667</v>
      </c>
      <c r="G250" s="28">
        <v>826.3399999999923</v>
      </c>
      <c r="H250" s="15">
        <v>46</v>
      </c>
      <c r="I250" s="13">
        <v>0</v>
      </c>
      <c r="J250" s="16">
        <v>186</v>
      </c>
      <c r="K250" s="30">
        <v>607</v>
      </c>
      <c r="L250" s="29">
        <v>296</v>
      </c>
      <c r="M250" s="28">
        <v>263</v>
      </c>
    </row>
    <row r="251" spans="1:13" outlineLevel="1" x14ac:dyDescent="0.2">
      <c r="A251" s="20">
        <f t="shared" si="150"/>
        <v>3630</v>
      </c>
      <c r="B251" s="19" t="str">
        <f t="shared" si="150"/>
        <v>Prairie View</v>
      </c>
      <c r="C251" s="18"/>
      <c r="D251" s="15">
        <v>1026</v>
      </c>
      <c r="E251" s="21">
        <v>0.40299999999999997</v>
      </c>
      <c r="F251" s="14">
        <v>5822.8</v>
      </c>
      <c r="G251" s="28">
        <v>2288.9700000000062</v>
      </c>
      <c r="H251" s="15">
        <v>373</v>
      </c>
      <c r="I251" s="13">
        <v>11</v>
      </c>
      <c r="J251" s="16">
        <v>877</v>
      </c>
      <c r="K251" s="30">
        <v>1701</v>
      </c>
      <c r="L251" s="29">
        <v>1132</v>
      </c>
      <c r="M251" s="28">
        <v>871</v>
      </c>
    </row>
    <row r="252" spans="1:13" outlineLevel="1" x14ac:dyDescent="0.2">
      <c r="A252" s="20">
        <f t="shared" si="150"/>
        <v>3631</v>
      </c>
      <c r="B252" s="19" t="str">
        <f t="shared" si="150"/>
        <v>Tarleton</v>
      </c>
      <c r="C252" s="18"/>
      <c r="D252" s="15">
        <v>1662</v>
      </c>
      <c r="E252" s="21">
        <v>0.47600000000000003</v>
      </c>
      <c r="F252" s="14">
        <v>6766.4</v>
      </c>
      <c r="G252" s="28">
        <v>3337.2399999999966</v>
      </c>
      <c r="H252" s="15">
        <v>229</v>
      </c>
      <c r="I252" s="13">
        <v>49</v>
      </c>
      <c r="J252" s="16">
        <v>1296</v>
      </c>
      <c r="K252" s="30">
        <v>2227</v>
      </c>
      <c r="L252" s="29">
        <v>1216</v>
      </c>
      <c r="M252" s="28">
        <v>845</v>
      </c>
    </row>
    <row r="253" spans="1:13" outlineLevel="1" x14ac:dyDescent="0.2">
      <c r="A253" s="27">
        <f t="shared" si="150"/>
        <v>103631</v>
      </c>
      <c r="B253" s="19" t="str">
        <f t="shared" si="150"/>
        <v>TAMUCT</v>
      </c>
      <c r="C253" s="18"/>
      <c r="D253" s="15">
        <v>469</v>
      </c>
      <c r="E253" s="21">
        <f>E252</f>
        <v>0.47600000000000003</v>
      </c>
      <c r="F253" s="14">
        <v>684.13333333333333</v>
      </c>
      <c r="G253" s="28">
        <v>882.20999999999208</v>
      </c>
      <c r="H253" s="15">
        <v>42</v>
      </c>
      <c r="I253" s="13">
        <v>0</v>
      </c>
      <c r="J253" s="16">
        <v>329</v>
      </c>
      <c r="K253" s="30">
        <v>550</v>
      </c>
      <c r="L253" s="29">
        <v>119</v>
      </c>
      <c r="M253" s="28">
        <v>5</v>
      </c>
    </row>
    <row r="254" spans="1:13" outlineLevel="1" x14ac:dyDescent="0.2">
      <c r="A254" s="20">
        <f t="shared" si="150"/>
        <v>11161</v>
      </c>
      <c r="B254" s="19" t="str">
        <f t="shared" si="150"/>
        <v>TAMUCC</v>
      </c>
      <c r="C254" s="18"/>
      <c r="D254" s="15">
        <v>1515</v>
      </c>
      <c r="E254" s="21">
        <v>0.51</v>
      </c>
      <c r="F254" s="14">
        <v>6742.2</v>
      </c>
      <c r="G254" s="28">
        <v>3028.8999999999978</v>
      </c>
      <c r="H254" s="15">
        <v>310</v>
      </c>
      <c r="I254" s="13">
        <v>23</v>
      </c>
      <c r="J254" s="16">
        <v>1182</v>
      </c>
      <c r="K254" s="30">
        <v>1957</v>
      </c>
      <c r="L254" s="29">
        <v>1470</v>
      </c>
      <c r="M254" s="28">
        <v>959</v>
      </c>
    </row>
    <row r="255" spans="1:13" outlineLevel="1" x14ac:dyDescent="0.2">
      <c r="A255" s="20">
        <f t="shared" si="150"/>
        <v>3639</v>
      </c>
      <c r="B255" s="19" t="str">
        <f t="shared" si="150"/>
        <v>TAMUK</v>
      </c>
      <c r="C255" s="18"/>
      <c r="D255" s="15">
        <v>855</v>
      </c>
      <c r="E255" s="21">
        <v>0.39200000000000002</v>
      </c>
      <c r="F255" s="14">
        <v>4577.5333333333338</v>
      </c>
      <c r="G255" s="28">
        <v>1952.6200000000099</v>
      </c>
      <c r="H255" s="15">
        <v>298</v>
      </c>
      <c r="I255" s="13">
        <v>19</v>
      </c>
      <c r="J255" s="16">
        <v>742</v>
      </c>
      <c r="K255" s="30">
        <v>1343</v>
      </c>
      <c r="L255" s="29">
        <v>910</v>
      </c>
      <c r="M255" s="28">
        <v>571</v>
      </c>
    </row>
    <row r="256" spans="1:13" outlineLevel="1" x14ac:dyDescent="0.2">
      <c r="A256" s="27">
        <f t="shared" si="150"/>
        <v>103639</v>
      </c>
      <c r="B256" s="19" t="str">
        <f t="shared" si="150"/>
        <v>TAMUSA</v>
      </c>
      <c r="C256" s="18"/>
      <c r="D256" s="15">
        <v>647</v>
      </c>
      <c r="E256" s="21">
        <f>E255</f>
        <v>0.39200000000000002</v>
      </c>
      <c r="F256" s="14">
        <v>1673.0666666666666</v>
      </c>
      <c r="G256" s="28">
        <v>1155.5399999999984</v>
      </c>
      <c r="H256" s="15">
        <v>10</v>
      </c>
      <c r="I256" s="13">
        <v>4</v>
      </c>
      <c r="J256" s="16">
        <v>549</v>
      </c>
      <c r="K256" s="30">
        <v>887</v>
      </c>
      <c r="L256" s="29">
        <v>190</v>
      </c>
      <c r="M256" s="28">
        <v>1</v>
      </c>
    </row>
    <row r="257" spans="1:13" outlineLevel="1" x14ac:dyDescent="0.2">
      <c r="A257" s="20">
        <f t="shared" si="150"/>
        <v>9651</v>
      </c>
      <c r="B257" s="19" t="str">
        <f t="shared" si="150"/>
        <v>TAMI</v>
      </c>
      <c r="C257" s="18"/>
      <c r="D257" s="15">
        <v>805</v>
      </c>
      <c r="E257" s="21">
        <v>0.45700000000000002</v>
      </c>
      <c r="F257" s="14">
        <v>4312.1333333333332</v>
      </c>
      <c r="G257" s="28">
        <v>1498.7699999999936</v>
      </c>
      <c r="H257" s="15">
        <v>142</v>
      </c>
      <c r="I257" s="13">
        <v>23</v>
      </c>
      <c r="J257" s="16">
        <v>737</v>
      </c>
      <c r="K257" s="30">
        <v>1292</v>
      </c>
      <c r="L257" s="29">
        <v>1039</v>
      </c>
      <c r="M257" s="28">
        <v>488</v>
      </c>
    </row>
    <row r="258" spans="1:13" outlineLevel="1" x14ac:dyDescent="0.2">
      <c r="A258" s="20">
        <f t="shared" si="150"/>
        <v>3665</v>
      </c>
      <c r="B258" s="19" t="str">
        <f t="shared" si="150"/>
        <v>WTAMU</v>
      </c>
      <c r="C258" s="18"/>
      <c r="D258" s="15">
        <v>1253</v>
      </c>
      <c r="E258" s="21">
        <v>0.48200000000000004</v>
      </c>
      <c r="F258" s="14">
        <v>5523.2</v>
      </c>
      <c r="G258" s="28">
        <v>2523.9800000000132</v>
      </c>
      <c r="H258" s="15">
        <v>175</v>
      </c>
      <c r="I258" s="13">
        <v>60</v>
      </c>
      <c r="J258" s="16">
        <v>902</v>
      </c>
      <c r="K258" s="30">
        <v>1631</v>
      </c>
      <c r="L258" s="29">
        <v>1213</v>
      </c>
      <c r="M258" s="28">
        <v>689</v>
      </c>
    </row>
    <row r="259" spans="1:13" outlineLevel="1" x14ac:dyDescent="0.2">
      <c r="A259" s="20">
        <f t="shared" si="150"/>
        <v>3565</v>
      </c>
      <c r="B259" s="19" t="str">
        <f t="shared" si="150"/>
        <v>TAMUC</v>
      </c>
      <c r="C259" s="18"/>
      <c r="D259" s="15">
        <v>1507</v>
      </c>
      <c r="E259" s="21">
        <v>0.44600000000000001</v>
      </c>
      <c r="F259" s="14">
        <v>5135.2666666666664</v>
      </c>
      <c r="G259" s="28">
        <v>2861.9500000000121</v>
      </c>
      <c r="H259" s="15">
        <v>89</v>
      </c>
      <c r="I259" s="13">
        <v>81</v>
      </c>
      <c r="J259" s="16">
        <v>1172</v>
      </c>
      <c r="K259" s="30">
        <v>2056</v>
      </c>
      <c r="L259" s="29">
        <v>1174</v>
      </c>
      <c r="M259" s="28">
        <v>457</v>
      </c>
    </row>
    <row r="260" spans="1:13" outlineLevel="1" x14ac:dyDescent="0.2">
      <c r="A260" s="20">
        <f t="shared" ref="A260:B277" si="151">A218</f>
        <v>29269</v>
      </c>
      <c r="B260" s="19" t="str">
        <f t="shared" si="151"/>
        <v>TAMUT</v>
      </c>
      <c r="C260" s="18"/>
      <c r="D260" s="15">
        <v>376</v>
      </c>
      <c r="E260" s="17">
        <v>0.49242424242424243</v>
      </c>
      <c r="F260" s="14">
        <v>1101.2666666666667</v>
      </c>
      <c r="G260" s="28">
        <v>680.4399999999946</v>
      </c>
      <c r="H260" s="15">
        <v>47</v>
      </c>
      <c r="I260" s="13">
        <v>25</v>
      </c>
      <c r="J260" s="16">
        <v>277</v>
      </c>
      <c r="K260" s="30">
        <v>484</v>
      </c>
      <c r="L260" s="29">
        <v>219</v>
      </c>
      <c r="M260" s="28">
        <v>1</v>
      </c>
    </row>
    <row r="261" spans="1:13" outlineLevel="1" x14ac:dyDescent="0.2">
      <c r="A261" s="20">
        <f t="shared" si="151"/>
        <v>3652</v>
      </c>
      <c r="B261" s="19" t="str">
        <f t="shared" si="151"/>
        <v>UH</v>
      </c>
      <c r="C261" s="18"/>
      <c r="D261" s="15">
        <v>5426</v>
      </c>
      <c r="E261" s="21">
        <v>0.53600000000000003</v>
      </c>
      <c r="F261" s="14">
        <v>24760.400000000001</v>
      </c>
      <c r="G261" s="28">
        <v>11378.949999999324</v>
      </c>
      <c r="H261" s="15">
        <v>835</v>
      </c>
      <c r="I261" s="13">
        <v>60</v>
      </c>
      <c r="J261" s="16">
        <v>3688</v>
      </c>
      <c r="K261" s="30">
        <v>7823</v>
      </c>
      <c r="L261" s="29">
        <v>5667</v>
      </c>
      <c r="M261" s="28">
        <v>3232</v>
      </c>
    </row>
    <row r="262" spans="1:13" outlineLevel="1" x14ac:dyDescent="0.2">
      <c r="A262" s="20">
        <f t="shared" si="151"/>
        <v>11711</v>
      </c>
      <c r="B262" s="19" t="str">
        <f t="shared" si="151"/>
        <v>UHCL</v>
      </c>
      <c r="C262" s="18"/>
      <c r="D262" s="15">
        <v>1251</v>
      </c>
      <c r="E262" s="17">
        <v>0.51671732522796354</v>
      </c>
      <c r="F262" s="14">
        <v>3079.2666666666669</v>
      </c>
      <c r="G262" s="28">
        <v>2423.7000000000025</v>
      </c>
      <c r="H262" s="15">
        <v>119</v>
      </c>
      <c r="I262" s="13">
        <v>9</v>
      </c>
      <c r="J262" s="16">
        <v>839</v>
      </c>
      <c r="K262" s="30">
        <v>1391</v>
      </c>
      <c r="L262" s="29">
        <v>1014</v>
      </c>
      <c r="M262" s="28">
        <v>37</v>
      </c>
    </row>
    <row r="263" spans="1:13" outlineLevel="1" x14ac:dyDescent="0.2">
      <c r="A263" s="20">
        <f t="shared" si="151"/>
        <v>12826</v>
      </c>
      <c r="B263" s="19" t="str">
        <f t="shared" si="151"/>
        <v>UHD</v>
      </c>
      <c r="C263" s="18"/>
      <c r="D263" s="15">
        <v>2351</v>
      </c>
      <c r="E263" s="21">
        <v>0.17399999999999999</v>
      </c>
      <c r="F263" s="14">
        <v>8043.8</v>
      </c>
      <c r="G263" s="28">
        <v>4292.430000000033</v>
      </c>
      <c r="H263" s="15">
        <v>134</v>
      </c>
      <c r="I263" s="13">
        <v>3</v>
      </c>
      <c r="J263" s="16">
        <v>1694</v>
      </c>
      <c r="K263" s="30">
        <v>3011</v>
      </c>
      <c r="L263" s="29">
        <v>1820</v>
      </c>
      <c r="M263" s="28">
        <v>590</v>
      </c>
    </row>
    <row r="264" spans="1:13" outlineLevel="1" x14ac:dyDescent="0.2">
      <c r="A264" s="20">
        <f t="shared" si="151"/>
        <v>13231</v>
      </c>
      <c r="B264" s="19" t="str">
        <f t="shared" si="151"/>
        <v>UHV</v>
      </c>
      <c r="C264" s="18"/>
      <c r="D264" s="15">
        <v>619</v>
      </c>
      <c r="E264" s="17">
        <v>0.47520661157024796</v>
      </c>
      <c r="F264" s="14">
        <v>1685.8666666666666</v>
      </c>
      <c r="G264" s="28">
        <v>1187.5899999999924</v>
      </c>
      <c r="H264" s="15">
        <v>134</v>
      </c>
      <c r="I264" s="13">
        <v>9</v>
      </c>
      <c r="J264" s="16">
        <v>418</v>
      </c>
      <c r="K264" s="30">
        <v>776</v>
      </c>
      <c r="L264" s="29">
        <v>334</v>
      </c>
      <c r="M264" s="28">
        <v>6</v>
      </c>
    </row>
    <row r="265" spans="1:13" outlineLevel="1" x14ac:dyDescent="0.2">
      <c r="A265" s="20">
        <f t="shared" si="151"/>
        <v>3592</v>
      </c>
      <c r="B265" s="19" t="str">
        <f t="shared" si="151"/>
        <v>Midwestern</v>
      </c>
      <c r="C265" s="18"/>
      <c r="D265" s="15">
        <v>1066</v>
      </c>
      <c r="E265" s="21">
        <v>0.46299999999999997</v>
      </c>
      <c r="F265" s="14">
        <v>4147.7333333333336</v>
      </c>
      <c r="G265" s="28">
        <v>2062.1399999999949</v>
      </c>
      <c r="H265" s="15">
        <v>358</v>
      </c>
      <c r="I265" s="13">
        <v>15</v>
      </c>
      <c r="J265" s="16">
        <v>723</v>
      </c>
      <c r="K265" s="30">
        <v>1310</v>
      </c>
      <c r="L265" s="29">
        <v>979</v>
      </c>
      <c r="M265" s="28">
        <v>683</v>
      </c>
    </row>
    <row r="266" spans="1:13" outlineLevel="1" x14ac:dyDescent="0.2">
      <c r="A266" s="20">
        <f t="shared" si="151"/>
        <v>3594</v>
      </c>
      <c r="B266" s="19" t="str">
        <f t="shared" si="151"/>
        <v>UNT</v>
      </c>
      <c r="C266" s="18"/>
      <c r="D266" s="15">
        <v>5843</v>
      </c>
      <c r="E266" s="21">
        <v>0.56799999999999995</v>
      </c>
      <c r="F266" s="14">
        <v>23213.466666666667</v>
      </c>
      <c r="G266" s="28">
        <v>11338.869999999399</v>
      </c>
      <c r="H266" s="15">
        <v>368</v>
      </c>
      <c r="I266" s="13">
        <v>56</v>
      </c>
      <c r="J266" s="16">
        <v>3771</v>
      </c>
      <c r="K266" s="30">
        <v>7310</v>
      </c>
      <c r="L266" s="29">
        <v>5432</v>
      </c>
      <c r="M266" s="28">
        <v>3116</v>
      </c>
    </row>
    <row r="267" spans="1:13" outlineLevel="1" x14ac:dyDescent="0.2">
      <c r="A267" s="27">
        <f t="shared" si="151"/>
        <v>113594</v>
      </c>
      <c r="B267" s="19" t="str">
        <f t="shared" si="151"/>
        <v>UNTD</v>
      </c>
      <c r="C267" s="18"/>
      <c r="D267" s="15">
        <v>419</v>
      </c>
      <c r="E267" s="21">
        <f>E266</f>
        <v>0.56799999999999995</v>
      </c>
      <c r="F267" s="14">
        <v>983.4666666666667</v>
      </c>
      <c r="G267" s="28">
        <v>742.11999999999398</v>
      </c>
      <c r="H267" s="15">
        <v>14</v>
      </c>
      <c r="I267" s="13">
        <v>0</v>
      </c>
      <c r="J267" s="16">
        <v>313</v>
      </c>
      <c r="K267" s="30">
        <v>469</v>
      </c>
      <c r="L267" s="29">
        <v>80</v>
      </c>
      <c r="M267" s="28">
        <v>4</v>
      </c>
    </row>
    <row r="268" spans="1:13" outlineLevel="1" x14ac:dyDescent="0.2">
      <c r="A268" s="20">
        <f t="shared" si="151"/>
        <v>3624</v>
      </c>
      <c r="B268" s="19" t="str">
        <f t="shared" si="151"/>
        <v>SFA</v>
      </c>
      <c r="C268" s="18"/>
      <c r="D268" s="15">
        <v>2011</v>
      </c>
      <c r="E268" s="21">
        <v>0.55299999999999994</v>
      </c>
      <c r="F268" s="14">
        <v>9507.3333333333339</v>
      </c>
      <c r="G268" s="28">
        <v>3932.9399999999569</v>
      </c>
      <c r="H268" s="15">
        <v>273</v>
      </c>
      <c r="I268" s="13">
        <v>42</v>
      </c>
      <c r="J268" s="16">
        <v>1513</v>
      </c>
      <c r="K268" s="30">
        <v>2605</v>
      </c>
      <c r="L268" s="29">
        <v>2125</v>
      </c>
      <c r="M268" s="28">
        <v>1473</v>
      </c>
    </row>
    <row r="269" spans="1:13" outlineLevel="1" x14ac:dyDescent="0.2">
      <c r="A269" s="20">
        <f t="shared" si="151"/>
        <v>3642</v>
      </c>
      <c r="B269" s="19" t="str">
        <f t="shared" si="151"/>
        <v>TSU</v>
      </c>
      <c r="C269" s="18"/>
      <c r="D269" s="15">
        <v>737</v>
      </c>
      <c r="E269" s="21">
        <v>0.14099999999999999</v>
      </c>
      <c r="F269" s="14">
        <v>5767.1333333333332</v>
      </c>
      <c r="G269" s="28">
        <v>1478.8299999999929</v>
      </c>
      <c r="H269" s="15">
        <v>154</v>
      </c>
      <c r="I269" s="13">
        <v>5</v>
      </c>
      <c r="J269" s="16">
        <v>641</v>
      </c>
      <c r="K269" s="30">
        <v>1349</v>
      </c>
      <c r="L269" s="29">
        <v>988</v>
      </c>
      <c r="M269" s="28">
        <v>760</v>
      </c>
    </row>
    <row r="270" spans="1:13" outlineLevel="1" x14ac:dyDescent="0.2">
      <c r="A270" s="20">
        <f t="shared" si="151"/>
        <v>3644</v>
      </c>
      <c r="B270" s="19" t="str">
        <f t="shared" si="151"/>
        <v>TTU</v>
      </c>
      <c r="C270" s="18"/>
      <c r="D270" s="15">
        <v>4941</v>
      </c>
      <c r="E270" s="21">
        <v>0.73599999999999999</v>
      </c>
      <c r="F270" s="14">
        <v>22627.599999999999</v>
      </c>
      <c r="G270" s="28">
        <v>10741.019999999262</v>
      </c>
      <c r="H270" s="15">
        <v>839</v>
      </c>
      <c r="I270" s="13">
        <v>67</v>
      </c>
      <c r="J270" s="16">
        <v>3071</v>
      </c>
      <c r="K270" s="30">
        <v>6449</v>
      </c>
      <c r="L270" s="29">
        <v>5332</v>
      </c>
      <c r="M270" s="28">
        <v>4048</v>
      </c>
    </row>
    <row r="271" spans="1:13" outlineLevel="1" x14ac:dyDescent="0.2">
      <c r="A271" s="20">
        <f t="shared" si="151"/>
        <v>3541</v>
      </c>
      <c r="B271" s="19" t="str">
        <f t="shared" si="151"/>
        <v>Angelo</v>
      </c>
      <c r="C271" s="18"/>
      <c r="D271" s="15">
        <v>1073</v>
      </c>
      <c r="E271" s="21">
        <v>0.40799999999999997</v>
      </c>
      <c r="F271" s="14">
        <v>4921.333333333333</v>
      </c>
      <c r="G271" s="28">
        <v>2141.5100000000025</v>
      </c>
      <c r="H271" s="15">
        <v>304</v>
      </c>
      <c r="I271" s="13">
        <v>19</v>
      </c>
      <c r="J271" s="16">
        <v>773</v>
      </c>
      <c r="K271" s="30">
        <v>1398</v>
      </c>
      <c r="L271" s="29">
        <v>1022</v>
      </c>
      <c r="M271" s="28">
        <v>707</v>
      </c>
    </row>
    <row r="272" spans="1:13" outlineLevel="1" x14ac:dyDescent="0.2">
      <c r="A272" s="20">
        <f t="shared" si="151"/>
        <v>3646</v>
      </c>
      <c r="B272" s="19" t="str">
        <f t="shared" si="151"/>
        <v>TWU</v>
      </c>
      <c r="C272" s="18"/>
      <c r="D272" s="15">
        <v>1919</v>
      </c>
      <c r="E272" s="21">
        <v>0.54200000000000004</v>
      </c>
      <c r="F272" s="14">
        <v>6999.5333333333338</v>
      </c>
      <c r="G272" s="28">
        <v>3704.3199999999606</v>
      </c>
      <c r="H272" s="15">
        <v>571</v>
      </c>
      <c r="I272" s="13">
        <v>30</v>
      </c>
      <c r="J272" s="16">
        <v>1326</v>
      </c>
      <c r="K272" s="30">
        <v>2425</v>
      </c>
      <c r="L272" s="29">
        <v>1247</v>
      </c>
      <c r="M272" s="28">
        <v>703</v>
      </c>
    </row>
    <row r="273" spans="1:14" outlineLevel="1" x14ac:dyDescent="0.2">
      <c r="A273" s="20">
        <f t="shared" si="151"/>
        <v>3581</v>
      </c>
      <c r="B273" s="19" t="str">
        <f t="shared" si="151"/>
        <v>Lamar</v>
      </c>
      <c r="C273" s="18"/>
      <c r="D273" s="15">
        <v>1380</v>
      </c>
      <c r="E273" s="21">
        <v>0.35899999999999999</v>
      </c>
      <c r="F273" s="14">
        <v>7404.4666666666662</v>
      </c>
      <c r="G273" s="28">
        <v>2721.5300000000057</v>
      </c>
      <c r="H273" s="15">
        <v>318</v>
      </c>
      <c r="I273" s="13">
        <v>18</v>
      </c>
      <c r="J273" s="16">
        <v>995</v>
      </c>
      <c r="K273" s="30">
        <v>2074</v>
      </c>
      <c r="L273" s="29">
        <v>1486</v>
      </c>
      <c r="M273" s="28">
        <v>1002</v>
      </c>
    </row>
    <row r="274" spans="1:14" outlineLevel="1" x14ac:dyDescent="0.2">
      <c r="A274" s="20">
        <f t="shared" si="151"/>
        <v>3606</v>
      </c>
      <c r="B274" s="19" t="str">
        <f t="shared" si="151"/>
        <v>SHSU</v>
      </c>
      <c r="C274" s="18"/>
      <c r="D274" s="15">
        <v>2978</v>
      </c>
      <c r="E274" s="21">
        <v>0.57799999999999996</v>
      </c>
      <c r="F274" s="14">
        <v>12574.466666666667</v>
      </c>
      <c r="G274" s="28">
        <v>5694.020000000286</v>
      </c>
      <c r="H274" s="15">
        <v>172</v>
      </c>
      <c r="I274" s="13">
        <v>51</v>
      </c>
      <c r="J274" s="16">
        <v>2163</v>
      </c>
      <c r="K274" s="30">
        <v>3894</v>
      </c>
      <c r="L274" s="29">
        <v>2915</v>
      </c>
      <c r="M274" s="28">
        <v>1704</v>
      </c>
    </row>
    <row r="275" spans="1:14" outlineLevel="1" x14ac:dyDescent="0.2">
      <c r="A275" s="20">
        <f t="shared" si="151"/>
        <v>3615</v>
      </c>
      <c r="B275" s="19" t="str">
        <f t="shared" si="151"/>
        <v>TXST</v>
      </c>
      <c r="C275" s="18"/>
      <c r="D275" s="15">
        <v>5435</v>
      </c>
      <c r="E275" s="21">
        <v>0.61399999999999999</v>
      </c>
      <c r="F275" s="14">
        <v>24028</v>
      </c>
      <c r="G275" s="28">
        <v>10677.06999999951</v>
      </c>
      <c r="H275" s="15">
        <v>582</v>
      </c>
      <c r="I275" s="13">
        <v>67</v>
      </c>
      <c r="J275" s="16">
        <v>3816</v>
      </c>
      <c r="K275" s="30">
        <v>7425</v>
      </c>
      <c r="L275" s="29">
        <v>5561</v>
      </c>
      <c r="M275" s="28">
        <v>3333</v>
      </c>
    </row>
    <row r="276" spans="1:14" outlineLevel="1" x14ac:dyDescent="0.2">
      <c r="A276" s="20">
        <f t="shared" si="151"/>
        <v>3625</v>
      </c>
      <c r="B276" s="19" t="str">
        <f t="shared" si="151"/>
        <v>SRSU</v>
      </c>
      <c r="C276" s="18"/>
      <c r="D276" s="15">
        <v>191</v>
      </c>
      <c r="E276" s="21">
        <v>0.32600000000000001</v>
      </c>
      <c r="F276" s="14">
        <v>1229</v>
      </c>
      <c r="G276" s="28">
        <v>409.0499999999999</v>
      </c>
      <c r="H276" s="15">
        <v>10</v>
      </c>
      <c r="I276" s="13">
        <v>5</v>
      </c>
      <c r="J276" s="16">
        <v>167</v>
      </c>
      <c r="K276" s="30">
        <v>284</v>
      </c>
      <c r="L276" s="29">
        <v>188</v>
      </c>
      <c r="M276" s="28">
        <v>144</v>
      </c>
      <c r="N276" s="41"/>
    </row>
    <row r="277" spans="1:14" outlineLevel="1" x14ac:dyDescent="0.2">
      <c r="A277" s="20">
        <f t="shared" si="151"/>
        <v>20</v>
      </c>
      <c r="B277" s="19" t="str">
        <f t="shared" si="151"/>
        <v>SRRG</v>
      </c>
      <c r="C277" s="18"/>
      <c r="D277" s="15">
        <v>154</v>
      </c>
      <c r="E277" s="17">
        <v>0.25423728813559321</v>
      </c>
      <c r="F277" s="14">
        <v>436.8</v>
      </c>
      <c r="G277" s="28">
        <v>268.06000000000023</v>
      </c>
      <c r="H277" s="15">
        <v>6</v>
      </c>
      <c r="I277" s="13">
        <v>1</v>
      </c>
      <c r="J277" s="16">
        <v>138</v>
      </c>
      <c r="K277" s="30">
        <v>215</v>
      </c>
      <c r="L277" s="29">
        <v>91</v>
      </c>
      <c r="M277" s="28">
        <v>6</v>
      </c>
    </row>
    <row r="278" spans="1:14" ht="13.5" outlineLevel="1" thickBot="1" x14ac:dyDescent="0.25">
      <c r="A278" s="12"/>
      <c r="B278" s="11" t="s">
        <v>11</v>
      </c>
      <c r="C278" s="10"/>
      <c r="D278" s="9">
        <f>SUM(D240:D277)</f>
        <v>87062</v>
      </c>
      <c r="E278" s="8">
        <v>0.58700000000000008</v>
      </c>
      <c r="F278" s="7">
        <f t="shared" ref="F278:M278" si="152">SUM(F240:F277)</f>
        <v>359610.06666666665</v>
      </c>
      <c r="G278" s="3">
        <f t="shared" si="152"/>
        <v>180161.28999999876</v>
      </c>
      <c r="H278" s="5">
        <f t="shared" si="152"/>
        <v>15629</v>
      </c>
      <c r="I278" s="3">
        <f t="shared" si="152"/>
        <v>1267</v>
      </c>
      <c r="J278" s="6">
        <f t="shared" si="152"/>
        <v>56968</v>
      </c>
      <c r="K278" s="5">
        <f t="shared" si="152"/>
        <v>113504</v>
      </c>
      <c r="L278" s="4">
        <f t="shared" si="152"/>
        <v>81268</v>
      </c>
      <c r="M278" s="3">
        <f t="shared" si="152"/>
        <v>50077</v>
      </c>
    </row>
    <row r="279" spans="1:14" ht="13.5" thickBot="1" x14ac:dyDescent="0.25">
      <c r="A279" s="42" t="s">
        <v>26</v>
      </c>
      <c r="B279" s="42"/>
      <c r="C279" s="42"/>
      <c r="D279" s="42"/>
      <c r="F279" s="42"/>
      <c r="J279" s="42"/>
    </row>
    <row r="280" spans="1:14" ht="12.75" customHeight="1" outlineLevel="1" x14ac:dyDescent="0.2">
      <c r="A280" s="234" t="s">
        <v>24</v>
      </c>
      <c r="B280" s="236" t="s">
        <v>23</v>
      </c>
      <c r="C280" s="238"/>
      <c r="D280" s="240" t="s">
        <v>28</v>
      </c>
      <c r="E280" s="242" t="s">
        <v>21</v>
      </c>
      <c r="F280" s="236" t="s">
        <v>20</v>
      </c>
      <c r="G280" s="221" t="s">
        <v>19</v>
      </c>
      <c r="H280" s="223" t="s">
        <v>18</v>
      </c>
      <c r="I280" s="225" t="s">
        <v>17</v>
      </c>
      <c r="J280" s="227" t="s">
        <v>16</v>
      </c>
      <c r="K280" s="229" t="s">
        <v>15</v>
      </c>
      <c r="L280" s="230"/>
      <c r="M280" s="231"/>
    </row>
    <row r="281" spans="1:14" s="41" customFormat="1" ht="40.5" customHeight="1" outlineLevel="1" thickBot="1" x14ac:dyDescent="0.25">
      <c r="A281" s="235"/>
      <c r="B281" s="237"/>
      <c r="C281" s="239"/>
      <c r="D281" s="241"/>
      <c r="E281" s="243"/>
      <c r="F281" s="237"/>
      <c r="G281" s="222"/>
      <c r="H281" s="224"/>
      <c r="I281" s="226"/>
      <c r="J281" s="228"/>
      <c r="K281" s="188" t="s">
        <v>14</v>
      </c>
      <c r="L281" s="189" t="s">
        <v>13</v>
      </c>
      <c r="M281" s="190" t="s">
        <v>12</v>
      </c>
      <c r="N281" s="1"/>
    </row>
    <row r="282" spans="1:14" outlineLevel="1" x14ac:dyDescent="0.2">
      <c r="A282" s="40">
        <f t="shared" ref="A282:B301" si="153">A240</f>
        <v>3656</v>
      </c>
      <c r="B282" s="39" t="str">
        <f t="shared" si="153"/>
        <v>UTA</v>
      </c>
      <c r="C282" s="38"/>
      <c r="D282" s="33">
        <v>5103</v>
      </c>
      <c r="E282" s="37">
        <v>0.49299999999999999</v>
      </c>
      <c r="F282" s="32">
        <v>17372</v>
      </c>
      <c r="G282" s="31">
        <v>10527.860000000002</v>
      </c>
      <c r="H282" s="36">
        <v>1620</v>
      </c>
      <c r="I282" s="35">
        <v>26</v>
      </c>
      <c r="J282" s="34">
        <v>3158</v>
      </c>
      <c r="K282" s="33">
        <v>6986</v>
      </c>
      <c r="L282" s="32">
        <v>3903</v>
      </c>
      <c r="M282" s="31">
        <v>1733</v>
      </c>
    </row>
    <row r="283" spans="1:14" outlineLevel="1" x14ac:dyDescent="0.2">
      <c r="A283" s="20">
        <f t="shared" si="153"/>
        <v>3658</v>
      </c>
      <c r="B283" s="19" t="str">
        <f t="shared" si="153"/>
        <v>UT</v>
      </c>
      <c r="C283" s="18"/>
      <c r="D283" s="15">
        <v>9027</v>
      </c>
      <c r="E283" s="21">
        <v>0.83299999999999996</v>
      </c>
      <c r="F283" s="14">
        <v>33709.866666666669</v>
      </c>
      <c r="G283" s="13">
        <v>19422.050000001858</v>
      </c>
      <c r="H283" s="15">
        <v>1894</v>
      </c>
      <c r="I283" s="13">
        <v>60</v>
      </c>
      <c r="J283" s="16">
        <v>3475</v>
      </c>
      <c r="K283" s="15">
        <v>9939</v>
      </c>
      <c r="L283" s="14">
        <v>8895</v>
      </c>
      <c r="M283" s="13">
        <v>7485</v>
      </c>
    </row>
    <row r="284" spans="1:14" outlineLevel="1" x14ac:dyDescent="0.2">
      <c r="A284" s="20">
        <f t="shared" si="153"/>
        <v>9741</v>
      </c>
      <c r="B284" s="19" t="str">
        <f t="shared" si="153"/>
        <v>UTD</v>
      </c>
      <c r="C284" s="18"/>
      <c r="D284" s="15">
        <v>2314</v>
      </c>
      <c r="E284" s="21">
        <v>0.68299999999999994</v>
      </c>
      <c r="F284" s="14">
        <v>8822.2000000000007</v>
      </c>
      <c r="G284" s="13">
        <v>4904.1700000000228</v>
      </c>
      <c r="H284" s="15">
        <v>424</v>
      </c>
      <c r="I284" s="13">
        <v>27</v>
      </c>
      <c r="J284" s="16">
        <v>1294</v>
      </c>
      <c r="K284" s="15">
        <v>3345</v>
      </c>
      <c r="L284" s="14">
        <v>2105</v>
      </c>
      <c r="M284" s="13">
        <v>1076</v>
      </c>
    </row>
    <row r="285" spans="1:14" outlineLevel="1" x14ac:dyDescent="0.2">
      <c r="A285" s="20">
        <f t="shared" si="153"/>
        <v>3661</v>
      </c>
      <c r="B285" s="19" t="str">
        <f t="shared" si="153"/>
        <v>UTEP</v>
      </c>
      <c r="C285" s="18"/>
      <c r="D285" s="15">
        <v>3008</v>
      </c>
      <c r="E285" s="21">
        <v>0.38400000000000001</v>
      </c>
      <c r="F285" s="14">
        <v>13376</v>
      </c>
      <c r="G285" s="13">
        <v>6142.7200000000885</v>
      </c>
      <c r="H285" s="15">
        <v>613</v>
      </c>
      <c r="I285" s="13">
        <v>91</v>
      </c>
      <c r="J285" s="16">
        <v>2409</v>
      </c>
      <c r="K285" s="15">
        <v>4488</v>
      </c>
      <c r="L285" s="14">
        <v>3404</v>
      </c>
      <c r="M285" s="13">
        <v>1910</v>
      </c>
    </row>
    <row r="286" spans="1:14" outlineLevel="1" x14ac:dyDescent="0.2">
      <c r="A286" s="20">
        <f t="shared" si="153"/>
        <v>3599</v>
      </c>
      <c r="B286" s="19" t="str">
        <f t="shared" si="153"/>
        <v>UTPA</v>
      </c>
      <c r="C286" s="18"/>
      <c r="D286" s="15">
        <v>2658</v>
      </c>
      <c r="E286" s="21">
        <v>0.46399999999999997</v>
      </c>
      <c r="F286" s="14">
        <v>12499.266666666666</v>
      </c>
      <c r="G286" s="13">
        <v>5231.3300000001427</v>
      </c>
      <c r="H286" s="15">
        <v>534</v>
      </c>
      <c r="I286" s="13">
        <v>34</v>
      </c>
      <c r="J286" s="16">
        <v>2427</v>
      </c>
      <c r="K286" s="15">
        <v>4142</v>
      </c>
      <c r="L286" s="14">
        <v>3290</v>
      </c>
      <c r="M286" s="13">
        <v>1998</v>
      </c>
    </row>
    <row r="287" spans="1:14" outlineLevel="1" x14ac:dyDescent="0.2">
      <c r="A287" s="20">
        <f t="shared" si="153"/>
        <v>30646</v>
      </c>
      <c r="B287" s="19" t="str">
        <f t="shared" si="153"/>
        <v>UTB</v>
      </c>
      <c r="C287" s="18"/>
      <c r="D287" s="15">
        <v>1075</v>
      </c>
      <c r="E287" s="17">
        <v>0.55124653739612184</v>
      </c>
      <c r="F287" s="14">
        <v>3116.2</v>
      </c>
      <c r="G287" s="13">
        <v>2052.0600000000218</v>
      </c>
      <c r="H287" s="15">
        <v>132</v>
      </c>
      <c r="I287" s="13">
        <v>15</v>
      </c>
      <c r="J287" s="16">
        <v>916</v>
      </c>
      <c r="K287" s="15">
        <v>1359</v>
      </c>
      <c r="L287" s="14">
        <v>600</v>
      </c>
      <c r="M287" s="13">
        <v>131</v>
      </c>
    </row>
    <row r="288" spans="1:14" outlineLevel="1" x14ac:dyDescent="0.2">
      <c r="A288" s="20">
        <f t="shared" si="153"/>
        <v>9930</v>
      </c>
      <c r="B288" s="19" t="str">
        <f t="shared" si="153"/>
        <v>UTPB</v>
      </c>
      <c r="C288" s="18"/>
      <c r="D288" s="15">
        <v>541</v>
      </c>
      <c r="E288" s="21">
        <v>0.40700000000000003</v>
      </c>
      <c r="F288" s="14">
        <v>2416</v>
      </c>
      <c r="G288" s="13">
        <v>1005.1500000000051</v>
      </c>
      <c r="H288" s="15">
        <v>40</v>
      </c>
      <c r="I288" s="13">
        <v>10</v>
      </c>
      <c r="J288" s="16">
        <v>407</v>
      </c>
      <c r="K288" s="15">
        <v>908</v>
      </c>
      <c r="L288" s="14">
        <v>490</v>
      </c>
      <c r="M288" s="13">
        <v>191</v>
      </c>
    </row>
    <row r="289" spans="1:13" outlineLevel="1" x14ac:dyDescent="0.2">
      <c r="A289" s="20">
        <f t="shared" si="153"/>
        <v>10115</v>
      </c>
      <c r="B289" s="19" t="str">
        <f t="shared" si="153"/>
        <v>UTSA</v>
      </c>
      <c r="C289" s="18"/>
      <c r="D289" s="15">
        <v>4148</v>
      </c>
      <c r="E289" s="21">
        <v>0.39400000000000002</v>
      </c>
      <c r="F289" s="14">
        <v>20284.733333333334</v>
      </c>
      <c r="G289" s="13">
        <v>8398.8499999997166</v>
      </c>
      <c r="H289" s="15">
        <v>394</v>
      </c>
      <c r="I289" s="13">
        <v>47</v>
      </c>
      <c r="J289" s="16">
        <v>3211</v>
      </c>
      <c r="K289" s="15">
        <v>6802</v>
      </c>
      <c r="L289" s="14">
        <v>4390</v>
      </c>
      <c r="M289" s="13">
        <v>2699</v>
      </c>
    </row>
    <row r="290" spans="1:13" outlineLevel="1" x14ac:dyDescent="0.2">
      <c r="A290" s="20">
        <f t="shared" si="153"/>
        <v>11163</v>
      </c>
      <c r="B290" s="19" t="str">
        <f t="shared" si="153"/>
        <v>UTT</v>
      </c>
      <c r="C290" s="18"/>
      <c r="D290" s="15">
        <v>1188</v>
      </c>
      <c r="E290" s="21">
        <v>0.53300000000000003</v>
      </c>
      <c r="F290" s="14">
        <v>4030.7333333333331</v>
      </c>
      <c r="G290" s="13">
        <v>2364.9800000000037</v>
      </c>
      <c r="H290" s="15">
        <v>366</v>
      </c>
      <c r="I290" s="13">
        <v>9</v>
      </c>
      <c r="J290" s="16">
        <v>939</v>
      </c>
      <c r="K290" s="15">
        <v>1496</v>
      </c>
      <c r="L290" s="14">
        <v>905</v>
      </c>
      <c r="M290" s="13">
        <v>401</v>
      </c>
    </row>
    <row r="291" spans="1:13" outlineLevel="1" x14ac:dyDescent="0.2">
      <c r="A291" s="20">
        <f t="shared" si="153"/>
        <v>3632</v>
      </c>
      <c r="B291" s="19" t="str">
        <f t="shared" si="153"/>
        <v>TAMU</v>
      </c>
      <c r="C291" s="18"/>
      <c r="D291" s="15">
        <v>8748</v>
      </c>
      <c r="E291" s="21">
        <v>0.84399999999999997</v>
      </c>
      <c r="F291" s="14">
        <v>34425.133333333331</v>
      </c>
      <c r="G291" s="13">
        <v>20060.050000001262</v>
      </c>
      <c r="H291" s="15">
        <v>1775</v>
      </c>
      <c r="I291" s="13">
        <v>133</v>
      </c>
      <c r="J291" s="16">
        <v>3727</v>
      </c>
      <c r="K291" s="15">
        <v>9623</v>
      </c>
      <c r="L291" s="14">
        <v>8962</v>
      </c>
      <c r="M291" s="13">
        <v>6823</v>
      </c>
    </row>
    <row r="292" spans="1:13" outlineLevel="1" x14ac:dyDescent="0.2">
      <c r="A292" s="20">
        <f t="shared" si="153"/>
        <v>10298</v>
      </c>
      <c r="B292" s="19" t="str">
        <f t="shared" si="153"/>
        <v>TAMUG</v>
      </c>
      <c r="C292" s="18"/>
      <c r="D292" s="15">
        <v>250</v>
      </c>
      <c r="E292" s="21">
        <v>0.66400000000000003</v>
      </c>
      <c r="F292" s="14">
        <v>1668.1333333333334</v>
      </c>
      <c r="G292" s="13">
        <v>648.89999999999895</v>
      </c>
      <c r="H292" s="15">
        <v>35</v>
      </c>
      <c r="I292" s="13">
        <v>0</v>
      </c>
      <c r="J292" s="16">
        <v>151</v>
      </c>
      <c r="K292" s="15">
        <v>600</v>
      </c>
      <c r="L292" s="14">
        <v>336</v>
      </c>
      <c r="M292" s="13">
        <v>234</v>
      </c>
    </row>
    <row r="293" spans="1:13" outlineLevel="1" x14ac:dyDescent="0.2">
      <c r="A293" s="20">
        <f t="shared" si="153"/>
        <v>3630</v>
      </c>
      <c r="B293" s="19" t="str">
        <f t="shared" si="153"/>
        <v>Prairie View</v>
      </c>
      <c r="C293" s="18"/>
      <c r="D293" s="15">
        <v>904</v>
      </c>
      <c r="E293" s="21">
        <v>0.37</v>
      </c>
      <c r="F293" s="46">
        <v>6088.2666666666664</v>
      </c>
      <c r="G293" s="13">
        <v>1934.240000000003</v>
      </c>
      <c r="H293" s="15">
        <v>279</v>
      </c>
      <c r="I293" s="13">
        <v>10</v>
      </c>
      <c r="J293" s="16">
        <v>775</v>
      </c>
      <c r="K293" s="15">
        <v>1660</v>
      </c>
      <c r="L293" s="14">
        <v>1237</v>
      </c>
      <c r="M293" s="13">
        <v>905</v>
      </c>
    </row>
    <row r="294" spans="1:13" outlineLevel="1" x14ac:dyDescent="0.2">
      <c r="A294" s="20">
        <f t="shared" si="153"/>
        <v>3631</v>
      </c>
      <c r="B294" s="19" t="str">
        <f t="shared" si="153"/>
        <v>Tarleton</v>
      </c>
      <c r="C294" s="18"/>
      <c r="D294" s="15">
        <v>1552</v>
      </c>
      <c r="E294" s="21">
        <v>0.48299999999999998</v>
      </c>
      <c r="F294" s="46">
        <v>6264.4666666666662</v>
      </c>
      <c r="G294" s="13">
        <v>3063.9600000000341</v>
      </c>
      <c r="H294" s="15">
        <v>197</v>
      </c>
      <c r="I294" s="45">
        <v>56</v>
      </c>
      <c r="J294" s="16">
        <v>1196</v>
      </c>
      <c r="K294" s="47">
        <v>2096</v>
      </c>
      <c r="L294" s="46">
        <v>1464</v>
      </c>
      <c r="M294" s="45">
        <v>840</v>
      </c>
    </row>
    <row r="295" spans="1:13" outlineLevel="1" x14ac:dyDescent="0.2">
      <c r="A295" s="27">
        <f t="shared" si="153"/>
        <v>103631</v>
      </c>
      <c r="B295" s="19" t="str">
        <f t="shared" si="153"/>
        <v>TAMUCT</v>
      </c>
      <c r="C295" s="18"/>
      <c r="D295" s="15">
        <v>462</v>
      </c>
      <c r="E295" s="21">
        <v>0.48299999999999998</v>
      </c>
      <c r="F295" s="46">
        <v>700.66666666666663</v>
      </c>
      <c r="G295" s="13">
        <v>846.68000000000006</v>
      </c>
      <c r="H295" s="15">
        <v>36</v>
      </c>
      <c r="I295" s="45">
        <v>0</v>
      </c>
      <c r="J295" s="16">
        <v>330</v>
      </c>
      <c r="K295" s="47">
        <v>555</v>
      </c>
      <c r="L295" s="46">
        <v>143</v>
      </c>
      <c r="M295" s="45">
        <v>66</v>
      </c>
    </row>
    <row r="296" spans="1:13" outlineLevel="1" x14ac:dyDescent="0.2">
      <c r="A296" s="20">
        <f t="shared" si="153"/>
        <v>11161</v>
      </c>
      <c r="B296" s="19" t="str">
        <f t="shared" si="153"/>
        <v>TAMUCC</v>
      </c>
      <c r="C296" s="18"/>
      <c r="D296" s="15">
        <v>1315</v>
      </c>
      <c r="E296" s="21">
        <v>0.51100000000000001</v>
      </c>
      <c r="F296" s="46">
        <v>6609.8666666666668</v>
      </c>
      <c r="G296" s="13">
        <v>2639.1300000000101</v>
      </c>
      <c r="H296" s="15">
        <v>252</v>
      </c>
      <c r="I296" s="45">
        <v>25</v>
      </c>
      <c r="J296" s="16">
        <v>1034</v>
      </c>
      <c r="K296" s="15">
        <v>2126</v>
      </c>
      <c r="L296" s="14">
        <v>1577</v>
      </c>
      <c r="M296" s="13">
        <v>864</v>
      </c>
    </row>
    <row r="297" spans="1:13" outlineLevel="1" x14ac:dyDescent="0.2">
      <c r="A297" s="20">
        <f t="shared" si="153"/>
        <v>3639</v>
      </c>
      <c r="B297" s="19" t="str">
        <f t="shared" si="153"/>
        <v>TAMUK</v>
      </c>
      <c r="C297" s="18"/>
      <c r="D297" s="15">
        <v>738</v>
      </c>
      <c r="E297" s="21">
        <v>0.39799999999999996</v>
      </c>
      <c r="F297" s="46">
        <v>4394.2</v>
      </c>
      <c r="G297" s="13">
        <v>1735.8600000000065</v>
      </c>
      <c r="H297" s="15">
        <v>246</v>
      </c>
      <c r="I297" s="45">
        <v>16</v>
      </c>
      <c r="J297" s="16">
        <v>613</v>
      </c>
      <c r="K297" s="47">
        <v>1180</v>
      </c>
      <c r="L297" s="46">
        <v>879</v>
      </c>
      <c r="M297" s="45">
        <v>555</v>
      </c>
    </row>
    <row r="298" spans="1:13" outlineLevel="1" x14ac:dyDescent="0.2">
      <c r="A298" s="27">
        <f t="shared" si="153"/>
        <v>103639</v>
      </c>
      <c r="B298" s="19" t="str">
        <f t="shared" si="153"/>
        <v>TAMUSA</v>
      </c>
      <c r="C298" s="18"/>
      <c r="D298" s="15">
        <v>620</v>
      </c>
      <c r="E298" s="21">
        <v>0.39799999999999996</v>
      </c>
      <c r="F298" s="46">
        <v>1492.4</v>
      </c>
      <c r="G298" s="13">
        <v>1078.0000000000073</v>
      </c>
      <c r="H298" s="15">
        <v>1</v>
      </c>
      <c r="I298" s="45">
        <v>0</v>
      </c>
      <c r="J298" s="16">
        <v>520</v>
      </c>
      <c r="K298" s="47">
        <v>995</v>
      </c>
      <c r="L298" s="46">
        <v>37</v>
      </c>
      <c r="M298" s="45">
        <v>2</v>
      </c>
    </row>
    <row r="299" spans="1:13" outlineLevel="1" x14ac:dyDescent="0.2">
      <c r="A299" s="20">
        <f t="shared" si="153"/>
        <v>9651</v>
      </c>
      <c r="B299" s="19" t="str">
        <f t="shared" si="153"/>
        <v>TAMI</v>
      </c>
      <c r="C299" s="18"/>
      <c r="D299" s="15">
        <v>766</v>
      </c>
      <c r="E299" s="21">
        <v>0.503</v>
      </c>
      <c r="F299" s="14">
        <v>4126.8</v>
      </c>
      <c r="G299" s="13">
        <v>1400.4200000000046</v>
      </c>
      <c r="H299" s="15">
        <v>120</v>
      </c>
      <c r="I299" s="13">
        <v>18</v>
      </c>
      <c r="J299" s="16">
        <v>688</v>
      </c>
      <c r="K299" s="15">
        <v>1515</v>
      </c>
      <c r="L299" s="14">
        <v>1027</v>
      </c>
      <c r="M299" s="13">
        <v>486</v>
      </c>
    </row>
    <row r="300" spans="1:13" outlineLevel="1" x14ac:dyDescent="0.2">
      <c r="A300" s="20">
        <f t="shared" si="153"/>
        <v>3665</v>
      </c>
      <c r="B300" s="19" t="str">
        <f t="shared" si="153"/>
        <v>WTAMU</v>
      </c>
      <c r="C300" s="18"/>
      <c r="D300" s="15">
        <v>1294</v>
      </c>
      <c r="E300" s="21">
        <v>0.47399999999999998</v>
      </c>
      <c r="F300" s="14">
        <v>5457.666666666667</v>
      </c>
      <c r="G300" s="13">
        <v>2570.7800000000157</v>
      </c>
      <c r="H300" s="15">
        <v>184</v>
      </c>
      <c r="I300" s="13">
        <v>58</v>
      </c>
      <c r="J300" s="16">
        <v>913</v>
      </c>
      <c r="K300" s="15">
        <v>1871</v>
      </c>
      <c r="L300" s="14">
        <v>1264</v>
      </c>
      <c r="M300" s="13">
        <v>664</v>
      </c>
    </row>
    <row r="301" spans="1:13" outlineLevel="1" x14ac:dyDescent="0.2">
      <c r="A301" s="20">
        <f t="shared" si="153"/>
        <v>3565</v>
      </c>
      <c r="B301" s="19" t="str">
        <f t="shared" si="153"/>
        <v>TAMUC</v>
      </c>
      <c r="C301" s="18"/>
      <c r="D301" s="15">
        <v>1313</v>
      </c>
      <c r="E301" s="21">
        <v>0.42600000000000005</v>
      </c>
      <c r="F301" s="14">
        <v>4783.5333333333338</v>
      </c>
      <c r="G301" s="13">
        <v>2463.6900000000296</v>
      </c>
      <c r="H301" s="15">
        <v>71</v>
      </c>
      <c r="I301" s="13">
        <v>77</v>
      </c>
      <c r="J301" s="16">
        <v>1002</v>
      </c>
      <c r="K301" s="15">
        <v>1911</v>
      </c>
      <c r="L301" s="14">
        <v>1200</v>
      </c>
      <c r="M301" s="13">
        <v>477</v>
      </c>
    </row>
    <row r="302" spans="1:13" outlineLevel="1" x14ac:dyDescent="0.2">
      <c r="A302" s="20">
        <f t="shared" ref="A302:B319" si="154">A260</f>
        <v>29269</v>
      </c>
      <c r="B302" s="19" t="str">
        <f t="shared" si="154"/>
        <v>TAMUT</v>
      </c>
      <c r="C302" s="18"/>
      <c r="D302" s="15">
        <v>335</v>
      </c>
      <c r="E302" s="17">
        <v>0.56028368794326244</v>
      </c>
      <c r="F302" s="14">
        <v>879.13333333333333</v>
      </c>
      <c r="G302" s="13">
        <v>609.83000000000015</v>
      </c>
      <c r="H302" s="15">
        <v>48</v>
      </c>
      <c r="I302" s="13">
        <v>18</v>
      </c>
      <c r="J302" s="16">
        <v>230</v>
      </c>
      <c r="K302" s="15">
        <v>411</v>
      </c>
      <c r="L302" s="14">
        <v>186</v>
      </c>
      <c r="M302" s="13">
        <v>1</v>
      </c>
    </row>
    <row r="303" spans="1:13" outlineLevel="1" x14ac:dyDescent="0.2">
      <c r="A303" s="20">
        <f t="shared" si="154"/>
        <v>3652</v>
      </c>
      <c r="B303" s="19" t="str">
        <f t="shared" si="154"/>
        <v>UH</v>
      </c>
      <c r="C303" s="18"/>
      <c r="D303" s="15">
        <v>5092</v>
      </c>
      <c r="E303" s="21">
        <v>0.54200000000000004</v>
      </c>
      <c r="F303" s="14">
        <v>23853.933333333334</v>
      </c>
      <c r="G303" s="13">
        <v>10569.339999999527</v>
      </c>
      <c r="H303" s="15">
        <v>720</v>
      </c>
      <c r="I303" s="13">
        <v>74</v>
      </c>
      <c r="J303" s="16">
        <v>3340</v>
      </c>
      <c r="K303" s="15">
        <v>7467</v>
      </c>
      <c r="L303" s="14">
        <v>5804</v>
      </c>
      <c r="M303" s="13">
        <v>3314</v>
      </c>
    </row>
    <row r="304" spans="1:13" outlineLevel="1" x14ac:dyDescent="0.2">
      <c r="A304" s="20">
        <f t="shared" si="154"/>
        <v>11711</v>
      </c>
      <c r="B304" s="19" t="str">
        <f t="shared" si="154"/>
        <v>UHCL</v>
      </c>
      <c r="C304" s="18"/>
      <c r="D304" s="15">
        <v>1197</v>
      </c>
      <c r="E304" s="17">
        <v>0.53820033955857383</v>
      </c>
      <c r="F304" s="14">
        <v>3046.8</v>
      </c>
      <c r="G304" s="13">
        <v>2293.9500000000248</v>
      </c>
      <c r="H304" s="15">
        <v>113</v>
      </c>
      <c r="I304" s="13">
        <v>8</v>
      </c>
      <c r="J304" s="16">
        <v>777</v>
      </c>
      <c r="K304" s="15">
        <v>1434</v>
      </c>
      <c r="L304" s="14">
        <v>959</v>
      </c>
      <c r="M304" s="13">
        <v>53</v>
      </c>
    </row>
    <row r="305" spans="1:14" outlineLevel="1" x14ac:dyDescent="0.2">
      <c r="A305" s="20">
        <f t="shared" si="154"/>
        <v>12826</v>
      </c>
      <c r="B305" s="19" t="str">
        <f t="shared" si="154"/>
        <v>UHD</v>
      </c>
      <c r="C305" s="18"/>
      <c r="D305" s="15">
        <v>2437</v>
      </c>
      <c r="E305" s="21">
        <v>0.215</v>
      </c>
      <c r="F305" s="14">
        <v>7949.2666666666664</v>
      </c>
      <c r="G305" s="13">
        <v>4368.2100000000464</v>
      </c>
      <c r="H305" s="15">
        <v>143</v>
      </c>
      <c r="I305" s="13">
        <v>0</v>
      </c>
      <c r="J305" s="16">
        <v>1730</v>
      </c>
      <c r="K305" s="15">
        <v>3223</v>
      </c>
      <c r="L305" s="14">
        <v>1896</v>
      </c>
      <c r="M305" s="13">
        <v>618</v>
      </c>
    </row>
    <row r="306" spans="1:14" outlineLevel="1" x14ac:dyDescent="0.2">
      <c r="A306" s="20">
        <f t="shared" si="154"/>
        <v>13231</v>
      </c>
      <c r="B306" s="19" t="str">
        <f t="shared" si="154"/>
        <v>UHV</v>
      </c>
      <c r="C306" s="18"/>
      <c r="D306" s="15">
        <v>596</v>
      </c>
      <c r="E306" s="17">
        <v>0.5339366515837104</v>
      </c>
      <c r="F306" s="14">
        <v>1494.2</v>
      </c>
      <c r="G306" s="13">
        <v>1103.6999999999998</v>
      </c>
      <c r="H306" s="15">
        <v>118</v>
      </c>
      <c r="I306" s="13">
        <v>11</v>
      </c>
      <c r="J306" s="16">
        <v>397</v>
      </c>
      <c r="K306" s="15">
        <v>718</v>
      </c>
      <c r="L306" s="14">
        <v>286</v>
      </c>
      <c r="M306" s="13">
        <v>6</v>
      </c>
    </row>
    <row r="307" spans="1:14" outlineLevel="1" x14ac:dyDescent="0.2">
      <c r="A307" s="20">
        <f t="shared" si="154"/>
        <v>3592</v>
      </c>
      <c r="B307" s="19" t="str">
        <f t="shared" si="154"/>
        <v>Midwestern</v>
      </c>
      <c r="C307" s="18"/>
      <c r="D307" s="15">
        <v>1027</v>
      </c>
      <c r="E307" s="21">
        <v>0.443</v>
      </c>
      <c r="F307" s="14">
        <v>4387.7333333333336</v>
      </c>
      <c r="G307" s="13">
        <v>1924.84</v>
      </c>
      <c r="H307" s="15">
        <v>340</v>
      </c>
      <c r="I307" s="13">
        <v>11</v>
      </c>
      <c r="J307" s="16">
        <v>675</v>
      </c>
      <c r="K307" s="15">
        <v>1507</v>
      </c>
      <c r="L307" s="14">
        <v>1079</v>
      </c>
      <c r="M307" s="13">
        <v>734</v>
      </c>
    </row>
    <row r="308" spans="1:14" outlineLevel="1" x14ac:dyDescent="0.2">
      <c r="A308" s="20">
        <f t="shared" si="154"/>
        <v>3594</v>
      </c>
      <c r="B308" s="19" t="str">
        <f t="shared" si="154"/>
        <v>UNT</v>
      </c>
      <c r="C308" s="18"/>
      <c r="D308" s="15">
        <v>6183</v>
      </c>
      <c r="E308" s="21">
        <v>0.58700000000000008</v>
      </c>
      <c r="F308" s="14">
        <v>23168.733333333334</v>
      </c>
      <c r="G308" s="13">
        <v>11731.089999999795</v>
      </c>
      <c r="H308" s="15">
        <v>345</v>
      </c>
      <c r="I308" s="13">
        <v>47</v>
      </c>
      <c r="J308" s="16">
        <v>3942</v>
      </c>
      <c r="K308" s="15">
        <v>7957</v>
      </c>
      <c r="L308" s="14">
        <v>5891</v>
      </c>
      <c r="M308" s="13">
        <v>3310</v>
      </c>
    </row>
    <row r="309" spans="1:14" outlineLevel="1" x14ac:dyDescent="0.2">
      <c r="A309" s="27">
        <f t="shared" si="154"/>
        <v>113594</v>
      </c>
      <c r="B309" s="19" t="str">
        <f t="shared" si="154"/>
        <v>UNTD</v>
      </c>
      <c r="C309" s="18"/>
      <c r="D309" s="30">
        <v>388</v>
      </c>
      <c r="E309" s="44">
        <v>0.58700000000000008</v>
      </c>
      <c r="F309" s="29">
        <v>908.8</v>
      </c>
      <c r="G309" s="28">
        <v>669.60000000000036</v>
      </c>
      <c r="H309" s="30">
        <v>10</v>
      </c>
      <c r="I309" s="28"/>
      <c r="J309" s="43">
        <v>304</v>
      </c>
      <c r="K309" s="30">
        <v>487</v>
      </c>
      <c r="L309" s="29">
        <v>63</v>
      </c>
      <c r="M309" s="28">
        <v>18</v>
      </c>
    </row>
    <row r="310" spans="1:14" outlineLevel="1" x14ac:dyDescent="0.2">
      <c r="A310" s="20">
        <f t="shared" si="154"/>
        <v>3624</v>
      </c>
      <c r="B310" s="19" t="str">
        <f t="shared" si="154"/>
        <v>SFA</v>
      </c>
      <c r="C310" s="18"/>
      <c r="D310" s="15">
        <v>1880</v>
      </c>
      <c r="E310" s="21">
        <v>0.53900000000000003</v>
      </c>
      <c r="F310" s="14">
        <v>9440.9333333333325</v>
      </c>
      <c r="G310" s="13">
        <v>3606.8600000000297</v>
      </c>
      <c r="H310" s="15">
        <v>241</v>
      </c>
      <c r="I310" s="13">
        <v>49</v>
      </c>
      <c r="J310" s="16">
        <v>1446</v>
      </c>
      <c r="K310" s="15">
        <v>3040</v>
      </c>
      <c r="L310" s="14">
        <v>2166</v>
      </c>
      <c r="M310" s="13">
        <v>1402</v>
      </c>
    </row>
    <row r="311" spans="1:14" outlineLevel="1" x14ac:dyDescent="0.2">
      <c r="A311" s="20">
        <f t="shared" si="154"/>
        <v>3642</v>
      </c>
      <c r="B311" s="19" t="str">
        <f t="shared" si="154"/>
        <v>TSU</v>
      </c>
      <c r="C311" s="18"/>
      <c r="D311" s="15">
        <v>721</v>
      </c>
      <c r="E311" s="21">
        <v>0.14099999999999999</v>
      </c>
      <c r="F311" s="14">
        <v>5912.8</v>
      </c>
      <c r="G311" s="13">
        <v>1385.6100000000063</v>
      </c>
      <c r="H311" s="15">
        <v>122</v>
      </c>
      <c r="I311" s="13">
        <v>2</v>
      </c>
      <c r="J311" s="16">
        <v>635</v>
      </c>
      <c r="K311" s="15">
        <v>1692</v>
      </c>
      <c r="L311" s="14">
        <v>1274</v>
      </c>
      <c r="M311" s="13">
        <v>870</v>
      </c>
    </row>
    <row r="312" spans="1:14" outlineLevel="1" x14ac:dyDescent="0.2">
      <c r="A312" s="20">
        <f t="shared" si="154"/>
        <v>3644</v>
      </c>
      <c r="B312" s="19" t="str">
        <f t="shared" si="154"/>
        <v>TTU</v>
      </c>
      <c r="C312" s="18"/>
      <c r="D312" s="15">
        <v>4605</v>
      </c>
      <c r="E312" s="21">
        <v>0.7320000000000001</v>
      </c>
      <c r="F312" s="14">
        <v>22527.466666666667</v>
      </c>
      <c r="G312" s="13">
        <v>9815.7899999997753</v>
      </c>
      <c r="H312" s="15">
        <v>687</v>
      </c>
      <c r="I312" s="13">
        <v>62</v>
      </c>
      <c r="J312" s="16">
        <v>2724</v>
      </c>
      <c r="K312" s="15">
        <v>6577</v>
      </c>
      <c r="L312" s="14">
        <v>5355</v>
      </c>
      <c r="M312" s="13">
        <v>3957</v>
      </c>
    </row>
    <row r="313" spans="1:14" outlineLevel="1" x14ac:dyDescent="0.2">
      <c r="A313" s="20">
        <f t="shared" si="154"/>
        <v>3541</v>
      </c>
      <c r="B313" s="19" t="str">
        <f t="shared" si="154"/>
        <v>Angelo</v>
      </c>
      <c r="C313" s="18"/>
      <c r="D313" s="15">
        <v>960</v>
      </c>
      <c r="E313" s="21">
        <v>0.441</v>
      </c>
      <c r="F313" s="14">
        <v>4895.666666666667</v>
      </c>
      <c r="G313" s="13">
        <v>1856.9499999999953</v>
      </c>
      <c r="H313" s="15">
        <v>242</v>
      </c>
      <c r="I313" s="13">
        <v>21</v>
      </c>
      <c r="J313" s="16">
        <v>720</v>
      </c>
      <c r="K313" s="15">
        <v>1444</v>
      </c>
      <c r="L313" s="14">
        <v>1071</v>
      </c>
      <c r="M313" s="13">
        <v>708</v>
      </c>
    </row>
    <row r="314" spans="1:14" outlineLevel="1" x14ac:dyDescent="0.2">
      <c r="A314" s="20">
        <f t="shared" si="154"/>
        <v>3646</v>
      </c>
      <c r="B314" s="19" t="str">
        <f t="shared" si="154"/>
        <v>TWU</v>
      </c>
      <c r="C314" s="18"/>
      <c r="D314" s="15">
        <v>1725</v>
      </c>
      <c r="E314" s="21">
        <v>0.48399999999999999</v>
      </c>
      <c r="F314" s="14">
        <v>6598.2</v>
      </c>
      <c r="G314" s="13">
        <v>3227.0100000000139</v>
      </c>
      <c r="H314" s="15">
        <v>523</v>
      </c>
      <c r="I314" s="13">
        <v>34</v>
      </c>
      <c r="J314" s="16">
        <v>1201</v>
      </c>
      <c r="K314" s="15">
        <v>2121</v>
      </c>
      <c r="L314" s="14">
        <v>1259</v>
      </c>
      <c r="M314" s="13">
        <v>608</v>
      </c>
    </row>
    <row r="315" spans="1:14" outlineLevel="1" x14ac:dyDescent="0.2">
      <c r="A315" s="20">
        <f t="shared" si="154"/>
        <v>3581</v>
      </c>
      <c r="B315" s="19" t="str">
        <f t="shared" si="154"/>
        <v>Lamar</v>
      </c>
      <c r="C315" s="18"/>
      <c r="D315" s="15">
        <v>1340</v>
      </c>
      <c r="E315" s="21">
        <v>0.35399999999999998</v>
      </c>
      <c r="F315" s="14">
        <v>7247.8</v>
      </c>
      <c r="G315" s="13">
        <v>2695.0800000000122</v>
      </c>
      <c r="H315" s="15">
        <v>358</v>
      </c>
      <c r="I315" s="13">
        <v>16</v>
      </c>
      <c r="J315" s="16">
        <v>943</v>
      </c>
      <c r="K315" s="15">
        <v>2317</v>
      </c>
      <c r="L315" s="14">
        <v>1577</v>
      </c>
      <c r="M315" s="13">
        <v>1000</v>
      </c>
    </row>
    <row r="316" spans="1:14" outlineLevel="1" x14ac:dyDescent="0.2">
      <c r="A316" s="20">
        <f t="shared" si="154"/>
        <v>3606</v>
      </c>
      <c r="B316" s="19" t="str">
        <f t="shared" si="154"/>
        <v>SHSU</v>
      </c>
      <c r="C316" s="18"/>
      <c r="D316" s="15">
        <v>3013</v>
      </c>
      <c r="E316" s="21">
        <v>0.60299999999999998</v>
      </c>
      <c r="F316" s="14">
        <v>12631.666666666666</v>
      </c>
      <c r="G316" s="13">
        <v>5628.5800000000427</v>
      </c>
      <c r="H316" s="15">
        <v>166</v>
      </c>
      <c r="I316" s="13">
        <v>63</v>
      </c>
      <c r="J316" s="16">
        <v>2160</v>
      </c>
      <c r="K316" s="15">
        <v>3940</v>
      </c>
      <c r="L316" s="14">
        <v>2970</v>
      </c>
      <c r="M316" s="13">
        <v>1716</v>
      </c>
    </row>
    <row r="317" spans="1:14" outlineLevel="1" x14ac:dyDescent="0.2">
      <c r="A317" s="20">
        <f t="shared" si="154"/>
        <v>3615</v>
      </c>
      <c r="B317" s="19" t="str">
        <f t="shared" si="154"/>
        <v>TXST</v>
      </c>
      <c r="C317" s="18"/>
      <c r="D317" s="15">
        <v>5349</v>
      </c>
      <c r="E317" s="21">
        <v>0.6409999999999999</v>
      </c>
      <c r="F317" s="14">
        <v>22917.933333333334</v>
      </c>
      <c r="G317" s="13">
        <v>10250.389999999717</v>
      </c>
      <c r="H317" s="15">
        <v>445</v>
      </c>
      <c r="I317" s="13">
        <v>65</v>
      </c>
      <c r="J317" s="16">
        <v>3665</v>
      </c>
      <c r="K317" s="15">
        <v>7685</v>
      </c>
      <c r="L317" s="14">
        <v>5748</v>
      </c>
      <c r="M317" s="13">
        <v>3317</v>
      </c>
    </row>
    <row r="318" spans="1:14" outlineLevel="1" x14ac:dyDescent="0.2">
      <c r="A318" s="20">
        <f t="shared" si="154"/>
        <v>3625</v>
      </c>
      <c r="B318" s="19" t="str">
        <f t="shared" si="154"/>
        <v>SRSU</v>
      </c>
      <c r="C318" s="18"/>
      <c r="D318" s="15">
        <v>196</v>
      </c>
      <c r="E318" s="21">
        <v>0.29199999999999998</v>
      </c>
      <c r="F318" s="14">
        <v>1200.1333333333334</v>
      </c>
      <c r="G318" s="13">
        <v>405.49999999999949</v>
      </c>
      <c r="H318" s="15">
        <v>18</v>
      </c>
      <c r="I318" s="13">
        <v>4</v>
      </c>
      <c r="J318" s="16">
        <v>166</v>
      </c>
      <c r="K318" s="15">
        <v>298</v>
      </c>
      <c r="L318" s="14">
        <v>217</v>
      </c>
      <c r="M318" s="13">
        <v>136</v>
      </c>
      <c r="N318" s="41"/>
    </row>
    <row r="319" spans="1:14" outlineLevel="1" x14ac:dyDescent="0.2">
      <c r="A319" s="20">
        <f t="shared" si="154"/>
        <v>20</v>
      </c>
      <c r="B319" s="19" t="str">
        <f t="shared" si="154"/>
        <v>SRRG</v>
      </c>
      <c r="C319" s="18"/>
      <c r="D319" s="15">
        <v>163</v>
      </c>
      <c r="E319" s="17">
        <v>0.33750000000000002</v>
      </c>
      <c r="F319" s="14">
        <v>472.13333333333333</v>
      </c>
      <c r="G319" s="13">
        <v>281.52999999999975</v>
      </c>
      <c r="H319" s="15">
        <v>5</v>
      </c>
      <c r="I319" s="13">
        <v>7</v>
      </c>
      <c r="J319" s="16">
        <v>145</v>
      </c>
      <c r="K319" s="15">
        <v>224</v>
      </c>
      <c r="L319" s="14">
        <v>97</v>
      </c>
      <c r="M319" s="13">
        <v>2</v>
      </c>
    </row>
    <row r="320" spans="1:14" ht="13.5" outlineLevel="1" thickBot="1" x14ac:dyDescent="0.25">
      <c r="A320" s="12"/>
      <c r="B320" s="11" t="s">
        <v>11</v>
      </c>
      <c r="C320" s="10"/>
      <c r="D320" s="9">
        <f>SUM(D282:D319)</f>
        <v>84231</v>
      </c>
      <c r="E320" s="8">
        <v>0.58399999999999996</v>
      </c>
      <c r="F320" s="7">
        <f t="shared" ref="F320:M320" si="155">SUM(F282:F319)</f>
        <v>351171.46666666673</v>
      </c>
      <c r="G320" s="3">
        <f t="shared" si="155"/>
        <v>170914.74000000223</v>
      </c>
      <c r="H320" s="5">
        <f t="shared" si="155"/>
        <v>13857</v>
      </c>
      <c r="I320" s="3">
        <f t="shared" si="155"/>
        <v>1204</v>
      </c>
      <c r="J320" s="6">
        <f t="shared" si="155"/>
        <v>54385</v>
      </c>
      <c r="K320" s="5">
        <f t="shared" si="155"/>
        <v>116139</v>
      </c>
      <c r="L320" s="4">
        <f t="shared" si="155"/>
        <v>84006</v>
      </c>
      <c r="M320" s="3">
        <f t="shared" si="155"/>
        <v>51310</v>
      </c>
    </row>
    <row r="321" spans="1:15" ht="13.5" thickBot="1" x14ac:dyDescent="0.25">
      <c r="A321" s="42" t="s">
        <v>25</v>
      </c>
      <c r="B321" s="42"/>
      <c r="C321" s="42"/>
      <c r="D321" s="42"/>
      <c r="F321" s="42"/>
      <c r="J321" s="42"/>
    </row>
    <row r="322" spans="1:15" ht="12.75" customHeight="1" outlineLevel="1" x14ac:dyDescent="0.2">
      <c r="A322" s="234" t="s">
        <v>24</v>
      </c>
      <c r="B322" s="236" t="s">
        <v>23</v>
      </c>
      <c r="C322" s="238"/>
      <c r="D322" s="240" t="s">
        <v>28</v>
      </c>
      <c r="E322" s="242" t="s">
        <v>21</v>
      </c>
      <c r="F322" s="236" t="s">
        <v>20</v>
      </c>
      <c r="G322" s="221" t="s">
        <v>19</v>
      </c>
      <c r="H322" s="223" t="s">
        <v>18</v>
      </c>
      <c r="I322" s="225" t="s">
        <v>17</v>
      </c>
      <c r="J322" s="227" t="s">
        <v>16</v>
      </c>
      <c r="K322" s="229" t="s">
        <v>15</v>
      </c>
      <c r="L322" s="230"/>
      <c r="M322" s="231"/>
    </row>
    <row r="323" spans="1:15" s="41" customFormat="1" ht="39.75" customHeight="1" outlineLevel="1" thickBot="1" x14ac:dyDescent="0.25">
      <c r="A323" s="235"/>
      <c r="B323" s="237"/>
      <c r="C323" s="239"/>
      <c r="D323" s="241"/>
      <c r="E323" s="243"/>
      <c r="F323" s="237"/>
      <c r="G323" s="222"/>
      <c r="H323" s="224"/>
      <c r="I323" s="226"/>
      <c r="J323" s="228"/>
      <c r="K323" s="188" t="s">
        <v>14</v>
      </c>
      <c r="L323" s="189" t="s">
        <v>13</v>
      </c>
      <c r="M323" s="190" t="s">
        <v>12</v>
      </c>
      <c r="N323" s="1"/>
    </row>
    <row r="324" spans="1:15" outlineLevel="1" x14ac:dyDescent="0.2">
      <c r="A324" s="40">
        <f t="shared" ref="A324:B343" si="156">A282</f>
        <v>3656</v>
      </c>
      <c r="B324" s="39" t="str">
        <f t="shared" si="156"/>
        <v>UTA</v>
      </c>
      <c r="C324" s="38"/>
      <c r="D324" s="33">
        <v>4178</v>
      </c>
      <c r="E324" s="37">
        <v>0.50700000000000001</v>
      </c>
      <c r="F324" s="32">
        <v>15698.133333333333</v>
      </c>
      <c r="G324" s="31">
        <v>8640.2399999998797</v>
      </c>
      <c r="H324" s="36">
        <v>834</v>
      </c>
      <c r="I324" s="35">
        <v>36</v>
      </c>
      <c r="J324" s="34">
        <v>2662</v>
      </c>
      <c r="K324" s="33">
        <v>6630</v>
      </c>
      <c r="L324" s="32">
        <v>3636</v>
      </c>
      <c r="M324" s="31">
        <v>1724</v>
      </c>
    </row>
    <row r="325" spans="1:15" outlineLevel="1" x14ac:dyDescent="0.2">
      <c r="A325" s="20">
        <f t="shared" si="156"/>
        <v>3658</v>
      </c>
      <c r="B325" s="19" t="str">
        <f t="shared" si="156"/>
        <v>UT</v>
      </c>
      <c r="C325" s="18"/>
      <c r="D325" s="15">
        <v>8952</v>
      </c>
      <c r="E325" s="21">
        <v>0.82899999999999996</v>
      </c>
      <c r="F325" s="14">
        <v>33736.73333333333</v>
      </c>
      <c r="G325" s="13">
        <v>19230.319999999745</v>
      </c>
      <c r="H325" s="15">
        <v>1754</v>
      </c>
      <c r="I325" s="13">
        <v>55</v>
      </c>
      <c r="J325" s="16">
        <v>3435</v>
      </c>
      <c r="K325" s="15">
        <v>9596</v>
      </c>
      <c r="L325" s="14">
        <v>9749</v>
      </c>
      <c r="M325" s="13">
        <v>7288</v>
      </c>
      <c r="O325" s="2"/>
    </row>
    <row r="326" spans="1:15" outlineLevel="1" x14ac:dyDescent="0.2">
      <c r="A326" s="20">
        <f t="shared" si="156"/>
        <v>9741</v>
      </c>
      <c r="B326" s="19" t="str">
        <f t="shared" si="156"/>
        <v>UTD</v>
      </c>
      <c r="C326" s="18"/>
      <c r="D326" s="15">
        <v>2355</v>
      </c>
      <c r="E326" s="21">
        <v>0.70699999999999996</v>
      </c>
      <c r="F326" s="14">
        <v>8108.8666666666668</v>
      </c>
      <c r="G326" s="13">
        <v>4955.5700000000443</v>
      </c>
      <c r="H326" s="15">
        <v>392</v>
      </c>
      <c r="I326" s="13">
        <v>36</v>
      </c>
      <c r="J326" s="16">
        <v>1255</v>
      </c>
      <c r="K326" s="15">
        <v>3078</v>
      </c>
      <c r="L326" s="14">
        <v>1950</v>
      </c>
      <c r="M326" s="13">
        <v>923</v>
      </c>
      <c r="O326" s="2"/>
    </row>
    <row r="327" spans="1:15" outlineLevel="1" x14ac:dyDescent="0.2">
      <c r="A327" s="20">
        <f t="shared" si="156"/>
        <v>3661</v>
      </c>
      <c r="B327" s="19" t="str">
        <f t="shared" si="156"/>
        <v>UTEP</v>
      </c>
      <c r="C327" s="18"/>
      <c r="D327" s="15">
        <v>3031</v>
      </c>
      <c r="E327" s="21">
        <v>0.374</v>
      </c>
      <c r="F327" s="14">
        <v>12791.933333333332</v>
      </c>
      <c r="G327" s="13">
        <v>6295.4500000000389</v>
      </c>
      <c r="H327" s="15">
        <v>709</v>
      </c>
      <c r="I327" s="13">
        <v>93</v>
      </c>
      <c r="J327" s="16">
        <v>2394</v>
      </c>
      <c r="K327" s="15">
        <v>4200</v>
      </c>
      <c r="L327" s="14">
        <v>3366</v>
      </c>
      <c r="M327" s="13">
        <v>1972</v>
      </c>
      <c r="O327" s="2"/>
    </row>
    <row r="328" spans="1:15" outlineLevel="1" x14ac:dyDescent="0.2">
      <c r="A328" s="20">
        <f t="shared" si="156"/>
        <v>3599</v>
      </c>
      <c r="B328" s="19" t="str">
        <f t="shared" si="156"/>
        <v>UTPA</v>
      </c>
      <c r="C328" s="18"/>
      <c r="D328" s="15">
        <v>2620</v>
      </c>
      <c r="E328" s="21">
        <v>0.38900000000000001</v>
      </c>
      <c r="F328" s="14">
        <v>12572.333333333334</v>
      </c>
      <c r="G328" s="13">
        <v>5170.8900000000631</v>
      </c>
      <c r="H328" s="15">
        <v>480</v>
      </c>
      <c r="I328" s="13">
        <v>31</v>
      </c>
      <c r="J328" s="16">
        <v>2341</v>
      </c>
      <c r="K328" s="15">
        <v>4354</v>
      </c>
      <c r="L328" s="14">
        <v>3136</v>
      </c>
      <c r="M328" s="13">
        <v>1924</v>
      </c>
      <c r="O328" s="2"/>
    </row>
    <row r="329" spans="1:15" outlineLevel="1" x14ac:dyDescent="0.2">
      <c r="A329" s="20">
        <f t="shared" si="156"/>
        <v>30646</v>
      </c>
      <c r="B329" s="19" t="str">
        <f t="shared" si="156"/>
        <v>UTB</v>
      </c>
      <c r="C329" s="18"/>
      <c r="D329" s="15">
        <v>1052</v>
      </c>
      <c r="E329" s="17">
        <v>0.64666666666666661</v>
      </c>
      <c r="F329" s="14">
        <v>2989.6</v>
      </c>
      <c r="G329" s="13">
        <v>2005.0100000000309</v>
      </c>
      <c r="H329" s="15">
        <v>108</v>
      </c>
      <c r="I329" s="13">
        <v>19</v>
      </c>
      <c r="J329" s="16">
        <v>916</v>
      </c>
      <c r="K329" s="15">
        <v>1377</v>
      </c>
      <c r="L329" s="14">
        <v>583</v>
      </c>
      <c r="M329" s="13">
        <v>72</v>
      </c>
      <c r="O329" s="2"/>
    </row>
    <row r="330" spans="1:15" outlineLevel="1" x14ac:dyDescent="0.2">
      <c r="A330" s="20">
        <f t="shared" si="156"/>
        <v>9930</v>
      </c>
      <c r="B330" s="19" t="str">
        <f t="shared" si="156"/>
        <v>UTPB</v>
      </c>
      <c r="C330" s="18"/>
      <c r="D330" s="15">
        <v>513</v>
      </c>
      <c r="E330" s="21">
        <v>0.44600000000000001</v>
      </c>
      <c r="F330" s="14">
        <v>2159.6</v>
      </c>
      <c r="G330" s="13">
        <v>944.74000000001092</v>
      </c>
      <c r="H330" s="15">
        <v>33</v>
      </c>
      <c r="I330" s="13">
        <v>13</v>
      </c>
      <c r="J330" s="16">
        <v>379</v>
      </c>
      <c r="K330" s="15">
        <v>707</v>
      </c>
      <c r="L330" s="14">
        <v>450</v>
      </c>
      <c r="M330" s="13">
        <v>182</v>
      </c>
      <c r="O330" s="2"/>
    </row>
    <row r="331" spans="1:15" outlineLevel="1" x14ac:dyDescent="0.2">
      <c r="A331" s="20">
        <f t="shared" si="156"/>
        <v>10115</v>
      </c>
      <c r="B331" s="19" t="str">
        <f t="shared" si="156"/>
        <v>UTSA</v>
      </c>
      <c r="C331" s="18"/>
      <c r="D331" s="15">
        <v>3968</v>
      </c>
      <c r="E331" s="21">
        <v>0.44</v>
      </c>
      <c r="F331" s="14">
        <v>19707.533333333333</v>
      </c>
      <c r="G331" s="13">
        <v>8107.0899999997582</v>
      </c>
      <c r="H331" s="15">
        <v>375</v>
      </c>
      <c r="I331" s="13">
        <v>39</v>
      </c>
      <c r="J331" s="16">
        <v>2956</v>
      </c>
      <c r="K331" s="15">
        <v>6812</v>
      </c>
      <c r="L331" s="14">
        <v>4615</v>
      </c>
      <c r="M331" s="13">
        <v>2588</v>
      </c>
      <c r="O331" s="2"/>
    </row>
    <row r="332" spans="1:15" outlineLevel="1" x14ac:dyDescent="0.2">
      <c r="A332" s="20">
        <f t="shared" si="156"/>
        <v>11163</v>
      </c>
      <c r="B332" s="19" t="str">
        <f t="shared" si="156"/>
        <v>UTT</v>
      </c>
      <c r="C332" s="18"/>
      <c r="D332" s="15">
        <v>1238</v>
      </c>
      <c r="E332" s="21">
        <v>0.496</v>
      </c>
      <c r="F332" s="14">
        <v>4085.2666666666669</v>
      </c>
      <c r="G332" s="13">
        <v>2459.1300000000315</v>
      </c>
      <c r="H332" s="15">
        <v>372</v>
      </c>
      <c r="I332" s="13">
        <v>10</v>
      </c>
      <c r="J332" s="16">
        <v>1002</v>
      </c>
      <c r="K332" s="15">
        <v>1404</v>
      </c>
      <c r="L332" s="14">
        <v>921</v>
      </c>
      <c r="M332" s="13">
        <v>378</v>
      </c>
      <c r="O332" s="2"/>
    </row>
    <row r="333" spans="1:15" outlineLevel="1" x14ac:dyDescent="0.2">
      <c r="A333" s="20">
        <f t="shared" si="156"/>
        <v>3632</v>
      </c>
      <c r="B333" s="19" t="str">
        <f t="shared" si="156"/>
        <v>TAMU</v>
      </c>
      <c r="C333" s="18"/>
      <c r="D333" s="15">
        <v>8451</v>
      </c>
      <c r="E333" s="21">
        <v>0.83599999999999997</v>
      </c>
      <c r="F333" s="14">
        <v>34329.199999999997</v>
      </c>
      <c r="G333" s="13">
        <v>19146.209999999159</v>
      </c>
      <c r="H333" s="15">
        <v>1580</v>
      </c>
      <c r="I333" s="13">
        <v>108</v>
      </c>
      <c r="J333" s="16">
        <v>3530</v>
      </c>
      <c r="K333" s="15">
        <v>10012</v>
      </c>
      <c r="L333" s="14">
        <v>8836</v>
      </c>
      <c r="M333" s="13">
        <v>6932</v>
      </c>
      <c r="O333" s="2"/>
    </row>
    <row r="334" spans="1:15" outlineLevel="1" x14ac:dyDescent="0.2">
      <c r="A334" s="20">
        <f t="shared" si="156"/>
        <v>10298</v>
      </c>
      <c r="B334" s="19" t="str">
        <f t="shared" si="156"/>
        <v>TAMUG</v>
      </c>
      <c r="C334" s="18"/>
      <c r="D334" s="15">
        <v>262</v>
      </c>
      <c r="E334" s="21">
        <v>0.59199999999999997</v>
      </c>
      <c r="F334" s="14">
        <v>1599.2</v>
      </c>
      <c r="G334" s="13">
        <v>636.84000000000231</v>
      </c>
      <c r="H334" s="15">
        <v>31</v>
      </c>
      <c r="I334" s="13">
        <v>0</v>
      </c>
      <c r="J334" s="16">
        <v>137</v>
      </c>
      <c r="K334" s="15">
        <v>570</v>
      </c>
      <c r="L334" s="14">
        <v>322</v>
      </c>
      <c r="M334" s="13">
        <v>241</v>
      </c>
      <c r="O334" s="2"/>
    </row>
    <row r="335" spans="1:15" outlineLevel="1" x14ac:dyDescent="0.2">
      <c r="A335" s="20">
        <f t="shared" si="156"/>
        <v>3630</v>
      </c>
      <c r="B335" s="19" t="str">
        <f t="shared" si="156"/>
        <v>Prairie View</v>
      </c>
      <c r="C335" s="18"/>
      <c r="D335" s="15">
        <v>879</v>
      </c>
      <c r="E335" s="21">
        <v>0.34200000000000003</v>
      </c>
      <c r="F335" s="14">
        <v>5840.8</v>
      </c>
      <c r="G335" s="13">
        <v>1995.4900000000189</v>
      </c>
      <c r="H335" s="15">
        <v>295</v>
      </c>
      <c r="I335" s="13">
        <v>8</v>
      </c>
      <c r="J335" s="16">
        <v>756</v>
      </c>
      <c r="K335" s="15">
        <v>1643</v>
      </c>
      <c r="L335" s="14">
        <v>1174</v>
      </c>
      <c r="M335" s="13">
        <v>940</v>
      </c>
      <c r="O335" s="2"/>
    </row>
    <row r="336" spans="1:15" outlineLevel="1" x14ac:dyDescent="0.2">
      <c r="A336" s="20">
        <f t="shared" si="156"/>
        <v>3631</v>
      </c>
      <c r="B336" s="19" t="str">
        <f t="shared" si="156"/>
        <v>Tarleton</v>
      </c>
      <c r="C336" s="18"/>
      <c r="D336" s="15">
        <v>1422</v>
      </c>
      <c r="E336" s="21">
        <v>0.47499999999999998</v>
      </c>
      <c r="F336" s="14">
        <v>5845.5333333333338</v>
      </c>
      <c r="G336" s="13">
        <v>2966.430000000048</v>
      </c>
      <c r="H336" s="15">
        <v>183</v>
      </c>
      <c r="I336" s="13">
        <v>38</v>
      </c>
      <c r="J336" s="16">
        <v>1093</v>
      </c>
      <c r="K336" s="15">
        <v>2140</v>
      </c>
      <c r="L336" s="14">
        <v>1306</v>
      </c>
      <c r="M336" s="13">
        <v>903</v>
      </c>
      <c r="O336" s="2"/>
    </row>
    <row r="337" spans="1:15" outlineLevel="1" x14ac:dyDescent="0.2">
      <c r="A337" s="27">
        <f t="shared" si="156"/>
        <v>103631</v>
      </c>
      <c r="B337" s="19" t="str">
        <f t="shared" si="156"/>
        <v>TAMUCT</v>
      </c>
      <c r="C337" s="18"/>
      <c r="D337" s="15">
        <v>450</v>
      </c>
      <c r="E337" s="21">
        <v>0.47499999999999998</v>
      </c>
      <c r="F337" s="14">
        <v>658.4666666666667</v>
      </c>
      <c r="G337" s="13">
        <v>831.96000000000549</v>
      </c>
      <c r="H337" s="15">
        <v>44</v>
      </c>
      <c r="I337" s="13"/>
      <c r="J337" s="16">
        <v>322</v>
      </c>
      <c r="K337" s="15">
        <v>380</v>
      </c>
      <c r="L337" s="14">
        <v>137</v>
      </c>
      <c r="M337" s="13">
        <v>31</v>
      </c>
      <c r="O337" s="2"/>
    </row>
    <row r="338" spans="1:15" outlineLevel="1" x14ac:dyDescent="0.2">
      <c r="A338" s="20">
        <f t="shared" si="156"/>
        <v>11161</v>
      </c>
      <c r="B338" s="19" t="str">
        <f t="shared" si="156"/>
        <v>TAMUCC</v>
      </c>
      <c r="C338" s="18"/>
      <c r="D338" s="15">
        <v>1335</v>
      </c>
      <c r="E338" s="21">
        <v>0.503</v>
      </c>
      <c r="F338" s="14">
        <v>6131.9333333333334</v>
      </c>
      <c r="G338" s="13">
        <v>2744.5700000000347</v>
      </c>
      <c r="H338" s="15">
        <v>237</v>
      </c>
      <c r="I338" s="13">
        <v>29</v>
      </c>
      <c r="J338" s="16">
        <v>1024</v>
      </c>
      <c r="K338" s="15">
        <v>2079</v>
      </c>
      <c r="L338" s="14">
        <v>1357</v>
      </c>
      <c r="M338" s="13">
        <v>812</v>
      </c>
      <c r="O338" s="2"/>
    </row>
    <row r="339" spans="1:15" outlineLevel="1" x14ac:dyDescent="0.2">
      <c r="A339" s="20">
        <f t="shared" si="156"/>
        <v>3639</v>
      </c>
      <c r="B339" s="19" t="str">
        <f t="shared" si="156"/>
        <v>TAMUK</v>
      </c>
      <c r="C339" s="18"/>
      <c r="D339" s="15">
        <v>692</v>
      </c>
      <c r="E339" s="21">
        <v>0.41699999999999998</v>
      </c>
      <c r="F339" s="14">
        <v>3808.2666666666669</v>
      </c>
      <c r="G339" s="13">
        <v>1601.8800000000022</v>
      </c>
      <c r="H339" s="15">
        <v>236</v>
      </c>
      <c r="I339" s="13">
        <v>15</v>
      </c>
      <c r="J339" s="16">
        <v>590</v>
      </c>
      <c r="K339" s="15">
        <v>1159</v>
      </c>
      <c r="L339" s="14">
        <v>790</v>
      </c>
      <c r="M339" s="13">
        <v>550</v>
      </c>
      <c r="O339" s="2"/>
    </row>
    <row r="340" spans="1:15" outlineLevel="1" x14ac:dyDescent="0.2">
      <c r="A340" s="27">
        <f t="shared" si="156"/>
        <v>103639</v>
      </c>
      <c r="B340" s="19" t="str">
        <f t="shared" si="156"/>
        <v>TAMUSA</v>
      </c>
      <c r="C340" s="18"/>
      <c r="D340" s="15">
        <v>496</v>
      </c>
      <c r="E340" s="21">
        <v>0.41699999999999998</v>
      </c>
      <c r="F340" s="14">
        <v>1072.6666666666667</v>
      </c>
      <c r="G340" s="13">
        <v>844.50000000000807</v>
      </c>
      <c r="H340" s="15">
        <v>4</v>
      </c>
      <c r="I340" s="13"/>
      <c r="J340" s="16">
        <v>402</v>
      </c>
      <c r="K340" s="15">
        <v>307</v>
      </c>
      <c r="L340" s="14">
        <v>5</v>
      </c>
      <c r="M340" s="13">
        <v>5</v>
      </c>
      <c r="O340" s="2"/>
    </row>
    <row r="341" spans="1:15" outlineLevel="1" x14ac:dyDescent="0.2">
      <c r="A341" s="20">
        <f t="shared" si="156"/>
        <v>9651</v>
      </c>
      <c r="B341" s="19" t="str">
        <f t="shared" si="156"/>
        <v>TAMI</v>
      </c>
      <c r="C341" s="18"/>
      <c r="D341" s="15">
        <v>798</v>
      </c>
      <c r="E341" s="21">
        <v>0.46</v>
      </c>
      <c r="F341" s="14">
        <v>3819.0666666666666</v>
      </c>
      <c r="G341" s="13">
        <v>1476.3000000000168</v>
      </c>
      <c r="H341" s="15">
        <v>85</v>
      </c>
      <c r="I341" s="13">
        <v>26</v>
      </c>
      <c r="J341" s="16">
        <v>713</v>
      </c>
      <c r="K341" s="15">
        <v>1413</v>
      </c>
      <c r="L341" s="14">
        <v>981</v>
      </c>
      <c r="M341" s="13">
        <v>447</v>
      </c>
      <c r="O341" s="2"/>
    </row>
    <row r="342" spans="1:15" outlineLevel="1" x14ac:dyDescent="0.2">
      <c r="A342" s="20">
        <f t="shared" si="156"/>
        <v>3665</v>
      </c>
      <c r="B342" s="19" t="str">
        <f t="shared" si="156"/>
        <v>WTAMU</v>
      </c>
      <c r="C342" s="18"/>
      <c r="D342" s="15">
        <v>1220</v>
      </c>
      <c r="E342" s="21">
        <v>0.45600000000000002</v>
      </c>
      <c r="F342" s="14">
        <v>5264.8</v>
      </c>
      <c r="G342" s="13">
        <v>2415.9700000000216</v>
      </c>
      <c r="H342" s="15">
        <v>216</v>
      </c>
      <c r="I342" s="13">
        <v>64</v>
      </c>
      <c r="J342" s="16">
        <v>853</v>
      </c>
      <c r="K342" s="15">
        <v>1873</v>
      </c>
      <c r="L342" s="14">
        <v>1161</v>
      </c>
      <c r="M342" s="13">
        <v>631</v>
      </c>
      <c r="O342" s="2"/>
    </row>
    <row r="343" spans="1:15" outlineLevel="1" x14ac:dyDescent="0.2">
      <c r="A343" s="20">
        <f t="shared" si="156"/>
        <v>3565</v>
      </c>
      <c r="B343" s="19" t="str">
        <f t="shared" si="156"/>
        <v>TAMUC</v>
      </c>
      <c r="C343" s="18"/>
      <c r="D343" s="15">
        <v>1153</v>
      </c>
      <c r="E343" s="21">
        <v>0.44800000000000001</v>
      </c>
      <c r="F343" s="14">
        <v>4172.1333333333332</v>
      </c>
      <c r="G343" s="13">
        <v>2179.8400000000324</v>
      </c>
      <c r="H343" s="15">
        <v>59</v>
      </c>
      <c r="I343" s="13">
        <v>65</v>
      </c>
      <c r="J343" s="16">
        <v>884</v>
      </c>
      <c r="K343" s="15">
        <v>1712</v>
      </c>
      <c r="L343" s="14">
        <v>1038</v>
      </c>
      <c r="M343" s="13">
        <v>423</v>
      </c>
      <c r="O343" s="2"/>
    </row>
    <row r="344" spans="1:15" outlineLevel="1" x14ac:dyDescent="0.2">
      <c r="A344" s="20">
        <f t="shared" ref="A344:B361" si="157">A302</f>
        <v>29269</v>
      </c>
      <c r="B344" s="19" t="str">
        <f t="shared" si="157"/>
        <v>TAMUT</v>
      </c>
      <c r="C344" s="18"/>
      <c r="D344" s="15">
        <v>326</v>
      </c>
      <c r="E344" s="17">
        <v>0.57336956521739135</v>
      </c>
      <c r="F344" s="14">
        <v>694.6</v>
      </c>
      <c r="G344" s="13">
        <v>569.46</v>
      </c>
      <c r="H344" s="15">
        <v>30</v>
      </c>
      <c r="I344" s="13">
        <v>15</v>
      </c>
      <c r="J344" s="16">
        <v>210</v>
      </c>
      <c r="K344" s="15">
        <v>403</v>
      </c>
      <c r="L344" s="14">
        <v>138</v>
      </c>
      <c r="M344" s="13">
        <v>0</v>
      </c>
      <c r="O344" s="2"/>
    </row>
    <row r="345" spans="1:15" outlineLevel="1" x14ac:dyDescent="0.2">
      <c r="A345" s="20">
        <f t="shared" si="157"/>
        <v>3652</v>
      </c>
      <c r="B345" s="19" t="str">
        <f t="shared" si="157"/>
        <v>UH</v>
      </c>
      <c r="C345" s="18"/>
      <c r="D345" s="15">
        <v>4778</v>
      </c>
      <c r="E345" s="21">
        <v>0.53100000000000003</v>
      </c>
      <c r="F345" s="14">
        <v>22778.733333333334</v>
      </c>
      <c r="G345" s="13">
        <v>9792.4499999989821</v>
      </c>
      <c r="H345" s="15">
        <v>656</v>
      </c>
      <c r="I345" s="13">
        <v>54</v>
      </c>
      <c r="J345" s="16">
        <v>3091</v>
      </c>
      <c r="K345" s="15">
        <v>7517</v>
      </c>
      <c r="L345" s="14">
        <v>5600</v>
      </c>
      <c r="M345" s="13">
        <v>3376</v>
      </c>
      <c r="O345" s="2"/>
    </row>
    <row r="346" spans="1:15" outlineLevel="1" x14ac:dyDescent="0.2">
      <c r="A346" s="20">
        <f t="shared" si="157"/>
        <v>11711</v>
      </c>
      <c r="B346" s="19" t="str">
        <f t="shared" si="157"/>
        <v>UHCL</v>
      </c>
      <c r="C346" s="18"/>
      <c r="D346" s="15">
        <v>1124</v>
      </c>
      <c r="E346" s="17">
        <v>0.50557620817843862</v>
      </c>
      <c r="F346" s="14">
        <v>2872.8666666666668</v>
      </c>
      <c r="G346" s="13">
        <v>2131.2100000000323</v>
      </c>
      <c r="H346" s="15">
        <v>88</v>
      </c>
      <c r="I346" s="13">
        <v>8</v>
      </c>
      <c r="J346" s="16">
        <v>707</v>
      </c>
      <c r="K346" s="15">
        <v>1349</v>
      </c>
      <c r="L346" s="14">
        <v>888</v>
      </c>
      <c r="M346" s="13">
        <v>81</v>
      </c>
      <c r="O346" s="2"/>
    </row>
    <row r="347" spans="1:15" outlineLevel="1" x14ac:dyDescent="0.2">
      <c r="A347" s="20">
        <f t="shared" si="157"/>
        <v>12826</v>
      </c>
      <c r="B347" s="19" t="str">
        <f t="shared" si="157"/>
        <v>UHD</v>
      </c>
      <c r="C347" s="18"/>
      <c r="D347" s="15">
        <v>2359</v>
      </c>
      <c r="E347" s="21">
        <v>0.18099999999999999</v>
      </c>
      <c r="F347" s="14">
        <v>7963.6</v>
      </c>
      <c r="G347" s="13">
        <v>4153.3100000000841</v>
      </c>
      <c r="H347" s="15">
        <v>112</v>
      </c>
      <c r="I347" s="13">
        <v>2</v>
      </c>
      <c r="J347" s="16">
        <v>1619</v>
      </c>
      <c r="K347" s="15">
        <v>3082</v>
      </c>
      <c r="L347" s="14">
        <v>1889</v>
      </c>
      <c r="M347" s="13">
        <v>606</v>
      </c>
      <c r="O347" s="2"/>
    </row>
    <row r="348" spans="1:15" outlineLevel="1" x14ac:dyDescent="0.2">
      <c r="A348" s="20">
        <f t="shared" si="157"/>
        <v>13231</v>
      </c>
      <c r="B348" s="19" t="str">
        <f t="shared" si="157"/>
        <v>UHV</v>
      </c>
      <c r="C348" s="18"/>
      <c r="D348" s="15">
        <v>515</v>
      </c>
      <c r="E348" s="17">
        <v>0.55256723716381417</v>
      </c>
      <c r="F348" s="14">
        <v>1135.8</v>
      </c>
      <c r="G348" s="13">
        <v>962.15000000001089</v>
      </c>
      <c r="H348" s="15">
        <v>72</v>
      </c>
      <c r="I348" s="13">
        <v>2</v>
      </c>
      <c r="J348" s="16">
        <v>337</v>
      </c>
      <c r="K348" s="15">
        <v>654</v>
      </c>
      <c r="L348" s="14">
        <v>269</v>
      </c>
      <c r="M348" s="13">
        <v>8</v>
      </c>
      <c r="O348" s="2"/>
    </row>
    <row r="349" spans="1:15" outlineLevel="1" x14ac:dyDescent="0.2">
      <c r="A349" s="20">
        <f t="shared" si="157"/>
        <v>3592</v>
      </c>
      <c r="B349" s="19" t="str">
        <f t="shared" si="157"/>
        <v>Midwestern</v>
      </c>
      <c r="C349" s="18"/>
      <c r="D349" s="15">
        <v>1002</v>
      </c>
      <c r="E349" s="21">
        <v>0.41199999999999998</v>
      </c>
      <c r="F349" s="14">
        <v>4294.8666666666668</v>
      </c>
      <c r="G349" s="13">
        <v>1899.0200000000148</v>
      </c>
      <c r="H349" s="15">
        <v>302</v>
      </c>
      <c r="I349" s="13">
        <v>19</v>
      </c>
      <c r="J349" s="16">
        <v>673</v>
      </c>
      <c r="K349" s="15">
        <v>1497</v>
      </c>
      <c r="L349" s="14">
        <v>1080</v>
      </c>
      <c r="M349" s="13">
        <v>622</v>
      </c>
      <c r="O349" s="2"/>
    </row>
    <row r="350" spans="1:15" outlineLevel="1" x14ac:dyDescent="0.2">
      <c r="A350" s="20">
        <f t="shared" si="157"/>
        <v>3594</v>
      </c>
      <c r="B350" s="19" t="str">
        <f t="shared" si="157"/>
        <v>UNT</v>
      </c>
      <c r="C350" s="18"/>
      <c r="D350" s="15">
        <v>6024</v>
      </c>
      <c r="E350" s="21">
        <v>0.57399999999999995</v>
      </c>
      <c r="F350" s="14">
        <f>22506.0666666667+838</f>
        <v>23344.066666666698</v>
      </c>
      <c r="G350" s="13">
        <v>11164.699999998398</v>
      </c>
      <c r="H350" s="15">
        <v>297</v>
      </c>
      <c r="I350" s="13">
        <v>27</v>
      </c>
      <c r="J350" s="16">
        <v>3747</v>
      </c>
      <c r="K350" s="30">
        <v>8327</v>
      </c>
      <c r="L350" s="29">
        <v>5604</v>
      </c>
      <c r="M350" s="28">
        <v>3585</v>
      </c>
      <c r="O350" s="2"/>
    </row>
    <row r="351" spans="1:15" outlineLevel="1" x14ac:dyDescent="0.2">
      <c r="A351" s="27">
        <f t="shared" si="157"/>
        <v>113594</v>
      </c>
      <c r="B351" s="19" t="str">
        <f t="shared" si="157"/>
        <v>UNTD</v>
      </c>
      <c r="C351" s="18"/>
      <c r="D351" s="24"/>
      <c r="E351" s="26"/>
      <c r="F351" s="23"/>
      <c r="G351" s="22"/>
      <c r="H351" s="24"/>
      <c r="I351" s="22"/>
      <c r="J351" s="25"/>
      <c r="K351" s="24"/>
      <c r="L351" s="23"/>
      <c r="M351" s="22"/>
      <c r="O351" s="2"/>
    </row>
    <row r="352" spans="1:15" outlineLevel="1" x14ac:dyDescent="0.2">
      <c r="A352" s="20">
        <f t="shared" si="157"/>
        <v>3624</v>
      </c>
      <c r="B352" s="19" t="str">
        <f t="shared" si="157"/>
        <v>SFA</v>
      </c>
      <c r="C352" s="18"/>
      <c r="D352" s="15">
        <v>1874</v>
      </c>
      <c r="E352" s="21">
        <v>0.56999999999999995</v>
      </c>
      <c r="F352" s="14">
        <v>9510.2666666666664</v>
      </c>
      <c r="G352" s="13">
        <v>3625.4100000000203</v>
      </c>
      <c r="H352" s="15">
        <v>230</v>
      </c>
      <c r="I352" s="13">
        <v>43</v>
      </c>
      <c r="J352" s="16">
        <v>1422</v>
      </c>
      <c r="K352" s="15">
        <v>2663</v>
      </c>
      <c r="L352" s="14">
        <v>1934</v>
      </c>
      <c r="M352" s="13">
        <v>1317</v>
      </c>
      <c r="O352" s="2"/>
    </row>
    <row r="353" spans="1:15" outlineLevel="1" x14ac:dyDescent="0.2">
      <c r="A353" s="20">
        <f t="shared" si="157"/>
        <v>3642</v>
      </c>
      <c r="B353" s="19" t="str">
        <f t="shared" si="157"/>
        <v>TSU</v>
      </c>
      <c r="C353" s="18"/>
      <c r="D353" s="15">
        <v>817</v>
      </c>
      <c r="E353" s="21">
        <v>0.14899999999999999</v>
      </c>
      <c r="F353" s="14">
        <v>5909.8</v>
      </c>
      <c r="G353" s="13">
        <v>1601.5200000000066</v>
      </c>
      <c r="H353" s="15">
        <v>127</v>
      </c>
      <c r="I353" s="13">
        <v>2</v>
      </c>
      <c r="J353" s="16">
        <v>723</v>
      </c>
      <c r="K353" s="15">
        <v>1871</v>
      </c>
      <c r="L353" s="14">
        <v>1137</v>
      </c>
      <c r="M353" s="13">
        <v>916</v>
      </c>
      <c r="O353" s="2"/>
    </row>
    <row r="354" spans="1:15" outlineLevel="1" x14ac:dyDescent="0.2">
      <c r="A354" s="20">
        <f t="shared" si="157"/>
        <v>3644</v>
      </c>
      <c r="B354" s="19" t="str">
        <f t="shared" si="157"/>
        <v>TTU</v>
      </c>
      <c r="C354" s="18"/>
      <c r="D354" s="15">
        <v>4476</v>
      </c>
      <c r="E354" s="21">
        <v>0.72799999999999998</v>
      </c>
      <c r="F354" s="14">
        <v>21422.2</v>
      </c>
      <c r="G354" s="13">
        <v>9827.5299999990111</v>
      </c>
      <c r="H354" s="15">
        <v>656</v>
      </c>
      <c r="I354" s="13">
        <v>43</v>
      </c>
      <c r="J354" s="16">
        <v>2539</v>
      </c>
      <c r="K354" s="15">
        <v>6430</v>
      </c>
      <c r="L354" s="14">
        <v>5148</v>
      </c>
      <c r="M354" s="13">
        <v>3832</v>
      </c>
      <c r="O354" s="2"/>
    </row>
    <row r="355" spans="1:15" outlineLevel="1" x14ac:dyDescent="0.2">
      <c r="A355" s="20">
        <f t="shared" si="157"/>
        <v>3541</v>
      </c>
      <c r="B355" s="19" t="str">
        <f t="shared" si="157"/>
        <v>Angelo</v>
      </c>
      <c r="C355" s="18"/>
      <c r="D355" s="15">
        <v>941</v>
      </c>
      <c r="E355" s="21">
        <v>0.44</v>
      </c>
      <c r="F355" s="14">
        <v>4829.1333333333332</v>
      </c>
      <c r="G355" s="13">
        <v>1933.5900000000179</v>
      </c>
      <c r="H355" s="15">
        <v>217</v>
      </c>
      <c r="I355" s="13">
        <v>18</v>
      </c>
      <c r="J355" s="16">
        <v>676</v>
      </c>
      <c r="K355" s="15">
        <v>1474</v>
      </c>
      <c r="L355" s="14">
        <v>1008</v>
      </c>
      <c r="M355" s="13">
        <v>708</v>
      </c>
      <c r="O355" s="2"/>
    </row>
    <row r="356" spans="1:15" outlineLevel="1" x14ac:dyDescent="0.2">
      <c r="A356" s="20">
        <f t="shared" si="157"/>
        <v>3646</v>
      </c>
      <c r="B356" s="19" t="str">
        <f t="shared" si="157"/>
        <v>TWU</v>
      </c>
      <c r="C356" s="18"/>
      <c r="D356" s="15">
        <v>1774</v>
      </c>
      <c r="E356" s="21">
        <v>0.54500000000000004</v>
      </c>
      <c r="F356" s="14">
        <v>6071.4666666666662</v>
      </c>
      <c r="G356" s="13">
        <v>3425.2000000000221</v>
      </c>
      <c r="H356" s="15">
        <v>614</v>
      </c>
      <c r="I356" s="13">
        <v>31</v>
      </c>
      <c r="J356" s="16">
        <v>1214</v>
      </c>
      <c r="K356" s="15">
        <v>2042</v>
      </c>
      <c r="L356" s="14">
        <v>1371</v>
      </c>
      <c r="M356" s="13">
        <v>668</v>
      </c>
      <c r="O356" s="2"/>
    </row>
    <row r="357" spans="1:15" outlineLevel="1" x14ac:dyDescent="0.2">
      <c r="A357" s="20">
        <f t="shared" si="157"/>
        <v>3581</v>
      </c>
      <c r="B357" s="19" t="str">
        <f t="shared" si="157"/>
        <v>Lamar</v>
      </c>
      <c r="C357" s="18"/>
      <c r="D357" s="15">
        <v>1286</v>
      </c>
      <c r="E357" s="21">
        <v>0.33800000000000002</v>
      </c>
      <c r="F357" s="14">
        <v>7172.9333333333334</v>
      </c>
      <c r="G357" s="13">
        <v>2638.0900000000311</v>
      </c>
      <c r="H357" s="15">
        <v>314</v>
      </c>
      <c r="I357" s="13">
        <v>17</v>
      </c>
      <c r="J357" s="16">
        <v>908</v>
      </c>
      <c r="K357" s="15">
        <v>2043</v>
      </c>
      <c r="L357" s="14">
        <v>1404</v>
      </c>
      <c r="M357" s="13">
        <v>1031</v>
      </c>
      <c r="O357" s="2"/>
    </row>
    <row r="358" spans="1:15" outlineLevel="1" x14ac:dyDescent="0.2">
      <c r="A358" s="20">
        <f t="shared" si="157"/>
        <v>3606</v>
      </c>
      <c r="B358" s="19" t="str">
        <f t="shared" si="157"/>
        <v>SHSU</v>
      </c>
      <c r="C358" s="18"/>
      <c r="D358" s="15">
        <v>3242</v>
      </c>
      <c r="E358" s="21">
        <v>0.57899999999999996</v>
      </c>
      <c r="F358" s="14">
        <v>12517.066666666668</v>
      </c>
      <c r="G358" s="13">
        <v>6188.6300000000374</v>
      </c>
      <c r="H358" s="15">
        <v>163</v>
      </c>
      <c r="I358" s="13">
        <v>69</v>
      </c>
      <c r="J358" s="16">
        <v>2318</v>
      </c>
      <c r="K358" s="15">
        <v>3849</v>
      </c>
      <c r="L358" s="14">
        <v>3011</v>
      </c>
      <c r="M358" s="13">
        <v>1870</v>
      </c>
      <c r="O358" s="2"/>
    </row>
    <row r="359" spans="1:15" outlineLevel="1" x14ac:dyDescent="0.2">
      <c r="A359" s="20">
        <f t="shared" si="157"/>
        <v>3615</v>
      </c>
      <c r="B359" s="19" t="str">
        <f t="shared" si="157"/>
        <v>TXST</v>
      </c>
      <c r="C359" s="18"/>
      <c r="D359" s="15">
        <v>5299</v>
      </c>
      <c r="E359" s="21">
        <v>0.64400000000000002</v>
      </c>
      <c r="F359" s="14">
        <v>21764.6</v>
      </c>
      <c r="G359" s="13">
        <v>10384.469999998846</v>
      </c>
      <c r="H359" s="15">
        <v>439</v>
      </c>
      <c r="I359" s="13">
        <v>68</v>
      </c>
      <c r="J359" s="16">
        <v>3545</v>
      </c>
      <c r="K359" s="15">
        <v>7301</v>
      </c>
      <c r="L359" s="14">
        <v>5428</v>
      </c>
      <c r="M359" s="13">
        <v>3302</v>
      </c>
      <c r="O359" s="2"/>
    </row>
    <row r="360" spans="1:15" outlineLevel="1" x14ac:dyDescent="0.2">
      <c r="A360" s="20">
        <f t="shared" si="157"/>
        <v>3625</v>
      </c>
      <c r="B360" s="19" t="str">
        <f t="shared" si="157"/>
        <v>SRSU</v>
      </c>
      <c r="C360" s="18"/>
      <c r="D360" s="15">
        <v>181</v>
      </c>
      <c r="E360" s="21">
        <v>0.28499999999999998</v>
      </c>
      <c r="F360" s="14">
        <v>1230.9333333333334</v>
      </c>
      <c r="G360" s="13">
        <v>368.43999999999954</v>
      </c>
      <c r="H360" s="15">
        <v>10</v>
      </c>
      <c r="I360" s="13">
        <v>10</v>
      </c>
      <c r="J360" s="16">
        <v>156</v>
      </c>
      <c r="K360" s="15">
        <v>318</v>
      </c>
      <c r="L360" s="14">
        <v>176</v>
      </c>
      <c r="M360" s="13">
        <v>115</v>
      </c>
      <c r="O360" s="2"/>
    </row>
    <row r="361" spans="1:15" outlineLevel="1" x14ac:dyDescent="0.2">
      <c r="A361" s="20">
        <f t="shared" si="157"/>
        <v>20</v>
      </c>
      <c r="B361" s="19" t="str">
        <f t="shared" si="157"/>
        <v>SRRG</v>
      </c>
      <c r="C361" s="18"/>
      <c r="D361" s="15">
        <v>168</v>
      </c>
      <c r="E361" s="17">
        <v>0.36144578313253012</v>
      </c>
      <c r="F361" s="14">
        <v>416.33333333333331</v>
      </c>
      <c r="G361" s="13">
        <v>287.9199999999995</v>
      </c>
      <c r="H361" s="15">
        <v>8</v>
      </c>
      <c r="I361" s="13">
        <v>9</v>
      </c>
      <c r="J361" s="16">
        <v>149</v>
      </c>
      <c r="K361" s="15">
        <v>251</v>
      </c>
      <c r="L361" s="14">
        <v>90</v>
      </c>
      <c r="M361" s="13">
        <v>5</v>
      </c>
      <c r="O361" s="2"/>
    </row>
    <row r="362" spans="1:15" ht="13.5" outlineLevel="1" thickBot="1" x14ac:dyDescent="0.25">
      <c r="A362" s="12"/>
      <c r="B362" s="11" t="s">
        <v>11</v>
      </c>
      <c r="C362" s="10"/>
      <c r="D362" s="9">
        <f>SUM(D324:D361)</f>
        <v>81251</v>
      </c>
      <c r="E362" s="8">
        <v>0.56799999999999995</v>
      </c>
      <c r="F362" s="7">
        <f t="shared" ref="F362:M362" si="158">SUM(F324:F361)</f>
        <v>338321.33333333337</v>
      </c>
      <c r="G362" s="3">
        <f t="shared" si="158"/>
        <v>165601.52999999447</v>
      </c>
      <c r="H362" s="5">
        <f t="shared" si="158"/>
        <v>12362</v>
      </c>
      <c r="I362" s="3">
        <f t="shared" si="158"/>
        <v>1122</v>
      </c>
      <c r="J362" s="6">
        <f t="shared" si="158"/>
        <v>51678</v>
      </c>
      <c r="K362" s="5">
        <f t="shared" si="158"/>
        <v>112517</v>
      </c>
      <c r="L362" s="4">
        <f t="shared" si="158"/>
        <v>81688</v>
      </c>
      <c r="M362" s="3">
        <f t="shared" si="158"/>
        <v>51008</v>
      </c>
      <c r="O362" s="2"/>
    </row>
    <row r="363" spans="1:15" x14ac:dyDescent="0.2">
      <c r="O363" s="2"/>
    </row>
    <row r="365" spans="1:15" x14ac:dyDescent="0.2">
      <c r="A365" s="1" t="s">
        <v>10</v>
      </c>
    </row>
    <row r="366" spans="1:15" x14ac:dyDescent="0.2">
      <c r="A366" s="1" t="s">
        <v>9</v>
      </c>
    </row>
    <row r="367" spans="1:15" x14ac:dyDescent="0.2">
      <c r="A367" s="1" t="s">
        <v>8</v>
      </c>
    </row>
    <row r="368" spans="1:15" x14ac:dyDescent="0.2">
      <c r="A368" s="1" t="s">
        <v>7</v>
      </c>
    </row>
    <row r="369" spans="1:1" x14ac:dyDescent="0.2">
      <c r="A369" s="1" t="s">
        <v>6</v>
      </c>
    </row>
    <row r="370" spans="1:1" x14ac:dyDescent="0.2">
      <c r="A370" s="1" t="s">
        <v>5</v>
      </c>
    </row>
    <row r="371" spans="1:1" x14ac:dyDescent="0.2">
      <c r="A371" s="1" t="s">
        <v>4</v>
      </c>
    </row>
    <row r="372" spans="1:1" x14ac:dyDescent="0.2">
      <c r="A372" s="1" t="s">
        <v>3</v>
      </c>
    </row>
    <row r="373" spans="1:1" x14ac:dyDescent="0.2">
      <c r="A373" s="1" t="s">
        <v>2</v>
      </c>
    </row>
    <row r="374" spans="1:1" x14ac:dyDescent="0.2">
      <c r="A374" s="1" t="s">
        <v>1</v>
      </c>
    </row>
    <row r="375" spans="1:1" x14ac:dyDescent="0.2">
      <c r="A375" s="1" t="s">
        <v>0</v>
      </c>
    </row>
  </sheetData>
  <mergeCells count="89">
    <mergeCell ref="J280:J281"/>
    <mergeCell ref="K280:M280"/>
    <mergeCell ref="G238:G239"/>
    <mergeCell ref="H238:H239"/>
    <mergeCell ref="G322:G323"/>
    <mergeCell ref="H322:H323"/>
    <mergeCell ref="I322:I323"/>
    <mergeCell ref="J322:J323"/>
    <mergeCell ref="K322:M322"/>
    <mergeCell ref="N46:N47"/>
    <mergeCell ref="N153:N154"/>
    <mergeCell ref="A322:A323"/>
    <mergeCell ref="B322:B323"/>
    <mergeCell ref="C322:C323"/>
    <mergeCell ref="D322:D323"/>
    <mergeCell ref="E322:E323"/>
    <mergeCell ref="F322:F323"/>
    <mergeCell ref="F280:F281"/>
    <mergeCell ref="G280:G281"/>
    <mergeCell ref="I238:I239"/>
    <mergeCell ref="J238:J239"/>
    <mergeCell ref="K238:M238"/>
    <mergeCell ref="A280:A281"/>
    <mergeCell ref="B280:B281"/>
    <mergeCell ref="C280:C281"/>
    <mergeCell ref="D280:D281"/>
    <mergeCell ref="E280:E281"/>
    <mergeCell ref="H280:H281"/>
    <mergeCell ref="I280:I281"/>
    <mergeCell ref="H196:H197"/>
    <mergeCell ref="I196:I197"/>
    <mergeCell ref="J196:J197"/>
    <mergeCell ref="K196:M196"/>
    <mergeCell ref="A238:A239"/>
    <mergeCell ref="B238:B239"/>
    <mergeCell ref="C238:C239"/>
    <mergeCell ref="D238:D239"/>
    <mergeCell ref="E238:E239"/>
    <mergeCell ref="F238:F239"/>
    <mergeCell ref="I153:I154"/>
    <mergeCell ref="J153:J154"/>
    <mergeCell ref="K153:M153"/>
    <mergeCell ref="A155:C155"/>
    <mergeCell ref="A196:A197"/>
    <mergeCell ref="B196:B197"/>
    <mergeCell ref="C196:C197"/>
    <mergeCell ref="D196:D197"/>
    <mergeCell ref="E196:E197"/>
    <mergeCell ref="F196:F197"/>
    <mergeCell ref="G196:G197"/>
    <mergeCell ref="A153:A154"/>
    <mergeCell ref="B153:B154"/>
    <mergeCell ref="C153:C154"/>
    <mergeCell ref="D153:G153"/>
    <mergeCell ref="H153:H154"/>
    <mergeCell ref="N88:N89"/>
    <mergeCell ref="C129:C130"/>
    <mergeCell ref="D129:G129"/>
    <mergeCell ref="H129:H130"/>
    <mergeCell ref="I129:I130"/>
    <mergeCell ref="J129:J130"/>
    <mergeCell ref="K129:M129"/>
    <mergeCell ref="N129:N130"/>
    <mergeCell ref="I46:I47"/>
    <mergeCell ref="J46:J47"/>
    <mergeCell ref="K46:M46"/>
    <mergeCell ref="A88:A89"/>
    <mergeCell ref="B88:B89"/>
    <mergeCell ref="C88:C89"/>
    <mergeCell ref="D88:G88"/>
    <mergeCell ref="H88:H89"/>
    <mergeCell ref="I88:I89"/>
    <mergeCell ref="J88:J89"/>
    <mergeCell ref="K88:M88"/>
    <mergeCell ref="A46:A47"/>
    <mergeCell ref="B46:B47"/>
    <mergeCell ref="C46:C47"/>
    <mergeCell ref="D46:G46"/>
    <mergeCell ref="H46:H47"/>
    <mergeCell ref="O3:Q3"/>
    <mergeCell ref="A1:M1"/>
    <mergeCell ref="A3:A4"/>
    <mergeCell ref="B3:B4"/>
    <mergeCell ref="C3:C4"/>
    <mergeCell ref="D3:G3"/>
    <mergeCell ref="H3:H4"/>
    <mergeCell ref="I3:I4"/>
    <mergeCell ref="J3:J4"/>
    <mergeCell ref="K3:M3"/>
  </mergeCells>
  <conditionalFormatting sqref="D142:M142">
    <cfRule type="colorScale" priority="10">
      <colorScale>
        <cfvo type="min"/>
        <cfvo type="max"/>
        <color theme="6" tint="0.79998168889431442"/>
        <color theme="6" tint="-0.499984740745262"/>
      </colorScale>
    </cfRule>
  </conditionalFormatting>
  <conditionalFormatting sqref="D131:M135">
    <cfRule type="cellIs" dxfId="80" priority="11" operator="equal">
      <formula>$D$150</formula>
    </cfRule>
    <cfRule type="cellIs" dxfId="79" priority="12" operator="equal">
      <formula>$E$150</formula>
    </cfRule>
    <cfRule type="cellIs" dxfId="78" priority="13" operator="equal">
      <formula>$F$150</formula>
    </cfRule>
    <cfRule type="cellIs" dxfId="77" priority="14" operator="equal">
      <formula>$G$150</formula>
    </cfRule>
    <cfRule type="cellIs" dxfId="76" priority="15" operator="equal">
      <formula>$H$150</formula>
    </cfRule>
    <cfRule type="cellIs" dxfId="75" priority="16" operator="equal">
      <formula>$I$150</formula>
    </cfRule>
    <cfRule type="cellIs" dxfId="74" priority="17" operator="equal">
      <formula>$J$150</formula>
    </cfRule>
    <cfRule type="cellIs" dxfId="73" priority="18" operator="equal">
      <formula>$K$150</formula>
    </cfRule>
    <cfRule type="cellIs" dxfId="72" priority="19" operator="equal">
      <formula>$L$150</formula>
    </cfRule>
  </conditionalFormatting>
  <conditionalFormatting sqref="D90:M127">
    <cfRule type="cellIs" dxfId="71" priority="1" operator="equal">
      <formula>$D$150</formula>
    </cfRule>
    <cfRule type="cellIs" dxfId="70" priority="2" operator="equal">
      <formula>$E$150</formula>
    </cfRule>
    <cfRule type="cellIs" dxfId="69" priority="3" operator="equal">
      <formula>$F$150</formula>
    </cfRule>
    <cfRule type="cellIs" dxfId="68" priority="4" operator="equal">
      <formula>$G$150</formula>
    </cfRule>
    <cfRule type="cellIs" dxfId="67" priority="5" operator="equal">
      <formula>$H$150</formula>
    </cfRule>
    <cfRule type="cellIs" dxfId="66" priority="6" operator="equal">
      <formula>$I$150</formula>
    </cfRule>
    <cfRule type="cellIs" dxfId="65" priority="7" operator="equal">
      <formula>$J$150</formula>
    </cfRule>
    <cfRule type="cellIs" dxfId="64" priority="8" operator="equal">
      <formula>$K$150</formula>
    </cfRule>
    <cfRule type="cellIs" dxfId="63" priority="9" operator="equal">
      <formula>$L$150</formula>
    </cfRule>
  </conditionalFormatting>
  <pageMargins left="0.25" right="0.25" top="0.5" bottom="0.25" header="0.3" footer="0.3"/>
  <pageSetup paperSize="5" scale="7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U396"/>
  <sheetViews>
    <sheetView showGridLines="0" zoomScale="70" zoomScaleNormal="70" workbookViewId="0">
      <pane xSplit="2" ySplit="4" topLeftCell="C5" activePane="bottomRight" state="frozen"/>
      <selection activeCell="C5" sqref="C5"/>
      <selection pane="topRight" activeCell="C5" sqref="C5"/>
      <selection pane="bottomLeft" activeCell="C5" sqref="C5"/>
      <selection pane="bottomRight" activeCell="A2" sqref="A2"/>
    </sheetView>
  </sheetViews>
  <sheetFormatPr defaultRowHeight="12.75" outlineLevelRow="1" x14ac:dyDescent="0.2"/>
  <cols>
    <col min="1" max="1" width="7.28515625" style="1" customWidth="1"/>
    <col min="2" max="2" width="10.85546875" style="1" bestFit="1" customWidth="1"/>
    <col min="3" max="3" width="13.7109375" style="1" bestFit="1" customWidth="1"/>
    <col min="4" max="4" width="13.140625" style="1" customWidth="1"/>
    <col min="5" max="5" width="12.5703125" style="1" customWidth="1"/>
    <col min="6" max="6" width="13" style="1" customWidth="1"/>
    <col min="7" max="7" width="12.42578125" style="1" customWidth="1"/>
    <col min="8" max="8" width="12.85546875" style="1" customWidth="1"/>
    <col min="9" max="9" width="12.28515625" style="1" customWidth="1"/>
    <col min="10" max="10" width="12.42578125" style="1" customWidth="1"/>
    <col min="11" max="13" width="12.5703125" style="1" bestFit="1" customWidth="1"/>
    <col min="14" max="14" width="14.28515625" style="154" customWidth="1"/>
    <col min="15" max="15" width="16.42578125" style="1" customWidth="1"/>
    <col min="16" max="16" width="14.85546875" style="1" customWidth="1"/>
    <col min="17" max="17" width="16.85546875" style="1" customWidth="1"/>
    <col min="18" max="18" width="9.140625" style="1"/>
    <col min="19" max="19" width="9.85546875" style="1" bestFit="1" customWidth="1"/>
    <col min="20" max="20" width="11.28515625" style="1" bestFit="1" customWidth="1"/>
    <col min="21" max="21" width="10.5703125" style="1" bestFit="1" customWidth="1"/>
    <col min="22" max="16384" width="9.140625" style="1"/>
  </cols>
  <sheetData>
    <row r="1" spans="1:21" ht="41.25" customHeight="1" x14ac:dyDescent="0.2">
      <c r="A1" s="257" t="s">
        <v>103</v>
      </c>
      <c r="B1" s="257"/>
      <c r="C1" s="257"/>
      <c r="D1" s="257"/>
      <c r="E1" s="257"/>
      <c r="F1" s="257"/>
      <c r="G1" s="257"/>
      <c r="H1" s="257"/>
      <c r="I1" s="257"/>
      <c r="J1" s="257"/>
      <c r="K1" s="257"/>
      <c r="L1" s="257"/>
      <c r="M1" s="257"/>
    </row>
    <row r="2" spans="1:21" ht="13.5" thickBot="1" x14ac:dyDescent="0.25">
      <c r="A2" s="72"/>
      <c r="B2" s="71"/>
      <c r="C2" s="71"/>
      <c r="D2" s="71"/>
      <c r="E2" s="71"/>
      <c r="F2" s="71"/>
      <c r="G2" s="71"/>
      <c r="H2" s="71"/>
    </row>
    <row r="3" spans="1:21" ht="12.75" customHeight="1" thickBot="1" x14ac:dyDescent="0.25">
      <c r="A3" s="258" t="s">
        <v>24</v>
      </c>
      <c r="B3" s="260" t="s">
        <v>23</v>
      </c>
      <c r="C3" s="262" t="s">
        <v>74</v>
      </c>
      <c r="D3" s="248" t="s">
        <v>35</v>
      </c>
      <c r="E3" s="248"/>
      <c r="F3" s="248"/>
      <c r="G3" s="248"/>
      <c r="H3" s="250" t="s">
        <v>18</v>
      </c>
      <c r="I3" s="225" t="s">
        <v>17</v>
      </c>
      <c r="J3" s="227" t="s">
        <v>16</v>
      </c>
      <c r="K3" s="229" t="s">
        <v>34</v>
      </c>
      <c r="L3" s="230"/>
      <c r="M3" s="231"/>
      <c r="O3" s="254" t="s">
        <v>94</v>
      </c>
      <c r="P3" s="255"/>
      <c r="Q3" s="256"/>
    </row>
    <row r="4" spans="1:21" ht="54" customHeight="1" thickBot="1" x14ac:dyDescent="0.25">
      <c r="A4" s="267"/>
      <c r="B4" s="268"/>
      <c r="C4" s="269"/>
      <c r="D4" s="122"/>
      <c r="E4" s="123" t="s">
        <v>33</v>
      </c>
      <c r="F4" s="123" t="s">
        <v>32</v>
      </c>
      <c r="G4" s="124" t="s">
        <v>31</v>
      </c>
      <c r="H4" s="264"/>
      <c r="I4" s="265"/>
      <c r="J4" s="266"/>
      <c r="K4" s="125" t="s">
        <v>14</v>
      </c>
      <c r="L4" s="126" t="s">
        <v>13</v>
      </c>
      <c r="M4" s="135" t="s">
        <v>12</v>
      </c>
      <c r="O4" s="157" t="s">
        <v>87</v>
      </c>
      <c r="P4" s="121" t="s">
        <v>92</v>
      </c>
      <c r="Q4" s="158" t="s">
        <v>93</v>
      </c>
      <c r="S4" s="204" t="s">
        <v>96</v>
      </c>
    </row>
    <row r="5" spans="1:21" x14ac:dyDescent="0.2">
      <c r="A5" s="40">
        <v>3656</v>
      </c>
      <c r="B5" s="39" t="s">
        <v>73</v>
      </c>
      <c r="C5" s="70">
        <f t="shared" ref="C5:C42" si="0">SUM(D5:M5)</f>
        <v>12239287.87415926</v>
      </c>
      <c r="D5" s="82">
        <f t="shared" ref="D5:M5" si="1">D48/$C$86*$C$43</f>
        <v>0</v>
      </c>
      <c r="E5" s="67">
        <f t="shared" si="1"/>
        <v>3452806.4285634812</v>
      </c>
      <c r="F5" s="67">
        <f t="shared" si="1"/>
        <v>28070.599624432612</v>
      </c>
      <c r="G5" s="66">
        <f t="shared" si="1"/>
        <v>0</v>
      </c>
      <c r="H5" s="68">
        <f t="shared" si="1"/>
        <v>0</v>
      </c>
      <c r="I5" s="66">
        <f t="shared" si="1"/>
        <v>0</v>
      </c>
      <c r="J5" s="69">
        <f t="shared" si="1"/>
        <v>5672873.2217563782</v>
      </c>
      <c r="K5" s="68">
        <f t="shared" si="1"/>
        <v>1763179.5280496958</v>
      </c>
      <c r="L5" s="67">
        <f t="shared" si="1"/>
        <v>727023.9949211519</v>
      </c>
      <c r="M5" s="66">
        <f t="shared" si="1"/>
        <v>595334.10124412039</v>
      </c>
      <c r="O5" s="74">
        <v>5.3941374102444546E-2</v>
      </c>
      <c r="P5" s="119">
        <f t="shared" ref="P5:P42" si="2">MIN(0,C48/$C$86-O5+$P$44)*-1*$Q$43</f>
        <v>0</v>
      </c>
      <c r="Q5" s="159">
        <f t="shared" ref="Q5:Q42" si="3">C5+P5</f>
        <v>12239287.87415926</v>
      </c>
      <c r="S5" s="205">
        <f t="shared" ref="S5:S43" si="4">Q5-O5*$Q$43</f>
        <v>-436935.03991520777</v>
      </c>
      <c r="T5" s="202"/>
      <c r="U5" s="203"/>
    </row>
    <row r="6" spans="1:21" x14ac:dyDescent="0.2">
      <c r="A6" s="20">
        <v>3658</v>
      </c>
      <c r="B6" s="19" t="s">
        <v>72</v>
      </c>
      <c r="C6" s="55">
        <f t="shared" si="0"/>
        <v>24871788.96953766</v>
      </c>
      <c r="D6" s="15">
        <f t="shared" ref="D6:M6" si="5">D49/$C$86*$C$43</f>
        <v>0</v>
      </c>
      <c r="E6" s="14">
        <f t="shared" si="5"/>
        <v>11814444.00200269</v>
      </c>
      <c r="F6" s="14">
        <f t="shared" si="5"/>
        <v>25125.369018088892</v>
      </c>
      <c r="G6" s="13">
        <f t="shared" si="5"/>
        <v>0</v>
      </c>
      <c r="H6" s="15">
        <f t="shared" si="5"/>
        <v>0</v>
      </c>
      <c r="I6" s="13">
        <f t="shared" si="5"/>
        <v>0</v>
      </c>
      <c r="J6" s="16">
        <f t="shared" si="5"/>
        <v>4211972.8363789516</v>
      </c>
      <c r="K6" s="15">
        <f t="shared" si="5"/>
        <v>1237767.6754154516</v>
      </c>
      <c r="L6" s="14">
        <f t="shared" si="5"/>
        <v>1707852.1233618606</v>
      </c>
      <c r="M6" s="13">
        <f t="shared" si="5"/>
        <v>5874626.9633606169</v>
      </c>
      <c r="O6" s="74">
        <v>9.7535367886092073E-2</v>
      </c>
      <c r="P6" s="120">
        <f t="shared" si="2"/>
        <v>0</v>
      </c>
      <c r="Q6" s="160">
        <f t="shared" si="3"/>
        <v>24871788.96953766</v>
      </c>
      <c r="S6" s="206">
        <f t="shared" si="4"/>
        <v>1950977.516306024</v>
      </c>
      <c r="T6" s="202"/>
      <c r="U6" s="203"/>
    </row>
    <row r="7" spans="1:21" x14ac:dyDescent="0.2">
      <c r="A7" s="20">
        <v>9741</v>
      </c>
      <c r="B7" s="220" t="s">
        <v>71</v>
      </c>
      <c r="C7" s="219">
        <f t="shared" si="0"/>
        <v>6308042.0687275184</v>
      </c>
      <c r="D7" s="30">
        <f t="shared" ref="D7:M7" si="6">D50/$C$86*$C$43</f>
        <v>0</v>
      </c>
      <c r="E7" s="29">
        <f t="shared" si="6"/>
        <v>2679857.5270523783</v>
      </c>
      <c r="F7" s="29">
        <f t="shared" si="6"/>
        <v>25440.23955340945</v>
      </c>
      <c r="G7" s="28">
        <f t="shared" si="6"/>
        <v>0</v>
      </c>
      <c r="H7" s="30">
        <f t="shared" si="6"/>
        <v>0</v>
      </c>
      <c r="I7" s="28">
        <f t="shared" si="6"/>
        <v>0</v>
      </c>
      <c r="J7" s="43">
        <f t="shared" si="6"/>
        <v>2002113.2046902636</v>
      </c>
      <c r="K7" s="30">
        <f t="shared" si="6"/>
        <v>854981.73516281752</v>
      </c>
      <c r="L7" s="29">
        <f t="shared" si="6"/>
        <v>404759.12003131345</v>
      </c>
      <c r="M7" s="28">
        <f t="shared" si="6"/>
        <v>340890.24223733594</v>
      </c>
      <c r="O7" s="218">
        <v>3.0845130992374833E-2</v>
      </c>
      <c r="P7" s="217">
        <f t="shared" si="2"/>
        <v>0</v>
      </c>
      <c r="Q7" s="216">
        <f t="shared" si="3"/>
        <v>6308042.0687275184</v>
      </c>
      <c r="R7" s="215"/>
      <c r="S7" s="214">
        <f t="shared" si="4"/>
        <v>-940563.71448056772</v>
      </c>
      <c r="T7" s="202"/>
      <c r="U7" s="203"/>
    </row>
    <row r="8" spans="1:21" x14ac:dyDescent="0.2">
      <c r="A8" s="20">
        <v>3661</v>
      </c>
      <c r="B8" s="220" t="s">
        <v>70</v>
      </c>
      <c r="C8" s="219">
        <f t="shared" si="0"/>
        <v>8609594.7309310753</v>
      </c>
      <c r="D8" s="30">
        <f t="shared" ref="D8:M8" si="7">D51/$C$86*$C$43</f>
        <v>0</v>
      </c>
      <c r="E8" s="29">
        <f t="shared" si="7"/>
        <v>633071.07788059267</v>
      </c>
      <c r="F8" s="29">
        <f t="shared" si="7"/>
        <v>21686.404373098037</v>
      </c>
      <c r="G8" s="28">
        <f t="shared" si="7"/>
        <v>0</v>
      </c>
      <c r="H8" s="30">
        <f t="shared" si="7"/>
        <v>0</v>
      </c>
      <c r="I8" s="28">
        <f t="shared" si="7"/>
        <v>0</v>
      </c>
      <c r="J8" s="43">
        <f t="shared" si="7"/>
        <v>4486473.2272619717</v>
      </c>
      <c r="K8" s="30">
        <f t="shared" si="7"/>
        <v>562594.31622981175</v>
      </c>
      <c r="L8" s="29">
        <f t="shared" si="7"/>
        <v>1273635.2882072316</v>
      </c>
      <c r="M8" s="28">
        <f t="shared" si="7"/>
        <v>1632134.4169783678</v>
      </c>
      <c r="O8" s="218">
        <v>3.8067899960727944E-2</v>
      </c>
      <c r="P8" s="217">
        <f t="shared" si="2"/>
        <v>0</v>
      </c>
      <c r="Q8" s="216">
        <f t="shared" si="3"/>
        <v>8609594.7309310753</v>
      </c>
      <c r="R8" s="215"/>
      <c r="S8" s="214">
        <f t="shared" si="4"/>
        <v>-336361.75983999111</v>
      </c>
      <c r="T8" s="202"/>
      <c r="U8" s="203"/>
    </row>
    <row r="9" spans="1:21" x14ac:dyDescent="0.2">
      <c r="A9" s="20">
        <v>3599</v>
      </c>
      <c r="B9" s="220" t="s">
        <v>69</v>
      </c>
      <c r="C9" s="219">
        <f t="shared" si="0"/>
        <v>8188330.1837899722</v>
      </c>
      <c r="D9" s="30">
        <f t="shared" ref="D9:M9" si="8">D52/$C$86*$C$43</f>
        <v>0</v>
      </c>
      <c r="E9" s="29">
        <f t="shared" si="8"/>
        <v>1180917.0666426136</v>
      </c>
      <c r="F9" s="29">
        <f t="shared" si="8"/>
        <v>19431.178561205983</v>
      </c>
      <c r="G9" s="28">
        <f t="shared" si="8"/>
        <v>0</v>
      </c>
      <c r="H9" s="30">
        <f t="shared" si="8"/>
        <v>0</v>
      </c>
      <c r="I9" s="28">
        <f t="shared" si="8"/>
        <v>0</v>
      </c>
      <c r="J9" s="43">
        <f t="shared" si="8"/>
        <v>4257082.3331858143</v>
      </c>
      <c r="K9" s="30">
        <f t="shared" si="8"/>
        <v>525540.80915538501</v>
      </c>
      <c r="L9" s="29">
        <f t="shared" si="8"/>
        <v>587131.45507587679</v>
      </c>
      <c r="M9" s="28">
        <f t="shared" si="8"/>
        <v>1618227.3411690767</v>
      </c>
      <c r="O9" s="218">
        <v>3.6041180893975448E-2</v>
      </c>
      <c r="P9" s="217">
        <f t="shared" si="2"/>
        <v>0</v>
      </c>
      <c r="Q9" s="216">
        <f t="shared" si="3"/>
        <v>8188330.1837899722</v>
      </c>
      <c r="R9" s="215"/>
      <c r="S9" s="214">
        <f t="shared" si="4"/>
        <v>-281347.32629425824</v>
      </c>
      <c r="T9" s="202"/>
      <c r="U9" s="203"/>
    </row>
    <row r="10" spans="1:21" x14ac:dyDescent="0.2">
      <c r="A10" s="20">
        <v>30646</v>
      </c>
      <c r="B10" s="220" t="s">
        <v>68</v>
      </c>
      <c r="C10" s="219">
        <f t="shared" si="0"/>
        <v>3068888.7371717715</v>
      </c>
      <c r="D10" s="30">
        <f t="shared" ref="D10:M10" si="9">D53/$C$86*$C$43</f>
        <v>0</v>
      </c>
      <c r="E10" s="29">
        <f t="shared" si="9"/>
        <v>833892.88198314502</v>
      </c>
      <c r="F10" s="29">
        <f t="shared" si="9"/>
        <v>65352.958181169452</v>
      </c>
      <c r="G10" s="28">
        <f t="shared" si="9"/>
        <v>0</v>
      </c>
      <c r="H10" s="30">
        <f t="shared" si="9"/>
        <v>0</v>
      </c>
      <c r="I10" s="28">
        <f t="shared" si="9"/>
        <v>0</v>
      </c>
      <c r="J10" s="43">
        <f t="shared" si="9"/>
        <v>1705260.3501428566</v>
      </c>
      <c r="K10" s="30">
        <f t="shared" si="9"/>
        <v>342078.66507922078</v>
      </c>
      <c r="L10" s="29">
        <f t="shared" si="9"/>
        <v>105504.13420775608</v>
      </c>
      <c r="M10" s="28">
        <f t="shared" si="9"/>
        <v>16799.747577623282</v>
      </c>
      <c r="O10" s="218">
        <v>1.3127311227878089E-2</v>
      </c>
      <c r="P10" s="217">
        <f t="shared" si="2"/>
        <v>0</v>
      </c>
      <c r="Q10" s="216">
        <f t="shared" si="3"/>
        <v>3068888.7371717715</v>
      </c>
      <c r="R10" s="215"/>
      <c r="S10" s="214">
        <f t="shared" si="4"/>
        <v>-16029.401379579213</v>
      </c>
      <c r="T10" s="202"/>
      <c r="U10" s="203"/>
    </row>
    <row r="11" spans="1:21" x14ac:dyDescent="0.2">
      <c r="A11" s="20">
        <v>9930</v>
      </c>
      <c r="B11" s="220" t="s">
        <v>67</v>
      </c>
      <c r="C11" s="219">
        <f t="shared" si="0"/>
        <v>1423419.401320287</v>
      </c>
      <c r="D11" s="30">
        <f t="shared" ref="D11:M11" si="10">D54/$C$86*$C$43</f>
        <v>0</v>
      </c>
      <c r="E11" s="29">
        <f t="shared" si="10"/>
        <v>314350.48447473301</v>
      </c>
      <c r="F11" s="29">
        <f t="shared" si="10"/>
        <v>21927.515240912144</v>
      </c>
      <c r="G11" s="28">
        <f t="shared" si="10"/>
        <v>0</v>
      </c>
      <c r="H11" s="30">
        <f t="shared" si="10"/>
        <v>0</v>
      </c>
      <c r="I11" s="28">
        <f t="shared" si="10"/>
        <v>0</v>
      </c>
      <c r="J11" s="43">
        <f t="shared" si="10"/>
        <v>726404.49790782889</v>
      </c>
      <c r="K11" s="30">
        <f t="shared" si="10"/>
        <v>202633.68021908103</v>
      </c>
      <c r="L11" s="29">
        <f t="shared" si="10"/>
        <v>93240.621903199659</v>
      </c>
      <c r="M11" s="28">
        <f t="shared" si="10"/>
        <v>64862.601574532273</v>
      </c>
      <c r="O11" s="218">
        <v>6.658597974462911E-3</v>
      </c>
      <c r="P11" s="217">
        <f t="shared" si="2"/>
        <v>0</v>
      </c>
      <c r="Q11" s="216">
        <f t="shared" si="3"/>
        <v>1423419.401320287</v>
      </c>
      <c r="R11" s="215"/>
      <c r="S11" s="214">
        <f t="shared" si="4"/>
        <v>-141351.12267849711</v>
      </c>
      <c r="T11" s="202"/>
      <c r="U11" s="203"/>
    </row>
    <row r="12" spans="1:21" x14ac:dyDescent="0.2">
      <c r="A12" s="20">
        <v>10115</v>
      </c>
      <c r="B12" s="220" t="s">
        <v>66</v>
      </c>
      <c r="C12" s="219">
        <f t="shared" si="0"/>
        <v>11486930.055897577</v>
      </c>
      <c r="D12" s="30">
        <f t="shared" ref="D12:M12" si="11">D55/$C$86*$C$43</f>
        <v>0</v>
      </c>
      <c r="E12" s="29">
        <f t="shared" si="11"/>
        <v>2306023.7948542512</v>
      </c>
      <c r="F12" s="29">
        <f t="shared" si="11"/>
        <v>19192.745161784358</v>
      </c>
      <c r="G12" s="28">
        <f t="shared" si="11"/>
        <v>0</v>
      </c>
      <c r="H12" s="30">
        <f t="shared" si="11"/>
        <v>0</v>
      </c>
      <c r="I12" s="28">
        <f t="shared" si="11"/>
        <v>0</v>
      </c>
      <c r="J12" s="43">
        <f t="shared" si="11"/>
        <v>5686830.8687504297</v>
      </c>
      <c r="K12" s="30">
        <f t="shared" si="11"/>
        <v>1756301.846922192</v>
      </c>
      <c r="L12" s="29">
        <f t="shared" si="11"/>
        <v>845550.20920488029</v>
      </c>
      <c r="M12" s="28">
        <f t="shared" si="11"/>
        <v>873030.59100403893</v>
      </c>
      <c r="O12" s="218">
        <v>5.1993931386758195E-2</v>
      </c>
      <c r="P12" s="217">
        <f t="shared" si="2"/>
        <v>0</v>
      </c>
      <c r="Q12" s="216">
        <f t="shared" si="3"/>
        <v>11486930.055897577</v>
      </c>
      <c r="R12" s="215"/>
      <c r="S12" s="214">
        <f t="shared" si="4"/>
        <v>-731643.81999059953</v>
      </c>
      <c r="T12" s="202"/>
      <c r="U12" s="203"/>
    </row>
    <row r="13" spans="1:21" x14ac:dyDescent="0.2">
      <c r="A13" s="20">
        <v>11163</v>
      </c>
      <c r="B13" s="220" t="s">
        <v>65</v>
      </c>
      <c r="C13" s="219">
        <f t="shared" si="0"/>
        <v>3226435.6524530216</v>
      </c>
      <c r="D13" s="30">
        <f t="shared" ref="D13:M13" si="12">D56/$C$86*$C$43</f>
        <v>0</v>
      </c>
      <c r="E13" s="29">
        <f t="shared" si="12"/>
        <v>814607.59766901785</v>
      </c>
      <c r="F13" s="29">
        <f t="shared" si="12"/>
        <v>27740.577356520796</v>
      </c>
      <c r="G13" s="28">
        <f t="shared" si="12"/>
        <v>0</v>
      </c>
      <c r="H13" s="30">
        <f t="shared" si="12"/>
        <v>0</v>
      </c>
      <c r="I13" s="28">
        <f t="shared" si="12"/>
        <v>0</v>
      </c>
      <c r="J13" s="43">
        <f t="shared" si="12"/>
        <v>1715576.8718341123</v>
      </c>
      <c r="K13" s="30">
        <f t="shared" si="12"/>
        <v>370449.099730174</v>
      </c>
      <c r="L13" s="29">
        <f t="shared" si="12"/>
        <v>168781.32914002918</v>
      </c>
      <c r="M13" s="28">
        <f t="shared" si="12"/>
        <v>129280.17672316723</v>
      </c>
      <c r="O13" s="218">
        <v>1.2069401585431769E-2</v>
      </c>
      <c r="P13" s="217">
        <f t="shared" si="2"/>
        <v>0</v>
      </c>
      <c r="Q13" s="216">
        <f t="shared" si="3"/>
        <v>3226435.6524530216</v>
      </c>
      <c r="R13" s="215"/>
      <c r="S13" s="214">
        <f t="shared" si="4"/>
        <v>390126.27987655578</v>
      </c>
      <c r="T13" s="202"/>
      <c r="U13" s="203"/>
    </row>
    <row r="14" spans="1:21" x14ac:dyDescent="0.2">
      <c r="A14" s="20">
        <v>3632</v>
      </c>
      <c r="B14" s="220" t="s">
        <v>64</v>
      </c>
      <c r="C14" s="219">
        <f t="shared" si="0"/>
        <v>24989907.638080254</v>
      </c>
      <c r="D14" s="30">
        <f t="shared" ref="D14:M14" si="13">D57/$C$86*$C$43</f>
        <v>0</v>
      </c>
      <c r="E14" s="29">
        <f t="shared" si="13"/>
        <v>11703947.859719202</v>
      </c>
      <c r="F14" s="29">
        <f t="shared" si="13"/>
        <v>23934.602052970116</v>
      </c>
      <c r="G14" s="28">
        <f t="shared" si="13"/>
        <v>0</v>
      </c>
      <c r="H14" s="30">
        <f t="shared" si="13"/>
        <v>0</v>
      </c>
      <c r="I14" s="28">
        <f t="shared" si="13"/>
        <v>0</v>
      </c>
      <c r="J14" s="43">
        <f t="shared" si="13"/>
        <v>4519850.2092042696</v>
      </c>
      <c r="K14" s="30">
        <f t="shared" si="13"/>
        <v>1297388.5736895001</v>
      </c>
      <c r="L14" s="29">
        <f t="shared" si="13"/>
        <v>1689203.9989812211</v>
      </c>
      <c r="M14" s="28">
        <f t="shared" si="13"/>
        <v>5755582.3944330886</v>
      </c>
      <c r="O14" s="218">
        <v>0.10514316433214833</v>
      </c>
      <c r="P14" s="217">
        <f t="shared" si="2"/>
        <v>0</v>
      </c>
      <c r="Q14" s="216">
        <f t="shared" si="3"/>
        <v>24989907.638080254</v>
      </c>
      <c r="R14" s="215"/>
      <c r="S14" s="214">
        <f t="shared" si="4"/>
        <v>281264.02002539486</v>
      </c>
      <c r="T14" s="202"/>
      <c r="U14" s="203"/>
    </row>
    <row r="15" spans="1:21" x14ac:dyDescent="0.2">
      <c r="A15" s="20">
        <v>10298</v>
      </c>
      <c r="B15" s="220" t="s">
        <v>63</v>
      </c>
      <c r="C15" s="219">
        <f t="shared" si="0"/>
        <v>1250096.0626944941</v>
      </c>
      <c r="D15" s="30">
        <f t="shared" ref="D15:M15" si="14">D58/$C$86*$C$43</f>
        <v>0</v>
      </c>
      <c r="E15" s="29">
        <f t="shared" si="14"/>
        <v>343938.54682677059</v>
      </c>
      <c r="F15" s="29">
        <f t="shared" si="14"/>
        <v>23324.964977372845</v>
      </c>
      <c r="G15" s="28">
        <f t="shared" si="14"/>
        <v>0</v>
      </c>
      <c r="H15" s="30">
        <f t="shared" si="14"/>
        <v>0</v>
      </c>
      <c r="I15" s="28">
        <f t="shared" si="14"/>
        <v>0</v>
      </c>
      <c r="J15" s="43">
        <f t="shared" si="14"/>
        <v>431473.34838134196</v>
      </c>
      <c r="K15" s="30">
        <f t="shared" si="14"/>
        <v>114577.8690335088</v>
      </c>
      <c r="L15" s="29">
        <f t="shared" si="14"/>
        <v>90459.206741341492</v>
      </c>
      <c r="M15" s="28">
        <f t="shared" si="14"/>
        <v>246322.12673415858</v>
      </c>
      <c r="O15" s="218">
        <v>7.0859752523080169E-3</v>
      </c>
      <c r="P15" s="217">
        <f t="shared" si="2"/>
        <v>0</v>
      </c>
      <c r="Q15" s="216">
        <f t="shared" si="3"/>
        <v>1250096.0626944941</v>
      </c>
      <c r="R15" s="215"/>
      <c r="S15" s="214">
        <f t="shared" si="4"/>
        <v>-415108.12159788981</v>
      </c>
      <c r="T15" s="202"/>
      <c r="U15" s="203"/>
    </row>
    <row r="16" spans="1:21" x14ac:dyDescent="0.2">
      <c r="A16" s="20">
        <v>3630</v>
      </c>
      <c r="B16" s="220" t="s">
        <v>62</v>
      </c>
      <c r="C16" s="219">
        <f t="shared" si="0"/>
        <v>3079564.4079080494</v>
      </c>
      <c r="D16" s="30">
        <f t="shared" ref="D16:M16" si="15">D59/$C$86*$C$43</f>
        <v>0</v>
      </c>
      <c r="E16" s="29">
        <f t="shared" si="15"/>
        <v>184789.17410694828</v>
      </c>
      <c r="F16" s="29">
        <f t="shared" si="15"/>
        <v>15004.174701161628</v>
      </c>
      <c r="G16" s="28">
        <f t="shared" si="15"/>
        <v>0</v>
      </c>
      <c r="H16" s="30">
        <f t="shared" si="15"/>
        <v>0</v>
      </c>
      <c r="I16" s="28">
        <f t="shared" si="15"/>
        <v>0</v>
      </c>
      <c r="J16" s="43">
        <f t="shared" si="15"/>
        <v>1461304.9548555154</v>
      </c>
      <c r="K16" s="30">
        <f t="shared" si="15"/>
        <v>215099.47726268167</v>
      </c>
      <c r="L16" s="29">
        <f t="shared" si="15"/>
        <v>447934.2690210662</v>
      </c>
      <c r="M16" s="28">
        <f t="shared" si="15"/>
        <v>755432.35796067608</v>
      </c>
      <c r="O16" s="218">
        <v>1.5279410782616385E-2</v>
      </c>
      <c r="P16" s="217">
        <f t="shared" si="2"/>
        <v>0</v>
      </c>
      <c r="Q16" s="216">
        <f t="shared" si="3"/>
        <v>3079564.4079080494</v>
      </c>
      <c r="R16" s="215"/>
      <c r="S16" s="214">
        <f t="shared" si="4"/>
        <v>-511097.12600680115</v>
      </c>
      <c r="T16" s="202"/>
      <c r="U16" s="203"/>
    </row>
    <row r="17" spans="1:21" x14ac:dyDescent="0.2">
      <c r="A17" s="20">
        <v>3631</v>
      </c>
      <c r="B17" s="220" t="s">
        <v>61</v>
      </c>
      <c r="C17" s="219">
        <f t="shared" si="0"/>
        <v>4285089.4465106828</v>
      </c>
      <c r="D17" s="30">
        <f t="shared" ref="D17:M17" si="16">D60/$C$86*$C$43</f>
        <v>0</v>
      </c>
      <c r="E17" s="29">
        <f t="shared" si="16"/>
        <v>980578.81249983702</v>
      </c>
      <c r="F17" s="29">
        <f t="shared" si="16"/>
        <v>23287.810362966022</v>
      </c>
      <c r="G17" s="28">
        <f t="shared" si="16"/>
        <v>0</v>
      </c>
      <c r="H17" s="30">
        <f t="shared" si="16"/>
        <v>0</v>
      </c>
      <c r="I17" s="28">
        <f t="shared" si="16"/>
        <v>0</v>
      </c>
      <c r="J17" s="43">
        <f t="shared" si="16"/>
        <v>2175572.3684206908</v>
      </c>
      <c r="K17" s="30">
        <f t="shared" si="16"/>
        <v>277815.33204410702</v>
      </c>
      <c r="L17" s="29">
        <f t="shared" si="16"/>
        <v>251970.92807196872</v>
      </c>
      <c r="M17" s="28">
        <f t="shared" si="16"/>
        <v>575864.19511111325</v>
      </c>
      <c r="O17" s="218">
        <v>1.9985241623354359E-2</v>
      </c>
      <c r="P17" s="217">
        <f t="shared" si="2"/>
        <v>0</v>
      </c>
      <c r="Q17" s="216">
        <f t="shared" si="3"/>
        <v>4285089.4465106828</v>
      </c>
      <c r="R17" s="215"/>
      <c r="S17" s="214">
        <f t="shared" si="4"/>
        <v>-411442.33497759141</v>
      </c>
      <c r="T17" s="202"/>
      <c r="U17" s="203"/>
    </row>
    <row r="18" spans="1:21" x14ac:dyDescent="0.2">
      <c r="A18" s="65">
        <v>103631</v>
      </c>
      <c r="B18" s="220" t="s">
        <v>60</v>
      </c>
      <c r="C18" s="219">
        <f t="shared" si="0"/>
        <v>1244171.8531131516</v>
      </c>
      <c r="D18" s="30">
        <f t="shared" ref="D18:M18" si="17">D61/$C$86*$C$43</f>
        <v>0</v>
      </c>
      <c r="E18" s="29">
        <f t="shared" si="17"/>
        <v>233680.64539469796</v>
      </c>
      <c r="F18" s="29">
        <f t="shared" si="17"/>
        <v>320437.27741687268</v>
      </c>
      <c r="G18" s="28">
        <f t="shared" si="17"/>
        <v>0</v>
      </c>
      <c r="H18" s="30">
        <f t="shared" si="17"/>
        <v>0</v>
      </c>
      <c r="I18" s="28">
        <f t="shared" si="17"/>
        <v>0</v>
      </c>
      <c r="J18" s="43">
        <f t="shared" si="17"/>
        <v>595323.98700716801</v>
      </c>
      <c r="K18" s="30">
        <f t="shared" si="17"/>
        <v>63833.47796464475</v>
      </c>
      <c r="L18" s="29">
        <f t="shared" si="17"/>
        <v>25222.378399577396</v>
      </c>
      <c r="M18" s="28">
        <f t="shared" si="17"/>
        <v>5674.086930190645</v>
      </c>
      <c r="O18" s="218">
        <v>3.4527219750504121E-3</v>
      </c>
      <c r="P18" s="217">
        <f t="shared" si="2"/>
        <v>0</v>
      </c>
      <c r="Q18" s="216">
        <f t="shared" si="3"/>
        <v>1244171.8531131516</v>
      </c>
      <c r="R18" s="215"/>
      <c r="S18" s="214">
        <f t="shared" si="4"/>
        <v>432782.18897630472</v>
      </c>
      <c r="T18" s="202"/>
      <c r="U18" s="203"/>
    </row>
    <row r="19" spans="1:21" x14ac:dyDescent="0.2">
      <c r="A19" s="20">
        <v>11161</v>
      </c>
      <c r="B19" s="220" t="s">
        <v>59</v>
      </c>
      <c r="C19" s="219">
        <f t="shared" si="0"/>
        <v>4052316.3006887967</v>
      </c>
      <c r="D19" s="30">
        <f t="shared" ref="D19:M19" si="18">D62/$C$86*$C$43</f>
        <v>0</v>
      </c>
      <c r="E19" s="29">
        <f t="shared" si="18"/>
        <v>936245.83623497956</v>
      </c>
      <c r="F19" s="29">
        <f t="shared" si="18"/>
        <v>20269.418291592221</v>
      </c>
      <c r="G19" s="28">
        <f t="shared" si="18"/>
        <v>0</v>
      </c>
      <c r="H19" s="30">
        <f t="shared" si="18"/>
        <v>0</v>
      </c>
      <c r="I19" s="28">
        <f t="shared" si="18"/>
        <v>0</v>
      </c>
      <c r="J19" s="43">
        <f t="shared" si="18"/>
        <v>1966207.6635099128</v>
      </c>
      <c r="K19" s="30">
        <f t="shared" si="18"/>
        <v>264876.69442299055</v>
      </c>
      <c r="L19" s="29">
        <f t="shared" si="18"/>
        <v>278394.37210962112</v>
      </c>
      <c r="M19" s="28">
        <f t="shared" si="18"/>
        <v>586322.31611969997</v>
      </c>
      <c r="O19" s="218">
        <v>1.9224284187157891E-2</v>
      </c>
      <c r="P19" s="217">
        <f t="shared" si="2"/>
        <v>0</v>
      </c>
      <c r="Q19" s="216">
        <f t="shared" si="3"/>
        <v>4052316.3006887967</v>
      </c>
      <c r="R19" s="215"/>
      <c r="S19" s="214">
        <f t="shared" si="4"/>
        <v>-465390.48329330795</v>
      </c>
      <c r="T19" s="202"/>
      <c r="U19" s="203"/>
    </row>
    <row r="20" spans="1:21" x14ac:dyDescent="0.2">
      <c r="A20" s="20">
        <v>3639</v>
      </c>
      <c r="B20" s="220" t="s">
        <v>58</v>
      </c>
      <c r="C20" s="219">
        <f t="shared" si="0"/>
        <v>2310501.4194893641</v>
      </c>
      <c r="D20" s="30">
        <f t="shared" ref="D20:M20" si="19">D63/$C$86*$C$43</f>
        <v>0</v>
      </c>
      <c r="E20" s="29">
        <f t="shared" si="19"/>
        <v>162720.92050091806</v>
      </c>
      <c r="F20" s="29">
        <f t="shared" si="19"/>
        <v>16953.514844339235</v>
      </c>
      <c r="G20" s="28">
        <f t="shared" si="19"/>
        <v>0</v>
      </c>
      <c r="H20" s="30">
        <f t="shared" si="19"/>
        <v>0</v>
      </c>
      <c r="I20" s="28">
        <f t="shared" si="19"/>
        <v>0</v>
      </c>
      <c r="J20" s="43">
        <f t="shared" si="19"/>
        <v>1180331.4523230803</v>
      </c>
      <c r="K20" s="30">
        <f t="shared" si="19"/>
        <v>158272.63694668145</v>
      </c>
      <c r="L20" s="29">
        <f t="shared" si="19"/>
        <v>326057.71374691778</v>
      </c>
      <c r="M20" s="28">
        <f t="shared" si="19"/>
        <v>466165.18112742738</v>
      </c>
      <c r="O20" s="218">
        <v>1.296528221607569E-2</v>
      </c>
      <c r="P20" s="217">
        <f t="shared" si="2"/>
        <v>0</v>
      </c>
      <c r="Q20" s="216">
        <f t="shared" si="3"/>
        <v>2310501.4194893641</v>
      </c>
      <c r="R20" s="215"/>
      <c r="S20" s="214">
        <f t="shared" si="4"/>
        <v>-736339.90128842322</v>
      </c>
      <c r="T20" s="202"/>
      <c r="U20" s="203"/>
    </row>
    <row r="21" spans="1:21" x14ac:dyDescent="0.2">
      <c r="A21" s="65">
        <v>103639</v>
      </c>
      <c r="B21" s="220" t="s">
        <v>57</v>
      </c>
      <c r="C21" s="219">
        <f t="shared" si="0"/>
        <v>1488741.7658637774</v>
      </c>
      <c r="D21" s="30">
        <f t="shared" ref="D21:M21" si="20">D64/$C$86*$C$43</f>
        <v>0</v>
      </c>
      <c r="E21" s="29">
        <f t="shared" si="20"/>
        <v>313869.78429225215</v>
      </c>
      <c r="F21" s="29">
        <f t="shared" si="20"/>
        <v>78888.208311412483</v>
      </c>
      <c r="G21" s="28">
        <f t="shared" si="20"/>
        <v>0</v>
      </c>
      <c r="H21" s="30">
        <f t="shared" si="20"/>
        <v>0</v>
      </c>
      <c r="I21" s="28">
        <f t="shared" si="20"/>
        <v>0</v>
      </c>
      <c r="J21" s="43">
        <f t="shared" si="20"/>
        <v>892682.55340218579</v>
      </c>
      <c r="K21" s="30">
        <f t="shared" si="20"/>
        <v>188190.54985132301</v>
      </c>
      <c r="L21" s="29">
        <f t="shared" si="20"/>
        <v>14665.643580706655</v>
      </c>
      <c r="M21" s="28">
        <f t="shared" si="20"/>
        <v>445.0264258973055</v>
      </c>
      <c r="O21" s="218">
        <v>5.939285915308113E-3</v>
      </c>
      <c r="P21" s="217">
        <f t="shared" si="2"/>
        <v>0</v>
      </c>
      <c r="Q21" s="216">
        <f t="shared" si="3"/>
        <v>1488741.7658637774</v>
      </c>
      <c r="R21" s="215"/>
      <c r="S21" s="214">
        <f t="shared" si="4"/>
        <v>93009.575766370865</v>
      </c>
      <c r="T21" s="202"/>
      <c r="U21" s="203"/>
    </row>
    <row r="22" spans="1:21" x14ac:dyDescent="0.2">
      <c r="A22" s="20">
        <v>9651</v>
      </c>
      <c r="B22" s="220" t="s">
        <v>56</v>
      </c>
      <c r="C22" s="219">
        <f t="shared" si="0"/>
        <v>2536684.6988055292</v>
      </c>
      <c r="D22" s="30">
        <f t="shared" ref="D22:M22" si="21">D65/$C$86*$C$43</f>
        <v>0</v>
      </c>
      <c r="E22" s="29">
        <f t="shared" si="21"/>
        <v>496184.6578281307</v>
      </c>
      <c r="F22" s="29">
        <f t="shared" si="21"/>
        <v>18325.247292423071</v>
      </c>
      <c r="G22" s="28">
        <f t="shared" si="21"/>
        <v>0</v>
      </c>
      <c r="H22" s="30">
        <f t="shared" si="21"/>
        <v>0</v>
      </c>
      <c r="I22" s="28">
        <f t="shared" si="21"/>
        <v>0</v>
      </c>
      <c r="J22" s="43">
        <f t="shared" si="21"/>
        <v>1297454.3162296894</v>
      </c>
      <c r="K22" s="30">
        <f t="shared" si="21"/>
        <v>181398.83973791302</v>
      </c>
      <c r="L22" s="29">
        <f t="shared" si="21"/>
        <v>385225.99991735496</v>
      </c>
      <c r="M22" s="28">
        <f t="shared" si="21"/>
        <v>158095.63780001778</v>
      </c>
      <c r="O22" s="218">
        <v>1.0886031395541047E-2</v>
      </c>
      <c r="P22" s="217">
        <f t="shared" si="2"/>
        <v>0</v>
      </c>
      <c r="Q22" s="216">
        <f t="shared" si="3"/>
        <v>2536684.6988055292</v>
      </c>
      <c r="R22" s="215"/>
      <c r="S22" s="214">
        <f t="shared" si="4"/>
        <v>-21532.67914661672</v>
      </c>
      <c r="T22" s="202"/>
      <c r="U22" s="203"/>
    </row>
    <row r="23" spans="1:21" x14ac:dyDescent="0.2">
      <c r="A23" s="20">
        <v>3665</v>
      </c>
      <c r="B23" s="220" t="s">
        <v>55</v>
      </c>
      <c r="C23" s="219">
        <f t="shared" si="0"/>
        <v>3338422.9527079398</v>
      </c>
      <c r="D23" s="30">
        <f t="shared" ref="D23:M23" si="22">D66/$C$86*$C$43</f>
        <v>0</v>
      </c>
      <c r="E23" s="29">
        <f t="shared" si="22"/>
        <v>784549.3075840103</v>
      </c>
      <c r="F23" s="29">
        <f t="shared" si="22"/>
        <v>21986.823113780731</v>
      </c>
      <c r="G23" s="28">
        <f t="shared" si="22"/>
        <v>0</v>
      </c>
      <c r="H23" s="30">
        <f t="shared" si="22"/>
        <v>0</v>
      </c>
      <c r="I23" s="28">
        <f t="shared" si="22"/>
        <v>0</v>
      </c>
      <c r="J23" s="43">
        <f t="shared" si="22"/>
        <v>1619087.0513100147</v>
      </c>
      <c r="K23" s="30">
        <f t="shared" si="22"/>
        <v>462094.20075416233</v>
      </c>
      <c r="L23" s="29">
        <f t="shared" si="22"/>
        <v>229972.46270090871</v>
      </c>
      <c r="M23" s="28">
        <f t="shared" si="22"/>
        <v>220733.10724506353</v>
      </c>
      <c r="O23" s="218">
        <v>1.5183466872892367E-2</v>
      </c>
      <c r="P23" s="217">
        <f t="shared" si="2"/>
        <v>0</v>
      </c>
      <c r="Q23" s="216">
        <f t="shared" si="3"/>
        <v>3338422.9527079398</v>
      </c>
      <c r="R23" s="215"/>
      <c r="S23" s="214">
        <f t="shared" si="4"/>
        <v>-229691.76242176676</v>
      </c>
      <c r="T23" s="202"/>
      <c r="U23" s="203"/>
    </row>
    <row r="24" spans="1:21" x14ac:dyDescent="0.2">
      <c r="A24" s="20">
        <v>3565</v>
      </c>
      <c r="B24" s="220" t="s">
        <v>54</v>
      </c>
      <c r="C24" s="219">
        <f t="shared" si="0"/>
        <v>3510925.4593953551</v>
      </c>
      <c r="D24" s="30">
        <f t="shared" ref="D24:M24" si="23">D67/$C$86*$C$43</f>
        <v>0</v>
      </c>
      <c r="E24" s="29">
        <f t="shared" si="23"/>
        <v>773539.37066437246</v>
      </c>
      <c r="F24" s="29">
        <f t="shared" si="23"/>
        <v>26735.185708971414</v>
      </c>
      <c r="G24" s="28">
        <f t="shared" si="23"/>
        <v>0</v>
      </c>
      <c r="H24" s="30">
        <f t="shared" si="23"/>
        <v>0</v>
      </c>
      <c r="I24" s="28">
        <f t="shared" si="23"/>
        <v>0</v>
      </c>
      <c r="J24" s="43">
        <f t="shared" si="23"/>
        <v>1855760.1959917636</v>
      </c>
      <c r="K24" s="30">
        <f t="shared" si="23"/>
        <v>488229.38903867675</v>
      </c>
      <c r="L24" s="29">
        <f t="shared" si="23"/>
        <v>215686.10300590991</v>
      </c>
      <c r="M24" s="28">
        <f t="shared" si="23"/>
        <v>150975.21498566086</v>
      </c>
      <c r="O24" s="218">
        <v>1.411122580581306E-2</v>
      </c>
      <c r="P24" s="217">
        <f t="shared" si="2"/>
        <v>0</v>
      </c>
      <c r="Q24" s="216">
        <f t="shared" si="3"/>
        <v>3510925.4593953551</v>
      </c>
      <c r="R24" s="215"/>
      <c r="S24" s="214">
        <f t="shared" si="4"/>
        <v>194787.39502928592</v>
      </c>
      <c r="T24" s="202"/>
      <c r="U24" s="203"/>
    </row>
    <row r="25" spans="1:21" x14ac:dyDescent="0.2">
      <c r="A25" s="20">
        <v>29269</v>
      </c>
      <c r="B25" s="220" t="s">
        <v>53</v>
      </c>
      <c r="C25" s="219">
        <f t="shared" si="0"/>
        <v>921100.19763817103</v>
      </c>
      <c r="D25" s="30">
        <f t="shared" ref="D25:M25" si="24">D68/$C$86*$C$43</f>
        <v>0</v>
      </c>
      <c r="E25" s="29">
        <f t="shared" si="24"/>
        <v>248719.54942107914</v>
      </c>
      <c r="F25" s="29">
        <f t="shared" si="24"/>
        <v>147034.53812303708</v>
      </c>
      <c r="G25" s="28">
        <f t="shared" si="24"/>
        <v>0</v>
      </c>
      <c r="H25" s="30">
        <f t="shared" si="24"/>
        <v>0</v>
      </c>
      <c r="I25" s="28">
        <f t="shared" si="24"/>
        <v>0</v>
      </c>
      <c r="J25" s="43">
        <f t="shared" si="24"/>
        <v>435114.47368413815</v>
      </c>
      <c r="K25" s="30">
        <f t="shared" si="24"/>
        <v>55795.188146874658</v>
      </c>
      <c r="L25" s="29">
        <f t="shared" si="24"/>
        <v>34325.191656567731</v>
      </c>
      <c r="M25" s="28">
        <f t="shared" si="24"/>
        <v>111.25660647432638</v>
      </c>
      <c r="O25" s="218">
        <v>2.885126155730112E-3</v>
      </c>
      <c r="P25" s="217">
        <f t="shared" si="2"/>
        <v>0</v>
      </c>
      <c r="Q25" s="216">
        <f t="shared" si="3"/>
        <v>921100.19763817103</v>
      </c>
      <c r="R25" s="215"/>
      <c r="S25" s="214">
        <f t="shared" si="4"/>
        <v>243095.55104159471</v>
      </c>
      <c r="T25" s="202"/>
      <c r="U25" s="203"/>
    </row>
    <row r="26" spans="1:21" x14ac:dyDescent="0.2">
      <c r="A26" s="20">
        <v>3652</v>
      </c>
      <c r="B26" s="220" t="s">
        <v>52</v>
      </c>
      <c r="C26" s="219">
        <f t="shared" si="0"/>
        <v>14058489.628910154</v>
      </c>
      <c r="D26" s="30">
        <f t="shared" ref="D26:M26" si="25">D69/$C$86*$C$43</f>
        <v>0</v>
      </c>
      <c r="E26" s="29">
        <f t="shared" si="25"/>
        <v>3630143.9385958873</v>
      </c>
      <c r="F26" s="29">
        <f t="shared" si="25"/>
        <v>20315.440233418474</v>
      </c>
      <c r="G26" s="28">
        <f t="shared" si="25"/>
        <v>0</v>
      </c>
      <c r="H26" s="30">
        <f t="shared" si="25"/>
        <v>0</v>
      </c>
      <c r="I26" s="28">
        <f t="shared" si="25"/>
        <v>0</v>
      </c>
      <c r="J26" s="43">
        <f t="shared" si="25"/>
        <v>6140757.8231656821</v>
      </c>
      <c r="K26" s="30">
        <f t="shared" si="25"/>
        <v>980370.45921862125</v>
      </c>
      <c r="L26" s="29">
        <f t="shared" si="25"/>
        <v>1079125.8688200142</v>
      </c>
      <c r="M26" s="28">
        <f t="shared" si="25"/>
        <v>2207776.0988765326</v>
      </c>
      <c r="O26" s="218">
        <v>6.680079885949769E-2</v>
      </c>
      <c r="P26" s="217">
        <f t="shared" si="2"/>
        <v>438421.24816962722</v>
      </c>
      <c r="Q26" s="216">
        <f t="shared" si="3"/>
        <v>14496910.877079781</v>
      </c>
      <c r="R26" s="215"/>
      <c r="S26" s="214">
        <f t="shared" si="4"/>
        <v>-1201276.8549021762</v>
      </c>
      <c r="T26" s="202"/>
      <c r="U26" s="203"/>
    </row>
    <row r="27" spans="1:21" x14ac:dyDescent="0.2">
      <c r="A27" s="20">
        <v>11711</v>
      </c>
      <c r="B27" s="220" t="s">
        <v>51</v>
      </c>
      <c r="C27" s="219">
        <f t="shared" si="0"/>
        <v>2857815.8362628133</v>
      </c>
      <c r="D27" s="30">
        <f t="shared" ref="D27:M27" si="26">D70/$C$86*$C$43</f>
        <v>0</v>
      </c>
      <c r="E27" s="29">
        <f t="shared" si="26"/>
        <v>822173.44304213347</v>
      </c>
      <c r="F27" s="29">
        <f t="shared" si="26"/>
        <v>75275.701550668717</v>
      </c>
      <c r="G27" s="28">
        <f t="shared" si="26"/>
        <v>0</v>
      </c>
      <c r="H27" s="30">
        <f t="shared" si="26"/>
        <v>0</v>
      </c>
      <c r="I27" s="28">
        <f t="shared" si="26"/>
        <v>0</v>
      </c>
      <c r="J27" s="43">
        <f t="shared" si="26"/>
        <v>1409722.3463992372</v>
      </c>
      <c r="K27" s="30">
        <f t="shared" si="26"/>
        <v>179421.50641375565</v>
      </c>
      <c r="L27" s="29">
        <f t="shared" si="26"/>
        <v>361710.39900346327</v>
      </c>
      <c r="M27" s="28">
        <f t="shared" si="26"/>
        <v>9512.4398535549044</v>
      </c>
      <c r="O27" s="218">
        <v>1.0972897764284933E-2</v>
      </c>
      <c r="P27" s="217">
        <f t="shared" si="2"/>
        <v>0</v>
      </c>
      <c r="Q27" s="216">
        <f t="shared" si="3"/>
        <v>2857815.8362628133</v>
      </c>
      <c r="R27" s="215"/>
      <c r="S27" s="214">
        <f t="shared" si="4"/>
        <v>279184.86165585415</v>
      </c>
      <c r="T27" s="202"/>
      <c r="U27" s="203"/>
    </row>
    <row r="28" spans="1:21" x14ac:dyDescent="0.2">
      <c r="A28" s="20">
        <v>12826</v>
      </c>
      <c r="B28" s="220" t="s">
        <v>50</v>
      </c>
      <c r="C28" s="219">
        <f t="shared" si="0"/>
        <v>5240586.908578909</v>
      </c>
      <c r="D28" s="30">
        <f t="shared" ref="D28:M28" si="27">D71/$C$86*$C$43</f>
        <v>0</v>
      </c>
      <c r="E28" s="29">
        <f t="shared" si="27"/>
        <v>240352.45122903958</v>
      </c>
      <c r="F28" s="29">
        <f t="shared" si="27"/>
        <v>28287.970618699546</v>
      </c>
      <c r="G28" s="28">
        <f t="shared" si="27"/>
        <v>0</v>
      </c>
      <c r="H28" s="30">
        <f t="shared" si="27"/>
        <v>0</v>
      </c>
      <c r="I28" s="28">
        <f t="shared" si="27"/>
        <v>0</v>
      </c>
      <c r="J28" s="43">
        <f t="shared" si="27"/>
        <v>3060365.8170001516</v>
      </c>
      <c r="K28" s="30">
        <f t="shared" si="27"/>
        <v>1001132.4591222735</v>
      </c>
      <c r="L28" s="29">
        <f t="shared" si="27"/>
        <v>708628.7264643173</v>
      </c>
      <c r="M28" s="28">
        <f t="shared" si="27"/>
        <v>201819.48414442802</v>
      </c>
      <c r="O28" s="218">
        <v>2.262163232206927E-2</v>
      </c>
      <c r="P28" s="217">
        <f t="shared" si="2"/>
        <v>0</v>
      </c>
      <c r="Q28" s="216">
        <f t="shared" si="3"/>
        <v>5240586.908578909</v>
      </c>
      <c r="R28" s="215"/>
      <c r="S28" s="214">
        <f t="shared" si="4"/>
        <v>-75496.687107369304</v>
      </c>
      <c r="T28" s="202"/>
      <c r="U28" s="203"/>
    </row>
    <row r="29" spans="1:21" x14ac:dyDescent="0.2">
      <c r="A29" s="20">
        <v>13231</v>
      </c>
      <c r="B29" s="220" t="s">
        <v>49</v>
      </c>
      <c r="C29" s="219">
        <f t="shared" si="0"/>
        <v>1415596.4541476015</v>
      </c>
      <c r="D29" s="30">
        <f t="shared" ref="D29:M29" si="28">D72/$C$86*$C$43</f>
        <v>0</v>
      </c>
      <c r="E29" s="29">
        <f t="shared" si="28"/>
        <v>398507.55566094827</v>
      </c>
      <c r="F29" s="29">
        <f t="shared" si="28"/>
        <v>76017.306945849443</v>
      </c>
      <c r="G29" s="28">
        <f t="shared" si="28"/>
        <v>0</v>
      </c>
      <c r="H29" s="30">
        <f t="shared" si="28"/>
        <v>0</v>
      </c>
      <c r="I29" s="28">
        <f t="shared" si="28"/>
        <v>0</v>
      </c>
      <c r="J29" s="43">
        <f t="shared" si="28"/>
        <v>699096.05813685793</v>
      </c>
      <c r="K29" s="30">
        <f t="shared" si="28"/>
        <v>184665.73827347733</v>
      </c>
      <c r="L29" s="29">
        <f t="shared" si="28"/>
        <v>56197.229065725063</v>
      </c>
      <c r="M29" s="28">
        <f t="shared" si="28"/>
        <v>1112.5660647432637</v>
      </c>
      <c r="O29" s="218">
        <v>5.6229417841748381E-3</v>
      </c>
      <c r="P29" s="217">
        <f t="shared" si="2"/>
        <v>0</v>
      </c>
      <c r="Q29" s="216">
        <f t="shared" si="3"/>
        <v>1415596.4541476015</v>
      </c>
      <c r="R29" s="215"/>
      <c r="S29" s="214">
        <f t="shared" si="4"/>
        <v>94205.134866514476</v>
      </c>
      <c r="T29" s="202"/>
      <c r="U29" s="203"/>
    </row>
    <row r="30" spans="1:21" x14ac:dyDescent="0.2">
      <c r="A30" s="20">
        <v>3592</v>
      </c>
      <c r="B30" s="220" t="s">
        <v>48</v>
      </c>
      <c r="C30" s="219">
        <f t="shared" si="0"/>
        <v>2718858.2585614901</v>
      </c>
      <c r="D30" s="30">
        <f t="shared" ref="D30:M30" si="29">D73/$C$86*$C$43</f>
        <v>0</v>
      </c>
      <c r="E30" s="29">
        <f t="shared" si="29"/>
        <v>601680.57421836315</v>
      </c>
      <c r="F30" s="29">
        <f t="shared" si="29"/>
        <v>22873.209833455461</v>
      </c>
      <c r="G30" s="28">
        <f t="shared" si="29"/>
        <v>0</v>
      </c>
      <c r="H30" s="30">
        <f t="shared" si="29"/>
        <v>0</v>
      </c>
      <c r="I30" s="28">
        <f t="shared" si="29"/>
        <v>0</v>
      </c>
      <c r="J30" s="43">
        <f t="shared" si="29"/>
        <v>1256795.0836817992</v>
      </c>
      <c r="K30" s="30">
        <f t="shared" si="29"/>
        <v>185439.47740032151</v>
      </c>
      <c r="L30" s="29">
        <f t="shared" si="29"/>
        <v>198365.47222524779</v>
      </c>
      <c r="M30" s="28">
        <f t="shared" si="29"/>
        <v>453704.44120230287</v>
      </c>
      <c r="O30" s="218">
        <v>1.0364568727977754E-2</v>
      </c>
      <c r="P30" s="217">
        <f t="shared" si="2"/>
        <v>0</v>
      </c>
      <c r="Q30" s="216">
        <f t="shared" si="3"/>
        <v>2718858.2585614901</v>
      </c>
      <c r="R30" s="215"/>
      <c r="S30" s="214">
        <f t="shared" si="4"/>
        <v>283184.60748671787</v>
      </c>
      <c r="T30" s="202"/>
      <c r="U30" s="203"/>
    </row>
    <row r="31" spans="1:21" x14ac:dyDescent="0.2">
      <c r="A31" s="20">
        <v>3594</v>
      </c>
      <c r="B31" s="220" t="s">
        <v>47</v>
      </c>
      <c r="C31" s="219">
        <f t="shared" si="0"/>
        <v>15894122.646554776</v>
      </c>
      <c r="D31" s="30">
        <f t="shared" ref="D31:M31" si="30">D74/$C$86*$C$43</f>
        <v>0</v>
      </c>
      <c r="E31" s="29">
        <f t="shared" si="30"/>
        <v>4603224.1822473165</v>
      </c>
      <c r="F31" s="29">
        <f t="shared" si="30"/>
        <v>24546.252310325475</v>
      </c>
      <c r="G31" s="28">
        <f t="shared" si="30"/>
        <v>0</v>
      </c>
      <c r="H31" s="30">
        <f t="shared" si="30"/>
        <v>0</v>
      </c>
      <c r="I31" s="28">
        <f t="shared" si="30"/>
        <v>0</v>
      </c>
      <c r="J31" s="43">
        <f t="shared" si="30"/>
        <v>6954549.3283406179</v>
      </c>
      <c r="K31" s="30">
        <f t="shared" si="30"/>
        <v>1014200.0532645308</v>
      </c>
      <c r="L31" s="29">
        <f t="shared" si="30"/>
        <v>1070023.0555630238</v>
      </c>
      <c r="M31" s="28">
        <f t="shared" si="30"/>
        <v>2227579.7748289625</v>
      </c>
      <c r="O31" s="218">
        <v>5.9972196847224775E-2</v>
      </c>
      <c r="P31" s="217">
        <f t="shared" si="2"/>
        <v>0</v>
      </c>
      <c r="Q31" s="216">
        <f t="shared" si="3"/>
        <v>15894122.646554776</v>
      </c>
      <c r="R31" s="215"/>
      <c r="S31" s="214">
        <f t="shared" si="4"/>
        <v>1800656.3874569535</v>
      </c>
      <c r="T31" s="202"/>
      <c r="U31" s="203"/>
    </row>
    <row r="32" spans="1:21" x14ac:dyDescent="0.2">
      <c r="A32" s="65">
        <v>113594</v>
      </c>
      <c r="B32" s="220" t="s">
        <v>46</v>
      </c>
      <c r="C32" s="219">
        <f t="shared" si="0"/>
        <v>1109768.3538972656</v>
      </c>
      <c r="D32" s="30">
        <f t="shared" ref="D32:M32" si="31">D75/$C$86*$C$43</f>
        <v>0</v>
      </c>
      <c r="E32" s="29">
        <f t="shared" si="31"/>
        <v>309334.21803381707</v>
      </c>
      <c r="F32" s="29">
        <f t="shared" si="31"/>
        <v>161754.20788100697</v>
      </c>
      <c r="G32" s="28">
        <f t="shared" si="31"/>
        <v>0</v>
      </c>
      <c r="H32" s="30">
        <f t="shared" si="31"/>
        <v>0</v>
      </c>
      <c r="I32" s="28">
        <f t="shared" si="31"/>
        <v>0</v>
      </c>
      <c r="J32" s="43">
        <f t="shared" si="31"/>
        <v>561643.57795630384</v>
      </c>
      <c r="K32" s="30">
        <f t="shared" si="31"/>
        <v>61641.217105252908</v>
      </c>
      <c r="L32" s="29">
        <f t="shared" si="31"/>
        <v>13559.398914058524</v>
      </c>
      <c r="M32" s="28">
        <f t="shared" si="31"/>
        <v>1835.7340068263852</v>
      </c>
      <c r="O32" s="218">
        <v>2.8602942419239919E-3</v>
      </c>
      <c r="P32" s="217">
        <f t="shared" si="2"/>
        <v>0</v>
      </c>
      <c r="Q32" s="216">
        <f t="shared" si="3"/>
        <v>1109768.3538972656</v>
      </c>
      <c r="R32" s="215"/>
      <c r="S32" s="214">
        <f t="shared" si="4"/>
        <v>437599.20704512752</v>
      </c>
      <c r="T32" s="202"/>
      <c r="U32" s="203"/>
    </row>
    <row r="33" spans="1:21" x14ac:dyDescent="0.2">
      <c r="A33" s="20">
        <v>3624</v>
      </c>
      <c r="B33" s="220" t="s">
        <v>45</v>
      </c>
      <c r="C33" s="219">
        <f t="shared" si="0"/>
        <v>5774496.8497237368</v>
      </c>
      <c r="D33" s="30">
        <f t="shared" ref="D33:M33" si="32">D76/$C$86*$C$43</f>
        <v>0</v>
      </c>
      <c r="E33" s="29">
        <f t="shared" si="32"/>
        <v>1413254.1115149872</v>
      </c>
      <c r="F33" s="29">
        <f t="shared" si="32"/>
        <v>19208.400302073027</v>
      </c>
      <c r="G33" s="28">
        <f t="shared" si="32"/>
        <v>0</v>
      </c>
      <c r="H33" s="30">
        <f t="shared" si="32"/>
        <v>0</v>
      </c>
      <c r="I33" s="28">
        <f t="shared" si="32"/>
        <v>0</v>
      </c>
      <c r="J33" s="43">
        <f t="shared" si="32"/>
        <v>2658628.3252583109</v>
      </c>
      <c r="K33" s="30">
        <f t="shared" si="32"/>
        <v>357123.59254563542</v>
      </c>
      <c r="L33" s="29">
        <f t="shared" si="32"/>
        <v>393507.03142197814</v>
      </c>
      <c r="M33" s="28">
        <f t="shared" si="32"/>
        <v>932775.38868075225</v>
      </c>
      <c r="O33" s="218">
        <v>2.3435865298122357E-2</v>
      </c>
      <c r="P33" s="217">
        <f t="shared" si="2"/>
        <v>0</v>
      </c>
      <c r="Q33" s="216">
        <f t="shared" si="3"/>
        <v>5774496.8497237368</v>
      </c>
      <c r="R33" s="215"/>
      <c r="S33" s="214">
        <f t="shared" si="4"/>
        <v>267068.50466498267</v>
      </c>
      <c r="T33" s="202"/>
      <c r="U33" s="203"/>
    </row>
    <row r="34" spans="1:21" x14ac:dyDescent="0.2">
      <c r="A34" s="20">
        <v>3642</v>
      </c>
      <c r="B34" s="220" t="s">
        <v>44</v>
      </c>
      <c r="C34" s="219">
        <f t="shared" si="0"/>
        <v>2632237.8714487231</v>
      </c>
      <c r="D34" s="30">
        <f t="shared" ref="D34:M34" si="33">D77/$C$86*$C$43</f>
        <v>0</v>
      </c>
      <c r="E34" s="29">
        <f t="shared" si="33"/>
        <v>57850.696094141807</v>
      </c>
      <c r="F34" s="29">
        <f t="shared" si="33"/>
        <v>12263.841975795669</v>
      </c>
      <c r="G34" s="28">
        <f t="shared" si="33"/>
        <v>0</v>
      </c>
      <c r="H34" s="30">
        <f t="shared" si="33"/>
        <v>0</v>
      </c>
      <c r="I34" s="28">
        <f t="shared" si="33"/>
        <v>0</v>
      </c>
      <c r="J34" s="43">
        <f t="shared" si="33"/>
        <v>1213101.5800482458</v>
      </c>
      <c r="K34" s="30">
        <f t="shared" si="33"/>
        <v>211144.81061436696</v>
      </c>
      <c r="L34" s="29">
        <f t="shared" si="33"/>
        <v>429728.64250708552</v>
      </c>
      <c r="M34" s="28">
        <f t="shared" si="33"/>
        <v>708148.30020908732</v>
      </c>
      <c r="O34" s="218">
        <v>1.3524899052819646E-2</v>
      </c>
      <c r="P34" s="217">
        <f t="shared" si="2"/>
        <v>0</v>
      </c>
      <c r="Q34" s="216">
        <f t="shared" si="3"/>
        <v>2632237.8714487231</v>
      </c>
      <c r="R34" s="215"/>
      <c r="S34" s="214">
        <f t="shared" si="4"/>
        <v>-546113.40596389351</v>
      </c>
      <c r="T34" s="202"/>
      <c r="U34" s="203"/>
    </row>
    <row r="35" spans="1:21" x14ac:dyDescent="0.2">
      <c r="A35" s="20">
        <v>3644</v>
      </c>
      <c r="B35" s="220" t="s">
        <v>43</v>
      </c>
      <c r="C35" s="219">
        <f t="shared" si="0"/>
        <v>14155994.276258465</v>
      </c>
      <c r="D35" s="30">
        <f t="shared" ref="D35:M35" si="34">D78/$C$86*$C$43</f>
        <v>0</v>
      </c>
      <c r="E35" s="29">
        <f t="shared" si="34"/>
        <v>5450212.9478024403</v>
      </c>
      <c r="F35" s="29">
        <f t="shared" si="34"/>
        <v>19970.475327651653</v>
      </c>
      <c r="G35" s="28">
        <f t="shared" si="34"/>
        <v>0</v>
      </c>
      <c r="H35" s="30">
        <f t="shared" si="34"/>
        <v>0</v>
      </c>
      <c r="I35" s="28">
        <f t="shared" si="34"/>
        <v>0</v>
      </c>
      <c r="J35" s="43">
        <f t="shared" si="34"/>
        <v>4214602.5379865263</v>
      </c>
      <c r="K35" s="30">
        <f t="shared" si="34"/>
        <v>836326.02510446345</v>
      </c>
      <c r="L35" s="29">
        <f t="shared" si="34"/>
        <v>1000993.3883641805</v>
      </c>
      <c r="M35" s="28">
        <f t="shared" si="34"/>
        <v>2633888.9016732024</v>
      </c>
      <c r="O35" s="218">
        <v>6.3345925146063756E-2</v>
      </c>
      <c r="P35" s="217">
        <f t="shared" si="2"/>
        <v>0</v>
      </c>
      <c r="Q35" s="216">
        <f t="shared" si="3"/>
        <v>14155994.276258465</v>
      </c>
      <c r="R35" s="215"/>
      <c r="S35" s="214">
        <f t="shared" si="4"/>
        <v>-730298.13306651823</v>
      </c>
      <c r="T35" s="202"/>
      <c r="U35" s="203"/>
    </row>
    <row r="36" spans="1:21" x14ac:dyDescent="0.2">
      <c r="A36" s="20">
        <v>3541</v>
      </c>
      <c r="B36" s="19" t="s">
        <v>42</v>
      </c>
      <c r="C36" s="55">
        <f t="shared" si="0"/>
        <v>2759916.4689992159</v>
      </c>
      <c r="D36" s="15">
        <f t="shared" ref="D36:M36" si="35">D79/$C$86*$C$43</f>
        <v>0</v>
      </c>
      <c r="E36" s="14">
        <f t="shared" si="35"/>
        <v>452349.16716482973</v>
      </c>
      <c r="F36" s="14">
        <f t="shared" si="35"/>
        <v>19254.062666631911</v>
      </c>
      <c r="G36" s="13">
        <f t="shared" si="35"/>
        <v>0</v>
      </c>
      <c r="H36" s="15">
        <f t="shared" si="35"/>
        <v>0</v>
      </c>
      <c r="I36" s="13">
        <f t="shared" si="35"/>
        <v>0</v>
      </c>
      <c r="J36" s="16">
        <f t="shared" si="35"/>
        <v>1316266.796960803</v>
      </c>
      <c r="K36" s="15">
        <f t="shared" si="35"/>
        <v>185525.44841441532</v>
      </c>
      <c r="L36" s="14">
        <f t="shared" si="35"/>
        <v>196026.55493004888</v>
      </c>
      <c r="M36" s="13">
        <f t="shared" si="35"/>
        <v>590494.43886248709</v>
      </c>
      <c r="O36" s="74">
        <v>1.2561069385453944E-2</v>
      </c>
      <c r="P36" s="120">
        <f t="shared" si="2"/>
        <v>0</v>
      </c>
      <c r="Q36" s="160">
        <f t="shared" si="3"/>
        <v>2759916.4689992159</v>
      </c>
      <c r="S36" s="206">
        <f t="shared" si="4"/>
        <v>-191934.83658246091</v>
      </c>
      <c r="T36" s="202"/>
      <c r="U36" s="203"/>
    </row>
    <row r="37" spans="1:21" x14ac:dyDescent="0.2">
      <c r="A37" s="20">
        <v>3646</v>
      </c>
      <c r="B37" s="19" t="s">
        <v>41</v>
      </c>
      <c r="C37" s="55">
        <f t="shared" si="0"/>
        <v>4583461.5573124485</v>
      </c>
      <c r="D37" s="15">
        <f t="shared" ref="D37:M37" si="36">D80/$C$86*$C$43</f>
        <v>0</v>
      </c>
      <c r="E37" s="14">
        <f t="shared" si="36"/>
        <v>1255466.4522301643</v>
      </c>
      <c r="F37" s="14">
        <f t="shared" si="36"/>
        <v>26119.00957798956</v>
      </c>
      <c r="G37" s="13">
        <f t="shared" si="36"/>
        <v>0</v>
      </c>
      <c r="H37" s="15">
        <f t="shared" si="36"/>
        <v>0</v>
      </c>
      <c r="I37" s="13">
        <f t="shared" si="36"/>
        <v>0</v>
      </c>
      <c r="J37" s="16">
        <f t="shared" si="36"/>
        <v>2270241.6262933901</v>
      </c>
      <c r="K37" s="15">
        <f t="shared" si="36"/>
        <v>566377.04084993876</v>
      </c>
      <c r="L37" s="14">
        <f t="shared" si="36"/>
        <v>245080.60414827458</v>
      </c>
      <c r="M37" s="13">
        <f t="shared" si="36"/>
        <v>220176.82421269183</v>
      </c>
      <c r="O37" s="74">
        <v>1.8983457031793705E-2</v>
      </c>
      <c r="P37" s="120">
        <f t="shared" si="2"/>
        <v>0</v>
      </c>
      <c r="Q37" s="160">
        <f t="shared" si="3"/>
        <v>4583461.5573124485</v>
      </c>
      <c r="S37" s="206">
        <f t="shared" si="4"/>
        <v>122349.15484092757</v>
      </c>
      <c r="T37" s="202"/>
      <c r="U37" s="203"/>
    </row>
    <row r="38" spans="1:21" x14ac:dyDescent="0.2">
      <c r="A38" s="20">
        <v>3581</v>
      </c>
      <c r="B38" s="19" t="s">
        <v>40</v>
      </c>
      <c r="C38" s="55">
        <f t="shared" si="0"/>
        <v>3677843.9572462235</v>
      </c>
      <c r="D38" s="15">
        <f t="shared" ref="D38:M38" si="37">D81/$C$86*$C$43</f>
        <v>0</v>
      </c>
      <c r="E38" s="14">
        <f t="shared" si="37"/>
        <v>248406.85639768682</v>
      </c>
      <c r="F38" s="14">
        <f t="shared" si="37"/>
        <v>17404.322138468036</v>
      </c>
      <c r="G38" s="13">
        <f t="shared" si="37"/>
        <v>0</v>
      </c>
      <c r="H38" s="15">
        <f t="shared" si="37"/>
        <v>0</v>
      </c>
      <c r="I38" s="13">
        <f t="shared" si="37"/>
        <v>0</v>
      </c>
      <c r="J38" s="16">
        <f t="shared" si="37"/>
        <v>1727107.1019596332</v>
      </c>
      <c r="K38" s="15">
        <f t="shared" si="37"/>
        <v>276568.75233974698</v>
      </c>
      <c r="L38" s="14">
        <f t="shared" si="37"/>
        <v>564753.70581910887</v>
      </c>
      <c r="M38" s="13">
        <f t="shared" si="37"/>
        <v>843603.2185915797</v>
      </c>
      <c r="O38" s="74">
        <v>1.8519296567582645E-2</v>
      </c>
      <c r="P38" s="120">
        <f t="shared" si="2"/>
        <v>0</v>
      </c>
      <c r="Q38" s="160">
        <f t="shared" si="3"/>
        <v>3677843.9572462235</v>
      </c>
      <c r="S38" s="206">
        <f t="shared" si="4"/>
        <v>-674190.73613569792</v>
      </c>
      <c r="T38" s="202"/>
      <c r="U38" s="203"/>
    </row>
    <row r="39" spans="1:21" x14ac:dyDescent="0.2">
      <c r="A39" s="20">
        <v>3606</v>
      </c>
      <c r="B39" s="19" t="s">
        <v>39</v>
      </c>
      <c r="C39" s="55">
        <f t="shared" si="0"/>
        <v>8691848.303308649</v>
      </c>
      <c r="D39" s="15">
        <f t="shared" ref="D39:M39" si="38">D82/$C$86*$C$43</f>
        <v>0</v>
      </c>
      <c r="E39" s="14">
        <f t="shared" si="38"/>
        <v>2396875.2443473954</v>
      </c>
      <c r="F39" s="14">
        <f t="shared" si="38"/>
        <v>23208.053112814694</v>
      </c>
      <c r="G39" s="13">
        <f t="shared" si="38"/>
        <v>0</v>
      </c>
      <c r="H39" s="15">
        <f t="shared" si="38"/>
        <v>0</v>
      </c>
      <c r="I39" s="13">
        <f t="shared" si="38"/>
        <v>0</v>
      </c>
      <c r="J39" s="16">
        <f t="shared" si="38"/>
        <v>4030118.8559781881</v>
      </c>
      <c r="K39" s="15">
        <f t="shared" si="38"/>
        <v>502199.67882891896</v>
      </c>
      <c r="L39" s="14">
        <f t="shared" si="38"/>
        <v>562351.57454295876</v>
      </c>
      <c r="M39" s="13">
        <f t="shared" si="38"/>
        <v>1177094.896498373</v>
      </c>
      <c r="O39" s="74">
        <v>3.2554270941238916E-2</v>
      </c>
      <c r="P39" s="120">
        <f t="shared" si="2"/>
        <v>0</v>
      </c>
      <c r="Q39" s="160">
        <f t="shared" si="3"/>
        <v>8691848.303308649</v>
      </c>
      <c r="S39" s="206">
        <f t="shared" si="4"/>
        <v>1041594.6321175033</v>
      </c>
      <c r="T39" s="202"/>
      <c r="U39" s="203"/>
    </row>
    <row r="40" spans="1:21" x14ac:dyDescent="0.2">
      <c r="A40" s="20">
        <v>3615</v>
      </c>
      <c r="B40" s="19" t="s">
        <v>85</v>
      </c>
      <c r="C40" s="55">
        <f t="shared" si="0"/>
        <v>15454048.121841587</v>
      </c>
      <c r="D40" s="15">
        <f t="shared" ref="D40:M40" si="39">D83/$C$86*$C$43</f>
        <v>0</v>
      </c>
      <c r="E40" s="14">
        <f t="shared" si="39"/>
        <v>4504866.78894132</v>
      </c>
      <c r="F40" s="14">
        <f t="shared" si="39"/>
        <v>22194.641919921494</v>
      </c>
      <c r="G40" s="13">
        <f t="shared" si="39"/>
        <v>0</v>
      </c>
      <c r="H40" s="15">
        <f t="shared" si="39"/>
        <v>0</v>
      </c>
      <c r="I40" s="13">
        <f t="shared" si="39"/>
        <v>0</v>
      </c>
      <c r="J40" s="16">
        <f t="shared" si="39"/>
        <v>6691174.5981050311</v>
      </c>
      <c r="K40" s="15">
        <f t="shared" si="39"/>
        <v>963348.19842804945</v>
      </c>
      <c r="L40" s="14">
        <f t="shared" si="39"/>
        <v>1058012.3991822728</v>
      </c>
      <c r="M40" s="13">
        <f t="shared" si="39"/>
        <v>2214451.4952649926</v>
      </c>
      <c r="O40" s="74">
        <v>6.1387457427191858E-2</v>
      </c>
      <c r="P40" s="120">
        <f t="shared" si="2"/>
        <v>0</v>
      </c>
      <c r="Q40" s="160">
        <f t="shared" si="3"/>
        <v>15454048.121841587</v>
      </c>
      <c r="S40" s="206">
        <f t="shared" si="4"/>
        <v>1027995.6264514998</v>
      </c>
      <c r="T40" s="202"/>
      <c r="U40" s="203"/>
    </row>
    <row r="41" spans="1:21" x14ac:dyDescent="0.2">
      <c r="A41" s="20">
        <v>3625</v>
      </c>
      <c r="B41" s="19" t="s">
        <v>38</v>
      </c>
      <c r="C41" s="55">
        <f t="shared" si="0"/>
        <v>565695.15448993898</v>
      </c>
      <c r="D41" s="15">
        <f t="shared" ref="D41:M41" si="40">D84/$C$86*$C$43</f>
        <v>0</v>
      </c>
      <c r="E41" s="14">
        <f t="shared" si="40"/>
        <v>30261.19010679964</v>
      </c>
      <c r="F41" s="14">
        <f t="shared" si="40"/>
        <v>14715.117694721273</v>
      </c>
      <c r="G41" s="13">
        <f t="shared" si="40"/>
        <v>0</v>
      </c>
      <c r="H41" s="15">
        <f t="shared" si="40"/>
        <v>0</v>
      </c>
      <c r="I41" s="13">
        <f t="shared" si="40"/>
        <v>0</v>
      </c>
      <c r="J41" s="16">
        <f t="shared" si="40"/>
        <v>296751.712177885</v>
      </c>
      <c r="K41" s="15">
        <f t="shared" si="40"/>
        <v>77373.912684417868</v>
      </c>
      <c r="L41" s="14">
        <f t="shared" si="40"/>
        <v>36727.322932717958</v>
      </c>
      <c r="M41" s="13">
        <f t="shared" si="40"/>
        <v>109865.89889339729</v>
      </c>
      <c r="O41" s="74">
        <v>2.5717361648878246E-3</v>
      </c>
      <c r="P41" s="120">
        <f t="shared" si="2"/>
        <v>0</v>
      </c>
      <c r="Q41" s="160">
        <f t="shared" si="3"/>
        <v>565695.15448993898</v>
      </c>
      <c r="S41" s="206">
        <f t="shared" si="4"/>
        <v>-38662.844258699799</v>
      </c>
      <c r="T41" s="202"/>
      <c r="U41" s="203"/>
    </row>
    <row r="42" spans="1:21" x14ac:dyDescent="0.2">
      <c r="A42" s="20">
        <v>20</v>
      </c>
      <c r="B42" s="19" t="s">
        <v>37</v>
      </c>
      <c r="C42" s="64">
        <f t="shared" si="0"/>
        <v>540558.22740472574</v>
      </c>
      <c r="D42" s="15">
        <f t="shared" ref="D42:M42" si="41">D85/$C$86*$C$43</f>
        <v>0</v>
      </c>
      <c r="E42" s="14">
        <f t="shared" si="41"/>
        <v>27275.202086980204</v>
      </c>
      <c r="F42" s="14">
        <f t="shared" si="41"/>
        <v>173505.34914515296</v>
      </c>
      <c r="G42" s="13">
        <f t="shared" si="41"/>
        <v>0</v>
      </c>
      <c r="H42" s="15">
        <f t="shared" si="41"/>
        <v>0</v>
      </c>
      <c r="I42" s="13">
        <f t="shared" si="41"/>
        <v>0</v>
      </c>
      <c r="J42" s="16">
        <f t="shared" si="41"/>
        <v>262161.02180132171</v>
      </c>
      <c r="K42" s="15">
        <f t="shared" si="41"/>
        <v>59319.999724720372</v>
      </c>
      <c r="L42" s="14">
        <f t="shared" si="41"/>
        <v>17573.486704467461</v>
      </c>
      <c r="M42" s="13">
        <f t="shared" si="41"/>
        <v>723.16794208312126</v>
      </c>
      <c r="O42" s="74">
        <v>1.4792799135503695E-3</v>
      </c>
      <c r="P42" s="120">
        <f t="shared" si="2"/>
        <v>0</v>
      </c>
      <c r="Q42" s="160">
        <f t="shared" si="3"/>
        <v>540558.22740472574</v>
      </c>
      <c r="S42" s="206">
        <f t="shared" si="4"/>
        <v>192927.44772038888</v>
      </c>
      <c r="T42" s="202"/>
      <c r="U42" s="203"/>
    </row>
    <row r="43" spans="1:21" ht="13.5" thickBot="1" x14ac:dyDescent="0.25">
      <c r="A43" s="12"/>
      <c r="B43" s="11" t="s">
        <v>11</v>
      </c>
      <c r="C43" s="62">
        <f>Q43-P43</f>
        <v>234561578.75183037</v>
      </c>
      <c r="D43" s="62">
        <f t="shared" ref="D43:M43" si="42">SUM(D5:D42)</f>
        <v>0</v>
      </c>
      <c r="E43" s="61">
        <f t="shared" si="42"/>
        <v>67634970.345910355</v>
      </c>
      <c r="F43" s="61">
        <f t="shared" si="42"/>
        <v>1747062.7155021653</v>
      </c>
      <c r="G43" s="60">
        <f t="shared" si="42"/>
        <v>0</v>
      </c>
      <c r="H43" s="62">
        <f t="shared" si="42"/>
        <v>0</v>
      </c>
      <c r="I43" s="60">
        <f t="shared" si="42"/>
        <v>0</v>
      </c>
      <c r="J43" s="63">
        <f t="shared" si="42"/>
        <v>93657834.177478373</v>
      </c>
      <c r="K43" s="62">
        <f t="shared" si="42"/>
        <v>19025277.955189794</v>
      </c>
      <c r="L43" s="61">
        <f t="shared" si="42"/>
        <v>17894961.404595401</v>
      </c>
      <c r="M43" s="60">
        <f t="shared" si="42"/>
        <v>34601472.153154343</v>
      </c>
      <c r="O43" s="161">
        <f>SUM(O5:O42)</f>
        <v>1.0000000000000002</v>
      </c>
      <c r="P43" s="119">
        <f>SUM(P5:P42)</f>
        <v>438421.24816962722</v>
      </c>
      <c r="Q43" s="162">
        <v>235000000</v>
      </c>
      <c r="S43" s="207">
        <f t="shared" si="4"/>
        <v>0</v>
      </c>
      <c r="T43" s="202"/>
      <c r="U43" s="203"/>
    </row>
    <row r="44" spans="1:21" ht="13.5" thickBot="1" x14ac:dyDescent="0.25">
      <c r="A44" s="59"/>
      <c r="C44" s="88"/>
      <c r="D44" s="89"/>
      <c r="E44" s="58"/>
      <c r="F44" s="58"/>
      <c r="G44" s="58"/>
      <c r="H44" s="58"/>
      <c r="I44" s="58"/>
      <c r="J44" s="58"/>
      <c r="K44" s="58"/>
      <c r="L44" s="58"/>
      <c r="M44" s="58"/>
      <c r="O44" s="163" t="s">
        <v>91</v>
      </c>
      <c r="P44" s="164">
        <v>5.0000000000000001E-3</v>
      </c>
      <c r="Q44" s="165"/>
    </row>
    <row r="45" spans="1:21" ht="13.5" thickBot="1" x14ac:dyDescent="0.25">
      <c r="A45" s="57" t="s">
        <v>76</v>
      </c>
    </row>
    <row r="46" spans="1:21" ht="12.75" customHeight="1" outlineLevel="1" x14ac:dyDescent="0.2">
      <c r="A46" s="234" t="s">
        <v>24</v>
      </c>
      <c r="B46" s="236" t="s">
        <v>23</v>
      </c>
      <c r="C46" s="238" t="s">
        <v>36</v>
      </c>
      <c r="D46" s="247" t="s">
        <v>35</v>
      </c>
      <c r="E46" s="248"/>
      <c r="F46" s="248"/>
      <c r="G46" s="249"/>
      <c r="H46" s="250" t="s">
        <v>18</v>
      </c>
      <c r="I46" s="225" t="s">
        <v>17</v>
      </c>
      <c r="J46" s="227" t="s">
        <v>16</v>
      </c>
      <c r="K46" s="229" t="s">
        <v>34</v>
      </c>
      <c r="L46" s="230"/>
      <c r="M46" s="231"/>
      <c r="N46" s="277"/>
    </row>
    <row r="47" spans="1:21" ht="51.75" outlineLevel="1" thickBot="1" x14ac:dyDescent="0.25">
      <c r="A47" s="273"/>
      <c r="B47" s="270"/>
      <c r="C47" s="274"/>
      <c r="D47" s="152"/>
      <c r="E47" s="123" t="s">
        <v>33</v>
      </c>
      <c r="F47" s="123" t="s">
        <v>32</v>
      </c>
      <c r="G47" s="209" t="s">
        <v>31</v>
      </c>
      <c r="H47" s="264"/>
      <c r="I47" s="265"/>
      <c r="J47" s="266"/>
      <c r="K47" s="125" t="s">
        <v>14</v>
      </c>
      <c r="L47" s="126" t="s">
        <v>13</v>
      </c>
      <c r="M47" s="135" t="s">
        <v>12</v>
      </c>
      <c r="N47" s="277"/>
    </row>
    <row r="48" spans="1:21" outlineLevel="1" x14ac:dyDescent="0.2">
      <c r="A48" s="20">
        <f t="shared" ref="A48:B67" si="43">A5</f>
        <v>3656</v>
      </c>
      <c r="B48" s="19" t="str">
        <f t="shared" si="43"/>
        <v>UTA</v>
      </c>
      <c r="C48" s="55">
        <f t="shared" ref="C48:C85" si="44">SUM(D48:M48)</f>
        <v>16134.732235347561</v>
      </c>
      <c r="D48" s="15">
        <f t="shared" ref="D48:M48" si="45">D90*D177</f>
        <v>0</v>
      </c>
      <c r="E48" s="14">
        <f t="shared" si="45"/>
        <v>4551.7441666666673</v>
      </c>
      <c r="F48" s="14">
        <f t="shared" si="45"/>
        <v>37.004735347560356</v>
      </c>
      <c r="G48" s="13">
        <f t="shared" si="45"/>
        <v>0</v>
      </c>
      <c r="H48" s="36">
        <f t="shared" si="45"/>
        <v>0</v>
      </c>
      <c r="I48" s="35">
        <f t="shared" si="45"/>
        <v>0</v>
      </c>
      <c r="J48" s="34">
        <f t="shared" si="45"/>
        <v>7478.4</v>
      </c>
      <c r="K48" s="36">
        <f t="shared" si="45"/>
        <v>2324.3533333333335</v>
      </c>
      <c r="L48" s="56">
        <f t="shared" si="45"/>
        <v>958.41666666666663</v>
      </c>
      <c r="M48" s="35">
        <f t="shared" si="45"/>
        <v>784.8133333333335</v>
      </c>
      <c r="N48" s="153"/>
    </row>
    <row r="49" spans="1:14" outlineLevel="1" x14ac:dyDescent="0.2">
      <c r="A49" s="20">
        <f t="shared" si="43"/>
        <v>3658</v>
      </c>
      <c r="B49" s="19" t="str">
        <f t="shared" si="43"/>
        <v>UT</v>
      </c>
      <c r="C49" s="55">
        <f t="shared" si="44"/>
        <v>32787.827148409742</v>
      </c>
      <c r="D49" s="15">
        <f t="shared" ref="D49:M49" si="46">D91*D178</f>
        <v>0</v>
      </c>
      <c r="E49" s="14">
        <f t="shared" si="46"/>
        <v>15574.671700000003</v>
      </c>
      <c r="F49" s="14">
        <f t="shared" si="46"/>
        <v>33.122115076405848</v>
      </c>
      <c r="G49" s="13">
        <f t="shared" si="46"/>
        <v>0</v>
      </c>
      <c r="H49" s="15">
        <f t="shared" si="46"/>
        <v>0</v>
      </c>
      <c r="I49" s="13">
        <f t="shared" si="46"/>
        <v>0</v>
      </c>
      <c r="J49" s="16">
        <f t="shared" si="46"/>
        <v>5552.5333333333338</v>
      </c>
      <c r="K49" s="15">
        <f t="shared" si="46"/>
        <v>1631.7166666666669</v>
      </c>
      <c r="L49" s="14">
        <f t="shared" si="46"/>
        <v>2251.4166666666665</v>
      </c>
      <c r="M49" s="13">
        <f t="shared" si="46"/>
        <v>7744.3666666666668</v>
      </c>
      <c r="N49" s="85"/>
    </row>
    <row r="50" spans="1:14" outlineLevel="1" x14ac:dyDescent="0.2">
      <c r="A50" s="20">
        <f t="shared" si="43"/>
        <v>9741</v>
      </c>
      <c r="B50" s="19" t="str">
        <f t="shared" si="43"/>
        <v>UTD</v>
      </c>
      <c r="C50" s="55">
        <f t="shared" si="44"/>
        <v>8315.7264339791309</v>
      </c>
      <c r="D50" s="15">
        <f t="shared" ref="D50:M50" si="47">D92*D179</f>
        <v>0</v>
      </c>
      <c r="E50" s="14">
        <f t="shared" si="47"/>
        <v>3532.7858999999999</v>
      </c>
      <c r="F50" s="14">
        <f t="shared" si="47"/>
        <v>33.537200645797832</v>
      </c>
      <c r="G50" s="13">
        <f t="shared" si="47"/>
        <v>0</v>
      </c>
      <c r="H50" s="15">
        <f t="shared" si="47"/>
        <v>0</v>
      </c>
      <c r="I50" s="13">
        <f t="shared" si="47"/>
        <v>0</v>
      </c>
      <c r="J50" s="16">
        <f t="shared" si="47"/>
        <v>2639.3333333333335</v>
      </c>
      <c r="K50" s="15">
        <f t="shared" si="47"/>
        <v>1127.1000000000001</v>
      </c>
      <c r="L50" s="14">
        <f t="shared" si="47"/>
        <v>533.58333333333337</v>
      </c>
      <c r="M50" s="13">
        <f t="shared" si="47"/>
        <v>449.38666666666671</v>
      </c>
      <c r="N50" s="85"/>
    </row>
    <row r="51" spans="1:14" outlineLevel="1" x14ac:dyDescent="0.2">
      <c r="A51" s="20">
        <f t="shared" si="43"/>
        <v>3661</v>
      </c>
      <c r="B51" s="19" t="str">
        <f t="shared" si="43"/>
        <v>UTEP</v>
      </c>
      <c r="C51" s="55">
        <f t="shared" si="44"/>
        <v>11349.802951503363</v>
      </c>
      <c r="D51" s="15">
        <f t="shared" ref="D51:M51" si="48">D93*D180</f>
        <v>0</v>
      </c>
      <c r="E51" s="14">
        <f t="shared" si="48"/>
        <v>834.56099999999992</v>
      </c>
      <c r="F51" s="14">
        <f t="shared" si="48"/>
        <v>28.588618170029179</v>
      </c>
      <c r="G51" s="13">
        <f t="shared" si="48"/>
        <v>0</v>
      </c>
      <c r="H51" s="15">
        <f t="shared" si="48"/>
        <v>0</v>
      </c>
      <c r="I51" s="13">
        <f t="shared" si="48"/>
        <v>0</v>
      </c>
      <c r="J51" s="16">
        <f t="shared" si="48"/>
        <v>5914.4000000000005</v>
      </c>
      <c r="K51" s="15">
        <f t="shared" si="48"/>
        <v>741.65333333333342</v>
      </c>
      <c r="L51" s="14">
        <f t="shared" si="48"/>
        <v>1679</v>
      </c>
      <c r="M51" s="13">
        <f t="shared" si="48"/>
        <v>2151.6000000000004</v>
      </c>
      <c r="N51" s="85"/>
    </row>
    <row r="52" spans="1:14" outlineLevel="1" x14ac:dyDescent="0.2">
      <c r="A52" s="20">
        <f t="shared" si="43"/>
        <v>3599</v>
      </c>
      <c r="B52" s="19" t="str">
        <f t="shared" si="43"/>
        <v>UTPA</v>
      </c>
      <c r="C52" s="55">
        <f t="shared" si="44"/>
        <v>10794.460946457704</v>
      </c>
      <c r="D52" s="15">
        <f t="shared" ref="D52:M52" si="49">D94*D181</f>
        <v>0</v>
      </c>
      <c r="E52" s="14">
        <f t="shared" si="49"/>
        <v>1556.7720000000002</v>
      </c>
      <c r="F52" s="14">
        <f t="shared" si="49"/>
        <v>25.615613124372295</v>
      </c>
      <c r="G52" s="13">
        <f t="shared" si="49"/>
        <v>0</v>
      </c>
      <c r="H52" s="15">
        <f t="shared" si="49"/>
        <v>0</v>
      </c>
      <c r="I52" s="13">
        <f t="shared" si="49"/>
        <v>0</v>
      </c>
      <c r="J52" s="16">
        <f t="shared" si="49"/>
        <v>5612</v>
      </c>
      <c r="K52" s="15">
        <f t="shared" si="49"/>
        <v>692.80666666666673</v>
      </c>
      <c r="L52" s="14">
        <f t="shared" si="49"/>
        <v>774</v>
      </c>
      <c r="M52" s="13">
        <f t="shared" si="49"/>
        <v>2133.2666666666669</v>
      </c>
      <c r="N52" s="85"/>
    </row>
    <row r="53" spans="1:14" outlineLevel="1" x14ac:dyDescent="0.2">
      <c r="A53" s="20">
        <f t="shared" si="43"/>
        <v>30646</v>
      </c>
      <c r="B53" s="19" t="str">
        <f t="shared" si="43"/>
        <v>UTB</v>
      </c>
      <c r="C53" s="55">
        <f t="shared" si="44"/>
        <v>4045.6355421529597</v>
      </c>
      <c r="D53" s="15">
        <f t="shared" ref="D53:M53" si="50">D95*D182</f>
        <v>0</v>
      </c>
      <c r="E53" s="14">
        <f t="shared" si="50"/>
        <v>1099.299117897785</v>
      </c>
      <c r="F53" s="14">
        <f t="shared" si="50"/>
        <v>86.153090921841567</v>
      </c>
      <c r="G53" s="13">
        <f t="shared" si="50"/>
        <v>0</v>
      </c>
      <c r="H53" s="15">
        <f t="shared" si="50"/>
        <v>0</v>
      </c>
      <c r="I53" s="13">
        <f t="shared" si="50"/>
        <v>0</v>
      </c>
      <c r="J53" s="16">
        <f t="shared" si="50"/>
        <v>2248</v>
      </c>
      <c r="K53" s="15">
        <f t="shared" si="50"/>
        <v>450.95333333333332</v>
      </c>
      <c r="L53" s="14">
        <f t="shared" si="50"/>
        <v>139.08333333333334</v>
      </c>
      <c r="M53" s="13">
        <f t="shared" si="50"/>
        <v>22.146666666666672</v>
      </c>
      <c r="N53" s="85"/>
    </row>
    <row r="54" spans="1:14" outlineLevel="1" x14ac:dyDescent="0.2">
      <c r="A54" s="20">
        <f t="shared" si="43"/>
        <v>9930</v>
      </c>
      <c r="B54" s="19" t="str">
        <f t="shared" si="43"/>
        <v>UTPB</v>
      </c>
      <c r="C54" s="55">
        <f t="shared" si="44"/>
        <v>1876.4564683040574</v>
      </c>
      <c r="D54" s="15">
        <f t="shared" ref="D54:M54" si="51">D96*D183</f>
        <v>0</v>
      </c>
      <c r="E54" s="14">
        <f t="shared" si="51"/>
        <v>414.40000000000003</v>
      </c>
      <c r="F54" s="14">
        <f t="shared" si="51"/>
        <v>28.906468304057512</v>
      </c>
      <c r="G54" s="13">
        <f t="shared" si="51"/>
        <v>0</v>
      </c>
      <c r="H54" s="15">
        <f t="shared" si="51"/>
        <v>0</v>
      </c>
      <c r="I54" s="13">
        <f t="shared" si="51"/>
        <v>0</v>
      </c>
      <c r="J54" s="16">
        <f t="shared" si="51"/>
        <v>957.59999999999991</v>
      </c>
      <c r="K54" s="15">
        <f t="shared" si="51"/>
        <v>267.12666666666667</v>
      </c>
      <c r="L54" s="14">
        <f t="shared" si="51"/>
        <v>122.91666666666669</v>
      </c>
      <c r="M54" s="13">
        <f t="shared" si="51"/>
        <v>85.506666666666689</v>
      </c>
      <c r="N54" s="85"/>
    </row>
    <row r="55" spans="1:14" outlineLevel="1" x14ac:dyDescent="0.2">
      <c r="A55" s="20">
        <f t="shared" si="43"/>
        <v>10115</v>
      </c>
      <c r="B55" s="19" t="str">
        <f t="shared" si="43"/>
        <v>UTSA</v>
      </c>
      <c r="C55" s="55">
        <f t="shared" si="44"/>
        <v>15142.918653737821</v>
      </c>
      <c r="D55" s="15">
        <f t="shared" ref="D55:M55" si="52">D97*D184</f>
        <v>0</v>
      </c>
      <c r="E55" s="14">
        <f t="shared" si="52"/>
        <v>3039.9706944444447</v>
      </c>
      <c r="F55" s="14">
        <f t="shared" si="52"/>
        <v>25.301292626710506</v>
      </c>
      <c r="G55" s="13">
        <f t="shared" si="52"/>
        <v>0</v>
      </c>
      <c r="H55" s="15">
        <f t="shared" si="52"/>
        <v>0</v>
      </c>
      <c r="I55" s="13">
        <f t="shared" si="52"/>
        <v>0</v>
      </c>
      <c r="J55" s="16">
        <f t="shared" si="52"/>
        <v>7496.7999999999993</v>
      </c>
      <c r="K55" s="15">
        <f t="shared" si="52"/>
        <v>2315.2866666666669</v>
      </c>
      <c r="L55" s="14">
        <f t="shared" si="52"/>
        <v>1114.6666666666667</v>
      </c>
      <c r="M55" s="13">
        <f t="shared" si="52"/>
        <v>1150.8933333333334</v>
      </c>
      <c r="N55" s="85"/>
    </row>
    <row r="56" spans="1:14" outlineLevel="1" x14ac:dyDescent="0.2">
      <c r="A56" s="20">
        <f t="shared" si="43"/>
        <v>11163</v>
      </c>
      <c r="B56" s="19" t="str">
        <f t="shared" si="43"/>
        <v>UTT</v>
      </c>
      <c r="C56" s="55">
        <f t="shared" si="44"/>
        <v>4253.3255089797731</v>
      </c>
      <c r="D56" s="15">
        <f t="shared" ref="D56:M56" si="53">D98*D185</f>
        <v>0</v>
      </c>
      <c r="E56" s="14">
        <f t="shared" si="53"/>
        <v>1073.8758333333335</v>
      </c>
      <c r="F56" s="14">
        <f t="shared" si="53"/>
        <v>36.569675646439869</v>
      </c>
      <c r="G56" s="13">
        <f t="shared" si="53"/>
        <v>0</v>
      </c>
      <c r="H56" s="15">
        <f t="shared" si="53"/>
        <v>0</v>
      </c>
      <c r="I56" s="13">
        <f t="shared" si="53"/>
        <v>0</v>
      </c>
      <c r="J56" s="16">
        <f t="shared" si="53"/>
        <v>2261.6</v>
      </c>
      <c r="K56" s="15">
        <f t="shared" si="53"/>
        <v>488.3533333333333</v>
      </c>
      <c r="L56" s="14">
        <f t="shared" si="53"/>
        <v>222.5</v>
      </c>
      <c r="M56" s="13">
        <f t="shared" si="53"/>
        <v>170.42666666666668</v>
      </c>
      <c r="N56" s="85"/>
    </row>
    <row r="57" spans="1:14" outlineLevel="1" x14ac:dyDescent="0.2">
      <c r="A57" s="20">
        <f t="shared" si="43"/>
        <v>3632</v>
      </c>
      <c r="B57" s="19" t="str">
        <f t="shared" si="43"/>
        <v>TAMU</v>
      </c>
      <c r="C57" s="55">
        <f t="shared" si="44"/>
        <v>32943.539891546883</v>
      </c>
      <c r="D57" s="15">
        <f t="shared" ref="D57:M57" si="54">D99*D186</f>
        <v>0</v>
      </c>
      <c r="E57" s="14">
        <f t="shared" si="54"/>
        <v>15429.00753333333</v>
      </c>
      <c r="F57" s="14">
        <f t="shared" si="54"/>
        <v>31.552358213553351</v>
      </c>
      <c r="G57" s="13">
        <f t="shared" si="54"/>
        <v>0</v>
      </c>
      <c r="H57" s="15">
        <f t="shared" si="54"/>
        <v>0</v>
      </c>
      <c r="I57" s="13">
        <f t="shared" si="54"/>
        <v>0</v>
      </c>
      <c r="J57" s="16">
        <f t="shared" si="54"/>
        <v>5958.4000000000005</v>
      </c>
      <c r="K57" s="15">
        <f t="shared" si="54"/>
        <v>1710.3133333333333</v>
      </c>
      <c r="L57" s="14">
        <f t="shared" si="54"/>
        <v>2226.8333333333335</v>
      </c>
      <c r="M57" s="13">
        <f t="shared" si="54"/>
        <v>7587.4333333333343</v>
      </c>
      <c r="N57" s="85"/>
    </row>
    <row r="58" spans="1:14" outlineLevel="1" x14ac:dyDescent="0.2">
      <c r="A58" s="20">
        <f t="shared" si="43"/>
        <v>10298</v>
      </c>
      <c r="B58" s="19" t="str">
        <f t="shared" si="43"/>
        <v>TAMUG</v>
      </c>
      <c r="C58" s="55">
        <f t="shared" si="44"/>
        <v>1647.9688563108853</v>
      </c>
      <c r="D58" s="15">
        <f t="shared" ref="D58:M58" si="55">D100*D187*1.5</f>
        <v>0</v>
      </c>
      <c r="E58" s="14">
        <f t="shared" si="55"/>
        <v>453.40516666666667</v>
      </c>
      <c r="F58" s="14">
        <f t="shared" si="55"/>
        <v>30.748689644218551</v>
      </c>
      <c r="G58" s="13">
        <f t="shared" si="55"/>
        <v>0</v>
      </c>
      <c r="H58" s="15">
        <f t="shared" si="55"/>
        <v>0</v>
      </c>
      <c r="I58" s="13">
        <f t="shared" si="55"/>
        <v>0</v>
      </c>
      <c r="J58" s="16">
        <f t="shared" si="55"/>
        <v>568.79999999999995</v>
      </c>
      <c r="K58" s="15">
        <f t="shared" si="55"/>
        <v>151.04500000000002</v>
      </c>
      <c r="L58" s="14">
        <f t="shared" si="55"/>
        <v>119.25</v>
      </c>
      <c r="M58" s="13">
        <f t="shared" si="55"/>
        <v>324.72000000000003</v>
      </c>
      <c r="N58" s="85"/>
    </row>
    <row r="59" spans="1:14" outlineLevel="1" x14ac:dyDescent="0.2">
      <c r="A59" s="20">
        <f t="shared" si="43"/>
        <v>3630</v>
      </c>
      <c r="B59" s="19" t="str">
        <f t="shared" si="43"/>
        <v>Prairie View</v>
      </c>
      <c r="C59" s="55">
        <f t="shared" si="44"/>
        <v>4059.7089989205101</v>
      </c>
      <c r="D59" s="15">
        <f t="shared" ref="D59:M59" si="56">D101*D188</f>
        <v>0</v>
      </c>
      <c r="E59" s="14">
        <f t="shared" si="56"/>
        <v>243.60272222222221</v>
      </c>
      <c r="F59" s="14">
        <f t="shared" si="56"/>
        <v>19.77961003162109</v>
      </c>
      <c r="G59" s="13">
        <f t="shared" si="56"/>
        <v>0</v>
      </c>
      <c r="H59" s="15">
        <f t="shared" si="56"/>
        <v>0</v>
      </c>
      <c r="I59" s="13">
        <f t="shared" si="56"/>
        <v>0</v>
      </c>
      <c r="J59" s="16">
        <f t="shared" si="56"/>
        <v>1926.3999999999999</v>
      </c>
      <c r="K59" s="15">
        <f t="shared" si="56"/>
        <v>283.56</v>
      </c>
      <c r="L59" s="14">
        <f t="shared" si="56"/>
        <v>590.5</v>
      </c>
      <c r="M59" s="13">
        <f t="shared" si="56"/>
        <v>995.86666666666679</v>
      </c>
      <c r="N59" s="85"/>
    </row>
    <row r="60" spans="1:14" outlineLevel="1" x14ac:dyDescent="0.2">
      <c r="A60" s="20">
        <f t="shared" si="43"/>
        <v>3631</v>
      </c>
      <c r="B60" s="19" t="str">
        <f t="shared" si="43"/>
        <v>Tarleton</v>
      </c>
      <c r="C60" s="55">
        <f t="shared" si="44"/>
        <v>5648.9210430237408</v>
      </c>
      <c r="D60" s="15">
        <f t="shared" ref="D60:M60" si="57">D102*D189</f>
        <v>0</v>
      </c>
      <c r="E60" s="14">
        <f t="shared" si="57"/>
        <v>1292.6713333333335</v>
      </c>
      <c r="F60" s="14">
        <f t="shared" si="57"/>
        <v>30.699709690407076</v>
      </c>
      <c r="G60" s="13">
        <f t="shared" si="57"/>
        <v>0</v>
      </c>
      <c r="H60" s="15">
        <f t="shared" si="57"/>
        <v>0</v>
      </c>
      <c r="I60" s="13">
        <f t="shared" si="57"/>
        <v>0</v>
      </c>
      <c r="J60" s="16">
        <f t="shared" si="57"/>
        <v>2868</v>
      </c>
      <c r="K60" s="15">
        <f t="shared" si="57"/>
        <v>366.23666666666668</v>
      </c>
      <c r="L60" s="14">
        <f t="shared" si="57"/>
        <v>332.16666666666674</v>
      </c>
      <c r="M60" s="13">
        <f t="shared" si="57"/>
        <v>759.14666666666676</v>
      </c>
      <c r="N60" s="85"/>
    </row>
    <row r="61" spans="1:14" outlineLevel="1" x14ac:dyDescent="0.2">
      <c r="A61" s="27">
        <f t="shared" si="43"/>
        <v>103631</v>
      </c>
      <c r="B61" s="19" t="str">
        <f t="shared" si="43"/>
        <v>TAMUCT</v>
      </c>
      <c r="C61" s="55">
        <f t="shared" si="44"/>
        <v>1640.1591261792121</v>
      </c>
      <c r="D61" s="15">
        <f t="shared" ref="D61:M61" si="58">D103*D190</f>
        <v>0</v>
      </c>
      <c r="E61" s="14">
        <f t="shared" si="58"/>
        <v>308.05506666666668</v>
      </c>
      <c r="F61" s="14">
        <f t="shared" si="58"/>
        <v>422.42405951254528</v>
      </c>
      <c r="G61" s="13">
        <f t="shared" si="58"/>
        <v>0</v>
      </c>
      <c r="H61" s="15">
        <f t="shared" si="58"/>
        <v>0</v>
      </c>
      <c r="I61" s="13">
        <f t="shared" si="58"/>
        <v>0</v>
      </c>
      <c r="J61" s="16">
        <f t="shared" si="58"/>
        <v>784.8</v>
      </c>
      <c r="K61" s="15">
        <f t="shared" si="58"/>
        <v>84.15</v>
      </c>
      <c r="L61" s="14">
        <f t="shared" si="58"/>
        <v>33.25</v>
      </c>
      <c r="M61" s="13">
        <f t="shared" si="58"/>
        <v>7.4800000000000013</v>
      </c>
      <c r="N61" s="85"/>
    </row>
    <row r="62" spans="1:14" outlineLevel="1" x14ac:dyDescent="0.2">
      <c r="A62" s="20">
        <f t="shared" si="43"/>
        <v>11161</v>
      </c>
      <c r="B62" s="19" t="str">
        <f t="shared" si="43"/>
        <v>TAMUCC</v>
      </c>
      <c r="C62" s="55">
        <f t="shared" si="44"/>
        <v>5342.0623092451924</v>
      </c>
      <c r="D62" s="15">
        <f t="shared" ref="D62:M62" si="59">D104*D191</f>
        <v>0</v>
      </c>
      <c r="E62" s="14">
        <f t="shared" si="59"/>
        <v>1234.2283333333332</v>
      </c>
      <c r="F62" s="14">
        <f t="shared" si="59"/>
        <v>26.720642578525968</v>
      </c>
      <c r="G62" s="13">
        <f t="shared" si="59"/>
        <v>0</v>
      </c>
      <c r="H62" s="15">
        <f t="shared" si="59"/>
        <v>0</v>
      </c>
      <c r="I62" s="13">
        <f t="shared" si="59"/>
        <v>0</v>
      </c>
      <c r="J62" s="16">
        <f t="shared" si="59"/>
        <v>2592</v>
      </c>
      <c r="K62" s="15">
        <f t="shared" si="59"/>
        <v>349.18</v>
      </c>
      <c r="L62" s="14">
        <f t="shared" si="59"/>
        <v>367</v>
      </c>
      <c r="M62" s="13">
        <f t="shared" si="59"/>
        <v>772.93333333333339</v>
      </c>
      <c r="N62" s="85"/>
    </row>
    <row r="63" spans="1:14" outlineLevel="1" x14ac:dyDescent="0.2">
      <c r="A63" s="20">
        <f t="shared" si="43"/>
        <v>3639</v>
      </c>
      <c r="B63" s="19" t="str">
        <f t="shared" si="43"/>
        <v>TAMUK</v>
      </c>
      <c r="C63" s="55">
        <f t="shared" si="44"/>
        <v>3045.8734295774648</v>
      </c>
      <c r="D63" s="15">
        <f t="shared" ref="D63:M63" si="60">D105*D192</f>
        <v>0</v>
      </c>
      <c r="E63" s="14">
        <f t="shared" si="60"/>
        <v>214.51072222222226</v>
      </c>
      <c r="F63" s="14">
        <f t="shared" si="60"/>
        <v>22.349374021909235</v>
      </c>
      <c r="G63" s="13">
        <f t="shared" si="60"/>
        <v>0</v>
      </c>
      <c r="H63" s="15">
        <f t="shared" si="60"/>
        <v>0</v>
      </c>
      <c r="I63" s="13">
        <f t="shared" si="60"/>
        <v>0</v>
      </c>
      <c r="J63" s="16">
        <f t="shared" si="60"/>
        <v>1556</v>
      </c>
      <c r="K63" s="15">
        <f t="shared" si="60"/>
        <v>208.64666666666668</v>
      </c>
      <c r="L63" s="14">
        <f t="shared" si="60"/>
        <v>429.83333333333331</v>
      </c>
      <c r="M63" s="13">
        <f t="shared" si="60"/>
        <v>614.5333333333333</v>
      </c>
      <c r="N63" s="85"/>
    </row>
    <row r="64" spans="1:14" outlineLevel="1" x14ac:dyDescent="0.2">
      <c r="A64" s="27">
        <f t="shared" si="43"/>
        <v>103639</v>
      </c>
      <c r="B64" s="19" t="str">
        <f t="shared" si="43"/>
        <v>TAMUSA</v>
      </c>
      <c r="C64" s="55">
        <f t="shared" si="44"/>
        <v>1962.5692284356494</v>
      </c>
      <c r="D64" s="15">
        <f t="shared" ref="D64:M64" si="61">D106*D193</f>
        <v>0</v>
      </c>
      <c r="E64" s="14">
        <f t="shared" si="61"/>
        <v>413.76630555555556</v>
      </c>
      <c r="F64" s="14">
        <f t="shared" si="61"/>
        <v>103.9962562134273</v>
      </c>
      <c r="G64" s="13">
        <f t="shared" si="61"/>
        <v>0</v>
      </c>
      <c r="H64" s="15">
        <f t="shared" si="61"/>
        <v>0</v>
      </c>
      <c r="I64" s="13">
        <f t="shared" si="61"/>
        <v>0</v>
      </c>
      <c r="J64" s="16">
        <f t="shared" si="61"/>
        <v>1176.8</v>
      </c>
      <c r="K64" s="15">
        <f t="shared" si="61"/>
        <v>248.08666666666664</v>
      </c>
      <c r="L64" s="14">
        <f t="shared" si="61"/>
        <v>19.333333333333332</v>
      </c>
      <c r="M64" s="13">
        <f t="shared" si="61"/>
        <v>0.58666666666666678</v>
      </c>
      <c r="N64" s="85"/>
    </row>
    <row r="65" spans="1:14" outlineLevel="1" x14ac:dyDescent="0.2">
      <c r="A65" s="20">
        <f t="shared" si="43"/>
        <v>9651</v>
      </c>
      <c r="B65" s="19" t="str">
        <f t="shared" si="43"/>
        <v>TAMI</v>
      </c>
      <c r="C65" s="55">
        <f t="shared" si="44"/>
        <v>3344.044915157448</v>
      </c>
      <c r="D65" s="15">
        <f t="shared" ref="D65:M65" si="62">D107*D194</f>
        <v>0</v>
      </c>
      <c r="E65" s="14">
        <f t="shared" si="62"/>
        <v>654.10722222222216</v>
      </c>
      <c r="F65" s="14">
        <f t="shared" si="62"/>
        <v>24.157692935225977</v>
      </c>
      <c r="G65" s="13">
        <f t="shared" si="62"/>
        <v>0</v>
      </c>
      <c r="H65" s="15">
        <f t="shared" si="62"/>
        <v>0</v>
      </c>
      <c r="I65" s="13">
        <f t="shared" si="62"/>
        <v>0</v>
      </c>
      <c r="J65" s="16">
        <f t="shared" si="62"/>
        <v>1710.3999999999999</v>
      </c>
      <c r="K65" s="15">
        <f t="shared" si="62"/>
        <v>239.13333333333335</v>
      </c>
      <c r="L65" s="14">
        <f t="shared" si="62"/>
        <v>507.83333333333331</v>
      </c>
      <c r="M65" s="13">
        <f t="shared" si="62"/>
        <v>208.41333333333338</v>
      </c>
      <c r="N65" s="85"/>
    </row>
    <row r="66" spans="1:14" outlineLevel="1" x14ac:dyDescent="0.2">
      <c r="A66" s="20">
        <f t="shared" si="43"/>
        <v>3665</v>
      </c>
      <c r="B66" s="19" t="str">
        <f t="shared" si="43"/>
        <v>WTAMU</v>
      </c>
      <c r="C66" s="55">
        <f t="shared" si="44"/>
        <v>4400.9554300953196</v>
      </c>
      <c r="D66" s="15">
        <f t="shared" ref="D66:M66" si="63">D108*D195</f>
        <v>0</v>
      </c>
      <c r="E66" s="14">
        <f t="shared" si="63"/>
        <v>1034.2507777777778</v>
      </c>
      <c r="F66" s="14">
        <f t="shared" si="63"/>
        <v>28.984652317541091</v>
      </c>
      <c r="G66" s="13">
        <f t="shared" si="63"/>
        <v>0</v>
      </c>
      <c r="H66" s="15">
        <f t="shared" si="63"/>
        <v>0</v>
      </c>
      <c r="I66" s="13">
        <f t="shared" si="63"/>
        <v>0</v>
      </c>
      <c r="J66" s="16">
        <f t="shared" si="63"/>
        <v>2134.4</v>
      </c>
      <c r="K66" s="15">
        <f t="shared" si="63"/>
        <v>609.16666666666674</v>
      </c>
      <c r="L66" s="14">
        <f t="shared" si="63"/>
        <v>303.16666666666669</v>
      </c>
      <c r="M66" s="13">
        <f t="shared" si="63"/>
        <v>290.98666666666674</v>
      </c>
      <c r="N66" s="85"/>
    </row>
    <row r="67" spans="1:14" outlineLevel="1" x14ac:dyDescent="0.2">
      <c r="A67" s="20">
        <f t="shared" si="43"/>
        <v>3565</v>
      </c>
      <c r="B67" s="19" t="str">
        <f t="shared" si="43"/>
        <v>TAMUC</v>
      </c>
      <c r="C67" s="55">
        <f t="shared" si="44"/>
        <v>4628.3609608700308</v>
      </c>
      <c r="D67" s="15">
        <f t="shared" ref="D67:M67" si="64">D109*D196</f>
        <v>0</v>
      </c>
      <c r="E67" s="14">
        <f t="shared" si="64"/>
        <v>1019.7366666666666</v>
      </c>
      <c r="F67" s="14">
        <f t="shared" si="64"/>
        <v>35.244294203364817</v>
      </c>
      <c r="G67" s="13">
        <f t="shared" si="64"/>
        <v>0</v>
      </c>
      <c r="H67" s="15">
        <f t="shared" si="64"/>
        <v>0</v>
      </c>
      <c r="I67" s="13">
        <f t="shared" si="64"/>
        <v>0</v>
      </c>
      <c r="J67" s="16">
        <f t="shared" si="64"/>
        <v>2446.4</v>
      </c>
      <c r="K67" s="15">
        <f t="shared" si="64"/>
        <v>643.62</v>
      </c>
      <c r="L67" s="14">
        <f t="shared" si="64"/>
        <v>284.33333333333331</v>
      </c>
      <c r="M67" s="13">
        <f t="shared" si="64"/>
        <v>199.02666666666667</v>
      </c>
      <c r="N67" s="85"/>
    </row>
    <row r="68" spans="1:14" outlineLevel="1" x14ac:dyDescent="0.2">
      <c r="A68" s="20">
        <f t="shared" ref="A68:B85" si="65">A25</f>
        <v>29269</v>
      </c>
      <c r="B68" s="19" t="str">
        <f t="shared" si="65"/>
        <v>TAMUT</v>
      </c>
      <c r="C68" s="55">
        <f t="shared" si="44"/>
        <v>1214.2622351579005</v>
      </c>
      <c r="D68" s="15">
        <f t="shared" ref="D68:M68" si="66">D110*D197</f>
        <v>0</v>
      </c>
      <c r="E68" s="14">
        <f t="shared" si="66"/>
        <v>327.88045945696564</v>
      </c>
      <c r="F68" s="14">
        <f t="shared" si="66"/>
        <v>193.8317757009346</v>
      </c>
      <c r="G68" s="13">
        <f t="shared" si="66"/>
        <v>0</v>
      </c>
      <c r="H68" s="15">
        <f t="shared" si="66"/>
        <v>0</v>
      </c>
      <c r="I68" s="13">
        <f t="shared" si="66"/>
        <v>0</v>
      </c>
      <c r="J68" s="16">
        <f t="shared" si="66"/>
        <v>573.6</v>
      </c>
      <c r="K68" s="15">
        <f t="shared" si="66"/>
        <v>73.553333333333327</v>
      </c>
      <c r="L68" s="14">
        <f t="shared" si="66"/>
        <v>45.25</v>
      </c>
      <c r="M68" s="13">
        <f t="shared" si="66"/>
        <v>0.1466666666666667</v>
      </c>
      <c r="N68" s="85"/>
    </row>
    <row r="69" spans="1:14" outlineLevel="1" x14ac:dyDescent="0.2">
      <c r="A69" s="20">
        <f t="shared" si="65"/>
        <v>3652</v>
      </c>
      <c r="B69" s="19" t="str">
        <f t="shared" si="65"/>
        <v>UH</v>
      </c>
      <c r="C69" s="55">
        <f t="shared" si="44"/>
        <v>18532.938200986424</v>
      </c>
      <c r="D69" s="15">
        <f t="shared" ref="D69:M69" si="67">D111*D198</f>
        <v>0</v>
      </c>
      <c r="E69" s="14">
        <f t="shared" si="67"/>
        <v>4785.5235555555555</v>
      </c>
      <c r="F69" s="14">
        <f t="shared" si="67"/>
        <v>26.781312097533284</v>
      </c>
      <c r="G69" s="13">
        <f t="shared" si="67"/>
        <v>0</v>
      </c>
      <c r="H69" s="15">
        <f t="shared" si="67"/>
        <v>0</v>
      </c>
      <c r="I69" s="13">
        <f t="shared" si="67"/>
        <v>0</v>
      </c>
      <c r="J69" s="16">
        <f t="shared" si="67"/>
        <v>8095.2</v>
      </c>
      <c r="K69" s="15">
        <f t="shared" si="67"/>
        <v>1292.3966666666665</v>
      </c>
      <c r="L69" s="14">
        <f t="shared" si="67"/>
        <v>1422.5833333333333</v>
      </c>
      <c r="M69" s="13">
        <f t="shared" si="67"/>
        <v>2910.4533333333338</v>
      </c>
      <c r="N69" s="85"/>
    </row>
    <row r="70" spans="1:14" outlineLevel="1" x14ac:dyDescent="0.2">
      <c r="A70" s="20">
        <f t="shared" si="65"/>
        <v>11711</v>
      </c>
      <c r="B70" s="19" t="str">
        <f t="shared" si="65"/>
        <v>UHCL</v>
      </c>
      <c r="C70" s="55">
        <f t="shared" si="44"/>
        <v>3767.3836721651383</v>
      </c>
      <c r="D70" s="15">
        <f t="shared" ref="D70:M70" si="68">D112*D199</f>
        <v>0</v>
      </c>
      <c r="E70" s="14">
        <f t="shared" si="68"/>
        <v>1083.8496888782297</v>
      </c>
      <c r="F70" s="14">
        <f t="shared" si="68"/>
        <v>99.233983286908085</v>
      </c>
      <c r="G70" s="13">
        <f t="shared" si="68"/>
        <v>0</v>
      </c>
      <c r="H70" s="15">
        <f t="shared" si="68"/>
        <v>0</v>
      </c>
      <c r="I70" s="13">
        <f t="shared" si="68"/>
        <v>0</v>
      </c>
      <c r="J70" s="16">
        <f t="shared" si="68"/>
        <v>1858.4</v>
      </c>
      <c r="K70" s="15">
        <f t="shared" si="68"/>
        <v>236.52666666666664</v>
      </c>
      <c r="L70" s="14">
        <f t="shared" si="68"/>
        <v>476.83333333333331</v>
      </c>
      <c r="M70" s="13">
        <f t="shared" si="68"/>
        <v>12.540000000000001</v>
      </c>
      <c r="N70" s="85"/>
    </row>
    <row r="71" spans="1:14" outlineLevel="1" x14ac:dyDescent="0.2">
      <c r="A71" s="20">
        <f t="shared" si="65"/>
        <v>12826</v>
      </c>
      <c r="B71" s="19" t="str">
        <f t="shared" si="65"/>
        <v>UHD</v>
      </c>
      <c r="C71" s="55">
        <f t="shared" si="44"/>
        <v>6908.5282898288579</v>
      </c>
      <c r="D71" s="15">
        <f t="shared" ref="D71:M71" si="69">D113*D200</f>
        <v>0</v>
      </c>
      <c r="E71" s="14">
        <f t="shared" si="69"/>
        <v>316.85033333333342</v>
      </c>
      <c r="F71" s="14">
        <f t="shared" si="69"/>
        <v>37.291289828857671</v>
      </c>
      <c r="G71" s="13">
        <f t="shared" si="69"/>
        <v>0</v>
      </c>
      <c r="H71" s="15">
        <f t="shared" si="69"/>
        <v>0</v>
      </c>
      <c r="I71" s="13">
        <f t="shared" si="69"/>
        <v>0</v>
      </c>
      <c r="J71" s="16">
        <f t="shared" si="69"/>
        <v>4034.3999999999996</v>
      </c>
      <c r="K71" s="15">
        <f t="shared" si="69"/>
        <v>1319.7666666666667</v>
      </c>
      <c r="L71" s="14">
        <f t="shared" si="69"/>
        <v>934.16666666666663</v>
      </c>
      <c r="M71" s="13">
        <f t="shared" si="69"/>
        <v>266.05333333333334</v>
      </c>
      <c r="N71" s="85"/>
    </row>
    <row r="72" spans="1:14" outlineLevel="1" x14ac:dyDescent="0.2">
      <c r="A72" s="20">
        <f t="shared" si="65"/>
        <v>13231</v>
      </c>
      <c r="B72" s="19" t="str">
        <f t="shared" si="65"/>
        <v>UHV</v>
      </c>
      <c r="C72" s="55">
        <f t="shared" si="44"/>
        <v>1866.1436821991531</v>
      </c>
      <c r="D72" s="15">
        <f t="shared" ref="D72:M72" si="70">D114*D201</f>
        <v>0</v>
      </c>
      <c r="E72" s="14">
        <f t="shared" si="70"/>
        <v>525.3420599680062</v>
      </c>
      <c r="F72" s="14">
        <f t="shared" si="70"/>
        <v>100.21162223114709</v>
      </c>
      <c r="G72" s="13">
        <f t="shared" si="70"/>
        <v>0</v>
      </c>
      <c r="H72" s="15">
        <f t="shared" si="70"/>
        <v>0</v>
      </c>
      <c r="I72" s="13">
        <f t="shared" si="70"/>
        <v>0</v>
      </c>
      <c r="J72" s="16">
        <f t="shared" si="70"/>
        <v>921.59999999999991</v>
      </c>
      <c r="K72" s="15">
        <f t="shared" si="70"/>
        <v>243.44000000000003</v>
      </c>
      <c r="L72" s="14">
        <f t="shared" si="70"/>
        <v>74.083333333333329</v>
      </c>
      <c r="M72" s="13">
        <f t="shared" si="70"/>
        <v>1.4666666666666668</v>
      </c>
      <c r="N72" s="85"/>
    </row>
    <row r="73" spans="1:14" outlineLevel="1" x14ac:dyDescent="0.2">
      <c r="A73" s="20">
        <f t="shared" si="65"/>
        <v>3592</v>
      </c>
      <c r="B73" s="19" t="str">
        <f t="shared" si="65"/>
        <v>Midwestern</v>
      </c>
      <c r="C73" s="55">
        <f t="shared" si="44"/>
        <v>3584.199541573932</v>
      </c>
      <c r="D73" s="15">
        <f t="shared" ref="D73:M73" si="71">D115*D202</f>
        <v>0</v>
      </c>
      <c r="E73" s="14">
        <f t="shared" si="71"/>
        <v>793.17972222222215</v>
      </c>
      <c r="F73" s="14">
        <f t="shared" si="71"/>
        <v>30.153152685043253</v>
      </c>
      <c r="G73" s="13">
        <f t="shared" si="71"/>
        <v>0</v>
      </c>
      <c r="H73" s="15">
        <f t="shared" si="71"/>
        <v>0</v>
      </c>
      <c r="I73" s="13">
        <f t="shared" si="71"/>
        <v>0</v>
      </c>
      <c r="J73" s="16">
        <f t="shared" si="71"/>
        <v>1656.8</v>
      </c>
      <c r="K73" s="15">
        <f t="shared" si="71"/>
        <v>244.46</v>
      </c>
      <c r="L73" s="14">
        <f t="shared" si="71"/>
        <v>261.5</v>
      </c>
      <c r="M73" s="13">
        <f t="shared" si="71"/>
        <v>598.10666666666668</v>
      </c>
      <c r="N73" s="85"/>
    </row>
    <row r="74" spans="1:14" outlineLevel="1" x14ac:dyDescent="0.2">
      <c r="A74" s="20">
        <f t="shared" si="65"/>
        <v>3594</v>
      </c>
      <c r="B74" s="19" t="str">
        <f t="shared" si="65"/>
        <v>UNT</v>
      </c>
      <c r="C74" s="55">
        <f t="shared" si="44"/>
        <v>20952.805069596492</v>
      </c>
      <c r="D74" s="15">
        <f t="shared" ref="D74:M74" si="72">D116*D203</f>
        <v>0</v>
      </c>
      <c r="E74" s="14">
        <f t="shared" si="72"/>
        <v>6068.3097222222223</v>
      </c>
      <c r="F74" s="14">
        <f t="shared" si="72"/>
        <v>32.35868070760516</v>
      </c>
      <c r="G74" s="13">
        <f t="shared" si="72"/>
        <v>0</v>
      </c>
      <c r="H74" s="15">
        <f t="shared" si="72"/>
        <v>0</v>
      </c>
      <c r="I74" s="13">
        <f t="shared" si="72"/>
        <v>0</v>
      </c>
      <c r="J74" s="16">
        <f t="shared" si="72"/>
        <v>9168</v>
      </c>
      <c r="K74" s="15">
        <f t="shared" si="72"/>
        <v>1336.9933333333336</v>
      </c>
      <c r="L74" s="14">
        <f t="shared" si="72"/>
        <v>1410.5833333333333</v>
      </c>
      <c r="M74" s="13">
        <f t="shared" si="72"/>
        <v>2936.5600000000004</v>
      </c>
      <c r="N74" s="85"/>
    </row>
    <row r="75" spans="1:14" outlineLevel="1" x14ac:dyDescent="0.2">
      <c r="A75" s="27">
        <f t="shared" si="65"/>
        <v>113594</v>
      </c>
      <c r="B75" s="19" t="str">
        <f t="shared" si="65"/>
        <v>UNTD</v>
      </c>
      <c r="C75" s="55">
        <f t="shared" si="44"/>
        <v>1462.9785178269447</v>
      </c>
      <c r="D75" s="15">
        <f t="shared" ref="D75:M75" si="73">D117*D204</f>
        <v>0</v>
      </c>
      <c r="E75" s="14">
        <f t="shared" si="73"/>
        <v>407.78718750000002</v>
      </c>
      <c r="F75" s="14">
        <f t="shared" si="73"/>
        <v>213.23633032694477</v>
      </c>
      <c r="G75" s="13">
        <f t="shared" si="73"/>
        <v>0</v>
      </c>
      <c r="H75" s="15">
        <f t="shared" si="73"/>
        <v>0</v>
      </c>
      <c r="I75" s="13">
        <f t="shared" si="73"/>
        <v>0</v>
      </c>
      <c r="J75" s="16">
        <f t="shared" si="73"/>
        <v>740.4</v>
      </c>
      <c r="K75" s="15">
        <f t="shared" si="73"/>
        <v>81.260000000000005</v>
      </c>
      <c r="L75" s="14">
        <f t="shared" si="73"/>
        <v>17.875</v>
      </c>
      <c r="M75" s="13">
        <f t="shared" si="73"/>
        <v>2.4200000000000004</v>
      </c>
      <c r="N75" s="85"/>
    </row>
    <row r="76" spans="1:14" outlineLevel="1" x14ac:dyDescent="0.2">
      <c r="A76" s="20">
        <f t="shared" si="65"/>
        <v>3624</v>
      </c>
      <c r="B76" s="19" t="str">
        <f t="shared" si="65"/>
        <v>SFA</v>
      </c>
      <c r="C76" s="55">
        <f t="shared" si="44"/>
        <v>7612.3677637209385</v>
      </c>
      <c r="D76" s="15">
        <f t="shared" ref="D76:M76" si="74">D118*D205</f>
        <v>0</v>
      </c>
      <c r="E76" s="14">
        <f t="shared" si="74"/>
        <v>1863.0558333333331</v>
      </c>
      <c r="F76" s="14">
        <f t="shared" si="74"/>
        <v>25.321930387604894</v>
      </c>
      <c r="G76" s="13">
        <f t="shared" si="74"/>
        <v>0</v>
      </c>
      <c r="H76" s="15">
        <f t="shared" si="74"/>
        <v>0</v>
      </c>
      <c r="I76" s="13">
        <f t="shared" si="74"/>
        <v>0</v>
      </c>
      <c r="J76" s="16">
        <f t="shared" si="74"/>
        <v>3504.7999999999997</v>
      </c>
      <c r="K76" s="15">
        <f t="shared" si="74"/>
        <v>470.78666666666669</v>
      </c>
      <c r="L76" s="14">
        <f t="shared" si="74"/>
        <v>518.75</v>
      </c>
      <c r="M76" s="13">
        <f t="shared" si="74"/>
        <v>1229.6533333333334</v>
      </c>
      <c r="N76" s="85"/>
    </row>
    <row r="77" spans="1:14" outlineLevel="1" x14ac:dyDescent="0.2">
      <c r="A77" s="20">
        <f t="shared" si="65"/>
        <v>3642</v>
      </c>
      <c r="B77" s="19" t="str">
        <f t="shared" si="65"/>
        <v>TSU</v>
      </c>
      <c r="C77" s="55">
        <f t="shared" si="44"/>
        <v>3470.0101568191717</v>
      </c>
      <c r="D77" s="15">
        <f t="shared" ref="D77:M77" si="75">D119*D206</f>
        <v>0</v>
      </c>
      <c r="E77" s="14">
        <f t="shared" si="75"/>
        <v>76.263055555555553</v>
      </c>
      <c r="F77" s="14">
        <f t="shared" si="75"/>
        <v>16.167101263615898</v>
      </c>
      <c r="G77" s="13">
        <f t="shared" si="75"/>
        <v>0</v>
      </c>
      <c r="H77" s="15">
        <f t="shared" si="75"/>
        <v>0</v>
      </c>
      <c r="I77" s="13">
        <f t="shared" si="75"/>
        <v>0</v>
      </c>
      <c r="J77" s="16">
        <f t="shared" si="75"/>
        <v>1599.2</v>
      </c>
      <c r="K77" s="15">
        <f t="shared" si="75"/>
        <v>278.34666666666664</v>
      </c>
      <c r="L77" s="14">
        <f t="shared" si="75"/>
        <v>566.5</v>
      </c>
      <c r="M77" s="13">
        <f t="shared" si="75"/>
        <v>933.53333333333342</v>
      </c>
      <c r="N77" s="85"/>
    </row>
    <row r="78" spans="1:14" outlineLevel="1" x14ac:dyDescent="0.2">
      <c r="A78" s="20">
        <f t="shared" si="65"/>
        <v>3644</v>
      </c>
      <c r="B78" s="19" t="str">
        <f t="shared" si="65"/>
        <v>TTU</v>
      </c>
      <c r="C78" s="55">
        <f t="shared" si="44"/>
        <v>18661.476020575457</v>
      </c>
      <c r="D78" s="15">
        <f t="shared" ref="D78:M78" si="76">D120*D207</f>
        <v>0</v>
      </c>
      <c r="E78" s="14">
        <f t="shared" si="76"/>
        <v>7184.8727999999992</v>
      </c>
      <c r="F78" s="14">
        <f t="shared" si="76"/>
        <v>26.326553908791695</v>
      </c>
      <c r="G78" s="13">
        <f t="shared" si="76"/>
        <v>0</v>
      </c>
      <c r="H78" s="15">
        <f t="shared" si="76"/>
        <v>0</v>
      </c>
      <c r="I78" s="13">
        <f t="shared" si="76"/>
        <v>0</v>
      </c>
      <c r="J78" s="16">
        <f t="shared" si="76"/>
        <v>5556</v>
      </c>
      <c r="K78" s="15">
        <f t="shared" si="76"/>
        <v>1102.5066666666667</v>
      </c>
      <c r="L78" s="14">
        <f t="shared" si="76"/>
        <v>1319.5833333333333</v>
      </c>
      <c r="M78" s="13">
        <f t="shared" si="76"/>
        <v>3472.186666666667</v>
      </c>
      <c r="N78" s="85"/>
    </row>
    <row r="79" spans="1:14" outlineLevel="1" x14ac:dyDescent="0.2">
      <c r="A79" s="20">
        <f t="shared" si="65"/>
        <v>3541</v>
      </c>
      <c r="B79" s="19" t="str">
        <f t="shared" si="65"/>
        <v>Angelo</v>
      </c>
      <c r="C79" s="55">
        <f t="shared" si="44"/>
        <v>3638.3255036631081</v>
      </c>
      <c r="D79" s="15">
        <f t="shared" ref="D79:M79" si="77">D121*D208</f>
        <v>0</v>
      </c>
      <c r="E79" s="14">
        <f t="shared" si="77"/>
        <v>596.32004444444453</v>
      </c>
      <c r="F79" s="14">
        <f t="shared" si="77"/>
        <v>25.382125885330371</v>
      </c>
      <c r="G79" s="13">
        <f t="shared" si="77"/>
        <v>0</v>
      </c>
      <c r="H79" s="15">
        <f t="shared" si="77"/>
        <v>0</v>
      </c>
      <c r="I79" s="13">
        <f t="shared" si="77"/>
        <v>0</v>
      </c>
      <c r="J79" s="16">
        <f t="shared" si="77"/>
        <v>1735.2</v>
      </c>
      <c r="K79" s="15">
        <f t="shared" si="77"/>
        <v>244.57333333333338</v>
      </c>
      <c r="L79" s="14">
        <f t="shared" si="77"/>
        <v>258.41666666666669</v>
      </c>
      <c r="M79" s="13">
        <f t="shared" si="77"/>
        <v>778.43333333333339</v>
      </c>
      <c r="N79" s="85"/>
    </row>
    <row r="80" spans="1:14" outlineLevel="1" x14ac:dyDescent="0.2">
      <c r="A80" s="20">
        <f t="shared" si="65"/>
        <v>3646</v>
      </c>
      <c r="B80" s="19" t="str">
        <f t="shared" si="65"/>
        <v>TWU</v>
      </c>
      <c r="C80" s="55">
        <f t="shared" si="44"/>
        <v>6042.2571720354663</v>
      </c>
      <c r="D80" s="15">
        <f t="shared" ref="D80:M80" si="78">D122*D209</f>
        <v>0</v>
      </c>
      <c r="E80" s="14">
        <f t="shared" si="78"/>
        <v>1655.0485000000001</v>
      </c>
      <c r="F80" s="14">
        <f t="shared" si="78"/>
        <v>34.432005368799956</v>
      </c>
      <c r="G80" s="13">
        <f t="shared" si="78"/>
        <v>0</v>
      </c>
      <c r="H80" s="15">
        <f t="shared" si="78"/>
        <v>0</v>
      </c>
      <c r="I80" s="13">
        <f t="shared" si="78"/>
        <v>0</v>
      </c>
      <c r="J80" s="16">
        <f t="shared" si="78"/>
        <v>2992.7999999999997</v>
      </c>
      <c r="K80" s="15">
        <f t="shared" si="78"/>
        <v>746.64</v>
      </c>
      <c r="L80" s="14">
        <f t="shared" si="78"/>
        <v>323.08333333333331</v>
      </c>
      <c r="M80" s="13">
        <f t="shared" si="78"/>
        <v>290.25333333333333</v>
      </c>
      <c r="N80" s="85"/>
    </row>
    <row r="81" spans="1:14" outlineLevel="1" x14ac:dyDescent="0.2">
      <c r="A81" s="20">
        <f t="shared" si="65"/>
        <v>3581</v>
      </c>
      <c r="B81" s="19" t="str">
        <f t="shared" si="65"/>
        <v>Lamar</v>
      </c>
      <c r="C81" s="55">
        <f t="shared" si="44"/>
        <v>4848.4052392333424</v>
      </c>
      <c r="D81" s="15">
        <f t="shared" ref="D81:M81" si="79">D123*D210</f>
        <v>0</v>
      </c>
      <c r="E81" s="14">
        <f t="shared" si="79"/>
        <v>327.46824444444445</v>
      </c>
      <c r="F81" s="14">
        <f t="shared" si="79"/>
        <v>22.943661455565124</v>
      </c>
      <c r="G81" s="13">
        <f t="shared" si="79"/>
        <v>0</v>
      </c>
      <c r="H81" s="15">
        <f t="shared" si="79"/>
        <v>0</v>
      </c>
      <c r="I81" s="13">
        <f t="shared" si="79"/>
        <v>0</v>
      </c>
      <c r="J81" s="16">
        <f t="shared" si="79"/>
        <v>2276.7999999999997</v>
      </c>
      <c r="K81" s="15">
        <f t="shared" si="79"/>
        <v>364.59333333333331</v>
      </c>
      <c r="L81" s="14">
        <f t="shared" si="79"/>
        <v>744.5</v>
      </c>
      <c r="M81" s="13">
        <f t="shared" si="79"/>
        <v>1112.1000000000001</v>
      </c>
      <c r="N81" s="85"/>
    </row>
    <row r="82" spans="1:14" outlineLevel="1" x14ac:dyDescent="0.2">
      <c r="A82" s="20">
        <f t="shared" si="65"/>
        <v>3606</v>
      </c>
      <c r="B82" s="19" t="str">
        <f t="shared" si="65"/>
        <v>SHSU</v>
      </c>
      <c r="C82" s="55">
        <f t="shared" si="44"/>
        <v>11458.235678910238</v>
      </c>
      <c r="D82" s="15">
        <f t="shared" ref="D82:M82" si="80">D124*D211</f>
        <v>0</v>
      </c>
      <c r="E82" s="14">
        <f t="shared" si="80"/>
        <v>3159.7377777777779</v>
      </c>
      <c r="F82" s="14">
        <f t="shared" si="80"/>
        <v>30.594567799126271</v>
      </c>
      <c r="G82" s="13">
        <f t="shared" si="80"/>
        <v>0</v>
      </c>
      <c r="H82" s="15">
        <f t="shared" si="80"/>
        <v>0</v>
      </c>
      <c r="I82" s="13">
        <f t="shared" si="80"/>
        <v>0</v>
      </c>
      <c r="J82" s="16">
        <f t="shared" si="80"/>
        <v>5312.7999999999993</v>
      </c>
      <c r="K82" s="15">
        <f t="shared" si="80"/>
        <v>662.03666666666675</v>
      </c>
      <c r="L82" s="14">
        <f t="shared" si="80"/>
        <v>741.33333333333348</v>
      </c>
      <c r="M82" s="13">
        <f t="shared" si="80"/>
        <v>1551.7333333333336</v>
      </c>
      <c r="N82" s="85"/>
    </row>
    <row r="83" spans="1:14" outlineLevel="1" x14ac:dyDescent="0.2">
      <c r="A83" s="20">
        <f t="shared" si="65"/>
        <v>3615</v>
      </c>
      <c r="B83" s="19" t="str">
        <f t="shared" si="65"/>
        <v>TXST</v>
      </c>
      <c r="C83" s="55">
        <f t="shared" si="44"/>
        <v>20372.666364399731</v>
      </c>
      <c r="D83" s="15">
        <f t="shared" ref="D83:M83" si="81">D125*D212</f>
        <v>0</v>
      </c>
      <c r="E83" s="14">
        <f t="shared" si="81"/>
        <v>5938.6477500000001</v>
      </c>
      <c r="F83" s="14">
        <f t="shared" si="81"/>
        <v>29.258614399732995</v>
      </c>
      <c r="G83" s="13">
        <f t="shared" si="81"/>
        <v>0</v>
      </c>
      <c r="H83" s="15">
        <f t="shared" si="81"/>
        <v>0</v>
      </c>
      <c r="I83" s="13">
        <f t="shared" si="81"/>
        <v>0</v>
      </c>
      <c r="J83" s="16">
        <f t="shared" si="81"/>
        <v>8820.7999999999993</v>
      </c>
      <c r="K83" s="15">
        <f t="shared" si="81"/>
        <v>1269.9566666666667</v>
      </c>
      <c r="L83" s="14">
        <f t="shared" si="81"/>
        <v>1394.75</v>
      </c>
      <c r="M83" s="13">
        <f t="shared" si="81"/>
        <v>2919.253333333334</v>
      </c>
      <c r="N83" s="85"/>
    </row>
    <row r="84" spans="1:14" outlineLevel="1" x14ac:dyDescent="0.2">
      <c r="A84" s="20">
        <f t="shared" si="65"/>
        <v>3625</v>
      </c>
      <c r="B84" s="19" t="str">
        <f t="shared" si="65"/>
        <v>SRSU</v>
      </c>
      <c r="C84" s="55">
        <f t="shared" si="44"/>
        <v>745.74108709373843</v>
      </c>
      <c r="D84" s="15">
        <f t="shared" ref="D84:M84" si="82">D126*D213</f>
        <v>0</v>
      </c>
      <c r="E84" s="14">
        <f t="shared" si="82"/>
        <v>39.89253333333334</v>
      </c>
      <c r="F84" s="14">
        <f t="shared" si="82"/>
        <v>19.398553760405097</v>
      </c>
      <c r="G84" s="13">
        <f t="shared" si="82"/>
        <v>0</v>
      </c>
      <c r="H84" s="15">
        <f t="shared" si="82"/>
        <v>0</v>
      </c>
      <c r="I84" s="13">
        <f t="shared" si="82"/>
        <v>0</v>
      </c>
      <c r="J84" s="16">
        <f t="shared" si="82"/>
        <v>391.2</v>
      </c>
      <c r="K84" s="15">
        <f t="shared" si="82"/>
        <v>102</v>
      </c>
      <c r="L84" s="14">
        <f t="shared" si="82"/>
        <v>48.416666666666664</v>
      </c>
      <c r="M84" s="13">
        <f t="shared" si="82"/>
        <v>144.83333333333334</v>
      </c>
      <c r="N84" s="85"/>
    </row>
    <row r="85" spans="1:14" outlineLevel="1" x14ac:dyDescent="0.2">
      <c r="A85" s="20">
        <f t="shared" si="65"/>
        <v>20</v>
      </c>
      <c r="B85" s="19" t="str">
        <f t="shared" si="65"/>
        <v>SRRG</v>
      </c>
      <c r="C85" s="55">
        <f t="shared" si="44"/>
        <v>712.60373532054712</v>
      </c>
      <c r="D85" s="15">
        <f t="shared" ref="D85:M85" si="83">D127*D214</f>
        <v>0</v>
      </c>
      <c r="E85" s="14">
        <f t="shared" si="83"/>
        <v>35.956183632836428</v>
      </c>
      <c r="F85" s="14">
        <f t="shared" si="83"/>
        <v>228.72755168771067</v>
      </c>
      <c r="G85" s="13">
        <f t="shared" si="83"/>
        <v>0</v>
      </c>
      <c r="H85" s="15">
        <f t="shared" si="83"/>
        <v>0</v>
      </c>
      <c r="I85" s="13">
        <f t="shared" si="83"/>
        <v>0</v>
      </c>
      <c r="J85" s="16">
        <f t="shared" si="83"/>
        <v>345.59999999999997</v>
      </c>
      <c r="K85" s="15">
        <f t="shared" si="83"/>
        <v>78.2</v>
      </c>
      <c r="L85" s="14">
        <f t="shared" si="83"/>
        <v>23.166666666666671</v>
      </c>
      <c r="M85" s="13">
        <f t="shared" si="83"/>
        <v>0.95333333333333337</v>
      </c>
      <c r="N85" s="85"/>
    </row>
    <row r="86" spans="1:14" ht="13.5" outlineLevel="1" thickBot="1" x14ac:dyDescent="0.25">
      <c r="A86" s="12"/>
      <c r="B86" s="11" t="s">
        <v>11</v>
      </c>
      <c r="C86" s="54">
        <f t="shared" ref="C86:M86" si="84">SUM(C48:C85)</f>
        <v>309216.37800934096</v>
      </c>
      <c r="D86" s="9">
        <f t="shared" si="84"/>
        <v>0</v>
      </c>
      <c r="E86" s="7">
        <f t="shared" si="84"/>
        <v>89161.407714000481</v>
      </c>
      <c r="F86" s="7">
        <f t="shared" si="84"/>
        <v>2303.1069620072126</v>
      </c>
      <c r="G86" s="3">
        <f t="shared" si="84"/>
        <v>0</v>
      </c>
      <c r="H86" s="5">
        <f t="shared" si="84"/>
        <v>0</v>
      </c>
      <c r="I86" s="3">
        <f t="shared" si="84"/>
        <v>0</v>
      </c>
      <c r="J86" s="6">
        <f t="shared" si="84"/>
        <v>123466.66666666669</v>
      </c>
      <c r="K86" s="5">
        <f t="shared" si="84"/>
        <v>25080.525000000001</v>
      </c>
      <c r="L86" s="4">
        <f t="shared" si="84"/>
        <v>23590.458333333336</v>
      </c>
      <c r="M86" s="3">
        <f t="shared" si="84"/>
        <v>45614.213333333355</v>
      </c>
    </row>
    <row r="87" spans="1:14" ht="13.5" thickBot="1" x14ac:dyDescent="0.25">
      <c r="A87" s="57" t="s">
        <v>30</v>
      </c>
    </row>
    <row r="88" spans="1:14" ht="12.75" customHeight="1" outlineLevel="1" x14ac:dyDescent="0.2">
      <c r="A88" s="234" t="s">
        <v>24</v>
      </c>
      <c r="B88" s="236" t="s">
        <v>23</v>
      </c>
      <c r="C88" s="238" t="s">
        <v>77</v>
      </c>
      <c r="D88" s="247" t="s">
        <v>35</v>
      </c>
      <c r="E88" s="248"/>
      <c r="F88" s="248"/>
      <c r="G88" s="249"/>
      <c r="H88" s="250" t="s">
        <v>18</v>
      </c>
      <c r="I88" s="225" t="s">
        <v>17</v>
      </c>
      <c r="J88" s="227" t="s">
        <v>16</v>
      </c>
      <c r="K88" s="229" t="s">
        <v>34</v>
      </c>
      <c r="L88" s="230"/>
      <c r="M88" s="231"/>
      <c r="N88" s="277"/>
    </row>
    <row r="89" spans="1:14" ht="51.75" outlineLevel="1" thickBot="1" x14ac:dyDescent="0.25">
      <c r="A89" s="273"/>
      <c r="B89" s="270"/>
      <c r="C89" s="274"/>
      <c r="D89" s="147"/>
      <c r="E89" s="148" t="s">
        <v>33</v>
      </c>
      <c r="F89" s="148" t="s">
        <v>32</v>
      </c>
      <c r="G89" s="210" t="s">
        <v>31</v>
      </c>
      <c r="H89" s="279"/>
      <c r="I89" s="280"/>
      <c r="J89" s="278"/>
      <c r="K89" s="150" t="s">
        <v>14</v>
      </c>
      <c r="L89" s="151" t="s">
        <v>13</v>
      </c>
      <c r="M89" s="166" t="s">
        <v>12</v>
      </c>
      <c r="N89" s="277"/>
    </row>
    <row r="90" spans="1:14" outlineLevel="1" x14ac:dyDescent="0.2">
      <c r="A90" s="20">
        <f t="shared" ref="A90:B109" si="85">A5</f>
        <v>3656</v>
      </c>
      <c r="B90" s="19" t="str">
        <f t="shared" si="85"/>
        <v>UTA</v>
      </c>
      <c r="C90" s="143">
        <f>SUM(D90:M90)-I90</f>
        <v>1</v>
      </c>
      <c r="D90" s="96">
        <f t="shared" ref="D90:H99" si="86">HLOOKUP(D131,$D$170:$L$171,2,0)</f>
        <v>0</v>
      </c>
      <c r="E90" s="96">
        <f t="shared" si="86"/>
        <v>0.25</v>
      </c>
      <c r="F90" s="96">
        <f t="shared" si="86"/>
        <v>0.05</v>
      </c>
      <c r="G90" s="96">
        <f t="shared" si="86"/>
        <v>0</v>
      </c>
      <c r="H90" s="96">
        <f t="shared" si="86"/>
        <v>0</v>
      </c>
      <c r="I90" s="96">
        <f t="shared" ref="I90:I127" si="87">H90</f>
        <v>0</v>
      </c>
      <c r="J90" s="96">
        <f t="shared" ref="J90:M109" si="88">HLOOKUP(J131,$D$170:$L$171,2,0)</f>
        <v>0.3</v>
      </c>
      <c r="K90" s="96">
        <f t="shared" si="88"/>
        <v>0.2</v>
      </c>
      <c r="L90" s="96">
        <f t="shared" si="88"/>
        <v>0.1</v>
      </c>
      <c r="M90" s="97">
        <f t="shared" si="88"/>
        <v>0.1</v>
      </c>
      <c r="N90" s="153"/>
    </row>
    <row r="91" spans="1:14" outlineLevel="1" x14ac:dyDescent="0.2">
      <c r="A91" s="20">
        <f t="shared" si="85"/>
        <v>3658</v>
      </c>
      <c r="B91" s="19" t="str">
        <f t="shared" si="85"/>
        <v>UT</v>
      </c>
      <c r="C91" s="142">
        <f t="shared" ref="C91:C127" si="89">SUM(D91:M91)</f>
        <v>1</v>
      </c>
      <c r="D91" s="96">
        <f t="shared" si="86"/>
        <v>0</v>
      </c>
      <c r="E91" s="96">
        <f t="shared" si="86"/>
        <v>0.3</v>
      </c>
      <c r="F91" s="96">
        <f t="shared" si="86"/>
        <v>0.05</v>
      </c>
      <c r="G91" s="96">
        <f t="shared" si="86"/>
        <v>0</v>
      </c>
      <c r="H91" s="96">
        <f t="shared" si="86"/>
        <v>0</v>
      </c>
      <c r="I91" s="96">
        <f t="shared" si="87"/>
        <v>0</v>
      </c>
      <c r="J91" s="96">
        <f t="shared" si="88"/>
        <v>0.2</v>
      </c>
      <c r="K91" s="96">
        <f t="shared" si="88"/>
        <v>0.1</v>
      </c>
      <c r="L91" s="96">
        <f t="shared" si="88"/>
        <v>0.1</v>
      </c>
      <c r="M91" s="97">
        <f t="shared" si="88"/>
        <v>0.25</v>
      </c>
      <c r="N91" s="85"/>
    </row>
    <row r="92" spans="1:14" outlineLevel="1" x14ac:dyDescent="0.2">
      <c r="A92" s="20">
        <f t="shared" si="85"/>
        <v>9741</v>
      </c>
      <c r="B92" s="19" t="str">
        <f t="shared" si="85"/>
        <v>UTD</v>
      </c>
      <c r="C92" s="142">
        <f t="shared" si="89"/>
        <v>1</v>
      </c>
      <c r="D92" s="96">
        <f t="shared" si="86"/>
        <v>0</v>
      </c>
      <c r="E92" s="96">
        <f t="shared" si="86"/>
        <v>0.3</v>
      </c>
      <c r="F92" s="96">
        <f t="shared" si="86"/>
        <v>0.05</v>
      </c>
      <c r="G92" s="96">
        <f t="shared" si="86"/>
        <v>0</v>
      </c>
      <c r="H92" s="96">
        <f t="shared" si="86"/>
        <v>0</v>
      </c>
      <c r="I92" s="96">
        <f t="shared" si="87"/>
        <v>0</v>
      </c>
      <c r="J92" s="96">
        <f t="shared" si="88"/>
        <v>0.25</v>
      </c>
      <c r="K92" s="96">
        <f t="shared" si="88"/>
        <v>0.2</v>
      </c>
      <c r="L92" s="96">
        <f t="shared" si="88"/>
        <v>0.1</v>
      </c>
      <c r="M92" s="97">
        <f t="shared" si="88"/>
        <v>0.1</v>
      </c>
      <c r="N92" s="85"/>
    </row>
    <row r="93" spans="1:14" outlineLevel="1" x14ac:dyDescent="0.2">
      <c r="A93" s="20">
        <f t="shared" si="85"/>
        <v>3661</v>
      </c>
      <c r="B93" s="19" t="str">
        <f t="shared" si="85"/>
        <v>UTEP</v>
      </c>
      <c r="C93" s="142">
        <f t="shared" si="89"/>
        <v>1</v>
      </c>
      <c r="D93" s="96">
        <f t="shared" si="86"/>
        <v>0</v>
      </c>
      <c r="E93" s="96">
        <f t="shared" si="86"/>
        <v>0.1</v>
      </c>
      <c r="F93" s="96">
        <f t="shared" si="86"/>
        <v>0.05</v>
      </c>
      <c r="G93" s="96">
        <f t="shared" si="86"/>
        <v>0</v>
      </c>
      <c r="H93" s="96">
        <f t="shared" si="86"/>
        <v>0</v>
      </c>
      <c r="I93" s="96">
        <f t="shared" si="87"/>
        <v>0</v>
      </c>
      <c r="J93" s="96">
        <f t="shared" si="88"/>
        <v>0.3</v>
      </c>
      <c r="K93" s="96">
        <f t="shared" si="88"/>
        <v>0.1</v>
      </c>
      <c r="L93" s="96">
        <f t="shared" si="88"/>
        <v>0.2</v>
      </c>
      <c r="M93" s="97">
        <f t="shared" si="88"/>
        <v>0.25</v>
      </c>
      <c r="N93" s="85"/>
    </row>
    <row r="94" spans="1:14" outlineLevel="1" x14ac:dyDescent="0.2">
      <c r="A94" s="20">
        <f t="shared" si="85"/>
        <v>3599</v>
      </c>
      <c r="B94" s="19" t="str">
        <f t="shared" si="85"/>
        <v>UTPA</v>
      </c>
      <c r="C94" s="142">
        <f t="shared" si="89"/>
        <v>1</v>
      </c>
      <c r="D94" s="96">
        <f t="shared" si="86"/>
        <v>0</v>
      </c>
      <c r="E94" s="96">
        <f t="shared" si="86"/>
        <v>0.2</v>
      </c>
      <c r="F94" s="96">
        <f t="shared" si="86"/>
        <v>0.05</v>
      </c>
      <c r="G94" s="96">
        <f t="shared" si="86"/>
        <v>0</v>
      </c>
      <c r="H94" s="96">
        <f t="shared" si="86"/>
        <v>0</v>
      </c>
      <c r="I94" s="96">
        <f t="shared" si="87"/>
        <v>0</v>
      </c>
      <c r="J94" s="96">
        <f t="shared" si="88"/>
        <v>0.3</v>
      </c>
      <c r="K94" s="96">
        <f t="shared" si="88"/>
        <v>0.1</v>
      </c>
      <c r="L94" s="96">
        <f t="shared" si="88"/>
        <v>0.1</v>
      </c>
      <c r="M94" s="97">
        <f t="shared" si="88"/>
        <v>0.25</v>
      </c>
      <c r="N94" s="85"/>
    </row>
    <row r="95" spans="1:14" outlineLevel="1" x14ac:dyDescent="0.2">
      <c r="A95" s="20">
        <f t="shared" si="85"/>
        <v>30646</v>
      </c>
      <c r="B95" s="19" t="str">
        <f t="shared" si="85"/>
        <v>UTB</v>
      </c>
      <c r="C95" s="142">
        <f t="shared" si="89"/>
        <v>0.99999999999999989</v>
      </c>
      <c r="D95" s="96">
        <f t="shared" si="86"/>
        <v>0</v>
      </c>
      <c r="E95" s="96">
        <f t="shared" si="86"/>
        <v>0.25</v>
      </c>
      <c r="F95" s="96">
        <f t="shared" si="86"/>
        <v>0.1</v>
      </c>
      <c r="G95" s="96">
        <f t="shared" si="86"/>
        <v>0</v>
      </c>
      <c r="H95" s="96">
        <f t="shared" si="86"/>
        <v>0</v>
      </c>
      <c r="I95" s="96">
        <f t="shared" si="87"/>
        <v>0</v>
      </c>
      <c r="J95" s="96">
        <f t="shared" si="88"/>
        <v>0.3</v>
      </c>
      <c r="K95" s="96">
        <f t="shared" si="88"/>
        <v>0.2</v>
      </c>
      <c r="L95" s="96">
        <f t="shared" si="88"/>
        <v>0.1</v>
      </c>
      <c r="M95" s="97">
        <f t="shared" si="88"/>
        <v>0.05</v>
      </c>
      <c r="N95" s="85"/>
    </row>
    <row r="96" spans="1:14" outlineLevel="1" x14ac:dyDescent="0.2">
      <c r="A96" s="20">
        <f t="shared" si="85"/>
        <v>9930</v>
      </c>
      <c r="B96" s="19" t="str">
        <f t="shared" si="85"/>
        <v>UTPB</v>
      </c>
      <c r="C96" s="142">
        <f t="shared" si="89"/>
        <v>1</v>
      </c>
      <c r="D96" s="96">
        <f t="shared" si="86"/>
        <v>0</v>
      </c>
      <c r="E96" s="96">
        <f t="shared" si="86"/>
        <v>0.25</v>
      </c>
      <c r="F96" s="96">
        <f t="shared" si="86"/>
        <v>0.05</v>
      </c>
      <c r="G96" s="96">
        <f t="shared" si="86"/>
        <v>0</v>
      </c>
      <c r="H96" s="96">
        <f t="shared" si="86"/>
        <v>0</v>
      </c>
      <c r="I96" s="96">
        <f t="shared" si="87"/>
        <v>0</v>
      </c>
      <c r="J96" s="96">
        <f t="shared" si="88"/>
        <v>0.3</v>
      </c>
      <c r="K96" s="96">
        <f t="shared" si="88"/>
        <v>0.2</v>
      </c>
      <c r="L96" s="96">
        <f t="shared" si="88"/>
        <v>0.1</v>
      </c>
      <c r="M96" s="97">
        <f t="shared" si="88"/>
        <v>0.1</v>
      </c>
      <c r="N96" s="85"/>
    </row>
    <row r="97" spans="1:14" outlineLevel="1" x14ac:dyDescent="0.2">
      <c r="A97" s="20">
        <f t="shared" si="85"/>
        <v>10115</v>
      </c>
      <c r="B97" s="19" t="str">
        <f t="shared" si="85"/>
        <v>UTSA</v>
      </c>
      <c r="C97" s="142">
        <f t="shared" si="89"/>
        <v>1</v>
      </c>
      <c r="D97" s="96">
        <f t="shared" si="86"/>
        <v>0</v>
      </c>
      <c r="E97" s="96">
        <f t="shared" si="86"/>
        <v>0.25</v>
      </c>
      <c r="F97" s="96">
        <f t="shared" si="86"/>
        <v>0.05</v>
      </c>
      <c r="G97" s="96">
        <f t="shared" si="86"/>
        <v>0</v>
      </c>
      <c r="H97" s="96">
        <f t="shared" si="86"/>
        <v>0</v>
      </c>
      <c r="I97" s="96">
        <f t="shared" si="87"/>
        <v>0</v>
      </c>
      <c r="J97" s="96">
        <f t="shared" si="88"/>
        <v>0.3</v>
      </c>
      <c r="K97" s="96">
        <f t="shared" si="88"/>
        <v>0.2</v>
      </c>
      <c r="L97" s="96">
        <f t="shared" si="88"/>
        <v>0.1</v>
      </c>
      <c r="M97" s="97">
        <f t="shared" si="88"/>
        <v>0.1</v>
      </c>
      <c r="N97" s="85"/>
    </row>
    <row r="98" spans="1:14" outlineLevel="1" x14ac:dyDescent="0.2">
      <c r="A98" s="20">
        <f t="shared" si="85"/>
        <v>11163</v>
      </c>
      <c r="B98" s="19" t="str">
        <f t="shared" si="85"/>
        <v>UTT</v>
      </c>
      <c r="C98" s="142">
        <f t="shared" si="89"/>
        <v>1</v>
      </c>
      <c r="D98" s="96">
        <f t="shared" si="86"/>
        <v>0</v>
      </c>
      <c r="E98" s="96">
        <f t="shared" si="86"/>
        <v>0.25</v>
      </c>
      <c r="F98" s="96">
        <f t="shared" si="86"/>
        <v>0.05</v>
      </c>
      <c r="G98" s="96">
        <f t="shared" si="86"/>
        <v>0</v>
      </c>
      <c r="H98" s="96">
        <f t="shared" si="86"/>
        <v>0</v>
      </c>
      <c r="I98" s="96">
        <f t="shared" si="87"/>
        <v>0</v>
      </c>
      <c r="J98" s="96">
        <f t="shared" si="88"/>
        <v>0.3</v>
      </c>
      <c r="K98" s="96">
        <f t="shared" si="88"/>
        <v>0.2</v>
      </c>
      <c r="L98" s="96">
        <f t="shared" si="88"/>
        <v>0.1</v>
      </c>
      <c r="M98" s="97">
        <f t="shared" si="88"/>
        <v>0.1</v>
      </c>
      <c r="N98" s="85"/>
    </row>
    <row r="99" spans="1:14" outlineLevel="1" x14ac:dyDescent="0.2">
      <c r="A99" s="20">
        <f t="shared" si="85"/>
        <v>3632</v>
      </c>
      <c r="B99" s="19" t="str">
        <f t="shared" si="85"/>
        <v>TAMU</v>
      </c>
      <c r="C99" s="142">
        <f t="shared" si="89"/>
        <v>1</v>
      </c>
      <c r="D99" s="96">
        <f t="shared" si="86"/>
        <v>0</v>
      </c>
      <c r="E99" s="96">
        <f t="shared" si="86"/>
        <v>0.3</v>
      </c>
      <c r="F99" s="96">
        <f t="shared" si="86"/>
        <v>0.05</v>
      </c>
      <c r="G99" s="96">
        <f t="shared" si="86"/>
        <v>0</v>
      </c>
      <c r="H99" s="96">
        <f t="shared" si="86"/>
        <v>0</v>
      </c>
      <c r="I99" s="96">
        <f t="shared" si="87"/>
        <v>0</v>
      </c>
      <c r="J99" s="96">
        <f t="shared" si="88"/>
        <v>0.2</v>
      </c>
      <c r="K99" s="96">
        <f t="shared" si="88"/>
        <v>0.1</v>
      </c>
      <c r="L99" s="96">
        <f t="shared" si="88"/>
        <v>0.1</v>
      </c>
      <c r="M99" s="97">
        <f t="shared" si="88"/>
        <v>0.25</v>
      </c>
      <c r="N99" s="85"/>
    </row>
    <row r="100" spans="1:14" outlineLevel="1" x14ac:dyDescent="0.2">
      <c r="A100" s="20">
        <f t="shared" si="85"/>
        <v>10298</v>
      </c>
      <c r="B100" s="19" t="str">
        <f t="shared" si="85"/>
        <v>TAMUG</v>
      </c>
      <c r="C100" s="142">
        <f t="shared" si="89"/>
        <v>1</v>
      </c>
      <c r="D100" s="96">
        <f t="shared" ref="D100:H109" si="90">HLOOKUP(D141,$D$170:$L$171,2,0)</f>
        <v>0</v>
      </c>
      <c r="E100" s="96">
        <f t="shared" si="90"/>
        <v>0.25</v>
      </c>
      <c r="F100" s="96">
        <f t="shared" si="90"/>
        <v>0.05</v>
      </c>
      <c r="G100" s="96">
        <f t="shared" si="90"/>
        <v>0</v>
      </c>
      <c r="H100" s="96">
        <f t="shared" si="90"/>
        <v>0</v>
      </c>
      <c r="I100" s="96">
        <f t="shared" si="87"/>
        <v>0</v>
      </c>
      <c r="J100" s="96">
        <f t="shared" si="88"/>
        <v>0.3</v>
      </c>
      <c r="K100" s="96">
        <f t="shared" si="88"/>
        <v>0.1</v>
      </c>
      <c r="L100" s="96">
        <f t="shared" si="88"/>
        <v>0.1</v>
      </c>
      <c r="M100" s="97">
        <f t="shared" si="88"/>
        <v>0.2</v>
      </c>
      <c r="N100" s="85"/>
    </row>
    <row r="101" spans="1:14" outlineLevel="1" x14ac:dyDescent="0.2">
      <c r="A101" s="20">
        <f t="shared" si="85"/>
        <v>3630</v>
      </c>
      <c r="B101" s="19" t="str">
        <f t="shared" si="85"/>
        <v>Prairie View</v>
      </c>
      <c r="C101" s="142">
        <f t="shared" si="89"/>
        <v>1</v>
      </c>
      <c r="D101" s="96">
        <f t="shared" si="90"/>
        <v>0</v>
      </c>
      <c r="E101" s="96">
        <f t="shared" si="90"/>
        <v>0.1</v>
      </c>
      <c r="F101" s="96">
        <f t="shared" si="90"/>
        <v>0.05</v>
      </c>
      <c r="G101" s="96">
        <f t="shared" si="90"/>
        <v>0</v>
      </c>
      <c r="H101" s="96">
        <f t="shared" si="90"/>
        <v>0</v>
      </c>
      <c r="I101" s="96">
        <f t="shared" si="87"/>
        <v>0</v>
      </c>
      <c r="J101" s="96">
        <f t="shared" si="88"/>
        <v>0.3</v>
      </c>
      <c r="K101" s="96">
        <f t="shared" si="88"/>
        <v>0.1</v>
      </c>
      <c r="L101" s="96">
        <f t="shared" si="88"/>
        <v>0.2</v>
      </c>
      <c r="M101" s="97">
        <f t="shared" si="88"/>
        <v>0.25</v>
      </c>
      <c r="N101" s="85"/>
    </row>
    <row r="102" spans="1:14" outlineLevel="1" x14ac:dyDescent="0.2">
      <c r="A102" s="20">
        <f t="shared" si="85"/>
        <v>3631</v>
      </c>
      <c r="B102" s="19" t="str">
        <f t="shared" si="85"/>
        <v>Tarleton</v>
      </c>
      <c r="C102" s="142">
        <f t="shared" si="89"/>
        <v>1</v>
      </c>
      <c r="D102" s="96">
        <f t="shared" si="90"/>
        <v>0</v>
      </c>
      <c r="E102" s="96">
        <f t="shared" si="90"/>
        <v>0.25</v>
      </c>
      <c r="F102" s="96">
        <f t="shared" si="90"/>
        <v>0.05</v>
      </c>
      <c r="G102" s="96">
        <f t="shared" si="90"/>
        <v>0</v>
      </c>
      <c r="H102" s="96">
        <f t="shared" si="90"/>
        <v>0</v>
      </c>
      <c r="I102" s="96">
        <f t="shared" si="87"/>
        <v>0</v>
      </c>
      <c r="J102" s="96">
        <f t="shared" si="88"/>
        <v>0.3</v>
      </c>
      <c r="K102" s="96">
        <f t="shared" si="88"/>
        <v>0.1</v>
      </c>
      <c r="L102" s="96">
        <f t="shared" si="88"/>
        <v>0.1</v>
      </c>
      <c r="M102" s="97">
        <f t="shared" si="88"/>
        <v>0.2</v>
      </c>
      <c r="N102" s="85"/>
    </row>
    <row r="103" spans="1:14" outlineLevel="1" x14ac:dyDescent="0.2">
      <c r="A103" s="27">
        <f t="shared" si="85"/>
        <v>103631</v>
      </c>
      <c r="B103" s="19" t="str">
        <f t="shared" si="85"/>
        <v>TAMUCT</v>
      </c>
      <c r="C103" s="142">
        <f t="shared" si="89"/>
        <v>1</v>
      </c>
      <c r="D103" s="96">
        <f t="shared" si="90"/>
        <v>0</v>
      </c>
      <c r="E103" s="96">
        <f t="shared" si="90"/>
        <v>0.2</v>
      </c>
      <c r="F103" s="96">
        <f t="shared" si="90"/>
        <v>0.25</v>
      </c>
      <c r="G103" s="96">
        <f t="shared" si="90"/>
        <v>0</v>
      </c>
      <c r="H103" s="96">
        <f t="shared" si="90"/>
        <v>0</v>
      </c>
      <c r="I103" s="96">
        <f t="shared" si="87"/>
        <v>0</v>
      </c>
      <c r="J103" s="96">
        <f t="shared" si="88"/>
        <v>0.3</v>
      </c>
      <c r="K103" s="96">
        <f t="shared" si="88"/>
        <v>0.1</v>
      </c>
      <c r="L103" s="96">
        <f t="shared" si="88"/>
        <v>0.1</v>
      </c>
      <c r="M103" s="97">
        <f t="shared" si="88"/>
        <v>0.05</v>
      </c>
      <c r="N103" s="85"/>
    </row>
    <row r="104" spans="1:14" outlineLevel="1" x14ac:dyDescent="0.2">
      <c r="A104" s="20">
        <f t="shared" si="85"/>
        <v>11161</v>
      </c>
      <c r="B104" s="19" t="str">
        <f t="shared" si="85"/>
        <v>TAMUCC</v>
      </c>
      <c r="C104" s="142">
        <f t="shared" si="89"/>
        <v>1</v>
      </c>
      <c r="D104" s="96">
        <f t="shared" si="90"/>
        <v>0</v>
      </c>
      <c r="E104" s="96">
        <f t="shared" si="90"/>
        <v>0.25</v>
      </c>
      <c r="F104" s="96">
        <f t="shared" si="90"/>
        <v>0.05</v>
      </c>
      <c r="G104" s="96">
        <f t="shared" si="90"/>
        <v>0</v>
      </c>
      <c r="H104" s="96">
        <f t="shared" si="90"/>
        <v>0</v>
      </c>
      <c r="I104" s="96">
        <f t="shared" si="87"/>
        <v>0</v>
      </c>
      <c r="J104" s="96">
        <f t="shared" si="88"/>
        <v>0.3</v>
      </c>
      <c r="K104" s="96">
        <f t="shared" si="88"/>
        <v>0.1</v>
      </c>
      <c r="L104" s="96">
        <f t="shared" si="88"/>
        <v>0.1</v>
      </c>
      <c r="M104" s="97">
        <f t="shared" si="88"/>
        <v>0.2</v>
      </c>
      <c r="N104" s="85"/>
    </row>
    <row r="105" spans="1:14" outlineLevel="1" x14ac:dyDescent="0.2">
      <c r="A105" s="20">
        <f t="shared" si="85"/>
        <v>3639</v>
      </c>
      <c r="B105" s="19" t="str">
        <f t="shared" si="85"/>
        <v>TAMUK</v>
      </c>
      <c r="C105" s="142">
        <f t="shared" si="89"/>
        <v>1</v>
      </c>
      <c r="D105" s="96">
        <f t="shared" si="90"/>
        <v>0</v>
      </c>
      <c r="E105" s="96">
        <f t="shared" si="90"/>
        <v>0.1</v>
      </c>
      <c r="F105" s="96">
        <f t="shared" si="90"/>
        <v>0.05</v>
      </c>
      <c r="G105" s="96">
        <f t="shared" si="90"/>
        <v>0</v>
      </c>
      <c r="H105" s="96">
        <f t="shared" si="90"/>
        <v>0</v>
      </c>
      <c r="I105" s="96">
        <f t="shared" si="87"/>
        <v>0</v>
      </c>
      <c r="J105" s="96">
        <f t="shared" si="88"/>
        <v>0.3</v>
      </c>
      <c r="K105" s="96">
        <f t="shared" si="88"/>
        <v>0.1</v>
      </c>
      <c r="L105" s="96">
        <f t="shared" si="88"/>
        <v>0.2</v>
      </c>
      <c r="M105" s="97">
        <f t="shared" si="88"/>
        <v>0.25</v>
      </c>
      <c r="N105" s="85"/>
    </row>
    <row r="106" spans="1:14" outlineLevel="1" x14ac:dyDescent="0.2">
      <c r="A106" s="27">
        <f t="shared" si="85"/>
        <v>103639</v>
      </c>
      <c r="B106" s="19" t="str">
        <f t="shared" si="85"/>
        <v>TAMUSA</v>
      </c>
      <c r="C106" s="142">
        <f t="shared" si="89"/>
        <v>0.99999999999999989</v>
      </c>
      <c r="D106" s="96">
        <f t="shared" si="90"/>
        <v>0</v>
      </c>
      <c r="E106" s="96">
        <f t="shared" si="90"/>
        <v>0.25</v>
      </c>
      <c r="F106" s="96">
        <f t="shared" si="90"/>
        <v>0.1</v>
      </c>
      <c r="G106" s="96">
        <f t="shared" si="90"/>
        <v>0</v>
      </c>
      <c r="H106" s="96">
        <f t="shared" si="90"/>
        <v>0</v>
      </c>
      <c r="I106" s="96">
        <f t="shared" si="87"/>
        <v>0</v>
      </c>
      <c r="J106" s="96">
        <f t="shared" si="88"/>
        <v>0.3</v>
      </c>
      <c r="K106" s="96">
        <f t="shared" si="88"/>
        <v>0.2</v>
      </c>
      <c r="L106" s="96">
        <f t="shared" si="88"/>
        <v>0.1</v>
      </c>
      <c r="M106" s="97">
        <f t="shared" si="88"/>
        <v>0.05</v>
      </c>
      <c r="N106" s="85"/>
    </row>
    <row r="107" spans="1:14" outlineLevel="1" x14ac:dyDescent="0.2">
      <c r="A107" s="20">
        <f t="shared" si="85"/>
        <v>9651</v>
      </c>
      <c r="B107" s="19" t="str">
        <f t="shared" si="85"/>
        <v>TAMI</v>
      </c>
      <c r="C107" s="142">
        <f t="shared" si="89"/>
        <v>0.99999999999999989</v>
      </c>
      <c r="D107" s="96">
        <f t="shared" si="90"/>
        <v>0</v>
      </c>
      <c r="E107" s="96">
        <f t="shared" si="90"/>
        <v>0.25</v>
      </c>
      <c r="F107" s="96">
        <f t="shared" si="90"/>
        <v>0.05</v>
      </c>
      <c r="G107" s="96">
        <f t="shared" si="90"/>
        <v>0</v>
      </c>
      <c r="H107" s="96">
        <f t="shared" si="90"/>
        <v>0</v>
      </c>
      <c r="I107" s="96">
        <f t="shared" si="87"/>
        <v>0</v>
      </c>
      <c r="J107" s="96">
        <f t="shared" si="88"/>
        <v>0.3</v>
      </c>
      <c r="K107" s="96">
        <f t="shared" si="88"/>
        <v>0.1</v>
      </c>
      <c r="L107" s="96">
        <f t="shared" si="88"/>
        <v>0.2</v>
      </c>
      <c r="M107" s="97">
        <f t="shared" si="88"/>
        <v>0.1</v>
      </c>
      <c r="N107" s="85"/>
    </row>
    <row r="108" spans="1:14" outlineLevel="1" x14ac:dyDescent="0.2">
      <c r="A108" s="20">
        <f t="shared" si="85"/>
        <v>3665</v>
      </c>
      <c r="B108" s="19" t="str">
        <f t="shared" si="85"/>
        <v>WTAMU</v>
      </c>
      <c r="C108" s="142">
        <f t="shared" si="89"/>
        <v>1</v>
      </c>
      <c r="D108" s="96">
        <f t="shared" si="90"/>
        <v>0</v>
      </c>
      <c r="E108" s="96">
        <f t="shared" si="90"/>
        <v>0.25</v>
      </c>
      <c r="F108" s="96">
        <f t="shared" si="90"/>
        <v>0.05</v>
      </c>
      <c r="G108" s="96">
        <f t="shared" si="90"/>
        <v>0</v>
      </c>
      <c r="H108" s="96">
        <f t="shared" si="90"/>
        <v>0</v>
      </c>
      <c r="I108" s="96">
        <f t="shared" si="87"/>
        <v>0</v>
      </c>
      <c r="J108" s="96">
        <f t="shared" si="88"/>
        <v>0.3</v>
      </c>
      <c r="K108" s="96">
        <f t="shared" si="88"/>
        <v>0.2</v>
      </c>
      <c r="L108" s="96">
        <f t="shared" si="88"/>
        <v>0.1</v>
      </c>
      <c r="M108" s="97">
        <f t="shared" si="88"/>
        <v>0.1</v>
      </c>
      <c r="N108" s="85"/>
    </row>
    <row r="109" spans="1:14" outlineLevel="1" x14ac:dyDescent="0.2">
      <c r="A109" s="20">
        <f t="shared" si="85"/>
        <v>3565</v>
      </c>
      <c r="B109" s="19" t="str">
        <f t="shared" si="85"/>
        <v>TAMUC</v>
      </c>
      <c r="C109" s="142">
        <f t="shared" si="89"/>
        <v>1</v>
      </c>
      <c r="D109" s="96">
        <f t="shared" si="90"/>
        <v>0</v>
      </c>
      <c r="E109" s="96">
        <f t="shared" si="90"/>
        <v>0.25</v>
      </c>
      <c r="F109" s="96">
        <f t="shared" si="90"/>
        <v>0.05</v>
      </c>
      <c r="G109" s="96">
        <f t="shared" si="90"/>
        <v>0</v>
      </c>
      <c r="H109" s="96">
        <f t="shared" si="90"/>
        <v>0</v>
      </c>
      <c r="I109" s="96">
        <f t="shared" si="87"/>
        <v>0</v>
      </c>
      <c r="J109" s="96">
        <f t="shared" si="88"/>
        <v>0.3</v>
      </c>
      <c r="K109" s="96">
        <f t="shared" si="88"/>
        <v>0.2</v>
      </c>
      <c r="L109" s="96">
        <f t="shared" si="88"/>
        <v>0.1</v>
      </c>
      <c r="M109" s="97">
        <f t="shared" si="88"/>
        <v>0.1</v>
      </c>
      <c r="N109" s="85"/>
    </row>
    <row r="110" spans="1:14" outlineLevel="1" x14ac:dyDescent="0.2">
      <c r="A110" s="20">
        <f t="shared" ref="A110:B127" si="91">A25</f>
        <v>29269</v>
      </c>
      <c r="B110" s="19" t="str">
        <f t="shared" si="91"/>
        <v>TAMUT</v>
      </c>
      <c r="C110" s="142">
        <f t="shared" si="89"/>
        <v>1</v>
      </c>
      <c r="D110" s="96">
        <f t="shared" ref="D110:H119" si="92">HLOOKUP(D151,$D$170:$L$171,2,0)</f>
        <v>0</v>
      </c>
      <c r="E110" s="96">
        <f t="shared" si="92"/>
        <v>0.25</v>
      </c>
      <c r="F110" s="96">
        <f t="shared" si="92"/>
        <v>0.2</v>
      </c>
      <c r="G110" s="96">
        <f t="shared" si="92"/>
        <v>0</v>
      </c>
      <c r="H110" s="96">
        <f t="shared" si="92"/>
        <v>0</v>
      </c>
      <c r="I110" s="96">
        <f t="shared" si="87"/>
        <v>0</v>
      </c>
      <c r="J110" s="96">
        <f t="shared" ref="J110:M127" si="93">HLOOKUP(J151,$D$170:$L$171,2,0)</f>
        <v>0.3</v>
      </c>
      <c r="K110" s="96">
        <f t="shared" si="93"/>
        <v>0.1</v>
      </c>
      <c r="L110" s="96">
        <f t="shared" si="93"/>
        <v>0.1</v>
      </c>
      <c r="M110" s="97">
        <f t="shared" si="93"/>
        <v>0.05</v>
      </c>
      <c r="N110" s="85"/>
    </row>
    <row r="111" spans="1:14" outlineLevel="1" x14ac:dyDescent="0.2">
      <c r="A111" s="20">
        <f t="shared" si="91"/>
        <v>3652</v>
      </c>
      <c r="B111" s="19" t="str">
        <f t="shared" si="91"/>
        <v>UH</v>
      </c>
      <c r="C111" s="142">
        <f t="shared" si="89"/>
        <v>1</v>
      </c>
      <c r="D111" s="96">
        <f t="shared" si="92"/>
        <v>0</v>
      </c>
      <c r="E111" s="96">
        <f t="shared" si="92"/>
        <v>0.25</v>
      </c>
      <c r="F111" s="96">
        <f t="shared" si="92"/>
        <v>0.05</v>
      </c>
      <c r="G111" s="96">
        <f t="shared" si="92"/>
        <v>0</v>
      </c>
      <c r="H111" s="96">
        <f t="shared" si="92"/>
        <v>0</v>
      </c>
      <c r="I111" s="96">
        <f t="shared" si="87"/>
        <v>0</v>
      </c>
      <c r="J111" s="96">
        <f t="shared" si="93"/>
        <v>0.3</v>
      </c>
      <c r="K111" s="96">
        <f t="shared" si="93"/>
        <v>0.1</v>
      </c>
      <c r="L111" s="96">
        <f t="shared" si="93"/>
        <v>0.1</v>
      </c>
      <c r="M111" s="97">
        <f t="shared" si="93"/>
        <v>0.2</v>
      </c>
      <c r="N111" s="85"/>
    </row>
    <row r="112" spans="1:14" outlineLevel="1" x14ac:dyDescent="0.2">
      <c r="A112" s="20">
        <f t="shared" si="91"/>
        <v>11711</v>
      </c>
      <c r="B112" s="19" t="str">
        <f t="shared" si="91"/>
        <v>UHCL</v>
      </c>
      <c r="C112" s="142">
        <f t="shared" si="89"/>
        <v>1</v>
      </c>
      <c r="D112" s="96">
        <f t="shared" si="92"/>
        <v>0</v>
      </c>
      <c r="E112" s="96">
        <f t="shared" si="92"/>
        <v>0.25</v>
      </c>
      <c r="F112" s="96">
        <f t="shared" si="92"/>
        <v>0.1</v>
      </c>
      <c r="G112" s="96">
        <f t="shared" si="92"/>
        <v>0</v>
      </c>
      <c r="H112" s="96">
        <f t="shared" si="92"/>
        <v>0</v>
      </c>
      <c r="I112" s="96">
        <f t="shared" si="87"/>
        <v>0</v>
      </c>
      <c r="J112" s="96">
        <f t="shared" si="93"/>
        <v>0.3</v>
      </c>
      <c r="K112" s="96">
        <f t="shared" si="93"/>
        <v>0.1</v>
      </c>
      <c r="L112" s="96">
        <f t="shared" si="93"/>
        <v>0.2</v>
      </c>
      <c r="M112" s="97">
        <f t="shared" si="93"/>
        <v>0.05</v>
      </c>
      <c r="N112" s="85"/>
    </row>
    <row r="113" spans="1:17" outlineLevel="1" x14ac:dyDescent="0.2">
      <c r="A113" s="20">
        <f t="shared" si="91"/>
        <v>12826</v>
      </c>
      <c r="B113" s="19" t="str">
        <f t="shared" si="91"/>
        <v>UHD</v>
      </c>
      <c r="C113" s="142">
        <f t="shared" si="89"/>
        <v>0.99999999999999989</v>
      </c>
      <c r="D113" s="96">
        <f t="shared" si="92"/>
        <v>0</v>
      </c>
      <c r="E113" s="96">
        <f t="shared" si="92"/>
        <v>0.1</v>
      </c>
      <c r="F113" s="96">
        <f t="shared" si="92"/>
        <v>0.05</v>
      </c>
      <c r="G113" s="96">
        <f t="shared" si="92"/>
        <v>0</v>
      </c>
      <c r="H113" s="96">
        <f t="shared" si="92"/>
        <v>0</v>
      </c>
      <c r="I113" s="96">
        <f t="shared" si="87"/>
        <v>0</v>
      </c>
      <c r="J113" s="96">
        <f t="shared" si="93"/>
        <v>0.3</v>
      </c>
      <c r="K113" s="96">
        <f t="shared" si="93"/>
        <v>0.25</v>
      </c>
      <c r="L113" s="96">
        <f t="shared" si="93"/>
        <v>0.2</v>
      </c>
      <c r="M113" s="97">
        <f t="shared" si="93"/>
        <v>0.1</v>
      </c>
      <c r="N113" s="85"/>
    </row>
    <row r="114" spans="1:17" outlineLevel="1" x14ac:dyDescent="0.2">
      <c r="A114" s="20">
        <f t="shared" si="91"/>
        <v>13231</v>
      </c>
      <c r="B114" s="19" t="str">
        <f t="shared" si="91"/>
        <v>UHV</v>
      </c>
      <c r="C114" s="142">
        <f t="shared" si="89"/>
        <v>0.99999999999999989</v>
      </c>
      <c r="D114" s="96">
        <f t="shared" si="92"/>
        <v>0</v>
      </c>
      <c r="E114" s="96">
        <f t="shared" si="92"/>
        <v>0.25</v>
      </c>
      <c r="F114" s="96">
        <f t="shared" si="92"/>
        <v>0.1</v>
      </c>
      <c r="G114" s="96">
        <f t="shared" si="92"/>
        <v>0</v>
      </c>
      <c r="H114" s="96">
        <f t="shared" si="92"/>
        <v>0</v>
      </c>
      <c r="I114" s="96">
        <f t="shared" si="87"/>
        <v>0</v>
      </c>
      <c r="J114" s="96">
        <f t="shared" si="93"/>
        <v>0.3</v>
      </c>
      <c r="K114" s="96">
        <f t="shared" si="93"/>
        <v>0.2</v>
      </c>
      <c r="L114" s="96">
        <f t="shared" si="93"/>
        <v>0.1</v>
      </c>
      <c r="M114" s="97">
        <f t="shared" si="93"/>
        <v>0.05</v>
      </c>
      <c r="N114" s="85"/>
    </row>
    <row r="115" spans="1:17" outlineLevel="1" x14ac:dyDescent="0.2">
      <c r="A115" s="20">
        <f t="shared" si="91"/>
        <v>3592</v>
      </c>
      <c r="B115" s="19" t="str">
        <f t="shared" si="91"/>
        <v>Midwestern</v>
      </c>
      <c r="C115" s="142">
        <f t="shared" si="89"/>
        <v>1</v>
      </c>
      <c r="D115" s="96">
        <f t="shared" si="92"/>
        <v>0</v>
      </c>
      <c r="E115" s="96">
        <f t="shared" si="92"/>
        <v>0.25</v>
      </c>
      <c r="F115" s="96">
        <f t="shared" si="92"/>
        <v>0.05</v>
      </c>
      <c r="G115" s="96">
        <f t="shared" si="92"/>
        <v>0</v>
      </c>
      <c r="H115" s="96">
        <f t="shared" si="92"/>
        <v>0</v>
      </c>
      <c r="I115" s="96">
        <f t="shared" si="87"/>
        <v>0</v>
      </c>
      <c r="J115" s="96">
        <f t="shared" si="93"/>
        <v>0.3</v>
      </c>
      <c r="K115" s="96">
        <f t="shared" si="93"/>
        <v>0.1</v>
      </c>
      <c r="L115" s="96">
        <f t="shared" si="93"/>
        <v>0.1</v>
      </c>
      <c r="M115" s="97">
        <f t="shared" si="93"/>
        <v>0.2</v>
      </c>
      <c r="N115" s="85"/>
    </row>
    <row r="116" spans="1:17" outlineLevel="1" x14ac:dyDescent="0.2">
      <c r="A116" s="20">
        <f t="shared" si="91"/>
        <v>3594</v>
      </c>
      <c r="B116" s="19" t="str">
        <f t="shared" si="91"/>
        <v>UNT</v>
      </c>
      <c r="C116" s="142">
        <f t="shared" si="89"/>
        <v>1</v>
      </c>
      <c r="D116" s="96">
        <f t="shared" si="92"/>
        <v>0</v>
      </c>
      <c r="E116" s="96">
        <f t="shared" si="92"/>
        <v>0.25</v>
      </c>
      <c r="F116" s="96">
        <f t="shared" si="92"/>
        <v>0.05</v>
      </c>
      <c r="G116" s="96">
        <f t="shared" si="92"/>
        <v>0</v>
      </c>
      <c r="H116" s="96">
        <f t="shared" si="92"/>
        <v>0</v>
      </c>
      <c r="I116" s="96">
        <f t="shared" si="87"/>
        <v>0</v>
      </c>
      <c r="J116" s="96">
        <f t="shared" si="93"/>
        <v>0.3</v>
      </c>
      <c r="K116" s="96">
        <f t="shared" si="93"/>
        <v>0.1</v>
      </c>
      <c r="L116" s="96">
        <f t="shared" si="93"/>
        <v>0.1</v>
      </c>
      <c r="M116" s="97">
        <f t="shared" si="93"/>
        <v>0.2</v>
      </c>
      <c r="N116" s="85"/>
      <c r="Q116" s="87"/>
    </row>
    <row r="117" spans="1:17" outlineLevel="1" x14ac:dyDescent="0.2">
      <c r="A117" s="27">
        <f t="shared" si="91"/>
        <v>113594</v>
      </c>
      <c r="B117" s="19" t="str">
        <f t="shared" si="91"/>
        <v>UNTD</v>
      </c>
      <c r="C117" s="142">
        <f t="shared" si="89"/>
        <v>1</v>
      </c>
      <c r="D117" s="96">
        <f t="shared" si="92"/>
        <v>0</v>
      </c>
      <c r="E117" s="96">
        <f t="shared" si="92"/>
        <v>0.25</v>
      </c>
      <c r="F117" s="96">
        <f t="shared" si="92"/>
        <v>0.2</v>
      </c>
      <c r="G117" s="96">
        <f t="shared" si="92"/>
        <v>0</v>
      </c>
      <c r="H117" s="96">
        <f t="shared" si="92"/>
        <v>0</v>
      </c>
      <c r="I117" s="96">
        <f t="shared" si="87"/>
        <v>0</v>
      </c>
      <c r="J117" s="96">
        <f t="shared" si="93"/>
        <v>0.3</v>
      </c>
      <c r="K117" s="96">
        <f t="shared" si="93"/>
        <v>0.1</v>
      </c>
      <c r="L117" s="96">
        <f t="shared" si="93"/>
        <v>0.1</v>
      </c>
      <c r="M117" s="97">
        <f t="shared" si="93"/>
        <v>0.05</v>
      </c>
      <c r="N117" s="85"/>
    </row>
    <row r="118" spans="1:17" outlineLevel="1" x14ac:dyDescent="0.2">
      <c r="A118" s="20">
        <f t="shared" si="91"/>
        <v>3624</v>
      </c>
      <c r="B118" s="19" t="str">
        <f t="shared" si="91"/>
        <v>SFA</v>
      </c>
      <c r="C118" s="142">
        <f t="shared" si="89"/>
        <v>1</v>
      </c>
      <c r="D118" s="96">
        <f t="shared" si="92"/>
        <v>0</v>
      </c>
      <c r="E118" s="96">
        <f t="shared" si="92"/>
        <v>0.25</v>
      </c>
      <c r="F118" s="96">
        <f t="shared" si="92"/>
        <v>0.05</v>
      </c>
      <c r="G118" s="96">
        <f t="shared" si="92"/>
        <v>0</v>
      </c>
      <c r="H118" s="96">
        <f t="shared" si="92"/>
        <v>0</v>
      </c>
      <c r="I118" s="96">
        <f t="shared" si="87"/>
        <v>0</v>
      </c>
      <c r="J118" s="96">
        <f t="shared" si="93"/>
        <v>0.3</v>
      </c>
      <c r="K118" s="96">
        <f t="shared" si="93"/>
        <v>0.1</v>
      </c>
      <c r="L118" s="96">
        <f t="shared" si="93"/>
        <v>0.1</v>
      </c>
      <c r="M118" s="97">
        <f t="shared" si="93"/>
        <v>0.2</v>
      </c>
      <c r="N118" s="85"/>
    </row>
    <row r="119" spans="1:17" outlineLevel="1" x14ac:dyDescent="0.2">
      <c r="A119" s="20">
        <f t="shared" si="91"/>
        <v>3642</v>
      </c>
      <c r="B119" s="19" t="str">
        <f t="shared" si="91"/>
        <v>TSU</v>
      </c>
      <c r="C119" s="142">
        <f t="shared" si="89"/>
        <v>1</v>
      </c>
      <c r="D119" s="96">
        <f t="shared" si="92"/>
        <v>0</v>
      </c>
      <c r="E119" s="96">
        <f t="shared" si="92"/>
        <v>0.1</v>
      </c>
      <c r="F119" s="96">
        <f t="shared" si="92"/>
        <v>0.05</v>
      </c>
      <c r="G119" s="96">
        <f t="shared" si="92"/>
        <v>0</v>
      </c>
      <c r="H119" s="96">
        <f t="shared" si="92"/>
        <v>0</v>
      </c>
      <c r="I119" s="96">
        <f t="shared" si="87"/>
        <v>0</v>
      </c>
      <c r="J119" s="96">
        <f t="shared" si="93"/>
        <v>0.3</v>
      </c>
      <c r="K119" s="96">
        <f t="shared" si="93"/>
        <v>0.1</v>
      </c>
      <c r="L119" s="96">
        <f t="shared" si="93"/>
        <v>0.2</v>
      </c>
      <c r="M119" s="97">
        <f t="shared" si="93"/>
        <v>0.25</v>
      </c>
      <c r="N119" s="85"/>
    </row>
    <row r="120" spans="1:17" outlineLevel="1" x14ac:dyDescent="0.2">
      <c r="A120" s="20">
        <f t="shared" si="91"/>
        <v>3644</v>
      </c>
      <c r="B120" s="19" t="str">
        <f t="shared" si="91"/>
        <v>TTU</v>
      </c>
      <c r="C120" s="142">
        <f t="shared" si="89"/>
        <v>1</v>
      </c>
      <c r="D120" s="96">
        <f t="shared" ref="D120:H127" si="94">HLOOKUP(D161,$D$170:$L$171,2,0)</f>
        <v>0</v>
      </c>
      <c r="E120" s="96">
        <f t="shared" si="94"/>
        <v>0.3</v>
      </c>
      <c r="F120" s="96">
        <f t="shared" si="94"/>
        <v>0.05</v>
      </c>
      <c r="G120" s="96">
        <f t="shared" si="94"/>
        <v>0</v>
      </c>
      <c r="H120" s="96">
        <f t="shared" si="94"/>
        <v>0</v>
      </c>
      <c r="I120" s="96">
        <f t="shared" si="87"/>
        <v>0</v>
      </c>
      <c r="J120" s="96">
        <f t="shared" si="93"/>
        <v>0.25</v>
      </c>
      <c r="K120" s="96">
        <f t="shared" si="93"/>
        <v>0.1</v>
      </c>
      <c r="L120" s="96">
        <f t="shared" si="93"/>
        <v>0.1</v>
      </c>
      <c r="M120" s="97">
        <f t="shared" si="93"/>
        <v>0.2</v>
      </c>
      <c r="N120" s="85"/>
    </row>
    <row r="121" spans="1:17" outlineLevel="1" x14ac:dyDescent="0.2">
      <c r="A121" s="20">
        <f t="shared" si="91"/>
        <v>3541</v>
      </c>
      <c r="B121" s="19" t="str">
        <f t="shared" si="91"/>
        <v>Angelo</v>
      </c>
      <c r="C121" s="142">
        <f t="shared" si="89"/>
        <v>1</v>
      </c>
      <c r="D121" s="96">
        <f t="shared" si="94"/>
        <v>0</v>
      </c>
      <c r="E121" s="96">
        <f t="shared" si="94"/>
        <v>0.2</v>
      </c>
      <c r="F121" s="96">
        <f t="shared" si="94"/>
        <v>0.05</v>
      </c>
      <c r="G121" s="96">
        <f t="shared" si="94"/>
        <v>0</v>
      </c>
      <c r="H121" s="96">
        <f t="shared" si="94"/>
        <v>0</v>
      </c>
      <c r="I121" s="96">
        <f t="shared" si="87"/>
        <v>0</v>
      </c>
      <c r="J121" s="96">
        <f t="shared" si="93"/>
        <v>0.3</v>
      </c>
      <c r="K121" s="96">
        <f t="shared" si="93"/>
        <v>0.1</v>
      </c>
      <c r="L121" s="96">
        <f t="shared" si="93"/>
        <v>0.1</v>
      </c>
      <c r="M121" s="97">
        <f t="shared" si="93"/>
        <v>0.25</v>
      </c>
      <c r="N121" s="85"/>
    </row>
    <row r="122" spans="1:17" outlineLevel="1" x14ac:dyDescent="0.2">
      <c r="A122" s="20">
        <f t="shared" si="91"/>
        <v>3646</v>
      </c>
      <c r="B122" s="19" t="str">
        <f t="shared" si="91"/>
        <v>TWU</v>
      </c>
      <c r="C122" s="142">
        <f t="shared" si="89"/>
        <v>1</v>
      </c>
      <c r="D122" s="96">
        <f t="shared" si="94"/>
        <v>0</v>
      </c>
      <c r="E122" s="96">
        <f t="shared" si="94"/>
        <v>0.25</v>
      </c>
      <c r="F122" s="96">
        <f t="shared" si="94"/>
        <v>0.05</v>
      </c>
      <c r="G122" s="96">
        <f t="shared" si="94"/>
        <v>0</v>
      </c>
      <c r="H122" s="96">
        <f t="shared" si="94"/>
        <v>0</v>
      </c>
      <c r="I122" s="96">
        <f t="shared" si="87"/>
        <v>0</v>
      </c>
      <c r="J122" s="96">
        <f t="shared" si="93"/>
        <v>0.3</v>
      </c>
      <c r="K122" s="96">
        <f t="shared" si="93"/>
        <v>0.2</v>
      </c>
      <c r="L122" s="96">
        <f t="shared" si="93"/>
        <v>0.1</v>
      </c>
      <c r="M122" s="97">
        <f t="shared" si="93"/>
        <v>0.1</v>
      </c>
      <c r="N122" s="85"/>
    </row>
    <row r="123" spans="1:17" outlineLevel="1" x14ac:dyDescent="0.2">
      <c r="A123" s="20">
        <f t="shared" si="91"/>
        <v>3581</v>
      </c>
      <c r="B123" s="19" t="str">
        <f t="shared" si="91"/>
        <v>Lamar</v>
      </c>
      <c r="C123" s="142">
        <f t="shared" si="89"/>
        <v>1</v>
      </c>
      <c r="D123" s="96">
        <f t="shared" si="94"/>
        <v>0</v>
      </c>
      <c r="E123" s="96">
        <f t="shared" si="94"/>
        <v>0.1</v>
      </c>
      <c r="F123" s="96">
        <f t="shared" si="94"/>
        <v>0.05</v>
      </c>
      <c r="G123" s="96">
        <f t="shared" si="94"/>
        <v>0</v>
      </c>
      <c r="H123" s="96">
        <f t="shared" si="94"/>
        <v>0</v>
      </c>
      <c r="I123" s="96">
        <f t="shared" si="87"/>
        <v>0</v>
      </c>
      <c r="J123" s="96">
        <f t="shared" si="93"/>
        <v>0.3</v>
      </c>
      <c r="K123" s="96">
        <f t="shared" si="93"/>
        <v>0.1</v>
      </c>
      <c r="L123" s="96">
        <f t="shared" si="93"/>
        <v>0.2</v>
      </c>
      <c r="M123" s="97">
        <f t="shared" si="93"/>
        <v>0.25</v>
      </c>
      <c r="N123" s="85"/>
    </row>
    <row r="124" spans="1:17" outlineLevel="1" x14ac:dyDescent="0.2">
      <c r="A124" s="20">
        <f t="shared" si="91"/>
        <v>3606</v>
      </c>
      <c r="B124" s="19" t="str">
        <f t="shared" si="91"/>
        <v>SHSU</v>
      </c>
      <c r="C124" s="142">
        <f t="shared" si="89"/>
        <v>1</v>
      </c>
      <c r="D124" s="96">
        <f t="shared" si="94"/>
        <v>0</v>
      </c>
      <c r="E124" s="96">
        <f t="shared" si="94"/>
        <v>0.25</v>
      </c>
      <c r="F124" s="96">
        <f t="shared" si="94"/>
        <v>0.05</v>
      </c>
      <c r="G124" s="96">
        <f t="shared" si="94"/>
        <v>0</v>
      </c>
      <c r="H124" s="96">
        <f t="shared" si="94"/>
        <v>0</v>
      </c>
      <c r="I124" s="96">
        <f t="shared" si="87"/>
        <v>0</v>
      </c>
      <c r="J124" s="96">
        <f t="shared" si="93"/>
        <v>0.3</v>
      </c>
      <c r="K124" s="96">
        <f t="shared" si="93"/>
        <v>0.1</v>
      </c>
      <c r="L124" s="96">
        <f t="shared" si="93"/>
        <v>0.1</v>
      </c>
      <c r="M124" s="97">
        <f t="shared" si="93"/>
        <v>0.2</v>
      </c>
      <c r="N124" s="85"/>
    </row>
    <row r="125" spans="1:17" outlineLevel="1" x14ac:dyDescent="0.2">
      <c r="A125" s="20">
        <f t="shared" si="91"/>
        <v>3615</v>
      </c>
      <c r="B125" s="19" t="str">
        <f t="shared" si="91"/>
        <v>TXST</v>
      </c>
      <c r="C125" s="142">
        <f t="shared" si="89"/>
        <v>1</v>
      </c>
      <c r="D125" s="96">
        <f t="shared" si="94"/>
        <v>0</v>
      </c>
      <c r="E125" s="96">
        <f t="shared" si="94"/>
        <v>0.25</v>
      </c>
      <c r="F125" s="96">
        <f t="shared" si="94"/>
        <v>0.05</v>
      </c>
      <c r="G125" s="96">
        <f t="shared" si="94"/>
        <v>0</v>
      </c>
      <c r="H125" s="96">
        <f t="shared" si="94"/>
        <v>0</v>
      </c>
      <c r="I125" s="96">
        <f t="shared" si="87"/>
        <v>0</v>
      </c>
      <c r="J125" s="96">
        <f t="shared" si="93"/>
        <v>0.3</v>
      </c>
      <c r="K125" s="96">
        <f t="shared" si="93"/>
        <v>0.1</v>
      </c>
      <c r="L125" s="96">
        <f t="shared" si="93"/>
        <v>0.1</v>
      </c>
      <c r="M125" s="97">
        <f t="shared" si="93"/>
        <v>0.2</v>
      </c>
      <c r="N125" s="85"/>
    </row>
    <row r="126" spans="1:17" outlineLevel="1" x14ac:dyDescent="0.2">
      <c r="A126" s="20">
        <f t="shared" si="91"/>
        <v>3625</v>
      </c>
      <c r="B126" s="19" t="str">
        <f t="shared" si="91"/>
        <v>SRSU</v>
      </c>
      <c r="C126" s="142">
        <f t="shared" si="89"/>
        <v>1</v>
      </c>
      <c r="D126" s="96">
        <f t="shared" si="94"/>
        <v>0</v>
      </c>
      <c r="E126" s="96">
        <f t="shared" si="94"/>
        <v>0.1</v>
      </c>
      <c r="F126" s="96">
        <f t="shared" si="94"/>
        <v>0.05</v>
      </c>
      <c r="G126" s="96">
        <f t="shared" si="94"/>
        <v>0</v>
      </c>
      <c r="H126" s="96">
        <f t="shared" si="94"/>
        <v>0</v>
      </c>
      <c r="I126" s="96">
        <f t="shared" si="87"/>
        <v>0</v>
      </c>
      <c r="J126" s="96">
        <f t="shared" si="93"/>
        <v>0.3</v>
      </c>
      <c r="K126" s="96">
        <f t="shared" si="93"/>
        <v>0.2</v>
      </c>
      <c r="L126" s="96">
        <f t="shared" si="93"/>
        <v>0.1</v>
      </c>
      <c r="M126" s="97">
        <f t="shared" si="93"/>
        <v>0.25</v>
      </c>
      <c r="N126" s="85"/>
    </row>
    <row r="127" spans="1:17" ht="13.5" outlineLevel="1" thickBot="1" x14ac:dyDescent="0.25">
      <c r="A127" s="136">
        <f t="shared" si="91"/>
        <v>20</v>
      </c>
      <c r="B127" s="137" t="str">
        <f t="shared" si="91"/>
        <v>SRRG</v>
      </c>
      <c r="C127" s="167">
        <f t="shared" si="89"/>
        <v>0.99999999999999989</v>
      </c>
      <c r="D127" s="146">
        <f t="shared" si="94"/>
        <v>0</v>
      </c>
      <c r="E127" s="146">
        <f t="shared" si="94"/>
        <v>0.1</v>
      </c>
      <c r="F127" s="146">
        <f t="shared" si="94"/>
        <v>0.25</v>
      </c>
      <c r="G127" s="146">
        <f t="shared" si="94"/>
        <v>0</v>
      </c>
      <c r="H127" s="146">
        <f t="shared" si="94"/>
        <v>0</v>
      </c>
      <c r="I127" s="146">
        <f t="shared" si="87"/>
        <v>0</v>
      </c>
      <c r="J127" s="146">
        <f t="shared" si="93"/>
        <v>0.3</v>
      </c>
      <c r="K127" s="146">
        <f t="shared" si="93"/>
        <v>0.2</v>
      </c>
      <c r="L127" s="146">
        <f t="shared" si="93"/>
        <v>0.1</v>
      </c>
      <c r="M127" s="168">
        <f t="shared" si="93"/>
        <v>0.05</v>
      </c>
      <c r="N127" s="85"/>
    </row>
    <row r="128" spans="1:17" collapsed="1" x14ac:dyDescent="0.2">
      <c r="A128" s="86" t="s">
        <v>95</v>
      </c>
      <c r="B128" s="59"/>
      <c r="C128" s="90"/>
      <c r="D128" s="111"/>
      <c r="E128" s="111"/>
      <c r="F128" s="111"/>
      <c r="G128" s="111"/>
      <c r="H128" s="111"/>
      <c r="I128" s="111"/>
      <c r="J128" s="111"/>
      <c r="K128" s="111"/>
      <c r="L128" s="111"/>
      <c r="M128" s="111"/>
      <c r="N128" s="85"/>
    </row>
    <row r="129" spans="1:14" hidden="1" outlineLevel="1" x14ac:dyDescent="0.2">
      <c r="A129" s="258" t="s">
        <v>24</v>
      </c>
      <c r="B129" s="260" t="s">
        <v>23</v>
      </c>
      <c r="C129" s="262" t="s">
        <v>74</v>
      </c>
      <c r="D129" s="248" t="s">
        <v>35</v>
      </c>
      <c r="E129" s="248"/>
      <c r="F129" s="248"/>
      <c r="G129" s="248"/>
      <c r="H129" s="250" t="s">
        <v>18</v>
      </c>
      <c r="I129" s="225" t="s">
        <v>17</v>
      </c>
      <c r="J129" s="227" t="s">
        <v>16</v>
      </c>
      <c r="K129" s="229" t="s">
        <v>34</v>
      </c>
      <c r="L129" s="230"/>
      <c r="M129" s="231"/>
      <c r="N129" s="85"/>
    </row>
    <row r="130" spans="1:14" ht="51.75" hidden="1" outlineLevel="1" thickBot="1" x14ac:dyDescent="0.25">
      <c r="A130" s="267"/>
      <c r="B130" s="268"/>
      <c r="C130" s="269"/>
      <c r="D130" s="122"/>
      <c r="E130" s="123" t="s">
        <v>33</v>
      </c>
      <c r="F130" s="123" t="s">
        <v>32</v>
      </c>
      <c r="G130" s="124" t="s">
        <v>31</v>
      </c>
      <c r="H130" s="264"/>
      <c r="I130" s="265"/>
      <c r="J130" s="266"/>
      <c r="K130" s="125" t="s">
        <v>14</v>
      </c>
      <c r="L130" s="126" t="s">
        <v>13</v>
      </c>
      <c r="M130" s="135" t="s">
        <v>12</v>
      </c>
      <c r="N130" s="85"/>
    </row>
    <row r="131" spans="1:14" hidden="1" outlineLevel="1" x14ac:dyDescent="0.2">
      <c r="A131" s="20">
        <f t="shared" ref="A131:B150" si="95">A90</f>
        <v>3656</v>
      </c>
      <c r="B131" s="19" t="str">
        <f t="shared" si="95"/>
        <v>UTA</v>
      </c>
      <c r="C131" s="90"/>
      <c r="D131" s="98">
        <f t="shared" ref="D131:M131" si="96">RANK(D177,$D177:$M177)</f>
        <v>7</v>
      </c>
      <c r="E131" s="99">
        <f t="shared" si="96"/>
        <v>2</v>
      </c>
      <c r="F131" s="99">
        <f t="shared" si="96"/>
        <v>6</v>
      </c>
      <c r="G131" s="100">
        <f t="shared" si="96"/>
        <v>7</v>
      </c>
      <c r="H131" s="98">
        <f t="shared" si="96"/>
        <v>7</v>
      </c>
      <c r="I131" s="100">
        <f t="shared" si="96"/>
        <v>7</v>
      </c>
      <c r="J131" s="101">
        <f t="shared" si="96"/>
        <v>1</v>
      </c>
      <c r="K131" s="98">
        <f t="shared" si="96"/>
        <v>3</v>
      </c>
      <c r="L131" s="99">
        <f t="shared" si="96"/>
        <v>4</v>
      </c>
      <c r="M131" s="100">
        <f t="shared" si="96"/>
        <v>5</v>
      </c>
      <c r="N131" s="85"/>
    </row>
    <row r="132" spans="1:14" hidden="1" outlineLevel="1" x14ac:dyDescent="0.2">
      <c r="A132" s="20">
        <f t="shared" si="95"/>
        <v>3658</v>
      </c>
      <c r="B132" s="19" t="str">
        <f t="shared" si="95"/>
        <v>UT</v>
      </c>
      <c r="C132" s="90"/>
      <c r="D132" s="102">
        <f t="shared" ref="D132:M132" si="97">RANK(D178,$D178:$M178)</f>
        <v>7</v>
      </c>
      <c r="E132" s="103">
        <f t="shared" si="97"/>
        <v>1</v>
      </c>
      <c r="F132" s="103">
        <f t="shared" si="97"/>
        <v>6</v>
      </c>
      <c r="G132" s="104">
        <f t="shared" si="97"/>
        <v>7</v>
      </c>
      <c r="H132" s="102">
        <f t="shared" si="97"/>
        <v>7</v>
      </c>
      <c r="I132" s="104">
        <f t="shared" si="97"/>
        <v>7</v>
      </c>
      <c r="J132" s="102">
        <f t="shared" si="97"/>
        <v>3</v>
      </c>
      <c r="K132" s="102">
        <f t="shared" si="97"/>
        <v>5</v>
      </c>
      <c r="L132" s="103">
        <f t="shared" si="97"/>
        <v>4</v>
      </c>
      <c r="M132" s="104">
        <f t="shared" si="97"/>
        <v>2</v>
      </c>
      <c r="N132" s="85"/>
    </row>
    <row r="133" spans="1:14" hidden="1" outlineLevel="1" x14ac:dyDescent="0.2">
      <c r="A133" s="20">
        <f t="shared" si="95"/>
        <v>9741</v>
      </c>
      <c r="B133" s="19" t="str">
        <f t="shared" si="95"/>
        <v>UTD</v>
      </c>
      <c r="C133" s="90"/>
      <c r="D133" s="102">
        <f t="shared" ref="D133:M133" si="98">RANK(D179,$D179:$M179)</f>
        <v>7</v>
      </c>
      <c r="E133" s="103">
        <f t="shared" si="98"/>
        <v>1</v>
      </c>
      <c r="F133" s="103">
        <f t="shared" si="98"/>
        <v>6</v>
      </c>
      <c r="G133" s="104">
        <f t="shared" si="98"/>
        <v>7</v>
      </c>
      <c r="H133" s="102">
        <f t="shared" si="98"/>
        <v>7</v>
      </c>
      <c r="I133" s="104">
        <f t="shared" si="98"/>
        <v>7</v>
      </c>
      <c r="J133" s="102">
        <f t="shared" si="98"/>
        <v>2</v>
      </c>
      <c r="K133" s="102">
        <f t="shared" si="98"/>
        <v>3</v>
      </c>
      <c r="L133" s="103">
        <f t="shared" si="98"/>
        <v>4</v>
      </c>
      <c r="M133" s="104">
        <f t="shared" si="98"/>
        <v>5</v>
      </c>
      <c r="N133" s="85"/>
    </row>
    <row r="134" spans="1:14" hidden="1" outlineLevel="1" x14ac:dyDescent="0.2">
      <c r="A134" s="20">
        <f t="shared" si="95"/>
        <v>3661</v>
      </c>
      <c r="B134" s="19" t="str">
        <f t="shared" si="95"/>
        <v>UTEP</v>
      </c>
      <c r="C134" s="90"/>
      <c r="D134" s="102">
        <f t="shared" ref="D134:M134" si="99">RANK(D180,$D180:$M180)</f>
        <v>7</v>
      </c>
      <c r="E134" s="103">
        <f t="shared" si="99"/>
        <v>4</v>
      </c>
      <c r="F134" s="103">
        <f t="shared" si="99"/>
        <v>6</v>
      </c>
      <c r="G134" s="104">
        <f t="shared" si="99"/>
        <v>7</v>
      </c>
      <c r="H134" s="102">
        <f t="shared" si="99"/>
        <v>7</v>
      </c>
      <c r="I134" s="104">
        <f t="shared" si="99"/>
        <v>7</v>
      </c>
      <c r="J134" s="102">
        <f t="shared" si="99"/>
        <v>1</v>
      </c>
      <c r="K134" s="102">
        <f t="shared" si="99"/>
        <v>5</v>
      </c>
      <c r="L134" s="103">
        <f t="shared" si="99"/>
        <v>3</v>
      </c>
      <c r="M134" s="104">
        <f t="shared" si="99"/>
        <v>2</v>
      </c>
      <c r="N134" s="85"/>
    </row>
    <row r="135" spans="1:14" hidden="1" outlineLevel="1" x14ac:dyDescent="0.2">
      <c r="A135" s="20">
        <f t="shared" si="95"/>
        <v>3599</v>
      </c>
      <c r="B135" s="19" t="str">
        <f t="shared" si="95"/>
        <v>UTPA</v>
      </c>
      <c r="C135" s="90"/>
      <c r="D135" s="102">
        <f t="shared" ref="D135:M135" si="100">RANK(D181,$D181:$M181)</f>
        <v>7</v>
      </c>
      <c r="E135" s="103">
        <f t="shared" si="100"/>
        <v>3</v>
      </c>
      <c r="F135" s="103">
        <f t="shared" si="100"/>
        <v>6</v>
      </c>
      <c r="G135" s="104">
        <f t="shared" si="100"/>
        <v>7</v>
      </c>
      <c r="H135" s="102">
        <f t="shared" si="100"/>
        <v>7</v>
      </c>
      <c r="I135" s="104">
        <f t="shared" si="100"/>
        <v>7</v>
      </c>
      <c r="J135" s="102">
        <f t="shared" si="100"/>
        <v>1</v>
      </c>
      <c r="K135" s="102">
        <f t="shared" si="100"/>
        <v>5</v>
      </c>
      <c r="L135" s="103">
        <f t="shared" si="100"/>
        <v>4</v>
      </c>
      <c r="M135" s="104">
        <f t="shared" si="100"/>
        <v>2</v>
      </c>
      <c r="N135" s="85"/>
    </row>
    <row r="136" spans="1:14" hidden="1" outlineLevel="1" x14ac:dyDescent="0.2">
      <c r="A136" s="20">
        <f t="shared" si="95"/>
        <v>30646</v>
      </c>
      <c r="B136" s="19" t="str">
        <f t="shared" si="95"/>
        <v>UTB</v>
      </c>
      <c r="C136" s="90"/>
      <c r="D136" s="102">
        <f t="shared" ref="D136:M136" si="101">RANK(D182,$D182:$M182)</f>
        <v>7</v>
      </c>
      <c r="E136" s="103">
        <f t="shared" si="101"/>
        <v>2</v>
      </c>
      <c r="F136" s="103">
        <f t="shared" si="101"/>
        <v>5</v>
      </c>
      <c r="G136" s="104">
        <f t="shared" si="101"/>
        <v>7</v>
      </c>
      <c r="H136" s="102">
        <f t="shared" si="101"/>
        <v>7</v>
      </c>
      <c r="I136" s="104">
        <f t="shared" si="101"/>
        <v>7</v>
      </c>
      <c r="J136" s="102">
        <f t="shared" si="101"/>
        <v>1</v>
      </c>
      <c r="K136" s="102">
        <f t="shared" si="101"/>
        <v>3</v>
      </c>
      <c r="L136" s="103">
        <f t="shared" si="101"/>
        <v>4</v>
      </c>
      <c r="M136" s="104">
        <f t="shared" si="101"/>
        <v>6</v>
      </c>
      <c r="N136" s="85"/>
    </row>
    <row r="137" spans="1:14" hidden="1" outlineLevel="1" x14ac:dyDescent="0.2">
      <c r="A137" s="20">
        <f t="shared" si="95"/>
        <v>9930</v>
      </c>
      <c r="B137" s="19" t="str">
        <f t="shared" si="95"/>
        <v>UTPB</v>
      </c>
      <c r="C137" s="90"/>
      <c r="D137" s="102">
        <f t="shared" ref="D137:M137" si="102">RANK(D183,$D183:$M183)</f>
        <v>7</v>
      </c>
      <c r="E137" s="103">
        <f t="shared" si="102"/>
        <v>2</v>
      </c>
      <c r="F137" s="103">
        <f t="shared" si="102"/>
        <v>6</v>
      </c>
      <c r="G137" s="104">
        <f t="shared" si="102"/>
        <v>7</v>
      </c>
      <c r="H137" s="102">
        <f t="shared" si="102"/>
        <v>7</v>
      </c>
      <c r="I137" s="104">
        <f t="shared" si="102"/>
        <v>7</v>
      </c>
      <c r="J137" s="102">
        <f t="shared" si="102"/>
        <v>1</v>
      </c>
      <c r="K137" s="102">
        <f t="shared" si="102"/>
        <v>3</v>
      </c>
      <c r="L137" s="103">
        <f t="shared" si="102"/>
        <v>4</v>
      </c>
      <c r="M137" s="104">
        <f t="shared" si="102"/>
        <v>5</v>
      </c>
      <c r="N137" s="85"/>
    </row>
    <row r="138" spans="1:14" hidden="1" outlineLevel="1" x14ac:dyDescent="0.2">
      <c r="A138" s="20">
        <f t="shared" si="95"/>
        <v>10115</v>
      </c>
      <c r="B138" s="19" t="str">
        <f t="shared" si="95"/>
        <v>UTSA</v>
      </c>
      <c r="C138" s="90"/>
      <c r="D138" s="102">
        <f t="shared" ref="D138:M138" si="103">RANK(D184,$D184:$M184)</f>
        <v>7</v>
      </c>
      <c r="E138" s="103">
        <f t="shared" si="103"/>
        <v>2</v>
      </c>
      <c r="F138" s="103">
        <f t="shared" si="103"/>
        <v>6</v>
      </c>
      <c r="G138" s="104">
        <f t="shared" si="103"/>
        <v>7</v>
      </c>
      <c r="H138" s="102">
        <f t="shared" si="103"/>
        <v>7</v>
      </c>
      <c r="I138" s="104">
        <f t="shared" si="103"/>
        <v>7</v>
      </c>
      <c r="J138" s="102">
        <f t="shared" si="103"/>
        <v>1</v>
      </c>
      <c r="K138" s="102">
        <f t="shared" si="103"/>
        <v>3</v>
      </c>
      <c r="L138" s="103">
        <f t="shared" si="103"/>
        <v>5</v>
      </c>
      <c r="M138" s="104">
        <f t="shared" si="103"/>
        <v>4</v>
      </c>
      <c r="N138" s="85"/>
    </row>
    <row r="139" spans="1:14" hidden="1" outlineLevel="1" x14ac:dyDescent="0.2">
      <c r="A139" s="20">
        <f t="shared" si="95"/>
        <v>11163</v>
      </c>
      <c r="B139" s="19" t="str">
        <f t="shared" si="95"/>
        <v>UTT</v>
      </c>
      <c r="C139" s="90"/>
      <c r="D139" s="102">
        <f t="shared" ref="D139:M139" si="104">RANK(D185,$D185:$M185)</f>
        <v>7</v>
      </c>
      <c r="E139" s="103">
        <f t="shared" si="104"/>
        <v>2</v>
      </c>
      <c r="F139" s="103">
        <f t="shared" si="104"/>
        <v>6</v>
      </c>
      <c r="G139" s="104">
        <f t="shared" si="104"/>
        <v>7</v>
      </c>
      <c r="H139" s="102">
        <f t="shared" si="104"/>
        <v>7</v>
      </c>
      <c r="I139" s="104">
        <f t="shared" si="104"/>
        <v>7</v>
      </c>
      <c r="J139" s="102">
        <f t="shared" si="104"/>
        <v>1</v>
      </c>
      <c r="K139" s="102">
        <f t="shared" si="104"/>
        <v>3</v>
      </c>
      <c r="L139" s="103">
        <f t="shared" si="104"/>
        <v>4</v>
      </c>
      <c r="M139" s="104">
        <f t="shared" si="104"/>
        <v>5</v>
      </c>
      <c r="N139" s="85"/>
    </row>
    <row r="140" spans="1:14" hidden="1" outlineLevel="1" x14ac:dyDescent="0.2">
      <c r="A140" s="20">
        <f t="shared" si="95"/>
        <v>3632</v>
      </c>
      <c r="B140" s="19" t="str">
        <f t="shared" si="95"/>
        <v>TAMU</v>
      </c>
      <c r="C140" s="90"/>
      <c r="D140" s="102">
        <f t="shared" ref="D140:M140" si="105">RANK(D186,$D186:$M186)</f>
        <v>7</v>
      </c>
      <c r="E140" s="103">
        <f t="shared" si="105"/>
        <v>1</v>
      </c>
      <c r="F140" s="103">
        <f t="shared" si="105"/>
        <v>6</v>
      </c>
      <c r="G140" s="104">
        <f t="shared" si="105"/>
        <v>7</v>
      </c>
      <c r="H140" s="102">
        <f t="shared" si="105"/>
        <v>7</v>
      </c>
      <c r="I140" s="104">
        <f t="shared" si="105"/>
        <v>7</v>
      </c>
      <c r="J140" s="102">
        <f t="shared" si="105"/>
        <v>3</v>
      </c>
      <c r="K140" s="102">
        <f t="shared" si="105"/>
        <v>5</v>
      </c>
      <c r="L140" s="103">
        <f t="shared" si="105"/>
        <v>4</v>
      </c>
      <c r="M140" s="104">
        <f t="shared" si="105"/>
        <v>2</v>
      </c>
      <c r="N140" s="85"/>
    </row>
    <row r="141" spans="1:14" hidden="1" outlineLevel="1" x14ac:dyDescent="0.2">
      <c r="A141" s="20">
        <f t="shared" si="95"/>
        <v>10298</v>
      </c>
      <c r="B141" s="19" t="str">
        <f t="shared" si="95"/>
        <v>TAMUG</v>
      </c>
      <c r="C141" s="90"/>
      <c r="D141" s="102">
        <f t="shared" ref="D141:M141" si="106">RANK(D187,$D187:$M187)</f>
        <v>7</v>
      </c>
      <c r="E141" s="103">
        <f t="shared" si="106"/>
        <v>2</v>
      </c>
      <c r="F141" s="103">
        <f t="shared" si="106"/>
        <v>6</v>
      </c>
      <c r="G141" s="104">
        <f t="shared" si="106"/>
        <v>7</v>
      </c>
      <c r="H141" s="102">
        <f t="shared" si="106"/>
        <v>7</v>
      </c>
      <c r="I141" s="104">
        <f t="shared" si="106"/>
        <v>7</v>
      </c>
      <c r="J141" s="102">
        <f t="shared" si="106"/>
        <v>1</v>
      </c>
      <c r="K141" s="102">
        <f t="shared" si="106"/>
        <v>4</v>
      </c>
      <c r="L141" s="103">
        <f t="shared" si="106"/>
        <v>5</v>
      </c>
      <c r="M141" s="104">
        <f t="shared" si="106"/>
        <v>3</v>
      </c>
      <c r="N141" s="85"/>
    </row>
    <row r="142" spans="1:14" hidden="1" outlineLevel="1" x14ac:dyDescent="0.2">
      <c r="A142" s="20">
        <f t="shared" si="95"/>
        <v>3630</v>
      </c>
      <c r="B142" s="19" t="str">
        <f t="shared" si="95"/>
        <v>Prairie View</v>
      </c>
      <c r="C142" s="90"/>
      <c r="D142" s="102">
        <f t="shared" ref="D142:M142" si="107">RANK(D188,$D188:$M188)</f>
        <v>7</v>
      </c>
      <c r="E142" s="103">
        <f t="shared" si="107"/>
        <v>5</v>
      </c>
      <c r="F142" s="103">
        <f t="shared" si="107"/>
        <v>6</v>
      </c>
      <c r="G142" s="104">
        <f t="shared" si="107"/>
        <v>7</v>
      </c>
      <c r="H142" s="102">
        <f t="shared" si="107"/>
        <v>7</v>
      </c>
      <c r="I142" s="104">
        <f t="shared" si="107"/>
        <v>7</v>
      </c>
      <c r="J142" s="102">
        <f t="shared" si="107"/>
        <v>1</v>
      </c>
      <c r="K142" s="102">
        <f t="shared" si="107"/>
        <v>4</v>
      </c>
      <c r="L142" s="103">
        <f t="shared" si="107"/>
        <v>3</v>
      </c>
      <c r="M142" s="104">
        <f t="shared" si="107"/>
        <v>2</v>
      </c>
      <c r="N142" s="85"/>
    </row>
    <row r="143" spans="1:14" hidden="1" outlineLevel="1" x14ac:dyDescent="0.2">
      <c r="A143" s="20">
        <f t="shared" si="95"/>
        <v>3631</v>
      </c>
      <c r="B143" s="19" t="str">
        <f t="shared" si="95"/>
        <v>Tarleton</v>
      </c>
      <c r="C143" s="90"/>
      <c r="D143" s="102">
        <f t="shared" ref="D143:M143" si="108">RANK(D189,$D189:$M189)</f>
        <v>7</v>
      </c>
      <c r="E143" s="103">
        <f t="shared" si="108"/>
        <v>2</v>
      </c>
      <c r="F143" s="103">
        <f t="shared" si="108"/>
        <v>6</v>
      </c>
      <c r="G143" s="104">
        <f t="shared" si="108"/>
        <v>7</v>
      </c>
      <c r="H143" s="102">
        <f t="shared" si="108"/>
        <v>7</v>
      </c>
      <c r="I143" s="104">
        <f t="shared" si="108"/>
        <v>7</v>
      </c>
      <c r="J143" s="102">
        <f t="shared" si="108"/>
        <v>1</v>
      </c>
      <c r="K143" s="102">
        <f t="shared" si="108"/>
        <v>4</v>
      </c>
      <c r="L143" s="103">
        <f t="shared" si="108"/>
        <v>5</v>
      </c>
      <c r="M143" s="104">
        <f t="shared" si="108"/>
        <v>3</v>
      </c>
      <c r="N143" s="85"/>
    </row>
    <row r="144" spans="1:14" hidden="1" outlineLevel="1" x14ac:dyDescent="0.2">
      <c r="A144" s="27">
        <f t="shared" si="95"/>
        <v>103631</v>
      </c>
      <c r="B144" s="19" t="str">
        <f t="shared" si="95"/>
        <v>TAMUCT</v>
      </c>
      <c r="C144" s="90"/>
      <c r="D144" s="102">
        <f t="shared" ref="D144:M144" si="109">RANK(D190,$D190:$M190)</f>
        <v>7</v>
      </c>
      <c r="E144" s="103">
        <f t="shared" si="109"/>
        <v>3</v>
      </c>
      <c r="F144" s="103">
        <f t="shared" si="109"/>
        <v>2</v>
      </c>
      <c r="G144" s="104">
        <f t="shared" si="109"/>
        <v>7</v>
      </c>
      <c r="H144" s="102">
        <f t="shared" si="109"/>
        <v>7</v>
      </c>
      <c r="I144" s="104">
        <f t="shared" si="109"/>
        <v>7</v>
      </c>
      <c r="J144" s="102">
        <f t="shared" si="109"/>
        <v>1</v>
      </c>
      <c r="K144" s="102">
        <f t="shared" si="109"/>
        <v>4</v>
      </c>
      <c r="L144" s="103">
        <f t="shared" si="109"/>
        <v>5</v>
      </c>
      <c r="M144" s="104">
        <f t="shared" si="109"/>
        <v>6</v>
      </c>
      <c r="N144" s="85"/>
    </row>
    <row r="145" spans="1:14" hidden="1" outlineLevel="1" x14ac:dyDescent="0.2">
      <c r="A145" s="20">
        <f t="shared" si="95"/>
        <v>11161</v>
      </c>
      <c r="B145" s="19" t="str">
        <f t="shared" si="95"/>
        <v>TAMUCC</v>
      </c>
      <c r="C145" s="90"/>
      <c r="D145" s="102">
        <f t="shared" ref="D145:M145" si="110">RANK(D191,$D191:$M191)</f>
        <v>7</v>
      </c>
      <c r="E145" s="103">
        <f t="shared" si="110"/>
        <v>2</v>
      </c>
      <c r="F145" s="103">
        <f t="shared" si="110"/>
        <v>6</v>
      </c>
      <c r="G145" s="104">
        <f t="shared" si="110"/>
        <v>7</v>
      </c>
      <c r="H145" s="102">
        <f t="shared" si="110"/>
        <v>7</v>
      </c>
      <c r="I145" s="104">
        <f t="shared" si="110"/>
        <v>7</v>
      </c>
      <c r="J145" s="102">
        <f t="shared" si="110"/>
        <v>1</v>
      </c>
      <c r="K145" s="102">
        <f t="shared" si="110"/>
        <v>5</v>
      </c>
      <c r="L145" s="103">
        <f t="shared" si="110"/>
        <v>4</v>
      </c>
      <c r="M145" s="104">
        <f t="shared" si="110"/>
        <v>3</v>
      </c>
      <c r="N145" s="85"/>
    </row>
    <row r="146" spans="1:14" hidden="1" outlineLevel="1" x14ac:dyDescent="0.2">
      <c r="A146" s="20">
        <f t="shared" si="95"/>
        <v>3639</v>
      </c>
      <c r="B146" s="19" t="str">
        <f t="shared" si="95"/>
        <v>TAMUK</v>
      </c>
      <c r="C146" s="90"/>
      <c r="D146" s="102">
        <f t="shared" ref="D146:M146" si="111">RANK(D192,$D192:$M192)</f>
        <v>7</v>
      </c>
      <c r="E146" s="103">
        <f t="shared" si="111"/>
        <v>4</v>
      </c>
      <c r="F146" s="103">
        <f t="shared" si="111"/>
        <v>6</v>
      </c>
      <c r="G146" s="104">
        <f t="shared" si="111"/>
        <v>7</v>
      </c>
      <c r="H146" s="102">
        <f t="shared" si="111"/>
        <v>7</v>
      </c>
      <c r="I146" s="104">
        <f t="shared" si="111"/>
        <v>7</v>
      </c>
      <c r="J146" s="102">
        <f t="shared" si="111"/>
        <v>1</v>
      </c>
      <c r="K146" s="102">
        <f t="shared" si="111"/>
        <v>5</v>
      </c>
      <c r="L146" s="103">
        <f t="shared" si="111"/>
        <v>3</v>
      </c>
      <c r="M146" s="104">
        <f t="shared" si="111"/>
        <v>2</v>
      </c>
      <c r="N146" s="85"/>
    </row>
    <row r="147" spans="1:14" hidden="1" outlineLevel="1" x14ac:dyDescent="0.2">
      <c r="A147" s="27">
        <f t="shared" si="95"/>
        <v>103639</v>
      </c>
      <c r="B147" s="19" t="str">
        <f t="shared" si="95"/>
        <v>TAMUSA</v>
      </c>
      <c r="C147" s="90"/>
      <c r="D147" s="102">
        <f t="shared" ref="D147:M147" si="112">RANK(D193,$D193:$M193)</f>
        <v>7</v>
      </c>
      <c r="E147" s="103">
        <f t="shared" si="112"/>
        <v>2</v>
      </c>
      <c r="F147" s="103">
        <f t="shared" si="112"/>
        <v>4</v>
      </c>
      <c r="G147" s="104">
        <f t="shared" si="112"/>
        <v>7</v>
      </c>
      <c r="H147" s="102">
        <f t="shared" si="112"/>
        <v>7</v>
      </c>
      <c r="I147" s="104">
        <f t="shared" si="112"/>
        <v>7</v>
      </c>
      <c r="J147" s="102">
        <f t="shared" si="112"/>
        <v>1</v>
      </c>
      <c r="K147" s="102">
        <f t="shared" si="112"/>
        <v>3</v>
      </c>
      <c r="L147" s="103">
        <f t="shared" si="112"/>
        <v>5</v>
      </c>
      <c r="M147" s="104">
        <f t="shared" si="112"/>
        <v>6</v>
      </c>
      <c r="N147" s="85"/>
    </row>
    <row r="148" spans="1:14" hidden="1" outlineLevel="1" x14ac:dyDescent="0.2">
      <c r="A148" s="20">
        <f t="shared" si="95"/>
        <v>9651</v>
      </c>
      <c r="B148" s="19" t="str">
        <f t="shared" si="95"/>
        <v>TAMI</v>
      </c>
      <c r="C148" s="90"/>
      <c r="D148" s="102">
        <f t="shared" ref="D148:M148" si="113">RANK(D194,$D194:$M194)</f>
        <v>7</v>
      </c>
      <c r="E148" s="103">
        <f t="shared" si="113"/>
        <v>2</v>
      </c>
      <c r="F148" s="103">
        <f t="shared" si="113"/>
        <v>6</v>
      </c>
      <c r="G148" s="104">
        <f t="shared" si="113"/>
        <v>7</v>
      </c>
      <c r="H148" s="102">
        <f t="shared" si="113"/>
        <v>7</v>
      </c>
      <c r="I148" s="104">
        <f t="shared" si="113"/>
        <v>7</v>
      </c>
      <c r="J148" s="102">
        <f t="shared" si="113"/>
        <v>1</v>
      </c>
      <c r="K148" s="102">
        <f t="shared" si="113"/>
        <v>4</v>
      </c>
      <c r="L148" s="103">
        <f t="shared" si="113"/>
        <v>3</v>
      </c>
      <c r="M148" s="104">
        <f t="shared" si="113"/>
        <v>5</v>
      </c>
      <c r="N148" s="85"/>
    </row>
    <row r="149" spans="1:14" hidden="1" outlineLevel="1" x14ac:dyDescent="0.2">
      <c r="A149" s="20">
        <f t="shared" si="95"/>
        <v>3665</v>
      </c>
      <c r="B149" s="19" t="str">
        <f t="shared" si="95"/>
        <v>WTAMU</v>
      </c>
      <c r="C149" s="90"/>
      <c r="D149" s="102">
        <f t="shared" ref="D149:M149" si="114">RANK(D195,$D195:$M195)</f>
        <v>7</v>
      </c>
      <c r="E149" s="103">
        <f t="shared" si="114"/>
        <v>2</v>
      </c>
      <c r="F149" s="103">
        <f t="shared" si="114"/>
        <v>6</v>
      </c>
      <c r="G149" s="104">
        <f t="shared" si="114"/>
        <v>7</v>
      </c>
      <c r="H149" s="102">
        <f t="shared" si="114"/>
        <v>7</v>
      </c>
      <c r="I149" s="104">
        <f t="shared" si="114"/>
        <v>7</v>
      </c>
      <c r="J149" s="102">
        <f t="shared" si="114"/>
        <v>1</v>
      </c>
      <c r="K149" s="102">
        <f t="shared" si="114"/>
        <v>3</v>
      </c>
      <c r="L149" s="103">
        <f t="shared" si="114"/>
        <v>4</v>
      </c>
      <c r="M149" s="104">
        <f t="shared" si="114"/>
        <v>5</v>
      </c>
      <c r="N149" s="85"/>
    </row>
    <row r="150" spans="1:14" hidden="1" outlineLevel="1" x14ac:dyDescent="0.2">
      <c r="A150" s="20">
        <f t="shared" si="95"/>
        <v>3565</v>
      </c>
      <c r="B150" s="19" t="str">
        <f t="shared" si="95"/>
        <v>TAMUC</v>
      </c>
      <c r="C150" s="90"/>
      <c r="D150" s="102">
        <f t="shared" ref="D150:M150" si="115">RANK(D196,$D196:$M196)</f>
        <v>7</v>
      </c>
      <c r="E150" s="103">
        <f t="shared" si="115"/>
        <v>2</v>
      </c>
      <c r="F150" s="103">
        <f t="shared" si="115"/>
        <v>6</v>
      </c>
      <c r="G150" s="104">
        <f t="shared" si="115"/>
        <v>7</v>
      </c>
      <c r="H150" s="102">
        <f t="shared" si="115"/>
        <v>7</v>
      </c>
      <c r="I150" s="104">
        <f t="shared" si="115"/>
        <v>7</v>
      </c>
      <c r="J150" s="102">
        <f t="shared" si="115"/>
        <v>1</v>
      </c>
      <c r="K150" s="102">
        <f t="shared" si="115"/>
        <v>3</v>
      </c>
      <c r="L150" s="103">
        <f t="shared" si="115"/>
        <v>4</v>
      </c>
      <c r="M150" s="104">
        <f t="shared" si="115"/>
        <v>5</v>
      </c>
      <c r="N150" s="85"/>
    </row>
    <row r="151" spans="1:14" hidden="1" outlineLevel="1" x14ac:dyDescent="0.2">
      <c r="A151" s="20">
        <f t="shared" ref="A151:B168" si="116">A110</f>
        <v>29269</v>
      </c>
      <c r="B151" s="19" t="str">
        <f t="shared" si="116"/>
        <v>TAMUT</v>
      </c>
      <c r="C151" s="90"/>
      <c r="D151" s="102">
        <f t="shared" ref="D151:M151" si="117">RANK(D197,$D197:$M197)</f>
        <v>7</v>
      </c>
      <c r="E151" s="103">
        <f t="shared" si="117"/>
        <v>2</v>
      </c>
      <c r="F151" s="103">
        <f t="shared" si="117"/>
        <v>3</v>
      </c>
      <c r="G151" s="104">
        <f t="shared" si="117"/>
        <v>7</v>
      </c>
      <c r="H151" s="102">
        <f t="shared" si="117"/>
        <v>7</v>
      </c>
      <c r="I151" s="104">
        <f t="shared" si="117"/>
        <v>7</v>
      </c>
      <c r="J151" s="102">
        <f t="shared" si="117"/>
        <v>1</v>
      </c>
      <c r="K151" s="102">
        <f t="shared" si="117"/>
        <v>4</v>
      </c>
      <c r="L151" s="103">
        <f t="shared" si="117"/>
        <v>5</v>
      </c>
      <c r="M151" s="104">
        <f t="shared" si="117"/>
        <v>6</v>
      </c>
      <c r="N151" s="85"/>
    </row>
    <row r="152" spans="1:14" hidden="1" outlineLevel="1" x14ac:dyDescent="0.2">
      <c r="A152" s="20">
        <f t="shared" si="116"/>
        <v>3652</v>
      </c>
      <c r="B152" s="19" t="str">
        <f t="shared" si="116"/>
        <v>UH</v>
      </c>
      <c r="C152" s="90"/>
      <c r="D152" s="102">
        <f t="shared" ref="D152:M152" si="118">RANK(D198,$D198:$M198)</f>
        <v>7</v>
      </c>
      <c r="E152" s="103">
        <f t="shared" si="118"/>
        <v>2</v>
      </c>
      <c r="F152" s="103">
        <f t="shared" si="118"/>
        <v>6</v>
      </c>
      <c r="G152" s="104">
        <f t="shared" si="118"/>
        <v>7</v>
      </c>
      <c r="H152" s="102">
        <f t="shared" si="118"/>
        <v>7</v>
      </c>
      <c r="I152" s="104">
        <f t="shared" si="118"/>
        <v>7</v>
      </c>
      <c r="J152" s="102">
        <f t="shared" si="118"/>
        <v>1</v>
      </c>
      <c r="K152" s="102">
        <f t="shared" si="118"/>
        <v>5</v>
      </c>
      <c r="L152" s="103">
        <f t="shared" si="118"/>
        <v>4</v>
      </c>
      <c r="M152" s="104">
        <f t="shared" si="118"/>
        <v>3</v>
      </c>
      <c r="N152" s="85"/>
    </row>
    <row r="153" spans="1:14" hidden="1" outlineLevel="1" x14ac:dyDescent="0.2">
      <c r="A153" s="20">
        <f t="shared" si="116"/>
        <v>11711</v>
      </c>
      <c r="B153" s="19" t="str">
        <f t="shared" si="116"/>
        <v>UHCL</v>
      </c>
      <c r="C153" s="90"/>
      <c r="D153" s="102">
        <f t="shared" ref="D153:M153" si="119">RANK(D199,$D199:$M199)</f>
        <v>7</v>
      </c>
      <c r="E153" s="103">
        <f t="shared" si="119"/>
        <v>2</v>
      </c>
      <c r="F153" s="103">
        <f t="shared" si="119"/>
        <v>5</v>
      </c>
      <c r="G153" s="104">
        <f t="shared" si="119"/>
        <v>7</v>
      </c>
      <c r="H153" s="102">
        <f t="shared" si="119"/>
        <v>7</v>
      </c>
      <c r="I153" s="104">
        <f t="shared" si="119"/>
        <v>7</v>
      </c>
      <c r="J153" s="102">
        <f t="shared" si="119"/>
        <v>1</v>
      </c>
      <c r="K153" s="102">
        <f t="shared" si="119"/>
        <v>4</v>
      </c>
      <c r="L153" s="103">
        <f t="shared" si="119"/>
        <v>3</v>
      </c>
      <c r="M153" s="104">
        <f t="shared" si="119"/>
        <v>6</v>
      </c>
      <c r="N153" s="85"/>
    </row>
    <row r="154" spans="1:14" hidden="1" outlineLevel="1" x14ac:dyDescent="0.2">
      <c r="A154" s="20">
        <f t="shared" si="116"/>
        <v>12826</v>
      </c>
      <c r="B154" s="19" t="str">
        <f t="shared" si="116"/>
        <v>UHD</v>
      </c>
      <c r="C154" s="90"/>
      <c r="D154" s="102">
        <f t="shared" ref="D154:M154" si="120">RANK(D200,$D200:$M200)</f>
        <v>7</v>
      </c>
      <c r="E154" s="103">
        <f t="shared" si="120"/>
        <v>4</v>
      </c>
      <c r="F154" s="103">
        <f t="shared" si="120"/>
        <v>6</v>
      </c>
      <c r="G154" s="104">
        <f t="shared" si="120"/>
        <v>7</v>
      </c>
      <c r="H154" s="102">
        <f t="shared" si="120"/>
        <v>7</v>
      </c>
      <c r="I154" s="104">
        <f t="shared" si="120"/>
        <v>7</v>
      </c>
      <c r="J154" s="102">
        <f t="shared" si="120"/>
        <v>1</v>
      </c>
      <c r="K154" s="102">
        <f t="shared" si="120"/>
        <v>2</v>
      </c>
      <c r="L154" s="103">
        <f t="shared" si="120"/>
        <v>3</v>
      </c>
      <c r="M154" s="104">
        <f t="shared" si="120"/>
        <v>5</v>
      </c>
      <c r="N154" s="85"/>
    </row>
    <row r="155" spans="1:14" hidden="1" outlineLevel="1" x14ac:dyDescent="0.2">
      <c r="A155" s="20">
        <f t="shared" si="116"/>
        <v>13231</v>
      </c>
      <c r="B155" s="19" t="str">
        <f t="shared" si="116"/>
        <v>UHV</v>
      </c>
      <c r="C155" s="90"/>
      <c r="D155" s="102">
        <f t="shared" ref="D155:M155" si="121">RANK(D201,$D201:$M201)</f>
        <v>7</v>
      </c>
      <c r="E155" s="103">
        <f t="shared" si="121"/>
        <v>2</v>
      </c>
      <c r="F155" s="103">
        <f t="shared" si="121"/>
        <v>4</v>
      </c>
      <c r="G155" s="104">
        <f t="shared" si="121"/>
        <v>7</v>
      </c>
      <c r="H155" s="102">
        <f t="shared" si="121"/>
        <v>7</v>
      </c>
      <c r="I155" s="104">
        <f t="shared" si="121"/>
        <v>7</v>
      </c>
      <c r="J155" s="102">
        <f t="shared" si="121"/>
        <v>1</v>
      </c>
      <c r="K155" s="102">
        <f t="shared" si="121"/>
        <v>3</v>
      </c>
      <c r="L155" s="103">
        <f t="shared" si="121"/>
        <v>5</v>
      </c>
      <c r="M155" s="104">
        <f t="shared" si="121"/>
        <v>6</v>
      </c>
      <c r="N155" s="85"/>
    </row>
    <row r="156" spans="1:14" hidden="1" outlineLevel="1" x14ac:dyDescent="0.2">
      <c r="A156" s="20">
        <f t="shared" si="116"/>
        <v>3592</v>
      </c>
      <c r="B156" s="19" t="str">
        <f t="shared" si="116"/>
        <v>Midwestern</v>
      </c>
      <c r="C156" s="90"/>
      <c r="D156" s="102">
        <f t="shared" ref="D156:M156" si="122">RANK(D202,$D202:$M202)</f>
        <v>7</v>
      </c>
      <c r="E156" s="103">
        <f t="shared" si="122"/>
        <v>2</v>
      </c>
      <c r="F156" s="103">
        <f t="shared" si="122"/>
        <v>6</v>
      </c>
      <c r="G156" s="104">
        <f t="shared" si="122"/>
        <v>7</v>
      </c>
      <c r="H156" s="102">
        <f t="shared" si="122"/>
        <v>7</v>
      </c>
      <c r="I156" s="104">
        <f t="shared" si="122"/>
        <v>7</v>
      </c>
      <c r="J156" s="102">
        <f t="shared" si="122"/>
        <v>1</v>
      </c>
      <c r="K156" s="102">
        <f t="shared" si="122"/>
        <v>5</v>
      </c>
      <c r="L156" s="103">
        <f t="shared" si="122"/>
        <v>4</v>
      </c>
      <c r="M156" s="104">
        <f t="shared" si="122"/>
        <v>3</v>
      </c>
      <c r="N156" s="85"/>
    </row>
    <row r="157" spans="1:14" hidden="1" outlineLevel="1" x14ac:dyDescent="0.2">
      <c r="A157" s="20">
        <f t="shared" si="116"/>
        <v>3594</v>
      </c>
      <c r="B157" s="19" t="str">
        <f t="shared" si="116"/>
        <v>UNT</v>
      </c>
      <c r="C157" s="90"/>
      <c r="D157" s="102">
        <f t="shared" ref="D157:M157" si="123">RANK(D203,$D203:$M203)</f>
        <v>7</v>
      </c>
      <c r="E157" s="103">
        <f t="shared" si="123"/>
        <v>2</v>
      </c>
      <c r="F157" s="103">
        <f t="shared" si="123"/>
        <v>6</v>
      </c>
      <c r="G157" s="104">
        <f t="shared" si="123"/>
        <v>7</v>
      </c>
      <c r="H157" s="102">
        <f t="shared" si="123"/>
        <v>7</v>
      </c>
      <c r="I157" s="104">
        <f t="shared" si="123"/>
        <v>7</v>
      </c>
      <c r="J157" s="102">
        <f t="shared" si="123"/>
        <v>1</v>
      </c>
      <c r="K157" s="102">
        <f t="shared" si="123"/>
        <v>5</v>
      </c>
      <c r="L157" s="103">
        <f t="shared" si="123"/>
        <v>4</v>
      </c>
      <c r="M157" s="104">
        <f t="shared" si="123"/>
        <v>3</v>
      </c>
      <c r="N157" s="85"/>
    </row>
    <row r="158" spans="1:14" hidden="1" outlineLevel="1" x14ac:dyDescent="0.2">
      <c r="A158" s="27">
        <f t="shared" si="116"/>
        <v>113594</v>
      </c>
      <c r="B158" s="19" t="str">
        <f t="shared" si="116"/>
        <v>UNTD</v>
      </c>
      <c r="C158" s="90"/>
      <c r="D158" s="102">
        <f t="shared" ref="D158:M158" si="124">RANK(D204,$D204:$M204)</f>
        <v>7</v>
      </c>
      <c r="E158" s="103">
        <f t="shared" si="124"/>
        <v>2</v>
      </c>
      <c r="F158" s="103">
        <f t="shared" si="124"/>
        <v>3</v>
      </c>
      <c r="G158" s="104">
        <f t="shared" si="124"/>
        <v>7</v>
      </c>
      <c r="H158" s="102">
        <f t="shared" si="124"/>
        <v>7</v>
      </c>
      <c r="I158" s="104">
        <f t="shared" si="124"/>
        <v>7</v>
      </c>
      <c r="J158" s="102">
        <f t="shared" si="124"/>
        <v>1</v>
      </c>
      <c r="K158" s="102">
        <f t="shared" si="124"/>
        <v>4</v>
      </c>
      <c r="L158" s="103">
        <f t="shared" si="124"/>
        <v>5</v>
      </c>
      <c r="M158" s="104">
        <f t="shared" si="124"/>
        <v>6</v>
      </c>
      <c r="N158" s="85"/>
    </row>
    <row r="159" spans="1:14" hidden="1" outlineLevel="1" x14ac:dyDescent="0.2">
      <c r="A159" s="20">
        <f t="shared" si="116"/>
        <v>3624</v>
      </c>
      <c r="B159" s="19" t="str">
        <f t="shared" si="116"/>
        <v>SFA</v>
      </c>
      <c r="C159" s="90"/>
      <c r="D159" s="102">
        <f t="shared" ref="D159:M159" si="125">RANK(D205,$D205:$M205)</f>
        <v>7</v>
      </c>
      <c r="E159" s="103">
        <f t="shared" si="125"/>
        <v>2</v>
      </c>
      <c r="F159" s="103">
        <f t="shared" si="125"/>
        <v>6</v>
      </c>
      <c r="G159" s="104">
        <f t="shared" si="125"/>
        <v>7</v>
      </c>
      <c r="H159" s="102">
        <f t="shared" si="125"/>
        <v>7</v>
      </c>
      <c r="I159" s="104">
        <f t="shared" si="125"/>
        <v>7</v>
      </c>
      <c r="J159" s="102">
        <f t="shared" si="125"/>
        <v>1</v>
      </c>
      <c r="K159" s="102">
        <f t="shared" si="125"/>
        <v>5</v>
      </c>
      <c r="L159" s="103">
        <f t="shared" si="125"/>
        <v>4</v>
      </c>
      <c r="M159" s="104">
        <f t="shared" si="125"/>
        <v>3</v>
      </c>
      <c r="N159" s="85"/>
    </row>
    <row r="160" spans="1:14" hidden="1" outlineLevel="1" x14ac:dyDescent="0.2">
      <c r="A160" s="20">
        <f t="shared" si="116"/>
        <v>3642</v>
      </c>
      <c r="B160" s="19" t="str">
        <f t="shared" si="116"/>
        <v>TSU</v>
      </c>
      <c r="C160" s="90"/>
      <c r="D160" s="102">
        <f t="shared" ref="D160:M160" si="126">RANK(D206,$D206:$M206)</f>
        <v>7</v>
      </c>
      <c r="E160" s="103">
        <f t="shared" si="126"/>
        <v>5</v>
      </c>
      <c r="F160" s="103">
        <f t="shared" si="126"/>
        <v>6</v>
      </c>
      <c r="G160" s="104">
        <f t="shared" si="126"/>
        <v>7</v>
      </c>
      <c r="H160" s="102">
        <f t="shared" si="126"/>
        <v>7</v>
      </c>
      <c r="I160" s="104">
        <f t="shared" si="126"/>
        <v>7</v>
      </c>
      <c r="J160" s="102">
        <f t="shared" si="126"/>
        <v>1</v>
      </c>
      <c r="K160" s="102">
        <f t="shared" si="126"/>
        <v>4</v>
      </c>
      <c r="L160" s="103">
        <f t="shared" si="126"/>
        <v>3</v>
      </c>
      <c r="M160" s="104">
        <f t="shared" si="126"/>
        <v>2</v>
      </c>
      <c r="N160" s="85"/>
    </row>
    <row r="161" spans="1:14" hidden="1" outlineLevel="1" x14ac:dyDescent="0.2">
      <c r="A161" s="20">
        <f t="shared" si="116"/>
        <v>3644</v>
      </c>
      <c r="B161" s="19" t="str">
        <f t="shared" si="116"/>
        <v>TTU</v>
      </c>
      <c r="C161" s="90"/>
      <c r="D161" s="102">
        <f t="shared" ref="D161:M161" si="127">RANK(D207,$D207:$M207)</f>
        <v>7</v>
      </c>
      <c r="E161" s="103">
        <f t="shared" si="127"/>
        <v>1</v>
      </c>
      <c r="F161" s="103">
        <f t="shared" si="127"/>
        <v>6</v>
      </c>
      <c r="G161" s="104">
        <f t="shared" si="127"/>
        <v>7</v>
      </c>
      <c r="H161" s="102">
        <f t="shared" si="127"/>
        <v>7</v>
      </c>
      <c r="I161" s="104">
        <f t="shared" si="127"/>
        <v>7</v>
      </c>
      <c r="J161" s="102">
        <f t="shared" si="127"/>
        <v>2</v>
      </c>
      <c r="K161" s="102">
        <f t="shared" si="127"/>
        <v>5</v>
      </c>
      <c r="L161" s="103">
        <f t="shared" si="127"/>
        <v>4</v>
      </c>
      <c r="M161" s="104">
        <f t="shared" si="127"/>
        <v>3</v>
      </c>
      <c r="N161" s="85"/>
    </row>
    <row r="162" spans="1:14" hidden="1" outlineLevel="1" x14ac:dyDescent="0.2">
      <c r="A162" s="20">
        <f t="shared" si="116"/>
        <v>3541</v>
      </c>
      <c r="B162" s="19" t="str">
        <f t="shared" si="116"/>
        <v>Angelo</v>
      </c>
      <c r="C162" s="90"/>
      <c r="D162" s="102">
        <f t="shared" ref="D162:M162" si="128">RANK(D208,$D208:$M208)</f>
        <v>7</v>
      </c>
      <c r="E162" s="103">
        <f t="shared" si="128"/>
        <v>3</v>
      </c>
      <c r="F162" s="103">
        <f t="shared" si="128"/>
        <v>6</v>
      </c>
      <c r="G162" s="104">
        <f t="shared" si="128"/>
        <v>7</v>
      </c>
      <c r="H162" s="102">
        <f t="shared" si="128"/>
        <v>7</v>
      </c>
      <c r="I162" s="104">
        <f t="shared" si="128"/>
        <v>7</v>
      </c>
      <c r="J162" s="102">
        <f t="shared" si="128"/>
        <v>1</v>
      </c>
      <c r="K162" s="102">
        <f t="shared" si="128"/>
        <v>5</v>
      </c>
      <c r="L162" s="103">
        <f t="shared" si="128"/>
        <v>4</v>
      </c>
      <c r="M162" s="104">
        <f t="shared" si="128"/>
        <v>2</v>
      </c>
      <c r="N162" s="85"/>
    </row>
    <row r="163" spans="1:14" hidden="1" outlineLevel="1" x14ac:dyDescent="0.2">
      <c r="A163" s="20">
        <f t="shared" si="116"/>
        <v>3646</v>
      </c>
      <c r="B163" s="19" t="str">
        <f t="shared" si="116"/>
        <v>TWU</v>
      </c>
      <c r="C163" s="90"/>
      <c r="D163" s="102">
        <f t="shared" ref="D163:M163" si="129">RANK(D209,$D209:$M209)</f>
        <v>7</v>
      </c>
      <c r="E163" s="103">
        <f t="shared" si="129"/>
        <v>2</v>
      </c>
      <c r="F163" s="103">
        <f t="shared" si="129"/>
        <v>6</v>
      </c>
      <c r="G163" s="104">
        <f t="shared" si="129"/>
        <v>7</v>
      </c>
      <c r="H163" s="102">
        <f t="shared" si="129"/>
        <v>7</v>
      </c>
      <c r="I163" s="104">
        <f t="shared" si="129"/>
        <v>7</v>
      </c>
      <c r="J163" s="102">
        <f t="shared" si="129"/>
        <v>1</v>
      </c>
      <c r="K163" s="102">
        <f t="shared" si="129"/>
        <v>3</v>
      </c>
      <c r="L163" s="103">
        <f t="shared" si="129"/>
        <v>4</v>
      </c>
      <c r="M163" s="104">
        <f t="shared" si="129"/>
        <v>5</v>
      </c>
      <c r="N163" s="85"/>
    </row>
    <row r="164" spans="1:14" hidden="1" outlineLevel="1" x14ac:dyDescent="0.2">
      <c r="A164" s="20">
        <f t="shared" si="116"/>
        <v>3581</v>
      </c>
      <c r="B164" s="19" t="str">
        <f t="shared" si="116"/>
        <v>Lamar</v>
      </c>
      <c r="C164" s="90"/>
      <c r="D164" s="102">
        <f t="shared" ref="D164:M164" si="130">RANK(D210,$D210:$M210)</f>
        <v>7</v>
      </c>
      <c r="E164" s="103">
        <f t="shared" si="130"/>
        <v>5</v>
      </c>
      <c r="F164" s="103">
        <f t="shared" si="130"/>
        <v>6</v>
      </c>
      <c r="G164" s="104">
        <f t="shared" si="130"/>
        <v>7</v>
      </c>
      <c r="H164" s="102">
        <f t="shared" si="130"/>
        <v>7</v>
      </c>
      <c r="I164" s="104">
        <f t="shared" si="130"/>
        <v>7</v>
      </c>
      <c r="J164" s="102">
        <f t="shared" si="130"/>
        <v>1</v>
      </c>
      <c r="K164" s="102">
        <f t="shared" si="130"/>
        <v>4</v>
      </c>
      <c r="L164" s="103">
        <f t="shared" si="130"/>
        <v>3</v>
      </c>
      <c r="M164" s="104">
        <f t="shared" si="130"/>
        <v>2</v>
      </c>
      <c r="N164" s="85"/>
    </row>
    <row r="165" spans="1:14" hidden="1" outlineLevel="1" x14ac:dyDescent="0.2">
      <c r="A165" s="20">
        <f t="shared" si="116"/>
        <v>3606</v>
      </c>
      <c r="B165" s="19" t="str">
        <f t="shared" si="116"/>
        <v>SHSU</v>
      </c>
      <c r="C165" s="90"/>
      <c r="D165" s="102">
        <f t="shared" ref="D165:M165" si="131">RANK(D211,$D211:$M211)</f>
        <v>7</v>
      </c>
      <c r="E165" s="103">
        <f t="shared" si="131"/>
        <v>2</v>
      </c>
      <c r="F165" s="103">
        <f t="shared" si="131"/>
        <v>6</v>
      </c>
      <c r="G165" s="104">
        <f t="shared" si="131"/>
        <v>7</v>
      </c>
      <c r="H165" s="102">
        <f t="shared" si="131"/>
        <v>7</v>
      </c>
      <c r="I165" s="104">
        <f t="shared" si="131"/>
        <v>7</v>
      </c>
      <c r="J165" s="102">
        <f t="shared" si="131"/>
        <v>1</v>
      </c>
      <c r="K165" s="102">
        <f t="shared" si="131"/>
        <v>5</v>
      </c>
      <c r="L165" s="103">
        <f t="shared" si="131"/>
        <v>4</v>
      </c>
      <c r="M165" s="104">
        <f t="shared" si="131"/>
        <v>3</v>
      </c>
      <c r="N165" s="85"/>
    </row>
    <row r="166" spans="1:14" hidden="1" outlineLevel="1" x14ac:dyDescent="0.2">
      <c r="A166" s="20">
        <f t="shared" si="116"/>
        <v>3615</v>
      </c>
      <c r="B166" s="19" t="str">
        <f t="shared" si="116"/>
        <v>TXST</v>
      </c>
      <c r="C166" s="90"/>
      <c r="D166" s="102">
        <f t="shared" ref="D166:M166" si="132">RANK(D212,$D212:$M212)</f>
        <v>7</v>
      </c>
      <c r="E166" s="103">
        <f t="shared" si="132"/>
        <v>2</v>
      </c>
      <c r="F166" s="103">
        <f t="shared" si="132"/>
        <v>6</v>
      </c>
      <c r="G166" s="104">
        <f t="shared" si="132"/>
        <v>7</v>
      </c>
      <c r="H166" s="102">
        <f t="shared" si="132"/>
        <v>7</v>
      </c>
      <c r="I166" s="104">
        <f t="shared" si="132"/>
        <v>7</v>
      </c>
      <c r="J166" s="102">
        <f t="shared" si="132"/>
        <v>1</v>
      </c>
      <c r="K166" s="102">
        <f t="shared" si="132"/>
        <v>5</v>
      </c>
      <c r="L166" s="103">
        <f t="shared" si="132"/>
        <v>4</v>
      </c>
      <c r="M166" s="104">
        <f t="shared" si="132"/>
        <v>3</v>
      </c>
      <c r="N166" s="85"/>
    </row>
    <row r="167" spans="1:14" hidden="1" outlineLevel="1" x14ac:dyDescent="0.2">
      <c r="A167" s="20">
        <f t="shared" si="116"/>
        <v>3625</v>
      </c>
      <c r="B167" s="19" t="str">
        <f t="shared" si="116"/>
        <v>SRSU</v>
      </c>
      <c r="C167" s="90"/>
      <c r="D167" s="102">
        <f t="shared" ref="D167:M167" si="133">RANK(D213,$D213:$M213)</f>
        <v>7</v>
      </c>
      <c r="E167" s="103">
        <f t="shared" si="133"/>
        <v>5</v>
      </c>
      <c r="F167" s="103">
        <f t="shared" si="133"/>
        <v>6</v>
      </c>
      <c r="G167" s="104">
        <f t="shared" si="133"/>
        <v>7</v>
      </c>
      <c r="H167" s="102">
        <f t="shared" si="133"/>
        <v>7</v>
      </c>
      <c r="I167" s="104">
        <f t="shared" si="133"/>
        <v>7</v>
      </c>
      <c r="J167" s="102">
        <f t="shared" si="133"/>
        <v>1</v>
      </c>
      <c r="K167" s="102">
        <f t="shared" si="133"/>
        <v>3</v>
      </c>
      <c r="L167" s="103">
        <f t="shared" si="133"/>
        <v>4</v>
      </c>
      <c r="M167" s="104">
        <f t="shared" si="133"/>
        <v>2</v>
      </c>
      <c r="N167" s="85"/>
    </row>
    <row r="168" spans="1:14" ht="13.5" hidden="1" outlineLevel="1" thickBot="1" x14ac:dyDescent="0.25">
      <c r="A168" s="136">
        <f t="shared" si="116"/>
        <v>20</v>
      </c>
      <c r="B168" s="137" t="str">
        <f t="shared" si="116"/>
        <v>SRRG</v>
      </c>
      <c r="C168" s="138"/>
      <c r="D168" s="139">
        <f t="shared" ref="D168:M168" si="134">RANK(D214,$D214:$M214)</f>
        <v>7</v>
      </c>
      <c r="E168" s="140">
        <f t="shared" si="134"/>
        <v>4</v>
      </c>
      <c r="F168" s="140">
        <f t="shared" si="134"/>
        <v>2</v>
      </c>
      <c r="G168" s="141">
        <f t="shared" si="134"/>
        <v>7</v>
      </c>
      <c r="H168" s="139">
        <f t="shared" si="134"/>
        <v>7</v>
      </c>
      <c r="I168" s="141">
        <f t="shared" si="134"/>
        <v>7</v>
      </c>
      <c r="J168" s="139">
        <f t="shared" si="134"/>
        <v>1</v>
      </c>
      <c r="K168" s="139">
        <f t="shared" si="134"/>
        <v>3</v>
      </c>
      <c r="L168" s="140">
        <f t="shared" si="134"/>
        <v>5</v>
      </c>
      <c r="M168" s="141">
        <f t="shared" si="134"/>
        <v>6</v>
      </c>
      <c r="N168" s="85"/>
    </row>
    <row r="169" spans="1:14" ht="13.5" thickBot="1" x14ac:dyDescent="0.25">
      <c r="C169" s="90"/>
      <c r="D169" s="91"/>
      <c r="E169" s="91"/>
      <c r="F169" s="91"/>
      <c r="G169" s="91"/>
      <c r="H169" s="91"/>
      <c r="I169" s="91"/>
      <c r="J169" s="91"/>
      <c r="K169" s="91"/>
      <c r="L169" s="91"/>
      <c r="M169" s="91"/>
      <c r="N169" s="85"/>
    </row>
    <row r="170" spans="1:14" x14ac:dyDescent="0.2">
      <c r="D170" s="113">
        <v>1</v>
      </c>
      <c r="E170" s="114">
        <v>2</v>
      </c>
      <c r="F170" s="114">
        <v>3</v>
      </c>
      <c r="G170" s="114">
        <v>4</v>
      </c>
      <c r="H170" s="114">
        <v>5</v>
      </c>
      <c r="I170" s="114">
        <v>6</v>
      </c>
      <c r="J170" s="114">
        <v>7</v>
      </c>
      <c r="K170" s="114">
        <v>8</v>
      </c>
      <c r="L170" s="114">
        <v>9</v>
      </c>
      <c r="M170" s="115" t="s">
        <v>11</v>
      </c>
    </row>
    <row r="171" spans="1:14" ht="13.5" thickBot="1" x14ac:dyDescent="0.25">
      <c r="D171" s="178">
        <v>0.3</v>
      </c>
      <c r="E171" s="179">
        <v>0.25</v>
      </c>
      <c r="F171" s="180">
        <v>0.2</v>
      </c>
      <c r="G171" s="181">
        <v>0.1</v>
      </c>
      <c r="H171" s="144">
        <v>0.1</v>
      </c>
      <c r="I171" s="182">
        <v>0.05</v>
      </c>
      <c r="J171" s="183">
        <v>0</v>
      </c>
      <c r="K171" s="185">
        <v>0</v>
      </c>
      <c r="L171" s="184">
        <v>0</v>
      </c>
      <c r="M171" s="112">
        <f>SUM(D171:L171)</f>
        <v>1</v>
      </c>
    </row>
    <row r="172" spans="1:14" x14ac:dyDescent="0.2">
      <c r="C172" s="90"/>
      <c r="D172" s="91"/>
      <c r="E172" s="91"/>
      <c r="F172" s="91"/>
      <c r="G172" s="91"/>
      <c r="H172" s="91"/>
      <c r="I172" s="91"/>
      <c r="J172" s="91"/>
      <c r="K172" s="91"/>
      <c r="L172" s="91"/>
      <c r="M172" s="91"/>
      <c r="N172" s="85"/>
    </row>
    <row r="173" spans="1:14" ht="13.5" thickBot="1" x14ac:dyDescent="0.25">
      <c r="A173" s="57" t="s">
        <v>75</v>
      </c>
    </row>
    <row r="174" spans="1:14" ht="12.75" customHeight="1" outlineLevel="1" x14ac:dyDescent="0.2">
      <c r="A174" s="234" t="s">
        <v>24</v>
      </c>
      <c r="B174" s="236" t="s">
        <v>23</v>
      </c>
      <c r="C174" s="238" t="s">
        <v>36</v>
      </c>
      <c r="D174" s="247" t="s">
        <v>35</v>
      </c>
      <c r="E174" s="248"/>
      <c r="F174" s="248"/>
      <c r="G174" s="249"/>
      <c r="H174" s="250" t="s">
        <v>18</v>
      </c>
      <c r="I174" s="225" t="s">
        <v>17</v>
      </c>
      <c r="J174" s="227" t="s">
        <v>16</v>
      </c>
      <c r="K174" s="229" t="s">
        <v>34</v>
      </c>
      <c r="L174" s="230"/>
      <c r="M174" s="231"/>
      <c r="N174" s="277"/>
    </row>
    <row r="175" spans="1:14" ht="51.75" outlineLevel="1" thickBot="1" x14ac:dyDescent="0.25">
      <c r="A175" s="273"/>
      <c r="B175" s="270"/>
      <c r="C175" s="274"/>
      <c r="D175" s="152"/>
      <c r="E175" s="123" t="s">
        <v>33</v>
      </c>
      <c r="F175" s="123" t="s">
        <v>32</v>
      </c>
      <c r="G175" s="209" t="s">
        <v>31</v>
      </c>
      <c r="H175" s="264"/>
      <c r="I175" s="265"/>
      <c r="J175" s="266"/>
      <c r="K175" s="125" t="s">
        <v>14</v>
      </c>
      <c r="L175" s="126" t="s">
        <v>13</v>
      </c>
      <c r="M175" s="135" t="s">
        <v>12</v>
      </c>
      <c r="N175" s="277"/>
    </row>
    <row r="176" spans="1:14" outlineLevel="1" x14ac:dyDescent="0.2">
      <c r="A176" s="244" t="s">
        <v>78</v>
      </c>
      <c r="B176" s="245"/>
      <c r="C176" s="246"/>
      <c r="D176" s="129">
        <v>0</v>
      </c>
      <c r="E176" s="130">
        <v>7</v>
      </c>
      <c r="F176" s="130">
        <v>25</v>
      </c>
      <c r="G176" s="131">
        <v>0</v>
      </c>
      <c r="H176" s="132">
        <v>0</v>
      </c>
      <c r="I176" s="133">
        <v>0</v>
      </c>
      <c r="J176" s="134">
        <v>8</v>
      </c>
      <c r="K176" s="129">
        <v>1.7</v>
      </c>
      <c r="L176" s="130">
        <v>2.5</v>
      </c>
      <c r="M176" s="131">
        <v>4.4000000000000004</v>
      </c>
    </row>
    <row r="177" spans="1:14" outlineLevel="1" x14ac:dyDescent="0.2">
      <c r="A177" s="20">
        <f t="shared" ref="A177:B196" si="135">A5</f>
        <v>3656</v>
      </c>
      <c r="B177" s="19" t="str">
        <f t="shared" si="135"/>
        <v>UTA</v>
      </c>
      <c r="C177" s="55">
        <f t="shared" ref="C177:C214" si="136">SUM(D177:M177)</f>
        <v>72929.138040284539</v>
      </c>
      <c r="D177" s="15">
        <f t="shared" ref="D177:M177" si="137">D219*D$176</f>
        <v>0</v>
      </c>
      <c r="E177" s="14">
        <f t="shared" si="137"/>
        <v>18206.976666666669</v>
      </c>
      <c r="F177" s="14">
        <f t="shared" si="137"/>
        <v>740.09470695120706</v>
      </c>
      <c r="G177" s="13">
        <f t="shared" si="137"/>
        <v>0</v>
      </c>
      <c r="H177" s="36">
        <f t="shared" si="137"/>
        <v>0</v>
      </c>
      <c r="I177" s="35">
        <f t="shared" si="137"/>
        <v>0</v>
      </c>
      <c r="J177" s="34">
        <f t="shared" si="137"/>
        <v>24928</v>
      </c>
      <c r="K177" s="36">
        <f t="shared" si="137"/>
        <v>11621.766666666666</v>
      </c>
      <c r="L177" s="56">
        <f t="shared" si="137"/>
        <v>9584.1666666666661</v>
      </c>
      <c r="M177" s="35">
        <f t="shared" si="137"/>
        <v>7848.1333333333341</v>
      </c>
      <c r="N177" s="153"/>
    </row>
    <row r="178" spans="1:14" outlineLevel="1" x14ac:dyDescent="0.2">
      <c r="A178" s="20">
        <f t="shared" si="135"/>
        <v>3658</v>
      </c>
      <c r="B178" s="19" t="str">
        <f t="shared" si="135"/>
        <v>UT</v>
      </c>
      <c r="C178" s="55">
        <f t="shared" si="136"/>
        <v>150149.48130152814</v>
      </c>
      <c r="D178" s="15">
        <f t="shared" ref="D178:M178" si="138">D220*D$176</f>
        <v>0</v>
      </c>
      <c r="E178" s="14">
        <f t="shared" si="138"/>
        <v>51915.572333333344</v>
      </c>
      <c r="F178" s="14">
        <f t="shared" si="138"/>
        <v>662.4423015281169</v>
      </c>
      <c r="G178" s="13">
        <f t="shared" si="138"/>
        <v>0</v>
      </c>
      <c r="H178" s="15">
        <f t="shared" si="138"/>
        <v>0</v>
      </c>
      <c r="I178" s="13">
        <f t="shared" si="138"/>
        <v>0</v>
      </c>
      <c r="J178" s="16">
        <f t="shared" si="138"/>
        <v>27762.666666666668</v>
      </c>
      <c r="K178" s="15">
        <f t="shared" si="138"/>
        <v>16317.166666666668</v>
      </c>
      <c r="L178" s="14">
        <f t="shared" si="138"/>
        <v>22514.166666666664</v>
      </c>
      <c r="M178" s="13">
        <f t="shared" si="138"/>
        <v>30977.466666666667</v>
      </c>
      <c r="N178" s="85"/>
    </row>
    <row r="179" spans="1:14" outlineLevel="1" x14ac:dyDescent="0.2">
      <c r="A179" s="20">
        <f t="shared" si="135"/>
        <v>9741</v>
      </c>
      <c r="B179" s="19" t="str">
        <f t="shared" si="135"/>
        <v>UTD</v>
      </c>
      <c r="C179" s="55">
        <f t="shared" si="136"/>
        <v>38469.230346249293</v>
      </c>
      <c r="D179" s="15">
        <f t="shared" ref="D179:M179" si="139">D221*D$176</f>
        <v>0</v>
      </c>
      <c r="E179" s="14">
        <f t="shared" si="139"/>
        <v>11775.953</v>
      </c>
      <c r="F179" s="14">
        <f t="shared" si="139"/>
        <v>670.74401291595666</v>
      </c>
      <c r="G179" s="13">
        <f t="shared" si="139"/>
        <v>0</v>
      </c>
      <c r="H179" s="15">
        <f t="shared" si="139"/>
        <v>0</v>
      </c>
      <c r="I179" s="13">
        <f t="shared" si="139"/>
        <v>0</v>
      </c>
      <c r="J179" s="16">
        <f t="shared" si="139"/>
        <v>10557.333333333334</v>
      </c>
      <c r="K179" s="15">
        <f t="shared" si="139"/>
        <v>5635.5</v>
      </c>
      <c r="L179" s="14">
        <f t="shared" si="139"/>
        <v>5335.8333333333339</v>
      </c>
      <c r="M179" s="13">
        <f t="shared" si="139"/>
        <v>4493.8666666666668</v>
      </c>
      <c r="N179" s="85"/>
    </row>
    <row r="180" spans="1:14" outlineLevel="1" x14ac:dyDescent="0.2">
      <c r="A180" s="20">
        <f t="shared" si="135"/>
        <v>3661</v>
      </c>
      <c r="B180" s="19" t="str">
        <f t="shared" si="135"/>
        <v>UTEP</v>
      </c>
      <c r="C180" s="55">
        <f t="shared" si="136"/>
        <v>53049.982363400588</v>
      </c>
      <c r="D180" s="15">
        <f t="shared" ref="D180:M180" si="140">D222*D$176</f>
        <v>0</v>
      </c>
      <c r="E180" s="14">
        <f t="shared" si="140"/>
        <v>8345.6099999999988</v>
      </c>
      <c r="F180" s="14">
        <f t="shared" si="140"/>
        <v>571.77236340058357</v>
      </c>
      <c r="G180" s="13">
        <f t="shared" si="140"/>
        <v>0</v>
      </c>
      <c r="H180" s="15">
        <f t="shared" si="140"/>
        <v>0</v>
      </c>
      <c r="I180" s="13">
        <f t="shared" si="140"/>
        <v>0</v>
      </c>
      <c r="J180" s="16">
        <f t="shared" si="140"/>
        <v>19714.666666666668</v>
      </c>
      <c r="K180" s="15">
        <f t="shared" si="140"/>
        <v>7416.5333333333338</v>
      </c>
      <c r="L180" s="14">
        <f t="shared" si="140"/>
        <v>8395</v>
      </c>
      <c r="M180" s="13">
        <f t="shared" si="140"/>
        <v>8606.4000000000015</v>
      </c>
      <c r="N180" s="85"/>
    </row>
    <row r="181" spans="1:14" outlineLevel="1" x14ac:dyDescent="0.2">
      <c r="A181" s="20">
        <f t="shared" si="135"/>
        <v>3599</v>
      </c>
      <c r="B181" s="19" t="str">
        <f t="shared" si="135"/>
        <v>UTPA</v>
      </c>
      <c r="C181" s="55">
        <f t="shared" si="136"/>
        <v>50203.972262487448</v>
      </c>
      <c r="D181" s="15">
        <f t="shared" ref="D181:M181" si="141">D223*D$176</f>
        <v>0</v>
      </c>
      <c r="E181" s="14">
        <f t="shared" si="141"/>
        <v>7783.8600000000006</v>
      </c>
      <c r="F181" s="14">
        <f t="shared" si="141"/>
        <v>512.31226248744588</v>
      </c>
      <c r="G181" s="13">
        <f t="shared" si="141"/>
        <v>0</v>
      </c>
      <c r="H181" s="15">
        <f t="shared" si="141"/>
        <v>0</v>
      </c>
      <c r="I181" s="13">
        <f t="shared" si="141"/>
        <v>0</v>
      </c>
      <c r="J181" s="16">
        <f t="shared" si="141"/>
        <v>18706.666666666668</v>
      </c>
      <c r="K181" s="15">
        <f t="shared" si="141"/>
        <v>6928.0666666666666</v>
      </c>
      <c r="L181" s="14">
        <f t="shared" si="141"/>
        <v>7740</v>
      </c>
      <c r="M181" s="13">
        <f t="shared" si="141"/>
        <v>8533.0666666666675</v>
      </c>
      <c r="N181" s="85"/>
    </row>
    <row r="182" spans="1:14" outlineLevel="1" x14ac:dyDescent="0.2">
      <c r="A182" s="20">
        <f t="shared" si="135"/>
        <v>30646</v>
      </c>
      <c r="B182" s="19" t="str">
        <f t="shared" si="135"/>
        <v>UTB</v>
      </c>
      <c r="C182" s="55">
        <f t="shared" si="136"/>
        <v>16840.594047476221</v>
      </c>
      <c r="D182" s="15">
        <f t="shared" ref="D182:M182" si="142">D224*D$176</f>
        <v>0</v>
      </c>
      <c r="E182" s="14">
        <f t="shared" si="142"/>
        <v>4397.1964715911399</v>
      </c>
      <c r="F182" s="14">
        <f t="shared" si="142"/>
        <v>861.53090921841567</v>
      </c>
      <c r="G182" s="13">
        <f t="shared" si="142"/>
        <v>0</v>
      </c>
      <c r="H182" s="15">
        <f t="shared" si="142"/>
        <v>0</v>
      </c>
      <c r="I182" s="13">
        <f t="shared" si="142"/>
        <v>0</v>
      </c>
      <c r="J182" s="16">
        <f t="shared" si="142"/>
        <v>7493.333333333333</v>
      </c>
      <c r="K182" s="15">
        <f t="shared" si="142"/>
        <v>2254.7666666666664</v>
      </c>
      <c r="L182" s="14">
        <f t="shared" si="142"/>
        <v>1390.8333333333335</v>
      </c>
      <c r="M182" s="13">
        <f t="shared" si="142"/>
        <v>442.93333333333339</v>
      </c>
      <c r="N182" s="85"/>
    </row>
    <row r="183" spans="1:14" outlineLevel="1" x14ac:dyDescent="0.2">
      <c r="A183" s="20">
        <f t="shared" si="135"/>
        <v>9930</v>
      </c>
      <c r="B183" s="19" t="str">
        <f t="shared" si="135"/>
        <v>UTPB</v>
      </c>
      <c r="C183" s="55">
        <f t="shared" si="136"/>
        <v>8847.5960327478169</v>
      </c>
      <c r="D183" s="15">
        <f t="shared" ref="D183:M183" si="143">D225*D$176</f>
        <v>0</v>
      </c>
      <c r="E183" s="14">
        <f t="shared" si="143"/>
        <v>1657.6000000000001</v>
      </c>
      <c r="F183" s="14">
        <f t="shared" si="143"/>
        <v>578.12936608115024</v>
      </c>
      <c r="G183" s="13">
        <f t="shared" si="143"/>
        <v>0</v>
      </c>
      <c r="H183" s="15">
        <f t="shared" si="143"/>
        <v>0</v>
      </c>
      <c r="I183" s="13">
        <f t="shared" si="143"/>
        <v>0</v>
      </c>
      <c r="J183" s="16">
        <f t="shared" si="143"/>
        <v>3192</v>
      </c>
      <c r="K183" s="15">
        <f t="shared" si="143"/>
        <v>1335.6333333333332</v>
      </c>
      <c r="L183" s="14">
        <f t="shared" si="143"/>
        <v>1229.1666666666667</v>
      </c>
      <c r="M183" s="13">
        <f t="shared" si="143"/>
        <v>855.06666666666683</v>
      </c>
      <c r="N183" s="85"/>
    </row>
    <row r="184" spans="1:14" outlineLevel="1" x14ac:dyDescent="0.2">
      <c r="A184" s="20">
        <f t="shared" si="135"/>
        <v>10115</v>
      </c>
      <c r="B184" s="19" t="str">
        <f t="shared" si="135"/>
        <v>UTSA</v>
      </c>
      <c r="C184" s="55">
        <f t="shared" si="136"/>
        <v>71887.275296978652</v>
      </c>
      <c r="D184" s="15">
        <f t="shared" ref="D184:M184" si="144">D226*D$176</f>
        <v>0</v>
      </c>
      <c r="E184" s="14">
        <f t="shared" si="144"/>
        <v>12159.882777777779</v>
      </c>
      <c r="F184" s="14">
        <f t="shared" si="144"/>
        <v>506.02585253421006</v>
      </c>
      <c r="G184" s="13">
        <f t="shared" si="144"/>
        <v>0</v>
      </c>
      <c r="H184" s="15">
        <f t="shared" si="144"/>
        <v>0</v>
      </c>
      <c r="I184" s="13">
        <f t="shared" si="144"/>
        <v>0</v>
      </c>
      <c r="J184" s="16">
        <f t="shared" si="144"/>
        <v>24989.333333333332</v>
      </c>
      <c r="K184" s="15">
        <f t="shared" si="144"/>
        <v>11576.433333333334</v>
      </c>
      <c r="L184" s="14">
        <f t="shared" si="144"/>
        <v>11146.666666666668</v>
      </c>
      <c r="M184" s="13">
        <f t="shared" si="144"/>
        <v>11508.933333333334</v>
      </c>
      <c r="N184" s="85"/>
    </row>
    <row r="185" spans="1:14" outlineLevel="1" x14ac:dyDescent="0.2">
      <c r="A185" s="20">
        <f t="shared" si="135"/>
        <v>11163</v>
      </c>
      <c r="B185" s="19" t="str">
        <f t="shared" si="135"/>
        <v>UTT</v>
      </c>
      <c r="C185" s="55">
        <f t="shared" si="136"/>
        <v>18936.596846262131</v>
      </c>
      <c r="D185" s="15">
        <f t="shared" ref="D185:M185" si="145">D227*D$176</f>
        <v>0</v>
      </c>
      <c r="E185" s="14">
        <f t="shared" si="145"/>
        <v>4295.503333333334</v>
      </c>
      <c r="F185" s="14">
        <f t="shared" si="145"/>
        <v>731.39351292879735</v>
      </c>
      <c r="G185" s="13">
        <f t="shared" si="145"/>
        <v>0</v>
      </c>
      <c r="H185" s="15">
        <f t="shared" si="145"/>
        <v>0</v>
      </c>
      <c r="I185" s="13">
        <f t="shared" si="145"/>
        <v>0</v>
      </c>
      <c r="J185" s="16">
        <f t="shared" si="145"/>
        <v>7538.666666666667</v>
      </c>
      <c r="K185" s="15">
        <f t="shared" si="145"/>
        <v>2441.7666666666664</v>
      </c>
      <c r="L185" s="14">
        <f t="shared" si="145"/>
        <v>2225</v>
      </c>
      <c r="M185" s="13">
        <f t="shared" si="145"/>
        <v>1704.2666666666667</v>
      </c>
      <c r="N185" s="85"/>
    </row>
    <row r="186" spans="1:14" outlineLevel="1" x14ac:dyDescent="0.2">
      <c r="A186" s="20">
        <f t="shared" si="135"/>
        <v>3632</v>
      </c>
      <c r="B186" s="19" t="str">
        <f t="shared" si="135"/>
        <v>TAMU</v>
      </c>
      <c r="C186" s="55">
        <f t="shared" si="136"/>
        <v>151574.27227538219</v>
      </c>
      <c r="D186" s="15">
        <f t="shared" ref="D186:M186" si="146">D228*D$176</f>
        <v>0</v>
      </c>
      <c r="E186" s="14">
        <f t="shared" si="146"/>
        <v>51430.025111111099</v>
      </c>
      <c r="F186" s="14">
        <f t="shared" si="146"/>
        <v>631.047164271067</v>
      </c>
      <c r="G186" s="13">
        <f t="shared" si="146"/>
        <v>0</v>
      </c>
      <c r="H186" s="15">
        <f t="shared" si="146"/>
        <v>0</v>
      </c>
      <c r="I186" s="13">
        <f t="shared" si="146"/>
        <v>0</v>
      </c>
      <c r="J186" s="16">
        <f t="shared" si="146"/>
        <v>29792</v>
      </c>
      <c r="K186" s="15">
        <f t="shared" si="146"/>
        <v>17103.133333333331</v>
      </c>
      <c r="L186" s="14">
        <f t="shared" si="146"/>
        <v>22268.333333333336</v>
      </c>
      <c r="M186" s="13">
        <f t="shared" si="146"/>
        <v>30349.733333333337</v>
      </c>
      <c r="N186" s="85"/>
    </row>
    <row r="187" spans="1:14" outlineLevel="1" x14ac:dyDescent="0.2">
      <c r="A187" s="20">
        <f t="shared" si="135"/>
        <v>10298</v>
      </c>
      <c r="B187" s="19" t="str">
        <f t="shared" si="135"/>
        <v>TAMUG</v>
      </c>
      <c r="C187" s="55">
        <f t="shared" si="136"/>
        <v>5767.429639700691</v>
      </c>
      <c r="D187" s="15">
        <f t="shared" ref="D187:M187" si="147">D229*D$176</f>
        <v>0</v>
      </c>
      <c r="E187" s="14">
        <f t="shared" si="147"/>
        <v>1209.0804444444445</v>
      </c>
      <c r="F187" s="14">
        <f t="shared" si="147"/>
        <v>409.98252858958068</v>
      </c>
      <c r="G187" s="13">
        <f t="shared" si="147"/>
        <v>0</v>
      </c>
      <c r="H187" s="15">
        <f t="shared" si="147"/>
        <v>0</v>
      </c>
      <c r="I187" s="13">
        <f t="shared" si="147"/>
        <v>0</v>
      </c>
      <c r="J187" s="16">
        <f t="shared" si="147"/>
        <v>1264</v>
      </c>
      <c r="K187" s="15">
        <f t="shared" si="147"/>
        <v>1006.9666666666667</v>
      </c>
      <c r="L187" s="14">
        <f t="shared" si="147"/>
        <v>795</v>
      </c>
      <c r="M187" s="13">
        <f t="shared" si="147"/>
        <v>1082.4000000000001</v>
      </c>
      <c r="N187" s="85"/>
    </row>
    <row r="188" spans="1:14" outlineLevel="1" x14ac:dyDescent="0.2">
      <c r="A188" s="20">
        <f t="shared" si="135"/>
        <v>3630</v>
      </c>
      <c r="B188" s="19" t="str">
        <f t="shared" si="135"/>
        <v>Prairie View</v>
      </c>
      <c r="C188" s="55">
        <f t="shared" si="136"/>
        <v>19024.519422854646</v>
      </c>
      <c r="D188" s="15">
        <f t="shared" ref="D188:M188" si="148">D230*D$176</f>
        <v>0</v>
      </c>
      <c r="E188" s="14">
        <f t="shared" si="148"/>
        <v>2436.027222222222</v>
      </c>
      <c r="F188" s="14">
        <f t="shared" si="148"/>
        <v>395.59220063242179</v>
      </c>
      <c r="G188" s="13">
        <f t="shared" si="148"/>
        <v>0</v>
      </c>
      <c r="H188" s="15">
        <f t="shared" si="148"/>
        <v>0</v>
      </c>
      <c r="I188" s="13">
        <f t="shared" si="148"/>
        <v>0</v>
      </c>
      <c r="J188" s="16">
        <f t="shared" si="148"/>
        <v>6421.333333333333</v>
      </c>
      <c r="K188" s="15">
        <f t="shared" si="148"/>
        <v>2835.6</v>
      </c>
      <c r="L188" s="14">
        <f t="shared" si="148"/>
        <v>2952.5</v>
      </c>
      <c r="M188" s="13">
        <f t="shared" si="148"/>
        <v>3983.4666666666672</v>
      </c>
      <c r="N188" s="85"/>
    </row>
    <row r="189" spans="1:14" outlineLevel="1" x14ac:dyDescent="0.2">
      <c r="A189" s="20">
        <f t="shared" si="135"/>
        <v>3631</v>
      </c>
      <c r="B189" s="19" t="str">
        <f t="shared" si="135"/>
        <v>Tarleton</v>
      </c>
      <c r="C189" s="55">
        <f t="shared" si="136"/>
        <v>26124.446193808144</v>
      </c>
      <c r="D189" s="15">
        <f t="shared" ref="D189:M189" si="149">D231*D$176</f>
        <v>0</v>
      </c>
      <c r="E189" s="14">
        <f t="shared" si="149"/>
        <v>5170.6853333333338</v>
      </c>
      <c r="F189" s="14">
        <f t="shared" si="149"/>
        <v>613.99419380814152</v>
      </c>
      <c r="G189" s="13">
        <f t="shared" si="149"/>
        <v>0</v>
      </c>
      <c r="H189" s="15">
        <f t="shared" si="149"/>
        <v>0</v>
      </c>
      <c r="I189" s="13">
        <f t="shared" si="149"/>
        <v>0</v>
      </c>
      <c r="J189" s="16">
        <f t="shared" si="149"/>
        <v>9560</v>
      </c>
      <c r="K189" s="15">
        <f t="shared" si="149"/>
        <v>3662.3666666666668</v>
      </c>
      <c r="L189" s="14">
        <f t="shared" si="149"/>
        <v>3321.666666666667</v>
      </c>
      <c r="M189" s="13">
        <f t="shared" si="149"/>
        <v>3795.7333333333336</v>
      </c>
      <c r="N189" s="85"/>
    </row>
    <row r="190" spans="1:14" outlineLevel="1" x14ac:dyDescent="0.2">
      <c r="A190" s="27">
        <f t="shared" si="135"/>
        <v>103631</v>
      </c>
      <c r="B190" s="19" t="str">
        <f t="shared" si="135"/>
        <v>TAMUCT</v>
      </c>
      <c r="C190" s="55">
        <f t="shared" si="136"/>
        <v>7169.5715713835143</v>
      </c>
      <c r="D190" s="15">
        <f t="shared" ref="D190:M190" si="150">D232*D$176</f>
        <v>0</v>
      </c>
      <c r="E190" s="14">
        <f t="shared" si="150"/>
        <v>1540.2753333333333</v>
      </c>
      <c r="F190" s="14">
        <f t="shared" si="150"/>
        <v>1689.6962380501811</v>
      </c>
      <c r="G190" s="13">
        <f t="shared" si="150"/>
        <v>0</v>
      </c>
      <c r="H190" s="15">
        <f t="shared" si="150"/>
        <v>0</v>
      </c>
      <c r="I190" s="13">
        <f t="shared" si="150"/>
        <v>0</v>
      </c>
      <c r="J190" s="16">
        <f t="shared" si="150"/>
        <v>2616</v>
      </c>
      <c r="K190" s="15">
        <f t="shared" si="150"/>
        <v>841.5</v>
      </c>
      <c r="L190" s="14">
        <f t="shared" si="150"/>
        <v>332.5</v>
      </c>
      <c r="M190" s="13">
        <f t="shared" si="150"/>
        <v>149.60000000000002</v>
      </c>
      <c r="N190" s="85"/>
    </row>
    <row r="191" spans="1:14" outlineLevel="1" x14ac:dyDescent="0.2">
      <c r="A191" s="20">
        <f t="shared" si="135"/>
        <v>11161</v>
      </c>
      <c r="B191" s="19" t="str">
        <f t="shared" si="135"/>
        <v>TAMUCC</v>
      </c>
      <c r="C191" s="55">
        <f t="shared" si="136"/>
        <v>25137.792851570521</v>
      </c>
      <c r="D191" s="15">
        <f t="shared" ref="D191:M191" si="151">D233*D$176</f>
        <v>0</v>
      </c>
      <c r="E191" s="14">
        <f t="shared" si="151"/>
        <v>4936.913333333333</v>
      </c>
      <c r="F191" s="14">
        <f t="shared" si="151"/>
        <v>534.41285157051936</v>
      </c>
      <c r="G191" s="13">
        <f t="shared" si="151"/>
        <v>0</v>
      </c>
      <c r="H191" s="15">
        <f t="shared" si="151"/>
        <v>0</v>
      </c>
      <c r="I191" s="13">
        <f t="shared" si="151"/>
        <v>0</v>
      </c>
      <c r="J191" s="16">
        <f t="shared" si="151"/>
        <v>8640</v>
      </c>
      <c r="K191" s="15">
        <f t="shared" si="151"/>
        <v>3491.7999999999997</v>
      </c>
      <c r="L191" s="14">
        <f t="shared" si="151"/>
        <v>3670</v>
      </c>
      <c r="M191" s="13">
        <f t="shared" si="151"/>
        <v>3864.666666666667</v>
      </c>
      <c r="N191" s="85"/>
    </row>
    <row r="192" spans="1:14" outlineLevel="1" x14ac:dyDescent="0.2">
      <c r="A192" s="20">
        <f t="shared" si="135"/>
        <v>3639</v>
      </c>
      <c r="B192" s="19" t="str">
        <f t="shared" si="135"/>
        <v>TAMUK</v>
      </c>
      <c r="C192" s="55">
        <f t="shared" si="136"/>
        <v>14472.528035993741</v>
      </c>
      <c r="D192" s="15">
        <f t="shared" ref="D192:M192" si="152">D234*D$176</f>
        <v>0</v>
      </c>
      <c r="E192" s="14">
        <f t="shared" si="152"/>
        <v>2145.1072222222224</v>
      </c>
      <c r="F192" s="14">
        <f t="shared" si="152"/>
        <v>446.98748043818466</v>
      </c>
      <c r="G192" s="13">
        <f t="shared" si="152"/>
        <v>0</v>
      </c>
      <c r="H192" s="15">
        <f t="shared" si="152"/>
        <v>0</v>
      </c>
      <c r="I192" s="13">
        <f t="shared" si="152"/>
        <v>0</v>
      </c>
      <c r="J192" s="16">
        <f t="shared" si="152"/>
        <v>5186.666666666667</v>
      </c>
      <c r="K192" s="15">
        <f t="shared" si="152"/>
        <v>2086.4666666666667</v>
      </c>
      <c r="L192" s="14">
        <f t="shared" si="152"/>
        <v>2149.1666666666665</v>
      </c>
      <c r="M192" s="13">
        <f t="shared" si="152"/>
        <v>2458.1333333333332</v>
      </c>
      <c r="N192" s="85"/>
    </row>
    <row r="193" spans="1:14" outlineLevel="1" x14ac:dyDescent="0.2">
      <c r="A193" s="27">
        <f t="shared" si="135"/>
        <v>103639</v>
      </c>
      <c r="B193" s="19" t="str">
        <f t="shared" si="135"/>
        <v>TAMUSA</v>
      </c>
      <c r="C193" s="55">
        <f t="shared" si="136"/>
        <v>8063.1944510231624</v>
      </c>
      <c r="D193" s="15">
        <f t="shared" ref="D193:M193" si="153">D235*D$176</f>
        <v>0</v>
      </c>
      <c r="E193" s="14">
        <f t="shared" si="153"/>
        <v>1655.0652222222222</v>
      </c>
      <c r="F193" s="14">
        <f t="shared" si="153"/>
        <v>1039.962562134273</v>
      </c>
      <c r="G193" s="13">
        <f t="shared" si="153"/>
        <v>0</v>
      </c>
      <c r="H193" s="15">
        <f t="shared" si="153"/>
        <v>0</v>
      </c>
      <c r="I193" s="13">
        <f t="shared" si="153"/>
        <v>0</v>
      </c>
      <c r="J193" s="16">
        <f t="shared" si="153"/>
        <v>3922.6666666666665</v>
      </c>
      <c r="K193" s="15">
        <f t="shared" si="153"/>
        <v>1240.4333333333332</v>
      </c>
      <c r="L193" s="14">
        <f t="shared" si="153"/>
        <v>193.33333333333331</v>
      </c>
      <c r="M193" s="13">
        <f t="shared" si="153"/>
        <v>11.733333333333334</v>
      </c>
      <c r="N193" s="85"/>
    </row>
    <row r="194" spans="1:14" outlineLevel="1" x14ac:dyDescent="0.2">
      <c r="A194" s="20">
        <f t="shared" si="135"/>
        <v>9651</v>
      </c>
      <c r="B194" s="19" t="str">
        <f t="shared" si="135"/>
        <v>TAMI</v>
      </c>
      <c r="C194" s="55">
        <f t="shared" si="136"/>
        <v>15815.549414260075</v>
      </c>
      <c r="D194" s="15">
        <f t="shared" ref="D194:M194" si="154">D236*D$176</f>
        <v>0</v>
      </c>
      <c r="E194" s="14">
        <f t="shared" si="154"/>
        <v>2616.4288888888887</v>
      </c>
      <c r="F194" s="14">
        <f t="shared" si="154"/>
        <v>483.15385870451951</v>
      </c>
      <c r="G194" s="13">
        <f t="shared" si="154"/>
        <v>0</v>
      </c>
      <c r="H194" s="15">
        <f t="shared" si="154"/>
        <v>0</v>
      </c>
      <c r="I194" s="13">
        <f t="shared" si="154"/>
        <v>0</v>
      </c>
      <c r="J194" s="16">
        <f t="shared" si="154"/>
        <v>5701.333333333333</v>
      </c>
      <c r="K194" s="15">
        <f t="shared" si="154"/>
        <v>2391.3333333333335</v>
      </c>
      <c r="L194" s="14">
        <f t="shared" si="154"/>
        <v>2539.1666666666665</v>
      </c>
      <c r="M194" s="13">
        <f t="shared" si="154"/>
        <v>2084.1333333333337</v>
      </c>
      <c r="N194" s="85"/>
    </row>
    <row r="195" spans="1:14" outlineLevel="1" x14ac:dyDescent="0.2">
      <c r="A195" s="20">
        <f t="shared" si="135"/>
        <v>3665</v>
      </c>
      <c r="B195" s="19" t="str">
        <f t="shared" si="135"/>
        <v>WTAMU</v>
      </c>
      <c r="C195" s="55">
        <f t="shared" si="136"/>
        <v>20818.729490795267</v>
      </c>
      <c r="D195" s="15">
        <f t="shared" ref="D195:M195" si="155">D237*D$176</f>
        <v>0</v>
      </c>
      <c r="E195" s="14">
        <f t="shared" si="155"/>
        <v>4137.0031111111111</v>
      </c>
      <c r="F195" s="14">
        <f t="shared" si="155"/>
        <v>579.69304635082176</v>
      </c>
      <c r="G195" s="13">
        <f t="shared" si="155"/>
        <v>0</v>
      </c>
      <c r="H195" s="15">
        <f t="shared" si="155"/>
        <v>0</v>
      </c>
      <c r="I195" s="13">
        <f t="shared" si="155"/>
        <v>0</v>
      </c>
      <c r="J195" s="16">
        <f t="shared" si="155"/>
        <v>7114.666666666667</v>
      </c>
      <c r="K195" s="15">
        <f t="shared" si="155"/>
        <v>3045.8333333333335</v>
      </c>
      <c r="L195" s="14">
        <f t="shared" si="155"/>
        <v>3031.666666666667</v>
      </c>
      <c r="M195" s="13">
        <f t="shared" si="155"/>
        <v>2909.8666666666672</v>
      </c>
      <c r="N195" s="85"/>
    </row>
    <row r="196" spans="1:14" outlineLevel="1" x14ac:dyDescent="0.2">
      <c r="A196" s="20">
        <f t="shared" si="135"/>
        <v>3565</v>
      </c>
      <c r="B196" s="19" t="str">
        <f t="shared" si="135"/>
        <v>TAMUC</v>
      </c>
      <c r="C196" s="55">
        <f t="shared" si="136"/>
        <v>20990.19921740063</v>
      </c>
      <c r="D196" s="15">
        <f t="shared" ref="D196:M196" si="156">D238*D$176</f>
        <v>0</v>
      </c>
      <c r="E196" s="14">
        <f t="shared" si="156"/>
        <v>4078.9466666666663</v>
      </c>
      <c r="F196" s="14">
        <f t="shared" si="156"/>
        <v>704.88588406729627</v>
      </c>
      <c r="G196" s="13">
        <f t="shared" si="156"/>
        <v>0</v>
      </c>
      <c r="H196" s="15">
        <f t="shared" si="156"/>
        <v>0</v>
      </c>
      <c r="I196" s="13">
        <f t="shared" si="156"/>
        <v>0</v>
      </c>
      <c r="J196" s="16">
        <f t="shared" si="156"/>
        <v>8154.666666666667</v>
      </c>
      <c r="K196" s="15">
        <f t="shared" si="156"/>
        <v>3218.1</v>
      </c>
      <c r="L196" s="14">
        <f t="shared" si="156"/>
        <v>2843.333333333333</v>
      </c>
      <c r="M196" s="13">
        <f t="shared" si="156"/>
        <v>1990.2666666666667</v>
      </c>
      <c r="N196" s="85"/>
    </row>
    <row r="197" spans="1:14" outlineLevel="1" x14ac:dyDescent="0.2">
      <c r="A197" s="20">
        <f t="shared" ref="A197:B214" si="157">A25</f>
        <v>29269</v>
      </c>
      <c r="B197" s="19" t="str">
        <f t="shared" si="157"/>
        <v>TAMUT</v>
      </c>
      <c r="C197" s="55">
        <f t="shared" si="136"/>
        <v>5383.6473829992019</v>
      </c>
      <c r="D197" s="15">
        <f t="shared" ref="D197:M197" si="158">D239*D$176</f>
        <v>0</v>
      </c>
      <c r="E197" s="14">
        <f t="shared" si="158"/>
        <v>1311.5218378278626</v>
      </c>
      <c r="F197" s="14">
        <f t="shared" si="158"/>
        <v>969.15887850467288</v>
      </c>
      <c r="G197" s="13">
        <f t="shared" si="158"/>
        <v>0</v>
      </c>
      <c r="H197" s="15">
        <f t="shared" si="158"/>
        <v>0</v>
      </c>
      <c r="I197" s="13">
        <f t="shared" si="158"/>
        <v>0</v>
      </c>
      <c r="J197" s="16">
        <f t="shared" si="158"/>
        <v>1912</v>
      </c>
      <c r="K197" s="15">
        <f t="shared" si="158"/>
        <v>735.5333333333333</v>
      </c>
      <c r="L197" s="14">
        <f t="shared" si="158"/>
        <v>452.5</v>
      </c>
      <c r="M197" s="13">
        <f t="shared" si="158"/>
        <v>2.9333333333333336</v>
      </c>
      <c r="N197" s="85"/>
    </row>
    <row r="198" spans="1:14" outlineLevel="1" x14ac:dyDescent="0.2">
      <c r="A198" s="20">
        <f t="shared" si="157"/>
        <v>3652</v>
      </c>
      <c r="B198" s="19" t="str">
        <f t="shared" si="157"/>
        <v>UH</v>
      </c>
      <c r="C198" s="55">
        <f t="shared" si="136"/>
        <v>88363.787130839555</v>
      </c>
      <c r="D198" s="15">
        <f t="shared" ref="D198:M198" si="159">D240*D$176</f>
        <v>0</v>
      </c>
      <c r="E198" s="14">
        <f t="shared" si="159"/>
        <v>19142.094222222222</v>
      </c>
      <c r="F198" s="14">
        <f t="shared" si="159"/>
        <v>535.62624195066564</v>
      </c>
      <c r="G198" s="13">
        <f t="shared" si="159"/>
        <v>0</v>
      </c>
      <c r="H198" s="15">
        <f t="shared" si="159"/>
        <v>0</v>
      </c>
      <c r="I198" s="13">
        <f t="shared" si="159"/>
        <v>0</v>
      </c>
      <c r="J198" s="16">
        <f t="shared" si="159"/>
        <v>26984</v>
      </c>
      <c r="K198" s="15">
        <f t="shared" si="159"/>
        <v>12923.966666666665</v>
      </c>
      <c r="L198" s="14">
        <f t="shared" si="159"/>
        <v>14225.833333333332</v>
      </c>
      <c r="M198" s="13">
        <f t="shared" si="159"/>
        <v>14552.266666666668</v>
      </c>
      <c r="N198" s="85"/>
    </row>
    <row r="199" spans="1:14" outlineLevel="1" x14ac:dyDescent="0.2">
      <c r="A199" s="20">
        <f t="shared" si="157"/>
        <v>11711</v>
      </c>
      <c r="B199" s="19" t="str">
        <f t="shared" si="157"/>
        <v>UHCL</v>
      </c>
      <c r="C199" s="55">
        <f t="shared" si="136"/>
        <v>16522.638588382</v>
      </c>
      <c r="D199" s="15">
        <f t="shared" ref="D199:M199" si="160">D241*D$176</f>
        <v>0</v>
      </c>
      <c r="E199" s="14">
        <f t="shared" si="160"/>
        <v>4335.3987555129188</v>
      </c>
      <c r="F199" s="14">
        <f t="shared" si="160"/>
        <v>992.33983286908085</v>
      </c>
      <c r="G199" s="13">
        <f t="shared" si="160"/>
        <v>0</v>
      </c>
      <c r="H199" s="15">
        <f t="shared" si="160"/>
        <v>0</v>
      </c>
      <c r="I199" s="13">
        <f t="shared" si="160"/>
        <v>0</v>
      </c>
      <c r="J199" s="16">
        <f t="shared" si="160"/>
        <v>6194.666666666667</v>
      </c>
      <c r="K199" s="15">
        <f t="shared" si="160"/>
        <v>2365.2666666666664</v>
      </c>
      <c r="L199" s="14">
        <f t="shared" si="160"/>
        <v>2384.1666666666665</v>
      </c>
      <c r="M199" s="13">
        <f t="shared" si="160"/>
        <v>250.8</v>
      </c>
      <c r="N199" s="85"/>
    </row>
    <row r="200" spans="1:14" outlineLevel="1" x14ac:dyDescent="0.2">
      <c r="A200" s="20">
        <f t="shared" si="157"/>
        <v>12826</v>
      </c>
      <c r="B200" s="19" t="str">
        <f t="shared" si="157"/>
        <v>UHD</v>
      </c>
      <c r="C200" s="55">
        <f t="shared" si="136"/>
        <v>29972.76246324382</v>
      </c>
      <c r="D200" s="15">
        <f t="shared" ref="D200:M200" si="161">D242*D$176</f>
        <v>0</v>
      </c>
      <c r="E200" s="14">
        <f t="shared" si="161"/>
        <v>3168.503333333334</v>
      </c>
      <c r="F200" s="14">
        <f t="shared" si="161"/>
        <v>745.82579657715337</v>
      </c>
      <c r="G200" s="13">
        <f t="shared" si="161"/>
        <v>0</v>
      </c>
      <c r="H200" s="15">
        <f t="shared" si="161"/>
        <v>0</v>
      </c>
      <c r="I200" s="13">
        <f t="shared" si="161"/>
        <v>0</v>
      </c>
      <c r="J200" s="16">
        <f t="shared" si="161"/>
        <v>13448</v>
      </c>
      <c r="K200" s="15">
        <f t="shared" si="161"/>
        <v>5279.0666666666666</v>
      </c>
      <c r="L200" s="14">
        <f t="shared" si="161"/>
        <v>4670.833333333333</v>
      </c>
      <c r="M200" s="13">
        <f t="shared" si="161"/>
        <v>2660.5333333333333</v>
      </c>
      <c r="N200" s="85"/>
    </row>
    <row r="201" spans="1:14" outlineLevel="1" x14ac:dyDescent="0.2">
      <c r="A201" s="20">
        <f t="shared" si="157"/>
        <v>13231</v>
      </c>
      <c r="B201" s="19" t="str">
        <f t="shared" si="157"/>
        <v>UHV</v>
      </c>
      <c r="C201" s="55">
        <f t="shared" si="136"/>
        <v>8162.8511288501613</v>
      </c>
      <c r="D201" s="15">
        <f t="shared" ref="D201:M201" si="162">D243*D$176</f>
        <v>0</v>
      </c>
      <c r="E201" s="14">
        <f t="shared" si="162"/>
        <v>2101.3682398720248</v>
      </c>
      <c r="F201" s="14">
        <f t="shared" si="162"/>
        <v>1002.1162223114708</v>
      </c>
      <c r="G201" s="13">
        <f t="shared" si="162"/>
        <v>0</v>
      </c>
      <c r="H201" s="15">
        <f t="shared" si="162"/>
        <v>0</v>
      </c>
      <c r="I201" s="13">
        <f t="shared" si="162"/>
        <v>0</v>
      </c>
      <c r="J201" s="16">
        <f t="shared" si="162"/>
        <v>3072</v>
      </c>
      <c r="K201" s="15">
        <f t="shared" si="162"/>
        <v>1217.2</v>
      </c>
      <c r="L201" s="14">
        <f t="shared" si="162"/>
        <v>740.83333333333326</v>
      </c>
      <c r="M201" s="13">
        <f t="shared" si="162"/>
        <v>29.333333333333336</v>
      </c>
      <c r="N201" s="85"/>
    </row>
    <row r="202" spans="1:14" outlineLevel="1" x14ac:dyDescent="0.2">
      <c r="A202" s="20">
        <f t="shared" si="157"/>
        <v>3592</v>
      </c>
      <c r="B202" s="19" t="str">
        <f t="shared" si="157"/>
        <v>Midwestern</v>
      </c>
      <c r="C202" s="55">
        <f t="shared" si="136"/>
        <v>17348.581942589753</v>
      </c>
      <c r="D202" s="15">
        <f t="shared" ref="D202:M202" si="163">D244*D$176</f>
        <v>0</v>
      </c>
      <c r="E202" s="14">
        <f t="shared" si="163"/>
        <v>3172.7188888888886</v>
      </c>
      <c r="F202" s="14">
        <f t="shared" si="163"/>
        <v>603.063053700865</v>
      </c>
      <c r="G202" s="13">
        <f t="shared" si="163"/>
        <v>0</v>
      </c>
      <c r="H202" s="15">
        <f t="shared" si="163"/>
        <v>0</v>
      </c>
      <c r="I202" s="13">
        <f t="shared" si="163"/>
        <v>0</v>
      </c>
      <c r="J202" s="16">
        <f t="shared" si="163"/>
        <v>5522.666666666667</v>
      </c>
      <c r="K202" s="15">
        <f t="shared" si="163"/>
        <v>2444.6</v>
      </c>
      <c r="L202" s="14">
        <f t="shared" si="163"/>
        <v>2615</v>
      </c>
      <c r="M202" s="13">
        <f t="shared" si="163"/>
        <v>2990.5333333333333</v>
      </c>
      <c r="N202" s="85"/>
    </row>
    <row r="203" spans="1:14" outlineLevel="1" x14ac:dyDescent="0.2">
      <c r="A203" s="20">
        <f t="shared" si="157"/>
        <v>3594</v>
      </c>
      <c r="B203" s="19" t="str">
        <f t="shared" si="157"/>
        <v>UNT</v>
      </c>
      <c r="C203" s="55">
        <f t="shared" si="136"/>
        <v>97638.979169707658</v>
      </c>
      <c r="D203" s="15">
        <f t="shared" ref="D203:M203" si="164">D245*D$176</f>
        <v>0</v>
      </c>
      <c r="E203" s="14">
        <f t="shared" si="164"/>
        <v>24273.238888888889</v>
      </c>
      <c r="F203" s="14">
        <f t="shared" si="164"/>
        <v>647.17361415210314</v>
      </c>
      <c r="G203" s="13">
        <f t="shared" si="164"/>
        <v>0</v>
      </c>
      <c r="H203" s="15">
        <f t="shared" si="164"/>
        <v>0</v>
      </c>
      <c r="I203" s="13">
        <f t="shared" si="164"/>
        <v>0</v>
      </c>
      <c r="J203" s="16">
        <f t="shared" si="164"/>
        <v>30560</v>
      </c>
      <c r="K203" s="15">
        <f t="shared" si="164"/>
        <v>13369.933333333334</v>
      </c>
      <c r="L203" s="14">
        <f t="shared" si="164"/>
        <v>14105.833333333332</v>
      </c>
      <c r="M203" s="13">
        <f t="shared" si="164"/>
        <v>14682.800000000001</v>
      </c>
      <c r="N203" s="85"/>
    </row>
    <row r="204" spans="1:14" outlineLevel="1" x14ac:dyDescent="0.2">
      <c r="A204" s="27">
        <f t="shared" si="157"/>
        <v>113594</v>
      </c>
      <c r="B204" s="19" t="str">
        <f t="shared" si="157"/>
        <v>UNTD</v>
      </c>
      <c r="C204" s="55">
        <f t="shared" si="136"/>
        <v>6205.0804016347238</v>
      </c>
      <c r="D204" s="15">
        <f t="shared" ref="D204:M204" si="165">D246*D$176</f>
        <v>0</v>
      </c>
      <c r="E204" s="14">
        <f t="shared" si="165"/>
        <v>1631.1487500000001</v>
      </c>
      <c r="F204" s="14">
        <f t="shared" si="165"/>
        <v>1066.1816516347237</v>
      </c>
      <c r="G204" s="13">
        <f t="shared" si="165"/>
        <v>0</v>
      </c>
      <c r="H204" s="15">
        <f t="shared" si="165"/>
        <v>0</v>
      </c>
      <c r="I204" s="13">
        <f t="shared" si="165"/>
        <v>0</v>
      </c>
      <c r="J204" s="16">
        <f t="shared" si="165"/>
        <v>2468</v>
      </c>
      <c r="K204" s="15">
        <f t="shared" si="165"/>
        <v>812.6</v>
      </c>
      <c r="L204" s="14">
        <f t="shared" si="165"/>
        <v>178.75</v>
      </c>
      <c r="M204" s="13">
        <f t="shared" si="165"/>
        <v>48.400000000000006</v>
      </c>
      <c r="N204" s="85"/>
    </row>
    <row r="205" spans="1:14" outlineLevel="1" x14ac:dyDescent="0.2">
      <c r="A205" s="20">
        <f t="shared" si="157"/>
        <v>3624</v>
      </c>
      <c r="B205" s="19" t="str">
        <f t="shared" si="157"/>
        <v>SFA</v>
      </c>
      <c r="C205" s="55">
        <f t="shared" si="136"/>
        <v>35684.961941085436</v>
      </c>
      <c r="D205" s="15">
        <f t="shared" ref="D205:M205" si="166">D247*D$176</f>
        <v>0</v>
      </c>
      <c r="E205" s="14">
        <f t="shared" si="166"/>
        <v>7452.2233333333324</v>
      </c>
      <c r="F205" s="14">
        <f t="shared" si="166"/>
        <v>506.43860775209788</v>
      </c>
      <c r="G205" s="13">
        <f t="shared" si="166"/>
        <v>0</v>
      </c>
      <c r="H205" s="15">
        <f t="shared" si="166"/>
        <v>0</v>
      </c>
      <c r="I205" s="13">
        <f t="shared" si="166"/>
        <v>0</v>
      </c>
      <c r="J205" s="16">
        <f t="shared" si="166"/>
        <v>11682.666666666666</v>
      </c>
      <c r="K205" s="15">
        <f t="shared" si="166"/>
        <v>4707.8666666666668</v>
      </c>
      <c r="L205" s="14">
        <f t="shared" si="166"/>
        <v>5187.5</v>
      </c>
      <c r="M205" s="13">
        <f t="shared" si="166"/>
        <v>6148.2666666666664</v>
      </c>
      <c r="N205" s="85"/>
    </row>
    <row r="206" spans="1:14" outlineLevel="1" x14ac:dyDescent="0.2">
      <c r="A206" s="20">
        <f t="shared" si="157"/>
        <v>3642</v>
      </c>
      <c r="B206" s="19" t="str">
        <f t="shared" si="157"/>
        <v>TSU</v>
      </c>
      <c r="C206" s="55">
        <f t="shared" si="136"/>
        <v>15766.739247494539</v>
      </c>
      <c r="D206" s="15">
        <f t="shared" ref="D206:M206" si="167">D248*D$176</f>
        <v>0</v>
      </c>
      <c r="E206" s="14">
        <f t="shared" si="167"/>
        <v>762.63055555555547</v>
      </c>
      <c r="F206" s="14">
        <f t="shared" si="167"/>
        <v>323.34202527231793</v>
      </c>
      <c r="G206" s="13">
        <f t="shared" si="167"/>
        <v>0</v>
      </c>
      <c r="H206" s="15">
        <f t="shared" si="167"/>
        <v>0</v>
      </c>
      <c r="I206" s="13">
        <f t="shared" si="167"/>
        <v>0</v>
      </c>
      <c r="J206" s="16">
        <f t="shared" si="167"/>
        <v>5330.666666666667</v>
      </c>
      <c r="K206" s="15">
        <f t="shared" si="167"/>
        <v>2783.4666666666662</v>
      </c>
      <c r="L206" s="14">
        <f t="shared" si="167"/>
        <v>2832.5</v>
      </c>
      <c r="M206" s="13">
        <f t="shared" si="167"/>
        <v>3734.1333333333337</v>
      </c>
      <c r="N206" s="85"/>
    </row>
    <row r="207" spans="1:14" outlineLevel="1" x14ac:dyDescent="0.2">
      <c r="A207" s="20">
        <f t="shared" si="157"/>
        <v>3644</v>
      </c>
      <c r="B207" s="19" t="str">
        <f t="shared" si="157"/>
        <v>TTU</v>
      </c>
      <c r="C207" s="55">
        <f t="shared" si="136"/>
        <v>88281.94041150916</v>
      </c>
      <c r="D207" s="15">
        <f t="shared" ref="D207:M207" si="168">D249*D$176</f>
        <v>0</v>
      </c>
      <c r="E207" s="14">
        <f t="shared" si="168"/>
        <v>23949.575999999997</v>
      </c>
      <c r="F207" s="14">
        <f t="shared" si="168"/>
        <v>526.53107817583384</v>
      </c>
      <c r="G207" s="13">
        <f t="shared" si="168"/>
        <v>0</v>
      </c>
      <c r="H207" s="15">
        <f t="shared" si="168"/>
        <v>0</v>
      </c>
      <c r="I207" s="13">
        <f t="shared" si="168"/>
        <v>0</v>
      </c>
      <c r="J207" s="16">
        <f t="shared" si="168"/>
        <v>22224</v>
      </c>
      <c r="K207" s="15">
        <f t="shared" si="168"/>
        <v>11025.066666666666</v>
      </c>
      <c r="L207" s="14">
        <f t="shared" si="168"/>
        <v>13195.833333333332</v>
      </c>
      <c r="M207" s="13">
        <f t="shared" si="168"/>
        <v>17360.933333333334</v>
      </c>
      <c r="N207" s="85"/>
    </row>
    <row r="208" spans="1:14" outlineLevel="1" x14ac:dyDescent="0.2">
      <c r="A208" s="20">
        <f t="shared" si="157"/>
        <v>3541</v>
      </c>
      <c r="B208" s="19" t="str">
        <f t="shared" si="157"/>
        <v>Angelo</v>
      </c>
      <c r="C208" s="55">
        <f t="shared" si="136"/>
        <v>17416.876073262163</v>
      </c>
      <c r="D208" s="15">
        <f t="shared" ref="D208:M208" si="169">D250*D$176</f>
        <v>0</v>
      </c>
      <c r="E208" s="14">
        <f t="shared" si="169"/>
        <v>2981.6002222222223</v>
      </c>
      <c r="F208" s="14">
        <f t="shared" si="169"/>
        <v>507.64251770660741</v>
      </c>
      <c r="G208" s="13">
        <f t="shared" si="169"/>
        <v>0</v>
      </c>
      <c r="H208" s="15">
        <f t="shared" si="169"/>
        <v>0</v>
      </c>
      <c r="I208" s="13">
        <f t="shared" si="169"/>
        <v>0</v>
      </c>
      <c r="J208" s="16">
        <f t="shared" si="169"/>
        <v>5784</v>
      </c>
      <c r="K208" s="15">
        <f t="shared" si="169"/>
        <v>2445.7333333333336</v>
      </c>
      <c r="L208" s="14">
        <f t="shared" si="169"/>
        <v>2584.166666666667</v>
      </c>
      <c r="M208" s="13">
        <f t="shared" si="169"/>
        <v>3113.7333333333336</v>
      </c>
      <c r="N208" s="85"/>
    </row>
    <row r="209" spans="1:14" outlineLevel="1" x14ac:dyDescent="0.2">
      <c r="A209" s="20">
        <f t="shared" si="157"/>
        <v>3646</v>
      </c>
      <c r="B209" s="19" t="str">
        <f t="shared" si="157"/>
        <v>TWU</v>
      </c>
      <c r="C209" s="55">
        <f t="shared" si="136"/>
        <v>27151.400774042664</v>
      </c>
      <c r="D209" s="15">
        <f t="shared" ref="D209:M209" si="170">D251*D$176</f>
        <v>0</v>
      </c>
      <c r="E209" s="14">
        <f t="shared" si="170"/>
        <v>6620.1940000000004</v>
      </c>
      <c r="F209" s="14">
        <f t="shared" si="170"/>
        <v>688.64010737599904</v>
      </c>
      <c r="G209" s="13">
        <f t="shared" si="170"/>
        <v>0</v>
      </c>
      <c r="H209" s="15">
        <f t="shared" si="170"/>
        <v>0</v>
      </c>
      <c r="I209" s="13">
        <f t="shared" si="170"/>
        <v>0</v>
      </c>
      <c r="J209" s="16">
        <f t="shared" si="170"/>
        <v>9976</v>
      </c>
      <c r="K209" s="15">
        <f t="shared" si="170"/>
        <v>3733.2</v>
      </c>
      <c r="L209" s="14">
        <f t="shared" si="170"/>
        <v>3230.833333333333</v>
      </c>
      <c r="M209" s="13">
        <f t="shared" si="170"/>
        <v>2902.5333333333333</v>
      </c>
      <c r="N209" s="85"/>
    </row>
    <row r="210" spans="1:14" outlineLevel="1" x14ac:dyDescent="0.2">
      <c r="A210" s="20">
        <f t="shared" si="157"/>
        <v>3581</v>
      </c>
      <c r="B210" s="19" t="str">
        <f t="shared" si="157"/>
        <v>Lamar</v>
      </c>
      <c r="C210" s="55">
        <f t="shared" si="136"/>
        <v>23139.722340222412</v>
      </c>
      <c r="D210" s="15">
        <f t="shared" ref="D210:M210" si="171">D252*D$176</f>
        <v>0</v>
      </c>
      <c r="E210" s="14">
        <f t="shared" si="171"/>
        <v>3274.6824444444442</v>
      </c>
      <c r="F210" s="14">
        <f t="shared" si="171"/>
        <v>458.87322911130246</v>
      </c>
      <c r="G210" s="13">
        <f t="shared" si="171"/>
        <v>0</v>
      </c>
      <c r="H210" s="15">
        <f t="shared" si="171"/>
        <v>0</v>
      </c>
      <c r="I210" s="13">
        <f t="shared" si="171"/>
        <v>0</v>
      </c>
      <c r="J210" s="16">
        <f t="shared" si="171"/>
        <v>7589.333333333333</v>
      </c>
      <c r="K210" s="15">
        <f t="shared" si="171"/>
        <v>3645.9333333333329</v>
      </c>
      <c r="L210" s="14">
        <f t="shared" si="171"/>
        <v>3722.5</v>
      </c>
      <c r="M210" s="13">
        <f t="shared" si="171"/>
        <v>4448.4000000000005</v>
      </c>
      <c r="N210" s="85"/>
    </row>
    <row r="211" spans="1:14" outlineLevel="1" x14ac:dyDescent="0.2">
      <c r="A211" s="20">
        <f t="shared" si="157"/>
        <v>3606</v>
      </c>
      <c r="B211" s="19" t="str">
        <f t="shared" si="157"/>
        <v>SHSU</v>
      </c>
      <c r="C211" s="55">
        <f t="shared" si="136"/>
        <v>52752.542467093634</v>
      </c>
      <c r="D211" s="15">
        <f t="shared" ref="D211:M211" si="172">D253*D$176</f>
        <v>0</v>
      </c>
      <c r="E211" s="14">
        <f t="shared" si="172"/>
        <v>12638.951111111111</v>
      </c>
      <c r="F211" s="14">
        <f t="shared" si="172"/>
        <v>611.8913559825254</v>
      </c>
      <c r="G211" s="13">
        <f t="shared" si="172"/>
        <v>0</v>
      </c>
      <c r="H211" s="15">
        <f t="shared" si="172"/>
        <v>0</v>
      </c>
      <c r="I211" s="13">
        <f t="shared" si="172"/>
        <v>0</v>
      </c>
      <c r="J211" s="16">
        <f t="shared" si="172"/>
        <v>17709.333333333332</v>
      </c>
      <c r="K211" s="15">
        <f t="shared" si="172"/>
        <v>6620.3666666666668</v>
      </c>
      <c r="L211" s="14">
        <f t="shared" si="172"/>
        <v>7413.3333333333339</v>
      </c>
      <c r="M211" s="13">
        <f t="shared" si="172"/>
        <v>7758.666666666667</v>
      </c>
      <c r="N211" s="85"/>
    </row>
    <row r="212" spans="1:14" outlineLevel="1" x14ac:dyDescent="0.2">
      <c r="A212" s="20">
        <f t="shared" si="157"/>
        <v>3615</v>
      </c>
      <c r="B212" s="19" t="str">
        <f t="shared" si="157"/>
        <v>TXST</v>
      </c>
      <c r="C212" s="55">
        <f t="shared" si="136"/>
        <v>94985.763287994661</v>
      </c>
      <c r="D212" s="15">
        <f t="shared" ref="D212:M212" si="173">D254*D$176</f>
        <v>0</v>
      </c>
      <c r="E212" s="14">
        <f t="shared" si="173"/>
        <v>23754.591</v>
      </c>
      <c r="F212" s="14">
        <f t="shared" si="173"/>
        <v>585.17228799465988</v>
      </c>
      <c r="G212" s="13">
        <f t="shared" si="173"/>
        <v>0</v>
      </c>
      <c r="H212" s="15">
        <f t="shared" si="173"/>
        <v>0</v>
      </c>
      <c r="I212" s="13">
        <f t="shared" si="173"/>
        <v>0</v>
      </c>
      <c r="J212" s="16">
        <f t="shared" si="173"/>
        <v>29402.666666666668</v>
      </c>
      <c r="K212" s="15">
        <f t="shared" si="173"/>
        <v>12699.566666666666</v>
      </c>
      <c r="L212" s="14">
        <f t="shared" si="173"/>
        <v>13947.5</v>
      </c>
      <c r="M212" s="13">
        <f t="shared" si="173"/>
        <v>14596.266666666668</v>
      </c>
      <c r="N212" s="85"/>
    </row>
    <row r="213" spans="1:14" outlineLevel="1" x14ac:dyDescent="0.2">
      <c r="A213" s="20">
        <f t="shared" si="157"/>
        <v>3625</v>
      </c>
      <c r="B213" s="19" t="str">
        <f t="shared" si="157"/>
        <v>SRSU</v>
      </c>
      <c r="C213" s="55">
        <f t="shared" si="136"/>
        <v>3664.3964085414354</v>
      </c>
      <c r="D213" s="15">
        <f t="shared" ref="D213:M213" si="174">D255*D$176</f>
        <v>0</v>
      </c>
      <c r="E213" s="14">
        <f t="shared" si="174"/>
        <v>398.92533333333336</v>
      </c>
      <c r="F213" s="14">
        <f t="shared" si="174"/>
        <v>387.97107520810192</v>
      </c>
      <c r="G213" s="13">
        <f t="shared" si="174"/>
        <v>0</v>
      </c>
      <c r="H213" s="15">
        <f t="shared" si="174"/>
        <v>0</v>
      </c>
      <c r="I213" s="13">
        <f t="shared" si="174"/>
        <v>0</v>
      </c>
      <c r="J213" s="16">
        <f t="shared" si="174"/>
        <v>1304</v>
      </c>
      <c r="K213" s="15">
        <f t="shared" si="174"/>
        <v>510</v>
      </c>
      <c r="L213" s="14">
        <f t="shared" si="174"/>
        <v>484.16666666666663</v>
      </c>
      <c r="M213" s="13">
        <f t="shared" si="174"/>
        <v>579.33333333333337</v>
      </c>
      <c r="N213" s="85"/>
    </row>
    <row r="214" spans="1:14" outlineLevel="1" x14ac:dyDescent="0.2">
      <c r="A214" s="20">
        <f t="shared" si="157"/>
        <v>20</v>
      </c>
      <c r="B214" s="19" t="str">
        <f t="shared" si="157"/>
        <v>SRRG</v>
      </c>
      <c r="C214" s="55">
        <f t="shared" si="136"/>
        <v>3068.2053764125399</v>
      </c>
      <c r="D214" s="15">
        <f t="shared" ref="D214:M214" si="175">D256*D$176</f>
        <v>0</v>
      </c>
      <c r="E214" s="14">
        <f t="shared" si="175"/>
        <v>359.56183632836428</v>
      </c>
      <c r="F214" s="14">
        <f t="shared" si="175"/>
        <v>914.91020675084269</v>
      </c>
      <c r="G214" s="13">
        <f t="shared" si="175"/>
        <v>0</v>
      </c>
      <c r="H214" s="15">
        <f t="shared" si="175"/>
        <v>0</v>
      </c>
      <c r="I214" s="13">
        <f t="shared" si="175"/>
        <v>0</v>
      </c>
      <c r="J214" s="16">
        <f t="shared" si="175"/>
        <v>1152</v>
      </c>
      <c r="K214" s="15">
        <f t="shared" si="175"/>
        <v>391</v>
      </c>
      <c r="L214" s="14">
        <f t="shared" si="175"/>
        <v>231.66666666666669</v>
      </c>
      <c r="M214" s="13">
        <f t="shared" si="175"/>
        <v>19.066666666666666</v>
      </c>
      <c r="N214" s="85"/>
    </row>
    <row r="215" spans="1:14" ht="13.5" outlineLevel="1" thickBot="1" x14ac:dyDescent="0.25">
      <c r="A215" s="12"/>
      <c r="B215" s="11" t="s">
        <v>11</v>
      </c>
      <c r="C215" s="54">
        <f t="shared" ref="C215:M215" si="176">SUM(C177:C214)</f>
        <v>1427782.9756374927</v>
      </c>
      <c r="D215" s="9">
        <f t="shared" si="176"/>
        <v>0</v>
      </c>
      <c r="E215" s="7">
        <f t="shared" si="176"/>
        <v>343222.64122446562</v>
      </c>
      <c r="F215" s="7">
        <f t="shared" si="176"/>
        <v>25436.751079693917</v>
      </c>
      <c r="G215" s="3">
        <f t="shared" si="176"/>
        <v>0</v>
      </c>
      <c r="H215" s="5">
        <f t="shared" si="176"/>
        <v>0</v>
      </c>
      <c r="I215" s="3">
        <f t="shared" si="176"/>
        <v>0</v>
      </c>
      <c r="J215" s="6">
        <f t="shared" si="176"/>
        <v>435572.00000000006</v>
      </c>
      <c r="K215" s="5">
        <f t="shared" si="176"/>
        <v>194161.53333333333</v>
      </c>
      <c r="L215" s="4">
        <f t="shared" si="176"/>
        <v>205861.25000000003</v>
      </c>
      <c r="M215" s="3">
        <f t="shared" si="176"/>
        <v>223528.8</v>
      </c>
      <c r="N215" s="155"/>
    </row>
    <row r="216" spans="1:14" ht="13.5" thickBot="1" x14ac:dyDescent="0.25">
      <c r="A216" s="42" t="s">
        <v>29</v>
      </c>
      <c r="B216" s="42"/>
      <c r="C216" s="127"/>
      <c r="D216" s="51"/>
      <c r="E216" s="51"/>
      <c r="F216" s="53"/>
      <c r="H216" s="53"/>
      <c r="N216" s="155"/>
    </row>
    <row r="217" spans="1:14" ht="12.75" customHeight="1" outlineLevel="1" x14ac:dyDescent="0.2">
      <c r="A217" s="234" t="s">
        <v>24</v>
      </c>
      <c r="B217" s="236" t="s">
        <v>23</v>
      </c>
      <c r="C217" s="238"/>
      <c r="D217" s="240" t="s">
        <v>28</v>
      </c>
      <c r="E217" s="242" t="s">
        <v>21</v>
      </c>
      <c r="F217" s="236" t="s">
        <v>20</v>
      </c>
      <c r="G217" s="221" t="s">
        <v>19</v>
      </c>
      <c r="H217" s="223" t="s">
        <v>18</v>
      </c>
      <c r="I217" s="225" t="s">
        <v>17</v>
      </c>
      <c r="J217" s="227" t="s">
        <v>16</v>
      </c>
      <c r="K217" s="229" t="s">
        <v>15</v>
      </c>
      <c r="L217" s="230"/>
      <c r="M217" s="231"/>
      <c r="N217" s="155"/>
    </row>
    <row r="218" spans="1:14" s="41" customFormat="1" ht="41.25" customHeight="1" outlineLevel="1" thickBot="1" x14ac:dyDescent="0.25">
      <c r="A218" s="273"/>
      <c r="B218" s="270"/>
      <c r="C218" s="274"/>
      <c r="D218" s="275"/>
      <c r="E218" s="276"/>
      <c r="F218" s="270"/>
      <c r="G218" s="271"/>
      <c r="H218" s="272"/>
      <c r="I218" s="265"/>
      <c r="J218" s="266"/>
      <c r="K218" s="125" t="s">
        <v>14</v>
      </c>
      <c r="L218" s="126" t="s">
        <v>13</v>
      </c>
      <c r="M218" s="135" t="s">
        <v>12</v>
      </c>
      <c r="N218" s="155"/>
    </row>
    <row r="219" spans="1:14" outlineLevel="1" x14ac:dyDescent="0.2">
      <c r="A219" s="20">
        <f t="shared" ref="A219:B238" si="177">A177</f>
        <v>3656</v>
      </c>
      <c r="B219" s="19" t="str">
        <f t="shared" si="177"/>
        <v>UTA</v>
      </c>
      <c r="C219" s="38"/>
      <c r="D219" s="33">
        <f t="shared" ref="D219:D256" si="178">AVERAGE(D261,D303,D345)</f>
        <v>5018</v>
      </c>
      <c r="E219" s="118">
        <f t="shared" ref="E219:E256" si="179">AVERAGE(E261,E303,E345)*D219</f>
        <v>2600.9966666666669</v>
      </c>
      <c r="F219" s="32">
        <f t="shared" ref="F219:F256" si="180">D219/AVERAGE(F261,F303,F345)*100</f>
        <v>29.603788278048281</v>
      </c>
      <c r="G219" s="31">
        <f t="shared" ref="G219:M228" si="181">AVERAGE(G261,G303,G345)</f>
        <v>10418.553333333379</v>
      </c>
      <c r="H219" s="36">
        <f t="shared" si="181"/>
        <v>1531.3333333333333</v>
      </c>
      <c r="I219" s="35">
        <f t="shared" si="181"/>
        <v>35</v>
      </c>
      <c r="J219" s="34">
        <f t="shared" si="181"/>
        <v>3116</v>
      </c>
      <c r="K219" s="33">
        <f t="shared" si="181"/>
        <v>6836.333333333333</v>
      </c>
      <c r="L219" s="32">
        <f t="shared" si="181"/>
        <v>3833.6666666666665</v>
      </c>
      <c r="M219" s="31">
        <f t="shared" si="181"/>
        <v>1783.6666666666667</v>
      </c>
      <c r="N219" s="155"/>
    </row>
    <row r="220" spans="1:14" outlineLevel="1" x14ac:dyDescent="0.2">
      <c r="A220" s="20">
        <f t="shared" si="177"/>
        <v>3658</v>
      </c>
      <c r="B220" s="19" t="str">
        <f t="shared" si="177"/>
        <v>UT</v>
      </c>
      <c r="C220" s="18"/>
      <c r="D220" s="15">
        <f t="shared" si="178"/>
        <v>8946.3333333333339</v>
      </c>
      <c r="E220" s="116">
        <f t="shared" si="179"/>
        <v>7416.5103333333345</v>
      </c>
      <c r="F220" s="14">
        <f t="shared" si="180"/>
        <v>26.497692061124674</v>
      </c>
      <c r="G220" s="13">
        <f t="shared" si="181"/>
        <v>19398.350000000519</v>
      </c>
      <c r="H220" s="15">
        <f t="shared" si="181"/>
        <v>1876.3333333333333</v>
      </c>
      <c r="I220" s="13">
        <f t="shared" si="181"/>
        <v>66</v>
      </c>
      <c r="J220" s="16">
        <f t="shared" si="181"/>
        <v>3470.3333333333335</v>
      </c>
      <c r="K220" s="15">
        <f t="shared" si="181"/>
        <v>9598.3333333333339</v>
      </c>
      <c r="L220" s="14">
        <f t="shared" si="181"/>
        <v>9005.6666666666661</v>
      </c>
      <c r="M220" s="13">
        <f t="shared" si="181"/>
        <v>7040.333333333333</v>
      </c>
      <c r="N220" s="155"/>
    </row>
    <row r="221" spans="1:14" outlineLevel="1" x14ac:dyDescent="0.2">
      <c r="A221" s="20">
        <f t="shared" si="177"/>
        <v>9741</v>
      </c>
      <c r="B221" s="19" t="str">
        <f t="shared" si="177"/>
        <v>UTD</v>
      </c>
      <c r="C221" s="18"/>
      <c r="D221" s="15">
        <f t="shared" si="178"/>
        <v>2393</v>
      </c>
      <c r="E221" s="116">
        <f t="shared" si="179"/>
        <v>1682.279</v>
      </c>
      <c r="F221" s="14">
        <f t="shared" si="180"/>
        <v>26.829760516638267</v>
      </c>
      <c r="G221" s="13">
        <f t="shared" si="181"/>
        <v>5101.2033333334393</v>
      </c>
      <c r="H221" s="15">
        <f t="shared" si="181"/>
        <v>421.66666666666669</v>
      </c>
      <c r="I221" s="13">
        <f t="shared" si="181"/>
        <v>32</v>
      </c>
      <c r="J221" s="16">
        <f t="shared" si="181"/>
        <v>1319.6666666666667</v>
      </c>
      <c r="K221" s="15">
        <f t="shared" si="181"/>
        <v>3315</v>
      </c>
      <c r="L221" s="14">
        <f t="shared" si="181"/>
        <v>2134.3333333333335</v>
      </c>
      <c r="M221" s="13">
        <f t="shared" si="181"/>
        <v>1021.3333333333334</v>
      </c>
      <c r="N221" s="155"/>
    </row>
    <row r="222" spans="1:14" outlineLevel="1" x14ac:dyDescent="0.2">
      <c r="A222" s="20">
        <f t="shared" si="177"/>
        <v>3661</v>
      </c>
      <c r="B222" s="19" t="str">
        <f t="shared" si="177"/>
        <v>UTEP</v>
      </c>
      <c r="C222" s="18"/>
      <c r="D222" s="15">
        <f t="shared" si="178"/>
        <v>3057</v>
      </c>
      <c r="E222" s="116">
        <f t="shared" si="179"/>
        <v>1192.2299999999998</v>
      </c>
      <c r="F222" s="14">
        <f t="shared" si="180"/>
        <v>22.870894536023343</v>
      </c>
      <c r="G222" s="13">
        <f t="shared" si="181"/>
        <v>6298.0766666668133</v>
      </c>
      <c r="H222" s="15">
        <f t="shared" si="181"/>
        <v>655</v>
      </c>
      <c r="I222" s="13">
        <f t="shared" si="181"/>
        <v>90</v>
      </c>
      <c r="J222" s="16">
        <f t="shared" si="181"/>
        <v>2464.3333333333335</v>
      </c>
      <c r="K222" s="15">
        <f t="shared" si="181"/>
        <v>4362.666666666667</v>
      </c>
      <c r="L222" s="14">
        <f t="shared" si="181"/>
        <v>3358</v>
      </c>
      <c r="M222" s="13">
        <f t="shared" si="181"/>
        <v>1956</v>
      </c>
      <c r="N222" s="155"/>
    </row>
    <row r="223" spans="1:14" outlineLevel="1" x14ac:dyDescent="0.2">
      <c r="A223" s="20">
        <f t="shared" si="177"/>
        <v>3599</v>
      </c>
      <c r="B223" s="19" t="str">
        <f t="shared" si="177"/>
        <v>UTPA</v>
      </c>
      <c r="C223" s="18"/>
      <c r="D223" s="15">
        <f t="shared" si="178"/>
        <v>2580</v>
      </c>
      <c r="E223" s="116">
        <f t="shared" si="179"/>
        <v>1111.98</v>
      </c>
      <c r="F223" s="14">
        <f t="shared" si="180"/>
        <v>20.492490499497837</v>
      </c>
      <c r="G223" s="13">
        <f t="shared" si="181"/>
        <v>5134.1666666667797</v>
      </c>
      <c r="H223" s="15">
        <f t="shared" si="181"/>
        <v>520.33333333333337</v>
      </c>
      <c r="I223" s="13">
        <f t="shared" si="181"/>
        <v>28</v>
      </c>
      <c r="J223" s="16">
        <f t="shared" si="181"/>
        <v>2338.3333333333335</v>
      </c>
      <c r="K223" s="15">
        <f t="shared" si="181"/>
        <v>4075.3333333333335</v>
      </c>
      <c r="L223" s="14">
        <f t="shared" si="181"/>
        <v>3096</v>
      </c>
      <c r="M223" s="13">
        <f t="shared" si="181"/>
        <v>1939.3333333333333</v>
      </c>
      <c r="N223" s="155"/>
    </row>
    <row r="224" spans="1:14" outlineLevel="1" x14ac:dyDescent="0.2">
      <c r="A224" s="20">
        <f t="shared" si="177"/>
        <v>30646</v>
      </c>
      <c r="B224" s="19" t="str">
        <f t="shared" si="177"/>
        <v>UTB</v>
      </c>
      <c r="C224" s="18"/>
      <c r="D224" s="15">
        <f t="shared" si="178"/>
        <v>1092</v>
      </c>
      <c r="E224" s="116">
        <f t="shared" si="179"/>
        <v>628.17092451302005</v>
      </c>
      <c r="F224" s="14">
        <f t="shared" si="180"/>
        <v>34.461236368736628</v>
      </c>
      <c r="G224" s="13">
        <f t="shared" si="181"/>
        <v>2097.7933333333553</v>
      </c>
      <c r="H224" s="15">
        <f t="shared" si="181"/>
        <v>124.33333333333333</v>
      </c>
      <c r="I224" s="13">
        <f t="shared" si="181"/>
        <v>18.333333333333332</v>
      </c>
      <c r="J224" s="16">
        <f t="shared" si="181"/>
        <v>936.66666666666663</v>
      </c>
      <c r="K224" s="15">
        <f t="shared" si="181"/>
        <v>1326.3333333333333</v>
      </c>
      <c r="L224" s="14">
        <f t="shared" si="181"/>
        <v>556.33333333333337</v>
      </c>
      <c r="M224" s="13">
        <f t="shared" si="181"/>
        <v>100.66666666666667</v>
      </c>
      <c r="N224" s="155"/>
    </row>
    <row r="225" spans="1:14" outlineLevel="1" x14ac:dyDescent="0.2">
      <c r="A225" s="20">
        <f t="shared" si="177"/>
        <v>9930</v>
      </c>
      <c r="B225" s="19" t="str">
        <f t="shared" si="177"/>
        <v>UTPB</v>
      </c>
      <c r="C225" s="18"/>
      <c r="D225" s="15">
        <f t="shared" si="178"/>
        <v>533.33333333333337</v>
      </c>
      <c r="E225" s="116">
        <f t="shared" si="179"/>
        <v>236.8</v>
      </c>
      <c r="F225" s="14">
        <f t="shared" si="180"/>
        <v>23.125174643246009</v>
      </c>
      <c r="G225" s="13">
        <f t="shared" si="181"/>
        <v>1001.5166666666704</v>
      </c>
      <c r="H225" s="15">
        <f t="shared" si="181"/>
        <v>41.333333333333336</v>
      </c>
      <c r="I225" s="13">
        <f t="shared" si="181"/>
        <v>10</v>
      </c>
      <c r="J225" s="16">
        <f t="shared" si="181"/>
        <v>399</v>
      </c>
      <c r="K225" s="15">
        <f t="shared" si="181"/>
        <v>785.66666666666663</v>
      </c>
      <c r="L225" s="14">
        <f t="shared" si="181"/>
        <v>491.66666666666669</v>
      </c>
      <c r="M225" s="13">
        <f t="shared" si="181"/>
        <v>194.33333333333334</v>
      </c>
      <c r="N225" s="155"/>
    </row>
    <row r="226" spans="1:14" outlineLevel="1" x14ac:dyDescent="0.2">
      <c r="A226" s="20">
        <f t="shared" si="177"/>
        <v>10115</v>
      </c>
      <c r="B226" s="19" t="str">
        <f t="shared" si="177"/>
        <v>UTSA</v>
      </c>
      <c r="C226" s="18"/>
      <c r="D226" s="15">
        <f t="shared" si="178"/>
        <v>4119.666666666667</v>
      </c>
      <c r="E226" s="116">
        <f t="shared" si="179"/>
        <v>1737.1261111111112</v>
      </c>
      <c r="F226" s="14">
        <f t="shared" si="180"/>
        <v>20.241034101368403</v>
      </c>
      <c r="G226" s="13">
        <f t="shared" si="181"/>
        <v>8414.213333333224</v>
      </c>
      <c r="H226" s="15">
        <f t="shared" si="181"/>
        <v>392</v>
      </c>
      <c r="I226" s="13">
        <f t="shared" si="181"/>
        <v>49.666666666666664</v>
      </c>
      <c r="J226" s="16">
        <f t="shared" si="181"/>
        <v>3123.6666666666665</v>
      </c>
      <c r="K226" s="15">
        <f t="shared" si="181"/>
        <v>6809.666666666667</v>
      </c>
      <c r="L226" s="14">
        <f t="shared" si="181"/>
        <v>4458.666666666667</v>
      </c>
      <c r="M226" s="13">
        <f t="shared" si="181"/>
        <v>2615.6666666666665</v>
      </c>
      <c r="N226" s="155"/>
    </row>
    <row r="227" spans="1:14" outlineLevel="1" x14ac:dyDescent="0.2">
      <c r="A227" s="20">
        <f t="shared" si="177"/>
        <v>11163</v>
      </c>
      <c r="B227" s="19" t="str">
        <f t="shared" si="177"/>
        <v>UTT</v>
      </c>
      <c r="C227" s="18"/>
      <c r="D227" s="15">
        <f t="shared" si="178"/>
        <v>1190</v>
      </c>
      <c r="E227" s="116">
        <f t="shared" si="179"/>
        <v>613.64333333333343</v>
      </c>
      <c r="F227" s="14">
        <f t="shared" si="180"/>
        <v>29.255740517151896</v>
      </c>
      <c r="G227" s="13">
        <f t="shared" si="181"/>
        <v>2362.6600000000103</v>
      </c>
      <c r="H227" s="15">
        <f t="shared" si="181"/>
        <v>376.66666666666669</v>
      </c>
      <c r="I227" s="13">
        <f t="shared" si="181"/>
        <v>14</v>
      </c>
      <c r="J227" s="16">
        <f t="shared" si="181"/>
        <v>942.33333333333337</v>
      </c>
      <c r="K227" s="15">
        <f t="shared" si="181"/>
        <v>1436.3333333333333</v>
      </c>
      <c r="L227" s="14">
        <f t="shared" si="181"/>
        <v>890</v>
      </c>
      <c r="M227" s="13">
        <f t="shared" si="181"/>
        <v>387.33333333333331</v>
      </c>
      <c r="N227" s="155"/>
    </row>
    <row r="228" spans="1:14" outlineLevel="1" x14ac:dyDescent="0.2">
      <c r="A228" s="20">
        <f t="shared" si="177"/>
        <v>3632</v>
      </c>
      <c r="B228" s="19" t="str">
        <f t="shared" si="177"/>
        <v>TAMU</v>
      </c>
      <c r="C228" s="18"/>
      <c r="D228" s="15">
        <f t="shared" si="178"/>
        <v>8739.6666666666661</v>
      </c>
      <c r="E228" s="116">
        <f t="shared" si="179"/>
        <v>7347.1464444444427</v>
      </c>
      <c r="F228" s="14">
        <f t="shared" si="180"/>
        <v>25.241886570842681</v>
      </c>
      <c r="G228" s="13">
        <f t="shared" si="181"/>
        <v>20104.8166666668</v>
      </c>
      <c r="H228" s="15">
        <f t="shared" si="181"/>
        <v>1763</v>
      </c>
      <c r="I228" s="13">
        <f t="shared" si="181"/>
        <v>126</v>
      </c>
      <c r="J228" s="16">
        <f t="shared" si="181"/>
        <v>3724</v>
      </c>
      <c r="K228" s="15">
        <f t="shared" si="181"/>
        <v>10060.666666666666</v>
      </c>
      <c r="L228" s="14">
        <f t="shared" si="181"/>
        <v>8907.3333333333339</v>
      </c>
      <c r="M228" s="13">
        <f t="shared" si="181"/>
        <v>6897.666666666667</v>
      </c>
      <c r="N228" s="155"/>
    </row>
    <row r="229" spans="1:14" outlineLevel="1" x14ac:dyDescent="0.2">
      <c r="A229" s="20">
        <f t="shared" si="177"/>
        <v>10298</v>
      </c>
      <c r="B229" s="19" t="str">
        <f t="shared" si="177"/>
        <v>TAMUG</v>
      </c>
      <c r="C229" s="18"/>
      <c r="D229" s="15">
        <f t="shared" si="178"/>
        <v>275.33333333333331</v>
      </c>
      <c r="E229" s="116">
        <f t="shared" si="179"/>
        <v>172.72577777777778</v>
      </c>
      <c r="F229" s="14">
        <f t="shared" si="180"/>
        <v>16.399301143583227</v>
      </c>
      <c r="G229" s="13">
        <f t="shared" ref="G229:M238" si="182">AVERAGE(G271,G313,G355)</f>
        <v>704.02666666666448</v>
      </c>
      <c r="H229" s="15">
        <f t="shared" si="182"/>
        <v>37.333333333333336</v>
      </c>
      <c r="I229" s="13">
        <f t="shared" si="182"/>
        <v>0</v>
      </c>
      <c r="J229" s="16">
        <f t="shared" si="182"/>
        <v>158</v>
      </c>
      <c r="K229" s="15">
        <f t="shared" si="182"/>
        <v>592.33333333333337</v>
      </c>
      <c r="L229" s="14">
        <f t="shared" si="182"/>
        <v>318</v>
      </c>
      <c r="M229" s="13">
        <f t="shared" si="182"/>
        <v>246</v>
      </c>
      <c r="N229" s="155"/>
    </row>
    <row r="230" spans="1:14" outlineLevel="1" x14ac:dyDescent="0.2">
      <c r="A230" s="20">
        <f t="shared" si="177"/>
        <v>3630</v>
      </c>
      <c r="B230" s="19" t="str">
        <f t="shared" si="177"/>
        <v>Prairie View</v>
      </c>
      <c r="C230" s="18"/>
      <c r="D230" s="15">
        <f t="shared" si="178"/>
        <v>936.33333333333337</v>
      </c>
      <c r="E230" s="116">
        <f t="shared" si="179"/>
        <v>348.00388888888887</v>
      </c>
      <c r="F230" s="14">
        <f t="shared" si="180"/>
        <v>15.823688025296873</v>
      </c>
      <c r="G230" s="13">
        <f t="shared" si="182"/>
        <v>2072.9000000000092</v>
      </c>
      <c r="H230" s="15">
        <f t="shared" si="182"/>
        <v>315.66666666666669</v>
      </c>
      <c r="I230" s="13">
        <f t="shared" si="182"/>
        <v>9.6666666666666661</v>
      </c>
      <c r="J230" s="16">
        <f t="shared" si="182"/>
        <v>802.66666666666663</v>
      </c>
      <c r="K230" s="15">
        <f t="shared" si="182"/>
        <v>1668</v>
      </c>
      <c r="L230" s="14">
        <f t="shared" si="182"/>
        <v>1181</v>
      </c>
      <c r="M230" s="13">
        <f t="shared" si="182"/>
        <v>905.33333333333337</v>
      </c>
      <c r="N230" s="155"/>
    </row>
    <row r="231" spans="1:14" outlineLevel="1" x14ac:dyDescent="0.2">
      <c r="A231" s="20">
        <f t="shared" si="177"/>
        <v>3631</v>
      </c>
      <c r="B231" s="19" t="str">
        <f t="shared" si="177"/>
        <v>Tarleton</v>
      </c>
      <c r="C231" s="18"/>
      <c r="D231" s="15">
        <f t="shared" si="178"/>
        <v>1545.3333333333333</v>
      </c>
      <c r="E231" s="116">
        <f t="shared" si="179"/>
        <v>738.66933333333338</v>
      </c>
      <c r="F231" s="14">
        <f t="shared" si="180"/>
        <v>24.559767752325659</v>
      </c>
      <c r="G231" s="13">
        <f t="shared" si="182"/>
        <v>3122.5433333333599</v>
      </c>
      <c r="H231" s="15">
        <f t="shared" si="182"/>
        <v>203</v>
      </c>
      <c r="I231" s="13">
        <f t="shared" si="182"/>
        <v>47.666666666666664</v>
      </c>
      <c r="J231" s="16">
        <f t="shared" si="182"/>
        <v>1195</v>
      </c>
      <c r="K231" s="15">
        <f t="shared" si="182"/>
        <v>2154.3333333333335</v>
      </c>
      <c r="L231" s="14">
        <f t="shared" si="182"/>
        <v>1328.6666666666667</v>
      </c>
      <c r="M231" s="13">
        <f t="shared" si="182"/>
        <v>862.66666666666663</v>
      </c>
      <c r="N231" s="155"/>
    </row>
    <row r="232" spans="1:14" outlineLevel="1" x14ac:dyDescent="0.2">
      <c r="A232" s="27">
        <f t="shared" si="177"/>
        <v>103631</v>
      </c>
      <c r="B232" s="19" t="str">
        <f t="shared" si="177"/>
        <v>TAMUCT</v>
      </c>
      <c r="C232" s="18"/>
      <c r="D232" s="15">
        <f t="shared" si="178"/>
        <v>460.33333333333331</v>
      </c>
      <c r="E232" s="116">
        <f t="shared" si="179"/>
        <v>220.03933333333333</v>
      </c>
      <c r="F232" s="14">
        <f t="shared" si="180"/>
        <v>67.587849522007247</v>
      </c>
      <c r="G232" s="13">
        <f t="shared" si="182"/>
        <v>853.61666666666588</v>
      </c>
      <c r="H232" s="15">
        <f t="shared" si="182"/>
        <v>40.666666666666664</v>
      </c>
      <c r="I232" s="13">
        <f t="shared" si="182"/>
        <v>0</v>
      </c>
      <c r="J232" s="16">
        <f t="shared" si="182"/>
        <v>327</v>
      </c>
      <c r="K232" s="15">
        <f t="shared" si="182"/>
        <v>495</v>
      </c>
      <c r="L232" s="14">
        <f t="shared" si="182"/>
        <v>133</v>
      </c>
      <c r="M232" s="13">
        <f t="shared" si="182"/>
        <v>34</v>
      </c>
      <c r="N232" s="155"/>
    </row>
    <row r="233" spans="1:14" outlineLevel="1" x14ac:dyDescent="0.2">
      <c r="A233" s="20">
        <f t="shared" si="177"/>
        <v>11161</v>
      </c>
      <c r="B233" s="19" t="str">
        <f t="shared" si="177"/>
        <v>TAMUCC</v>
      </c>
      <c r="C233" s="18"/>
      <c r="D233" s="15">
        <f t="shared" si="178"/>
        <v>1388.3333333333333</v>
      </c>
      <c r="E233" s="116">
        <f t="shared" si="179"/>
        <v>705.27333333333331</v>
      </c>
      <c r="F233" s="14">
        <f t="shared" si="180"/>
        <v>21.376514062820775</v>
      </c>
      <c r="G233" s="13">
        <f t="shared" si="182"/>
        <v>2804.2000000000139</v>
      </c>
      <c r="H233" s="15">
        <f t="shared" si="182"/>
        <v>266.33333333333331</v>
      </c>
      <c r="I233" s="13">
        <f t="shared" si="182"/>
        <v>25.666666666666668</v>
      </c>
      <c r="J233" s="16">
        <f t="shared" si="182"/>
        <v>1080</v>
      </c>
      <c r="K233" s="15">
        <f t="shared" si="182"/>
        <v>2054</v>
      </c>
      <c r="L233" s="14">
        <f t="shared" si="182"/>
        <v>1468</v>
      </c>
      <c r="M233" s="13">
        <f t="shared" si="182"/>
        <v>878.33333333333337</v>
      </c>
      <c r="N233" s="155"/>
    </row>
    <row r="234" spans="1:14" outlineLevel="1" x14ac:dyDescent="0.2">
      <c r="A234" s="20">
        <f t="shared" si="177"/>
        <v>3639</v>
      </c>
      <c r="B234" s="19" t="str">
        <f t="shared" si="177"/>
        <v>TAMUK</v>
      </c>
      <c r="C234" s="18"/>
      <c r="D234" s="15">
        <f t="shared" si="178"/>
        <v>761.66666666666663</v>
      </c>
      <c r="E234" s="116">
        <f t="shared" si="179"/>
        <v>306.44388888888892</v>
      </c>
      <c r="F234" s="14">
        <f t="shared" si="180"/>
        <v>17.879499217527385</v>
      </c>
      <c r="G234" s="13">
        <f t="shared" si="182"/>
        <v>1763.4533333333395</v>
      </c>
      <c r="H234" s="15">
        <f t="shared" si="182"/>
        <v>260</v>
      </c>
      <c r="I234" s="13">
        <f t="shared" si="182"/>
        <v>16.666666666666668</v>
      </c>
      <c r="J234" s="16">
        <f t="shared" si="182"/>
        <v>648.33333333333337</v>
      </c>
      <c r="K234" s="15">
        <f t="shared" si="182"/>
        <v>1227.3333333333333</v>
      </c>
      <c r="L234" s="14">
        <f t="shared" si="182"/>
        <v>859.66666666666663</v>
      </c>
      <c r="M234" s="13">
        <f t="shared" si="182"/>
        <v>558.66666666666663</v>
      </c>
      <c r="N234" s="155"/>
    </row>
    <row r="235" spans="1:14" outlineLevel="1" x14ac:dyDescent="0.2">
      <c r="A235" s="27">
        <f t="shared" si="177"/>
        <v>103639</v>
      </c>
      <c r="B235" s="19" t="str">
        <f t="shared" si="177"/>
        <v>TAMUSA</v>
      </c>
      <c r="C235" s="18"/>
      <c r="D235" s="15">
        <f t="shared" si="178"/>
        <v>587.66666666666663</v>
      </c>
      <c r="E235" s="116">
        <f t="shared" si="179"/>
        <v>236.43788888888889</v>
      </c>
      <c r="F235" s="14">
        <f t="shared" si="180"/>
        <v>41.598502485370922</v>
      </c>
      <c r="G235" s="13">
        <f t="shared" si="182"/>
        <v>1026.0133333333379</v>
      </c>
      <c r="H235" s="15">
        <f t="shared" si="182"/>
        <v>5</v>
      </c>
      <c r="I235" s="13">
        <f t="shared" si="182"/>
        <v>2</v>
      </c>
      <c r="J235" s="16">
        <f t="shared" si="182"/>
        <v>490.33333333333331</v>
      </c>
      <c r="K235" s="15">
        <f t="shared" si="182"/>
        <v>729.66666666666663</v>
      </c>
      <c r="L235" s="14">
        <f t="shared" si="182"/>
        <v>77.333333333333329</v>
      </c>
      <c r="M235" s="13">
        <f t="shared" si="182"/>
        <v>2.6666666666666665</v>
      </c>
      <c r="N235" s="155"/>
    </row>
    <row r="236" spans="1:14" outlineLevel="1" x14ac:dyDescent="0.2">
      <c r="A236" s="20">
        <f t="shared" si="177"/>
        <v>9651</v>
      </c>
      <c r="B236" s="19" t="str">
        <f t="shared" si="177"/>
        <v>TAMI</v>
      </c>
      <c r="C236" s="18"/>
      <c r="D236" s="15">
        <f t="shared" si="178"/>
        <v>789.66666666666663</v>
      </c>
      <c r="E236" s="116">
        <f t="shared" si="179"/>
        <v>373.77555555555551</v>
      </c>
      <c r="F236" s="14">
        <f t="shared" si="180"/>
        <v>19.326154348180779</v>
      </c>
      <c r="G236" s="13">
        <f t="shared" si="182"/>
        <v>1458.4966666666717</v>
      </c>
      <c r="H236" s="15">
        <f t="shared" si="182"/>
        <v>115.66666666666667</v>
      </c>
      <c r="I236" s="13">
        <f t="shared" si="182"/>
        <v>22.333333333333332</v>
      </c>
      <c r="J236" s="16">
        <f t="shared" si="182"/>
        <v>712.66666666666663</v>
      </c>
      <c r="K236" s="15">
        <f t="shared" si="182"/>
        <v>1406.6666666666667</v>
      </c>
      <c r="L236" s="14">
        <f t="shared" si="182"/>
        <v>1015.6666666666666</v>
      </c>
      <c r="M236" s="13">
        <f t="shared" si="182"/>
        <v>473.66666666666669</v>
      </c>
      <c r="N236" s="155"/>
    </row>
    <row r="237" spans="1:14" outlineLevel="1" x14ac:dyDescent="0.2">
      <c r="A237" s="20">
        <f t="shared" si="177"/>
        <v>3665</v>
      </c>
      <c r="B237" s="19" t="str">
        <f t="shared" si="177"/>
        <v>WTAMU</v>
      </c>
      <c r="C237" s="18"/>
      <c r="D237" s="15">
        <f t="shared" si="178"/>
        <v>1255.6666666666667</v>
      </c>
      <c r="E237" s="116">
        <f t="shared" si="179"/>
        <v>591.00044444444438</v>
      </c>
      <c r="F237" s="14">
        <f t="shared" si="180"/>
        <v>23.187721854032869</v>
      </c>
      <c r="G237" s="13">
        <f t="shared" si="182"/>
        <v>2503.5766666666836</v>
      </c>
      <c r="H237" s="15">
        <f t="shared" si="182"/>
        <v>191.66666666666666</v>
      </c>
      <c r="I237" s="13">
        <f t="shared" si="182"/>
        <v>60.666666666666664</v>
      </c>
      <c r="J237" s="16">
        <f t="shared" si="182"/>
        <v>889.33333333333337</v>
      </c>
      <c r="K237" s="15">
        <f t="shared" si="182"/>
        <v>1791.6666666666667</v>
      </c>
      <c r="L237" s="14">
        <f t="shared" si="182"/>
        <v>1212.6666666666667</v>
      </c>
      <c r="M237" s="13">
        <f t="shared" si="182"/>
        <v>661.33333333333337</v>
      </c>
      <c r="N237" s="155"/>
    </row>
    <row r="238" spans="1:14" outlineLevel="1" x14ac:dyDescent="0.2">
      <c r="A238" s="20">
        <f t="shared" si="177"/>
        <v>3565</v>
      </c>
      <c r="B238" s="19" t="str">
        <f t="shared" si="177"/>
        <v>TAMUC</v>
      </c>
      <c r="C238" s="18"/>
      <c r="D238" s="15">
        <f t="shared" si="178"/>
        <v>1324.3333333333333</v>
      </c>
      <c r="E238" s="116">
        <f t="shared" si="179"/>
        <v>582.70666666666659</v>
      </c>
      <c r="F238" s="14">
        <f t="shared" si="180"/>
        <v>28.19543536269185</v>
      </c>
      <c r="G238" s="13">
        <f t="shared" si="182"/>
        <v>2501.8266666666914</v>
      </c>
      <c r="H238" s="15">
        <f t="shared" si="182"/>
        <v>73</v>
      </c>
      <c r="I238" s="13">
        <f t="shared" si="182"/>
        <v>74.333333333333329</v>
      </c>
      <c r="J238" s="16">
        <f t="shared" si="182"/>
        <v>1019.3333333333334</v>
      </c>
      <c r="K238" s="15">
        <f t="shared" si="182"/>
        <v>1893</v>
      </c>
      <c r="L238" s="14">
        <f t="shared" si="182"/>
        <v>1137.3333333333333</v>
      </c>
      <c r="M238" s="13">
        <f t="shared" si="182"/>
        <v>452.33333333333331</v>
      </c>
      <c r="N238" s="155"/>
    </row>
    <row r="239" spans="1:14" outlineLevel="1" x14ac:dyDescent="0.2">
      <c r="A239" s="20">
        <f t="shared" ref="A239:B256" si="183">A197</f>
        <v>29269</v>
      </c>
      <c r="B239" s="19" t="str">
        <f t="shared" si="183"/>
        <v>TAMUT</v>
      </c>
      <c r="C239" s="18"/>
      <c r="D239" s="15">
        <f t="shared" si="178"/>
        <v>345.66666666666669</v>
      </c>
      <c r="E239" s="116">
        <f t="shared" si="179"/>
        <v>187.3602625468375</v>
      </c>
      <c r="F239" s="14">
        <f t="shared" si="180"/>
        <v>38.766355140186917</v>
      </c>
      <c r="G239" s="13">
        <f t="shared" ref="G239:M248" si="184">AVERAGE(G281,G323,G365)</f>
        <v>619.90999999999826</v>
      </c>
      <c r="H239" s="15">
        <f t="shared" si="184"/>
        <v>41.666666666666664</v>
      </c>
      <c r="I239" s="13">
        <f t="shared" si="184"/>
        <v>19.333333333333332</v>
      </c>
      <c r="J239" s="16">
        <f t="shared" si="184"/>
        <v>239</v>
      </c>
      <c r="K239" s="15">
        <f t="shared" si="184"/>
        <v>432.66666666666669</v>
      </c>
      <c r="L239" s="14">
        <f t="shared" si="184"/>
        <v>181</v>
      </c>
      <c r="M239" s="13">
        <f t="shared" si="184"/>
        <v>0.66666666666666663</v>
      </c>
      <c r="N239" s="155"/>
    </row>
    <row r="240" spans="1:14" outlineLevel="1" x14ac:dyDescent="0.2">
      <c r="A240" s="20">
        <f t="shared" si="183"/>
        <v>3652</v>
      </c>
      <c r="B240" s="19" t="str">
        <f t="shared" si="183"/>
        <v>UH</v>
      </c>
      <c r="C240" s="18"/>
      <c r="D240" s="15">
        <f t="shared" si="178"/>
        <v>5098.666666666667</v>
      </c>
      <c r="E240" s="116">
        <f t="shared" si="179"/>
        <v>2734.5848888888891</v>
      </c>
      <c r="F240" s="14">
        <f t="shared" si="180"/>
        <v>21.425049678026625</v>
      </c>
      <c r="G240" s="13">
        <f t="shared" si="184"/>
        <v>10580.246666665944</v>
      </c>
      <c r="H240" s="15">
        <f t="shared" si="184"/>
        <v>737</v>
      </c>
      <c r="I240" s="13">
        <f t="shared" si="184"/>
        <v>62.666666666666664</v>
      </c>
      <c r="J240" s="16">
        <f t="shared" si="184"/>
        <v>3373</v>
      </c>
      <c r="K240" s="15">
        <f t="shared" si="184"/>
        <v>7602.333333333333</v>
      </c>
      <c r="L240" s="14">
        <f t="shared" si="184"/>
        <v>5690.333333333333</v>
      </c>
      <c r="M240" s="13">
        <f t="shared" si="184"/>
        <v>3307.3333333333335</v>
      </c>
      <c r="N240" s="155"/>
    </row>
    <row r="241" spans="1:14" outlineLevel="1" x14ac:dyDescent="0.2">
      <c r="A241" s="20">
        <f t="shared" si="183"/>
        <v>11711</v>
      </c>
      <c r="B241" s="19" t="str">
        <f t="shared" si="183"/>
        <v>UHCL</v>
      </c>
      <c r="C241" s="18"/>
      <c r="D241" s="15">
        <f t="shared" si="178"/>
        <v>1190.6666666666667</v>
      </c>
      <c r="E241" s="116">
        <f t="shared" si="179"/>
        <v>619.34267935898833</v>
      </c>
      <c r="F241" s="14">
        <f t="shared" si="180"/>
        <v>39.693593314763234</v>
      </c>
      <c r="G241" s="13">
        <f t="shared" si="184"/>
        <v>2282.9533333333529</v>
      </c>
      <c r="H241" s="15">
        <f t="shared" si="184"/>
        <v>106.66666666666667</v>
      </c>
      <c r="I241" s="13">
        <f t="shared" si="184"/>
        <v>8.3333333333333339</v>
      </c>
      <c r="J241" s="16">
        <f t="shared" si="184"/>
        <v>774.33333333333337</v>
      </c>
      <c r="K241" s="15">
        <f t="shared" si="184"/>
        <v>1391.3333333333333</v>
      </c>
      <c r="L241" s="14">
        <f t="shared" si="184"/>
        <v>953.66666666666663</v>
      </c>
      <c r="M241" s="13">
        <f t="shared" si="184"/>
        <v>57</v>
      </c>
      <c r="N241" s="155"/>
    </row>
    <row r="242" spans="1:14" outlineLevel="1" x14ac:dyDescent="0.2">
      <c r="A242" s="20">
        <f t="shared" si="183"/>
        <v>12826</v>
      </c>
      <c r="B242" s="19" t="str">
        <f t="shared" si="183"/>
        <v>UHD</v>
      </c>
      <c r="C242" s="18"/>
      <c r="D242" s="15">
        <f t="shared" si="178"/>
        <v>2382.3333333333335</v>
      </c>
      <c r="E242" s="116">
        <f t="shared" si="179"/>
        <v>452.64333333333343</v>
      </c>
      <c r="F242" s="14">
        <f t="shared" si="180"/>
        <v>29.833031863086134</v>
      </c>
      <c r="G242" s="13">
        <f t="shared" si="184"/>
        <v>4271.3166666667212</v>
      </c>
      <c r="H242" s="15">
        <f t="shared" si="184"/>
        <v>129.66666666666666</v>
      </c>
      <c r="I242" s="13">
        <f t="shared" si="184"/>
        <v>1.6666666666666667</v>
      </c>
      <c r="J242" s="16">
        <f t="shared" si="184"/>
        <v>1681</v>
      </c>
      <c r="K242" s="15">
        <f t="shared" si="184"/>
        <v>3105.3333333333335</v>
      </c>
      <c r="L242" s="14">
        <f t="shared" si="184"/>
        <v>1868.3333333333333</v>
      </c>
      <c r="M242" s="13">
        <f t="shared" si="184"/>
        <v>604.66666666666663</v>
      </c>
      <c r="N242" s="155"/>
    </row>
    <row r="243" spans="1:14" outlineLevel="1" x14ac:dyDescent="0.2">
      <c r="A243" s="20">
        <f t="shared" si="183"/>
        <v>13231</v>
      </c>
      <c r="B243" s="19" t="str">
        <f t="shared" si="183"/>
        <v>UHV</v>
      </c>
      <c r="C243" s="18"/>
      <c r="D243" s="15">
        <f t="shared" si="178"/>
        <v>576.66666666666663</v>
      </c>
      <c r="E243" s="116">
        <f t="shared" si="179"/>
        <v>300.19546283886069</v>
      </c>
      <c r="F243" s="14">
        <f t="shared" si="180"/>
        <v>40.08464889245883</v>
      </c>
      <c r="G243" s="13">
        <f t="shared" si="184"/>
        <v>1084.4800000000012</v>
      </c>
      <c r="H243" s="15">
        <f t="shared" si="184"/>
        <v>108</v>
      </c>
      <c r="I243" s="13">
        <f t="shared" si="184"/>
        <v>7.333333333333333</v>
      </c>
      <c r="J243" s="16">
        <f t="shared" si="184"/>
        <v>384</v>
      </c>
      <c r="K243" s="15">
        <f t="shared" si="184"/>
        <v>716</v>
      </c>
      <c r="L243" s="14">
        <f t="shared" si="184"/>
        <v>296.33333333333331</v>
      </c>
      <c r="M243" s="13">
        <f t="shared" si="184"/>
        <v>6.666666666666667</v>
      </c>
      <c r="N243" s="155"/>
    </row>
    <row r="244" spans="1:14" outlineLevel="1" x14ac:dyDescent="0.2">
      <c r="A244" s="20">
        <f t="shared" si="183"/>
        <v>3592</v>
      </c>
      <c r="B244" s="19" t="str">
        <f t="shared" si="183"/>
        <v>Midwestern</v>
      </c>
      <c r="C244" s="18"/>
      <c r="D244" s="15">
        <f t="shared" si="178"/>
        <v>1031.6666666666667</v>
      </c>
      <c r="E244" s="116">
        <f t="shared" si="179"/>
        <v>453.24555555555554</v>
      </c>
      <c r="F244" s="14">
        <f t="shared" si="180"/>
        <v>24.122522148034601</v>
      </c>
      <c r="G244" s="13">
        <f t="shared" si="184"/>
        <v>1962.0000000000034</v>
      </c>
      <c r="H244" s="15">
        <f t="shared" si="184"/>
        <v>333.33333333333331</v>
      </c>
      <c r="I244" s="13">
        <f t="shared" si="184"/>
        <v>15</v>
      </c>
      <c r="J244" s="16">
        <f t="shared" si="184"/>
        <v>690.33333333333337</v>
      </c>
      <c r="K244" s="15">
        <f t="shared" si="184"/>
        <v>1438</v>
      </c>
      <c r="L244" s="14">
        <f t="shared" si="184"/>
        <v>1046</v>
      </c>
      <c r="M244" s="13">
        <f t="shared" si="184"/>
        <v>679.66666666666663</v>
      </c>
      <c r="N244" s="155"/>
    </row>
    <row r="245" spans="1:14" outlineLevel="1" x14ac:dyDescent="0.2">
      <c r="A245" s="20">
        <f t="shared" si="183"/>
        <v>3594</v>
      </c>
      <c r="B245" s="19" t="str">
        <f t="shared" si="183"/>
        <v>UNT</v>
      </c>
      <c r="C245" s="18"/>
      <c r="D245" s="15">
        <f t="shared" si="178"/>
        <v>6016.666666666667</v>
      </c>
      <c r="E245" s="116">
        <f t="shared" si="179"/>
        <v>3467.6055555555558</v>
      </c>
      <c r="F245" s="14">
        <f t="shared" si="180"/>
        <v>25.886944566084125</v>
      </c>
      <c r="G245" s="13">
        <f t="shared" si="184"/>
        <v>11411.553333332529</v>
      </c>
      <c r="H245" s="15">
        <f t="shared" si="184"/>
        <v>336.66666666666669</v>
      </c>
      <c r="I245" s="13">
        <f t="shared" si="184"/>
        <v>43.333333333333336</v>
      </c>
      <c r="J245" s="16">
        <f t="shared" si="184"/>
        <v>3820</v>
      </c>
      <c r="K245" s="15">
        <f t="shared" si="184"/>
        <v>7864.666666666667</v>
      </c>
      <c r="L245" s="14">
        <f t="shared" si="184"/>
        <v>5642.333333333333</v>
      </c>
      <c r="M245" s="13">
        <f t="shared" si="184"/>
        <v>3337</v>
      </c>
      <c r="N245" s="155"/>
    </row>
    <row r="246" spans="1:14" outlineLevel="1" x14ac:dyDescent="0.2">
      <c r="A246" s="27">
        <f t="shared" si="183"/>
        <v>113594</v>
      </c>
      <c r="B246" s="19" t="str">
        <f t="shared" si="183"/>
        <v>UNTD</v>
      </c>
      <c r="C246" s="18"/>
      <c r="D246" s="15">
        <f t="shared" si="178"/>
        <v>403.5</v>
      </c>
      <c r="E246" s="116">
        <f t="shared" si="179"/>
        <v>233.02125000000001</v>
      </c>
      <c r="F246" s="14">
        <f t="shared" si="180"/>
        <v>42.647266065388948</v>
      </c>
      <c r="G246" s="13">
        <f t="shared" si="184"/>
        <v>705.85999999999717</v>
      </c>
      <c r="H246" s="15">
        <f t="shared" si="184"/>
        <v>12</v>
      </c>
      <c r="I246" s="13">
        <f t="shared" si="184"/>
        <v>0</v>
      </c>
      <c r="J246" s="16">
        <f t="shared" si="184"/>
        <v>308.5</v>
      </c>
      <c r="K246" s="15">
        <f t="shared" si="184"/>
        <v>478</v>
      </c>
      <c r="L246" s="14">
        <f t="shared" si="184"/>
        <v>71.5</v>
      </c>
      <c r="M246" s="13">
        <f t="shared" si="184"/>
        <v>11</v>
      </c>
      <c r="N246" s="155"/>
    </row>
    <row r="247" spans="1:14" outlineLevel="1" x14ac:dyDescent="0.2">
      <c r="A247" s="20">
        <f t="shared" si="183"/>
        <v>3624</v>
      </c>
      <c r="B247" s="19" t="str">
        <f t="shared" si="183"/>
        <v>SFA</v>
      </c>
      <c r="C247" s="18"/>
      <c r="D247" s="15">
        <f t="shared" si="178"/>
        <v>1921.6666666666667</v>
      </c>
      <c r="E247" s="116">
        <f t="shared" si="179"/>
        <v>1064.6033333333332</v>
      </c>
      <c r="F247" s="14">
        <f t="shared" si="180"/>
        <v>20.257544310083915</v>
      </c>
      <c r="G247" s="13">
        <f t="shared" si="184"/>
        <v>3721.736666666669</v>
      </c>
      <c r="H247" s="15">
        <f t="shared" si="184"/>
        <v>248</v>
      </c>
      <c r="I247" s="13">
        <f t="shared" si="184"/>
        <v>44.666666666666664</v>
      </c>
      <c r="J247" s="16">
        <f t="shared" si="184"/>
        <v>1460.3333333333333</v>
      </c>
      <c r="K247" s="15">
        <f t="shared" si="184"/>
        <v>2769.3333333333335</v>
      </c>
      <c r="L247" s="14">
        <f t="shared" si="184"/>
        <v>2075</v>
      </c>
      <c r="M247" s="13">
        <f t="shared" si="184"/>
        <v>1397.3333333333333</v>
      </c>
      <c r="N247" s="155"/>
    </row>
    <row r="248" spans="1:14" outlineLevel="1" x14ac:dyDescent="0.2">
      <c r="A248" s="20">
        <f t="shared" si="183"/>
        <v>3642</v>
      </c>
      <c r="B248" s="19" t="str">
        <f t="shared" si="183"/>
        <v>TSU</v>
      </c>
      <c r="C248" s="18"/>
      <c r="D248" s="15">
        <f t="shared" si="178"/>
        <v>758.33333333333337</v>
      </c>
      <c r="E248" s="116">
        <f t="shared" si="179"/>
        <v>108.94722222222221</v>
      </c>
      <c r="F248" s="14">
        <f t="shared" si="180"/>
        <v>12.933681010892716</v>
      </c>
      <c r="G248" s="13">
        <f t="shared" si="184"/>
        <v>1488.6533333333352</v>
      </c>
      <c r="H248" s="15">
        <f t="shared" si="184"/>
        <v>134.33333333333334</v>
      </c>
      <c r="I248" s="13">
        <f t="shared" si="184"/>
        <v>3</v>
      </c>
      <c r="J248" s="16">
        <f t="shared" si="184"/>
        <v>666.33333333333337</v>
      </c>
      <c r="K248" s="15">
        <f t="shared" si="184"/>
        <v>1637.3333333333333</v>
      </c>
      <c r="L248" s="14">
        <f t="shared" si="184"/>
        <v>1133</v>
      </c>
      <c r="M248" s="13">
        <f t="shared" si="184"/>
        <v>848.66666666666663</v>
      </c>
      <c r="N248" s="155"/>
    </row>
    <row r="249" spans="1:14" outlineLevel="1" x14ac:dyDescent="0.2">
      <c r="A249" s="20">
        <f t="shared" si="183"/>
        <v>3644</v>
      </c>
      <c r="B249" s="19" t="str">
        <f t="shared" si="183"/>
        <v>TTU</v>
      </c>
      <c r="C249" s="18"/>
      <c r="D249" s="15">
        <f t="shared" si="178"/>
        <v>4674</v>
      </c>
      <c r="E249" s="116">
        <f t="shared" si="179"/>
        <v>3421.3679999999995</v>
      </c>
      <c r="F249" s="14">
        <f t="shared" si="180"/>
        <v>21.061243127033354</v>
      </c>
      <c r="G249" s="13">
        <f t="shared" ref="G249:M256" si="185">AVERAGE(G291,G333,G375)</f>
        <v>10128.113333332682</v>
      </c>
      <c r="H249" s="15">
        <f t="shared" si="185"/>
        <v>727.33333333333337</v>
      </c>
      <c r="I249" s="13">
        <f t="shared" si="185"/>
        <v>57.333333333333336</v>
      </c>
      <c r="J249" s="16">
        <f t="shared" si="185"/>
        <v>2778</v>
      </c>
      <c r="K249" s="15">
        <f t="shared" si="185"/>
        <v>6485.333333333333</v>
      </c>
      <c r="L249" s="14">
        <f t="shared" si="185"/>
        <v>5278.333333333333</v>
      </c>
      <c r="M249" s="13">
        <f t="shared" si="185"/>
        <v>3945.6666666666665</v>
      </c>
      <c r="N249" s="155"/>
    </row>
    <row r="250" spans="1:14" outlineLevel="1" x14ac:dyDescent="0.2">
      <c r="A250" s="20">
        <f t="shared" si="183"/>
        <v>3541</v>
      </c>
      <c r="B250" s="19" t="str">
        <f t="shared" si="183"/>
        <v>Angelo</v>
      </c>
      <c r="C250" s="18"/>
      <c r="D250" s="15">
        <f t="shared" si="178"/>
        <v>991.33333333333337</v>
      </c>
      <c r="E250" s="116">
        <f t="shared" si="179"/>
        <v>425.94288888888889</v>
      </c>
      <c r="F250" s="14">
        <f t="shared" si="180"/>
        <v>20.305700708264297</v>
      </c>
      <c r="G250" s="13">
        <f t="shared" si="185"/>
        <v>1977.3500000000051</v>
      </c>
      <c r="H250" s="15">
        <f t="shared" si="185"/>
        <v>254.33333333333334</v>
      </c>
      <c r="I250" s="13">
        <f t="shared" si="185"/>
        <v>19.333333333333332</v>
      </c>
      <c r="J250" s="16">
        <f t="shared" si="185"/>
        <v>723</v>
      </c>
      <c r="K250" s="15">
        <f t="shared" si="185"/>
        <v>1438.6666666666667</v>
      </c>
      <c r="L250" s="14">
        <f t="shared" si="185"/>
        <v>1033.6666666666667</v>
      </c>
      <c r="M250" s="13">
        <f t="shared" si="185"/>
        <v>707.66666666666663</v>
      </c>
      <c r="N250" s="155"/>
    </row>
    <row r="251" spans="1:14" outlineLevel="1" x14ac:dyDescent="0.2">
      <c r="A251" s="20">
        <f t="shared" si="183"/>
        <v>3646</v>
      </c>
      <c r="B251" s="19" t="str">
        <f t="shared" si="183"/>
        <v>TWU</v>
      </c>
      <c r="C251" s="18"/>
      <c r="D251" s="15">
        <f t="shared" si="178"/>
        <v>1806</v>
      </c>
      <c r="E251" s="116">
        <f t="shared" si="179"/>
        <v>945.74200000000008</v>
      </c>
      <c r="F251" s="14">
        <f t="shared" si="180"/>
        <v>27.545604295039961</v>
      </c>
      <c r="G251" s="13">
        <f t="shared" si="185"/>
        <v>3452.1766666666658</v>
      </c>
      <c r="H251" s="15">
        <f t="shared" si="185"/>
        <v>569.33333333333337</v>
      </c>
      <c r="I251" s="13">
        <f t="shared" si="185"/>
        <v>31.666666666666668</v>
      </c>
      <c r="J251" s="16">
        <f t="shared" si="185"/>
        <v>1247</v>
      </c>
      <c r="K251" s="15">
        <f t="shared" si="185"/>
        <v>2196</v>
      </c>
      <c r="L251" s="14">
        <f t="shared" si="185"/>
        <v>1292.3333333333333</v>
      </c>
      <c r="M251" s="13">
        <f t="shared" si="185"/>
        <v>659.66666666666663</v>
      </c>
      <c r="N251" s="155"/>
    </row>
    <row r="252" spans="1:14" outlineLevel="1" x14ac:dyDescent="0.2">
      <c r="A252" s="20">
        <f t="shared" si="183"/>
        <v>3581</v>
      </c>
      <c r="B252" s="19" t="str">
        <f t="shared" si="183"/>
        <v>Lamar</v>
      </c>
      <c r="C252" s="18"/>
      <c r="D252" s="15">
        <f t="shared" si="178"/>
        <v>1335.3333333333333</v>
      </c>
      <c r="E252" s="116">
        <f t="shared" si="179"/>
        <v>467.81177777777776</v>
      </c>
      <c r="F252" s="14">
        <f t="shared" si="180"/>
        <v>18.354929164452098</v>
      </c>
      <c r="G252" s="13">
        <f t="shared" si="185"/>
        <v>2684.9000000000165</v>
      </c>
      <c r="H252" s="15">
        <f t="shared" si="185"/>
        <v>330</v>
      </c>
      <c r="I252" s="13">
        <f t="shared" si="185"/>
        <v>17</v>
      </c>
      <c r="J252" s="16">
        <f t="shared" si="185"/>
        <v>948.66666666666663</v>
      </c>
      <c r="K252" s="15">
        <f t="shared" si="185"/>
        <v>2144.6666666666665</v>
      </c>
      <c r="L252" s="14">
        <f t="shared" si="185"/>
        <v>1489</v>
      </c>
      <c r="M252" s="13">
        <f t="shared" si="185"/>
        <v>1011</v>
      </c>
      <c r="N252" s="155"/>
    </row>
    <row r="253" spans="1:14" outlineLevel="1" x14ac:dyDescent="0.2">
      <c r="A253" s="20">
        <f t="shared" si="183"/>
        <v>3606</v>
      </c>
      <c r="B253" s="19" t="str">
        <f t="shared" si="183"/>
        <v>SHSU</v>
      </c>
      <c r="C253" s="18"/>
      <c r="D253" s="15">
        <f t="shared" si="178"/>
        <v>3077.6666666666665</v>
      </c>
      <c r="E253" s="116">
        <f t="shared" si="179"/>
        <v>1805.5644444444445</v>
      </c>
      <c r="F253" s="14">
        <f t="shared" si="180"/>
        <v>24.475654239301015</v>
      </c>
      <c r="G253" s="13">
        <f t="shared" si="185"/>
        <v>5837.0766666667887</v>
      </c>
      <c r="H253" s="15">
        <f t="shared" si="185"/>
        <v>167</v>
      </c>
      <c r="I253" s="13">
        <f t="shared" si="185"/>
        <v>61</v>
      </c>
      <c r="J253" s="16">
        <f t="shared" si="185"/>
        <v>2213.6666666666665</v>
      </c>
      <c r="K253" s="15">
        <f t="shared" si="185"/>
        <v>3894.3333333333335</v>
      </c>
      <c r="L253" s="14">
        <f t="shared" si="185"/>
        <v>2965.3333333333335</v>
      </c>
      <c r="M253" s="13">
        <f t="shared" si="185"/>
        <v>1763.3333333333333</v>
      </c>
    </row>
    <row r="254" spans="1:14" outlineLevel="1" x14ac:dyDescent="0.2">
      <c r="A254" s="20">
        <f t="shared" si="183"/>
        <v>3615</v>
      </c>
      <c r="B254" s="19" t="str">
        <f t="shared" si="183"/>
        <v>TXST</v>
      </c>
      <c r="C254" s="18"/>
      <c r="D254" s="15">
        <f t="shared" si="178"/>
        <v>5361</v>
      </c>
      <c r="E254" s="116">
        <f t="shared" si="179"/>
        <v>3393.5129999999999</v>
      </c>
      <c r="F254" s="14">
        <f t="shared" si="180"/>
        <v>23.406891519786395</v>
      </c>
      <c r="G254" s="13">
        <f t="shared" si="185"/>
        <v>10437.309999999357</v>
      </c>
      <c r="H254" s="15">
        <f t="shared" si="185"/>
        <v>488.66666666666669</v>
      </c>
      <c r="I254" s="13">
        <f t="shared" si="185"/>
        <v>66.666666666666671</v>
      </c>
      <c r="J254" s="16">
        <f t="shared" si="185"/>
        <v>3675.3333333333335</v>
      </c>
      <c r="K254" s="15">
        <f t="shared" si="185"/>
        <v>7470.333333333333</v>
      </c>
      <c r="L254" s="14">
        <f t="shared" si="185"/>
        <v>5579</v>
      </c>
      <c r="M254" s="13">
        <f t="shared" si="185"/>
        <v>3317.3333333333335</v>
      </c>
    </row>
    <row r="255" spans="1:14" outlineLevel="1" x14ac:dyDescent="0.2">
      <c r="A255" s="20">
        <f t="shared" si="183"/>
        <v>3625</v>
      </c>
      <c r="B255" s="19" t="str">
        <f t="shared" si="183"/>
        <v>SRSU</v>
      </c>
      <c r="C255" s="18"/>
      <c r="D255" s="15">
        <f t="shared" si="178"/>
        <v>189.33333333333334</v>
      </c>
      <c r="E255" s="116">
        <f t="shared" si="179"/>
        <v>56.989333333333335</v>
      </c>
      <c r="F255" s="14">
        <f t="shared" si="180"/>
        <v>15.518843008324076</v>
      </c>
      <c r="G255" s="13">
        <f t="shared" si="185"/>
        <v>394.32999999999964</v>
      </c>
      <c r="H255" s="15">
        <f t="shared" si="185"/>
        <v>12.666666666666666</v>
      </c>
      <c r="I255" s="13">
        <f t="shared" si="185"/>
        <v>6.333333333333333</v>
      </c>
      <c r="J255" s="16">
        <f t="shared" si="185"/>
        <v>163</v>
      </c>
      <c r="K255" s="15">
        <f t="shared" si="185"/>
        <v>300</v>
      </c>
      <c r="L255" s="14">
        <f t="shared" si="185"/>
        <v>193.66666666666666</v>
      </c>
      <c r="M255" s="13">
        <f t="shared" si="185"/>
        <v>131.66666666666666</v>
      </c>
      <c r="N255" s="156"/>
    </row>
    <row r="256" spans="1:14" outlineLevel="1" x14ac:dyDescent="0.2">
      <c r="A256" s="20">
        <f t="shared" si="183"/>
        <v>20</v>
      </c>
      <c r="B256" s="19" t="str">
        <f t="shared" si="183"/>
        <v>SRRG</v>
      </c>
      <c r="C256" s="18"/>
      <c r="D256" s="15">
        <f t="shared" si="178"/>
        <v>161.66666666666666</v>
      </c>
      <c r="E256" s="116">
        <f t="shared" si="179"/>
        <v>51.365976618337754</v>
      </c>
      <c r="F256" s="14">
        <f t="shared" si="180"/>
        <v>36.596408270033706</v>
      </c>
      <c r="G256" s="13">
        <f t="shared" si="185"/>
        <v>279.16999999999979</v>
      </c>
      <c r="H256" s="15">
        <f t="shared" si="185"/>
        <v>6.333333333333333</v>
      </c>
      <c r="I256" s="13">
        <f t="shared" si="185"/>
        <v>5.666666666666667</v>
      </c>
      <c r="J256" s="16">
        <f t="shared" si="185"/>
        <v>144</v>
      </c>
      <c r="K256" s="15">
        <f t="shared" si="185"/>
        <v>230</v>
      </c>
      <c r="L256" s="14">
        <f t="shared" si="185"/>
        <v>92.666666666666671</v>
      </c>
      <c r="M256" s="13">
        <f t="shared" si="185"/>
        <v>4.333333333333333</v>
      </c>
    </row>
    <row r="257" spans="1:14" ht="13.5" outlineLevel="1" thickBot="1" x14ac:dyDescent="0.25">
      <c r="A257" s="12"/>
      <c r="B257" s="11" t="s">
        <v>11</v>
      </c>
      <c r="C257" s="10"/>
      <c r="D257" s="9">
        <f t="shared" ref="D257:M257" si="186">SUM(D219:D256)</f>
        <v>84315.833333333314</v>
      </c>
      <c r="E257" s="117">
        <f t="shared" si="186"/>
        <v>49031.80588920939</v>
      </c>
      <c r="F257" s="7">
        <f t="shared" si="186"/>
        <v>1017.4700431877567</v>
      </c>
      <c r="G257" s="3">
        <f t="shared" si="186"/>
        <v>172461.13999999844</v>
      </c>
      <c r="H257" s="5">
        <f t="shared" si="186"/>
        <v>13953.333333333332</v>
      </c>
      <c r="I257" s="3">
        <f t="shared" si="186"/>
        <v>1198.3333333333335</v>
      </c>
      <c r="J257" s="6">
        <f t="shared" si="186"/>
        <v>54446.500000000007</v>
      </c>
      <c r="K257" s="5">
        <f t="shared" si="186"/>
        <v>114212.66666666664</v>
      </c>
      <c r="L257" s="4">
        <f t="shared" si="186"/>
        <v>82344.5</v>
      </c>
      <c r="M257" s="3">
        <f t="shared" si="186"/>
        <v>50801.999999999993</v>
      </c>
    </row>
    <row r="258" spans="1:14" ht="13.5" thickBot="1" x14ac:dyDescent="0.25">
      <c r="A258" s="42" t="s">
        <v>27</v>
      </c>
      <c r="B258" s="42"/>
      <c r="C258" s="42"/>
      <c r="D258" s="51"/>
      <c r="F258" s="51"/>
      <c r="J258" s="51"/>
    </row>
    <row r="259" spans="1:14" ht="12.75" customHeight="1" outlineLevel="1" x14ac:dyDescent="0.2">
      <c r="A259" s="234" t="s">
        <v>24</v>
      </c>
      <c r="B259" s="236" t="s">
        <v>23</v>
      </c>
      <c r="C259" s="238"/>
      <c r="D259" s="240" t="s">
        <v>22</v>
      </c>
      <c r="E259" s="242" t="s">
        <v>21</v>
      </c>
      <c r="F259" s="236" t="s">
        <v>20</v>
      </c>
      <c r="G259" s="221" t="s">
        <v>19</v>
      </c>
      <c r="H259" s="223" t="s">
        <v>18</v>
      </c>
      <c r="I259" s="225" t="s">
        <v>17</v>
      </c>
      <c r="J259" s="227" t="s">
        <v>16</v>
      </c>
      <c r="K259" s="229" t="s">
        <v>15</v>
      </c>
      <c r="L259" s="230"/>
      <c r="M259" s="231"/>
    </row>
    <row r="260" spans="1:14" s="41" customFormat="1" ht="36" customHeight="1" outlineLevel="1" thickBot="1" x14ac:dyDescent="0.25">
      <c r="A260" s="273"/>
      <c r="B260" s="270"/>
      <c r="C260" s="274"/>
      <c r="D260" s="275"/>
      <c r="E260" s="276"/>
      <c r="F260" s="270"/>
      <c r="G260" s="271"/>
      <c r="H260" s="272"/>
      <c r="I260" s="265"/>
      <c r="J260" s="266"/>
      <c r="K260" s="125" t="s">
        <v>14</v>
      </c>
      <c r="L260" s="126" t="s">
        <v>13</v>
      </c>
      <c r="M260" s="135" t="s">
        <v>12</v>
      </c>
      <c r="N260" s="154"/>
    </row>
    <row r="261" spans="1:14" outlineLevel="1" x14ac:dyDescent="0.2">
      <c r="A261" s="40">
        <f t="shared" ref="A261:B280" si="187">A219</f>
        <v>3656</v>
      </c>
      <c r="B261" s="39" t="str">
        <f t="shared" si="187"/>
        <v>UTA</v>
      </c>
      <c r="C261" s="38"/>
      <c r="D261" s="33">
        <v>5773</v>
      </c>
      <c r="E261" s="37">
        <v>0.55500000000000005</v>
      </c>
      <c r="F261" s="32">
        <v>17781.466666666667</v>
      </c>
      <c r="G261" s="48">
        <v>12087.560000000249</v>
      </c>
      <c r="H261" s="36">
        <v>2140</v>
      </c>
      <c r="I261" s="35">
        <v>43</v>
      </c>
      <c r="J261" s="34">
        <v>3528</v>
      </c>
      <c r="K261" s="50">
        <v>6893</v>
      </c>
      <c r="L261" s="49">
        <v>3962</v>
      </c>
      <c r="M261" s="48">
        <v>1894</v>
      </c>
    </row>
    <row r="262" spans="1:14" outlineLevel="1" x14ac:dyDescent="0.2">
      <c r="A262" s="20">
        <f t="shared" si="187"/>
        <v>3658</v>
      </c>
      <c r="B262" s="19" t="str">
        <f t="shared" si="187"/>
        <v>UT</v>
      </c>
      <c r="C262" s="18"/>
      <c r="D262" s="15">
        <v>8860</v>
      </c>
      <c r="E262" s="21">
        <v>0.82499999999999996</v>
      </c>
      <c r="F262" s="14">
        <v>33841.466666666667</v>
      </c>
      <c r="G262" s="28">
        <v>19542.67999999996</v>
      </c>
      <c r="H262" s="15">
        <v>1981</v>
      </c>
      <c r="I262" s="13">
        <v>83</v>
      </c>
      <c r="J262" s="16">
        <v>3501</v>
      </c>
      <c r="K262" s="30">
        <v>9260</v>
      </c>
      <c r="L262" s="29">
        <v>8373</v>
      </c>
      <c r="M262" s="28">
        <v>6348</v>
      </c>
    </row>
    <row r="263" spans="1:14" outlineLevel="1" x14ac:dyDescent="0.2">
      <c r="A263" s="20">
        <f t="shared" si="187"/>
        <v>9741</v>
      </c>
      <c r="B263" s="19" t="str">
        <f t="shared" si="187"/>
        <v>UTD</v>
      </c>
      <c r="C263" s="18"/>
      <c r="D263" s="15">
        <v>2510</v>
      </c>
      <c r="E263" s="21">
        <v>0.71900000000000008</v>
      </c>
      <c r="F263" s="14">
        <v>9826.5333333333328</v>
      </c>
      <c r="G263" s="28">
        <v>5443.8700000002518</v>
      </c>
      <c r="H263" s="15">
        <v>449</v>
      </c>
      <c r="I263" s="13">
        <v>33</v>
      </c>
      <c r="J263" s="16">
        <v>1410</v>
      </c>
      <c r="K263" s="30">
        <v>3522</v>
      </c>
      <c r="L263" s="29">
        <v>2348</v>
      </c>
      <c r="M263" s="28">
        <v>1065</v>
      </c>
    </row>
    <row r="264" spans="1:14" outlineLevel="1" x14ac:dyDescent="0.2">
      <c r="A264" s="20">
        <f t="shared" si="187"/>
        <v>3661</v>
      </c>
      <c r="B264" s="19" t="str">
        <f t="shared" si="187"/>
        <v>UTEP</v>
      </c>
      <c r="C264" s="18"/>
      <c r="D264" s="15">
        <v>3132</v>
      </c>
      <c r="E264" s="21">
        <v>0.41200000000000003</v>
      </c>
      <c r="F264" s="14">
        <v>13931.066666666668</v>
      </c>
      <c r="G264" s="28">
        <v>6456.0600000003096</v>
      </c>
      <c r="H264" s="15">
        <v>643</v>
      </c>
      <c r="I264" s="13">
        <v>86</v>
      </c>
      <c r="J264" s="16">
        <v>2590</v>
      </c>
      <c r="K264" s="30">
        <v>4400</v>
      </c>
      <c r="L264" s="29">
        <v>3304</v>
      </c>
      <c r="M264" s="28">
        <v>1986</v>
      </c>
    </row>
    <row r="265" spans="1:14" outlineLevel="1" x14ac:dyDescent="0.2">
      <c r="A265" s="20">
        <f t="shared" si="187"/>
        <v>3599</v>
      </c>
      <c r="B265" s="19" t="str">
        <f t="shared" si="187"/>
        <v>UTPA</v>
      </c>
      <c r="C265" s="18"/>
      <c r="D265" s="15">
        <v>2462</v>
      </c>
      <c r="E265" s="21">
        <v>0.44</v>
      </c>
      <c r="F265" s="14">
        <v>12698.333333333334</v>
      </c>
      <c r="G265" s="28">
        <v>5000.2800000001325</v>
      </c>
      <c r="H265" s="15">
        <v>547</v>
      </c>
      <c r="I265" s="13">
        <v>19</v>
      </c>
      <c r="J265" s="16">
        <v>2247</v>
      </c>
      <c r="K265" s="30">
        <v>3730</v>
      </c>
      <c r="L265" s="29">
        <v>2862</v>
      </c>
      <c r="M265" s="28">
        <v>1896</v>
      </c>
    </row>
    <row r="266" spans="1:14" outlineLevel="1" x14ac:dyDescent="0.2">
      <c r="A266" s="20">
        <f t="shared" si="187"/>
        <v>30646</v>
      </c>
      <c r="B266" s="19" t="str">
        <f t="shared" si="187"/>
        <v>UTB</v>
      </c>
      <c r="C266" s="18"/>
      <c r="D266" s="15">
        <v>1149</v>
      </c>
      <c r="E266" s="17">
        <v>0.52783109404990403</v>
      </c>
      <c r="F266" s="14">
        <v>3400.5333333333333</v>
      </c>
      <c r="G266" s="28">
        <v>2236.3100000000127</v>
      </c>
      <c r="H266" s="15">
        <v>133</v>
      </c>
      <c r="I266" s="13">
        <v>21</v>
      </c>
      <c r="J266" s="16">
        <v>978</v>
      </c>
      <c r="K266" s="30">
        <v>1243</v>
      </c>
      <c r="L266" s="29">
        <v>486</v>
      </c>
      <c r="M266" s="28">
        <v>99</v>
      </c>
    </row>
    <row r="267" spans="1:14" outlineLevel="1" x14ac:dyDescent="0.2">
      <c r="A267" s="20">
        <f t="shared" si="187"/>
        <v>9930</v>
      </c>
      <c r="B267" s="19" t="str">
        <f t="shared" si="187"/>
        <v>UTPB</v>
      </c>
      <c r="C267" s="18"/>
      <c r="D267" s="15">
        <v>546</v>
      </c>
      <c r="E267" s="21">
        <v>0.47899999999999998</v>
      </c>
      <c r="F267" s="14">
        <v>2343.2666666666669</v>
      </c>
      <c r="G267" s="28">
        <v>1054.6599999999951</v>
      </c>
      <c r="H267" s="15">
        <v>51</v>
      </c>
      <c r="I267" s="13">
        <v>7</v>
      </c>
      <c r="J267" s="16">
        <v>411</v>
      </c>
      <c r="K267" s="30">
        <v>742</v>
      </c>
      <c r="L267" s="29">
        <v>535</v>
      </c>
      <c r="M267" s="28">
        <v>210</v>
      </c>
    </row>
    <row r="268" spans="1:14" outlineLevel="1" x14ac:dyDescent="0.2">
      <c r="A268" s="20">
        <f t="shared" si="187"/>
        <v>10115</v>
      </c>
      <c r="B268" s="19" t="str">
        <f t="shared" si="187"/>
        <v>UTSA</v>
      </c>
      <c r="C268" s="18"/>
      <c r="D268" s="15">
        <v>4243</v>
      </c>
      <c r="E268" s="21">
        <v>0.43099999999999999</v>
      </c>
      <c r="F268" s="14">
        <v>21066.866666666665</v>
      </c>
      <c r="G268" s="28">
        <v>8736.7000000001954</v>
      </c>
      <c r="H268" s="15">
        <v>407</v>
      </c>
      <c r="I268" s="13">
        <v>63</v>
      </c>
      <c r="J268" s="16">
        <v>3204</v>
      </c>
      <c r="K268" s="30">
        <v>6815</v>
      </c>
      <c r="L268" s="29">
        <v>4371</v>
      </c>
      <c r="M268" s="28">
        <v>2560</v>
      </c>
    </row>
    <row r="269" spans="1:14" outlineLevel="1" x14ac:dyDescent="0.2">
      <c r="A269" s="20">
        <f t="shared" si="187"/>
        <v>11163</v>
      </c>
      <c r="B269" s="19" t="str">
        <f t="shared" si="187"/>
        <v>UTT</v>
      </c>
      <c r="C269" s="18"/>
      <c r="D269" s="15">
        <v>1144</v>
      </c>
      <c r="E269" s="21">
        <v>0.51800000000000002</v>
      </c>
      <c r="F269" s="14">
        <v>4086.7333333333331</v>
      </c>
      <c r="G269" s="28">
        <v>2263.8699999999944</v>
      </c>
      <c r="H269" s="15">
        <v>392</v>
      </c>
      <c r="I269" s="13">
        <v>23</v>
      </c>
      <c r="J269" s="16">
        <v>886</v>
      </c>
      <c r="K269" s="30">
        <v>1409</v>
      </c>
      <c r="L269" s="29">
        <v>844</v>
      </c>
      <c r="M269" s="28">
        <v>383</v>
      </c>
    </row>
    <row r="270" spans="1:14" outlineLevel="1" x14ac:dyDescent="0.2">
      <c r="A270" s="20">
        <f t="shared" si="187"/>
        <v>3632</v>
      </c>
      <c r="B270" s="19" t="str">
        <f t="shared" si="187"/>
        <v>TAMU</v>
      </c>
      <c r="C270" s="18"/>
      <c r="D270" s="15">
        <v>9020</v>
      </c>
      <c r="E270" s="21">
        <v>0.84200000000000008</v>
      </c>
      <c r="F270" s="14">
        <v>35116.666666666664</v>
      </c>
      <c r="G270" s="28">
        <v>21108.189999999984</v>
      </c>
      <c r="H270" s="15">
        <v>1934</v>
      </c>
      <c r="I270" s="13">
        <v>137</v>
      </c>
      <c r="J270" s="16">
        <v>3915</v>
      </c>
      <c r="K270" s="30">
        <v>10547</v>
      </c>
      <c r="L270" s="29">
        <v>8924</v>
      </c>
      <c r="M270" s="28">
        <v>6938</v>
      </c>
    </row>
    <row r="271" spans="1:14" outlineLevel="1" x14ac:dyDescent="0.2">
      <c r="A271" s="20">
        <f t="shared" si="187"/>
        <v>10298</v>
      </c>
      <c r="B271" s="19" t="str">
        <f t="shared" si="187"/>
        <v>TAMUG</v>
      </c>
      <c r="C271" s="18"/>
      <c r="D271" s="15">
        <v>314</v>
      </c>
      <c r="E271" s="21">
        <v>0.626</v>
      </c>
      <c r="F271" s="14">
        <v>1769.4666666666667</v>
      </c>
      <c r="G271" s="28">
        <v>826.3399999999923</v>
      </c>
      <c r="H271" s="15">
        <v>46</v>
      </c>
      <c r="I271" s="13">
        <v>0</v>
      </c>
      <c r="J271" s="16">
        <v>186</v>
      </c>
      <c r="K271" s="30">
        <v>607</v>
      </c>
      <c r="L271" s="29">
        <v>296</v>
      </c>
      <c r="M271" s="28">
        <v>263</v>
      </c>
    </row>
    <row r="272" spans="1:14" outlineLevel="1" x14ac:dyDescent="0.2">
      <c r="A272" s="20">
        <f t="shared" si="187"/>
        <v>3630</v>
      </c>
      <c r="B272" s="19" t="str">
        <f t="shared" si="187"/>
        <v>Prairie View</v>
      </c>
      <c r="C272" s="18"/>
      <c r="D272" s="15">
        <v>1026</v>
      </c>
      <c r="E272" s="21">
        <v>0.40299999999999997</v>
      </c>
      <c r="F272" s="14">
        <v>5822.8</v>
      </c>
      <c r="G272" s="28">
        <v>2288.9700000000062</v>
      </c>
      <c r="H272" s="15">
        <v>373</v>
      </c>
      <c r="I272" s="13">
        <v>11</v>
      </c>
      <c r="J272" s="16">
        <v>877</v>
      </c>
      <c r="K272" s="30">
        <v>1701</v>
      </c>
      <c r="L272" s="29">
        <v>1132</v>
      </c>
      <c r="M272" s="28">
        <v>871</v>
      </c>
    </row>
    <row r="273" spans="1:13" outlineLevel="1" x14ac:dyDescent="0.2">
      <c r="A273" s="20">
        <f t="shared" si="187"/>
        <v>3631</v>
      </c>
      <c r="B273" s="19" t="str">
        <f t="shared" si="187"/>
        <v>Tarleton</v>
      </c>
      <c r="C273" s="18"/>
      <c r="D273" s="15">
        <v>1662</v>
      </c>
      <c r="E273" s="21">
        <v>0.47600000000000003</v>
      </c>
      <c r="F273" s="14">
        <v>6766.4</v>
      </c>
      <c r="G273" s="28">
        <v>3337.2399999999966</v>
      </c>
      <c r="H273" s="15">
        <v>229</v>
      </c>
      <c r="I273" s="13">
        <v>49</v>
      </c>
      <c r="J273" s="16">
        <v>1296</v>
      </c>
      <c r="K273" s="30">
        <v>2227</v>
      </c>
      <c r="L273" s="29">
        <v>1216</v>
      </c>
      <c r="M273" s="28">
        <v>845</v>
      </c>
    </row>
    <row r="274" spans="1:13" outlineLevel="1" x14ac:dyDescent="0.2">
      <c r="A274" s="27">
        <f t="shared" si="187"/>
        <v>103631</v>
      </c>
      <c r="B274" s="19" t="str">
        <f t="shared" si="187"/>
        <v>TAMUCT</v>
      </c>
      <c r="C274" s="18"/>
      <c r="D274" s="15">
        <v>469</v>
      </c>
      <c r="E274" s="21">
        <f>E273</f>
        <v>0.47600000000000003</v>
      </c>
      <c r="F274" s="14">
        <v>684.13333333333333</v>
      </c>
      <c r="G274" s="28">
        <v>882.20999999999208</v>
      </c>
      <c r="H274" s="15">
        <v>42</v>
      </c>
      <c r="I274" s="13">
        <v>0</v>
      </c>
      <c r="J274" s="16">
        <v>329</v>
      </c>
      <c r="K274" s="30">
        <v>550</v>
      </c>
      <c r="L274" s="29">
        <v>119</v>
      </c>
      <c r="M274" s="28">
        <v>5</v>
      </c>
    </row>
    <row r="275" spans="1:13" outlineLevel="1" x14ac:dyDescent="0.2">
      <c r="A275" s="20">
        <f t="shared" si="187"/>
        <v>11161</v>
      </c>
      <c r="B275" s="19" t="str">
        <f t="shared" si="187"/>
        <v>TAMUCC</v>
      </c>
      <c r="C275" s="18"/>
      <c r="D275" s="15">
        <v>1515</v>
      </c>
      <c r="E275" s="21">
        <v>0.51</v>
      </c>
      <c r="F275" s="14">
        <v>6742.2</v>
      </c>
      <c r="G275" s="28">
        <v>3028.8999999999978</v>
      </c>
      <c r="H275" s="15">
        <v>310</v>
      </c>
      <c r="I275" s="13">
        <v>23</v>
      </c>
      <c r="J275" s="16">
        <v>1182</v>
      </c>
      <c r="K275" s="30">
        <v>1957</v>
      </c>
      <c r="L275" s="29">
        <v>1470</v>
      </c>
      <c r="M275" s="28">
        <v>959</v>
      </c>
    </row>
    <row r="276" spans="1:13" outlineLevel="1" x14ac:dyDescent="0.2">
      <c r="A276" s="20">
        <f t="shared" si="187"/>
        <v>3639</v>
      </c>
      <c r="B276" s="19" t="str">
        <f t="shared" si="187"/>
        <v>TAMUK</v>
      </c>
      <c r="C276" s="18"/>
      <c r="D276" s="15">
        <v>855</v>
      </c>
      <c r="E276" s="21">
        <v>0.39200000000000002</v>
      </c>
      <c r="F276" s="14">
        <v>4577.5333333333338</v>
      </c>
      <c r="G276" s="28">
        <v>1952.6200000000099</v>
      </c>
      <c r="H276" s="15">
        <v>298</v>
      </c>
      <c r="I276" s="13">
        <v>19</v>
      </c>
      <c r="J276" s="16">
        <v>742</v>
      </c>
      <c r="K276" s="30">
        <v>1343</v>
      </c>
      <c r="L276" s="29">
        <v>910</v>
      </c>
      <c r="M276" s="28">
        <v>571</v>
      </c>
    </row>
    <row r="277" spans="1:13" outlineLevel="1" x14ac:dyDescent="0.2">
      <c r="A277" s="27">
        <f t="shared" si="187"/>
        <v>103639</v>
      </c>
      <c r="B277" s="19" t="str">
        <f t="shared" si="187"/>
        <v>TAMUSA</v>
      </c>
      <c r="C277" s="18"/>
      <c r="D277" s="15">
        <v>647</v>
      </c>
      <c r="E277" s="21">
        <f>E276</f>
        <v>0.39200000000000002</v>
      </c>
      <c r="F277" s="14">
        <v>1673.0666666666666</v>
      </c>
      <c r="G277" s="28">
        <v>1155.5399999999984</v>
      </c>
      <c r="H277" s="15">
        <v>10</v>
      </c>
      <c r="I277" s="13">
        <v>4</v>
      </c>
      <c r="J277" s="16">
        <v>549</v>
      </c>
      <c r="K277" s="30">
        <v>887</v>
      </c>
      <c r="L277" s="29">
        <v>190</v>
      </c>
      <c r="M277" s="28">
        <v>1</v>
      </c>
    </row>
    <row r="278" spans="1:13" outlineLevel="1" x14ac:dyDescent="0.2">
      <c r="A278" s="20">
        <f t="shared" si="187"/>
        <v>9651</v>
      </c>
      <c r="B278" s="19" t="str">
        <f t="shared" si="187"/>
        <v>TAMI</v>
      </c>
      <c r="C278" s="18"/>
      <c r="D278" s="15">
        <v>805</v>
      </c>
      <c r="E278" s="21">
        <v>0.45700000000000002</v>
      </c>
      <c r="F278" s="14">
        <v>4312.1333333333332</v>
      </c>
      <c r="G278" s="28">
        <v>1498.7699999999936</v>
      </c>
      <c r="H278" s="15">
        <v>142</v>
      </c>
      <c r="I278" s="13">
        <v>23</v>
      </c>
      <c r="J278" s="16">
        <v>737</v>
      </c>
      <c r="K278" s="30">
        <v>1292</v>
      </c>
      <c r="L278" s="29">
        <v>1039</v>
      </c>
      <c r="M278" s="28">
        <v>488</v>
      </c>
    </row>
    <row r="279" spans="1:13" outlineLevel="1" x14ac:dyDescent="0.2">
      <c r="A279" s="20">
        <f t="shared" si="187"/>
        <v>3665</v>
      </c>
      <c r="B279" s="19" t="str">
        <f t="shared" si="187"/>
        <v>WTAMU</v>
      </c>
      <c r="C279" s="18"/>
      <c r="D279" s="15">
        <v>1253</v>
      </c>
      <c r="E279" s="21">
        <v>0.48200000000000004</v>
      </c>
      <c r="F279" s="14">
        <v>5523.2</v>
      </c>
      <c r="G279" s="28">
        <v>2523.9800000000132</v>
      </c>
      <c r="H279" s="15">
        <v>175</v>
      </c>
      <c r="I279" s="13">
        <v>60</v>
      </c>
      <c r="J279" s="16">
        <v>902</v>
      </c>
      <c r="K279" s="30">
        <v>1631</v>
      </c>
      <c r="L279" s="29">
        <v>1213</v>
      </c>
      <c r="M279" s="28">
        <v>689</v>
      </c>
    </row>
    <row r="280" spans="1:13" outlineLevel="1" x14ac:dyDescent="0.2">
      <c r="A280" s="20">
        <f t="shared" si="187"/>
        <v>3565</v>
      </c>
      <c r="B280" s="19" t="str">
        <f t="shared" si="187"/>
        <v>TAMUC</v>
      </c>
      <c r="C280" s="18"/>
      <c r="D280" s="15">
        <v>1507</v>
      </c>
      <c r="E280" s="21">
        <v>0.44600000000000001</v>
      </c>
      <c r="F280" s="14">
        <v>5135.2666666666664</v>
      </c>
      <c r="G280" s="28">
        <v>2861.9500000000121</v>
      </c>
      <c r="H280" s="15">
        <v>89</v>
      </c>
      <c r="I280" s="13">
        <v>81</v>
      </c>
      <c r="J280" s="16">
        <v>1172</v>
      </c>
      <c r="K280" s="30">
        <v>2056</v>
      </c>
      <c r="L280" s="29">
        <v>1174</v>
      </c>
      <c r="M280" s="28">
        <v>457</v>
      </c>
    </row>
    <row r="281" spans="1:13" outlineLevel="1" x14ac:dyDescent="0.2">
      <c r="A281" s="20">
        <f t="shared" ref="A281:B298" si="188">A239</f>
        <v>29269</v>
      </c>
      <c r="B281" s="19" t="str">
        <f t="shared" si="188"/>
        <v>TAMUT</v>
      </c>
      <c r="C281" s="18"/>
      <c r="D281" s="15">
        <v>376</v>
      </c>
      <c r="E281" s="17">
        <v>0.49242424242424243</v>
      </c>
      <c r="F281" s="14">
        <v>1101.2666666666667</v>
      </c>
      <c r="G281" s="28">
        <v>680.4399999999946</v>
      </c>
      <c r="H281" s="15">
        <v>47</v>
      </c>
      <c r="I281" s="13">
        <v>25</v>
      </c>
      <c r="J281" s="16">
        <v>277</v>
      </c>
      <c r="K281" s="30">
        <v>484</v>
      </c>
      <c r="L281" s="29">
        <v>219</v>
      </c>
      <c r="M281" s="28">
        <v>1</v>
      </c>
    </row>
    <row r="282" spans="1:13" outlineLevel="1" x14ac:dyDescent="0.2">
      <c r="A282" s="20">
        <f t="shared" si="188"/>
        <v>3652</v>
      </c>
      <c r="B282" s="19" t="str">
        <f t="shared" si="188"/>
        <v>UH</v>
      </c>
      <c r="C282" s="18"/>
      <c r="D282" s="15">
        <v>5426</v>
      </c>
      <c r="E282" s="21">
        <v>0.53600000000000003</v>
      </c>
      <c r="F282" s="14">
        <v>24760.400000000001</v>
      </c>
      <c r="G282" s="28">
        <v>11378.949999999324</v>
      </c>
      <c r="H282" s="15">
        <v>835</v>
      </c>
      <c r="I282" s="13">
        <v>60</v>
      </c>
      <c r="J282" s="16">
        <v>3688</v>
      </c>
      <c r="K282" s="30">
        <v>7823</v>
      </c>
      <c r="L282" s="29">
        <v>5667</v>
      </c>
      <c r="M282" s="28">
        <v>3232</v>
      </c>
    </row>
    <row r="283" spans="1:13" outlineLevel="1" x14ac:dyDescent="0.2">
      <c r="A283" s="20">
        <f t="shared" si="188"/>
        <v>11711</v>
      </c>
      <c r="B283" s="19" t="str">
        <f t="shared" si="188"/>
        <v>UHCL</v>
      </c>
      <c r="C283" s="18"/>
      <c r="D283" s="15">
        <v>1251</v>
      </c>
      <c r="E283" s="17">
        <v>0.51671732522796354</v>
      </c>
      <c r="F283" s="14">
        <v>3079.2666666666669</v>
      </c>
      <c r="G283" s="28">
        <v>2423.7000000000025</v>
      </c>
      <c r="H283" s="15">
        <v>119</v>
      </c>
      <c r="I283" s="13">
        <v>9</v>
      </c>
      <c r="J283" s="16">
        <v>839</v>
      </c>
      <c r="K283" s="30">
        <v>1391</v>
      </c>
      <c r="L283" s="29">
        <v>1014</v>
      </c>
      <c r="M283" s="28">
        <v>37</v>
      </c>
    </row>
    <row r="284" spans="1:13" outlineLevel="1" x14ac:dyDescent="0.2">
      <c r="A284" s="20">
        <f t="shared" si="188"/>
        <v>12826</v>
      </c>
      <c r="B284" s="19" t="str">
        <f t="shared" si="188"/>
        <v>UHD</v>
      </c>
      <c r="C284" s="18"/>
      <c r="D284" s="15">
        <v>2351</v>
      </c>
      <c r="E284" s="21">
        <v>0.17399999999999999</v>
      </c>
      <c r="F284" s="14">
        <v>8043.8</v>
      </c>
      <c r="G284" s="28">
        <v>4292.430000000033</v>
      </c>
      <c r="H284" s="15">
        <v>134</v>
      </c>
      <c r="I284" s="13">
        <v>3</v>
      </c>
      <c r="J284" s="16">
        <v>1694</v>
      </c>
      <c r="K284" s="30">
        <v>3011</v>
      </c>
      <c r="L284" s="29">
        <v>1820</v>
      </c>
      <c r="M284" s="28">
        <v>590</v>
      </c>
    </row>
    <row r="285" spans="1:13" outlineLevel="1" x14ac:dyDescent="0.2">
      <c r="A285" s="20">
        <f t="shared" si="188"/>
        <v>13231</v>
      </c>
      <c r="B285" s="19" t="str">
        <f t="shared" si="188"/>
        <v>UHV</v>
      </c>
      <c r="C285" s="18"/>
      <c r="D285" s="15">
        <v>619</v>
      </c>
      <c r="E285" s="17">
        <v>0.47520661157024796</v>
      </c>
      <c r="F285" s="14">
        <v>1685.8666666666666</v>
      </c>
      <c r="G285" s="28">
        <v>1187.5899999999924</v>
      </c>
      <c r="H285" s="15">
        <v>134</v>
      </c>
      <c r="I285" s="13">
        <v>9</v>
      </c>
      <c r="J285" s="16">
        <v>418</v>
      </c>
      <c r="K285" s="30">
        <v>776</v>
      </c>
      <c r="L285" s="29">
        <v>334</v>
      </c>
      <c r="M285" s="28">
        <v>6</v>
      </c>
    </row>
    <row r="286" spans="1:13" outlineLevel="1" x14ac:dyDescent="0.2">
      <c r="A286" s="20">
        <f t="shared" si="188"/>
        <v>3592</v>
      </c>
      <c r="B286" s="19" t="str">
        <f t="shared" si="188"/>
        <v>Midwestern</v>
      </c>
      <c r="C286" s="18"/>
      <c r="D286" s="15">
        <v>1066</v>
      </c>
      <c r="E286" s="21">
        <v>0.46299999999999997</v>
      </c>
      <c r="F286" s="14">
        <v>4147.7333333333336</v>
      </c>
      <c r="G286" s="28">
        <v>2062.1399999999949</v>
      </c>
      <c r="H286" s="15">
        <v>358</v>
      </c>
      <c r="I286" s="13">
        <v>15</v>
      </c>
      <c r="J286" s="16">
        <v>723</v>
      </c>
      <c r="K286" s="30">
        <v>1310</v>
      </c>
      <c r="L286" s="29">
        <v>979</v>
      </c>
      <c r="M286" s="28">
        <v>683</v>
      </c>
    </row>
    <row r="287" spans="1:13" outlineLevel="1" x14ac:dyDescent="0.2">
      <c r="A287" s="20">
        <f t="shared" si="188"/>
        <v>3594</v>
      </c>
      <c r="B287" s="19" t="str">
        <f t="shared" si="188"/>
        <v>UNT</v>
      </c>
      <c r="C287" s="18"/>
      <c r="D287" s="15">
        <v>5843</v>
      </c>
      <c r="E287" s="21">
        <v>0.56799999999999995</v>
      </c>
      <c r="F287" s="14">
        <v>23213.466666666667</v>
      </c>
      <c r="G287" s="28">
        <v>11338.869999999399</v>
      </c>
      <c r="H287" s="15">
        <v>368</v>
      </c>
      <c r="I287" s="13">
        <v>56</v>
      </c>
      <c r="J287" s="16">
        <v>3771</v>
      </c>
      <c r="K287" s="30">
        <v>7310</v>
      </c>
      <c r="L287" s="29">
        <v>5432</v>
      </c>
      <c r="M287" s="28">
        <v>3116</v>
      </c>
    </row>
    <row r="288" spans="1:13" outlineLevel="1" x14ac:dyDescent="0.2">
      <c r="A288" s="27">
        <f t="shared" si="188"/>
        <v>113594</v>
      </c>
      <c r="B288" s="19" t="str">
        <f t="shared" si="188"/>
        <v>UNTD</v>
      </c>
      <c r="C288" s="18"/>
      <c r="D288" s="15">
        <v>419</v>
      </c>
      <c r="E288" s="21">
        <f>E287</f>
        <v>0.56799999999999995</v>
      </c>
      <c r="F288" s="14">
        <v>983.4666666666667</v>
      </c>
      <c r="G288" s="28">
        <v>742.11999999999398</v>
      </c>
      <c r="H288" s="15">
        <v>14</v>
      </c>
      <c r="I288" s="13">
        <v>0</v>
      </c>
      <c r="J288" s="16">
        <v>313</v>
      </c>
      <c r="K288" s="30">
        <v>469</v>
      </c>
      <c r="L288" s="29">
        <v>80</v>
      </c>
      <c r="M288" s="28">
        <v>4</v>
      </c>
    </row>
    <row r="289" spans="1:14" outlineLevel="1" x14ac:dyDescent="0.2">
      <c r="A289" s="20">
        <f t="shared" si="188"/>
        <v>3624</v>
      </c>
      <c r="B289" s="19" t="str">
        <f t="shared" si="188"/>
        <v>SFA</v>
      </c>
      <c r="C289" s="18"/>
      <c r="D289" s="15">
        <v>2011</v>
      </c>
      <c r="E289" s="21">
        <v>0.55299999999999994</v>
      </c>
      <c r="F289" s="14">
        <v>9507.3333333333339</v>
      </c>
      <c r="G289" s="28">
        <v>3932.9399999999569</v>
      </c>
      <c r="H289" s="15">
        <v>273</v>
      </c>
      <c r="I289" s="13">
        <v>42</v>
      </c>
      <c r="J289" s="16">
        <v>1513</v>
      </c>
      <c r="K289" s="30">
        <v>2605</v>
      </c>
      <c r="L289" s="29">
        <v>2125</v>
      </c>
      <c r="M289" s="28">
        <v>1473</v>
      </c>
    </row>
    <row r="290" spans="1:14" outlineLevel="1" x14ac:dyDescent="0.2">
      <c r="A290" s="20">
        <f t="shared" si="188"/>
        <v>3642</v>
      </c>
      <c r="B290" s="19" t="str">
        <f t="shared" si="188"/>
        <v>TSU</v>
      </c>
      <c r="C290" s="18"/>
      <c r="D290" s="15">
        <v>737</v>
      </c>
      <c r="E290" s="21">
        <v>0.14099999999999999</v>
      </c>
      <c r="F290" s="14">
        <v>5767.1333333333332</v>
      </c>
      <c r="G290" s="28">
        <v>1478.8299999999929</v>
      </c>
      <c r="H290" s="15">
        <v>154</v>
      </c>
      <c r="I290" s="13">
        <v>5</v>
      </c>
      <c r="J290" s="16">
        <v>641</v>
      </c>
      <c r="K290" s="30">
        <v>1349</v>
      </c>
      <c r="L290" s="29">
        <v>988</v>
      </c>
      <c r="M290" s="28">
        <v>760</v>
      </c>
    </row>
    <row r="291" spans="1:14" outlineLevel="1" x14ac:dyDescent="0.2">
      <c r="A291" s="20">
        <f t="shared" si="188"/>
        <v>3644</v>
      </c>
      <c r="B291" s="19" t="str">
        <f t="shared" si="188"/>
        <v>TTU</v>
      </c>
      <c r="C291" s="18"/>
      <c r="D291" s="15">
        <v>4941</v>
      </c>
      <c r="E291" s="21">
        <v>0.73599999999999999</v>
      </c>
      <c r="F291" s="14">
        <v>22627.599999999999</v>
      </c>
      <c r="G291" s="28">
        <v>10741.019999999262</v>
      </c>
      <c r="H291" s="15">
        <v>839</v>
      </c>
      <c r="I291" s="13">
        <v>67</v>
      </c>
      <c r="J291" s="16">
        <v>3071</v>
      </c>
      <c r="K291" s="30">
        <v>6449</v>
      </c>
      <c r="L291" s="29">
        <v>5332</v>
      </c>
      <c r="M291" s="28">
        <v>4048</v>
      </c>
    </row>
    <row r="292" spans="1:14" outlineLevel="1" x14ac:dyDescent="0.2">
      <c r="A292" s="20">
        <f t="shared" si="188"/>
        <v>3541</v>
      </c>
      <c r="B292" s="19" t="str">
        <f t="shared" si="188"/>
        <v>Angelo</v>
      </c>
      <c r="C292" s="18"/>
      <c r="D292" s="15">
        <v>1073</v>
      </c>
      <c r="E292" s="21">
        <v>0.40799999999999997</v>
      </c>
      <c r="F292" s="14">
        <v>4921.333333333333</v>
      </c>
      <c r="G292" s="28">
        <v>2141.5100000000025</v>
      </c>
      <c r="H292" s="15">
        <v>304</v>
      </c>
      <c r="I292" s="13">
        <v>19</v>
      </c>
      <c r="J292" s="16">
        <v>773</v>
      </c>
      <c r="K292" s="30">
        <v>1398</v>
      </c>
      <c r="L292" s="29">
        <v>1022</v>
      </c>
      <c r="M292" s="28">
        <v>707</v>
      </c>
    </row>
    <row r="293" spans="1:14" outlineLevel="1" x14ac:dyDescent="0.2">
      <c r="A293" s="20">
        <f t="shared" si="188"/>
        <v>3646</v>
      </c>
      <c r="B293" s="19" t="str">
        <f t="shared" si="188"/>
        <v>TWU</v>
      </c>
      <c r="C293" s="18"/>
      <c r="D293" s="15">
        <v>1919</v>
      </c>
      <c r="E293" s="21">
        <v>0.54200000000000004</v>
      </c>
      <c r="F293" s="14">
        <v>6999.5333333333338</v>
      </c>
      <c r="G293" s="28">
        <v>3704.3199999999606</v>
      </c>
      <c r="H293" s="15">
        <v>571</v>
      </c>
      <c r="I293" s="13">
        <v>30</v>
      </c>
      <c r="J293" s="16">
        <v>1326</v>
      </c>
      <c r="K293" s="30">
        <v>2425</v>
      </c>
      <c r="L293" s="29">
        <v>1247</v>
      </c>
      <c r="M293" s="28">
        <v>703</v>
      </c>
    </row>
    <row r="294" spans="1:14" outlineLevel="1" x14ac:dyDescent="0.2">
      <c r="A294" s="20">
        <f t="shared" si="188"/>
        <v>3581</v>
      </c>
      <c r="B294" s="19" t="str">
        <f t="shared" si="188"/>
        <v>Lamar</v>
      </c>
      <c r="C294" s="18"/>
      <c r="D294" s="15">
        <v>1380</v>
      </c>
      <c r="E294" s="21">
        <v>0.35899999999999999</v>
      </c>
      <c r="F294" s="14">
        <v>7404.4666666666662</v>
      </c>
      <c r="G294" s="28">
        <v>2721.5300000000057</v>
      </c>
      <c r="H294" s="15">
        <v>318</v>
      </c>
      <c r="I294" s="13">
        <v>18</v>
      </c>
      <c r="J294" s="16">
        <v>995</v>
      </c>
      <c r="K294" s="30">
        <v>2074</v>
      </c>
      <c r="L294" s="29">
        <v>1486</v>
      </c>
      <c r="M294" s="28">
        <v>1002</v>
      </c>
    </row>
    <row r="295" spans="1:14" outlineLevel="1" x14ac:dyDescent="0.2">
      <c r="A295" s="20">
        <f t="shared" si="188"/>
        <v>3606</v>
      </c>
      <c r="B295" s="19" t="str">
        <f t="shared" si="188"/>
        <v>SHSU</v>
      </c>
      <c r="C295" s="18"/>
      <c r="D295" s="15">
        <v>2978</v>
      </c>
      <c r="E295" s="21">
        <v>0.57799999999999996</v>
      </c>
      <c r="F295" s="14">
        <v>12574.466666666667</v>
      </c>
      <c r="G295" s="28">
        <v>5694.020000000286</v>
      </c>
      <c r="H295" s="15">
        <v>172</v>
      </c>
      <c r="I295" s="13">
        <v>51</v>
      </c>
      <c r="J295" s="16">
        <v>2163</v>
      </c>
      <c r="K295" s="30">
        <v>3894</v>
      </c>
      <c r="L295" s="29">
        <v>2915</v>
      </c>
      <c r="M295" s="28">
        <v>1704</v>
      </c>
    </row>
    <row r="296" spans="1:14" outlineLevel="1" x14ac:dyDescent="0.2">
      <c r="A296" s="20">
        <f t="shared" si="188"/>
        <v>3615</v>
      </c>
      <c r="B296" s="19" t="str">
        <f t="shared" si="188"/>
        <v>TXST</v>
      </c>
      <c r="C296" s="18"/>
      <c r="D296" s="15">
        <v>5435</v>
      </c>
      <c r="E296" s="21">
        <v>0.61399999999999999</v>
      </c>
      <c r="F296" s="14">
        <v>24028</v>
      </c>
      <c r="G296" s="28">
        <v>10677.06999999951</v>
      </c>
      <c r="H296" s="15">
        <v>582</v>
      </c>
      <c r="I296" s="13">
        <v>67</v>
      </c>
      <c r="J296" s="16">
        <v>3816</v>
      </c>
      <c r="K296" s="30">
        <v>7425</v>
      </c>
      <c r="L296" s="29">
        <v>5561</v>
      </c>
      <c r="M296" s="28">
        <v>3333</v>
      </c>
    </row>
    <row r="297" spans="1:14" outlineLevel="1" x14ac:dyDescent="0.2">
      <c r="A297" s="20">
        <f t="shared" si="188"/>
        <v>3625</v>
      </c>
      <c r="B297" s="19" t="str">
        <f t="shared" si="188"/>
        <v>SRSU</v>
      </c>
      <c r="C297" s="18"/>
      <c r="D297" s="15">
        <v>191</v>
      </c>
      <c r="E297" s="21">
        <v>0.32600000000000001</v>
      </c>
      <c r="F297" s="14">
        <v>1229</v>
      </c>
      <c r="G297" s="28">
        <v>409.0499999999999</v>
      </c>
      <c r="H297" s="15">
        <v>10</v>
      </c>
      <c r="I297" s="13">
        <v>5</v>
      </c>
      <c r="J297" s="16">
        <v>167</v>
      </c>
      <c r="K297" s="30">
        <v>284</v>
      </c>
      <c r="L297" s="29">
        <v>188</v>
      </c>
      <c r="M297" s="28">
        <v>144</v>
      </c>
      <c r="N297" s="156"/>
    </row>
    <row r="298" spans="1:14" outlineLevel="1" x14ac:dyDescent="0.2">
      <c r="A298" s="20">
        <f t="shared" si="188"/>
        <v>20</v>
      </c>
      <c r="B298" s="19" t="str">
        <f t="shared" si="188"/>
        <v>SRRG</v>
      </c>
      <c r="C298" s="18"/>
      <c r="D298" s="15">
        <v>154</v>
      </c>
      <c r="E298" s="17">
        <v>0.25423728813559321</v>
      </c>
      <c r="F298" s="14">
        <v>436.8</v>
      </c>
      <c r="G298" s="28">
        <v>268.06000000000023</v>
      </c>
      <c r="H298" s="15">
        <v>6</v>
      </c>
      <c r="I298" s="13">
        <v>1</v>
      </c>
      <c r="J298" s="16">
        <v>138</v>
      </c>
      <c r="K298" s="30">
        <v>215</v>
      </c>
      <c r="L298" s="29">
        <v>91</v>
      </c>
      <c r="M298" s="28">
        <v>6</v>
      </c>
    </row>
    <row r="299" spans="1:14" ht="13.5" outlineLevel="1" thickBot="1" x14ac:dyDescent="0.25">
      <c r="A299" s="12"/>
      <c r="B299" s="11" t="s">
        <v>11</v>
      </c>
      <c r="C299" s="10"/>
      <c r="D299" s="9">
        <f>SUM(D261:D298)</f>
        <v>87062</v>
      </c>
      <c r="E299" s="8">
        <v>0.58700000000000008</v>
      </c>
      <c r="F299" s="7">
        <f t="shared" ref="F299:M299" si="189">SUM(F261:F298)</f>
        <v>359610.06666666665</v>
      </c>
      <c r="G299" s="3">
        <f t="shared" si="189"/>
        <v>180161.28999999876</v>
      </c>
      <c r="H299" s="5">
        <f t="shared" si="189"/>
        <v>15629</v>
      </c>
      <c r="I299" s="3">
        <f t="shared" si="189"/>
        <v>1267</v>
      </c>
      <c r="J299" s="6">
        <f t="shared" si="189"/>
        <v>56968</v>
      </c>
      <c r="K299" s="5">
        <f t="shared" si="189"/>
        <v>113504</v>
      </c>
      <c r="L299" s="4">
        <f t="shared" si="189"/>
        <v>81268</v>
      </c>
      <c r="M299" s="3">
        <f t="shared" si="189"/>
        <v>50077</v>
      </c>
    </row>
    <row r="300" spans="1:14" ht="13.5" thickBot="1" x14ac:dyDescent="0.25">
      <c r="A300" s="42" t="s">
        <v>26</v>
      </c>
      <c r="B300" s="42"/>
      <c r="C300" s="42"/>
      <c r="D300" s="42"/>
      <c r="F300" s="42"/>
      <c r="J300" s="42"/>
    </row>
    <row r="301" spans="1:14" ht="12.75" customHeight="1" outlineLevel="1" x14ac:dyDescent="0.2">
      <c r="A301" s="234" t="s">
        <v>24</v>
      </c>
      <c r="B301" s="236" t="s">
        <v>23</v>
      </c>
      <c r="C301" s="238"/>
      <c r="D301" s="240" t="s">
        <v>22</v>
      </c>
      <c r="E301" s="242" t="s">
        <v>21</v>
      </c>
      <c r="F301" s="236" t="s">
        <v>20</v>
      </c>
      <c r="G301" s="221" t="s">
        <v>19</v>
      </c>
      <c r="H301" s="223" t="s">
        <v>18</v>
      </c>
      <c r="I301" s="225" t="s">
        <v>17</v>
      </c>
      <c r="J301" s="227" t="s">
        <v>16</v>
      </c>
      <c r="K301" s="229" t="s">
        <v>15</v>
      </c>
      <c r="L301" s="230"/>
      <c r="M301" s="231"/>
    </row>
    <row r="302" spans="1:14" s="41" customFormat="1" ht="40.5" customHeight="1" outlineLevel="1" thickBot="1" x14ac:dyDescent="0.25">
      <c r="A302" s="273"/>
      <c r="B302" s="270"/>
      <c r="C302" s="274"/>
      <c r="D302" s="275"/>
      <c r="E302" s="276"/>
      <c r="F302" s="270"/>
      <c r="G302" s="271"/>
      <c r="H302" s="272"/>
      <c r="I302" s="265"/>
      <c r="J302" s="266"/>
      <c r="K302" s="125" t="s">
        <v>14</v>
      </c>
      <c r="L302" s="126" t="s">
        <v>13</v>
      </c>
      <c r="M302" s="135" t="s">
        <v>12</v>
      </c>
      <c r="N302" s="154"/>
    </row>
    <row r="303" spans="1:14" outlineLevel="1" x14ac:dyDescent="0.2">
      <c r="A303" s="40">
        <f t="shared" ref="A303:B322" si="190">A261</f>
        <v>3656</v>
      </c>
      <c r="B303" s="39" t="str">
        <f t="shared" si="190"/>
        <v>UTA</v>
      </c>
      <c r="C303" s="38"/>
      <c r="D303" s="33">
        <v>5103</v>
      </c>
      <c r="E303" s="37">
        <v>0.49299999999999999</v>
      </c>
      <c r="F303" s="32">
        <v>17372</v>
      </c>
      <c r="G303" s="31">
        <v>10527.860000000002</v>
      </c>
      <c r="H303" s="36">
        <v>1620</v>
      </c>
      <c r="I303" s="35">
        <v>26</v>
      </c>
      <c r="J303" s="34">
        <v>3158</v>
      </c>
      <c r="K303" s="33">
        <v>6986</v>
      </c>
      <c r="L303" s="32">
        <v>3903</v>
      </c>
      <c r="M303" s="31">
        <v>1733</v>
      </c>
    </row>
    <row r="304" spans="1:14" outlineLevel="1" x14ac:dyDescent="0.2">
      <c r="A304" s="20">
        <f t="shared" si="190"/>
        <v>3658</v>
      </c>
      <c r="B304" s="19" t="str">
        <f t="shared" si="190"/>
        <v>UT</v>
      </c>
      <c r="C304" s="18"/>
      <c r="D304" s="15">
        <v>9027</v>
      </c>
      <c r="E304" s="21">
        <v>0.83299999999999996</v>
      </c>
      <c r="F304" s="14">
        <v>33709.866666666669</v>
      </c>
      <c r="G304" s="13">
        <v>19422.050000001858</v>
      </c>
      <c r="H304" s="15">
        <v>1894</v>
      </c>
      <c r="I304" s="13">
        <v>60</v>
      </c>
      <c r="J304" s="16">
        <v>3475</v>
      </c>
      <c r="K304" s="15">
        <v>9939</v>
      </c>
      <c r="L304" s="14">
        <v>8895</v>
      </c>
      <c r="M304" s="13">
        <v>7485</v>
      </c>
    </row>
    <row r="305" spans="1:13" outlineLevel="1" x14ac:dyDescent="0.2">
      <c r="A305" s="20">
        <f t="shared" si="190"/>
        <v>9741</v>
      </c>
      <c r="B305" s="19" t="str">
        <f t="shared" si="190"/>
        <v>UTD</v>
      </c>
      <c r="C305" s="18"/>
      <c r="D305" s="15">
        <v>2314</v>
      </c>
      <c r="E305" s="21">
        <v>0.68299999999999994</v>
      </c>
      <c r="F305" s="14">
        <v>8822.2000000000007</v>
      </c>
      <c r="G305" s="13">
        <v>4904.1700000000228</v>
      </c>
      <c r="H305" s="15">
        <v>424</v>
      </c>
      <c r="I305" s="13">
        <v>27</v>
      </c>
      <c r="J305" s="16">
        <v>1294</v>
      </c>
      <c r="K305" s="15">
        <v>3345</v>
      </c>
      <c r="L305" s="14">
        <v>2105</v>
      </c>
      <c r="M305" s="13">
        <v>1076</v>
      </c>
    </row>
    <row r="306" spans="1:13" outlineLevel="1" x14ac:dyDescent="0.2">
      <c r="A306" s="20">
        <f t="shared" si="190"/>
        <v>3661</v>
      </c>
      <c r="B306" s="19" t="str">
        <f t="shared" si="190"/>
        <v>UTEP</v>
      </c>
      <c r="C306" s="18"/>
      <c r="D306" s="15">
        <v>3008</v>
      </c>
      <c r="E306" s="21">
        <v>0.38400000000000001</v>
      </c>
      <c r="F306" s="14">
        <v>13376</v>
      </c>
      <c r="G306" s="13">
        <v>6142.7200000000885</v>
      </c>
      <c r="H306" s="15">
        <v>613</v>
      </c>
      <c r="I306" s="13">
        <v>91</v>
      </c>
      <c r="J306" s="16">
        <v>2409</v>
      </c>
      <c r="K306" s="15">
        <v>4488</v>
      </c>
      <c r="L306" s="14">
        <v>3404</v>
      </c>
      <c r="M306" s="13">
        <v>1910</v>
      </c>
    </row>
    <row r="307" spans="1:13" outlineLevel="1" x14ac:dyDescent="0.2">
      <c r="A307" s="20">
        <f t="shared" si="190"/>
        <v>3599</v>
      </c>
      <c r="B307" s="19" t="str">
        <f t="shared" si="190"/>
        <v>UTPA</v>
      </c>
      <c r="C307" s="18"/>
      <c r="D307" s="15">
        <v>2658</v>
      </c>
      <c r="E307" s="21">
        <v>0.46399999999999997</v>
      </c>
      <c r="F307" s="14">
        <v>12499.266666666666</v>
      </c>
      <c r="G307" s="13">
        <v>5231.3300000001427</v>
      </c>
      <c r="H307" s="15">
        <v>534</v>
      </c>
      <c r="I307" s="13">
        <v>34</v>
      </c>
      <c r="J307" s="16">
        <v>2427</v>
      </c>
      <c r="K307" s="15">
        <v>4142</v>
      </c>
      <c r="L307" s="14">
        <v>3290</v>
      </c>
      <c r="M307" s="13">
        <v>1998</v>
      </c>
    </row>
    <row r="308" spans="1:13" outlineLevel="1" x14ac:dyDescent="0.2">
      <c r="A308" s="20">
        <f t="shared" si="190"/>
        <v>30646</v>
      </c>
      <c r="B308" s="19" t="str">
        <f t="shared" si="190"/>
        <v>UTB</v>
      </c>
      <c r="C308" s="18"/>
      <c r="D308" s="15">
        <v>1075</v>
      </c>
      <c r="E308" s="17">
        <v>0.55124653739612184</v>
      </c>
      <c r="F308" s="14">
        <v>3116.2</v>
      </c>
      <c r="G308" s="13">
        <v>2052.0600000000218</v>
      </c>
      <c r="H308" s="15">
        <v>132</v>
      </c>
      <c r="I308" s="13">
        <v>15</v>
      </c>
      <c r="J308" s="16">
        <v>916</v>
      </c>
      <c r="K308" s="15">
        <v>1359</v>
      </c>
      <c r="L308" s="14">
        <v>600</v>
      </c>
      <c r="M308" s="13">
        <v>131</v>
      </c>
    </row>
    <row r="309" spans="1:13" outlineLevel="1" x14ac:dyDescent="0.2">
      <c r="A309" s="20">
        <f t="shared" si="190"/>
        <v>9930</v>
      </c>
      <c r="B309" s="19" t="str">
        <f t="shared" si="190"/>
        <v>UTPB</v>
      </c>
      <c r="C309" s="18"/>
      <c r="D309" s="15">
        <v>541</v>
      </c>
      <c r="E309" s="21">
        <v>0.40700000000000003</v>
      </c>
      <c r="F309" s="14">
        <v>2416</v>
      </c>
      <c r="G309" s="13">
        <v>1005.1500000000051</v>
      </c>
      <c r="H309" s="15">
        <v>40</v>
      </c>
      <c r="I309" s="13">
        <v>10</v>
      </c>
      <c r="J309" s="16">
        <v>407</v>
      </c>
      <c r="K309" s="15">
        <v>908</v>
      </c>
      <c r="L309" s="14">
        <v>490</v>
      </c>
      <c r="M309" s="13">
        <v>191</v>
      </c>
    </row>
    <row r="310" spans="1:13" outlineLevel="1" x14ac:dyDescent="0.2">
      <c r="A310" s="20">
        <f t="shared" si="190"/>
        <v>10115</v>
      </c>
      <c r="B310" s="19" t="str">
        <f t="shared" si="190"/>
        <v>UTSA</v>
      </c>
      <c r="C310" s="18"/>
      <c r="D310" s="15">
        <v>4148</v>
      </c>
      <c r="E310" s="21">
        <v>0.39400000000000002</v>
      </c>
      <c r="F310" s="14">
        <v>20284.733333333334</v>
      </c>
      <c r="G310" s="13">
        <v>8398.8499999997166</v>
      </c>
      <c r="H310" s="15">
        <v>394</v>
      </c>
      <c r="I310" s="13">
        <v>47</v>
      </c>
      <c r="J310" s="16">
        <v>3211</v>
      </c>
      <c r="K310" s="15">
        <v>6802</v>
      </c>
      <c r="L310" s="14">
        <v>4390</v>
      </c>
      <c r="M310" s="13">
        <v>2699</v>
      </c>
    </row>
    <row r="311" spans="1:13" outlineLevel="1" x14ac:dyDescent="0.2">
      <c r="A311" s="20">
        <f t="shared" si="190"/>
        <v>11163</v>
      </c>
      <c r="B311" s="19" t="str">
        <f t="shared" si="190"/>
        <v>UTT</v>
      </c>
      <c r="C311" s="18"/>
      <c r="D311" s="15">
        <v>1188</v>
      </c>
      <c r="E311" s="21">
        <v>0.53300000000000003</v>
      </c>
      <c r="F311" s="14">
        <v>4030.7333333333331</v>
      </c>
      <c r="G311" s="13">
        <v>2364.9800000000037</v>
      </c>
      <c r="H311" s="15">
        <v>366</v>
      </c>
      <c r="I311" s="13">
        <v>9</v>
      </c>
      <c r="J311" s="16">
        <v>939</v>
      </c>
      <c r="K311" s="15">
        <v>1496</v>
      </c>
      <c r="L311" s="14">
        <v>905</v>
      </c>
      <c r="M311" s="13">
        <v>401</v>
      </c>
    </row>
    <row r="312" spans="1:13" outlineLevel="1" x14ac:dyDescent="0.2">
      <c r="A312" s="20">
        <f t="shared" si="190"/>
        <v>3632</v>
      </c>
      <c r="B312" s="19" t="str">
        <f t="shared" si="190"/>
        <v>TAMU</v>
      </c>
      <c r="C312" s="18"/>
      <c r="D312" s="15">
        <v>8748</v>
      </c>
      <c r="E312" s="21">
        <v>0.84399999999999997</v>
      </c>
      <c r="F312" s="14">
        <v>34425.133333333331</v>
      </c>
      <c r="G312" s="13">
        <v>20060.050000001262</v>
      </c>
      <c r="H312" s="15">
        <v>1775</v>
      </c>
      <c r="I312" s="13">
        <v>133</v>
      </c>
      <c r="J312" s="16">
        <v>3727</v>
      </c>
      <c r="K312" s="15">
        <v>9623</v>
      </c>
      <c r="L312" s="14">
        <v>8962</v>
      </c>
      <c r="M312" s="13">
        <v>6823</v>
      </c>
    </row>
    <row r="313" spans="1:13" outlineLevel="1" x14ac:dyDescent="0.2">
      <c r="A313" s="20">
        <f t="shared" si="190"/>
        <v>10298</v>
      </c>
      <c r="B313" s="19" t="str">
        <f t="shared" si="190"/>
        <v>TAMUG</v>
      </c>
      <c r="C313" s="18"/>
      <c r="D313" s="15">
        <v>250</v>
      </c>
      <c r="E313" s="21">
        <v>0.66400000000000003</v>
      </c>
      <c r="F313" s="14">
        <v>1668.1333333333334</v>
      </c>
      <c r="G313" s="13">
        <v>648.89999999999895</v>
      </c>
      <c r="H313" s="15">
        <v>35</v>
      </c>
      <c r="I313" s="13">
        <v>0</v>
      </c>
      <c r="J313" s="16">
        <v>151</v>
      </c>
      <c r="K313" s="15">
        <v>600</v>
      </c>
      <c r="L313" s="14">
        <v>336</v>
      </c>
      <c r="M313" s="13">
        <v>234</v>
      </c>
    </row>
    <row r="314" spans="1:13" outlineLevel="1" x14ac:dyDescent="0.2">
      <c r="A314" s="20">
        <f t="shared" si="190"/>
        <v>3630</v>
      </c>
      <c r="B314" s="19" t="str">
        <f t="shared" si="190"/>
        <v>Prairie View</v>
      </c>
      <c r="C314" s="18"/>
      <c r="D314" s="15">
        <v>904</v>
      </c>
      <c r="E314" s="21">
        <v>0.37</v>
      </c>
      <c r="F314" s="46">
        <v>6088.2666666666664</v>
      </c>
      <c r="G314" s="13">
        <v>1934.240000000003</v>
      </c>
      <c r="H314" s="15">
        <v>279</v>
      </c>
      <c r="I314" s="13">
        <v>10</v>
      </c>
      <c r="J314" s="16">
        <v>775</v>
      </c>
      <c r="K314" s="15">
        <v>1660</v>
      </c>
      <c r="L314" s="14">
        <v>1237</v>
      </c>
      <c r="M314" s="13">
        <v>905</v>
      </c>
    </row>
    <row r="315" spans="1:13" outlineLevel="1" x14ac:dyDescent="0.2">
      <c r="A315" s="20">
        <f t="shared" si="190"/>
        <v>3631</v>
      </c>
      <c r="B315" s="19" t="str">
        <f t="shared" si="190"/>
        <v>Tarleton</v>
      </c>
      <c r="C315" s="18"/>
      <c r="D315" s="15">
        <v>1552</v>
      </c>
      <c r="E315" s="21">
        <v>0.48299999999999998</v>
      </c>
      <c r="F315" s="46">
        <v>6264.4666666666662</v>
      </c>
      <c r="G315" s="13">
        <v>3063.9600000000341</v>
      </c>
      <c r="H315" s="15">
        <v>197</v>
      </c>
      <c r="I315" s="45">
        <v>56</v>
      </c>
      <c r="J315" s="16">
        <v>1196</v>
      </c>
      <c r="K315" s="47">
        <v>2096</v>
      </c>
      <c r="L315" s="46">
        <v>1464</v>
      </c>
      <c r="M315" s="45">
        <v>840</v>
      </c>
    </row>
    <row r="316" spans="1:13" outlineLevel="1" x14ac:dyDescent="0.2">
      <c r="A316" s="27">
        <f t="shared" si="190"/>
        <v>103631</v>
      </c>
      <c r="B316" s="19" t="str">
        <f t="shared" si="190"/>
        <v>TAMUCT</v>
      </c>
      <c r="C316" s="18"/>
      <c r="D316" s="15">
        <v>462</v>
      </c>
      <c r="E316" s="21">
        <v>0.48299999999999998</v>
      </c>
      <c r="F316" s="46">
        <v>700.66666666666663</v>
      </c>
      <c r="G316" s="13">
        <v>846.68000000000006</v>
      </c>
      <c r="H316" s="15">
        <v>36</v>
      </c>
      <c r="I316" s="45">
        <v>0</v>
      </c>
      <c r="J316" s="16">
        <v>330</v>
      </c>
      <c r="K316" s="47">
        <v>555</v>
      </c>
      <c r="L316" s="46">
        <v>143</v>
      </c>
      <c r="M316" s="45">
        <v>66</v>
      </c>
    </row>
    <row r="317" spans="1:13" outlineLevel="1" x14ac:dyDescent="0.2">
      <c r="A317" s="20">
        <f t="shared" si="190"/>
        <v>11161</v>
      </c>
      <c r="B317" s="19" t="str">
        <f t="shared" si="190"/>
        <v>TAMUCC</v>
      </c>
      <c r="C317" s="18"/>
      <c r="D317" s="15">
        <v>1315</v>
      </c>
      <c r="E317" s="21">
        <v>0.51100000000000001</v>
      </c>
      <c r="F317" s="46">
        <v>6609.8666666666668</v>
      </c>
      <c r="G317" s="13">
        <v>2639.1300000000101</v>
      </c>
      <c r="H317" s="15">
        <v>252</v>
      </c>
      <c r="I317" s="45">
        <v>25</v>
      </c>
      <c r="J317" s="16">
        <v>1034</v>
      </c>
      <c r="K317" s="15">
        <v>2126</v>
      </c>
      <c r="L317" s="14">
        <v>1577</v>
      </c>
      <c r="M317" s="13">
        <v>864</v>
      </c>
    </row>
    <row r="318" spans="1:13" outlineLevel="1" x14ac:dyDescent="0.2">
      <c r="A318" s="20">
        <f t="shared" si="190"/>
        <v>3639</v>
      </c>
      <c r="B318" s="19" t="str">
        <f t="shared" si="190"/>
        <v>TAMUK</v>
      </c>
      <c r="C318" s="18"/>
      <c r="D318" s="15">
        <v>738</v>
      </c>
      <c r="E318" s="21">
        <v>0.39799999999999996</v>
      </c>
      <c r="F318" s="46">
        <v>4394.2</v>
      </c>
      <c r="G318" s="13">
        <v>1735.8600000000065</v>
      </c>
      <c r="H318" s="15">
        <v>246</v>
      </c>
      <c r="I318" s="45">
        <v>16</v>
      </c>
      <c r="J318" s="16">
        <v>613</v>
      </c>
      <c r="K318" s="47">
        <v>1180</v>
      </c>
      <c r="L318" s="46">
        <v>879</v>
      </c>
      <c r="M318" s="45">
        <v>555</v>
      </c>
    </row>
    <row r="319" spans="1:13" outlineLevel="1" x14ac:dyDescent="0.2">
      <c r="A319" s="27">
        <f t="shared" si="190"/>
        <v>103639</v>
      </c>
      <c r="B319" s="19" t="str">
        <f t="shared" si="190"/>
        <v>TAMUSA</v>
      </c>
      <c r="C319" s="18"/>
      <c r="D319" s="15">
        <v>620</v>
      </c>
      <c r="E319" s="21">
        <v>0.39799999999999996</v>
      </c>
      <c r="F319" s="46">
        <v>1492.4</v>
      </c>
      <c r="G319" s="13">
        <v>1078.0000000000073</v>
      </c>
      <c r="H319" s="15">
        <v>1</v>
      </c>
      <c r="I319" s="45">
        <v>0</v>
      </c>
      <c r="J319" s="16">
        <v>520</v>
      </c>
      <c r="K319" s="47">
        <v>995</v>
      </c>
      <c r="L319" s="46">
        <v>37</v>
      </c>
      <c r="M319" s="45">
        <v>2</v>
      </c>
    </row>
    <row r="320" spans="1:13" outlineLevel="1" x14ac:dyDescent="0.2">
      <c r="A320" s="20">
        <f t="shared" si="190"/>
        <v>9651</v>
      </c>
      <c r="B320" s="19" t="str">
        <f t="shared" si="190"/>
        <v>TAMI</v>
      </c>
      <c r="C320" s="18"/>
      <c r="D320" s="15">
        <v>766</v>
      </c>
      <c r="E320" s="21">
        <v>0.503</v>
      </c>
      <c r="F320" s="14">
        <v>4126.8</v>
      </c>
      <c r="G320" s="13">
        <v>1400.4200000000046</v>
      </c>
      <c r="H320" s="15">
        <v>120</v>
      </c>
      <c r="I320" s="13">
        <v>18</v>
      </c>
      <c r="J320" s="16">
        <v>688</v>
      </c>
      <c r="K320" s="15">
        <v>1515</v>
      </c>
      <c r="L320" s="14">
        <v>1027</v>
      </c>
      <c r="M320" s="13">
        <v>486</v>
      </c>
    </row>
    <row r="321" spans="1:13" outlineLevel="1" x14ac:dyDescent="0.2">
      <c r="A321" s="20">
        <f t="shared" si="190"/>
        <v>3665</v>
      </c>
      <c r="B321" s="19" t="str">
        <f t="shared" si="190"/>
        <v>WTAMU</v>
      </c>
      <c r="C321" s="18"/>
      <c r="D321" s="15">
        <v>1294</v>
      </c>
      <c r="E321" s="21">
        <v>0.47399999999999998</v>
      </c>
      <c r="F321" s="14">
        <v>5457.666666666667</v>
      </c>
      <c r="G321" s="13">
        <v>2570.7800000000157</v>
      </c>
      <c r="H321" s="15">
        <v>184</v>
      </c>
      <c r="I321" s="13">
        <v>58</v>
      </c>
      <c r="J321" s="16">
        <v>913</v>
      </c>
      <c r="K321" s="15">
        <v>1871</v>
      </c>
      <c r="L321" s="14">
        <v>1264</v>
      </c>
      <c r="M321" s="13">
        <v>664</v>
      </c>
    </row>
    <row r="322" spans="1:13" outlineLevel="1" x14ac:dyDescent="0.2">
      <c r="A322" s="20">
        <f t="shared" si="190"/>
        <v>3565</v>
      </c>
      <c r="B322" s="19" t="str">
        <f t="shared" si="190"/>
        <v>TAMUC</v>
      </c>
      <c r="C322" s="18"/>
      <c r="D322" s="15">
        <v>1313</v>
      </c>
      <c r="E322" s="21">
        <v>0.42600000000000005</v>
      </c>
      <c r="F322" s="14">
        <v>4783.5333333333338</v>
      </c>
      <c r="G322" s="13">
        <v>2463.6900000000296</v>
      </c>
      <c r="H322" s="15">
        <v>71</v>
      </c>
      <c r="I322" s="13">
        <v>77</v>
      </c>
      <c r="J322" s="16">
        <v>1002</v>
      </c>
      <c r="K322" s="15">
        <v>1911</v>
      </c>
      <c r="L322" s="14">
        <v>1200</v>
      </c>
      <c r="M322" s="13">
        <v>477</v>
      </c>
    </row>
    <row r="323" spans="1:13" outlineLevel="1" x14ac:dyDescent="0.2">
      <c r="A323" s="20">
        <f t="shared" ref="A323:B340" si="191">A281</f>
        <v>29269</v>
      </c>
      <c r="B323" s="19" t="str">
        <f t="shared" si="191"/>
        <v>TAMUT</v>
      </c>
      <c r="C323" s="18"/>
      <c r="D323" s="15">
        <v>335</v>
      </c>
      <c r="E323" s="17">
        <v>0.56028368794326244</v>
      </c>
      <c r="F323" s="14">
        <v>879.13333333333333</v>
      </c>
      <c r="G323" s="13">
        <v>609.83000000000015</v>
      </c>
      <c r="H323" s="15">
        <v>48</v>
      </c>
      <c r="I323" s="13">
        <v>18</v>
      </c>
      <c r="J323" s="16">
        <v>230</v>
      </c>
      <c r="K323" s="15">
        <v>411</v>
      </c>
      <c r="L323" s="14">
        <v>186</v>
      </c>
      <c r="M323" s="13">
        <v>1</v>
      </c>
    </row>
    <row r="324" spans="1:13" outlineLevel="1" x14ac:dyDescent="0.2">
      <c r="A324" s="20">
        <f t="shared" si="191"/>
        <v>3652</v>
      </c>
      <c r="B324" s="19" t="str">
        <f t="shared" si="191"/>
        <v>UH</v>
      </c>
      <c r="C324" s="18"/>
      <c r="D324" s="15">
        <v>5092</v>
      </c>
      <c r="E324" s="21">
        <v>0.54200000000000004</v>
      </c>
      <c r="F324" s="14">
        <v>23853.933333333334</v>
      </c>
      <c r="G324" s="13">
        <v>10569.339999999527</v>
      </c>
      <c r="H324" s="15">
        <v>720</v>
      </c>
      <c r="I324" s="13">
        <v>74</v>
      </c>
      <c r="J324" s="16">
        <v>3340</v>
      </c>
      <c r="K324" s="15">
        <v>7467</v>
      </c>
      <c r="L324" s="14">
        <v>5804</v>
      </c>
      <c r="M324" s="13">
        <v>3314</v>
      </c>
    </row>
    <row r="325" spans="1:13" outlineLevel="1" x14ac:dyDescent="0.2">
      <c r="A325" s="20">
        <f t="shared" si="191"/>
        <v>11711</v>
      </c>
      <c r="B325" s="19" t="str">
        <f t="shared" si="191"/>
        <v>UHCL</v>
      </c>
      <c r="C325" s="18"/>
      <c r="D325" s="15">
        <v>1197</v>
      </c>
      <c r="E325" s="17">
        <v>0.53820033955857383</v>
      </c>
      <c r="F325" s="14">
        <v>3046.8</v>
      </c>
      <c r="G325" s="13">
        <v>2293.9500000000248</v>
      </c>
      <c r="H325" s="15">
        <v>113</v>
      </c>
      <c r="I325" s="13">
        <v>8</v>
      </c>
      <c r="J325" s="16">
        <v>777</v>
      </c>
      <c r="K325" s="15">
        <v>1434</v>
      </c>
      <c r="L325" s="14">
        <v>959</v>
      </c>
      <c r="M325" s="13">
        <v>53</v>
      </c>
    </row>
    <row r="326" spans="1:13" outlineLevel="1" x14ac:dyDescent="0.2">
      <c r="A326" s="20">
        <f t="shared" si="191"/>
        <v>12826</v>
      </c>
      <c r="B326" s="19" t="str">
        <f t="shared" si="191"/>
        <v>UHD</v>
      </c>
      <c r="C326" s="18"/>
      <c r="D326" s="15">
        <v>2437</v>
      </c>
      <c r="E326" s="21">
        <v>0.215</v>
      </c>
      <c r="F326" s="14">
        <v>7949.2666666666664</v>
      </c>
      <c r="G326" s="13">
        <v>4368.2100000000464</v>
      </c>
      <c r="H326" s="15">
        <v>143</v>
      </c>
      <c r="I326" s="13">
        <v>0</v>
      </c>
      <c r="J326" s="16">
        <v>1730</v>
      </c>
      <c r="K326" s="15">
        <v>3223</v>
      </c>
      <c r="L326" s="14">
        <v>1896</v>
      </c>
      <c r="M326" s="13">
        <v>618</v>
      </c>
    </row>
    <row r="327" spans="1:13" outlineLevel="1" x14ac:dyDescent="0.2">
      <c r="A327" s="20">
        <f t="shared" si="191"/>
        <v>13231</v>
      </c>
      <c r="B327" s="19" t="str">
        <f t="shared" si="191"/>
        <v>UHV</v>
      </c>
      <c r="C327" s="18"/>
      <c r="D327" s="15">
        <v>596</v>
      </c>
      <c r="E327" s="17">
        <v>0.5339366515837104</v>
      </c>
      <c r="F327" s="14">
        <v>1494.2</v>
      </c>
      <c r="G327" s="13">
        <v>1103.6999999999998</v>
      </c>
      <c r="H327" s="15">
        <v>118</v>
      </c>
      <c r="I327" s="13">
        <v>11</v>
      </c>
      <c r="J327" s="16">
        <v>397</v>
      </c>
      <c r="K327" s="15">
        <v>718</v>
      </c>
      <c r="L327" s="14">
        <v>286</v>
      </c>
      <c r="M327" s="13">
        <v>6</v>
      </c>
    </row>
    <row r="328" spans="1:13" outlineLevel="1" x14ac:dyDescent="0.2">
      <c r="A328" s="20">
        <f t="shared" si="191"/>
        <v>3592</v>
      </c>
      <c r="B328" s="19" t="str">
        <f t="shared" si="191"/>
        <v>Midwestern</v>
      </c>
      <c r="C328" s="18"/>
      <c r="D328" s="15">
        <v>1027</v>
      </c>
      <c r="E328" s="21">
        <v>0.443</v>
      </c>
      <c r="F328" s="14">
        <v>4387.7333333333336</v>
      </c>
      <c r="G328" s="13">
        <v>1924.84</v>
      </c>
      <c r="H328" s="15">
        <v>340</v>
      </c>
      <c r="I328" s="13">
        <v>11</v>
      </c>
      <c r="J328" s="16">
        <v>675</v>
      </c>
      <c r="K328" s="15">
        <v>1507</v>
      </c>
      <c r="L328" s="14">
        <v>1079</v>
      </c>
      <c r="M328" s="13">
        <v>734</v>
      </c>
    </row>
    <row r="329" spans="1:13" outlineLevel="1" x14ac:dyDescent="0.2">
      <c r="A329" s="20">
        <f t="shared" si="191"/>
        <v>3594</v>
      </c>
      <c r="B329" s="19" t="str">
        <f t="shared" si="191"/>
        <v>UNT</v>
      </c>
      <c r="C329" s="18"/>
      <c r="D329" s="15">
        <v>6183</v>
      </c>
      <c r="E329" s="21">
        <v>0.58700000000000008</v>
      </c>
      <c r="F329" s="14">
        <v>23168.733333333334</v>
      </c>
      <c r="G329" s="13">
        <v>11731.089999999795</v>
      </c>
      <c r="H329" s="15">
        <v>345</v>
      </c>
      <c r="I329" s="13">
        <v>47</v>
      </c>
      <c r="J329" s="16">
        <v>3942</v>
      </c>
      <c r="K329" s="15">
        <v>7957</v>
      </c>
      <c r="L329" s="14">
        <v>5891</v>
      </c>
      <c r="M329" s="13">
        <v>3310</v>
      </c>
    </row>
    <row r="330" spans="1:13" outlineLevel="1" x14ac:dyDescent="0.2">
      <c r="A330" s="27">
        <f t="shared" si="191"/>
        <v>113594</v>
      </c>
      <c r="B330" s="19" t="str">
        <f t="shared" si="191"/>
        <v>UNTD</v>
      </c>
      <c r="C330" s="18"/>
      <c r="D330" s="30">
        <v>388</v>
      </c>
      <c r="E330" s="44">
        <v>0.58700000000000008</v>
      </c>
      <c r="F330" s="29">
        <v>908.8</v>
      </c>
      <c r="G330" s="28">
        <v>669.60000000000036</v>
      </c>
      <c r="H330" s="30">
        <v>10</v>
      </c>
      <c r="I330" s="28"/>
      <c r="J330" s="43">
        <v>304</v>
      </c>
      <c r="K330" s="30">
        <v>487</v>
      </c>
      <c r="L330" s="29">
        <v>63</v>
      </c>
      <c r="M330" s="28">
        <v>18</v>
      </c>
    </row>
    <row r="331" spans="1:13" outlineLevel="1" x14ac:dyDescent="0.2">
      <c r="A331" s="20">
        <f t="shared" si="191"/>
        <v>3624</v>
      </c>
      <c r="B331" s="19" t="str">
        <f t="shared" si="191"/>
        <v>SFA</v>
      </c>
      <c r="C331" s="18"/>
      <c r="D331" s="15">
        <v>1880</v>
      </c>
      <c r="E331" s="21">
        <v>0.53900000000000003</v>
      </c>
      <c r="F331" s="14">
        <v>9440.9333333333325</v>
      </c>
      <c r="G331" s="13">
        <v>3606.8600000000297</v>
      </c>
      <c r="H331" s="15">
        <v>241</v>
      </c>
      <c r="I331" s="13">
        <v>49</v>
      </c>
      <c r="J331" s="16">
        <v>1446</v>
      </c>
      <c r="K331" s="15">
        <v>3040</v>
      </c>
      <c r="L331" s="14">
        <v>2166</v>
      </c>
      <c r="M331" s="13">
        <v>1402</v>
      </c>
    </row>
    <row r="332" spans="1:13" outlineLevel="1" x14ac:dyDescent="0.2">
      <c r="A332" s="20">
        <f t="shared" si="191"/>
        <v>3642</v>
      </c>
      <c r="B332" s="19" t="str">
        <f t="shared" si="191"/>
        <v>TSU</v>
      </c>
      <c r="C332" s="18"/>
      <c r="D332" s="15">
        <v>721</v>
      </c>
      <c r="E332" s="21">
        <v>0.14099999999999999</v>
      </c>
      <c r="F332" s="14">
        <v>5912.8</v>
      </c>
      <c r="G332" s="13">
        <v>1385.6100000000063</v>
      </c>
      <c r="H332" s="15">
        <v>122</v>
      </c>
      <c r="I332" s="13">
        <v>2</v>
      </c>
      <c r="J332" s="16">
        <v>635</v>
      </c>
      <c r="K332" s="15">
        <v>1692</v>
      </c>
      <c r="L332" s="14">
        <v>1274</v>
      </c>
      <c r="M332" s="13">
        <v>870</v>
      </c>
    </row>
    <row r="333" spans="1:13" outlineLevel="1" x14ac:dyDescent="0.2">
      <c r="A333" s="20">
        <f t="shared" si="191"/>
        <v>3644</v>
      </c>
      <c r="B333" s="19" t="str">
        <f t="shared" si="191"/>
        <v>TTU</v>
      </c>
      <c r="C333" s="18"/>
      <c r="D333" s="15">
        <v>4605</v>
      </c>
      <c r="E333" s="21">
        <v>0.7320000000000001</v>
      </c>
      <c r="F333" s="14">
        <v>22527.466666666667</v>
      </c>
      <c r="G333" s="13">
        <v>9815.7899999997753</v>
      </c>
      <c r="H333" s="15">
        <v>687</v>
      </c>
      <c r="I333" s="13">
        <v>62</v>
      </c>
      <c r="J333" s="16">
        <v>2724</v>
      </c>
      <c r="K333" s="15">
        <v>6577</v>
      </c>
      <c r="L333" s="14">
        <v>5355</v>
      </c>
      <c r="M333" s="13">
        <v>3957</v>
      </c>
    </row>
    <row r="334" spans="1:13" outlineLevel="1" x14ac:dyDescent="0.2">
      <c r="A334" s="20">
        <f t="shared" si="191"/>
        <v>3541</v>
      </c>
      <c r="B334" s="19" t="str">
        <f t="shared" si="191"/>
        <v>Angelo</v>
      </c>
      <c r="C334" s="18"/>
      <c r="D334" s="15">
        <v>960</v>
      </c>
      <c r="E334" s="21">
        <v>0.441</v>
      </c>
      <c r="F334" s="14">
        <v>4895.666666666667</v>
      </c>
      <c r="G334" s="13">
        <v>1856.9499999999953</v>
      </c>
      <c r="H334" s="15">
        <v>242</v>
      </c>
      <c r="I334" s="13">
        <v>21</v>
      </c>
      <c r="J334" s="16">
        <v>720</v>
      </c>
      <c r="K334" s="15">
        <v>1444</v>
      </c>
      <c r="L334" s="14">
        <v>1071</v>
      </c>
      <c r="M334" s="13">
        <v>708</v>
      </c>
    </row>
    <row r="335" spans="1:13" outlineLevel="1" x14ac:dyDescent="0.2">
      <c r="A335" s="20">
        <f t="shared" si="191"/>
        <v>3646</v>
      </c>
      <c r="B335" s="19" t="str">
        <f t="shared" si="191"/>
        <v>TWU</v>
      </c>
      <c r="C335" s="18"/>
      <c r="D335" s="15">
        <v>1725</v>
      </c>
      <c r="E335" s="21">
        <v>0.48399999999999999</v>
      </c>
      <c r="F335" s="14">
        <v>6598.2</v>
      </c>
      <c r="G335" s="13">
        <v>3227.0100000000139</v>
      </c>
      <c r="H335" s="15">
        <v>523</v>
      </c>
      <c r="I335" s="13">
        <v>34</v>
      </c>
      <c r="J335" s="16">
        <v>1201</v>
      </c>
      <c r="K335" s="15">
        <v>2121</v>
      </c>
      <c r="L335" s="14">
        <v>1259</v>
      </c>
      <c r="M335" s="13">
        <v>608</v>
      </c>
    </row>
    <row r="336" spans="1:13" outlineLevel="1" x14ac:dyDescent="0.2">
      <c r="A336" s="20">
        <f t="shared" si="191"/>
        <v>3581</v>
      </c>
      <c r="B336" s="19" t="str">
        <f t="shared" si="191"/>
        <v>Lamar</v>
      </c>
      <c r="C336" s="18"/>
      <c r="D336" s="15">
        <v>1340</v>
      </c>
      <c r="E336" s="21">
        <v>0.35399999999999998</v>
      </c>
      <c r="F336" s="14">
        <v>7247.8</v>
      </c>
      <c r="G336" s="13">
        <v>2695.0800000000122</v>
      </c>
      <c r="H336" s="15">
        <v>358</v>
      </c>
      <c r="I336" s="13">
        <v>16</v>
      </c>
      <c r="J336" s="16">
        <v>943</v>
      </c>
      <c r="K336" s="15">
        <v>2317</v>
      </c>
      <c r="L336" s="14">
        <v>1577</v>
      </c>
      <c r="M336" s="13">
        <v>1000</v>
      </c>
    </row>
    <row r="337" spans="1:15" outlineLevel="1" x14ac:dyDescent="0.2">
      <c r="A337" s="20">
        <f t="shared" si="191"/>
        <v>3606</v>
      </c>
      <c r="B337" s="19" t="str">
        <f t="shared" si="191"/>
        <v>SHSU</v>
      </c>
      <c r="C337" s="18"/>
      <c r="D337" s="15">
        <v>3013</v>
      </c>
      <c r="E337" s="21">
        <v>0.60299999999999998</v>
      </c>
      <c r="F337" s="14">
        <v>12631.666666666666</v>
      </c>
      <c r="G337" s="13">
        <v>5628.5800000000427</v>
      </c>
      <c r="H337" s="15">
        <v>166</v>
      </c>
      <c r="I337" s="13">
        <v>63</v>
      </c>
      <c r="J337" s="16">
        <v>2160</v>
      </c>
      <c r="K337" s="15">
        <v>3940</v>
      </c>
      <c r="L337" s="14">
        <v>2970</v>
      </c>
      <c r="M337" s="13">
        <v>1716</v>
      </c>
    </row>
    <row r="338" spans="1:15" outlineLevel="1" x14ac:dyDescent="0.2">
      <c r="A338" s="20">
        <f t="shared" si="191"/>
        <v>3615</v>
      </c>
      <c r="B338" s="19" t="str">
        <f t="shared" si="191"/>
        <v>TXST</v>
      </c>
      <c r="C338" s="18"/>
      <c r="D338" s="15">
        <v>5349</v>
      </c>
      <c r="E338" s="21">
        <v>0.6409999999999999</v>
      </c>
      <c r="F338" s="14">
        <v>22917.933333333334</v>
      </c>
      <c r="G338" s="13">
        <v>10250.389999999717</v>
      </c>
      <c r="H338" s="15">
        <v>445</v>
      </c>
      <c r="I338" s="13">
        <v>65</v>
      </c>
      <c r="J338" s="16">
        <v>3665</v>
      </c>
      <c r="K338" s="15">
        <v>7685</v>
      </c>
      <c r="L338" s="14">
        <v>5748</v>
      </c>
      <c r="M338" s="13">
        <v>3317</v>
      </c>
    </row>
    <row r="339" spans="1:15" outlineLevel="1" x14ac:dyDescent="0.2">
      <c r="A339" s="20">
        <f t="shared" si="191"/>
        <v>3625</v>
      </c>
      <c r="B339" s="19" t="str">
        <f t="shared" si="191"/>
        <v>SRSU</v>
      </c>
      <c r="C339" s="18"/>
      <c r="D339" s="15">
        <v>196</v>
      </c>
      <c r="E339" s="21">
        <v>0.29199999999999998</v>
      </c>
      <c r="F339" s="14">
        <v>1200.1333333333334</v>
      </c>
      <c r="G339" s="13">
        <v>405.49999999999949</v>
      </c>
      <c r="H339" s="15">
        <v>18</v>
      </c>
      <c r="I339" s="13">
        <v>4</v>
      </c>
      <c r="J339" s="16">
        <v>166</v>
      </c>
      <c r="K339" s="15">
        <v>298</v>
      </c>
      <c r="L339" s="14">
        <v>217</v>
      </c>
      <c r="M339" s="13">
        <v>136</v>
      </c>
      <c r="N339" s="156"/>
    </row>
    <row r="340" spans="1:15" outlineLevel="1" x14ac:dyDescent="0.2">
      <c r="A340" s="20">
        <f t="shared" si="191"/>
        <v>20</v>
      </c>
      <c r="B340" s="19" t="str">
        <f t="shared" si="191"/>
        <v>SRRG</v>
      </c>
      <c r="C340" s="18"/>
      <c r="D340" s="15">
        <v>163</v>
      </c>
      <c r="E340" s="17">
        <v>0.33750000000000002</v>
      </c>
      <c r="F340" s="14">
        <v>472.13333333333333</v>
      </c>
      <c r="G340" s="13">
        <v>281.52999999999975</v>
      </c>
      <c r="H340" s="15">
        <v>5</v>
      </c>
      <c r="I340" s="13">
        <v>7</v>
      </c>
      <c r="J340" s="16">
        <v>145</v>
      </c>
      <c r="K340" s="15">
        <v>224</v>
      </c>
      <c r="L340" s="14">
        <v>97</v>
      </c>
      <c r="M340" s="13">
        <v>2</v>
      </c>
    </row>
    <row r="341" spans="1:15" ht="13.5" outlineLevel="1" thickBot="1" x14ac:dyDescent="0.25">
      <c r="A341" s="12"/>
      <c r="B341" s="11" t="s">
        <v>11</v>
      </c>
      <c r="C341" s="10"/>
      <c r="D341" s="9">
        <f>SUM(D303:D340)</f>
        <v>84231</v>
      </c>
      <c r="E341" s="8">
        <v>0.58399999999999996</v>
      </c>
      <c r="F341" s="7">
        <f t="shared" ref="F341:M341" si="192">SUM(F303:F340)</f>
        <v>351171.46666666673</v>
      </c>
      <c r="G341" s="3">
        <f t="shared" si="192"/>
        <v>170914.74000000223</v>
      </c>
      <c r="H341" s="5">
        <f t="shared" si="192"/>
        <v>13857</v>
      </c>
      <c r="I341" s="3">
        <f t="shared" si="192"/>
        <v>1204</v>
      </c>
      <c r="J341" s="6">
        <f t="shared" si="192"/>
        <v>54385</v>
      </c>
      <c r="K341" s="5">
        <f t="shared" si="192"/>
        <v>116139</v>
      </c>
      <c r="L341" s="4">
        <f t="shared" si="192"/>
        <v>84006</v>
      </c>
      <c r="M341" s="3">
        <f t="shared" si="192"/>
        <v>51310</v>
      </c>
    </row>
    <row r="342" spans="1:15" ht="13.5" thickBot="1" x14ac:dyDescent="0.25">
      <c r="A342" s="42" t="s">
        <v>25</v>
      </c>
      <c r="B342" s="42"/>
      <c r="C342" s="42"/>
      <c r="D342" s="42"/>
      <c r="F342" s="42"/>
      <c r="J342" s="42"/>
    </row>
    <row r="343" spans="1:15" ht="12.75" customHeight="1" outlineLevel="1" x14ac:dyDescent="0.2">
      <c r="A343" s="234" t="s">
        <v>24</v>
      </c>
      <c r="B343" s="236" t="s">
        <v>23</v>
      </c>
      <c r="C343" s="238"/>
      <c r="D343" s="240" t="s">
        <v>22</v>
      </c>
      <c r="E343" s="242" t="s">
        <v>21</v>
      </c>
      <c r="F343" s="236" t="s">
        <v>20</v>
      </c>
      <c r="G343" s="221" t="s">
        <v>19</v>
      </c>
      <c r="H343" s="223" t="s">
        <v>18</v>
      </c>
      <c r="I343" s="225" t="s">
        <v>17</v>
      </c>
      <c r="J343" s="227" t="s">
        <v>16</v>
      </c>
      <c r="K343" s="229" t="s">
        <v>15</v>
      </c>
      <c r="L343" s="230"/>
      <c r="M343" s="231"/>
    </row>
    <row r="344" spans="1:15" s="41" customFormat="1" ht="39.75" customHeight="1" outlineLevel="1" thickBot="1" x14ac:dyDescent="0.25">
      <c r="A344" s="273"/>
      <c r="B344" s="270"/>
      <c r="C344" s="274"/>
      <c r="D344" s="275"/>
      <c r="E344" s="276"/>
      <c r="F344" s="270"/>
      <c r="G344" s="271"/>
      <c r="H344" s="272"/>
      <c r="I344" s="265"/>
      <c r="J344" s="266"/>
      <c r="K344" s="125" t="s">
        <v>14</v>
      </c>
      <c r="L344" s="126" t="s">
        <v>13</v>
      </c>
      <c r="M344" s="135" t="s">
        <v>12</v>
      </c>
      <c r="N344" s="154"/>
    </row>
    <row r="345" spans="1:15" outlineLevel="1" x14ac:dyDescent="0.2">
      <c r="A345" s="40">
        <f t="shared" ref="A345:B364" si="193">A303</f>
        <v>3656</v>
      </c>
      <c r="B345" s="39" t="str">
        <f t="shared" si="193"/>
        <v>UTA</v>
      </c>
      <c r="C345" s="38"/>
      <c r="D345" s="33">
        <v>4178</v>
      </c>
      <c r="E345" s="37">
        <v>0.50700000000000001</v>
      </c>
      <c r="F345" s="32">
        <v>15698.133333333333</v>
      </c>
      <c r="G345" s="31">
        <v>8640.2399999998797</v>
      </c>
      <c r="H345" s="36">
        <v>834</v>
      </c>
      <c r="I345" s="35">
        <v>36</v>
      </c>
      <c r="J345" s="34">
        <v>2662</v>
      </c>
      <c r="K345" s="33">
        <v>6630</v>
      </c>
      <c r="L345" s="32">
        <v>3636</v>
      </c>
      <c r="M345" s="31">
        <v>1724</v>
      </c>
    </row>
    <row r="346" spans="1:15" outlineLevel="1" x14ac:dyDescent="0.2">
      <c r="A346" s="20">
        <f t="shared" si="193"/>
        <v>3658</v>
      </c>
      <c r="B346" s="19" t="str">
        <f t="shared" si="193"/>
        <v>UT</v>
      </c>
      <c r="C346" s="18"/>
      <c r="D346" s="15">
        <v>8952</v>
      </c>
      <c r="E346" s="21">
        <v>0.82899999999999996</v>
      </c>
      <c r="F346" s="14">
        <v>33736.73333333333</v>
      </c>
      <c r="G346" s="13">
        <v>19230.319999999745</v>
      </c>
      <c r="H346" s="15">
        <v>1754</v>
      </c>
      <c r="I346" s="13">
        <v>55</v>
      </c>
      <c r="J346" s="16">
        <v>3435</v>
      </c>
      <c r="K346" s="15">
        <v>9596</v>
      </c>
      <c r="L346" s="14">
        <v>9749</v>
      </c>
      <c r="M346" s="13">
        <v>7288</v>
      </c>
      <c r="O346" s="2"/>
    </row>
    <row r="347" spans="1:15" outlineLevel="1" x14ac:dyDescent="0.2">
      <c r="A347" s="20">
        <f t="shared" si="193"/>
        <v>9741</v>
      </c>
      <c r="B347" s="19" t="str">
        <f t="shared" si="193"/>
        <v>UTD</v>
      </c>
      <c r="C347" s="18"/>
      <c r="D347" s="15">
        <v>2355</v>
      </c>
      <c r="E347" s="21">
        <v>0.70699999999999996</v>
      </c>
      <c r="F347" s="14">
        <v>8108.8666666666668</v>
      </c>
      <c r="G347" s="13">
        <v>4955.5700000000443</v>
      </c>
      <c r="H347" s="15">
        <v>392</v>
      </c>
      <c r="I347" s="13">
        <v>36</v>
      </c>
      <c r="J347" s="16">
        <v>1255</v>
      </c>
      <c r="K347" s="15">
        <v>3078</v>
      </c>
      <c r="L347" s="14">
        <v>1950</v>
      </c>
      <c r="M347" s="13">
        <v>923</v>
      </c>
      <c r="O347" s="2"/>
    </row>
    <row r="348" spans="1:15" outlineLevel="1" x14ac:dyDescent="0.2">
      <c r="A348" s="20">
        <f t="shared" si="193"/>
        <v>3661</v>
      </c>
      <c r="B348" s="19" t="str">
        <f t="shared" si="193"/>
        <v>UTEP</v>
      </c>
      <c r="C348" s="18"/>
      <c r="D348" s="15">
        <v>3031</v>
      </c>
      <c r="E348" s="21">
        <v>0.374</v>
      </c>
      <c r="F348" s="14">
        <v>12791.933333333332</v>
      </c>
      <c r="G348" s="13">
        <v>6295.4500000000389</v>
      </c>
      <c r="H348" s="15">
        <v>709</v>
      </c>
      <c r="I348" s="13">
        <v>93</v>
      </c>
      <c r="J348" s="16">
        <v>2394</v>
      </c>
      <c r="K348" s="15">
        <v>4200</v>
      </c>
      <c r="L348" s="14">
        <v>3366</v>
      </c>
      <c r="M348" s="13">
        <v>1972</v>
      </c>
      <c r="O348" s="2"/>
    </row>
    <row r="349" spans="1:15" outlineLevel="1" x14ac:dyDescent="0.2">
      <c r="A349" s="20">
        <f t="shared" si="193"/>
        <v>3599</v>
      </c>
      <c r="B349" s="19" t="str">
        <f t="shared" si="193"/>
        <v>UTPA</v>
      </c>
      <c r="C349" s="18"/>
      <c r="D349" s="15">
        <v>2620</v>
      </c>
      <c r="E349" s="21">
        <v>0.38900000000000001</v>
      </c>
      <c r="F349" s="14">
        <v>12572.333333333334</v>
      </c>
      <c r="G349" s="13">
        <v>5170.8900000000631</v>
      </c>
      <c r="H349" s="15">
        <v>480</v>
      </c>
      <c r="I349" s="13">
        <v>31</v>
      </c>
      <c r="J349" s="16">
        <v>2341</v>
      </c>
      <c r="K349" s="15">
        <v>4354</v>
      </c>
      <c r="L349" s="14">
        <v>3136</v>
      </c>
      <c r="M349" s="13">
        <v>1924</v>
      </c>
      <c r="O349" s="2"/>
    </row>
    <row r="350" spans="1:15" outlineLevel="1" x14ac:dyDescent="0.2">
      <c r="A350" s="20">
        <f t="shared" si="193"/>
        <v>30646</v>
      </c>
      <c r="B350" s="19" t="str">
        <f t="shared" si="193"/>
        <v>UTB</v>
      </c>
      <c r="C350" s="18"/>
      <c r="D350" s="15">
        <v>1052</v>
      </c>
      <c r="E350" s="17">
        <v>0.64666666666666661</v>
      </c>
      <c r="F350" s="14">
        <v>2989.6</v>
      </c>
      <c r="G350" s="13">
        <v>2005.0100000000309</v>
      </c>
      <c r="H350" s="15">
        <v>108</v>
      </c>
      <c r="I350" s="13">
        <v>19</v>
      </c>
      <c r="J350" s="16">
        <v>916</v>
      </c>
      <c r="K350" s="15">
        <v>1377</v>
      </c>
      <c r="L350" s="14">
        <v>583</v>
      </c>
      <c r="M350" s="13">
        <v>72</v>
      </c>
      <c r="O350" s="2"/>
    </row>
    <row r="351" spans="1:15" outlineLevel="1" x14ac:dyDescent="0.2">
      <c r="A351" s="20">
        <f t="shared" si="193"/>
        <v>9930</v>
      </c>
      <c r="B351" s="19" t="str">
        <f t="shared" si="193"/>
        <v>UTPB</v>
      </c>
      <c r="C351" s="18"/>
      <c r="D351" s="15">
        <v>513</v>
      </c>
      <c r="E351" s="21">
        <v>0.44600000000000001</v>
      </c>
      <c r="F351" s="14">
        <v>2159.6</v>
      </c>
      <c r="G351" s="13">
        <v>944.74000000001092</v>
      </c>
      <c r="H351" s="15">
        <v>33</v>
      </c>
      <c r="I351" s="13">
        <v>13</v>
      </c>
      <c r="J351" s="16">
        <v>379</v>
      </c>
      <c r="K351" s="15">
        <v>707</v>
      </c>
      <c r="L351" s="14">
        <v>450</v>
      </c>
      <c r="M351" s="13">
        <v>182</v>
      </c>
      <c r="O351" s="2"/>
    </row>
    <row r="352" spans="1:15" outlineLevel="1" x14ac:dyDescent="0.2">
      <c r="A352" s="20">
        <f t="shared" si="193"/>
        <v>10115</v>
      </c>
      <c r="B352" s="19" t="str">
        <f t="shared" si="193"/>
        <v>UTSA</v>
      </c>
      <c r="C352" s="18"/>
      <c r="D352" s="15">
        <v>3968</v>
      </c>
      <c r="E352" s="21">
        <v>0.44</v>
      </c>
      <c r="F352" s="14">
        <v>19707.533333333333</v>
      </c>
      <c r="G352" s="13">
        <v>8107.0899999997582</v>
      </c>
      <c r="H352" s="15">
        <v>375</v>
      </c>
      <c r="I352" s="13">
        <v>39</v>
      </c>
      <c r="J352" s="16">
        <v>2956</v>
      </c>
      <c r="K352" s="15">
        <v>6812</v>
      </c>
      <c r="L352" s="14">
        <v>4615</v>
      </c>
      <c r="M352" s="13">
        <v>2588</v>
      </c>
      <c r="O352" s="2"/>
    </row>
    <row r="353" spans="1:15" outlineLevel="1" x14ac:dyDescent="0.2">
      <c r="A353" s="20">
        <f t="shared" si="193"/>
        <v>11163</v>
      </c>
      <c r="B353" s="19" t="str">
        <f t="shared" si="193"/>
        <v>UTT</v>
      </c>
      <c r="C353" s="18"/>
      <c r="D353" s="15">
        <v>1238</v>
      </c>
      <c r="E353" s="21">
        <v>0.496</v>
      </c>
      <c r="F353" s="14">
        <v>4085.2666666666669</v>
      </c>
      <c r="G353" s="13">
        <v>2459.1300000000315</v>
      </c>
      <c r="H353" s="15">
        <v>372</v>
      </c>
      <c r="I353" s="13">
        <v>10</v>
      </c>
      <c r="J353" s="16">
        <v>1002</v>
      </c>
      <c r="K353" s="15">
        <v>1404</v>
      </c>
      <c r="L353" s="14">
        <v>921</v>
      </c>
      <c r="M353" s="13">
        <v>378</v>
      </c>
      <c r="O353" s="2"/>
    </row>
    <row r="354" spans="1:15" outlineLevel="1" x14ac:dyDescent="0.2">
      <c r="A354" s="20">
        <f t="shared" si="193"/>
        <v>3632</v>
      </c>
      <c r="B354" s="19" t="str">
        <f t="shared" si="193"/>
        <v>TAMU</v>
      </c>
      <c r="C354" s="18"/>
      <c r="D354" s="15">
        <v>8451</v>
      </c>
      <c r="E354" s="21">
        <v>0.83599999999999997</v>
      </c>
      <c r="F354" s="14">
        <v>34329.199999999997</v>
      </c>
      <c r="G354" s="13">
        <v>19146.209999999159</v>
      </c>
      <c r="H354" s="15">
        <v>1580</v>
      </c>
      <c r="I354" s="13">
        <v>108</v>
      </c>
      <c r="J354" s="16">
        <v>3530</v>
      </c>
      <c r="K354" s="15">
        <v>10012</v>
      </c>
      <c r="L354" s="14">
        <v>8836</v>
      </c>
      <c r="M354" s="13">
        <v>6932</v>
      </c>
      <c r="O354" s="2"/>
    </row>
    <row r="355" spans="1:15" outlineLevel="1" x14ac:dyDescent="0.2">
      <c r="A355" s="20">
        <f t="shared" si="193"/>
        <v>10298</v>
      </c>
      <c r="B355" s="19" t="str">
        <f t="shared" si="193"/>
        <v>TAMUG</v>
      </c>
      <c r="C355" s="18"/>
      <c r="D355" s="15">
        <v>262</v>
      </c>
      <c r="E355" s="21">
        <v>0.59199999999999997</v>
      </c>
      <c r="F355" s="14">
        <v>1599.2</v>
      </c>
      <c r="G355" s="13">
        <v>636.84000000000231</v>
      </c>
      <c r="H355" s="15">
        <v>31</v>
      </c>
      <c r="I355" s="13">
        <v>0</v>
      </c>
      <c r="J355" s="16">
        <v>137</v>
      </c>
      <c r="K355" s="15">
        <v>570</v>
      </c>
      <c r="L355" s="14">
        <v>322</v>
      </c>
      <c r="M355" s="13">
        <v>241</v>
      </c>
      <c r="O355" s="2"/>
    </row>
    <row r="356" spans="1:15" outlineLevel="1" x14ac:dyDescent="0.2">
      <c r="A356" s="20">
        <f t="shared" si="193"/>
        <v>3630</v>
      </c>
      <c r="B356" s="19" t="str">
        <f t="shared" si="193"/>
        <v>Prairie View</v>
      </c>
      <c r="C356" s="18"/>
      <c r="D356" s="15">
        <v>879</v>
      </c>
      <c r="E356" s="21">
        <v>0.34200000000000003</v>
      </c>
      <c r="F356" s="14">
        <v>5840.8</v>
      </c>
      <c r="G356" s="13">
        <v>1995.4900000000189</v>
      </c>
      <c r="H356" s="15">
        <v>295</v>
      </c>
      <c r="I356" s="13">
        <v>8</v>
      </c>
      <c r="J356" s="16">
        <v>756</v>
      </c>
      <c r="K356" s="15">
        <v>1643</v>
      </c>
      <c r="L356" s="14">
        <v>1174</v>
      </c>
      <c r="M356" s="13">
        <v>940</v>
      </c>
      <c r="O356" s="2"/>
    </row>
    <row r="357" spans="1:15" outlineLevel="1" x14ac:dyDescent="0.2">
      <c r="A357" s="20">
        <f t="shared" si="193"/>
        <v>3631</v>
      </c>
      <c r="B357" s="19" t="str">
        <f t="shared" si="193"/>
        <v>Tarleton</v>
      </c>
      <c r="C357" s="18"/>
      <c r="D357" s="15">
        <v>1422</v>
      </c>
      <c r="E357" s="21">
        <v>0.47499999999999998</v>
      </c>
      <c r="F357" s="14">
        <v>5845.5333333333338</v>
      </c>
      <c r="G357" s="13">
        <v>2966.430000000048</v>
      </c>
      <c r="H357" s="15">
        <v>183</v>
      </c>
      <c r="I357" s="13">
        <v>38</v>
      </c>
      <c r="J357" s="16">
        <v>1093</v>
      </c>
      <c r="K357" s="15">
        <v>2140</v>
      </c>
      <c r="L357" s="14">
        <v>1306</v>
      </c>
      <c r="M357" s="13">
        <v>903</v>
      </c>
      <c r="O357" s="2"/>
    </row>
    <row r="358" spans="1:15" outlineLevel="1" x14ac:dyDescent="0.2">
      <c r="A358" s="27">
        <f t="shared" si="193"/>
        <v>103631</v>
      </c>
      <c r="B358" s="19" t="str">
        <f t="shared" si="193"/>
        <v>TAMUCT</v>
      </c>
      <c r="C358" s="18"/>
      <c r="D358" s="15">
        <v>450</v>
      </c>
      <c r="E358" s="21">
        <v>0.47499999999999998</v>
      </c>
      <c r="F358" s="14">
        <v>658.4666666666667</v>
      </c>
      <c r="G358" s="13">
        <v>831.96000000000549</v>
      </c>
      <c r="H358" s="15">
        <v>44</v>
      </c>
      <c r="I358" s="13"/>
      <c r="J358" s="16">
        <v>322</v>
      </c>
      <c r="K358" s="15">
        <v>380</v>
      </c>
      <c r="L358" s="14">
        <v>137</v>
      </c>
      <c r="M358" s="13">
        <v>31</v>
      </c>
      <c r="O358" s="2"/>
    </row>
    <row r="359" spans="1:15" outlineLevel="1" x14ac:dyDescent="0.2">
      <c r="A359" s="20">
        <f t="shared" si="193"/>
        <v>11161</v>
      </c>
      <c r="B359" s="19" t="str">
        <f t="shared" si="193"/>
        <v>TAMUCC</v>
      </c>
      <c r="C359" s="18"/>
      <c r="D359" s="15">
        <v>1335</v>
      </c>
      <c r="E359" s="21">
        <v>0.503</v>
      </c>
      <c r="F359" s="14">
        <v>6131.9333333333334</v>
      </c>
      <c r="G359" s="13">
        <v>2744.5700000000347</v>
      </c>
      <c r="H359" s="15">
        <v>237</v>
      </c>
      <c r="I359" s="13">
        <v>29</v>
      </c>
      <c r="J359" s="16">
        <v>1024</v>
      </c>
      <c r="K359" s="15">
        <v>2079</v>
      </c>
      <c r="L359" s="14">
        <v>1357</v>
      </c>
      <c r="M359" s="13">
        <v>812</v>
      </c>
      <c r="O359" s="2"/>
    </row>
    <row r="360" spans="1:15" outlineLevel="1" x14ac:dyDescent="0.2">
      <c r="A360" s="20">
        <f t="shared" si="193"/>
        <v>3639</v>
      </c>
      <c r="B360" s="19" t="str">
        <f t="shared" si="193"/>
        <v>TAMUK</v>
      </c>
      <c r="C360" s="18"/>
      <c r="D360" s="15">
        <v>692</v>
      </c>
      <c r="E360" s="21">
        <v>0.41699999999999998</v>
      </c>
      <c r="F360" s="14">
        <v>3808.2666666666669</v>
      </c>
      <c r="G360" s="13">
        <v>1601.8800000000022</v>
      </c>
      <c r="H360" s="15">
        <v>236</v>
      </c>
      <c r="I360" s="13">
        <v>15</v>
      </c>
      <c r="J360" s="16">
        <v>590</v>
      </c>
      <c r="K360" s="15">
        <v>1159</v>
      </c>
      <c r="L360" s="14">
        <v>790</v>
      </c>
      <c r="M360" s="13">
        <v>550</v>
      </c>
      <c r="O360" s="2"/>
    </row>
    <row r="361" spans="1:15" outlineLevel="1" x14ac:dyDescent="0.2">
      <c r="A361" s="27">
        <f t="shared" si="193"/>
        <v>103639</v>
      </c>
      <c r="B361" s="19" t="str">
        <f t="shared" si="193"/>
        <v>TAMUSA</v>
      </c>
      <c r="C361" s="18"/>
      <c r="D361" s="15">
        <v>496</v>
      </c>
      <c r="E361" s="21">
        <v>0.41699999999999998</v>
      </c>
      <c r="F361" s="14">
        <v>1072.6666666666667</v>
      </c>
      <c r="G361" s="13">
        <v>844.50000000000807</v>
      </c>
      <c r="H361" s="15">
        <v>4</v>
      </c>
      <c r="I361" s="13"/>
      <c r="J361" s="16">
        <v>402</v>
      </c>
      <c r="K361" s="15">
        <v>307</v>
      </c>
      <c r="L361" s="14">
        <v>5</v>
      </c>
      <c r="M361" s="13">
        <v>5</v>
      </c>
      <c r="O361" s="2"/>
    </row>
    <row r="362" spans="1:15" outlineLevel="1" x14ac:dyDescent="0.2">
      <c r="A362" s="20">
        <f t="shared" si="193"/>
        <v>9651</v>
      </c>
      <c r="B362" s="19" t="str">
        <f t="shared" si="193"/>
        <v>TAMI</v>
      </c>
      <c r="C362" s="18"/>
      <c r="D362" s="15">
        <v>798</v>
      </c>
      <c r="E362" s="21">
        <v>0.46</v>
      </c>
      <c r="F362" s="14">
        <v>3819.0666666666666</v>
      </c>
      <c r="G362" s="13">
        <v>1476.3000000000168</v>
      </c>
      <c r="H362" s="15">
        <v>85</v>
      </c>
      <c r="I362" s="13">
        <v>26</v>
      </c>
      <c r="J362" s="16">
        <v>713</v>
      </c>
      <c r="K362" s="15">
        <v>1413</v>
      </c>
      <c r="L362" s="14">
        <v>981</v>
      </c>
      <c r="M362" s="13">
        <v>447</v>
      </c>
      <c r="O362" s="2"/>
    </row>
    <row r="363" spans="1:15" outlineLevel="1" x14ac:dyDescent="0.2">
      <c r="A363" s="20">
        <f t="shared" si="193"/>
        <v>3665</v>
      </c>
      <c r="B363" s="19" t="str">
        <f t="shared" si="193"/>
        <v>WTAMU</v>
      </c>
      <c r="C363" s="18"/>
      <c r="D363" s="15">
        <v>1220</v>
      </c>
      <c r="E363" s="21">
        <v>0.45600000000000002</v>
      </c>
      <c r="F363" s="14">
        <v>5264.8</v>
      </c>
      <c r="G363" s="13">
        <v>2415.9700000000216</v>
      </c>
      <c r="H363" s="15">
        <v>216</v>
      </c>
      <c r="I363" s="13">
        <v>64</v>
      </c>
      <c r="J363" s="16">
        <v>853</v>
      </c>
      <c r="K363" s="15">
        <v>1873</v>
      </c>
      <c r="L363" s="14">
        <v>1161</v>
      </c>
      <c r="M363" s="13">
        <v>631</v>
      </c>
      <c r="O363" s="2"/>
    </row>
    <row r="364" spans="1:15" outlineLevel="1" x14ac:dyDescent="0.2">
      <c r="A364" s="20">
        <f t="shared" si="193"/>
        <v>3565</v>
      </c>
      <c r="B364" s="19" t="str">
        <f t="shared" si="193"/>
        <v>TAMUC</v>
      </c>
      <c r="C364" s="18"/>
      <c r="D364" s="15">
        <v>1153</v>
      </c>
      <c r="E364" s="21">
        <v>0.44800000000000001</v>
      </c>
      <c r="F364" s="14">
        <v>4172.1333333333332</v>
      </c>
      <c r="G364" s="13">
        <v>2179.8400000000324</v>
      </c>
      <c r="H364" s="15">
        <v>59</v>
      </c>
      <c r="I364" s="13">
        <v>65</v>
      </c>
      <c r="J364" s="16">
        <v>884</v>
      </c>
      <c r="K364" s="15">
        <v>1712</v>
      </c>
      <c r="L364" s="14">
        <v>1038</v>
      </c>
      <c r="M364" s="13">
        <v>423</v>
      </c>
      <c r="O364" s="2"/>
    </row>
    <row r="365" spans="1:15" outlineLevel="1" x14ac:dyDescent="0.2">
      <c r="A365" s="20">
        <f t="shared" ref="A365:B382" si="194">A323</f>
        <v>29269</v>
      </c>
      <c r="B365" s="19" t="str">
        <f t="shared" si="194"/>
        <v>TAMUT</v>
      </c>
      <c r="C365" s="18"/>
      <c r="D365" s="15">
        <v>326</v>
      </c>
      <c r="E365" s="17">
        <v>0.57336956521739135</v>
      </c>
      <c r="F365" s="14">
        <v>694.6</v>
      </c>
      <c r="G365" s="13">
        <v>569.46</v>
      </c>
      <c r="H365" s="15">
        <v>30</v>
      </c>
      <c r="I365" s="13">
        <v>15</v>
      </c>
      <c r="J365" s="16">
        <v>210</v>
      </c>
      <c r="K365" s="15">
        <v>403</v>
      </c>
      <c r="L365" s="14">
        <v>138</v>
      </c>
      <c r="M365" s="13">
        <v>0</v>
      </c>
      <c r="O365" s="2"/>
    </row>
    <row r="366" spans="1:15" outlineLevel="1" x14ac:dyDescent="0.2">
      <c r="A366" s="20">
        <f t="shared" si="194"/>
        <v>3652</v>
      </c>
      <c r="B366" s="19" t="str">
        <f t="shared" si="194"/>
        <v>UH</v>
      </c>
      <c r="C366" s="18"/>
      <c r="D366" s="15">
        <v>4778</v>
      </c>
      <c r="E366" s="21">
        <v>0.53100000000000003</v>
      </c>
      <c r="F366" s="14">
        <v>22778.733333333334</v>
      </c>
      <c r="G366" s="13">
        <v>9792.4499999989821</v>
      </c>
      <c r="H366" s="15">
        <v>656</v>
      </c>
      <c r="I366" s="13">
        <v>54</v>
      </c>
      <c r="J366" s="16">
        <v>3091</v>
      </c>
      <c r="K366" s="15">
        <v>7517</v>
      </c>
      <c r="L366" s="14">
        <v>5600</v>
      </c>
      <c r="M366" s="13">
        <v>3376</v>
      </c>
      <c r="O366" s="2"/>
    </row>
    <row r="367" spans="1:15" outlineLevel="1" x14ac:dyDescent="0.2">
      <c r="A367" s="20">
        <f t="shared" si="194"/>
        <v>11711</v>
      </c>
      <c r="B367" s="19" t="str">
        <f t="shared" si="194"/>
        <v>UHCL</v>
      </c>
      <c r="C367" s="18"/>
      <c r="D367" s="15">
        <v>1124</v>
      </c>
      <c r="E367" s="17">
        <v>0.50557620817843862</v>
      </c>
      <c r="F367" s="14">
        <v>2872.8666666666668</v>
      </c>
      <c r="G367" s="13">
        <v>2131.2100000000323</v>
      </c>
      <c r="H367" s="15">
        <v>88</v>
      </c>
      <c r="I367" s="13">
        <v>8</v>
      </c>
      <c r="J367" s="16">
        <v>707</v>
      </c>
      <c r="K367" s="15">
        <v>1349</v>
      </c>
      <c r="L367" s="14">
        <v>888</v>
      </c>
      <c r="M367" s="13">
        <v>81</v>
      </c>
      <c r="O367" s="2"/>
    </row>
    <row r="368" spans="1:15" outlineLevel="1" x14ac:dyDescent="0.2">
      <c r="A368" s="20">
        <f t="shared" si="194"/>
        <v>12826</v>
      </c>
      <c r="B368" s="19" t="str">
        <f t="shared" si="194"/>
        <v>UHD</v>
      </c>
      <c r="C368" s="18"/>
      <c r="D368" s="15">
        <v>2359</v>
      </c>
      <c r="E368" s="21">
        <v>0.18099999999999999</v>
      </c>
      <c r="F368" s="14">
        <v>7963.6</v>
      </c>
      <c r="G368" s="13">
        <v>4153.3100000000841</v>
      </c>
      <c r="H368" s="15">
        <v>112</v>
      </c>
      <c r="I368" s="13">
        <v>2</v>
      </c>
      <c r="J368" s="16">
        <v>1619</v>
      </c>
      <c r="K368" s="15">
        <v>3082</v>
      </c>
      <c r="L368" s="14">
        <v>1889</v>
      </c>
      <c r="M368" s="13">
        <v>606</v>
      </c>
      <c r="O368" s="2"/>
    </row>
    <row r="369" spans="1:15" outlineLevel="1" x14ac:dyDescent="0.2">
      <c r="A369" s="20">
        <f t="shared" si="194"/>
        <v>13231</v>
      </c>
      <c r="B369" s="19" t="str">
        <f t="shared" si="194"/>
        <v>UHV</v>
      </c>
      <c r="C369" s="18"/>
      <c r="D369" s="15">
        <v>515</v>
      </c>
      <c r="E369" s="17">
        <v>0.55256723716381417</v>
      </c>
      <c r="F369" s="14">
        <v>1135.8</v>
      </c>
      <c r="G369" s="13">
        <v>962.15000000001089</v>
      </c>
      <c r="H369" s="15">
        <v>72</v>
      </c>
      <c r="I369" s="13">
        <v>2</v>
      </c>
      <c r="J369" s="16">
        <v>337</v>
      </c>
      <c r="K369" s="15">
        <v>654</v>
      </c>
      <c r="L369" s="14">
        <v>269</v>
      </c>
      <c r="M369" s="13">
        <v>8</v>
      </c>
      <c r="O369" s="2"/>
    </row>
    <row r="370" spans="1:15" outlineLevel="1" x14ac:dyDescent="0.2">
      <c r="A370" s="20">
        <f t="shared" si="194"/>
        <v>3592</v>
      </c>
      <c r="B370" s="19" t="str">
        <f t="shared" si="194"/>
        <v>Midwestern</v>
      </c>
      <c r="C370" s="18"/>
      <c r="D370" s="15">
        <v>1002</v>
      </c>
      <c r="E370" s="21">
        <v>0.41199999999999998</v>
      </c>
      <c r="F370" s="14">
        <v>4294.8666666666668</v>
      </c>
      <c r="G370" s="13">
        <v>1899.0200000000148</v>
      </c>
      <c r="H370" s="15">
        <v>302</v>
      </c>
      <c r="I370" s="13">
        <v>19</v>
      </c>
      <c r="J370" s="16">
        <v>673</v>
      </c>
      <c r="K370" s="15">
        <v>1497</v>
      </c>
      <c r="L370" s="14">
        <v>1080</v>
      </c>
      <c r="M370" s="13">
        <v>622</v>
      </c>
      <c r="O370" s="2"/>
    </row>
    <row r="371" spans="1:15" outlineLevel="1" x14ac:dyDescent="0.2">
      <c r="A371" s="20">
        <f t="shared" si="194"/>
        <v>3594</v>
      </c>
      <c r="B371" s="19" t="str">
        <f t="shared" si="194"/>
        <v>UNT</v>
      </c>
      <c r="C371" s="18"/>
      <c r="D371" s="15">
        <v>6024</v>
      </c>
      <c r="E371" s="21">
        <v>0.57399999999999995</v>
      </c>
      <c r="F371" s="14">
        <f>22506.0666666667+838</f>
        <v>23344.066666666698</v>
      </c>
      <c r="G371" s="13">
        <v>11164.699999998398</v>
      </c>
      <c r="H371" s="15">
        <v>297</v>
      </c>
      <c r="I371" s="13">
        <v>27</v>
      </c>
      <c r="J371" s="16">
        <v>3747</v>
      </c>
      <c r="K371" s="30">
        <v>8327</v>
      </c>
      <c r="L371" s="29">
        <v>5604</v>
      </c>
      <c r="M371" s="28">
        <v>3585</v>
      </c>
      <c r="O371" s="2"/>
    </row>
    <row r="372" spans="1:15" outlineLevel="1" x14ac:dyDescent="0.2">
      <c r="A372" s="27">
        <f t="shared" si="194"/>
        <v>113594</v>
      </c>
      <c r="B372" s="19" t="str">
        <f t="shared" si="194"/>
        <v>UNTD</v>
      </c>
      <c r="C372" s="18"/>
      <c r="D372" s="24"/>
      <c r="E372" s="26"/>
      <c r="F372" s="23"/>
      <c r="G372" s="22"/>
      <c r="H372" s="24"/>
      <c r="I372" s="22"/>
      <c r="J372" s="25"/>
      <c r="K372" s="24"/>
      <c r="L372" s="23"/>
      <c r="M372" s="22"/>
      <c r="O372" s="2"/>
    </row>
    <row r="373" spans="1:15" outlineLevel="1" x14ac:dyDescent="0.2">
      <c r="A373" s="20">
        <f t="shared" si="194"/>
        <v>3624</v>
      </c>
      <c r="B373" s="19" t="str">
        <f t="shared" si="194"/>
        <v>SFA</v>
      </c>
      <c r="C373" s="18"/>
      <c r="D373" s="15">
        <v>1874</v>
      </c>
      <c r="E373" s="21">
        <v>0.56999999999999995</v>
      </c>
      <c r="F373" s="14">
        <v>9510.2666666666664</v>
      </c>
      <c r="G373" s="13">
        <v>3625.4100000000203</v>
      </c>
      <c r="H373" s="15">
        <v>230</v>
      </c>
      <c r="I373" s="13">
        <v>43</v>
      </c>
      <c r="J373" s="16">
        <v>1422</v>
      </c>
      <c r="K373" s="15">
        <v>2663</v>
      </c>
      <c r="L373" s="14">
        <v>1934</v>
      </c>
      <c r="M373" s="13">
        <v>1317</v>
      </c>
      <c r="O373" s="2"/>
    </row>
    <row r="374" spans="1:15" outlineLevel="1" x14ac:dyDescent="0.2">
      <c r="A374" s="20">
        <f t="shared" si="194"/>
        <v>3642</v>
      </c>
      <c r="B374" s="19" t="str">
        <f t="shared" si="194"/>
        <v>TSU</v>
      </c>
      <c r="C374" s="18"/>
      <c r="D374" s="15">
        <v>817</v>
      </c>
      <c r="E374" s="21">
        <v>0.14899999999999999</v>
      </c>
      <c r="F374" s="14">
        <v>5909.8</v>
      </c>
      <c r="G374" s="13">
        <v>1601.5200000000066</v>
      </c>
      <c r="H374" s="15">
        <v>127</v>
      </c>
      <c r="I374" s="13">
        <v>2</v>
      </c>
      <c r="J374" s="16">
        <v>723</v>
      </c>
      <c r="K374" s="15">
        <v>1871</v>
      </c>
      <c r="L374" s="14">
        <v>1137</v>
      </c>
      <c r="M374" s="13">
        <v>916</v>
      </c>
      <c r="O374" s="2"/>
    </row>
    <row r="375" spans="1:15" outlineLevel="1" x14ac:dyDescent="0.2">
      <c r="A375" s="20">
        <f t="shared" si="194"/>
        <v>3644</v>
      </c>
      <c r="B375" s="19" t="str">
        <f t="shared" si="194"/>
        <v>TTU</v>
      </c>
      <c r="C375" s="18"/>
      <c r="D375" s="15">
        <v>4476</v>
      </c>
      <c r="E375" s="21">
        <v>0.72799999999999998</v>
      </c>
      <c r="F375" s="14">
        <v>21422.2</v>
      </c>
      <c r="G375" s="13">
        <v>9827.5299999990111</v>
      </c>
      <c r="H375" s="15">
        <v>656</v>
      </c>
      <c r="I375" s="13">
        <v>43</v>
      </c>
      <c r="J375" s="16">
        <v>2539</v>
      </c>
      <c r="K375" s="15">
        <v>6430</v>
      </c>
      <c r="L375" s="14">
        <v>5148</v>
      </c>
      <c r="M375" s="13">
        <v>3832</v>
      </c>
      <c r="O375" s="2"/>
    </row>
    <row r="376" spans="1:15" outlineLevel="1" x14ac:dyDescent="0.2">
      <c r="A376" s="20">
        <f t="shared" si="194"/>
        <v>3541</v>
      </c>
      <c r="B376" s="19" t="str">
        <f t="shared" si="194"/>
        <v>Angelo</v>
      </c>
      <c r="C376" s="18"/>
      <c r="D376" s="15">
        <v>941</v>
      </c>
      <c r="E376" s="21">
        <v>0.44</v>
      </c>
      <c r="F376" s="14">
        <v>4829.1333333333332</v>
      </c>
      <c r="G376" s="13">
        <v>1933.5900000000179</v>
      </c>
      <c r="H376" s="15">
        <v>217</v>
      </c>
      <c r="I376" s="13">
        <v>18</v>
      </c>
      <c r="J376" s="16">
        <v>676</v>
      </c>
      <c r="K376" s="15">
        <v>1474</v>
      </c>
      <c r="L376" s="14">
        <v>1008</v>
      </c>
      <c r="M376" s="13">
        <v>708</v>
      </c>
      <c r="O376" s="2"/>
    </row>
    <row r="377" spans="1:15" outlineLevel="1" x14ac:dyDescent="0.2">
      <c r="A377" s="20">
        <f t="shared" si="194"/>
        <v>3646</v>
      </c>
      <c r="B377" s="19" t="str">
        <f t="shared" si="194"/>
        <v>TWU</v>
      </c>
      <c r="C377" s="18"/>
      <c r="D377" s="15">
        <v>1774</v>
      </c>
      <c r="E377" s="21">
        <v>0.54500000000000004</v>
      </c>
      <c r="F377" s="14">
        <v>6071.4666666666662</v>
      </c>
      <c r="G377" s="13">
        <v>3425.2000000000221</v>
      </c>
      <c r="H377" s="15">
        <v>614</v>
      </c>
      <c r="I377" s="13">
        <v>31</v>
      </c>
      <c r="J377" s="16">
        <v>1214</v>
      </c>
      <c r="K377" s="15">
        <v>2042</v>
      </c>
      <c r="L377" s="14">
        <v>1371</v>
      </c>
      <c r="M377" s="13">
        <v>668</v>
      </c>
      <c r="O377" s="2"/>
    </row>
    <row r="378" spans="1:15" outlineLevel="1" x14ac:dyDescent="0.2">
      <c r="A378" s="20">
        <f t="shared" si="194"/>
        <v>3581</v>
      </c>
      <c r="B378" s="19" t="str">
        <f t="shared" si="194"/>
        <v>Lamar</v>
      </c>
      <c r="C378" s="18"/>
      <c r="D378" s="15">
        <v>1286</v>
      </c>
      <c r="E378" s="21">
        <v>0.33800000000000002</v>
      </c>
      <c r="F378" s="14">
        <v>7172.9333333333334</v>
      </c>
      <c r="G378" s="13">
        <v>2638.0900000000311</v>
      </c>
      <c r="H378" s="15">
        <v>314</v>
      </c>
      <c r="I378" s="13">
        <v>17</v>
      </c>
      <c r="J378" s="16">
        <v>908</v>
      </c>
      <c r="K378" s="15">
        <v>2043</v>
      </c>
      <c r="L378" s="14">
        <v>1404</v>
      </c>
      <c r="M378" s="13">
        <v>1031</v>
      </c>
      <c r="O378" s="2"/>
    </row>
    <row r="379" spans="1:15" outlineLevel="1" x14ac:dyDescent="0.2">
      <c r="A379" s="20">
        <f t="shared" si="194"/>
        <v>3606</v>
      </c>
      <c r="B379" s="19" t="str">
        <f t="shared" si="194"/>
        <v>SHSU</v>
      </c>
      <c r="C379" s="18"/>
      <c r="D379" s="15">
        <v>3242</v>
      </c>
      <c r="E379" s="21">
        <v>0.57899999999999996</v>
      </c>
      <c r="F379" s="14">
        <v>12517.066666666668</v>
      </c>
      <c r="G379" s="13">
        <v>6188.6300000000374</v>
      </c>
      <c r="H379" s="15">
        <v>163</v>
      </c>
      <c r="I379" s="13">
        <v>69</v>
      </c>
      <c r="J379" s="16">
        <v>2318</v>
      </c>
      <c r="K379" s="15">
        <v>3849</v>
      </c>
      <c r="L379" s="14">
        <v>3011</v>
      </c>
      <c r="M379" s="13">
        <v>1870</v>
      </c>
      <c r="O379" s="2"/>
    </row>
    <row r="380" spans="1:15" outlineLevel="1" x14ac:dyDescent="0.2">
      <c r="A380" s="20">
        <f t="shared" si="194"/>
        <v>3615</v>
      </c>
      <c r="B380" s="19" t="str">
        <f t="shared" si="194"/>
        <v>TXST</v>
      </c>
      <c r="C380" s="18"/>
      <c r="D380" s="15">
        <v>5299</v>
      </c>
      <c r="E380" s="21">
        <v>0.64400000000000002</v>
      </c>
      <c r="F380" s="14">
        <v>21764.6</v>
      </c>
      <c r="G380" s="13">
        <v>10384.469999998846</v>
      </c>
      <c r="H380" s="15">
        <v>439</v>
      </c>
      <c r="I380" s="13">
        <v>68</v>
      </c>
      <c r="J380" s="16">
        <v>3545</v>
      </c>
      <c r="K380" s="15">
        <v>7301</v>
      </c>
      <c r="L380" s="14">
        <v>5428</v>
      </c>
      <c r="M380" s="13">
        <v>3302</v>
      </c>
      <c r="O380" s="2"/>
    </row>
    <row r="381" spans="1:15" outlineLevel="1" x14ac:dyDescent="0.2">
      <c r="A381" s="20">
        <f t="shared" si="194"/>
        <v>3625</v>
      </c>
      <c r="B381" s="19" t="str">
        <f t="shared" si="194"/>
        <v>SRSU</v>
      </c>
      <c r="C381" s="18"/>
      <c r="D381" s="15">
        <v>181</v>
      </c>
      <c r="E381" s="21">
        <v>0.28499999999999998</v>
      </c>
      <c r="F381" s="14">
        <v>1230.9333333333334</v>
      </c>
      <c r="G381" s="13">
        <v>368.43999999999954</v>
      </c>
      <c r="H381" s="15">
        <v>10</v>
      </c>
      <c r="I381" s="13">
        <v>10</v>
      </c>
      <c r="J381" s="16">
        <v>156</v>
      </c>
      <c r="K381" s="15">
        <v>318</v>
      </c>
      <c r="L381" s="14">
        <v>176</v>
      </c>
      <c r="M381" s="13">
        <v>115</v>
      </c>
      <c r="O381" s="2"/>
    </row>
    <row r="382" spans="1:15" outlineLevel="1" x14ac:dyDescent="0.2">
      <c r="A382" s="20">
        <f t="shared" si="194"/>
        <v>20</v>
      </c>
      <c r="B382" s="19" t="str">
        <f t="shared" si="194"/>
        <v>SRRG</v>
      </c>
      <c r="C382" s="18"/>
      <c r="D382" s="15">
        <v>168</v>
      </c>
      <c r="E382" s="17">
        <v>0.36144578313253012</v>
      </c>
      <c r="F382" s="14">
        <v>416.33333333333331</v>
      </c>
      <c r="G382" s="13">
        <v>287.9199999999995</v>
      </c>
      <c r="H382" s="15">
        <v>8</v>
      </c>
      <c r="I382" s="13">
        <v>9</v>
      </c>
      <c r="J382" s="16">
        <v>149</v>
      </c>
      <c r="K382" s="15">
        <v>251</v>
      </c>
      <c r="L382" s="14">
        <v>90</v>
      </c>
      <c r="M382" s="13">
        <v>5</v>
      </c>
      <c r="O382" s="2"/>
    </row>
    <row r="383" spans="1:15" ht="13.5" outlineLevel="1" thickBot="1" x14ac:dyDescent="0.25">
      <c r="A383" s="12"/>
      <c r="B383" s="11" t="s">
        <v>11</v>
      </c>
      <c r="C383" s="10"/>
      <c r="D383" s="9">
        <f>SUM(D345:D382)</f>
        <v>81251</v>
      </c>
      <c r="E383" s="8">
        <v>0.56799999999999995</v>
      </c>
      <c r="F383" s="7">
        <f t="shared" ref="F383:M383" si="195">SUM(F345:F382)</f>
        <v>338321.33333333337</v>
      </c>
      <c r="G383" s="3">
        <f t="shared" si="195"/>
        <v>165601.52999999447</v>
      </c>
      <c r="H383" s="5">
        <f t="shared" si="195"/>
        <v>12362</v>
      </c>
      <c r="I383" s="3">
        <f t="shared" si="195"/>
        <v>1122</v>
      </c>
      <c r="J383" s="6">
        <f t="shared" si="195"/>
        <v>51678</v>
      </c>
      <c r="K383" s="5">
        <f t="shared" si="195"/>
        <v>112517</v>
      </c>
      <c r="L383" s="4">
        <f t="shared" si="195"/>
        <v>81688</v>
      </c>
      <c r="M383" s="3">
        <f t="shared" si="195"/>
        <v>51008</v>
      </c>
      <c r="O383" s="2"/>
    </row>
    <row r="384" spans="1:15" x14ac:dyDescent="0.2">
      <c r="O384" s="2"/>
    </row>
    <row r="386" spans="1:1" x14ac:dyDescent="0.2">
      <c r="A386" s="1" t="s">
        <v>10</v>
      </c>
    </row>
    <row r="387" spans="1:1" x14ac:dyDescent="0.2">
      <c r="A387" s="1" t="s">
        <v>9</v>
      </c>
    </row>
    <row r="388" spans="1:1" x14ac:dyDescent="0.2">
      <c r="A388" s="1" t="s">
        <v>8</v>
      </c>
    </row>
    <row r="389" spans="1:1" x14ac:dyDescent="0.2">
      <c r="A389" s="1" t="s">
        <v>7</v>
      </c>
    </row>
    <row r="390" spans="1:1" x14ac:dyDescent="0.2">
      <c r="A390" s="1" t="s">
        <v>6</v>
      </c>
    </row>
    <row r="391" spans="1:1" x14ac:dyDescent="0.2">
      <c r="A391" s="1" t="s">
        <v>5</v>
      </c>
    </row>
    <row r="392" spans="1:1" x14ac:dyDescent="0.2">
      <c r="A392" s="1" t="s">
        <v>4</v>
      </c>
    </row>
    <row r="393" spans="1:1" x14ac:dyDescent="0.2">
      <c r="A393" s="1" t="s">
        <v>3</v>
      </c>
    </row>
    <row r="394" spans="1:1" x14ac:dyDescent="0.2">
      <c r="A394" s="1" t="s">
        <v>2</v>
      </c>
    </row>
    <row r="395" spans="1:1" x14ac:dyDescent="0.2">
      <c r="A395" s="1" t="s">
        <v>1</v>
      </c>
    </row>
    <row r="396" spans="1:1" x14ac:dyDescent="0.2">
      <c r="A396" s="1" t="s">
        <v>0</v>
      </c>
    </row>
  </sheetData>
  <mergeCells count="90">
    <mergeCell ref="A129:A130"/>
    <mergeCell ref="B129:B130"/>
    <mergeCell ref="C129:C130"/>
    <mergeCell ref="D129:G129"/>
    <mergeCell ref="J301:J302"/>
    <mergeCell ref="K301:M301"/>
    <mergeCell ref="H129:H130"/>
    <mergeCell ref="I129:I130"/>
    <mergeCell ref="J129:J130"/>
    <mergeCell ref="K129:M129"/>
    <mergeCell ref="A343:A344"/>
    <mergeCell ref="B343:B344"/>
    <mergeCell ref="C343:C344"/>
    <mergeCell ref="D343:D344"/>
    <mergeCell ref="E343:E344"/>
    <mergeCell ref="K343:M343"/>
    <mergeCell ref="F301:F302"/>
    <mergeCell ref="F259:F260"/>
    <mergeCell ref="G259:G260"/>
    <mergeCell ref="H259:H260"/>
    <mergeCell ref="I259:I260"/>
    <mergeCell ref="K259:M259"/>
    <mergeCell ref="J259:J260"/>
    <mergeCell ref="F343:F344"/>
    <mergeCell ref="G343:G344"/>
    <mergeCell ref="H343:H344"/>
    <mergeCell ref="I343:I344"/>
    <mergeCell ref="J343:J344"/>
    <mergeCell ref="G301:G302"/>
    <mergeCell ref="H301:H302"/>
    <mergeCell ref="I301:I302"/>
    <mergeCell ref="A301:A302"/>
    <mergeCell ref="B301:B302"/>
    <mergeCell ref="C301:C302"/>
    <mergeCell ref="D301:D302"/>
    <mergeCell ref="E301:E302"/>
    <mergeCell ref="G217:G218"/>
    <mergeCell ref="H217:H218"/>
    <mergeCell ref="I217:I218"/>
    <mergeCell ref="J217:J218"/>
    <mergeCell ref="K217:M217"/>
    <mergeCell ref="A259:A260"/>
    <mergeCell ref="B259:B260"/>
    <mergeCell ref="C259:C260"/>
    <mergeCell ref="D259:D260"/>
    <mergeCell ref="E259:E260"/>
    <mergeCell ref="J174:J175"/>
    <mergeCell ref="K174:M174"/>
    <mergeCell ref="N174:N175"/>
    <mergeCell ref="A176:C176"/>
    <mergeCell ref="A174:A175"/>
    <mergeCell ref="B174:B175"/>
    <mergeCell ref="C174:C175"/>
    <mergeCell ref="D174:G174"/>
    <mergeCell ref="H174:H175"/>
    <mergeCell ref="F217:F218"/>
    <mergeCell ref="J88:J89"/>
    <mergeCell ref="K88:M88"/>
    <mergeCell ref="N88:N89"/>
    <mergeCell ref="A88:A89"/>
    <mergeCell ref="B88:B89"/>
    <mergeCell ref="C88:C89"/>
    <mergeCell ref="D88:G88"/>
    <mergeCell ref="H88:H89"/>
    <mergeCell ref="I88:I89"/>
    <mergeCell ref="A217:A218"/>
    <mergeCell ref="B217:B218"/>
    <mergeCell ref="C217:C218"/>
    <mergeCell ref="D217:D218"/>
    <mergeCell ref="E217:E218"/>
    <mergeCell ref="I174:I175"/>
    <mergeCell ref="O3:Q3"/>
    <mergeCell ref="A46:A47"/>
    <mergeCell ref="B46:B47"/>
    <mergeCell ref="C46:C47"/>
    <mergeCell ref="D46:G46"/>
    <mergeCell ref="H46:H47"/>
    <mergeCell ref="I46:I47"/>
    <mergeCell ref="J46:J47"/>
    <mergeCell ref="K46:M46"/>
    <mergeCell ref="N46:N47"/>
    <mergeCell ref="A1:M1"/>
    <mergeCell ref="A3:A4"/>
    <mergeCell ref="B3:B4"/>
    <mergeCell ref="C3:C4"/>
    <mergeCell ref="D3:G3"/>
    <mergeCell ref="H3:H4"/>
    <mergeCell ref="I3:I4"/>
    <mergeCell ref="J3:J4"/>
    <mergeCell ref="K3:M3"/>
  </mergeCells>
  <conditionalFormatting sqref="D128:M128">
    <cfRule type="colorScale" priority="10">
      <colorScale>
        <cfvo type="min"/>
        <cfvo type="max"/>
        <color theme="6" tint="0.79998168889431442"/>
        <color theme="6" tint="-0.499984740745262"/>
      </colorScale>
    </cfRule>
  </conditionalFormatting>
  <conditionalFormatting sqref="D90:M127">
    <cfRule type="cellIs" dxfId="62" priority="1" operator="equal">
      <formula>$D$171</formula>
    </cfRule>
    <cfRule type="cellIs" dxfId="61" priority="2" operator="equal">
      <formula>$E$171</formula>
    </cfRule>
    <cfRule type="cellIs" dxfId="60" priority="3" operator="equal">
      <formula>$F$171</formula>
    </cfRule>
    <cfRule type="cellIs" dxfId="59" priority="4" operator="equal">
      <formula>$G$171</formula>
    </cfRule>
    <cfRule type="cellIs" dxfId="58" priority="5" operator="equal">
      <formula>$H$171</formula>
    </cfRule>
    <cfRule type="cellIs" dxfId="57" priority="6" operator="equal">
      <formula>$I$171</formula>
    </cfRule>
    <cfRule type="cellIs" dxfId="56" priority="7" operator="equal">
      <formula>$J$171</formula>
    </cfRule>
    <cfRule type="cellIs" dxfId="55" priority="8" operator="equal">
      <formula>$K$171</formula>
    </cfRule>
    <cfRule type="cellIs" dxfId="54" priority="9" operator="equal">
      <formula>$L$171</formula>
    </cfRule>
  </conditionalFormatting>
  <pageMargins left="0.25" right="0.25" top="0.5" bottom="0.25" header="0.3" footer="0.3"/>
  <pageSetup paperSize="5"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V375"/>
  <sheetViews>
    <sheetView showGridLines="0" zoomScale="70" zoomScaleNormal="70" workbookViewId="0">
      <pane xSplit="2" ySplit="4" topLeftCell="C5" activePane="bottomRight" state="frozen"/>
      <selection activeCell="C5" sqref="C5"/>
      <selection pane="topRight" activeCell="C5" sqref="C5"/>
      <selection pane="bottomLeft" activeCell="C5" sqref="C5"/>
      <selection pane="bottomRight" activeCell="A2" sqref="A2"/>
    </sheetView>
  </sheetViews>
  <sheetFormatPr defaultRowHeight="12.75" outlineLevelRow="1" x14ac:dyDescent="0.2"/>
  <cols>
    <col min="1" max="1" width="7.28515625" style="1" customWidth="1"/>
    <col min="2" max="2" width="10.85546875" style="1" bestFit="1" customWidth="1"/>
    <col min="3" max="3" width="13.7109375" style="1" bestFit="1" customWidth="1"/>
    <col min="4" max="4" width="13.140625" style="1" customWidth="1"/>
    <col min="5" max="5" width="12.5703125" style="1" customWidth="1"/>
    <col min="6" max="6" width="13" style="1" customWidth="1"/>
    <col min="7" max="7" width="12.42578125" style="1" customWidth="1"/>
    <col min="8" max="8" width="12.85546875" style="1" customWidth="1"/>
    <col min="9" max="9" width="12.28515625" style="1" customWidth="1"/>
    <col min="10" max="11" width="12.42578125" style="1" customWidth="1"/>
    <col min="12" max="14" width="12.5703125" style="1" bestFit="1" customWidth="1"/>
    <col min="15" max="15" width="14.28515625" style="1" customWidth="1"/>
    <col min="16" max="16" width="16.42578125" style="1" customWidth="1"/>
    <col min="17" max="17" width="14.85546875" style="1" customWidth="1"/>
    <col min="18" max="18" width="16.85546875" style="1" customWidth="1"/>
    <col min="19" max="19" width="9.140625" style="1"/>
    <col min="20" max="21" width="12.5703125" style="1" customWidth="1"/>
    <col min="22" max="22" width="11.85546875" style="1" customWidth="1"/>
    <col min="23" max="16384" width="9.140625" style="1"/>
  </cols>
  <sheetData>
    <row r="1" spans="1:22" ht="41.25" customHeight="1" x14ac:dyDescent="0.2">
      <c r="A1" s="257" t="s">
        <v>104</v>
      </c>
      <c r="B1" s="257"/>
      <c r="C1" s="257"/>
      <c r="D1" s="257"/>
      <c r="E1" s="257"/>
      <c r="F1" s="257"/>
      <c r="G1" s="257"/>
      <c r="H1" s="257"/>
      <c r="I1" s="257"/>
      <c r="J1" s="257"/>
      <c r="K1" s="257"/>
      <c r="L1" s="257"/>
      <c r="M1" s="257"/>
      <c r="N1" s="257"/>
    </row>
    <row r="2" spans="1:22" ht="13.5" thickBot="1" x14ac:dyDescent="0.25">
      <c r="A2" s="72"/>
      <c r="B2" s="71"/>
      <c r="C2" s="71"/>
      <c r="D2" s="71"/>
      <c r="E2" s="71"/>
      <c r="F2" s="71"/>
      <c r="G2" s="71"/>
      <c r="H2" s="71"/>
    </row>
    <row r="3" spans="1:22" ht="12.75" customHeight="1" thickBot="1" x14ac:dyDescent="0.25">
      <c r="A3" s="258" t="s">
        <v>24</v>
      </c>
      <c r="B3" s="260" t="s">
        <v>23</v>
      </c>
      <c r="C3" s="262" t="s">
        <v>74</v>
      </c>
      <c r="D3" s="248" t="s">
        <v>35</v>
      </c>
      <c r="E3" s="248"/>
      <c r="F3" s="248"/>
      <c r="G3" s="248"/>
      <c r="H3" s="250" t="s">
        <v>18</v>
      </c>
      <c r="I3" s="225" t="s">
        <v>17</v>
      </c>
      <c r="J3" s="227" t="s">
        <v>97</v>
      </c>
      <c r="K3" s="227" t="s">
        <v>16</v>
      </c>
      <c r="L3" s="229" t="s">
        <v>34</v>
      </c>
      <c r="M3" s="230"/>
      <c r="N3" s="231"/>
      <c r="P3" s="254" t="s">
        <v>94</v>
      </c>
      <c r="Q3" s="255"/>
      <c r="R3" s="256"/>
    </row>
    <row r="4" spans="1:22" ht="54" customHeight="1" x14ac:dyDescent="0.2">
      <c r="A4" s="259"/>
      <c r="B4" s="261"/>
      <c r="C4" s="263"/>
      <c r="D4" s="186"/>
      <c r="E4" s="121" t="s">
        <v>33</v>
      </c>
      <c r="F4" s="121" t="s">
        <v>32</v>
      </c>
      <c r="G4" s="187" t="s">
        <v>31</v>
      </c>
      <c r="H4" s="251"/>
      <c r="I4" s="226"/>
      <c r="J4" s="228"/>
      <c r="K4" s="228"/>
      <c r="L4" s="188" t="s">
        <v>14</v>
      </c>
      <c r="M4" s="189" t="s">
        <v>13</v>
      </c>
      <c r="N4" s="190" t="s">
        <v>12</v>
      </c>
      <c r="P4" s="157" t="s">
        <v>87</v>
      </c>
      <c r="Q4" s="121" t="s">
        <v>92</v>
      </c>
      <c r="R4" s="158" t="s">
        <v>93</v>
      </c>
      <c r="T4" s="204" t="s">
        <v>96</v>
      </c>
    </row>
    <row r="5" spans="1:22" x14ac:dyDescent="0.2">
      <c r="A5" s="40">
        <v>3656</v>
      </c>
      <c r="B5" s="39" t="s">
        <v>73</v>
      </c>
      <c r="C5" s="70">
        <f>SUM(D5:N5)</f>
        <v>12617901.436392117</v>
      </c>
      <c r="D5" s="68">
        <f>D48/$C$86*$C$43</f>
        <v>3929130.666440587</v>
      </c>
      <c r="E5" s="67">
        <f t="shared" ref="E5:N5" si="0">E48/$C$86*$C$43</f>
        <v>2280991.322890976</v>
      </c>
      <c r="F5" s="67">
        <f t="shared" si="0"/>
        <v>0</v>
      </c>
      <c r="G5" s="66">
        <f t="shared" si="0"/>
        <v>0</v>
      </c>
      <c r="H5" s="68">
        <f t="shared" si="0"/>
        <v>0</v>
      </c>
      <c r="I5" s="66">
        <f t="shared" si="0"/>
        <v>0</v>
      </c>
      <c r="J5" s="69">
        <f t="shared" ref="J5" si="1">J48/$C$86*$C$43</f>
        <v>171583.00120353675</v>
      </c>
      <c r="K5" s="69">
        <f t="shared" si="0"/>
        <v>4684513.4756332058</v>
      </c>
      <c r="L5" s="68">
        <f t="shared" si="0"/>
        <v>363997.12880204862</v>
      </c>
      <c r="M5" s="67">
        <f t="shared" si="0"/>
        <v>450268.35188056179</v>
      </c>
      <c r="N5" s="66">
        <f t="shared" si="0"/>
        <v>737417.48954120174</v>
      </c>
      <c r="P5" s="74">
        <v>5.3941374102444546E-2</v>
      </c>
      <c r="Q5" s="119">
        <f t="shared" ref="Q5:Q42" si="2">MIN(0,C48/$C$86-P5+$Q$44)*-1*$R$43</f>
        <v>0</v>
      </c>
      <c r="R5" s="159">
        <f t="shared" ref="R5:R42" si="3">C5+Q5</f>
        <v>12617901.436392117</v>
      </c>
      <c r="T5" s="205">
        <f>R5-P5*$R$43</f>
        <v>-58321.477682350203</v>
      </c>
      <c r="U5" s="202"/>
      <c r="V5" s="203"/>
    </row>
    <row r="6" spans="1:22" x14ac:dyDescent="0.2">
      <c r="A6" s="20">
        <v>3658</v>
      </c>
      <c r="B6" s="19" t="s">
        <v>72</v>
      </c>
      <c r="C6" s="55">
        <f t="shared" ref="C6:C42" si="4">SUM(D6:N6)</f>
        <v>24916092.762546316</v>
      </c>
      <c r="D6" s="15">
        <f t="shared" ref="D6:N21" si="5">D49/$C$86*$C$43</f>
        <v>7005044.3707053885</v>
      </c>
      <c r="E6" s="14">
        <f t="shared" si="5"/>
        <v>9756065.3959688097</v>
      </c>
      <c r="F6" s="14">
        <f t="shared" si="5"/>
        <v>0</v>
      </c>
      <c r="G6" s="13">
        <f t="shared" si="5"/>
        <v>0</v>
      </c>
      <c r="H6" s="15">
        <f t="shared" si="5"/>
        <v>0</v>
      </c>
      <c r="I6" s="13">
        <f t="shared" si="5"/>
        <v>0</v>
      </c>
      <c r="J6" s="16">
        <f t="shared" ref="J6" si="6">J49/$C$86*$C$43</f>
        <v>96701.40241239786</v>
      </c>
      <c r="K6" s="16">
        <f t="shared" si="5"/>
        <v>2608604.5033599329</v>
      </c>
      <c r="L6" s="15">
        <f t="shared" si="5"/>
        <v>511058.42917036382</v>
      </c>
      <c r="M6" s="14">
        <f t="shared" si="5"/>
        <v>1057725.4206379566</v>
      </c>
      <c r="N6" s="13">
        <f t="shared" si="5"/>
        <v>3880893.2402914655</v>
      </c>
      <c r="P6" s="74">
        <v>9.7535367886092073E-2</v>
      </c>
      <c r="Q6" s="120">
        <f t="shared" si="2"/>
        <v>0</v>
      </c>
      <c r="R6" s="160">
        <f t="shared" si="3"/>
        <v>24916092.762546316</v>
      </c>
      <c r="T6" s="206">
        <f t="shared" ref="T6:T43" si="7">R6-P6*$R$43</f>
        <v>1995281.3093146794</v>
      </c>
      <c r="U6" s="202"/>
      <c r="V6" s="203"/>
    </row>
    <row r="7" spans="1:22" x14ac:dyDescent="0.2">
      <c r="A7" s="20">
        <v>9741</v>
      </c>
      <c r="B7" s="19" t="s">
        <v>71</v>
      </c>
      <c r="C7" s="55">
        <f t="shared" si="4"/>
        <v>6267226.8792713899</v>
      </c>
      <c r="D7" s="15">
        <f t="shared" si="5"/>
        <v>1873736.4856102681</v>
      </c>
      <c r="E7" s="14">
        <f t="shared" si="5"/>
        <v>1475305.1593101006</v>
      </c>
      <c r="F7" s="14">
        <f t="shared" si="5"/>
        <v>0</v>
      </c>
      <c r="G7" s="13">
        <f t="shared" si="5"/>
        <v>0</v>
      </c>
      <c r="H7" s="15">
        <f t="shared" si="5"/>
        <v>0</v>
      </c>
      <c r="I7" s="13">
        <f t="shared" si="5"/>
        <v>0</v>
      </c>
      <c r="J7" s="16">
        <f t="shared" ref="J7" si="8">J50/$C$86*$C$43</f>
        <v>84799.691346256601</v>
      </c>
      <c r="K7" s="16">
        <f t="shared" si="5"/>
        <v>1983952.594141192</v>
      </c>
      <c r="L7" s="15">
        <f t="shared" si="5"/>
        <v>176505.50714010309</v>
      </c>
      <c r="M7" s="14">
        <f t="shared" si="5"/>
        <v>250679.78933060064</v>
      </c>
      <c r="N7" s="13">
        <f t="shared" si="5"/>
        <v>422247.65239286906</v>
      </c>
      <c r="P7" s="74">
        <v>3.0845130992374833E-2</v>
      </c>
      <c r="Q7" s="120">
        <f t="shared" si="2"/>
        <v>0</v>
      </c>
      <c r="R7" s="160">
        <f t="shared" si="3"/>
        <v>6267226.8792713899</v>
      </c>
      <c r="T7" s="206">
        <f t="shared" si="7"/>
        <v>-981378.90393669624</v>
      </c>
      <c r="U7" s="202"/>
      <c r="V7" s="203"/>
    </row>
    <row r="8" spans="1:22" x14ac:dyDescent="0.2">
      <c r="A8" s="20">
        <v>3661</v>
      </c>
      <c r="B8" s="19" t="s">
        <v>70</v>
      </c>
      <c r="C8" s="55">
        <f t="shared" si="4"/>
        <v>8668214.7401237413</v>
      </c>
      <c r="D8" s="15">
        <f t="shared" si="5"/>
        <v>2393653.3374469657</v>
      </c>
      <c r="E8" s="14">
        <f t="shared" si="5"/>
        <v>1045547.7777968345</v>
      </c>
      <c r="F8" s="14">
        <f t="shared" si="5"/>
        <v>0</v>
      </c>
      <c r="G8" s="13">
        <f t="shared" si="5"/>
        <v>0</v>
      </c>
      <c r="H8" s="15">
        <f t="shared" si="5"/>
        <v>0</v>
      </c>
      <c r="I8" s="13">
        <f t="shared" si="5"/>
        <v>0</v>
      </c>
      <c r="J8" s="16">
        <f t="shared" ref="J8" si="9">J51/$C$86*$C$43</f>
        <v>88845.229099001983</v>
      </c>
      <c r="K8" s="16">
        <f t="shared" si="5"/>
        <v>3704814.7331361035</v>
      </c>
      <c r="L8" s="15">
        <f t="shared" si="5"/>
        <v>232287.9916993131</v>
      </c>
      <c r="M8" s="14">
        <f t="shared" si="5"/>
        <v>394400.78052732639</v>
      </c>
      <c r="N8" s="13">
        <f t="shared" si="5"/>
        <v>808664.89041819703</v>
      </c>
      <c r="P8" s="74">
        <v>3.8067899960727944E-2</v>
      </c>
      <c r="Q8" s="120">
        <f t="shared" si="2"/>
        <v>0</v>
      </c>
      <c r="R8" s="160">
        <f t="shared" si="3"/>
        <v>8668214.7401237413</v>
      </c>
      <c r="T8" s="206">
        <f t="shared" si="7"/>
        <v>-277741.75064732507</v>
      </c>
      <c r="U8" s="202"/>
      <c r="V8" s="203"/>
    </row>
    <row r="9" spans="1:22" x14ac:dyDescent="0.2">
      <c r="A9" s="20">
        <v>3599</v>
      </c>
      <c r="B9" s="19" t="s">
        <v>69</v>
      </c>
      <c r="C9" s="55">
        <f t="shared" si="4"/>
        <v>7963895.4914535815</v>
      </c>
      <c r="D9" s="15">
        <f t="shared" si="5"/>
        <v>2020158.8520160851</v>
      </c>
      <c r="E9" s="14">
        <f t="shared" si="5"/>
        <v>975171.08104520477</v>
      </c>
      <c r="F9" s="14">
        <f t="shared" si="5"/>
        <v>0</v>
      </c>
      <c r="G9" s="13">
        <f t="shared" si="5"/>
        <v>0</v>
      </c>
      <c r="H9" s="15">
        <f t="shared" si="5"/>
        <v>0</v>
      </c>
      <c r="I9" s="13">
        <f t="shared" si="5"/>
        <v>0</v>
      </c>
      <c r="J9" s="16">
        <f t="shared" ref="J9" si="10">J52/$C$86*$C$43</f>
        <v>70783.86055126127</v>
      </c>
      <c r="K9" s="16">
        <f t="shared" si="5"/>
        <v>3515389.6054307809</v>
      </c>
      <c r="L9" s="15">
        <f t="shared" si="5"/>
        <v>216989.07293060838</v>
      </c>
      <c r="M9" s="14">
        <f t="shared" si="5"/>
        <v>363628.59336289531</v>
      </c>
      <c r="N9" s="13">
        <f t="shared" si="5"/>
        <v>801774.42611674673</v>
      </c>
      <c r="P9" s="74">
        <v>3.6041180893975448E-2</v>
      </c>
      <c r="Q9" s="120">
        <f t="shared" si="2"/>
        <v>0</v>
      </c>
      <c r="R9" s="160">
        <f t="shared" si="3"/>
        <v>7963895.4914535815</v>
      </c>
      <c r="T9" s="206">
        <f t="shared" si="7"/>
        <v>-505782.01863064896</v>
      </c>
      <c r="U9" s="202"/>
      <c r="V9" s="203"/>
    </row>
    <row r="10" spans="1:22" x14ac:dyDescent="0.2">
      <c r="A10" s="20">
        <v>30646</v>
      </c>
      <c r="B10" s="19" t="s">
        <v>68</v>
      </c>
      <c r="C10" s="55">
        <f t="shared" si="4"/>
        <v>3391462.5969113978</v>
      </c>
      <c r="D10" s="15">
        <f t="shared" si="5"/>
        <v>855043.97922541271</v>
      </c>
      <c r="E10" s="14">
        <f t="shared" si="5"/>
        <v>550885.91479930154</v>
      </c>
      <c r="F10" s="14">
        <f t="shared" si="5"/>
        <v>0</v>
      </c>
      <c r="G10" s="13">
        <f t="shared" si="5"/>
        <v>0</v>
      </c>
      <c r="H10" s="15">
        <f t="shared" si="5"/>
        <v>0</v>
      </c>
      <c r="I10" s="13">
        <f t="shared" si="5"/>
        <v>0</v>
      </c>
      <c r="J10" s="16">
        <f t="shared" ref="J10" si="11">J53/$C$86*$C$43</f>
        <v>420944.72823404934</v>
      </c>
      <c r="K10" s="16">
        <f t="shared" si="5"/>
        <v>1408160.3408781888</v>
      </c>
      <c r="L10" s="15">
        <f t="shared" si="5"/>
        <v>105929.92653249924</v>
      </c>
      <c r="M10" s="14">
        <f t="shared" si="5"/>
        <v>43561.306511819712</v>
      </c>
      <c r="N10" s="13">
        <f t="shared" si="5"/>
        <v>6936.4007301265483</v>
      </c>
      <c r="P10" s="74">
        <v>1.3127311227878089E-2</v>
      </c>
      <c r="Q10" s="120">
        <f t="shared" si="2"/>
        <v>0</v>
      </c>
      <c r="R10" s="160">
        <f t="shared" si="3"/>
        <v>3391462.5969113978</v>
      </c>
      <c r="T10" s="206">
        <f t="shared" si="7"/>
        <v>306544.45836004708</v>
      </c>
      <c r="U10" s="202"/>
      <c r="V10" s="203"/>
    </row>
    <row r="11" spans="1:22" x14ac:dyDescent="0.2">
      <c r="A11" s="20">
        <v>9930</v>
      </c>
      <c r="B11" s="19" t="s">
        <v>67</v>
      </c>
      <c r="C11" s="55">
        <f t="shared" si="4"/>
        <v>1456421.2572465204</v>
      </c>
      <c r="D11" s="15">
        <f t="shared" si="5"/>
        <v>417603.89705758868</v>
      </c>
      <c r="E11" s="14">
        <f t="shared" si="5"/>
        <v>207666.0659287977</v>
      </c>
      <c r="F11" s="14">
        <f t="shared" si="5"/>
        <v>0</v>
      </c>
      <c r="G11" s="13">
        <f t="shared" si="5"/>
        <v>0</v>
      </c>
      <c r="H11" s="15">
        <f t="shared" si="5"/>
        <v>0</v>
      </c>
      <c r="I11" s="13">
        <f t="shared" si="5"/>
        <v>0</v>
      </c>
      <c r="J11" s="16">
        <f t="shared" ref="J11" si="12">J54/$C$86*$C$43</f>
        <v>116668.08874046382</v>
      </c>
      <c r="K11" s="16">
        <f t="shared" si="5"/>
        <v>599846.23773352022</v>
      </c>
      <c r="L11" s="15">
        <f t="shared" si="5"/>
        <v>62748.639567001941</v>
      </c>
      <c r="M11" s="14">
        <f t="shared" si="5"/>
        <v>38497.859259996461</v>
      </c>
      <c r="N11" s="13">
        <f t="shared" si="5"/>
        <v>13390.468959151583</v>
      </c>
      <c r="P11" s="74">
        <v>6.658597974462911E-3</v>
      </c>
      <c r="Q11" s="120">
        <f t="shared" si="2"/>
        <v>0</v>
      </c>
      <c r="R11" s="160">
        <f t="shared" si="3"/>
        <v>1456421.2572465204</v>
      </c>
      <c r="T11" s="206">
        <f t="shared" si="7"/>
        <v>-108349.26675226376</v>
      </c>
      <c r="U11" s="202"/>
      <c r="V11" s="203"/>
    </row>
    <row r="12" spans="1:22" x14ac:dyDescent="0.2">
      <c r="A12" s="20">
        <v>10115</v>
      </c>
      <c r="B12" s="19" t="s">
        <v>66</v>
      </c>
      <c r="C12" s="55">
        <f t="shared" si="4"/>
        <v>11522931.73379248</v>
      </c>
      <c r="D12" s="15">
        <f t="shared" si="5"/>
        <v>3225729.1023342116</v>
      </c>
      <c r="E12" s="14">
        <f t="shared" si="5"/>
        <v>1523404.3307290371</v>
      </c>
      <c r="F12" s="14">
        <f t="shared" si="5"/>
        <v>0</v>
      </c>
      <c r="G12" s="13">
        <f t="shared" si="5"/>
        <v>0</v>
      </c>
      <c r="H12" s="15">
        <f t="shared" si="5"/>
        <v>0</v>
      </c>
      <c r="I12" s="13">
        <f t="shared" si="5"/>
        <v>0</v>
      </c>
      <c r="J12" s="16">
        <f t="shared" ref="J12" si="13">J55/$C$86*$C$43</f>
        <v>110116.9276053729</v>
      </c>
      <c r="K12" s="16">
        <f t="shared" si="5"/>
        <v>4696039.3431919953</v>
      </c>
      <c r="L12" s="15">
        <f t="shared" si="5"/>
        <v>362577.27555205283</v>
      </c>
      <c r="M12" s="14">
        <f t="shared" si="5"/>
        <v>523675.28691021621</v>
      </c>
      <c r="N12" s="13">
        <f t="shared" si="5"/>
        <v>1081389.4674695963</v>
      </c>
      <c r="P12" s="74">
        <v>5.1993931386758195E-2</v>
      </c>
      <c r="Q12" s="120">
        <f t="shared" si="2"/>
        <v>0</v>
      </c>
      <c r="R12" s="160">
        <f t="shared" si="3"/>
        <v>11522931.73379248</v>
      </c>
      <c r="T12" s="206">
        <f t="shared" si="7"/>
        <v>-695642.14209569618</v>
      </c>
      <c r="U12" s="202"/>
      <c r="V12" s="203"/>
    </row>
    <row r="13" spans="1:22" x14ac:dyDescent="0.2">
      <c r="A13" s="20">
        <v>11163</v>
      </c>
      <c r="B13" s="19" t="s">
        <v>65</v>
      </c>
      <c r="C13" s="55">
        <f t="shared" si="4"/>
        <v>3396648.0089404518</v>
      </c>
      <c r="D13" s="15">
        <f t="shared" si="5"/>
        <v>931778.69530974457</v>
      </c>
      <c r="E13" s="14">
        <f t="shared" si="5"/>
        <v>538145.67954715877</v>
      </c>
      <c r="F13" s="14">
        <f t="shared" si="5"/>
        <v>0</v>
      </c>
      <c r="G13" s="13">
        <f t="shared" si="5"/>
        <v>0</v>
      </c>
      <c r="H13" s="15">
        <f t="shared" si="5"/>
        <v>0</v>
      </c>
      <c r="I13" s="13">
        <f t="shared" si="5"/>
        <v>0</v>
      </c>
      <c r="J13" s="16">
        <f t="shared" ref="J13" si="14">J56/$C$86*$C$43</f>
        <v>298952.18980610126</v>
      </c>
      <c r="K13" s="16">
        <f t="shared" si="5"/>
        <v>1416679.4603781635</v>
      </c>
      <c r="L13" s="15">
        <f t="shared" si="5"/>
        <v>114715.26851684824</v>
      </c>
      <c r="M13" s="14">
        <f t="shared" si="5"/>
        <v>69687.650321485096</v>
      </c>
      <c r="N13" s="13">
        <f t="shared" si="5"/>
        <v>26689.065060950488</v>
      </c>
      <c r="P13" s="74">
        <v>1.2069401585431769E-2</v>
      </c>
      <c r="Q13" s="120">
        <f t="shared" si="2"/>
        <v>0</v>
      </c>
      <c r="R13" s="160">
        <f t="shared" si="3"/>
        <v>3396648.0089404518</v>
      </c>
      <c r="T13" s="206">
        <f t="shared" si="7"/>
        <v>560338.63636398595</v>
      </c>
      <c r="U13" s="202"/>
      <c r="V13" s="203"/>
    </row>
    <row r="14" spans="1:22" x14ac:dyDescent="0.2">
      <c r="A14" s="20">
        <v>3632</v>
      </c>
      <c r="B14" s="19" t="s">
        <v>64</v>
      </c>
      <c r="C14" s="55">
        <f t="shared" si="4"/>
        <v>24876660.514566645</v>
      </c>
      <c r="D14" s="15">
        <f t="shared" si="5"/>
        <v>6843222.8605955718</v>
      </c>
      <c r="E14" s="14">
        <f t="shared" si="5"/>
        <v>9664820.5104763377</v>
      </c>
      <c r="F14" s="14">
        <f t="shared" si="5"/>
        <v>0</v>
      </c>
      <c r="G14" s="13">
        <f t="shared" si="5"/>
        <v>0</v>
      </c>
      <c r="H14" s="15">
        <f t="shared" si="5"/>
        <v>0</v>
      </c>
      <c r="I14" s="13">
        <f t="shared" si="5"/>
        <v>0</v>
      </c>
      <c r="J14" s="16">
        <f t="shared" ref="J14" si="15">J57/$C$86*$C$43</f>
        <v>185233.42858860665</v>
      </c>
      <c r="K14" s="16">
        <f t="shared" si="5"/>
        <v>2799282.4427564284</v>
      </c>
      <c r="L14" s="15">
        <f t="shared" si="5"/>
        <v>535675.13489216601</v>
      </c>
      <c r="M14" s="14">
        <f t="shared" si="5"/>
        <v>1046176.0628599579</v>
      </c>
      <c r="N14" s="13">
        <f t="shared" si="5"/>
        <v>3802250.0743975802</v>
      </c>
      <c r="P14" s="74">
        <v>0.10514316433214833</v>
      </c>
      <c r="Q14" s="120">
        <f t="shared" si="2"/>
        <v>0</v>
      </c>
      <c r="R14" s="160">
        <f t="shared" si="3"/>
        <v>24876660.514566645</v>
      </c>
      <c r="T14" s="206">
        <f t="shared" si="7"/>
        <v>168016.89651178569</v>
      </c>
      <c r="U14" s="202"/>
      <c r="V14" s="203"/>
    </row>
    <row r="15" spans="1:22" x14ac:dyDescent="0.2">
      <c r="A15" s="20">
        <v>10298</v>
      </c>
      <c r="B15" s="19" t="s">
        <v>63</v>
      </c>
      <c r="C15" s="55">
        <f t="shared" si="4"/>
        <v>1088551.0924215035</v>
      </c>
      <c r="D15" s="15">
        <f t="shared" si="5"/>
        <v>323382.01778397022</v>
      </c>
      <c r="E15" s="14">
        <f t="shared" si="5"/>
        <v>227212.51745525459</v>
      </c>
      <c r="F15" s="14">
        <f t="shared" si="5"/>
        <v>0</v>
      </c>
      <c r="G15" s="13">
        <f t="shared" si="5"/>
        <v>0</v>
      </c>
      <c r="H15" s="15">
        <f t="shared" si="5"/>
        <v>0</v>
      </c>
      <c r="I15" s="13">
        <f t="shared" si="5"/>
        <v>0</v>
      </c>
      <c r="J15" s="16">
        <f t="shared" ref="J15" si="16">J58/$C$86*$C$43</f>
        <v>47920.047187358294</v>
      </c>
      <c r="K15" s="16">
        <f t="shared" si="5"/>
        <v>356299.64496953459</v>
      </c>
      <c r="L15" s="15">
        <f t="shared" si="5"/>
        <v>70961.603209946406</v>
      </c>
      <c r="M15" s="14">
        <f t="shared" si="5"/>
        <v>37349.448543088081</v>
      </c>
      <c r="N15" s="13">
        <f t="shared" si="5"/>
        <v>25425.813272351286</v>
      </c>
      <c r="P15" s="74">
        <v>7.0859752523080169E-3</v>
      </c>
      <c r="Q15" s="120">
        <f t="shared" si="2"/>
        <v>0</v>
      </c>
      <c r="R15" s="160">
        <f t="shared" si="3"/>
        <v>1088551.0924215035</v>
      </c>
      <c r="T15" s="206">
        <f t="shared" si="7"/>
        <v>-576653.09187088045</v>
      </c>
      <c r="U15" s="202"/>
      <c r="V15" s="203"/>
    </row>
    <row r="16" spans="1:22" x14ac:dyDescent="0.2">
      <c r="A16" s="20">
        <v>3630</v>
      </c>
      <c r="B16" s="19" t="s">
        <v>62</v>
      </c>
      <c r="C16" s="55">
        <f t="shared" si="4"/>
        <v>2859627.0062887194</v>
      </c>
      <c r="D16" s="15">
        <f t="shared" si="5"/>
        <v>733155.84177172906</v>
      </c>
      <c r="E16" s="14">
        <f t="shared" si="5"/>
        <v>305188.33840151172</v>
      </c>
      <c r="F16" s="14">
        <f t="shared" si="5"/>
        <v>0</v>
      </c>
      <c r="G16" s="13">
        <f t="shared" si="5"/>
        <v>0</v>
      </c>
      <c r="H16" s="15">
        <f t="shared" si="5"/>
        <v>0</v>
      </c>
      <c r="I16" s="13">
        <f t="shared" si="5"/>
        <v>0</v>
      </c>
      <c r="J16" s="16">
        <f t="shared" ref="J16" si="17">J59/$C$86*$C$43</f>
        <v>12763.019103822553</v>
      </c>
      <c r="K16" s="16">
        <f t="shared" si="5"/>
        <v>1206708.220937608</v>
      </c>
      <c r="L16" s="15">
        <f t="shared" si="5"/>
        <v>88811.820787237375</v>
      </c>
      <c r="M16" s="14">
        <f t="shared" si="5"/>
        <v>138709.74443203467</v>
      </c>
      <c r="N16" s="13">
        <f t="shared" si="5"/>
        <v>374290.02085477556</v>
      </c>
      <c r="P16" s="74">
        <v>1.5279410782616385E-2</v>
      </c>
      <c r="Q16" s="120">
        <f t="shared" si="2"/>
        <v>0</v>
      </c>
      <c r="R16" s="160">
        <f t="shared" si="3"/>
        <v>2859627.0062887194</v>
      </c>
      <c r="T16" s="206">
        <f t="shared" si="7"/>
        <v>-731034.5276261312</v>
      </c>
      <c r="U16" s="202"/>
      <c r="V16" s="203"/>
    </row>
    <row r="17" spans="1:22" x14ac:dyDescent="0.2">
      <c r="A17" s="20">
        <v>3631</v>
      </c>
      <c r="B17" s="19" t="s">
        <v>61</v>
      </c>
      <c r="C17" s="55">
        <f t="shared" si="4"/>
        <v>4330572.4992346419</v>
      </c>
      <c r="D17" s="15">
        <f t="shared" si="5"/>
        <v>1210007.2917243629</v>
      </c>
      <c r="E17" s="14">
        <f t="shared" si="5"/>
        <v>647789.50369755516</v>
      </c>
      <c r="F17" s="14">
        <f t="shared" si="5"/>
        <v>0</v>
      </c>
      <c r="G17" s="13">
        <f t="shared" si="5"/>
        <v>0</v>
      </c>
      <c r="H17" s="15">
        <f t="shared" si="5"/>
        <v>0</v>
      </c>
      <c r="I17" s="13">
        <f t="shared" si="5"/>
        <v>0</v>
      </c>
      <c r="J17" s="16">
        <f t="shared" ref="J17" si="18">J60/$C$86*$C$43</f>
        <v>48833.555712171765</v>
      </c>
      <c r="K17" s="16">
        <f t="shared" si="5"/>
        <v>1796531.9651417464</v>
      </c>
      <c r="L17" s="15">
        <f t="shared" si="5"/>
        <v>114706.3944340358</v>
      </c>
      <c r="M17" s="14">
        <f t="shared" si="5"/>
        <v>156053.35628170765</v>
      </c>
      <c r="N17" s="13">
        <f t="shared" si="5"/>
        <v>356650.432243063</v>
      </c>
      <c r="P17" s="74">
        <v>1.9985241623354359E-2</v>
      </c>
      <c r="Q17" s="120">
        <f t="shared" si="2"/>
        <v>0</v>
      </c>
      <c r="R17" s="160">
        <f t="shared" si="3"/>
        <v>4330572.4992346419</v>
      </c>
      <c r="T17" s="206">
        <f t="shared" si="7"/>
        <v>-365959.28225363232</v>
      </c>
      <c r="U17" s="202"/>
      <c r="V17" s="203"/>
    </row>
    <row r="18" spans="1:22" x14ac:dyDescent="0.2">
      <c r="A18" s="65">
        <v>103631</v>
      </c>
      <c r="B18" s="19" t="s">
        <v>60</v>
      </c>
      <c r="C18" s="55">
        <f t="shared" si="4"/>
        <v>1203011.9462041669</v>
      </c>
      <c r="D18" s="15">
        <f t="shared" si="5"/>
        <v>360444.36364783114</v>
      </c>
      <c r="E18" s="14">
        <f t="shared" si="5"/>
        <v>192967.49452250291</v>
      </c>
      <c r="F18" s="14">
        <f t="shared" si="5"/>
        <v>0</v>
      </c>
      <c r="G18" s="13">
        <f t="shared" si="5"/>
        <v>0</v>
      </c>
      <c r="H18" s="15">
        <f t="shared" si="5"/>
        <v>0</v>
      </c>
      <c r="I18" s="13">
        <f t="shared" si="5"/>
        <v>0</v>
      </c>
      <c r="J18" s="16">
        <f t="shared" ref="J18" si="19">J61/$C$86*$C$43</f>
        <v>105705.98644270212</v>
      </c>
      <c r="K18" s="16">
        <f t="shared" si="5"/>
        <v>491603.30761619331</v>
      </c>
      <c r="L18" s="15">
        <f t="shared" si="5"/>
        <v>39534.03892957059</v>
      </c>
      <c r="M18" s="14">
        <f t="shared" si="5"/>
        <v>10413.997182873616</v>
      </c>
      <c r="N18" s="13">
        <f t="shared" si="5"/>
        <v>2342.7578624930729</v>
      </c>
      <c r="P18" s="74">
        <v>3.4527219750504121E-3</v>
      </c>
      <c r="Q18" s="120">
        <f t="shared" si="2"/>
        <v>0</v>
      </c>
      <c r="R18" s="160">
        <f t="shared" si="3"/>
        <v>1203011.9462041669</v>
      </c>
      <c r="T18" s="206">
        <f t="shared" si="7"/>
        <v>391622.28206731996</v>
      </c>
      <c r="U18" s="202"/>
      <c r="V18" s="203"/>
    </row>
    <row r="19" spans="1:22" x14ac:dyDescent="0.2">
      <c r="A19" s="20">
        <v>11161</v>
      </c>
      <c r="B19" s="19" t="s">
        <v>59</v>
      </c>
      <c r="C19" s="55">
        <f t="shared" si="4"/>
        <v>4012002.6981980256</v>
      </c>
      <c r="D19" s="15">
        <f t="shared" si="5"/>
        <v>1087075.1445280353</v>
      </c>
      <c r="E19" s="14">
        <f t="shared" si="5"/>
        <v>618502.274230671</v>
      </c>
      <c r="F19" s="14">
        <f t="shared" si="5"/>
        <v>0</v>
      </c>
      <c r="G19" s="13">
        <f t="shared" si="5"/>
        <v>0</v>
      </c>
      <c r="H19" s="15">
        <f t="shared" si="5"/>
        <v>0</v>
      </c>
      <c r="I19" s="13">
        <f t="shared" si="5"/>
        <v>0</v>
      </c>
      <c r="J19" s="16">
        <f t="shared" ref="J19" si="20">J62/$C$86*$C$43</f>
        <v>37871.453414410076</v>
      </c>
      <c r="K19" s="16">
        <f t="shared" si="5"/>
        <v>1623643.9517599046</v>
      </c>
      <c r="L19" s="15">
        <f t="shared" si="5"/>
        <v>109364.1965809266</v>
      </c>
      <c r="M19" s="14">
        <f t="shared" si="5"/>
        <v>172418.20899765191</v>
      </c>
      <c r="N19" s="13">
        <f t="shared" si="5"/>
        <v>363127.46868642617</v>
      </c>
      <c r="P19" s="74">
        <v>1.9224284187157891E-2</v>
      </c>
      <c r="Q19" s="120">
        <f t="shared" si="2"/>
        <v>0</v>
      </c>
      <c r="R19" s="160">
        <f t="shared" si="3"/>
        <v>4012002.6981980256</v>
      </c>
      <c r="T19" s="206">
        <f t="shared" si="7"/>
        <v>-505704.08578407904</v>
      </c>
      <c r="U19" s="202"/>
      <c r="V19" s="203"/>
    </row>
    <row r="20" spans="1:22" x14ac:dyDescent="0.2">
      <c r="A20" s="20">
        <v>3639</v>
      </c>
      <c r="B20" s="19" t="s">
        <v>58</v>
      </c>
      <c r="C20" s="55">
        <f t="shared" si="4"/>
        <v>2257098.2899224493</v>
      </c>
      <c r="D20" s="15">
        <f t="shared" si="5"/>
        <v>596390.56548536872</v>
      </c>
      <c r="E20" s="14">
        <f t="shared" si="5"/>
        <v>268741.54068191367</v>
      </c>
      <c r="F20" s="14">
        <f t="shared" si="5"/>
        <v>0</v>
      </c>
      <c r="G20" s="13">
        <f t="shared" si="5"/>
        <v>0</v>
      </c>
      <c r="H20" s="15">
        <f t="shared" si="5"/>
        <v>0</v>
      </c>
      <c r="I20" s="13">
        <f t="shared" si="5"/>
        <v>0</v>
      </c>
      <c r="J20" s="16">
        <f t="shared" ref="J20" si="21">J63/$C$86*$C$43</f>
        <v>19992.786571632059</v>
      </c>
      <c r="K20" s="16">
        <f t="shared" si="5"/>
        <v>974687.49573241186</v>
      </c>
      <c r="L20" s="15">
        <f t="shared" si="5"/>
        <v>65348.74583105676</v>
      </c>
      <c r="M20" s="14">
        <f t="shared" si="5"/>
        <v>100968.79223545508</v>
      </c>
      <c r="N20" s="13">
        <f t="shared" si="5"/>
        <v>230968.36338461109</v>
      </c>
      <c r="P20" s="74">
        <v>1.296528221607569E-2</v>
      </c>
      <c r="Q20" s="120">
        <f t="shared" si="2"/>
        <v>0</v>
      </c>
      <c r="R20" s="160">
        <f t="shared" si="3"/>
        <v>2257098.2899224493</v>
      </c>
      <c r="T20" s="206">
        <f t="shared" si="7"/>
        <v>-789743.03085533809</v>
      </c>
      <c r="U20" s="202"/>
      <c r="V20" s="203"/>
    </row>
    <row r="21" spans="1:22" x14ac:dyDescent="0.2">
      <c r="A21" s="65">
        <v>103639</v>
      </c>
      <c r="B21" s="19" t="s">
        <v>57</v>
      </c>
      <c r="C21" s="55">
        <f t="shared" si="4"/>
        <v>1628585.590915021</v>
      </c>
      <c r="D21" s="15">
        <f t="shared" si="5"/>
        <v>460147.29407033039</v>
      </c>
      <c r="E21" s="14">
        <f t="shared" si="5"/>
        <v>207348.50600534517</v>
      </c>
      <c r="F21" s="14">
        <f t="shared" si="5"/>
        <v>0</v>
      </c>
      <c r="G21" s="13">
        <f t="shared" si="5"/>
        <v>0</v>
      </c>
      <c r="H21" s="15">
        <f t="shared" si="5"/>
        <v>0</v>
      </c>
      <c r="I21" s="13">
        <f t="shared" si="5"/>
        <v>0</v>
      </c>
      <c r="J21" s="16">
        <f t="shared" ref="J21" si="22">J64/$C$86*$C$43</f>
        <v>159420.28770173443</v>
      </c>
      <c r="K21" s="16">
        <f t="shared" si="5"/>
        <v>737154.39908605535</v>
      </c>
      <c r="L21" s="15">
        <f t="shared" si="5"/>
        <v>58276.101829515159</v>
      </c>
      <c r="M21" s="14">
        <f t="shared" si="5"/>
        <v>6055.2565073350352</v>
      </c>
      <c r="N21" s="13">
        <f t="shared" si="5"/>
        <v>183.74571470533903</v>
      </c>
      <c r="P21" s="74">
        <v>5.939285915308113E-3</v>
      </c>
      <c r="Q21" s="120">
        <f t="shared" si="2"/>
        <v>0</v>
      </c>
      <c r="R21" s="160">
        <f t="shared" si="3"/>
        <v>1628585.590915021</v>
      </c>
      <c r="T21" s="206">
        <f t="shared" si="7"/>
        <v>232853.40081761451</v>
      </c>
      <c r="U21" s="202"/>
      <c r="V21" s="203"/>
    </row>
    <row r="22" spans="1:22" x14ac:dyDescent="0.2">
      <c r="A22" s="20">
        <v>9651</v>
      </c>
      <c r="B22" s="19" t="s">
        <v>56</v>
      </c>
      <c r="C22" s="55">
        <f t="shared" si="4"/>
        <v>2438035.2008161792</v>
      </c>
      <c r="D22" s="15">
        <f t="shared" ref="D22:N37" si="23">D65/$C$86*$C$43</f>
        <v>618314.77008089214</v>
      </c>
      <c r="E22" s="14">
        <f t="shared" si="23"/>
        <v>327789.27011221694</v>
      </c>
      <c r="F22" s="14">
        <f t="shared" si="23"/>
        <v>0</v>
      </c>
      <c r="G22" s="13">
        <f t="shared" si="23"/>
        <v>0</v>
      </c>
      <c r="H22" s="15">
        <f t="shared" si="23"/>
        <v>0</v>
      </c>
      <c r="I22" s="13">
        <f t="shared" si="23"/>
        <v>0</v>
      </c>
      <c r="J22" s="16">
        <f t="shared" ref="J22" si="24">J65/$C$86*$C$43</f>
        <v>30511.184728770077</v>
      </c>
      <c r="K22" s="16">
        <f t="shared" si="23"/>
        <v>1071404.5582909493</v>
      </c>
      <c r="L22" s="15">
        <f t="shared" si="23"/>
        <v>74897.25893727853</v>
      </c>
      <c r="M22" s="14">
        <f t="shared" si="23"/>
        <v>119291.16321885679</v>
      </c>
      <c r="N22" s="13">
        <f t="shared" si="23"/>
        <v>195826.99544721507</v>
      </c>
      <c r="P22" s="74">
        <v>1.0886031395541047E-2</v>
      </c>
      <c r="Q22" s="120">
        <f t="shared" si="2"/>
        <v>0</v>
      </c>
      <c r="R22" s="160">
        <f t="shared" si="3"/>
        <v>2438035.2008161792</v>
      </c>
      <c r="T22" s="206">
        <f t="shared" si="7"/>
        <v>-120182.17713596672</v>
      </c>
      <c r="U22" s="202"/>
      <c r="V22" s="203"/>
    </row>
    <row r="23" spans="1:22" x14ac:dyDescent="0.2">
      <c r="A23" s="20">
        <v>3665</v>
      </c>
      <c r="B23" s="19" t="s">
        <v>55</v>
      </c>
      <c r="C23" s="55">
        <f t="shared" si="4"/>
        <v>3384072.3617451745</v>
      </c>
      <c r="D23" s="15">
        <f t="shared" si="23"/>
        <v>983196.17513496021</v>
      </c>
      <c r="E23" s="14">
        <f t="shared" si="23"/>
        <v>518288.58640181052</v>
      </c>
      <c r="F23" s="14">
        <f t="shared" si="23"/>
        <v>0</v>
      </c>
      <c r="G23" s="13">
        <f t="shared" si="23"/>
        <v>0</v>
      </c>
      <c r="H23" s="15">
        <f t="shared" si="23"/>
        <v>0</v>
      </c>
      <c r="I23" s="13">
        <f t="shared" si="23"/>
        <v>0</v>
      </c>
      <c r="J23" s="16">
        <f t="shared" ref="J23" si="25">J66/$C$86*$C$43</f>
        <v>34347.920532986675</v>
      </c>
      <c r="K23" s="16">
        <f t="shared" si="23"/>
        <v>1337000.6368195759</v>
      </c>
      <c r="L23" s="15">
        <f t="shared" si="23"/>
        <v>95396.390234092905</v>
      </c>
      <c r="M23" s="14">
        <f t="shared" si="23"/>
        <v>142429.02914020384</v>
      </c>
      <c r="N23" s="13">
        <f t="shared" si="23"/>
        <v>273413.62348154449</v>
      </c>
      <c r="P23" s="74">
        <v>1.5183466872892367E-2</v>
      </c>
      <c r="Q23" s="120">
        <f t="shared" si="2"/>
        <v>0</v>
      </c>
      <c r="R23" s="160">
        <f t="shared" si="3"/>
        <v>3384072.3617451745</v>
      </c>
      <c r="T23" s="206">
        <f t="shared" si="7"/>
        <v>-184042.35338453203</v>
      </c>
      <c r="U23" s="202"/>
      <c r="V23" s="203"/>
    </row>
    <row r="24" spans="1:22" x14ac:dyDescent="0.2">
      <c r="A24" s="20">
        <v>3565</v>
      </c>
      <c r="B24" s="19" t="s">
        <v>54</v>
      </c>
      <c r="C24" s="55">
        <f t="shared" si="4"/>
        <v>3560757.6752032205</v>
      </c>
      <c r="D24" s="15">
        <f t="shared" si="23"/>
        <v>1036962.6768811247</v>
      </c>
      <c r="E24" s="14">
        <f t="shared" si="23"/>
        <v>511015.20716701826</v>
      </c>
      <c r="F24" s="14">
        <f t="shared" si="23"/>
        <v>0</v>
      </c>
      <c r="G24" s="13">
        <f t="shared" si="23"/>
        <v>0</v>
      </c>
      <c r="H24" s="15">
        <f t="shared" si="23"/>
        <v>0</v>
      </c>
      <c r="I24" s="13">
        <f t="shared" si="23"/>
        <v>0</v>
      </c>
      <c r="J24" s="16">
        <f t="shared" ref="J24" si="26">J67/$C$86*$C$43</f>
        <v>58960.450215818295</v>
      </c>
      <c r="K24" s="16">
        <f t="shared" si="23"/>
        <v>1532439.2606425274</v>
      </c>
      <c r="L24" s="15">
        <f t="shared" si="23"/>
        <v>100791.83258407695</v>
      </c>
      <c r="M24" s="14">
        <f t="shared" si="23"/>
        <v>133581.04657129614</v>
      </c>
      <c r="N24" s="13">
        <f t="shared" si="23"/>
        <v>187007.20114135876</v>
      </c>
      <c r="P24" s="74">
        <v>1.411122580581306E-2</v>
      </c>
      <c r="Q24" s="120">
        <f t="shared" si="2"/>
        <v>0</v>
      </c>
      <c r="R24" s="160">
        <f t="shared" si="3"/>
        <v>3560757.6752032205</v>
      </c>
      <c r="T24" s="206">
        <f t="shared" si="7"/>
        <v>244619.6108371513</v>
      </c>
      <c r="U24" s="202"/>
      <c r="V24" s="203"/>
    </row>
    <row r="25" spans="1:22" x14ac:dyDescent="0.2">
      <c r="A25" s="20">
        <v>29269</v>
      </c>
      <c r="B25" s="19" t="s">
        <v>53</v>
      </c>
      <c r="C25" s="55">
        <f t="shared" si="4"/>
        <v>945466.31088492752</v>
      </c>
      <c r="D25" s="15">
        <f t="shared" si="23"/>
        <v>270659.52578044962</v>
      </c>
      <c r="E25" s="14">
        <f t="shared" si="23"/>
        <v>164308.98916591384</v>
      </c>
      <c r="F25" s="14">
        <f t="shared" si="23"/>
        <v>0</v>
      </c>
      <c r="G25" s="13">
        <f t="shared" si="23"/>
        <v>0</v>
      </c>
      <c r="H25" s="15">
        <f t="shared" si="23"/>
        <v>0</v>
      </c>
      <c r="I25" s="13">
        <f t="shared" si="23"/>
        <v>0</v>
      </c>
      <c r="J25" s="16">
        <f t="shared" ref="J25" si="27">J68/$C$86*$C$43</f>
        <v>102417.35575337362</v>
      </c>
      <c r="K25" s="16">
        <f t="shared" si="23"/>
        <v>359306.39302834927</v>
      </c>
      <c r="L25" s="15">
        <f t="shared" si="23"/>
        <v>34555.678471772815</v>
      </c>
      <c r="M25" s="14">
        <f t="shared" si="23"/>
        <v>14172.432256391914</v>
      </c>
      <c r="N25" s="13">
        <f t="shared" si="23"/>
        <v>45.936428676334756</v>
      </c>
      <c r="P25" s="74">
        <v>2.885126155730112E-3</v>
      </c>
      <c r="Q25" s="120">
        <f t="shared" si="2"/>
        <v>0</v>
      </c>
      <c r="R25" s="160">
        <f t="shared" si="3"/>
        <v>945466.31088492752</v>
      </c>
      <c r="T25" s="206">
        <f t="shared" si="7"/>
        <v>267461.6642883512</v>
      </c>
      <c r="U25" s="202"/>
      <c r="V25" s="203"/>
    </row>
    <row r="26" spans="1:22" x14ac:dyDescent="0.2">
      <c r="A26" s="20">
        <v>3652</v>
      </c>
      <c r="B26" s="19" t="s">
        <v>52</v>
      </c>
      <c r="C26" s="55">
        <f t="shared" si="4"/>
        <v>14041363.939429279</v>
      </c>
      <c r="D26" s="15">
        <f t="shared" si="23"/>
        <v>3992293.2558705476</v>
      </c>
      <c r="E26" s="14">
        <f t="shared" si="23"/>
        <v>2398143.9435130651</v>
      </c>
      <c r="F26" s="14">
        <f t="shared" si="23"/>
        <v>0</v>
      </c>
      <c r="G26" s="13">
        <f t="shared" si="23"/>
        <v>0</v>
      </c>
      <c r="H26" s="15">
        <f t="shared" si="23"/>
        <v>0</v>
      </c>
      <c r="I26" s="13">
        <f t="shared" si="23"/>
        <v>0</v>
      </c>
      <c r="J26" s="16">
        <f t="shared" ref="J26" si="28">J69/$C$86*$C$43</f>
        <v>139584.10259149902</v>
      </c>
      <c r="K26" s="16">
        <f t="shared" si="23"/>
        <v>5070880.6011908865</v>
      </c>
      <c r="L26" s="15">
        <f t="shared" si="23"/>
        <v>404782.41340817796</v>
      </c>
      <c r="M26" s="14">
        <f t="shared" si="23"/>
        <v>668335.88687532127</v>
      </c>
      <c r="N26" s="13">
        <f t="shared" si="23"/>
        <v>1367343.7359797803</v>
      </c>
      <c r="P26" s="74">
        <v>6.680079885949769E-2</v>
      </c>
      <c r="Q26" s="120">
        <f t="shared" si="2"/>
        <v>445801.30864042148</v>
      </c>
      <c r="R26" s="160">
        <f t="shared" si="3"/>
        <v>14487165.248069702</v>
      </c>
      <c r="T26" s="206">
        <f t="shared" si="7"/>
        <v>-1211022.4839122556</v>
      </c>
      <c r="U26" s="202"/>
      <c r="V26" s="203"/>
    </row>
    <row r="27" spans="1:22" x14ac:dyDescent="0.2">
      <c r="A27" s="20">
        <v>11711</v>
      </c>
      <c r="B27" s="19" t="s">
        <v>51</v>
      </c>
      <c r="C27" s="55">
        <f t="shared" si="4"/>
        <v>3208254.3113510394</v>
      </c>
      <c r="D27" s="15">
        <f t="shared" si="23"/>
        <v>932300.70018106664</v>
      </c>
      <c r="E27" s="14">
        <f t="shared" si="23"/>
        <v>543143.82468024455</v>
      </c>
      <c r="F27" s="14">
        <f t="shared" si="23"/>
        <v>0</v>
      </c>
      <c r="G27" s="13">
        <f t="shared" si="23"/>
        <v>0</v>
      </c>
      <c r="H27" s="15">
        <f t="shared" si="23"/>
        <v>0</v>
      </c>
      <c r="I27" s="13">
        <f t="shared" si="23"/>
        <v>0</v>
      </c>
      <c r="J27" s="16">
        <f t="shared" ref="J27" si="29">J70/$C$86*$C$43</f>
        <v>378975.5365797616</v>
      </c>
      <c r="K27" s="16">
        <f t="shared" si="23"/>
        <v>1164112.6234377341</v>
      </c>
      <c r="L27" s="15">
        <f t="shared" si="23"/>
        <v>111121.2649777964</v>
      </c>
      <c r="M27" s="14">
        <f t="shared" si="23"/>
        <v>74672.796842610071</v>
      </c>
      <c r="N27" s="13">
        <f t="shared" si="23"/>
        <v>3927.5646518266217</v>
      </c>
      <c r="P27" s="74">
        <v>1.0972897764284933E-2</v>
      </c>
      <c r="Q27" s="120">
        <f t="shared" si="2"/>
        <v>0</v>
      </c>
      <c r="R27" s="160">
        <f t="shared" si="3"/>
        <v>3208254.3113510394</v>
      </c>
      <c r="T27" s="206">
        <f t="shared" si="7"/>
        <v>629623.3367440803</v>
      </c>
      <c r="U27" s="202"/>
      <c r="V27" s="203"/>
    </row>
    <row r="28" spans="1:22" x14ac:dyDescent="0.2">
      <c r="A28" s="20">
        <v>12826</v>
      </c>
      <c r="B28" s="19" t="s">
        <v>50</v>
      </c>
      <c r="C28" s="55">
        <f t="shared" si="4"/>
        <v>5718460.4259717297</v>
      </c>
      <c r="D28" s="15">
        <f t="shared" si="23"/>
        <v>1865384.4076691165</v>
      </c>
      <c r="E28" s="14">
        <f t="shared" si="23"/>
        <v>396953.80195198808</v>
      </c>
      <c r="F28" s="14">
        <f t="shared" si="23"/>
        <v>0</v>
      </c>
      <c r="G28" s="13">
        <f t="shared" si="23"/>
        <v>0</v>
      </c>
      <c r="H28" s="15">
        <f t="shared" si="23"/>
        <v>0</v>
      </c>
      <c r="I28" s="13">
        <f t="shared" si="23"/>
        <v>0</v>
      </c>
      <c r="J28" s="16">
        <f t="shared" ref="J28" si="30">J71/$C$86*$C$43</f>
        <v>492981.40047648328</v>
      </c>
      <c r="K28" s="16">
        <f t="shared" si="23"/>
        <v>2527171.7434337032</v>
      </c>
      <c r="L28" s="15">
        <f t="shared" si="23"/>
        <v>248012.8664430166</v>
      </c>
      <c r="M28" s="14">
        <f t="shared" si="23"/>
        <v>146291.86518798652</v>
      </c>
      <c r="N28" s="13">
        <f t="shared" si="23"/>
        <v>41664.340809435613</v>
      </c>
      <c r="P28" s="74">
        <v>2.262163232206927E-2</v>
      </c>
      <c r="Q28" s="120">
        <f t="shared" si="2"/>
        <v>0</v>
      </c>
      <c r="R28" s="160">
        <f t="shared" si="3"/>
        <v>5718460.4259717297</v>
      </c>
      <c r="T28" s="206">
        <f t="shared" si="7"/>
        <v>402376.83028545137</v>
      </c>
      <c r="U28" s="202"/>
      <c r="V28" s="203"/>
    </row>
    <row r="29" spans="1:22" x14ac:dyDescent="0.2">
      <c r="A29" s="20">
        <v>13231</v>
      </c>
      <c r="B29" s="19" t="s">
        <v>49</v>
      </c>
      <c r="C29" s="55">
        <f t="shared" si="4"/>
        <v>1568064.2021837737</v>
      </c>
      <c r="D29" s="15">
        <f t="shared" si="23"/>
        <v>451534.21369351761</v>
      </c>
      <c r="E29" s="14">
        <f t="shared" si="23"/>
        <v>263261.869837081</v>
      </c>
      <c r="F29" s="14">
        <f t="shared" si="23"/>
        <v>0</v>
      </c>
      <c r="G29" s="13">
        <f t="shared" si="23"/>
        <v>0</v>
      </c>
      <c r="H29" s="15">
        <f t="shared" si="23"/>
        <v>0</v>
      </c>
      <c r="I29" s="13">
        <f t="shared" si="23"/>
        <v>0</v>
      </c>
      <c r="J29" s="16">
        <f t="shared" ref="J29" si="31">J72/$C$86*$C$43</f>
        <v>195125.42090015826</v>
      </c>
      <c r="K29" s="16">
        <f t="shared" si="23"/>
        <v>577295.62729241047</v>
      </c>
      <c r="L29" s="15">
        <f t="shared" si="23"/>
        <v>57184.589643580905</v>
      </c>
      <c r="M29" s="14">
        <f t="shared" si="23"/>
        <v>23203.116530262265</v>
      </c>
      <c r="N29" s="13">
        <f t="shared" si="23"/>
        <v>459.36428676334759</v>
      </c>
      <c r="P29" s="74">
        <v>5.6229417841748381E-3</v>
      </c>
      <c r="Q29" s="120">
        <f t="shared" si="2"/>
        <v>0</v>
      </c>
      <c r="R29" s="160">
        <f t="shared" si="3"/>
        <v>1568064.2021837737</v>
      </c>
      <c r="T29" s="206">
        <f t="shared" si="7"/>
        <v>246672.88290268672</v>
      </c>
      <c r="U29" s="202"/>
      <c r="V29" s="203"/>
    </row>
    <row r="30" spans="1:22" x14ac:dyDescent="0.2">
      <c r="A30" s="20">
        <v>3592</v>
      </c>
      <c r="B30" s="19" t="s">
        <v>48</v>
      </c>
      <c r="C30" s="55">
        <f t="shared" si="4"/>
        <v>2604774.3100167704</v>
      </c>
      <c r="D30" s="15">
        <f t="shared" si="23"/>
        <v>807802.53837077308</v>
      </c>
      <c r="E30" s="14">
        <f t="shared" si="23"/>
        <v>397481.93168046675</v>
      </c>
      <c r="F30" s="14">
        <f t="shared" si="23"/>
        <v>0</v>
      </c>
      <c r="G30" s="13">
        <f t="shared" si="23"/>
        <v>0</v>
      </c>
      <c r="H30" s="15">
        <f t="shared" si="23"/>
        <v>0</v>
      </c>
      <c r="I30" s="13">
        <f t="shared" si="23"/>
        <v>0</v>
      </c>
      <c r="J30" s="16">
        <f t="shared" ref="J30" si="32">J73/$C$86*$C$43</f>
        <v>118077.50189303317</v>
      </c>
      <c r="K30" s="16">
        <f t="shared" si="23"/>
        <v>1037829.2049675193</v>
      </c>
      <c r="L30" s="15">
        <f t="shared" si="23"/>
        <v>114848.37975903538</v>
      </c>
      <c r="M30" s="14">
        <f t="shared" si="23"/>
        <v>81902.564310419577</v>
      </c>
      <c r="N30" s="13">
        <f t="shared" si="23"/>
        <v>46832.189035523283</v>
      </c>
      <c r="P30" s="74">
        <v>1.0364568727977754E-2</v>
      </c>
      <c r="Q30" s="120">
        <f t="shared" si="2"/>
        <v>0</v>
      </c>
      <c r="R30" s="160">
        <f t="shared" si="3"/>
        <v>2604774.3100167704</v>
      </c>
      <c r="T30" s="206">
        <f t="shared" si="7"/>
        <v>169100.65894199815</v>
      </c>
      <c r="U30" s="202"/>
      <c r="V30" s="203"/>
    </row>
    <row r="31" spans="1:22" x14ac:dyDescent="0.2">
      <c r="A31" s="20">
        <v>3594</v>
      </c>
      <c r="B31" s="19" t="s">
        <v>47</v>
      </c>
      <c r="C31" s="55">
        <f t="shared" si="4"/>
        <v>16135328.392035346</v>
      </c>
      <c r="D31" s="15">
        <f t="shared" si="23"/>
        <v>4711093.9636809221</v>
      </c>
      <c r="E31" s="14">
        <f t="shared" si="23"/>
        <v>3040979.7462629438</v>
      </c>
      <c r="F31" s="14">
        <f t="shared" si="23"/>
        <v>0</v>
      </c>
      <c r="G31" s="13">
        <f t="shared" si="23"/>
        <v>0</v>
      </c>
      <c r="H31" s="15">
        <f t="shared" si="23"/>
        <v>0</v>
      </c>
      <c r="I31" s="13">
        <f t="shared" si="23"/>
        <v>0</v>
      </c>
      <c r="J31" s="16">
        <f t="shared" ref="J31" si="33">J74/$C$86*$C$43</f>
        <v>179308.67329910211</v>
      </c>
      <c r="K31" s="16">
        <f t="shared" si="23"/>
        <v>5742888.7923359592</v>
      </c>
      <c r="L31" s="15">
        <f t="shared" si="23"/>
        <v>418750.21975501179</v>
      </c>
      <c r="M31" s="14">
        <f t="shared" si="23"/>
        <v>662698.23426504387</v>
      </c>
      <c r="N31" s="13">
        <f t="shared" si="23"/>
        <v>1379608.7624363615</v>
      </c>
      <c r="P31" s="74">
        <v>5.9972196847224775E-2</v>
      </c>
      <c r="Q31" s="120">
        <f t="shared" si="2"/>
        <v>0</v>
      </c>
      <c r="R31" s="160">
        <f t="shared" si="3"/>
        <v>16135328.392035346</v>
      </c>
      <c r="T31" s="206">
        <f t="shared" si="7"/>
        <v>2041862.1329375245</v>
      </c>
      <c r="U31" s="202"/>
      <c r="V31" s="203"/>
    </row>
    <row r="32" spans="1:22" x14ac:dyDescent="0.2">
      <c r="A32" s="65">
        <v>113594</v>
      </c>
      <c r="B32" s="19" t="s">
        <v>46</v>
      </c>
      <c r="C32" s="55">
        <f t="shared" si="4"/>
        <v>1028619.316421324</v>
      </c>
      <c r="D32" s="15">
        <f t="shared" si="23"/>
        <v>315943.44836763188</v>
      </c>
      <c r="E32" s="14">
        <f t="shared" si="23"/>
        <v>204352.22240418431</v>
      </c>
      <c r="F32" s="14">
        <f t="shared" si="23"/>
        <v>0</v>
      </c>
      <c r="G32" s="13">
        <f t="shared" si="23"/>
        <v>0</v>
      </c>
      <c r="H32" s="15">
        <f t="shared" si="23"/>
        <v>0</v>
      </c>
      <c r="I32" s="13">
        <f t="shared" si="23"/>
        <v>0</v>
      </c>
      <c r="J32" s="16">
        <f t="shared" ref="J32" si="34">J75/$C$86*$C$43</f>
        <v>0</v>
      </c>
      <c r="K32" s="16">
        <f t="shared" si="23"/>
        <v>463790.88807215786</v>
      </c>
      <c r="L32" s="15">
        <f t="shared" si="23"/>
        <v>38176.304259262113</v>
      </c>
      <c r="M32" s="14">
        <f t="shared" si="23"/>
        <v>5598.5022449282969</v>
      </c>
      <c r="N32" s="13">
        <f t="shared" si="23"/>
        <v>757.9510731595235</v>
      </c>
      <c r="P32" s="74">
        <v>2.8602942419239919E-3</v>
      </c>
      <c r="Q32" s="120">
        <f t="shared" si="2"/>
        <v>0</v>
      </c>
      <c r="R32" s="160">
        <f t="shared" si="3"/>
        <v>1028619.316421324</v>
      </c>
      <c r="T32" s="206">
        <f t="shared" si="7"/>
        <v>356450.16956918593</v>
      </c>
      <c r="U32" s="202"/>
      <c r="V32" s="203"/>
    </row>
    <row r="33" spans="1:22" x14ac:dyDescent="0.2">
      <c r="A33" s="20">
        <v>3624</v>
      </c>
      <c r="B33" s="19" t="s">
        <v>45</v>
      </c>
      <c r="C33" s="55">
        <f t="shared" si="4"/>
        <v>5646698.2238906361</v>
      </c>
      <c r="D33" s="15">
        <f t="shared" si="23"/>
        <v>1504679.0415856242</v>
      </c>
      <c r="E33" s="14">
        <f t="shared" si="23"/>
        <v>933623.25172304793</v>
      </c>
      <c r="F33" s="14">
        <f t="shared" si="23"/>
        <v>0</v>
      </c>
      <c r="G33" s="13">
        <f t="shared" si="23"/>
        <v>0</v>
      </c>
      <c r="H33" s="15">
        <f t="shared" si="23"/>
        <v>0</v>
      </c>
      <c r="I33" s="13">
        <f t="shared" si="23"/>
        <v>0</v>
      </c>
      <c r="J33" s="16">
        <f t="shared" ref="J33" si="35">J76/$C$86*$C$43</f>
        <v>44109.411626707799</v>
      </c>
      <c r="K33" s="16">
        <f t="shared" si="23"/>
        <v>2195427.2076111548</v>
      </c>
      <c r="L33" s="15">
        <f t="shared" si="23"/>
        <v>147451.76001206398</v>
      </c>
      <c r="M33" s="14">
        <f t="shared" si="23"/>
        <v>243711.0242984521</v>
      </c>
      <c r="N33" s="13">
        <f t="shared" si="23"/>
        <v>577696.52703358582</v>
      </c>
      <c r="P33" s="74">
        <v>2.3435865298122357E-2</v>
      </c>
      <c r="Q33" s="120">
        <f t="shared" si="2"/>
        <v>0</v>
      </c>
      <c r="R33" s="160">
        <f t="shared" si="3"/>
        <v>5646698.2238906361</v>
      </c>
      <c r="T33" s="206">
        <f t="shared" si="7"/>
        <v>139269.87883188203</v>
      </c>
      <c r="U33" s="202"/>
      <c r="V33" s="203"/>
    </row>
    <row r="34" spans="1:22" x14ac:dyDescent="0.2">
      <c r="A34" s="20">
        <v>3642</v>
      </c>
      <c r="B34" s="19" t="s">
        <v>44</v>
      </c>
      <c r="C34" s="55">
        <f t="shared" si="4"/>
        <v>2271033.5231653121</v>
      </c>
      <c r="D34" s="15">
        <f t="shared" si="23"/>
        <v>593780.54112875881</v>
      </c>
      <c r="E34" s="14">
        <f t="shared" si="23"/>
        <v>95543.247604558157</v>
      </c>
      <c r="F34" s="14">
        <f t="shared" si="23"/>
        <v>0</v>
      </c>
      <c r="G34" s="13">
        <f t="shared" si="23"/>
        <v>0</v>
      </c>
      <c r="H34" s="15">
        <f t="shared" si="23"/>
        <v>0</v>
      </c>
      <c r="I34" s="13">
        <f t="shared" si="23"/>
        <v>0</v>
      </c>
      <c r="J34" s="16">
        <f t="shared" ref="J34" si="36">J77/$C$86*$C$43</f>
        <v>8847.9825689076588</v>
      </c>
      <c r="K34" s="16">
        <f t="shared" si="23"/>
        <v>1001748.2282617437</v>
      </c>
      <c r="L34" s="15">
        <f t="shared" si="23"/>
        <v>87178.989549742197</v>
      </c>
      <c r="M34" s="14">
        <f t="shared" si="23"/>
        <v>133072.09182175723</v>
      </c>
      <c r="N34" s="13">
        <f t="shared" si="23"/>
        <v>350862.4422298448</v>
      </c>
      <c r="P34" s="74">
        <v>1.3524899052819646E-2</v>
      </c>
      <c r="Q34" s="120">
        <f t="shared" si="2"/>
        <v>0</v>
      </c>
      <c r="R34" s="160">
        <f t="shared" si="3"/>
        <v>2271033.5231653121</v>
      </c>
      <c r="T34" s="206">
        <f t="shared" si="7"/>
        <v>-907317.75424730452</v>
      </c>
      <c r="U34" s="202"/>
      <c r="V34" s="203"/>
    </row>
    <row r="35" spans="1:22" x14ac:dyDescent="0.2">
      <c r="A35" s="20">
        <v>3644</v>
      </c>
      <c r="B35" s="19" t="s">
        <v>43</v>
      </c>
      <c r="C35" s="55">
        <f t="shared" si="4"/>
        <v>13521066.87316444</v>
      </c>
      <c r="D35" s="15">
        <f t="shared" si="23"/>
        <v>3659776.152838442</v>
      </c>
      <c r="E35" s="14">
        <f t="shared" si="23"/>
        <v>3000430.8811430684</v>
      </c>
      <c r="F35" s="14">
        <f t="shared" si="23"/>
        <v>0</v>
      </c>
      <c r="G35" s="13">
        <f t="shared" si="23"/>
        <v>0</v>
      </c>
      <c r="H35" s="15">
        <f t="shared" si="23"/>
        <v>0</v>
      </c>
      <c r="I35" s="13">
        <f t="shared" si="23"/>
        <v>0</v>
      </c>
      <c r="J35" s="16">
        <f t="shared" ref="J35" si="37">J78/$C$86*$C$43</f>
        <v>87983.921061320711</v>
      </c>
      <c r="K35" s="16">
        <f t="shared" si="23"/>
        <v>4176373.0536935325</v>
      </c>
      <c r="L35" s="15">
        <f t="shared" si="23"/>
        <v>345308.31039897888</v>
      </c>
      <c r="M35" s="14">
        <f t="shared" si="23"/>
        <v>619946.03530377336</v>
      </c>
      <c r="N35" s="13">
        <f t="shared" si="23"/>
        <v>1631248.5187253233</v>
      </c>
      <c r="P35" s="74">
        <v>6.3345925146063756E-2</v>
      </c>
      <c r="Q35" s="120">
        <f t="shared" si="2"/>
        <v>155537.8508319559</v>
      </c>
      <c r="R35" s="160">
        <f t="shared" si="3"/>
        <v>13676604.723996395</v>
      </c>
      <c r="T35" s="206">
        <f t="shared" si="7"/>
        <v>-1209687.6853285879</v>
      </c>
      <c r="U35" s="202"/>
      <c r="V35" s="203"/>
    </row>
    <row r="36" spans="1:22" x14ac:dyDescent="0.2">
      <c r="A36" s="20">
        <v>3541</v>
      </c>
      <c r="B36" s="19" t="s">
        <v>42</v>
      </c>
      <c r="C36" s="55">
        <f t="shared" si="4"/>
        <v>2572597.6791861453</v>
      </c>
      <c r="D36" s="15">
        <f t="shared" si="23"/>
        <v>776221.2436557929</v>
      </c>
      <c r="E36" s="14">
        <f t="shared" si="23"/>
        <v>373538.36168033176</v>
      </c>
      <c r="F36" s="14">
        <f t="shared" si="23"/>
        <v>0</v>
      </c>
      <c r="G36" s="13">
        <f t="shared" si="23"/>
        <v>0</v>
      </c>
      <c r="H36" s="15">
        <f t="shared" si="23"/>
        <v>0</v>
      </c>
      <c r="I36" s="13">
        <f t="shared" si="23"/>
        <v>0</v>
      </c>
      <c r="J36" s="16">
        <f t="shared" ref="J36" si="38">J79/$C$86*$C$43</f>
        <v>91298.651994215325</v>
      </c>
      <c r="K36" s="16">
        <f t="shared" si="23"/>
        <v>1086939.4232614918</v>
      </c>
      <c r="L36" s="15">
        <f t="shared" si="23"/>
        <v>114901.62425591022</v>
      </c>
      <c r="M36" s="14">
        <f t="shared" si="23"/>
        <v>80936.855298473907</v>
      </c>
      <c r="N36" s="13">
        <f t="shared" si="23"/>
        <v>48761.51903992935</v>
      </c>
      <c r="P36" s="74">
        <v>1.2561069385453944E-2</v>
      </c>
      <c r="Q36" s="120">
        <f t="shared" si="2"/>
        <v>0</v>
      </c>
      <c r="R36" s="160">
        <f t="shared" si="3"/>
        <v>2572597.6791861453</v>
      </c>
      <c r="T36" s="206">
        <f t="shared" si="7"/>
        <v>-379253.62639553146</v>
      </c>
      <c r="U36" s="202"/>
      <c r="V36" s="203"/>
    </row>
    <row r="37" spans="1:22" x14ac:dyDescent="0.2">
      <c r="A37" s="20">
        <v>3646</v>
      </c>
      <c r="B37" s="19" t="s">
        <v>41</v>
      </c>
      <c r="C37" s="55">
        <f t="shared" si="4"/>
        <v>4722541.300826869</v>
      </c>
      <c r="D37" s="15">
        <f t="shared" si="23"/>
        <v>1414111.1964112595</v>
      </c>
      <c r="E37" s="14">
        <f t="shared" si="23"/>
        <v>829385.64410317992</v>
      </c>
      <c r="F37" s="14">
        <f t="shared" si="23"/>
        <v>0</v>
      </c>
      <c r="G37" s="13">
        <f t="shared" si="23"/>
        <v>0</v>
      </c>
      <c r="H37" s="15">
        <f t="shared" si="23"/>
        <v>0</v>
      </c>
      <c r="I37" s="13">
        <f t="shared" si="23"/>
        <v>0</v>
      </c>
      <c r="J37" s="16">
        <f t="shared" ref="J37" si="39">J80/$C$86*$C$43</f>
        <v>62901.586994299309</v>
      </c>
      <c r="K37" s="16">
        <f t="shared" si="23"/>
        <v>1874707.4146709268</v>
      </c>
      <c r="L37" s="15">
        <f t="shared" si="23"/>
        <v>116924.91513715424</v>
      </c>
      <c r="M37" s="14">
        <f t="shared" si="23"/>
        <v>151785.96645865042</v>
      </c>
      <c r="N37" s="13">
        <f t="shared" si="23"/>
        <v>272724.57705139939</v>
      </c>
      <c r="P37" s="74">
        <v>1.8983457031793705E-2</v>
      </c>
      <c r="Q37" s="120">
        <f t="shared" si="2"/>
        <v>0</v>
      </c>
      <c r="R37" s="160">
        <f t="shared" si="3"/>
        <v>4722541.300826869</v>
      </c>
      <c r="T37" s="206">
        <f t="shared" si="7"/>
        <v>261428.89835534804</v>
      </c>
      <c r="U37" s="202"/>
      <c r="V37" s="203"/>
    </row>
    <row r="38" spans="1:22" x14ac:dyDescent="0.2">
      <c r="A38" s="20">
        <v>3581</v>
      </c>
      <c r="B38" s="19" t="s">
        <v>40</v>
      </c>
      <c r="C38" s="55">
        <f t="shared" si="4"/>
        <v>3607380.8465282018</v>
      </c>
      <c r="D38" s="15">
        <f t="shared" ref="D38:N42" si="40">D81/$C$86*$C$43</f>
        <v>1045575.7572579373</v>
      </c>
      <c r="E38" s="14">
        <f t="shared" si="40"/>
        <v>410256.04512782115</v>
      </c>
      <c r="F38" s="14">
        <f t="shared" si="40"/>
        <v>0</v>
      </c>
      <c r="G38" s="13">
        <f t="shared" si="40"/>
        <v>0</v>
      </c>
      <c r="H38" s="15">
        <f t="shared" si="40"/>
        <v>0</v>
      </c>
      <c r="I38" s="13">
        <f t="shared" si="40"/>
        <v>0</v>
      </c>
      <c r="J38" s="16">
        <f t="shared" ref="J38" si="41">J81/$C$86*$C$43</f>
        <v>18296.270739835603</v>
      </c>
      <c r="K38" s="16">
        <f t="shared" si="40"/>
        <v>1426200.8292310766</v>
      </c>
      <c r="L38" s="15">
        <f t="shared" si="40"/>
        <v>114191.69763091231</v>
      </c>
      <c r="M38" s="14">
        <f t="shared" si="40"/>
        <v>174884.68201464831</v>
      </c>
      <c r="N38" s="13">
        <f t="shared" si="40"/>
        <v>417975.56452596991</v>
      </c>
      <c r="P38" s="74">
        <v>1.8519296567582645E-2</v>
      </c>
      <c r="Q38" s="120">
        <f t="shared" si="2"/>
        <v>0</v>
      </c>
      <c r="R38" s="160">
        <f t="shared" si="3"/>
        <v>3607380.8465282018</v>
      </c>
      <c r="T38" s="206">
        <f t="shared" si="7"/>
        <v>-744653.84685371956</v>
      </c>
      <c r="U38" s="202"/>
      <c r="V38" s="203"/>
    </row>
    <row r="39" spans="1:22" x14ac:dyDescent="0.2">
      <c r="A39" s="20">
        <v>3606</v>
      </c>
      <c r="B39" s="19" t="s">
        <v>39</v>
      </c>
      <c r="C39" s="55">
        <f t="shared" si="4"/>
        <v>8706227.0652527586</v>
      </c>
      <c r="D39" s="15">
        <f t="shared" si="40"/>
        <v>2409835.488457947</v>
      </c>
      <c r="E39" s="14">
        <f t="shared" si="40"/>
        <v>1583422.571616102</v>
      </c>
      <c r="F39" s="14">
        <f t="shared" si="40"/>
        <v>0</v>
      </c>
      <c r="G39" s="13">
        <f t="shared" si="40"/>
        <v>0</v>
      </c>
      <c r="H39" s="15">
        <f t="shared" si="40"/>
        <v>0</v>
      </c>
      <c r="I39" s="13">
        <f t="shared" si="40"/>
        <v>0</v>
      </c>
      <c r="J39" s="16">
        <f t="shared" ref="J39" si="42">J82/$C$86*$C$43</f>
        <v>100355.43651165179</v>
      </c>
      <c r="K39" s="16">
        <f t="shared" si="40"/>
        <v>3327968.9764313349</v>
      </c>
      <c r="L39" s="15">
        <f t="shared" si="40"/>
        <v>207351.81899626186</v>
      </c>
      <c r="M39" s="14">
        <f t="shared" si="40"/>
        <v>348281.6501460289</v>
      </c>
      <c r="N39" s="13">
        <f t="shared" si="40"/>
        <v>729011.12309343251</v>
      </c>
      <c r="P39" s="74">
        <v>3.2554270941238916E-2</v>
      </c>
      <c r="Q39" s="120">
        <f t="shared" si="2"/>
        <v>0</v>
      </c>
      <c r="R39" s="160">
        <f t="shared" si="3"/>
        <v>8706227.0652527586</v>
      </c>
      <c r="T39" s="206">
        <f t="shared" si="7"/>
        <v>1055973.3940616129</v>
      </c>
      <c r="U39" s="202"/>
      <c r="V39" s="203"/>
    </row>
    <row r="40" spans="1:22" x14ac:dyDescent="0.2">
      <c r="A40" s="20">
        <v>3615</v>
      </c>
      <c r="B40" s="19" t="s">
        <v>85</v>
      </c>
      <c r="C40" s="55">
        <f t="shared" si="4"/>
        <v>15281112.577018317</v>
      </c>
      <c r="D40" s="15">
        <f t="shared" si="40"/>
        <v>4197702.1727357488</v>
      </c>
      <c r="E40" s="14">
        <f t="shared" si="40"/>
        <v>2976002.9323827364</v>
      </c>
      <c r="F40" s="14">
        <f t="shared" si="40"/>
        <v>0</v>
      </c>
      <c r="G40" s="13">
        <f t="shared" si="40"/>
        <v>0</v>
      </c>
      <c r="H40" s="15">
        <f t="shared" si="40"/>
        <v>0</v>
      </c>
      <c r="I40" s="13">
        <f t="shared" si="40"/>
        <v>0</v>
      </c>
      <c r="J40" s="16">
        <f t="shared" ref="J40" si="43">J83/$C$86*$C$43</f>
        <v>157514.96992140924</v>
      </c>
      <c r="K40" s="16">
        <f t="shared" si="40"/>
        <v>5525400.6827483671</v>
      </c>
      <c r="L40" s="15">
        <f t="shared" si="40"/>
        <v>397754.13982069877</v>
      </c>
      <c r="M40" s="14">
        <f t="shared" si="40"/>
        <v>655259.66484870564</v>
      </c>
      <c r="N40" s="13">
        <f t="shared" si="40"/>
        <v>1371478.0145606503</v>
      </c>
      <c r="P40" s="74">
        <v>6.1387457427191858E-2</v>
      </c>
      <c r="Q40" s="120">
        <f t="shared" si="2"/>
        <v>0</v>
      </c>
      <c r="R40" s="160">
        <f t="shared" si="3"/>
        <v>15281112.577018317</v>
      </c>
      <c r="T40" s="206">
        <f t="shared" si="7"/>
        <v>855060.08162822947</v>
      </c>
      <c r="U40" s="202"/>
      <c r="V40" s="203"/>
    </row>
    <row r="41" spans="1:22" x14ac:dyDescent="0.2">
      <c r="A41" s="20">
        <v>3625</v>
      </c>
      <c r="B41" s="19" t="s">
        <v>38</v>
      </c>
      <c r="C41" s="55">
        <f t="shared" si="4"/>
        <v>511832.08215005265</v>
      </c>
      <c r="D41" s="15">
        <f t="shared" si="40"/>
        <v>148249.38345544398</v>
      </c>
      <c r="E41" s="14">
        <f t="shared" si="40"/>
        <v>49977.832150499278</v>
      </c>
      <c r="F41" s="14">
        <f t="shared" si="40"/>
        <v>0</v>
      </c>
      <c r="G41" s="13">
        <f t="shared" si="40"/>
        <v>0</v>
      </c>
      <c r="H41" s="15">
        <f t="shared" si="40"/>
        <v>0</v>
      </c>
      <c r="I41" s="13">
        <f t="shared" si="40"/>
        <v>0</v>
      </c>
      <c r="J41" s="16">
        <f t="shared" ref="J41" si="44">J84/$C$86*$C$43</f>
        <v>20358.189981557447</v>
      </c>
      <c r="K41" s="16">
        <f t="shared" si="40"/>
        <v>245049.96679339299</v>
      </c>
      <c r="L41" s="15">
        <f t="shared" si="40"/>
        <v>23960.023593679147</v>
      </c>
      <c r="M41" s="14">
        <f t="shared" si="40"/>
        <v>15164.241511903685</v>
      </c>
      <c r="N41" s="13">
        <f t="shared" si="40"/>
        <v>9072.4446635761142</v>
      </c>
      <c r="P41" s="74">
        <v>2.5717361648878246E-3</v>
      </c>
      <c r="Q41" s="120">
        <f t="shared" si="2"/>
        <v>0</v>
      </c>
      <c r="R41" s="160">
        <f t="shared" si="3"/>
        <v>511832.08215005265</v>
      </c>
      <c r="T41" s="206">
        <f t="shared" si="7"/>
        <v>-92525.916598586133</v>
      </c>
      <c r="U41" s="202"/>
      <c r="V41" s="203"/>
    </row>
    <row r="42" spans="1:22" x14ac:dyDescent="0.2">
      <c r="A42" s="20">
        <v>20</v>
      </c>
      <c r="B42" s="19" t="s">
        <v>37</v>
      </c>
      <c r="C42" s="64">
        <f t="shared" si="4"/>
        <v>468069.67885682575</v>
      </c>
      <c r="D42" s="15">
        <f t="shared" si="40"/>
        <v>126586.18129558155</v>
      </c>
      <c r="E42" s="14">
        <f t="shared" si="40"/>
        <v>45046.327225172332</v>
      </c>
      <c r="F42" s="14">
        <f t="shared" si="40"/>
        <v>0</v>
      </c>
      <c r="G42" s="13">
        <f t="shared" si="40"/>
        <v>0</v>
      </c>
      <c r="H42" s="15">
        <f t="shared" si="40"/>
        <v>0</v>
      </c>
      <c r="I42" s="13">
        <f t="shared" si="40"/>
        <v>0</v>
      </c>
      <c r="J42" s="16">
        <f t="shared" ref="J42" si="45">J85/$C$86*$C$43</f>
        <v>54027.504181825534</v>
      </c>
      <c r="K42" s="16">
        <f t="shared" si="40"/>
        <v>216485.86023465393</v>
      </c>
      <c r="L42" s="15">
        <f t="shared" si="40"/>
        <v>18369.35142182068</v>
      </c>
      <c r="M42" s="14">
        <f t="shared" si="40"/>
        <v>7255.8677113756039</v>
      </c>
      <c r="N42" s="13">
        <f t="shared" si="40"/>
        <v>298.58678639617585</v>
      </c>
      <c r="P42" s="74">
        <v>1.4792799135503695E-3</v>
      </c>
      <c r="Q42" s="120">
        <f t="shared" si="2"/>
        <v>0</v>
      </c>
      <c r="R42" s="160">
        <f t="shared" si="3"/>
        <v>468069.67885682575</v>
      </c>
      <c r="T42" s="206">
        <f t="shared" si="7"/>
        <v>120438.89917248889</v>
      </c>
      <c r="U42" s="202"/>
      <c r="V42" s="203"/>
    </row>
    <row r="43" spans="1:22" ht="13.5" thickBot="1" x14ac:dyDescent="0.25">
      <c r="A43" s="12"/>
      <c r="B43" s="11" t="s">
        <v>11</v>
      </c>
      <c r="C43" s="62">
        <f>R43-Q43</f>
        <v>234398660.84052762</v>
      </c>
      <c r="D43" s="62">
        <f t="shared" ref="D43:N43" si="46">SUM(D5:D42)</f>
        <v>66127707.60028699</v>
      </c>
      <c r="E43" s="61">
        <f t="shared" si="46"/>
        <v>49548699.901420757</v>
      </c>
      <c r="F43" s="61">
        <f t="shared" si="46"/>
        <v>0</v>
      </c>
      <c r="G43" s="60">
        <f t="shared" si="46"/>
        <v>0</v>
      </c>
      <c r="H43" s="62">
        <f t="shared" si="46"/>
        <v>0</v>
      </c>
      <c r="I43" s="60">
        <f t="shared" si="46"/>
        <v>0</v>
      </c>
      <c r="J43" s="63">
        <f t="shared" ref="J43" si="47">SUM(J5:J42)</f>
        <v>4453119.1562735969</v>
      </c>
      <c r="K43" s="63">
        <f t="shared" si="46"/>
        <v>76564333.694332421</v>
      </c>
      <c r="L43" s="62">
        <f t="shared" si="46"/>
        <v>6501397.1056956183</v>
      </c>
      <c r="M43" s="61">
        <f t="shared" si="46"/>
        <v>9362744.6226400528</v>
      </c>
      <c r="N43" s="60">
        <f t="shared" si="46"/>
        <v>21840658.759878069</v>
      </c>
      <c r="P43" s="161">
        <f>SUM(P5:P42)</f>
        <v>1.0000000000000002</v>
      </c>
      <c r="Q43" s="119">
        <f>SUM(Q5:Q42)</f>
        <v>601339.15947237739</v>
      </c>
      <c r="R43" s="162">
        <v>235000000</v>
      </c>
      <c r="T43" s="207">
        <f t="shared" si="7"/>
        <v>0</v>
      </c>
      <c r="U43" s="202"/>
      <c r="V43" s="203"/>
    </row>
    <row r="44" spans="1:22" ht="13.5" thickBot="1" x14ac:dyDescent="0.25">
      <c r="A44" s="59"/>
      <c r="C44" s="88"/>
      <c r="D44" s="89"/>
      <c r="E44" s="58"/>
      <c r="F44" s="58"/>
      <c r="G44" s="58"/>
      <c r="H44" s="58"/>
      <c r="I44" s="58"/>
      <c r="J44" s="58"/>
      <c r="K44" s="58"/>
      <c r="L44" s="58"/>
      <c r="M44" s="58"/>
      <c r="N44" s="58"/>
      <c r="P44" s="163" t="s">
        <v>91</v>
      </c>
      <c r="Q44" s="164">
        <v>5.0000000000000001E-3</v>
      </c>
      <c r="R44" s="165"/>
    </row>
    <row r="45" spans="1:22" ht="13.5" thickBot="1" x14ac:dyDescent="0.25">
      <c r="A45" s="57" t="s">
        <v>76</v>
      </c>
    </row>
    <row r="46" spans="1:22" ht="12.75" customHeight="1" outlineLevel="1" x14ac:dyDescent="0.2">
      <c r="A46" s="234" t="s">
        <v>24</v>
      </c>
      <c r="B46" s="236" t="s">
        <v>23</v>
      </c>
      <c r="C46" s="238" t="s">
        <v>36</v>
      </c>
      <c r="D46" s="247" t="s">
        <v>35</v>
      </c>
      <c r="E46" s="248"/>
      <c r="F46" s="248"/>
      <c r="G46" s="249"/>
      <c r="H46" s="250" t="s">
        <v>18</v>
      </c>
      <c r="I46" s="225" t="s">
        <v>17</v>
      </c>
      <c r="J46" s="227" t="str">
        <f>$J$3</f>
        <v>Under Graduate Transfer Degrees</v>
      </c>
      <c r="K46" s="227" t="s">
        <v>16</v>
      </c>
      <c r="L46" s="229" t="s">
        <v>34</v>
      </c>
      <c r="M46" s="230"/>
      <c r="N46" s="230"/>
      <c r="O46" s="232" t="s">
        <v>86</v>
      </c>
    </row>
    <row r="47" spans="1:22" ht="51" outlineLevel="1" x14ac:dyDescent="0.2">
      <c r="A47" s="235"/>
      <c r="B47" s="237"/>
      <c r="C47" s="239"/>
      <c r="D47" s="192"/>
      <c r="E47" s="121" t="s">
        <v>33</v>
      </c>
      <c r="F47" s="121" t="s">
        <v>32</v>
      </c>
      <c r="G47" s="211" t="s">
        <v>31</v>
      </c>
      <c r="H47" s="251"/>
      <c r="I47" s="226"/>
      <c r="J47" s="228"/>
      <c r="K47" s="228"/>
      <c r="L47" s="188" t="s">
        <v>14</v>
      </c>
      <c r="M47" s="189" t="s">
        <v>13</v>
      </c>
      <c r="N47" s="187" t="s">
        <v>12</v>
      </c>
      <c r="O47" s="233"/>
    </row>
    <row r="48" spans="1:22" outlineLevel="1" x14ac:dyDescent="0.2">
      <c r="A48" s="40">
        <f t="shared" ref="A48:B63" si="48">A5</f>
        <v>3656</v>
      </c>
      <c r="B48" s="39" t="str">
        <f t="shared" si="48"/>
        <v>UTA</v>
      </c>
      <c r="C48" s="191">
        <f t="shared" ref="C48:C85" si="49">SUM(D48:N48)</f>
        <v>20143.332833333334</v>
      </c>
      <c r="D48" s="36">
        <f t="shared" ref="D48:N57" si="50">D90*D156</f>
        <v>6272.5</v>
      </c>
      <c r="E48" s="56">
        <f t="shared" si="50"/>
        <v>3641.3953333333338</v>
      </c>
      <c r="F48" s="56">
        <f t="shared" si="50"/>
        <v>0</v>
      </c>
      <c r="G48" s="35">
        <f t="shared" si="50"/>
        <v>0</v>
      </c>
      <c r="H48" s="36">
        <f t="shared" si="50"/>
        <v>0</v>
      </c>
      <c r="I48" s="35">
        <f t="shared" si="50"/>
        <v>0</v>
      </c>
      <c r="J48" s="34">
        <f t="shared" ref="J48" si="51">J90*J156</f>
        <v>273.91666666666669</v>
      </c>
      <c r="K48" s="34">
        <f t="shared" si="50"/>
        <v>7478.4</v>
      </c>
      <c r="L48" s="36">
        <f t="shared" si="50"/>
        <v>581.08833333333337</v>
      </c>
      <c r="M48" s="56">
        <f t="shared" si="50"/>
        <v>718.81249999999989</v>
      </c>
      <c r="N48" s="35">
        <f t="shared" si="50"/>
        <v>1177.22</v>
      </c>
      <c r="O48" s="110" t="s">
        <v>80</v>
      </c>
    </row>
    <row r="49" spans="1:15" outlineLevel="1" x14ac:dyDescent="0.2">
      <c r="A49" s="20">
        <f t="shared" si="48"/>
        <v>3658</v>
      </c>
      <c r="B49" s="19" t="str">
        <f t="shared" si="48"/>
        <v>UT</v>
      </c>
      <c r="C49" s="55">
        <f t="shared" si="49"/>
        <v>39776.277533333334</v>
      </c>
      <c r="D49" s="15">
        <f t="shared" si="50"/>
        <v>11182.916666666668</v>
      </c>
      <c r="E49" s="14">
        <f t="shared" si="50"/>
        <v>15574.671700000003</v>
      </c>
      <c r="F49" s="14">
        <f t="shared" si="50"/>
        <v>0</v>
      </c>
      <c r="G49" s="13">
        <f t="shared" si="50"/>
        <v>0</v>
      </c>
      <c r="H49" s="15">
        <f t="shared" si="50"/>
        <v>0</v>
      </c>
      <c r="I49" s="13">
        <f t="shared" si="50"/>
        <v>0</v>
      </c>
      <c r="J49" s="16">
        <f t="shared" ref="J49" si="52">J91*J157</f>
        <v>154.375</v>
      </c>
      <c r="K49" s="16">
        <f t="shared" si="50"/>
        <v>4164.3999999999996</v>
      </c>
      <c r="L49" s="15">
        <f t="shared" si="50"/>
        <v>815.85833333333346</v>
      </c>
      <c r="M49" s="14">
        <f t="shared" si="50"/>
        <v>1688.5624999999998</v>
      </c>
      <c r="N49" s="13">
        <f t="shared" si="50"/>
        <v>6195.4933333333338</v>
      </c>
      <c r="O49" s="108" t="s">
        <v>79</v>
      </c>
    </row>
    <row r="50" spans="1:15" outlineLevel="1" x14ac:dyDescent="0.2">
      <c r="A50" s="20">
        <f t="shared" si="48"/>
        <v>9741</v>
      </c>
      <c r="B50" s="19" t="str">
        <f t="shared" si="48"/>
        <v>UTD</v>
      </c>
      <c r="C50" s="55">
        <f t="shared" si="49"/>
        <v>10005.0581</v>
      </c>
      <c r="D50" s="15">
        <f t="shared" si="50"/>
        <v>2991.25</v>
      </c>
      <c r="E50" s="14">
        <f t="shared" si="50"/>
        <v>2355.1905999999999</v>
      </c>
      <c r="F50" s="14">
        <f t="shared" si="50"/>
        <v>0</v>
      </c>
      <c r="G50" s="13">
        <f t="shared" si="50"/>
        <v>0</v>
      </c>
      <c r="H50" s="15">
        <f t="shared" si="50"/>
        <v>0</v>
      </c>
      <c r="I50" s="13">
        <f t="shared" si="50"/>
        <v>0</v>
      </c>
      <c r="J50" s="16">
        <f t="shared" ref="J50" si="53">J92*J158</f>
        <v>135.375</v>
      </c>
      <c r="K50" s="16">
        <f t="shared" si="50"/>
        <v>3167.2000000000003</v>
      </c>
      <c r="L50" s="15">
        <f t="shared" si="50"/>
        <v>281.77500000000003</v>
      </c>
      <c r="M50" s="14">
        <f t="shared" si="50"/>
        <v>400.18750000000006</v>
      </c>
      <c r="N50" s="13">
        <f t="shared" si="50"/>
        <v>674.08</v>
      </c>
      <c r="O50" s="108" t="s">
        <v>80</v>
      </c>
    </row>
    <row r="51" spans="1:15" outlineLevel="1" x14ac:dyDescent="0.2">
      <c r="A51" s="20">
        <f t="shared" si="48"/>
        <v>3661</v>
      </c>
      <c r="B51" s="19" t="str">
        <f t="shared" si="48"/>
        <v>UTEP</v>
      </c>
      <c r="C51" s="55">
        <f t="shared" si="49"/>
        <v>13838.017</v>
      </c>
      <c r="D51" s="15">
        <f t="shared" si="50"/>
        <v>3821.25</v>
      </c>
      <c r="E51" s="14">
        <f t="shared" si="50"/>
        <v>1669.1219999999998</v>
      </c>
      <c r="F51" s="14">
        <f t="shared" si="50"/>
        <v>0</v>
      </c>
      <c r="G51" s="13">
        <f t="shared" si="50"/>
        <v>0</v>
      </c>
      <c r="H51" s="15">
        <f t="shared" si="50"/>
        <v>0</v>
      </c>
      <c r="I51" s="13">
        <f t="shared" si="50"/>
        <v>0</v>
      </c>
      <c r="J51" s="16">
        <f t="shared" ref="J51" si="54">J93*J159</f>
        <v>141.83333333333334</v>
      </c>
      <c r="K51" s="16">
        <f t="shared" si="50"/>
        <v>5914.4000000000005</v>
      </c>
      <c r="L51" s="15">
        <f t="shared" si="50"/>
        <v>370.82666666666671</v>
      </c>
      <c r="M51" s="14">
        <f t="shared" si="50"/>
        <v>629.625</v>
      </c>
      <c r="N51" s="13">
        <f t="shared" si="50"/>
        <v>1290.9600000000003</v>
      </c>
      <c r="O51" s="108" t="s">
        <v>80</v>
      </c>
    </row>
    <row r="52" spans="1:15" outlineLevel="1" x14ac:dyDescent="0.2">
      <c r="A52" s="20">
        <f t="shared" si="48"/>
        <v>3599</v>
      </c>
      <c r="B52" s="19" t="str">
        <f t="shared" si="48"/>
        <v>UTPA</v>
      </c>
      <c r="C52" s="55">
        <f t="shared" si="49"/>
        <v>12713.635333333335</v>
      </c>
      <c r="D52" s="15">
        <f t="shared" si="50"/>
        <v>3225</v>
      </c>
      <c r="E52" s="14">
        <f t="shared" si="50"/>
        <v>1556.7720000000002</v>
      </c>
      <c r="F52" s="14">
        <f t="shared" si="50"/>
        <v>0</v>
      </c>
      <c r="G52" s="13">
        <f t="shared" si="50"/>
        <v>0</v>
      </c>
      <c r="H52" s="15">
        <f t="shared" si="50"/>
        <v>0</v>
      </c>
      <c r="I52" s="13">
        <f t="shared" si="50"/>
        <v>0</v>
      </c>
      <c r="J52" s="16">
        <f t="shared" ref="J52" si="55">J94*J160</f>
        <v>113</v>
      </c>
      <c r="K52" s="16">
        <f t="shared" si="50"/>
        <v>5612</v>
      </c>
      <c r="L52" s="15">
        <f t="shared" si="50"/>
        <v>346.40333333333336</v>
      </c>
      <c r="M52" s="14">
        <f t="shared" si="50"/>
        <v>580.5</v>
      </c>
      <c r="N52" s="13">
        <f t="shared" si="50"/>
        <v>1279.96</v>
      </c>
      <c r="O52" s="108" t="s">
        <v>81</v>
      </c>
    </row>
    <row r="53" spans="1:15" outlineLevel="1" x14ac:dyDescent="0.2">
      <c r="A53" s="20">
        <f t="shared" si="48"/>
        <v>30646</v>
      </c>
      <c r="B53" s="19" t="str">
        <f t="shared" si="48"/>
        <v>UTB</v>
      </c>
      <c r="C53" s="55">
        <f t="shared" si="49"/>
        <v>5414.1617943182291</v>
      </c>
      <c r="D53" s="15">
        <f t="shared" si="50"/>
        <v>1365</v>
      </c>
      <c r="E53" s="14">
        <f t="shared" si="50"/>
        <v>879.43929431822801</v>
      </c>
      <c r="F53" s="14">
        <f t="shared" si="50"/>
        <v>0</v>
      </c>
      <c r="G53" s="13">
        <f t="shared" si="50"/>
        <v>0</v>
      </c>
      <c r="H53" s="15">
        <f t="shared" si="50"/>
        <v>0</v>
      </c>
      <c r="I53" s="13">
        <f t="shared" si="50"/>
        <v>0</v>
      </c>
      <c r="J53" s="16">
        <f t="shared" ref="J53" si="56">J95*J161</f>
        <v>672</v>
      </c>
      <c r="K53" s="16">
        <f t="shared" si="50"/>
        <v>2248</v>
      </c>
      <c r="L53" s="15">
        <f t="shared" si="50"/>
        <v>169.10749999999999</v>
      </c>
      <c r="M53" s="14">
        <f t="shared" si="50"/>
        <v>69.541666666666671</v>
      </c>
      <c r="N53" s="13">
        <f t="shared" si="50"/>
        <v>11.073333333333336</v>
      </c>
      <c r="O53" s="108" t="s">
        <v>82</v>
      </c>
    </row>
    <row r="54" spans="1:15" outlineLevel="1" x14ac:dyDescent="0.2">
      <c r="A54" s="20">
        <f t="shared" si="48"/>
        <v>9930</v>
      </c>
      <c r="B54" s="19" t="str">
        <f t="shared" si="48"/>
        <v>UTPB</v>
      </c>
      <c r="C54" s="55">
        <f t="shared" si="49"/>
        <v>2325.044166666667</v>
      </c>
      <c r="D54" s="15">
        <f t="shared" si="50"/>
        <v>666.66666666666674</v>
      </c>
      <c r="E54" s="14">
        <f t="shared" si="50"/>
        <v>331.52000000000004</v>
      </c>
      <c r="F54" s="14">
        <f t="shared" si="50"/>
        <v>0</v>
      </c>
      <c r="G54" s="13">
        <f t="shared" si="50"/>
        <v>0</v>
      </c>
      <c r="H54" s="15">
        <f t="shared" si="50"/>
        <v>0</v>
      </c>
      <c r="I54" s="13">
        <f t="shared" si="50"/>
        <v>0</v>
      </c>
      <c r="J54" s="16">
        <f t="shared" ref="J54" si="57">J96*J162</f>
        <v>186.25</v>
      </c>
      <c r="K54" s="16">
        <f t="shared" si="50"/>
        <v>957.59999999999991</v>
      </c>
      <c r="L54" s="15">
        <f t="shared" si="50"/>
        <v>100.17249999999999</v>
      </c>
      <c r="M54" s="14">
        <f t="shared" si="50"/>
        <v>61.458333333333343</v>
      </c>
      <c r="N54" s="13">
        <f t="shared" si="50"/>
        <v>21.376666666666672</v>
      </c>
      <c r="O54" s="108" t="s">
        <v>82</v>
      </c>
    </row>
    <row r="55" spans="1:15" outlineLevel="1" x14ac:dyDescent="0.2">
      <c r="A55" s="20">
        <f t="shared" si="48"/>
        <v>10115</v>
      </c>
      <c r="B55" s="19" t="str">
        <f t="shared" si="48"/>
        <v>UTSA</v>
      </c>
      <c r="C55" s="55">
        <f t="shared" si="49"/>
        <v>18395.313222222223</v>
      </c>
      <c r="D55" s="15">
        <f t="shared" si="50"/>
        <v>5149.5833333333339</v>
      </c>
      <c r="E55" s="14">
        <f t="shared" si="50"/>
        <v>2431.9765555555559</v>
      </c>
      <c r="F55" s="14">
        <f t="shared" si="50"/>
        <v>0</v>
      </c>
      <c r="G55" s="13">
        <f t="shared" si="50"/>
        <v>0</v>
      </c>
      <c r="H55" s="15">
        <f t="shared" si="50"/>
        <v>0</v>
      </c>
      <c r="I55" s="13">
        <f t="shared" si="50"/>
        <v>0</v>
      </c>
      <c r="J55" s="16">
        <f t="shared" ref="J55" si="58">J97*J163</f>
        <v>175.79166666666666</v>
      </c>
      <c r="K55" s="16">
        <f t="shared" si="50"/>
        <v>7496.7999999999993</v>
      </c>
      <c r="L55" s="15">
        <f t="shared" si="50"/>
        <v>578.82166666666672</v>
      </c>
      <c r="M55" s="14">
        <f t="shared" si="50"/>
        <v>836.00000000000011</v>
      </c>
      <c r="N55" s="13">
        <f t="shared" si="50"/>
        <v>1726.3400000000001</v>
      </c>
      <c r="O55" s="108" t="s">
        <v>80</v>
      </c>
    </row>
    <row r="56" spans="1:15" outlineLevel="1" x14ac:dyDescent="0.2">
      <c r="A56" s="20">
        <f t="shared" si="48"/>
        <v>11163</v>
      </c>
      <c r="B56" s="19" t="str">
        <f t="shared" si="48"/>
        <v>UTT</v>
      </c>
      <c r="C56" s="55">
        <f t="shared" si="49"/>
        <v>5422.4398333333329</v>
      </c>
      <c r="D56" s="15">
        <f t="shared" si="50"/>
        <v>1487.5</v>
      </c>
      <c r="E56" s="14">
        <f t="shared" si="50"/>
        <v>859.10066666666683</v>
      </c>
      <c r="F56" s="14">
        <f t="shared" si="50"/>
        <v>0</v>
      </c>
      <c r="G56" s="13">
        <f t="shared" si="50"/>
        <v>0</v>
      </c>
      <c r="H56" s="15">
        <f t="shared" si="50"/>
        <v>0</v>
      </c>
      <c r="I56" s="13">
        <f t="shared" si="50"/>
        <v>0</v>
      </c>
      <c r="J56" s="16">
        <f t="shared" ref="J56" si="59">J98*J164</f>
        <v>477.25</v>
      </c>
      <c r="K56" s="16">
        <f t="shared" si="50"/>
        <v>2261.6</v>
      </c>
      <c r="L56" s="15">
        <f t="shared" si="50"/>
        <v>183.13249999999996</v>
      </c>
      <c r="M56" s="14">
        <f t="shared" si="50"/>
        <v>111.25</v>
      </c>
      <c r="N56" s="13">
        <f t="shared" si="50"/>
        <v>42.606666666666669</v>
      </c>
      <c r="O56" s="108" t="s">
        <v>82</v>
      </c>
    </row>
    <row r="57" spans="1:15" outlineLevel="1" x14ac:dyDescent="0.2">
      <c r="A57" s="20">
        <f t="shared" si="48"/>
        <v>3632</v>
      </c>
      <c r="B57" s="19" t="str">
        <f t="shared" si="48"/>
        <v>TAMU</v>
      </c>
      <c r="C57" s="55">
        <f t="shared" si="49"/>
        <v>39713.327533333329</v>
      </c>
      <c r="D57" s="15">
        <f t="shared" si="50"/>
        <v>10924.583333333332</v>
      </c>
      <c r="E57" s="14">
        <f t="shared" si="50"/>
        <v>15429.00753333333</v>
      </c>
      <c r="F57" s="14">
        <f t="shared" si="50"/>
        <v>0</v>
      </c>
      <c r="G57" s="13">
        <f t="shared" si="50"/>
        <v>0</v>
      </c>
      <c r="H57" s="15">
        <f t="shared" si="50"/>
        <v>0</v>
      </c>
      <c r="I57" s="13">
        <f t="shared" si="50"/>
        <v>0</v>
      </c>
      <c r="J57" s="16">
        <f t="shared" ref="J57" si="60">J99*J165</f>
        <v>295.70833333333331</v>
      </c>
      <c r="K57" s="16">
        <f t="shared" si="50"/>
        <v>4468.8</v>
      </c>
      <c r="L57" s="15">
        <f t="shared" si="50"/>
        <v>855.15666666666664</v>
      </c>
      <c r="M57" s="14">
        <f t="shared" si="50"/>
        <v>1670.1250000000002</v>
      </c>
      <c r="N57" s="13">
        <f t="shared" si="50"/>
        <v>6069.9466666666676</v>
      </c>
      <c r="O57" s="108" t="s">
        <v>79</v>
      </c>
    </row>
    <row r="58" spans="1:15" outlineLevel="1" x14ac:dyDescent="0.2">
      <c r="A58" s="20">
        <f t="shared" si="48"/>
        <v>10298</v>
      </c>
      <c r="B58" s="19" t="str">
        <f t="shared" si="48"/>
        <v>TAMUG</v>
      </c>
      <c r="C58" s="55">
        <f t="shared" si="49"/>
        <v>1737.7728833333333</v>
      </c>
      <c r="D58" s="15">
        <f t="shared" ref="D58:N58" si="61">D100*D166*1.5</f>
        <v>516.25</v>
      </c>
      <c r="E58" s="14">
        <f t="shared" si="61"/>
        <v>362.72413333333338</v>
      </c>
      <c r="F58" s="14">
        <f t="shared" si="61"/>
        <v>0</v>
      </c>
      <c r="G58" s="13">
        <f t="shared" si="61"/>
        <v>0</v>
      </c>
      <c r="H58" s="15">
        <f t="shared" si="61"/>
        <v>0</v>
      </c>
      <c r="I58" s="13">
        <f t="shared" si="61"/>
        <v>0</v>
      </c>
      <c r="J58" s="16">
        <f t="shared" ref="J58" si="62">J100*J166*1.5</f>
        <v>76.5</v>
      </c>
      <c r="K58" s="16">
        <f t="shared" si="61"/>
        <v>568.79999999999995</v>
      </c>
      <c r="L58" s="15">
        <f t="shared" si="61"/>
        <v>113.28375</v>
      </c>
      <c r="M58" s="14">
        <f t="shared" si="61"/>
        <v>59.625</v>
      </c>
      <c r="N58" s="13">
        <f t="shared" si="61"/>
        <v>40.590000000000003</v>
      </c>
      <c r="O58" s="108" t="s">
        <v>82</v>
      </c>
    </row>
    <row r="59" spans="1:15" outlineLevel="1" x14ac:dyDescent="0.2">
      <c r="A59" s="20">
        <f t="shared" si="48"/>
        <v>3630</v>
      </c>
      <c r="B59" s="19" t="str">
        <f t="shared" si="48"/>
        <v>Prairie View</v>
      </c>
      <c r="C59" s="55">
        <f t="shared" si="49"/>
        <v>4565.1346111111116</v>
      </c>
      <c r="D59" s="15">
        <f t="shared" ref="D59:N74" si="63">D101*D167</f>
        <v>1170.4166666666667</v>
      </c>
      <c r="E59" s="14">
        <f t="shared" si="63"/>
        <v>487.20544444444442</v>
      </c>
      <c r="F59" s="14">
        <f t="shared" si="63"/>
        <v>0</v>
      </c>
      <c r="G59" s="13">
        <f t="shared" si="63"/>
        <v>0</v>
      </c>
      <c r="H59" s="15">
        <f t="shared" si="63"/>
        <v>0</v>
      </c>
      <c r="I59" s="13">
        <f t="shared" si="63"/>
        <v>0</v>
      </c>
      <c r="J59" s="16">
        <f t="shared" ref="J59" si="64">J101*J167</f>
        <v>20.375</v>
      </c>
      <c r="K59" s="16">
        <f t="shared" si="63"/>
        <v>1926.3999999999999</v>
      </c>
      <c r="L59" s="15">
        <f t="shared" si="63"/>
        <v>141.78</v>
      </c>
      <c r="M59" s="14">
        <f t="shared" si="63"/>
        <v>221.4375</v>
      </c>
      <c r="N59" s="13">
        <f t="shared" si="63"/>
        <v>597.5200000000001</v>
      </c>
      <c r="O59" s="108" t="s">
        <v>83</v>
      </c>
    </row>
    <row r="60" spans="1:15" outlineLevel="1" x14ac:dyDescent="0.2">
      <c r="A60" s="20">
        <f t="shared" si="48"/>
        <v>3631</v>
      </c>
      <c r="B60" s="19" t="str">
        <f t="shared" si="48"/>
        <v>Tarleton</v>
      </c>
      <c r="C60" s="55">
        <f t="shared" si="49"/>
        <v>6913.3653999999997</v>
      </c>
      <c r="D60" s="15">
        <f t="shared" si="63"/>
        <v>1931.6666666666665</v>
      </c>
      <c r="E60" s="14">
        <f t="shared" si="63"/>
        <v>1034.1370666666669</v>
      </c>
      <c r="F60" s="14">
        <f t="shared" si="63"/>
        <v>0</v>
      </c>
      <c r="G60" s="13">
        <f t="shared" si="63"/>
        <v>0</v>
      </c>
      <c r="H60" s="15">
        <f t="shared" si="63"/>
        <v>0</v>
      </c>
      <c r="I60" s="13">
        <f t="shared" si="63"/>
        <v>0</v>
      </c>
      <c r="J60" s="16">
        <f t="shared" ref="J60" si="65">J102*J168</f>
        <v>77.958333333333329</v>
      </c>
      <c r="K60" s="16">
        <f t="shared" si="63"/>
        <v>2868</v>
      </c>
      <c r="L60" s="15">
        <f t="shared" si="63"/>
        <v>183.11833333333334</v>
      </c>
      <c r="M60" s="14">
        <f t="shared" si="63"/>
        <v>249.125</v>
      </c>
      <c r="N60" s="13">
        <f t="shared" si="63"/>
        <v>569.36</v>
      </c>
      <c r="O60" s="108" t="s">
        <v>83</v>
      </c>
    </row>
    <row r="61" spans="1:15" outlineLevel="1" x14ac:dyDescent="0.2">
      <c r="A61" s="27">
        <f t="shared" si="48"/>
        <v>103631</v>
      </c>
      <c r="B61" s="19" t="str">
        <f t="shared" si="48"/>
        <v>TAMUCT</v>
      </c>
      <c r="C61" s="55">
        <f t="shared" si="49"/>
        <v>1920.4992333333332</v>
      </c>
      <c r="D61" s="15">
        <f t="shared" si="63"/>
        <v>575.41666666666663</v>
      </c>
      <c r="E61" s="14">
        <f t="shared" si="63"/>
        <v>308.05506666666668</v>
      </c>
      <c r="F61" s="14">
        <f t="shared" si="63"/>
        <v>0</v>
      </c>
      <c r="G61" s="13">
        <f t="shared" si="63"/>
        <v>0</v>
      </c>
      <c r="H61" s="15">
        <f t="shared" si="63"/>
        <v>0</v>
      </c>
      <c r="I61" s="13">
        <f t="shared" si="63"/>
        <v>0</v>
      </c>
      <c r="J61" s="16">
        <f t="shared" ref="J61" si="66">J103*J169</f>
        <v>168.75</v>
      </c>
      <c r="K61" s="16">
        <f t="shared" si="63"/>
        <v>784.8</v>
      </c>
      <c r="L61" s="15">
        <f t="shared" si="63"/>
        <v>63.112499999999997</v>
      </c>
      <c r="M61" s="14">
        <f t="shared" si="63"/>
        <v>16.625</v>
      </c>
      <c r="N61" s="13">
        <f t="shared" si="63"/>
        <v>3.7400000000000007</v>
      </c>
      <c r="O61" s="108" t="s">
        <v>82</v>
      </c>
    </row>
    <row r="62" spans="1:15" outlineLevel="1" x14ac:dyDescent="0.2">
      <c r="A62" s="20">
        <f t="shared" si="48"/>
        <v>11161</v>
      </c>
      <c r="B62" s="19" t="str">
        <f t="shared" si="48"/>
        <v>TAMUCC</v>
      </c>
      <c r="C62" s="55">
        <f t="shared" si="49"/>
        <v>6404.7976666666664</v>
      </c>
      <c r="D62" s="15">
        <f t="shared" si="63"/>
        <v>1735.4166666666665</v>
      </c>
      <c r="E62" s="14">
        <f t="shared" si="63"/>
        <v>987.38266666666664</v>
      </c>
      <c r="F62" s="14">
        <f t="shared" si="63"/>
        <v>0</v>
      </c>
      <c r="G62" s="13">
        <f t="shared" si="63"/>
        <v>0</v>
      </c>
      <c r="H62" s="15">
        <f t="shared" si="63"/>
        <v>0</v>
      </c>
      <c r="I62" s="13">
        <f t="shared" si="63"/>
        <v>0</v>
      </c>
      <c r="J62" s="16">
        <f t="shared" ref="J62" si="67">J104*J170</f>
        <v>60.458333333333343</v>
      </c>
      <c r="K62" s="16">
        <f t="shared" si="63"/>
        <v>2592</v>
      </c>
      <c r="L62" s="15">
        <f t="shared" si="63"/>
        <v>174.59</v>
      </c>
      <c r="M62" s="14">
        <f t="shared" si="63"/>
        <v>275.25</v>
      </c>
      <c r="N62" s="13">
        <f t="shared" si="63"/>
        <v>579.70000000000005</v>
      </c>
      <c r="O62" s="108" t="s">
        <v>81</v>
      </c>
    </row>
    <row r="63" spans="1:15" outlineLevel="1" x14ac:dyDescent="0.2">
      <c r="A63" s="20">
        <f t="shared" si="48"/>
        <v>3639</v>
      </c>
      <c r="B63" s="19" t="str">
        <f t="shared" si="48"/>
        <v>TAMUK</v>
      </c>
      <c r="C63" s="55">
        <f t="shared" si="49"/>
        <v>3603.2522777777776</v>
      </c>
      <c r="D63" s="15">
        <f t="shared" si="63"/>
        <v>952.08333333333326</v>
      </c>
      <c r="E63" s="14">
        <f t="shared" si="63"/>
        <v>429.02144444444451</v>
      </c>
      <c r="F63" s="14">
        <f t="shared" si="63"/>
        <v>0</v>
      </c>
      <c r="G63" s="13">
        <f t="shared" si="63"/>
        <v>0</v>
      </c>
      <c r="H63" s="15">
        <f t="shared" si="63"/>
        <v>0</v>
      </c>
      <c r="I63" s="13">
        <f t="shared" si="63"/>
        <v>0</v>
      </c>
      <c r="J63" s="16">
        <f t="shared" ref="J63" si="68">J105*J171</f>
        <v>31.916666666666671</v>
      </c>
      <c r="K63" s="16">
        <f t="shared" si="63"/>
        <v>1556</v>
      </c>
      <c r="L63" s="15">
        <f t="shared" si="63"/>
        <v>104.32333333333334</v>
      </c>
      <c r="M63" s="14">
        <f t="shared" si="63"/>
        <v>161.18749999999997</v>
      </c>
      <c r="N63" s="13">
        <f t="shared" si="63"/>
        <v>368.71999999999997</v>
      </c>
      <c r="O63" s="108" t="s">
        <v>81</v>
      </c>
    </row>
    <row r="64" spans="1:15" outlineLevel="1" x14ac:dyDescent="0.2">
      <c r="A64" s="27">
        <f t="shared" ref="A64:B79" si="69">A21</f>
        <v>103639</v>
      </c>
      <c r="B64" s="19" t="str">
        <f t="shared" si="69"/>
        <v>TAMUSA</v>
      </c>
      <c r="C64" s="55">
        <f t="shared" si="49"/>
        <v>2599.8888777777775</v>
      </c>
      <c r="D64" s="15">
        <f t="shared" si="63"/>
        <v>734.58333333333326</v>
      </c>
      <c r="E64" s="14">
        <f t="shared" si="63"/>
        <v>331.01304444444446</v>
      </c>
      <c r="F64" s="14">
        <f t="shared" si="63"/>
        <v>0</v>
      </c>
      <c r="G64" s="13">
        <f t="shared" si="63"/>
        <v>0</v>
      </c>
      <c r="H64" s="15">
        <f t="shared" si="63"/>
        <v>0</v>
      </c>
      <c r="I64" s="13">
        <f t="shared" si="63"/>
        <v>0</v>
      </c>
      <c r="J64" s="16">
        <f t="shared" ref="J64" si="70">J106*J172</f>
        <v>254.49999999999997</v>
      </c>
      <c r="K64" s="16">
        <f t="shared" si="63"/>
        <v>1176.8</v>
      </c>
      <c r="L64" s="15">
        <f t="shared" si="63"/>
        <v>93.032499999999985</v>
      </c>
      <c r="M64" s="14">
        <f t="shared" si="63"/>
        <v>9.6666666666666661</v>
      </c>
      <c r="N64" s="13">
        <f t="shared" si="63"/>
        <v>0.29333333333333339</v>
      </c>
      <c r="O64" s="108" t="s">
        <v>82</v>
      </c>
    </row>
    <row r="65" spans="1:15" outlineLevel="1" x14ac:dyDescent="0.2">
      <c r="A65" s="20">
        <f t="shared" si="69"/>
        <v>9651</v>
      </c>
      <c r="B65" s="19" t="str">
        <f t="shared" si="69"/>
        <v>TAMI</v>
      </c>
      <c r="C65" s="55">
        <f t="shared" si="49"/>
        <v>3892.1016111111107</v>
      </c>
      <c r="D65" s="15">
        <f t="shared" si="63"/>
        <v>987.08333333333326</v>
      </c>
      <c r="E65" s="14">
        <f t="shared" si="63"/>
        <v>523.28577777777775</v>
      </c>
      <c r="F65" s="14">
        <f t="shared" si="63"/>
        <v>0</v>
      </c>
      <c r="G65" s="13">
        <f t="shared" si="63"/>
        <v>0</v>
      </c>
      <c r="H65" s="15">
        <f t="shared" si="63"/>
        <v>0</v>
      </c>
      <c r="I65" s="13">
        <f t="shared" si="63"/>
        <v>0</v>
      </c>
      <c r="J65" s="16">
        <f t="shared" ref="J65" si="71">J107*J173</f>
        <v>48.708333333333343</v>
      </c>
      <c r="K65" s="16">
        <f t="shared" si="63"/>
        <v>1710.3999999999999</v>
      </c>
      <c r="L65" s="15">
        <f t="shared" si="63"/>
        <v>119.56666666666668</v>
      </c>
      <c r="M65" s="14">
        <f t="shared" si="63"/>
        <v>190.43749999999997</v>
      </c>
      <c r="N65" s="13">
        <f t="shared" si="63"/>
        <v>312.62000000000006</v>
      </c>
      <c r="O65" s="108" t="s">
        <v>83</v>
      </c>
    </row>
    <row r="66" spans="1:15" outlineLevel="1" x14ac:dyDescent="0.2">
      <c r="A66" s="20">
        <f t="shared" si="69"/>
        <v>3665</v>
      </c>
      <c r="B66" s="19" t="str">
        <f t="shared" si="69"/>
        <v>WTAMU</v>
      </c>
      <c r="C66" s="55">
        <f t="shared" si="49"/>
        <v>5402.3639555555565</v>
      </c>
      <c r="D66" s="15">
        <f t="shared" si="63"/>
        <v>1569.5833333333335</v>
      </c>
      <c r="E66" s="14">
        <f t="shared" si="63"/>
        <v>827.4006222222223</v>
      </c>
      <c r="F66" s="14">
        <f t="shared" si="63"/>
        <v>0</v>
      </c>
      <c r="G66" s="13">
        <f t="shared" si="63"/>
        <v>0</v>
      </c>
      <c r="H66" s="15">
        <f t="shared" si="63"/>
        <v>0</v>
      </c>
      <c r="I66" s="13">
        <f t="shared" si="63"/>
        <v>0</v>
      </c>
      <c r="J66" s="16">
        <f t="shared" ref="J66" si="72">J108*J174</f>
        <v>54.833333333333343</v>
      </c>
      <c r="K66" s="16">
        <f t="shared" si="63"/>
        <v>2134.4</v>
      </c>
      <c r="L66" s="15">
        <f t="shared" si="63"/>
        <v>152.29166666666669</v>
      </c>
      <c r="M66" s="14">
        <f t="shared" si="63"/>
        <v>227.37500000000003</v>
      </c>
      <c r="N66" s="13">
        <f t="shared" si="63"/>
        <v>436.48000000000008</v>
      </c>
      <c r="O66" s="108" t="s">
        <v>83</v>
      </c>
    </row>
    <row r="67" spans="1:15" outlineLevel="1" x14ac:dyDescent="0.2">
      <c r="A67" s="20">
        <f t="shared" si="69"/>
        <v>3565</v>
      </c>
      <c r="B67" s="19" t="str">
        <f t="shared" si="69"/>
        <v>TAMUC</v>
      </c>
      <c r="C67" s="55">
        <f t="shared" si="49"/>
        <v>5684.4259999999995</v>
      </c>
      <c r="D67" s="15">
        <f t="shared" si="63"/>
        <v>1655.4166666666665</v>
      </c>
      <c r="E67" s="14">
        <f t="shared" si="63"/>
        <v>815.78933333333327</v>
      </c>
      <c r="F67" s="14">
        <f t="shared" si="63"/>
        <v>0</v>
      </c>
      <c r="G67" s="13">
        <f t="shared" si="63"/>
        <v>0</v>
      </c>
      <c r="H67" s="15">
        <f t="shared" si="63"/>
        <v>0</v>
      </c>
      <c r="I67" s="13">
        <f t="shared" si="63"/>
        <v>0</v>
      </c>
      <c r="J67" s="16">
        <f t="shared" ref="J67" si="73">J109*J175</f>
        <v>94.125</v>
      </c>
      <c r="K67" s="16">
        <f t="shared" si="63"/>
        <v>2446.4</v>
      </c>
      <c r="L67" s="15">
        <f t="shared" si="63"/>
        <v>160.905</v>
      </c>
      <c r="M67" s="14">
        <f t="shared" si="63"/>
        <v>213.24999999999997</v>
      </c>
      <c r="N67" s="13">
        <f t="shared" si="63"/>
        <v>298.53999999999996</v>
      </c>
      <c r="O67" s="108" t="s">
        <v>81</v>
      </c>
    </row>
    <row r="68" spans="1:15" outlineLevel="1" x14ac:dyDescent="0.2">
      <c r="A68" s="20">
        <f t="shared" si="69"/>
        <v>29269</v>
      </c>
      <c r="B68" s="19" t="str">
        <f t="shared" si="69"/>
        <v>TAMUT</v>
      </c>
      <c r="C68" s="55">
        <f t="shared" si="49"/>
        <v>1509.3510342322393</v>
      </c>
      <c r="D68" s="15">
        <f t="shared" si="63"/>
        <v>432.08333333333337</v>
      </c>
      <c r="E68" s="14">
        <f t="shared" si="63"/>
        <v>262.30436756557253</v>
      </c>
      <c r="F68" s="14">
        <f t="shared" si="63"/>
        <v>0</v>
      </c>
      <c r="G68" s="13">
        <f t="shared" si="63"/>
        <v>0</v>
      </c>
      <c r="H68" s="15">
        <f t="shared" si="63"/>
        <v>0</v>
      </c>
      <c r="I68" s="13">
        <f t="shared" si="63"/>
        <v>0</v>
      </c>
      <c r="J68" s="16">
        <f t="shared" ref="J68" si="74">J110*J176</f>
        <v>163.5</v>
      </c>
      <c r="K68" s="16">
        <f t="shared" si="63"/>
        <v>573.6</v>
      </c>
      <c r="L68" s="15">
        <f t="shared" si="63"/>
        <v>55.164999999999999</v>
      </c>
      <c r="M68" s="14">
        <f t="shared" si="63"/>
        <v>22.625</v>
      </c>
      <c r="N68" s="13">
        <f t="shared" si="63"/>
        <v>7.3333333333333348E-2</v>
      </c>
      <c r="O68" s="108" t="s">
        <v>82</v>
      </c>
    </row>
    <row r="69" spans="1:15" outlineLevel="1" x14ac:dyDescent="0.2">
      <c r="A69" s="20">
        <f t="shared" si="69"/>
        <v>3652</v>
      </c>
      <c r="B69" s="19" t="str">
        <f t="shared" si="69"/>
        <v>UH</v>
      </c>
      <c r="C69" s="55">
        <f t="shared" si="49"/>
        <v>22415.761344444447</v>
      </c>
      <c r="D69" s="15">
        <f t="shared" si="63"/>
        <v>6373.3333333333339</v>
      </c>
      <c r="E69" s="14">
        <f t="shared" si="63"/>
        <v>3828.4188444444444</v>
      </c>
      <c r="F69" s="14">
        <f t="shared" si="63"/>
        <v>0</v>
      </c>
      <c r="G69" s="13">
        <f t="shared" si="63"/>
        <v>0</v>
      </c>
      <c r="H69" s="15">
        <f t="shared" si="63"/>
        <v>0</v>
      </c>
      <c r="I69" s="13">
        <f t="shared" si="63"/>
        <v>0</v>
      </c>
      <c r="J69" s="16">
        <f t="shared" ref="J69" si="75">J111*J177</f>
        <v>222.83333333333337</v>
      </c>
      <c r="K69" s="16">
        <f t="shared" si="63"/>
        <v>8095.2</v>
      </c>
      <c r="L69" s="15">
        <f t="shared" si="63"/>
        <v>646.19833333333327</v>
      </c>
      <c r="M69" s="14">
        <f t="shared" si="63"/>
        <v>1066.9374999999998</v>
      </c>
      <c r="N69" s="13">
        <f t="shared" si="63"/>
        <v>2182.84</v>
      </c>
      <c r="O69" s="108" t="s">
        <v>80</v>
      </c>
    </row>
    <row r="70" spans="1:15" outlineLevel="1" x14ac:dyDescent="0.2">
      <c r="A70" s="20">
        <f t="shared" si="69"/>
        <v>11711</v>
      </c>
      <c r="B70" s="19" t="str">
        <f t="shared" si="69"/>
        <v>UHCL</v>
      </c>
      <c r="C70" s="55">
        <f t="shared" si="49"/>
        <v>5121.6864177692505</v>
      </c>
      <c r="D70" s="15">
        <f t="shared" si="63"/>
        <v>1488.3333333333335</v>
      </c>
      <c r="E70" s="14">
        <f t="shared" si="63"/>
        <v>867.07975110258383</v>
      </c>
      <c r="F70" s="14">
        <f t="shared" si="63"/>
        <v>0</v>
      </c>
      <c r="G70" s="13">
        <f t="shared" si="63"/>
        <v>0</v>
      </c>
      <c r="H70" s="15">
        <f t="shared" si="63"/>
        <v>0</v>
      </c>
      <c r="I70" s="13">
        <f t="shared" si="63"/>
        <v>0</v>
      </c>
      <c r="J70" s="16">
        <f t="shared" ref="J70" si="76">J112*J178</f>
        <v>604.99999999999989</v>
      </c>
      <c r="K70" s="16">
        <f t="shared" si="63"/>
        <v>1858.4</v>
      </c>
      <c r="L70" s="15">
        <f t="shared" si="63"/>
        <v>177.39499999999998</v>
      </c>
      <c r="M70" s="14">
        <f t="shared" si="63"/>
        <v>119.20833333333333</v>
      </c>
      <c r="N70" s="13">
        <f t="shared" si="63"/>
        <v>6.2700000000000005</v>
      </c>
      <c r="O70" s="108" t="s">
        <v>82</v>
      </c>
    </row>
    <row r="71" spans="1:15" outlineLevel="1" x14ac:dyDescent="0.2">
      <c r="A71" s="20">
        <f t="shared" si="69"/>
        <v>12826</v>
      </c>
      <c r="B71" s="19" t="str">
        <f t="shared" si="69"/>
        <v>UHD</v>
      </c>
      <c r="C71" s="55">
        <f t="shared" si="49"/>
        <v>9129.0023333333338</v>
      </c>
      <c r="D71" s="15">
        <f t="shared" si="63"/>
        <v>2977.916666666667</v>
      </c>
      <c r="E71" s="14">
        <f t="shared" si="63"/>
        <v>633.70066666666685</v>
      </c>
      <c r="F71" s="14">
        <f t="shared" si="63"/>
        <v>0</v>
      </c>
      <c r="G71" s="13">
        <f t="shared" si="63"/>
        <v>0</v>
      </c>
      <c r="H71" s="15">
        <f t="shared" si="63"/>
        <v>0</v>
      </c>
      <c r="I71" s="13">
        <f t="shared" si="63"/>
        <v>0</v>
      </c>
      <c r="J71" s="16">
        <f t="shared" ref="J71" si="77">J113*J179</f>
        <v>786.99999999999989</v>
      </c>
      <c r="K71" s="16">
        <f t="shared" si="63"/>
        <v>4034.3999999999996</v>
      </c>
      <c r="L71" s="15">
        <f t="shared" si="63"/>
        <v>395.93</v>
      </c>
      <c r="M71" s="14">
        <f t="shared" si="63"/>
        <v>233.54166666666666</v>
      </c>
      <c r="N71" s="13">
        <f t="shared" si="63"/>
        <v>66.513333333333335</v>
      </c>
      <c r="O71" s="108" t="s">
        <v>82</v>
      </c>
    </row>
    <row r="72" spans="1:15" outlineLevel="1" x14ac:dyDescent="0.2">
      <c r="A72" s="20">
        <f t="shared" si="69"/>
        <v>13231</v>
      </c>
      <c r="B72" s="19" t="str">
        <f t="shared" si="69"/>
        <v>UHV</v>
      </c>
      <c r="C72" s="55">
        <f t="shared" si="49"/>
        <v>2503.2719813077379</v>
      </c>
      <c r="D72" s="15">
        <f t="shared" si="63"/>
        <v>720.83333333333326</v>
      </c>
      <c r="E72" s="14">
        <f t="shared" si="63"/>
        <v>420.27364797440498</v>
      </c>
      <c r="F72" s="14">
        <f t="shared" si="63"/>
        <v>0</v>
      </c>
      <c r="G72" s="13">
        <f t="shared" si="63"/>
        <v>0</v>
      </c>
      <c r="H72" s="15">
        <f t="shared" si="63"/>
        <v>0</v>
      </c>
      <c r="I72" s="13">
        <f t="shared" si="63"/>
        <v>0</v>
      </c>
      <c r="J72" s="16">
        <f t="shared" ref="J72" si="78">J114*J180</f>
        <v>311.49999999999994</v>
      </c>
      <c r="K72" s="16">
        <f t="shared" si="63"/>
        <v>921.59999999999991</v>
      </c>
      <c r="L72" s="15">
        <f t="shared" si="63"/>
        <v>91.29</v>
      </c>
      <c r="M72" s="14">
        <f t="shared" si="63"/>
        <v>37.041666666666664</v>
      </c>
      <c r="N72" s="13">
        <f t="shared" si="63"/>
        <v>0.73333333333333339</v>
      </c>
      <c r="O72" s="108" t="s">
        <v>82</v>
      </c>
    </row>
    <row r="73" spans="1:15" outlineLevel="1" x14ac:dyDescent="0.2">
      <c r="A73" s="20">
        <f t="shared" si="69"/>
        <v>3592</v>
      </c>
      <c r="B73" s="19" t="str">
        <f t="shared" si="69"/>
        <v>Midwestern</v>
      </c>
      <c r="C73" s="55">
        <f t="shared" si="49"/>
        <v>4158.2854444444447</v>
      </c>
      <c r="D73" s="15">
        <f t="shared" si="63"/>
        <v>1289.5833333333335</v>
      </c>
      <c r="E73" s="14">
        <f t="shared" si="63"/>
        <v>634.54377777777779</v>
      </c>
      <c r="F73" s="14">
        <f t="shared" si="63"/>
        <v>0</v>
      </c>
      <c r="G73" s="13">
        <f t="shared" si="63"/>
        <v>0</v>
      </c>
      <c r="H73" s="15">
        <f t="shared" si="63"/>
        <v>0</v>
      </c>
      <c r="I73" s="13">
        <f t="shared" si="63"/>
        <v>0</v>
      </c>
      <c r="J73" s="16">
        <f t="shared" ref="J73" si="79">J115*J181</f>
        <v>188.5</v>
      </c>
      <c r="K73" s="16">
        <f t="shared" si="63"/>
        <v>1656.8</v>
      </c>
      <c r="L73" s="15">
        <f t="shared" si="63"/>
        <v>183.345</v>
      </c>
      <c r="M73" s="14">
        <f t="shared" si="63"/>
        <v>130.75</v>
      </c>
      <c r="N73" s="13">
        <f t="shared" si="63"/>
        <v>74.763333333333335</v>
      </c>
      <c r="O73" s="108" t="s">
        <v>82</v>
      </c>
    </row>
    <row r="74" spans="1:15" outlineLevel="1" x14ac:dyDescent="0.2">
      <c r="A74" s="20">
        <f t="shared" si="69"/>
        <v>3594</v>
      </c>
      <c r="B74" s="19" t="str">
        <f t="shared" si="69"/>
        <v>UNT</v>
      </c>
      <c r="C74" s="55">
        <f t="shared" si="49"/>
        <v>25758.585277777776</v>
      </c>
      <c r="D74" s="15">
        <f t="shared" si="63"/>
        <v>7520.8333333333339</v>
      </c>
      <c r="E74" s="14">
        <f t="shared" si="63"/>
        <v>4854.6477777777782</v>
      </c>
      <c r="F74" s="14">
        <f t="shared" si="63"/>
        <v>0</v>
      </c>
      <c r="G74" s="13">
        <f t="shared" si="63"/>
        <v>0</v>
      </c>
      <c r="H74" s="15">
        <f t="shared" si="63"/>
        <v>0</v>
      </c>
      <c r="I74" s="13">
        <f t="shared" si="63"/>
        <v>0</v>
      </c>
      <c r="J74" s="16">
        <f t="shared" ref="J74" si="80">J116*J182</f>
        <v>286.25</v>
      </c>
      <c r="K74" s="16">
        <f t="shared" si="63"/>
        <v>9168</v>
      </c>
      <c r="L74" s="15">
        <f t="shared" si="63"/>
        <v>668.49666666666678</v>
      </c>
      <c r="M74" s="14">
        <f t="shared" si="63"/>
        <v>1057.9374999999998</v>
      </c>
      <c r="N74" s="13">
        <f t="shared" si="63"/>
        <v>2202.42</v>
      </c>
      <c r="O74" s="108" t="s">
        <v>80</v>
      </c>
    </row>
    <row r="75" spans="1:15" outlineLevel="1" x14ac:dyDescent="0.2">
      <c r="A75" s="27">
        <f t="shared" si="69"/>
        <v>113594</v>
      </c>
      <c r="B75" s="19" t="str">
        <f t="shared" si="69"/>
        <v>UNTD</v>
      </c>
      <c r="C75" s="55">
        <f t="shared" si="49"/>
        <v>1642.09725</v>
      </c>
      <c r="D75" s="15">
        <f t="shared" ref="D75:N85" si="81">D117*D183</f>
        <v>504.375</v>
      </c>
      <c r="E75" s="14">
        <f t="shared" si="81"/>
        <v>326.22975000000002</v>
      </c>
      <c r="F75" s="14">
        <f t="shared" si="81"/>
        <v>0</v>
      </c>
      <c r="G75" s="13">
        <f t="shared" si="81"/>
        <v>0</v>
      </c>
      <c r="H75" s="15">
        <f t="shared" si="81"/>
        <v>0</v>
      </c>
      <c r="I75" s="13">
        <f t="shared" si="81"/>
        <v>0</v>
      </c>
      <c r="J75" s="16">
        <f t="shared" ref="J75" si="82">J117*J183</f>
        <v>0</v>
      </c>
      <c r="K75" s="16">
        <f t="shared" si="81"/>
        <v>740.4</v>
      </c>
      <c r="L75" s="15">
        <f t="shared" si="81"/>
        <v>60.945</v>
      </c>
      <c r="M75" s="14">
        <f t="shared" si="81"/>
        <v>8.9375</v>
      </c>
      <c r="N75" s="13">
        <f t="shared" si="81"/>
        <v>1.2100000000000002</v>
      </c>
      <c r="O75" s="108" t="s">
        <v>82</v>
      </c>
    </row>
    <row r="76" spans="1:15" outlineLevel="1" x14ac:dyDescent="0.2">
      <c r="A76" s="20">
        <f t="shared" si="69"/>
        <v>3624</v>
      </c>
      <c r="B76" s="19" t="str">
        <f t="shared" si="69"/>
        <v>SFA</v>
      </c>
      <c r="C76" s="55">
        <f t="shared" si="49"/>
        <v>9014.4405000000006</v>
      </c>
      <c r="D76" s="15">
        <f t="shared" si="81"/>
        <v>2402.0833333333335</v>
      </c>
      <c r="E76" s="14">
        <f t="shared" si="81"/>
        <v>1490.4446666666665</v>
      </c>
      <c r="F76" s="14">
        <f t="shared" si="81"/>
        <v>0</v>
      </c>
      <c r="G76" s="13">
        <f t="shared" si="81"/>
        <v>0</v>
      </c>
      <c r="H76" s="15">
        <f t="shared" si="81"/>
        <v>0</v>
      </c>
      <c r="I76" s="13">
        <f t="shared" si="81"/>
        <v>0</v>
      </c>
      <c r="J76" s="16">
        <f t="shared" ref="J76" si="83">J118*J184</f>
        <v>70.416666666666671</v>
      </c>
      <c r="K76" s="16">
        <f t="shared" si="81"/>
        <v>3504.7999999999997</v>
      </c>
      <c r="L76" s="15">
        <f t="shared" si="81"/>
        <v>235.39333333333335</v>
      </c>
      <c r="M76" s="14">
        <f t="shared" si="81"/>
        <v>389.0625</v>
      </c>
      <c r="N76" s="13">
        <f t="shared" si="81"/>
        <v>922.2399999999999</v>
      </c>
      <c r="O76" s="108" t="s">
        <v>83</v>
      </c>
    </row>
    <row r="77" spans="1:15" outlineLevel="1" x14ac:dyDescent="0.2">
      <c r="A77" s="20">
        <f t="shared" si="69"/>
        <v>3642</v>
      </c>
      <c r="B77" s="19" t="str">
        <f t="shared" si="69"/>
        <v>TSU</v>
      </c>
      <c r="C77" s="55">
        <f t="shared" si="49"/>
        <v>3625.4986111111111</v>
      </c>
      <c r="D77" s="15">
        <f t="shared" si="81"/>
        <v>947.91666666666674</v>
      </c>
      <c r="E77" s="14">
        <f t="shared" si="81"/>
        <v>152.52611111111111</v>
      </c>
      <c r="F77" s="14">
        <f t="shared" si="81"/>
        <v>0</v>
      </c>
      <c r="G77" s="13">
        <f t="shared" si="81"/>
        <v>0</v>
      </c>
      <c r="H77" s="15">
        <f t="shared" si="81"/>
        <v>0</v>
      </c>
      <c r="I77" s="13">
        <f t="shared" si="81"/>
        <v>0</v>
      </c>
      <c r="J77" s="16">
        <f t="shared" ref="J77" si="84">J119*J185</f>
        <v>14.125</v>
      </c>
      <c r="K77" s="16">
        <f t="shared" si="81"/>
        <v>1599.2</v>
      </c>
      <c r="L77" s="15">
        <f t="shared" si="81"/>
        <v>139.17333333333332</v>
      </c>
      <c r="M77" s="14">
        <f t="shared" si="81"/>
        <v>212.4375</v>
      </c>
      <c r="N77" s="13">
        <f t="shared" si="81"/>
        <v>560.12</v>
      </c>
      <c r="O77" s="108" t="s">
        <v>81</v>
      </c>
    </row>
    <row r="78" spans="1:15" outlineLevel="1" x14ac:dyDescent="0.2">
      <c r="A78" s="20">
        <f t="shared" si="69"/>
        <v>3644</v>
      </c>
      <c r="B78" s="19" t="str">
        <f t="shared" si="69"/>
        <v>TTU</v>
      </c>
      <c r="C78" s="55">
        <f t="shared" si="49"/>
        <v>21585.154366666666</v>
      </c>
      <c r="D78" s="15">
        <f t="shared" si="81"/>
        <v>5842.5</v>
      </c>
      <c r="E78" s="14">
        <f t="shared" si="81"/>
        <v>4789.9151999999995</v>
      </c>
      <c r="F78" s="14">
        <f t="shared" si="81"/>
        <v>0</v>
      </c>
      <c r="G78" s="13">
        <f t="shared" si="81"/>
        <v>0</v>
      </c>
      <c r="H78" s="15">
        <f t="shared" si="81"/>
        <v>0</v>
      </c>
      <c r="I78" s="13">
        <f t="shared" si="81"/>
        <v>0</v>
      </c>
      <c r="J78" s="16">
        <f t="shared" ref="J78" si="85">J120*J186</f>
        <v>140.45833333333334</v>
      </c>
      <c r="K78" s="16">
        <f t="shared" si="81"/>
        <v>6667.2</v>
      </c>
      <c r="L78" s="15">
        <f t="shared" si="81"/>
        <v>551.25333333333333</v>
      </c>
      <c r="M78" s="14">
        <f t="shared" si="81"/>
        <v>989.68749999999989</v>
      </c>
      <c r="N78" s="13">
        <f t="shared" si="81"/>
        <v>2604.14</v>
      </c>
      <c r="O78" s="108" t="s">
        <v>80</v>
      </c>
    </row>
    <row r="79" spans="1:15" outlineLevel="1" x14ac:dyDescent="0.2">
      <c r="A79" s="20">
        <f t="shared" si="69"/>
        <v>3541</v>
      </c>
      <c r="B79" s="19" t="str">
        <f t="shared" si="69"/>
        <v>Angelo</v>
      </c>
      <c r="C79" s="55">
        <f t="shared" si="49"/>
        <v>4106.918377777778</v>
      </c>
      <c r="D79" s="15">
        <f t="shared" si="81"/>
        <v>1239.1666666666667</v>
      </c>
      <c r="E79" s="14">
        <f t="shared" si="81"/>
        <v>596.32004444444453</v>
      </c>
      <c r="F79" s="14">
        <f t="shared" si="81"/>
        <v>0</v>
      </c>
      <c r="G79" s="13">
        <f t="shared" si="81"/>
        <v>0</v>
      </c>
      <c r="H79" s="15">
        <f t="shared" si="81"/>
        <v>0</v>
      </c>
      <c r="I79" s="13">
        <f t="shared" si="81"/>
        <v>0</v>
      </c>
      <c r="J79" s="16">
        <f t="shared" ref="J79" si="86">J121*J187</f>
        <v>145.75</v>
      </c>
      <c r="K79" s="16">
        <f t="shared" si="81"/>
        <v>1735.2</v>
      </c>
      <c r="L79" s="15">
        <f t="shared" si="81"/>
        <v>183.43</v>
      </c>
      <c r="M79" s="14">
        <f t="shared" si="81"/>
        <v>129.20833333333334</v>
      </c>
      <c r="N79" s="13">
        <f t="shared" si="81"/>
        <v>77.843333333333348</v>
      </c>
      <c r="O79" s="108" t="s">
        <v>82</v>
      </c>
    </row>
    <row r="80" spans="1:15" outlineLevel="1" x14ac:dyDescent="0.2">
      <c r="A80" s="20">
        <f t="shared" ref="A80:B85" si="87">A37</f>
        <v>3646</v>
      </c>
      <c r="B80" s="19" t="str">
        <f t="shared" si="87"/>
        <v>TWU</v>
      </c>
      <c r="C80" s="55">
        <f t="shared" si="49"/>
        <v>7539.1079666666665</v>
      </c>
      <c r="D80" s="15">
        <f t="shared" si="81"/>
        <v>2257.5</v>
      </c>
      <c r="E80" s="14">
        <f t="shared" si="81"/>
        <v>1324.0388000000003</v>
      </c>
      <c r="F80" s="14">
        <f t="shared" si="81"/>
        <v>0</v>
      </c>
      <c r="G80" s="13">
        <f t="shared" si="81"/>
        <v>0</v>
      </c>
      <c r="H80" s="15">
        <f t="shared" si="81"/>
        <v>0</v>
      </c>
      <c r="I80" s="13">
        <f t="shared" si="81"/>
        <v>0</v>
      </c>
      <c r="J80" s="16">
        <f t="shared" ref="J80" si="88">J122*J188</f>
        <v>100.41666666666669</v>
      </c>
      <c r="K80" s="16">
        <f t="shared" si="81"/>
        <v>2992.7999999999997</v>
      </c>
      <c r="L80" s="15">
        <f t="shared" si="81"/>
        <v>186.66</v>
      </c>
      <c r="M80" s="14">
        <f t="shared" si="81"/>
        <v>242.31249999999997</v>
      </c>
      <c r="N80" s="13">
        <f t="shared" si="81"/>
        <v>435.38</v>
      </c>
      <c r="O80" s="108" t="s">
        <v>81</v>
      </c>
    </row>
    <row r="81" spans="1:15" outlineLevel="1" x14ac:dyDescent="0.2">
      <c r="A81" s="20">
        <f t="shared" si="87"/>
        <v>3581</v>
      </c>
      <c r="B81" s="19" t="str">
        <f t="shared" si="87"/>
        <v>Lamar</v>
      </c>
      <c r="C81" s="55">
        <f t="shared" si="49"/>
        <v>5758.855655555556</v>
      </c>
      <c r="D81" s="15">
        <f t="shared" si="81"/>
        <v>1669.1666666666665</v>
      </c>
      <c r="E81" s="14">
        <f t="shared" si="81"/>
        <v>654.9364888888889</v>
      </c>
      <c r="F81" s="14">
        <f t="shared" si="81"/>
        <v>0</v>
      </c>
      <c r="G81" s="13">
        <f t="shared" si="81"/>
        <v>0</v>
      </c>
      <c r="H81" s="15">
        <f t="shared" si="81"/>
        <v>0</v>
      </c>
      <c r="I81" s="13">
        <f t="shared" si="81"/>
        <v>0</v>
      </c>
      <c r="J81" s="16">
        <f t="shared" ref="J81" si="89">J123*J189</f>
        <v>29.208333333333332</v>
      </c>
      <c r="K81" s="16">
        <f t="shared" si="81"/>
        <v>2276.7999999999997</v>
      </c>
      <c r="L81" s="15">
        <f t="shared" si="81"/>
        <v>182.29666666666665</v>
      </c>
      <c r="M81" s="14">
        <f t="shared" si="81"/>
        <v>279.1875</v>
      </c>
      <c r="N81" s="13">
        <f t="shared" si="81"/>
        <v>667.2600000000001</v>
      </c>
      <c r="O81" s="108" t="s">
        <v>83</v>
      </c>
    </row>
    <row r="82" spans="1:15" outlineLevel="1" x14ac:dyDescent="0.2">
      <c r="A82" s="20">
        <f t="shared" si="87"/>
        <v>3606</v>
      </c>
      <c r="B82" s="19" t="str">
        <f t="shared" si="87"/>
        <v>SHSU</v>
      </c>
      <c r="C82" s="55">
        <f t="shared" si="49"/>
        <v>13898.700222222222</v>
      </c>
      <c r="D82" s="15">
        <f t="shared" si="81"/>
        <v>3847.083333333333</v>
      </c>
      <c r="E82" s="14">
        <f t="shared" si="81"/>
        <v>2527.7902222222224</v>
      </c>
      <c r="F82" s="14">
        <f t="shared" si="81"/>
        <v>0</v>
      </c>
      <c r="G82" s="13">
        <f t="shared" si="81"/>
        <v>0</v>
      </c>
      <c r="H82" s="15">
        <f t="shared" si="81"/>
        <v>0</v>
      </c>
      <c r="I82" s="13">
        <f t="shared" si="81"/>
        <v>0</v>
      </c>
      <c r="J82" s="16">
        <f t="shared" ref="J82" si="90">J124*J190</f>
        <v>160.20833333333337</v>
      </c>
      <c r="K82" s="16">
        <f t="shared" si="81"/>
        <v>5312.7999999999993</v>
      </c>
      <c r="L82" s="15">
        <f t="shared" si="81"/>
        <v>331.01833333333337</v>
      </c>
      <c r="M82" s="14">
        <f t="shared" si="81"/>
        <v>556</v>
      </c>
      <c r="N82" s="13">
        <f t="shared" si="81"/>
        <v>1163.8</v>
      </c>
      <c r="O82" s="108" t="s">
        <v>81</v>
      </c>
    </row>
    <row r="83" spans="1:15" outlineLevel="1" x14ac:dyDescent="0.2">
      <c r="A83" s="20">
        <f t="shared" si="87"/>
        <v>3615</v>
      </c>
      <c r="B83" s="19" t="str">
        <f t="shared" si="87"/>
        <v>TXST</v>
      </c>
      <c r="C83" s="55">
        <f t="shared" si="49"/>
        <v>24394.907366666663</v>
      </c>
      <c r="D83" s="15">
        <f t="shared" si="81"/>
        <v>6701.25</v>
      </c>
      <c r="E83" s="14">
        <f t="shared" si="81"/>
        <v>4750.9182000000001</v>
      </c>
      <c r="F83" s="14">
        <f t="shared" si="81"/>
        <v>0</v>
      </c>
      <c r="G83" s="13">
        <f t="shared" si="81"/>
        <v>0</v>
      </c>
      <c r="H83" s="15">
        <f t="shared" si="81"/>
        <v>0</v>
      </c>
      <c r="I83" s="13">
        <f t="shared" si="81"/>
        <v>0</v>
      </c>
      <c r="J83" s="16">
        <f t="shared" ref="J83" si="91">J125*J191</f>
        <v>251.45833333333337</v>
      </c>
      <c r="K83" s="16">
        <f t="shared" si="81"/>
        <v>8820.7999999999993</v>
      </c>
      <c r="L83" s="15">
        <f t="shared" si="81"/>
        <v>634.97833333333335</v>
      </c>
      <c r="M83" s="14">
        <f t="shared" si="81"/>
        <v>1046.0625</v>
      </c>
      <c r="N83" s="13">
        <f t="shared" si="81"/>
        <v>2189.44</v>
      </c>
      <c r="O83" s="108" t="s">
        <v>80</v>
      </c>
    </row>
    <row r="84" spans="1:15" outlineLevel="1" x14ac:dyDescent="0.2">
      <c r="A84" s="20">
        <f t="shared" si="87"/>
        <v>3625</v>
      </c>
      <c r="B84" s="19" t="str">
        <f t="shared" si="87"/>
        <v>SRSU</v>
      </c>
      <c r="C84" s="55">
        <f t="shared" si="49"/>
        <v>817.09340000000009</v>
      </c>
      <c r="D84" s="15">
        <f t="shared" si="81"/>
        <v>236.66666666666669</v>
      </c>
      <c r="E84" s="14">
        <f t="shared" si="81"/>
        <v>79.78506666666668</v>
      </c>
      <c r="F84" s="14">
        <f t="shared" si="81"/>
        <v>0</v>
      </c>
      <c r="G84" s="13">
        <f t="shared" si="81"/>
        <v>0</v>
      </c>
      <c r="H84" s="15">
        <f t="shared" si="81"/>
        <v>0</v>
      </c>
      <c r="I84" s="13">
        <f t="shared" si="81"/>
        <v>0</v>
      </c>
      <c r="J84" s="16">
        <f t="shared" ref="J84" si="92">J126*J192</f>
        <v>32.5</v>
      </c>
      <c r="K84" s="16">
        <f t="shared" si="81"/>
        <v>391.2</v>
      </c>
      <c r="L84" s="15">
        <f t="shared" si="81"/>
        <v>38.25</v>
      </c>
      <c r="M84" s="14">
        <f t="shared" si="81"/>
        <v>24.208333333333332</v>
      </c>
      <c r="N84" s="13">
        <f t="shared" si="81"/>
        <v>14.483333333333334</v>
      </c>
      <c r="O84" s="108" t="s">
        <v>82</v>
      </c>
    </row>
    <row r="85" spans="1:15" outlineLevel="1" x14ac:dyDescent="0.2">
      <c r="A85" s="20">
        <f t="shared" si="87"/>
        <v>20</v>
      </c>
      <c r="B85" s="19" t="str">
        <f t="shared" si="87"/>
        <v>SRRG</v>
      </c>
      <c r="C85" s="55">
        <f t="shared" si="49"/>
        <v>747.23070059900624</v>
      </c>
      <c r="D85" s="15">
        <f t="shared" si="81"/>
        <v>202.08333333333331</v>
      </c>
      <c r="E85" s="14">
        <f t="shared" si="81"/>
        <v>71.912367265672856</v>
      </c>
      <c r="F85" s="14">
        <f t="shared" si="81"/>
        <v>0</v>
      </c>
      <c r="G85" s="13">
        <f t="shared" si="81"/>
        <v>0</v>
      </c>
      <c r="H85" s="15">
        <f t="shared" si="81"/>
        <v>0</v>
      </c>
      <c r="I85" s="13">
        <f t="shared" si="81"/>
        <v>0</v>
      </c>
      <c r="J85" s="16">
        <f t="shared" ref="J85" si="93">J127*J193</f>
        <v>86.25</v>
      </c>
      <c r="K85" s="16">
        <f t="shared" si="81"/>
        <v>345.59999999999997</v>
      </c>
      <c r="L85" s="15">
        <f t="shared" si="81"/>
        <v>29.324999999999999</v>
      </c>
      <c r="M85" s="14">
        <f t="shared" si="81"/>
        <v>11.583333333333336</v>
      </c>
      <c r="N85" s="13">
        <f t="shared" si="81"/>
        <v>0.47666666666666668</v>
      </c>
      <c r="O85" s="108" t="s">
        <v>82</v>
      </c>
    </row>
    <row r="86" spans="1:15" ht="13.5" outlineLevel="1" thickBot="1" x14ac:dyDescent="0.25">
      <c r="A86" s="12"/>
      <c r="B86" s="11" t="s">
        <v>11</v>
      </c>
      <c r="C86" s="54">
        <f t="shared" ref="C86:N86" si="94">SUM(C48:C85)</f>
        <v>374196.15811711556</v>
      </c>
      <c r="D86" s="9">
        <f t="shared" si="94"/>
        <v>105566.87499999999</v>
      </c>
      <c r="E86" s="7">
        <f t="shared" si="94"/>
        <v>79099.996033781994</v>
      </c>
      <c r="F86" s="7">
        <f t="shared" si="94"/>
        <v>0</v>
      </c>
      <c r="G86" s="3">
        <f t="shared" si="94"/>
        <v>0</v>
      </c>
      <c r="H86" s="5">
        <f t="shared" si="94"/>
        <v>0</v>
      </c>
      <c r="I86" s="3">
        <f t="shared" si="94"/>
        <v>0</v>
      </c>
      <c r="J86" s="6">
        <f t="shared" ref="J86" si="95">SUM(J48:J85)</f>
        <v>7109</v>
      </c>
      <c r="K86" s="6">
        <f t="shared" si="94"/>
        <v>122228.00000000001</v>
      </c>
      <c r="L86" s="5">
        <f t="shared" si="94"/>
        <v>10378.889583333337</v>
      </c>
      <c r="M86" s="4">
        <f t="shared" si="94"/>
        <v>14946.770833333334</v>
      </c>
      <c r="N86" s="3">
        <f t="shared" si="94"/>
        <v>34866.626666666671</v>
      </c>
      <c r="O86" s="165"/>
    </row>
    <row r="87" spans="1:15" ht="13.5" thickBot="1" x14ac:dyDescent="0.25">
      <c r="A87" s="57" t="s">
        <v>30</v>
      </c>
    </row>
    <row r="88" spans="1:15" ht="12.75" customHeight="1" outlineLevel="1" x14ac:dyDescent="0.2">
      <c r="A88" s="234" t="s">
        <v>24</v>
      </c>
      <c r="B88" s="236" t="s">
        <v>23</v>
      </c>
      <c r="C88" s="238" t="s">
        <v>77</v>
      </c>
      <c r="D88" s="247" t="s">
        <v>35</v>
      </c>
      <c r="E88" s="248"/>
      <c r="F88" s="248"/>
      <c r="G88" s="249"/>
      <c r="H88" s="250" t="s">
        <v>18</v>
      </c>
      <c r="I88" s="225" t="s">
        <v>17</v>
      </c>
      <c r="J88" s="227" t="str">
        <f>$J$3</f>
        <v>Under Graduate Transfer Degrees</v>
      </c>
      <c r="K88" s="227" t="s">
        <v>16</v>
      </c>
      <c r="L88" s="229" t="s">
        <v>34</v>
      </c>
      <c r="M88" s="230"/>
      <c r="N88" s="230"/>
      <c r="O88" s="232" t="s">
        <v>86</v>
      </c>
    </row>
    <row r="89" spans="1:15" ht="51.75" outlineLevel="1" thickBot="1" x14ac:dyDescent="0.25">
      <c r="A89" s="235"/>
      <c r="B89" s="237"/>
      <c r="C89" s="239"/>
      <c r="D89" s="192"/>
      <c r="E89" s="121" t="s">
        <v>33</v>
      </c>
      <c r="F89" s="121" t="s">
        <v>32</v>
      </c>
      <c r="G89" s="211" t="s">
        <v>31</v>
      </c>
      <c r="H89" s="251"/>
      <c r="I89" s="226"/>
      <c r="J89" s="228"/>
      <c r="K89" s="228"/>
      <c r="L89" s="188" t="s">
        <v>14</v>
      </c>
      <c r="M89" s="189" t="s">
        <v>13</v>
      </c>
      <c r="N89" s="187" t="s">
        <v>12</v>
      </c>
      <c r="O89" s="233"/>
    </row>
    <row r="90" spans="1:15" outlineLevel="1" x14ac:dyDescent="0.2">
      <c r="A90" s="20">
        <f t="shared" ref="A90:B105" si="96">A5</f>
        <v>3656</v>
      </c>
      <c r="B90" s="19" t="str">
        <f t="shared" si="96"/>
        <v>UTA</v>
      </c>
      <c r="C90" s="73">
        <f>SUM(D90:N90)</f>
        <v>1.05</v>
      </c>
      <c r="D90" s="92">
        <f t="shared" ref="D90:N99" si="97">SUMIF($O$131:$O$135,$O90,D$131:D$135)</f>
        <v>0.25</v>
      </c>
      <c r="E90" s="93">
        <f t="shared" si="97"/>
        <v>0.2</v>
      </c>
      <c r="F90" s="93">
        <f t="shared" si="97"/>
        <v>0</v>
      </c>
      <c r="G90" s="94">
        <f t="shared" si="97"/>
        <v>0</v>
      </c>
      <c r="H90" s="92">
        <f t="shared" si="97"/>
        <v>0</v>
      </c>
      <c r="I90" s="94">
        <f t="shared" si="97"/>
        <v>0</v>
      </c>
      <c r="J90" s="95">
        <f t="shared" si="97"/>
        <v>2.5000000000000001E-2</v>
      </c>
      <c r="K90" s="95">
        <f t="shared" si="97"/>
        <v>0.3</v>
      </c>
      <c r="L90" s="92">
        <f t="shared" si="97"/>
        <v>0.05</v>
      </c>
      <c r="M90" s="93">
        <f t="shared" si="97"/>
        <v>7.4999999999999997E-2</v>
      </c>
      <c r="N90" s="94">
        <f t="shared" si="97"/>
        <v>0.15</v>
      </c>
      <c r="O90" s="169" t="s">
        <v>80</v>
      </c>
    </row>
    <row r="91" spans="1:15" outlineLevel="1" x14ac:dyDescent="0.2">
      <c r="A91" s="20">
        <f t="shared" si="96"/>
        <v>3658</v>
      </c>
      <c r="B91" s="19" t="str">
        <f t="shared" si="96"/>
        <v>UT</v>
      </c>
      <c r="C91" s="73">
        <f t="shared" ref="C91:C127" si="98">SUM(D91:N91)</f>
        <v>1.05</v>
      </c>
      <c r="D91" s="74">
        <f t="shared" si="97"/>
        <v>0.25</v>
      </c>
      <c r="E91" s="75">
        <f t="shared" si="97"/>
        <v>0.3</v>
      </c>
      <c r="F91" s="75">
        <f t="shared" si="97"/>
        <v>0</v>
      </c>
      <c r="G91" s="76">
        <f t="shared" si="97"/>
        <v>0</v>
      </c>
      <c r="H91" s="77">
        <f t="shared" si="97"/>
        <v>0</v>
      </c>
      <c r="I91" s="78">
        <f t="shared" si="97"/>
        <v>0</v>
      </c>
      <c r="J91" s="79">
        <f t="shared" si="97"/>
        <v>2.5000000000000001E-2</v>
      </c>
      <c r="K91" s="79">
        <f t="shared" si="97"/>
        <v>0.15</v>
      </c>
      <c r="L91" s="77">
        <f t="shared" si="97"/>
        <v>0.05</v>
      </c>
      <c r="M91" s="80">
        <f t="shared" si="97"/>
        <v>7.4999999999999997E-2</v>
      </c>
      <c r="N91" s="78">
        <f t="shared" si="97"/>
        <v>0.2</v>
      </c>
      <c r="O91" s="108" t="s">
        <v>79</v>
      </c>
    </row>
    <row r="92" spans="1:15" outlineLevel="1" x14ac:dyDescent="0.2">
      <c r="A92" s="20">
        <f t="shared" si="96"/>
        <v>9741</v>
      </c>
      <c r="B92" s="19" t="str">
        <f t="shared" si="96"/>
        <v>UTD</v>
      </c>
      <c r="C92" s="73">
        <f t="shared" si="98"/>
        <v>1.05</v>
      </c>
      <c r="D92" s="74">
        <f t="shared" si="97"/>
        <v>0.25</v>
      </c>
      <c r="E92" s="75">
        <f t="shared" si="97"/>
        <v>0.2</v>
      </c>
      <c r="F92" s="75">
        <f t="shared" si="97"/>
        <v>0</v>
      </c>
      <c r="G92" s="76">
        <f t="shared" si="97"/>
        <v>0</v>
      </c>
      <c r="H92" s="74">
        <f t="shared" si="97"/>
        <v>0</v>
      </c>
      <c r="I92" s="76">
        <f t="shared" si="97"/>
        <v>0</v>
      </c>
      <c r="J92" s="81">
        <f t="shared" si="97"/>
        <v>2.5000000000000001E-2</v>
      </c>
      <c r="K92" s="81">
        <f t="shared" si="97"/>
        <v>0.3</v>
      </c>
      <c r="L92" s="74">
        <f t="shared" si="97"/>
        <v>0.05</v>
      </c>
      <c r="M92" s="75">
        <f t="shared" si="97"/>
        <v>7.4999999999999997E-2</v>
      </c>
      <c r="N92" s="76">
        <f t="shared" si="97"/>
        <v>0.15</v>
      </c>
      <c r="O92" s="108" t="s">
        <v>80</v>
      </c>
    </row>
    <row r="93" spans="1:15" outlineLevel="1" x14ac:dyDescent="0.2">
      <c r="A93" s="20">
        <f t="shared" si="96"/>
        <v>3661</v>
      </c>
      <c r="B93" s="19" t="str">
        <f t="shared" si="96"/>
        <v>UTEP</v>
      </c>
      <c r="C93" s="73">
        <f t="shared" si="98"/>
        <v>1.05</v>
      </c>
      <c r="D93" s="74">
        <f t="shared" si="97"/>
        <v>0.25</v>
      </c>
      <c r="E93" s="75">
        <f t="shared" si="97"/>
        <v>0.2</v>
      </c>
      <c r="F93" s="75">
        <f t="shared" si="97"/>
        <v>0</v>
      </c>
      <c r="G93" s="76">
        <f t="shared" si="97"/>
        <v>0</v>
      </c>
      <c r="H93" s="74">
        <f t="shared" si="97"/>
        <v>0</v>
      </c>
      <c r="I93" s="76">
        <f t="shared" si="97"/>
        <v>0</v>
      </c>
      <c r="J93" s="81">
        <f t="shared" si="97"/>
        <v>2.5000000000000001E-2</v>
      </c>
      <c r="K93" s="81">
        <f t="shared" si="97"/>
        <v>0.3</v>
      </c>
      <c r="L93" s="74">
        <f t="shared" si="97"/>
        <v>0.05</v>
      </c>
      <c r="M93" s="75">
        <f t="shared" si="97"/>
        <v>7.4999999999999997E-2</v>
      </c>
      <c r="N93" s="76">
        <f t="shared" si="97"/>
        <v>0.15</v>
      </c>
      <c r="O93" s="108" t="s">
        <v>80</v>
      </c>
    </row>
    <row r="94" spans="1:15" outlineLevel="1" x14ac:dyDescent="0.2">
      <c r="A94" s="20">
        <f t="shared" si="96"/>
        <v>3599</v>
      </c>
      <c r="B94" s="19" t="str">
        <f t="shared" si="96"/>
        <v>UTPA</v>
      </c>
      <c r="C94" s="73">
        <f t="shared" si="98"/>
        <v>1.05</v>
      </c>
      <c r="D94" s="74">
        <f t="shared" si="97"/>
        <v>0.25</v>
      </c>
      <c r="E94" s="75">
        <f t="shared" si="97"/>
        <v>0.2</v>
      </c>
      <c r="F94" s="75">
        <f t="shared" si="97"/>
        <v>0</v>
      </c>
      <c r="G94" s="76">
        <f t="shared" si="97"/>
        <v>0</v>
      </c>
      <c r="H94" s="74">
        <f t="shared" si="97"/>
        <v>0</v>
      </c>
      <c r="I94" s="76">
        <f t="shared" si="97"/>
        <v>0</v>
      </c>
      <c r="J94" s="81">
        <f t="shared" si="97"/>
        <v>2.5000000000000001E-2</v>
      </c>
      <c r="K94" s="81">
        <f t="shared" si="97"/>
        <v>0.3</v>
      </c>
      <c r="L94" s="74">
        <f t="shared" si="97"/>
        <v>0.05</v>
      </c>
      <c r="M94" s="75">
        <f t="shared" si="97"/>
        <v>7.4999999999999997E-2</v>
      </c>
      <c r="N94" s="76">
        <f t="shared" si="97"/>
        <v>0.15</v>
      </c>
      <c r="O94" s="108" t="s">
        <v>81</v>
      </c>
    </row>
    <row r="95" spans="1:15" outlineLevel="1" x14ac:dyDescent="0.2">
      <c r="A95" s="20">
        <f t="shared" si="96"/>
        <v>30646</v>
      </c>
      <c r="B95" s="19" t="str">
        <f t="shared" si="96"/>
        <v>UTB</v>
      </c>
      <c r="C95" s="73">
        <f t="shared" si="98"/>
        <v>1.0499999999999998</v>
      </c>
      <c r="D95" s="74">
        <f t="shared" si="97"/>
        <v>0.25</v>
      </c>
      <c r="E95" s="75">
        <f t="shared" si="97"/>
        <v>0.2</v>
      </c>
      <c r="F95" s="75">
        <f t="shared" si="97"/>
        <v>0</v>
      </c>
      <c r="G95" s="76">
        <f t="shared" si="97"/>
        <v>0</v>
      </c>
      <c r="H95" s="74">
        <f t="shared" si="97"/>
        <v>0</v>
      </c>
      <c r="I95" s="76">
        <f t="shared" si="97"/>
        <v>0</v>
      </c>
      <c r="J95" s="81">
        <f t="shared" si="97"/>
        <v>0.15</v>
      </c>
      <c r="K95" s="81">
        <f t="shared" si="97"/>
        <v>0.3</v>
      </c>
      <c r="L95" s="74">
        <f t="shared" si="97"/>
        <v>7.4999999999999997E-2</v>
      </c>
      <c r="M95" s="75">
        <f t="shared" si="97"/>
        <v>0.05</v>
      </c>
      <c r="N95" s="76">
        <f t="shared" si="97"/>
        <v>2.5000000000000001E-2</v>
      </c>
      <c r="O95" s="108" t="s">
        <v>82</v>
      </c>
    </row>
    <row r="96" spans="1:15" outlineLevel="1" x14ac:dyDescent="0.2">
      <c r="A96" s="20">
        <f t="shared" si="96"/>
        <v>9930</v>
      </c>
      <c r="B96" s="19" t="str">
        <f t="shared" si="96"/>
        <v>UTPB</v>
      </c>
      <c r="C96" s="73">
        <f t="shared" si="98"/>
        <v>1.0499999999999998</v>
      </c>
      <c r="D96" s="74">
        <f t="shared" si="97"/>
        <v>0.25</v>
      </c>
      <c r="E96" s="75">
        <f t="shared" si="97"/>
        <v>0.2</v>
      </c>
      <c r="F96" s="75">
        <f t="shared" si="97"/>
        <v>0</v>
      </c>
      <c r="G96" s="76">
        <f t="shared" si="97"/>
        <v>0</v>
      </c>
      <c r="H96" s="74">
        <f t="shared" si="97"/>
        <v>0</v>
      </c>
      <c r="I96" s="76">
        <f t="shared" si="97"/>
        <v>0</v>
      </c>
      <c r="J96" s="81">
        <f t="shared" si="97"/>
        <v>0.15</v>
      </c>
      <c r="K96" s="81">
        <f t="shared" si="97"/>
        <v>0.3</v>
      </c>
      <c r="L96" s="74">
        <f t="shared" si="97"/>
        <v>7.4999999999999997E-2</v>
      </c>
      <c r="M96" s="75">
        <f t="shared" si="97"/>
        <v>0.05</v>
      </c>
      <c r="N96" s="76">
        <f t="shared" si="97"/>
        <v>2.5000000000000001E-2</v>
      </c>
      <c r="O96" s="108" t="s">
        <v>82</v>
      </c>
    </row>
    <row r="97" spans="1:15" outlineLevel="1" x14ac:dyDescent="0.2">
      <c r="A97" s="20">
        <f t="shared" si="96"/>
        <v>10115</v>
      </c>
      <c r="B97" s="19" t="str">
        <f t="shared" si="96"/>
        <v>UTSA</v>
      </c>
      <c r="C97" s="73">
        <f t="shared" si="98"/>
        <v>1.05</v>
      </c>
      <c r="D97" s="74">
        <f t="shared" si="97"/>
        <v>0.25</v>
      </c>
      <c r="E97" s="75">
        <f t="shared" si="97"/>
        <v>0.2</v>
      </c>
      <c r="F97" s="75">
        <f t="shared" si="97"/>
        <v>0</v>
      </c>
      <c r="G97" s="76">
        <f t="shared" si="97"/>
        <v>0</v>
      </c>
      <c r="H97" s="74">
        <f t="shared" si="97"/>
        <v>0</v>
      </c>
      <c r="I97" s="76">
        <f t="shared" si="97"/>
        <v>0</v>
      </c>
      <c r="J97" s="81">
        <f t="shared" si="97"/>
        <v>2.5000000000000001E-2</v>
      </c>
      <c r="K97" s="81">
        <f t="shared" si="97"/>
        <v>0.3</v>
      </c>
      <c r="L97" s="74">
        <f t="shared" si="97"/>
        <v>0.05</v>
      </c>
      <c r="M97" s="75">
        <f t="shared" si="97"/>
        <v>7.4999999999999997E-2</v>
      </c>
      <c r="N97" s="76">
        <f t="shared" si="97"/>
        <v>0.15</v>
      </c>
      <c r="O97" s="108" t="s">
        <v>80</v>
      </c>
    </row>
    <row r="98" spans="1:15" outlineLevel="1" x14ac:dyDescent="0.2">
      <c r="A98" s="20">
        <f t="shared" si="96"/>
        <v>11163</v>
      </c>
      <c r="B98" s="19" t="str">
        <f t="shared" si="96"/>
        <v>UTT</v>
      </c>
      <c r="C98" s="73">
        <f t="shared" si="98"/>
        <v>1.0499999999999998</v>
      </c>
      <c r="D98" s="74">
        <f t="shared" si="97"/>
        <v>0.25</v>
      </c>
      <c r="E98" s="75">
        <f t="shared" si="97"/>
        <v>0.2</v>
      </c>
      <c r="F98" s="75">
        <f t="shared" si="97"/>
        <v>0</v>
      </c>
      <c r="G98" s="76">
        <f t="shared" si="97"/>
        <v>0</v>
      </c>
      <c r="H98" s="74">
        <f t="shared" si="97"/>
        <v>0</v>
      </c>
      <c r="I98" s="76">
        <f t="shared" si="97"/>
        <v>0</v>
      </c>
      <c r="J98" s="81">
        <f t="shared" si="97"/>
        <v>0.15</v>
      </c>
      <c r="K98" s="81">
        <f t="shared" si="97"/>
        <v>0.3</v>
      </c>
      <c r="L98" s="74">
        <f t="shared" si="97"/>
        <v>7.4999999999999997E-2</v>
      </c>
      <c r="M98" s="75">
        <f t="shared" si="97"/>
        <v>0.05</v>
      </c>
      <c r="N98" s="76">
        <f t="shared" si="97"/>
        <v>2.5000000000000001E-2</v>
      </c>
      <c r="O98" s="108" t="s">
        <v>82</v>
      </c>
    </row>
    <row r="99" spans="1:15" outlineLevel="1" x14ac:dyDescent="0.2">
      <c r="A99" s="20">
        <f t="shared" si="96"/>
        <v>3632</v>
      </c>
      <c r="B99" s="19" t="str">
        <f t="shared" si="96"/>
        <v>TAMU</v>
      </c>
      <c r="C99" s="73">
        <f t="shared" si="98"/>
        <v>1.05</v>
      </c>
      <c r="D99" s="74">
        <f t="shared" si="97"/>
        <v>0.25</v>
      </c>
      <c r="E99" s="75">
        <f t="shared" si="97"/>
        <v>0.3</v>
      </c>
      <c r="F99" s="75">
        <f t="shared" si="97"/>
        <v>0</v>
      </c>
      <c r="G99" s="76">
        <f t="shared" si="97"/>
        <v>0</v>
      </c>
      <c r="H99" s="77">
        <f t="shared" si="97"/>
        <v>0</v>
      </c>
      <c r="I99" s="78">
        <f t="shared" si="97"/>
        <v>0</v>
      </c>
      <c r="J99" s="79">
        <f t="shared" si="97"/>
        <v>2.5000000000000001E-2</v>
      </c>
      <c r="K99" s="79">
        <f t="shared" si="97"/>
        <v>0.15</v>
      </c>
      <c r="L99" s="77">
        <f t="shared" si="97"/>
        <v>0.05</v>
      </c>
      <c r="M99" s="80">
        <f t="shared" si="97"/>
        <v>7.4999999999999997E-2</v>
      </c>
      <c r="N99" s="78">
        <f t="shared" si="97"/>
        <v>0.2</v>
      </c>
      <c r="O99" s="108" t="s">
        <v>79</v>
      </c>
    </row>
    <row r="100" spans="1:15" outlineLevel="1" x14ac:dyDescent="0.2">
      <c r="A100" s="20">
        <f t="shared" si="96"/>
        <v>10298</v>
      </c>
      <c r="B100" s="19" t="str">
        <f t="shared" si="96"/>
        <v>TAMUG</v>
      </c>
      <c r="C100" s="73">
        <f t="shared" si="98"/>
        <v>1.0499999999999998</v>
      </c>
      <c r="D100" s="74">
        <f t="shared" ref="D100:N109" si="99">SUMIF($O$131:$O$135,$O100,D$131:D$135)</f>
        <v>0.25</v>
      </c>
      <c r="E100" s="75">
        <f t="shared" si="99"/>
        <v>0.2</v>
      </c>
      <c r="F100" s="75">
        <f t="shared" si="99"/>
        <v>0</v>
      </c>
      <c r="G100" s="76">
        <f t="shared" si="99"/>
        <v>0</v>
      </c>
      <c r="H100" s="74">
        <f t="shared" si="99"/>
        <v>0</v>
      </c>
      <c r="I100" s="76">
        <f t="shared" si="99"/>
        <v>0</v>
      </c>
      <c r="J100" s="81">
        <f t="shared" si="99"/>
        <v>0.15</v>
      </c>
      <c r="K100" s="81">
        <f t="shared" si="99"/>
        <v>0.3</v>
      </c>
      <c r="L100" s="74">
        <f t="shared" si="99"/>
        <v>7.4999999999999997E-2</v>
      </c>
      <c r="M100" s="75">
        <f t="shared" si="99"/>
        <v>0.05</v>
      </c>
      <c r="N100" s="76">
        <f t="shared" si="99"/>
        <v>2.5000000000000001E-2</v>
      </c>
      <c r="O100" s="108" t="s">
        <v>82</v>
      </c>
    </row>
    <row r="101" spans="1:15" outlineLevel="1" x14ac:dyDescent="0.2">
      <c r="A101" s="20">
        <f t="shared" si="96"/>
        <v>3630</v>
      </c>
      <c r="B101" s="19" t="str">
        <f t="shared" si="96"/>
        <v>Prairie View</v>
      </c>
      <c r="C101" s="73">
        <f t="shared" si="98"/>
        <v>1.05</v>
      </c>
      <c r="D101" s="74">
        <f t="shared" si="99"/>
        <v>0.25</v>
      </c>
      <c r="E101" s="75">
        <f t="shared" si="99"/>
        <v>0.2</v>
      </c>
      <c r="F101" s="75">
        <f t="shared" si="99"/>
        <v>0</v>
      </c>
      <c r="G101" s="76">
        <f t="shared" si="99"/>
        <v>0</v>
      </c>
      <c r="H101" s="74">
        <f t="shared" si="99"/>
        <v>0</v>
      </c>
      <c r="I101" s="76">
        <f t="shared" si="99"/>
        <v>0</v>
      </c>
      <c r="J101" s="81">
        <f t="shared" si="99"/>
        <v>2.5000000000000001E-2</v>
      </c>
      <c r="K101" s="81">
        <f t="shared" si="99"/>
        <v>0.3</v>
      </c>
      <c r="L101" s="74">
        <f t="shared" si="99"/>
        <v>0.05</v>
      </c>
      <c r="M101" s="75">
        <f t="shared" si="99"/>
        <v>7.4999999999999997E-2</v>
      </c>
      <c r="N101" s="76">
        <f t="shared" si="99"/>
        <v>0.15</v>
      </c>
      <c r="O101" s="108" t="s">
        <v>83</v>
      </c>
    </row>
    <row r="102" spans="1:15" outlineLevel="1" x14ac:dyDescent="0.2">
      <c r="A102" s="20">
        <f t="shared" si="96"/>
        <v>3631</v>
      </c>
      <c r="B102" s="19" t="str">
        <f t="shared" si="96"/>
        <v>Tarleton</v>
      </c>
      <c r="C102" s="73">
        <f t="shared" si="98"/>
        <v>1.05</v>
      </c>
      <c r="D102" s="74">
        <f t="shared" si="99"/>
        <v>0.25</v>
      </c>
      <c r="E102" s="75">
        <f t="shared" si="99"/>
        <v>0.2</v>
      </c>
      <c r="F102" s="75">
        <f t="shared" si="99"/>
        <v>0</v>
      </c>
      <c r="G102" s="76">
        <f t="shared" si="99"/>
        <v>0</v>
      </c>
      <c r="H102" s="74">
        <f t="shared" si="99"/>
        <v>0</v>
      </c>
      <c r="I102" s="76">
        <f t="shared" si="99"/>
        <v>0</v>
      </c>
      <c r="J102" s="81">
        <f t="shared" si="99"/>
        <v>2.5000000000000001E-2</v>
      </c>
      <c r="K102" s="81">
        <f t="shared" si="99"/>
        <v>0.3</v>
      </c>
      <c r="L102" s="74">
        <f t="shared" si="99"/>
        <v>0.05</v>
      </c>
      <c r="M102" s="75">
        <f t="shared" si="99"/>
        <v>7.4999999999999997E-2</v>
      </c>
      <c r="N102" s="76">
        <f t="shared" si="99"/>
        <v>0.15</v>
      </c>
      <c r="O102" s="108" t="s">
        <v>83</v>
      </c>
    </row>
    <row r="103" spans="1:15" outlineLevel="1" x14ac:dyDescent="0.2">
      <c r="A103" s="27">
        <f t="shared" si="96"/>
        <v>103631</v>
      </c>
      <c r="B103" s="19" t="str">
        <f t="shared" si="96"/>
        <v>TAMUCT</v>
      </c>
      <c r="C103" s="73">
        <f t="shared" si="98"/>
        <v>1.0499999999999998</v>
      </c>
      <c r="D103" s="74">
        <f t="shared" si="99"/>
        <v>0.25</v>
      </c>
      <c r="E103" s="75">
        <f t="shared" si="99"/>
        <v>0.2</v>
      </c>
      <c r="F103" s="75">
        <f t="shared" si="99"/>
        <v>0</v>
      </c>
      <c r="G103" s="76">
        <f t="shared" si="99"/>
        <v>0</v>
      </c>
      <c r="H103" s="74">
        <f t="shared" si="99"/>
        <v>0</v>
      </c>
      <c r="I103" s="76">
        <f t="shared" si="99"/>
        <v>0</v>
      </c>
      <c r="J103" s="81">
        <f t="shared" si="99"/>
        <v>0.15</v>
      </c>
      <c r="K103" s="81">
        <f t="shared" si="99"/>
        <v>0.3</v>
      </c>
      <c r="L103" s="74">
        <f t="shared" si="99"/>
        <v>7.4999999999999997E-2</v>
      </c>
      <c r="M103" s="75">
        <f t="shared" si="99"/>
        <v>0.05</v>
      </c>
      <c r="N103" s="76">
        <f t="shared" si="99"/>
        <v>2.5000000000000001E-2</v>
      </c>
      <c r="O103" s="108" t="s">
        <v>82</v>
      </c>
    </row>
    <row r="104" spans="1:15" outlineLevel="1" x14ac:dyDescent="0.2">
      <c r="A104" s="20">
        <f t="shared" si="96"/>
        <v>11161</v>
      </c>
      <c r="B104" s="19" t="str">
        <f t="shared" si="96"/>
        <v>TAMUCC</v>
      </c>
      <c r="C104" s="73">
        <f t="shared" si="98"/>
        <v>1.05</v>
      </c>
      <c r="D104" s="74">
        <f t="shared" si="99"/>
        <v>0.25</v>
      </c>
      <c r="E104" s="75">
        <f t="shared" si="99"/>
        <v>0.2</v>
      </c>
      <c r="F104" s="75">
        <f t="shared" si="99"/>
        <v>0</v>
      </c>
      <c r="G104" s="76">
        <f t="shared" si="99"/>
        <v>0</v>
      </c>
      <c r="H104" s="74">
        <f t="shared" si="99"/>
        <v>0</v>
      </c>
      <c r="I104" s="76">
        <f t="shared" si="99"/>
        <v>0</v>
      </c>
      <c r="J104" s="81">
        <f t="shared" si="99"/>
        <v>2.5000000000000001E-2</v>
      </c>
      <c r="K104" s="81">
        <f t="shared" si="99"/>
        <v>0.3</v>
      </c>
      <c r="L104" s="74">
        <f t="shared" si="99"/>
        <v>0.05</v>
      </c>
      <c r="M104" s="75">
        <f t="shared" si="99"/>
        <v>7.4999999999999997E-2</v>
      </c>
      <c r="N104" s="76">
        <f t="shared" si="99"/>
        <v>0.15</v>
      </c>
      <c r="O104" s="108" t="s">
        <v>81</v>
      </c>
    </row>
    <row r="105" spans="1:15" outlineLevel="1" x14ac:dyDescent="0.2">
      <c r="A105" s="20">
        <f t="shared" si="96"/>
        <v>3639</v>
      </c>
      <c r="B105" s="19" t="str">
        <f t="shared" si="96"/>
        <v>TAMUK</v>
      </c>
      <c r="C105" s="73">
        <f t="shared" si="98"/>
        <v>1.05</v>
      </c>
      <c r="D105" s="74">
        <f t="shared" si="99"/>
        <v>0.25</v>
      </c>
      <c r="E105" s="75">
        <f t="shared" si="99"/>
        <v>0.2</v>
      </c>
      <c r="F105" s="75">
        <f t="shared" si="99"/>
        <v>0</v>
      </c>
      <c r="G105" s="76">
        <f t="shared" si="99"/>
        <v>0</v>
      </c>
      <c r="H105" s="74">
        <f t="shared" si="99"/>
        <v>0</v>
      </c>
      <c r="I105" s="76">
        <f t="shared" si="99"/>
        <v>0</v>
      </c>
      <c r="J105" s="81">
        <f t="shared" si="99"/>
        <v>2.5000000000000001E-2</v>
      </c>
      <c r="K105" s="81">
        <f t="shared" si="99"/>
        <v>0.3</v>
      </c>
      <c r="L105" s="74">
        <f t="shared" si="99"/>
        <v>0.05</v>
      </c>
      <c r="M105" s="75">
        <f t="shared" si="99"/>
        <v>7.4999999999999997E-2</v>
      </c>
      <c r="N105" s="76">
        <f t="shared" si="99"/>
        <v>0.15</v>
      </c>
      <c r="O105" s="108" t="s">
        <v>81</v>
      </c>
    </row>
    <row r="106" spans="1:15" outlineLevel="1" x14ac:dyDescent="0.2">
      <c r="A106" s="27">
        <f t="shared" ref="A106:B121" si="100">A21</f>
        <v>103639</v>
      </c>
      <c r="B106" s="19" t="str">
        <f t="shared" si="100"/>
        <v>TAMUSA</v>
      </c>
      <c r="C106" s="73">
        <f t="shared" si="98"/>
        <v>1.0499999999999998</v>
      </c>
      <c r="D106" s="74">
        <f t="shared" si="99"/>
        <v>0.25</v>
      </c>
      <c r="E106" s="75">
        <f t="shared" si="99"/>
        <v>0.2</v>
      </c>
      <c r="F106" s="75">
        <f t="shared" si="99"/>
        <v>0</v>
      </c>
      <c r="G106" s="76">
        <f t="shared" si="99"/>
        <v>0</v>
      </c>
      <c r="H106" s="74">
        <f t="shared" si="99"/>
        <v>0</v>
      </c>
      <c r="I106" s="76">
        <f t="shared" si="99"/>
        <v>0</v>
      </c>
      <c r="J106" s="81">
        <f t="shared" si="99"/>
        <v>0.15</v>
      </c>
      <c r="K106" s="81">
        <f t="shared" si="99"/>
        <v>0.3</v>
      </c>
      <c r="L106" s="74">
        <f t="shared" si="99"/>
        <v>7.4999999999999997E-2</v>
      </c>
      <c r="M106" s="75">
        <f t="shared" si="99"/>
        <v>0.05</v>
      </c>
      <c r="N106" s="76">
        <f t="shared" si="99"/>
        <v>2.5000000000000001E-2</v>
      </c>
      <c r="O106" s="108" t="s">
        <v>82</v>
      </c>
    </row>
    <row r="107" spans="1:15" outlineLevel="1" x14ac:dyDescent="0.2">
      <c r="A107" s="20">
        <f t="shared" si="100"/>
        <v>9651</v>
      </c>
      <c r="B107" s="19" t="str">
        <f t="shared" si="100"/>
        <v>TAMI</v>
      </c>
      <c r="C107" s="73">
        <f t="shared" si="98"/>
        <v>1.05</v>
      </c>
      <c r="D107" s="74">
        <f t="shared" si="99"/>
        <v>0.25</v>
      </c>
      <c r="E107" s="75">
        <f t="shared" si="99"/>
        <v>0.2</v>
      </c>
      <c r="F107" s="75">
        <f t="shared" si="99"/>
        <v>0</v>
      </c>
      <c r="G107" s="76">
        <f t="shared" si="99"/>
        <v>0</v>
      </c>
      <c r="H107" s="74">
        <f t="shared" si="99"/>
        <v>0</v>
      </c>
      <c r="I107" s="76">
        <f t="shared" si="99"/>
        <v>0</v>
      </c>
      <c r="J107" s="81">
        <f t="shared" si="99"/>
        <v>2.5000000000000001E-2</v>
      </c>
      <c r="K107" s="81">
        <f t="shared" si="99"/>
        <v>0.3</v>
      </c>
      <c r="L107" s="74">
        <f t="shared" si="99"/>
        <v>0.05</v>
      </c>
      <c r="M107" s="75">
        <f t="shared" si="99"/>
        <v>7.4999999999999997E-2</v>
      </c>
      <c r="N107" s="76">
        <f t="shared" si="99"/>
        <v>0.15</v>
      </c>
      <c r="O107" s="108" t="s">
        <v>83</v>
      </c>
    </row>
    <row r="108" spans="1:15" outlineLevel="1" x14ac:dyDescent="0.2">
      <c r="A108" s="20">
        <f t="shared" si="100"/>
        <v>3665</v>
      </c>
      <c r="B108" s="19" t="str">
        <f t="shared" si="100"/>
        <v>WTAMU</v>
      </c>
      <c r="C108" s="73">
        <f t="shared" si="98"/>
        <v>1.05</v>
      </c>
      <c r="D108" s="74">
        <f t="shared" si="99"/>
        <v>0.25</v>
      </c>
      <c r="E108" s="75">
        <f t="shared" si="99"/>
        <v>0.2</v>
      </c>
      <c r="F108" s="75">
        <f t="shared" si="99"/>
        <v>0</v>
      </c>
      <c r="G108" s="76">
        <f t="shared" si="99"/>
        <v>0</v>
      </c>
      <c r="H108" s="74">
        <f t="shared" si="99"/>
        <v>0</v>
      </c>
      <c r="I108" s="76">
        <f t="shared" si="99"/>
        <v>0</v>
      </c>
      <c r="J108" s="81">
        <f t="shared" si="99"/>
        <v>2.5000000000000001E-2</v>
      </c>
      <c r="K108" s="81">
        <f t="shared" si="99"/>
        <v>0.3</v>
      </c>
      <c r="L108" s="74">
        <f t="shared" si="99"/>
        <v>0.05</v>
      </c>
      <c r="M108" s="75">
        <f t="shared" si="99"/>
        <v>7.4999999999999997E-2</v>
      </c>
      <c r="N108" s="76">
        <f t="shared" si="99"/>
        <v>0.15</v>
      </c>
      <c r="O108" s="108" t="s">
        <v>83</v>
      </c>
    </row>
    <row r="109" spans="1:15" outlineLevel="1" x14ac:dyDescent="0.2">
      <c r="A109" s="20">
        <f t="shared" si="100"/>
        <v>3565</v>
      </c>
      <c r="B109" s="19" t="str">
        <f t="shared" si="100"/>
        <v>TAMUC</v>
      </c>
      <c r="C109" s="73">
        <f t="shared" si="98"/>
        <v>1.05</v>
      </c>
      <c r="D109" s="74">
        <f t="shared" si="99"/>
        <v>0.25</v>
      </c>
      <c r="E109" s="75">
        <f t="shared" si="99"/>
        <v>0.2</v>
      </c>
      <c r="F109" s="75">
        <f t="shared" si="99"/>
        <v>0</v>
      </c>
      <c r="G109" s="76">
        <f t="shared" si="99"/>
        <v>0</v>
      </c>
      <c r="H109" s="74">
        <f t="shared" si="99"/>
        <v>0</v>
      </c>
      <c r="I109" s="76">
        <f t="shared" si="99"/>
        <v>0</v>
      </c>
      <c r="J109" s="81">
        <f t="shared" si="99"/>
        <v>2.5000000000000001E-2</v>
      </c>
      <c r="K109" s="81">
        <f t="shared" si="99"/>
        <v>0.3</v>
      </c>
      <c r="L109" s="74">
        <f t="shared" si="99"/>
        <v>0.05</v>
      </c>
      <c r="M109" s="75">
        <f t="shared" si="99"/>
        <v>7.4999999999999997E-2</v>
      </c>
      <c r="N109" s="76">
        <f t="shared" si="99"/>
        <v>0.15</v>
      </c>
      <c r="O109" s="108" t="s">
        <v>81</v>
      </c>
    </row>
    <row r="110" spans="1:15" outlineLevel="1" x14ac:dyDescent="0.2">
      <c r="A110" s="20">
        <f t="shared" si="100"/>
        <v>29269</v>
      </c>
      <c r="B110" s="19" t="str">
        <f t="shared" si="100"/>
        <v>TAMUT</v>
      </c>
      <c r="C110" s="73">
        <f t="shared" si="98"/>
        <v>1.0499999999999998</v>
      </c>
      <c r="D110" s="74">
        <f t="shared" ref="D110:N119" si="101">SUMIF($O$131:$O$135,$O110,D$131:D$135)</f>
        <v>0.25</v>
      </c>
      <c r="E110" s="75">
        <f t="shared" si="101"/>
        <v>0.2</v>
      </c>
      <c r="F110" s="75">
        <f t="shared" si="101"/>
        <v>0</v>
      </c>
      <c r="G110" s="76">
        <f t="shared" si="101"/>
        <v>0</v>
      </c>
      <c r="H110" s="74">
        <f t="shared" si="101"/>
        <v>0</v>
      </c>
      <c r="I110" s="76">
        <f t="shared" si="101"/>
        <v>0</v>
      </c>
      <c r="J110" s="81">
        <f t="shared" si="101"/>
        <v>0.15</v>
      </c>
      <c r="K110" s="81">
        <f t="shared" si="101"/>
        <v>0.3</v>
      </c>
      <c r="L110" s="74">
        <f t="shared" si="101"/>
        <v>7.4999999999999997E-2</v>
      </c>
      <c r="M110" s="75">
        <f t="shared" si="101"/>
        <v>0.05</v>
      </c>
      <c r="N110" s="76">
        <f t="shared" si="101"/>
        <v>2.5000000000000001E-2</v>
      </c>
      <c r="O110" s="108" t="s">
        <v>82</v>
      </c>
    </row>
    <row r="111" spans="1:15" outlineLevel="1" x14ac:dyDescent="0.2">
      <c r="A111" s="20">
        <f t="shared" si="100"/>
        <v>3652</v>
      </c>
      <c r="B111" s="19" t="str">
        <f t="shared" si="100"/>
        <v>UH</v>
      </c>
      <c r="C111" s="73">
        <f t="shared" si="98"/>
        <v>1.05</v>
      </c>
      <c r="D111" s="74">
        <f t="shared" si="101"/>
        <v>0.25</v>
      </c>
      <c r="E111" s="75">
        <f t="shared" si="101"/>
        <v>0.2</v>
      </c>
      <c r="F111" s="75">
        <f t="shared" si="101"/>
        <v>0</v>
      </c>
      <c r="G111" s="76">
        <f t="shared" si="101"/>
        <v>0</v>
      </c>
      <c r="H111" s="74">
        <f t="shared" si="101"/>
        <v>0</v>
      </c>
      <c r="I111" s="76">
        <f t="shared" si="101"/>
        <v>0</v>
      </c>
      <c r="J111" s="81">
        <f t="shared" si="101"/>
        <v>2.5000000000000001E-2</v>
      </c>
      <c r="K111" s="81">
        <f t="shared" si="101"/>
        <v>0.3</v>
      </c>
      <c r="L111" s="74">
        <f t="shared" si="101"/>
        <v>0.05</v>
      </c>
      <c r="M111" s="75">
        <f t="shared" si="101"/>
        <v>7.4999999999999997E-2</v>
      </c>
      <c r="N111" s="76">
        <f t="shared" si="101"/>
        <v>0.15</v>
      </c>
      <c r="O111" s="108" t="s">
        <v>80</v>
      </c>
    </row>
    <row r="112" spans="1:15" outlineLevel="1" x14ac:dyDescent="0.2">
      <c r="A112" s="20">
        <f t="shared" si="100"/>
        <v>11711</v>
      </c>
      <c r="B112" s="19" t="str">
        <f t="shared" si="100"/>
        <v>UHCL</v>
      </c>
      <c r="C112" s="73">
        <f t="shared" si="98"/>
        <v>1.0499999999999998</v>
      </c>
      <c r="D112" s="74">
        <f t="shared" si="101"/>
        <v>0.25</v>
      </c>
      <c r="E112" s="75">
        <f t="shared" si="101"/>
        <v>0.2</v>
      </c>
      <c r="F112" s="75">
        <f t="shared" si="101"/>
        <v>0</v>
      </c>
      <c r="G112" s="76">
        <f t="shared" si="101"/>
        <v>0</v>
      </c>
      <c r="H112" s="74">
        <f t="shared" si="101"/>
        <v>0</v>
      </c>
      <c r="I112" s="76">
        <f t="shared" si="101"/>
        <v>0</v>
      </c>
      <c r="J112" s="81">
        <f t="shared" si="101"/>
        <v>0.15</v>
      </c>
      <c r="K112" s="81">
        <f t="shared" si="101"/>
        <v>0.3</v>
      </c>
      <c r="L112" s="74">
        <f t="shared" si="101"/>
        <v>7.4999999999999997E-2</v>
      </c>
      <c r="M112" s="75">
        <f t="shared" si="101"/>
        <v>0.05</v>
      </c>
      <c r="N112" s="76">
        <f t="shared" si="101"/>
        <v>2.5000000000000001E-2</v>
      </c>
      <c r="O112" s="108" t="s">
        <v>82</v>
      </c>
    </row>
    <row r="113" spans="1:20" outlineLevel="1" x14ac:dyDescent="0.2">
      <c r="A113" s="20">
        <f t="shared" si="100"/>
        <v>12826</v>
      </c>
      <c r="B113" s="19" t="str">
        <f t="shared" si="100"/>
        <v>UHD</v>
      </c>
      <c r="C113" s="73">
        <f t="shared" si="98"/>
        <v>1.0499999999999998</v>
      </c>
      <c r="D113" s="74">
        <f t="shared" si="101"/>
        <v>0.25</v>
      </c>
      <c r="E113" s="75">
        <f t="shared" si="101"/>
        <v>0.2</v>
      </c>
      <c r="F113" s="75">
        <f t="shared" si="101"/>
        <v>0</v>
      </c>
      <c r="G113" s="76">
        <f t="shared" si="101"/>
        <v>0</v>
      </c>
      <c r="H113" s="74">
        <f t="shared" si="101"/>
        <v>0</v>
      </c>
      <c r="I113" s="76">
        <f t="shared" si="101"/>
        <v>0</v>
      </c>
      <c r="J113" s="81">
        <f t="shared" si="101"/>
        <v>0.15</v>
      </c>
      <c r="K113" s="81">
        <f t="shared" si="101"/>
        <v>0.3</v>
      </c>
      <c r="L113" s="74">
        <f t="shared" si="101"/>
        <v>7.4999999999999997E-2</v>
      </c>
      <c r="M113" s="75">
        <f t="shared" si="101"/>
        <v>0.05</v>
      </c>
      <c r="N113" s="76">
        <f t="shared" si="101"/>
        <v>2.5000000000000001E-2</v>
      </c>
      <c r="O113" s="108" t="s">
        <v>82</v>
      </c>
    </row>
    <row r="114" spans="1:20" outlineLevel="1" x14ac:dyDescent="0.2">
      <c r="A114" s="20">
        <f t="shared" si="100"/>
        <v>13231</v>
      </c>
      <c r="B114" s="19" t="str">
        <f t="shared" si="100"/>
        <v>UHV</v>
      </c>
      <c r="C114" s="73">
        <f t="shared" si="98"/>
        <v>1.0499999999999998</v>
      </c>
      <c r="D114" s="74">
        <f t="shared" si="101"/>
        <v>0.25</v>
      </c>
      <c r="E114" s="75">
        <f t="shared" si="101"/>
        <v>0.2</v>
      </c>
      <c r="F114" s="75">
        <f t="shared" si="101"/>
        <v>0</v>
      </c>
      <c r="G114" s="76">
        <f t="shared" si="101"/>
        <v>0</v>
      </c>
      <c r="H114" s="74">
        <f t="shared" si="101"/>
        <v>0</v>
      </c>
      <c r="I114" s="76">
        <f t="shared" si="101"/>
        <v>0</v>
      </c>
      <c r="J114" s="81">
        <f t="shared" si="101"/>
        <v>0.15</v>
      </c>
      <c r="K114" s="81">
        <f t="shared" si="101"/>
        <v>0.3</v>
      </c>
      <c r="L114" s="74">
        <f t="shared" si="101"/>
        <v>7.4999999999999997E-2</v>
      </c>
      <c r="M114" s="75">
        <f t="shared" si="101"/>
        <v>0.05</v>
      </c>
      <c r="N114" s="76">
        <f t="shared" si="101"/>
        <v>2.5000000000000001E-2</v>
      </c>
      <c r="O114" s="108" t="s">
        <v>82</v>
      </c>
    </row>
    <row r="115" spans="1:20" outlineLevel="1" x14ac:dyDescent="0.2">
      <c r="A115" s="20">
        <f t="shared" si="100"/>
        <v>3592</v>
      </c>
      <c r="B115" s="19" t="str">
        <f t="shared" si="100"/>
        <v>Midwestern</v>
      </c>
      <c r="C115" s="73">
        <f t="shared" si="98"/>
        <v>1.0499999999999998</v>
      </c>
      <c r="D115" s="74">
        <f t="shared" si="101"/>
        <v>0.25</v>
      </c>
      <c r="E115" s="75">
        <f t="shared" si="101"/>
        <v>0.2</v>
      </c>
      <c r="F115" s="75">
        <f t="shared" si="101"/>
        <v>0</v>
      </c>
      <c r="G115" s="76">
        <f t="shared" si="101"/>
        <v>0</v>
      </c>
      <c r="H115" s="74">
        <f t="shared" si="101"/>
        <v>0</v>
      </c>
      <c r="I115" s="76">
        <f t="shared" si="101"/>
        <v>0</v>
      </c>
      <c r="J115" s="81">
        <f t="shared" si="101"/>
        <v>0.15</v>
      </c>
      <c r="K115" s="81">
        <f t="shared" si="101"/>
        <v>0.3</v>
      </c>
      <c r="L115" s="74">
        <f t="shared" si="101"/>
        <v>7.4999999999999997E-2</v>
      </c>
      <c r="M115" s="75">
        <f t="shared" si="101"/>
        <v>0.05</v>
      </c>
      <c r="N115" s="76">
        <f t="shared" si="101"/>
        <v>2.5000000000000001E-2</v>
      </c>
      <c r="O115" s="108" t="s">
        <v>82</v>
      </c>
    </row>
    <row r="116" spans="1:20" outlineLevel="1" x14ac:dyDescent="0.2">
      <c r="A116" s="20">
        <f t="shared" si="100"/>
        <v>3594</v>
      </c>
      <c r="B116" s="19" t="str">
        <f t="shared" si="100"/>
        <v>UNT</v>
      </c>
      <c r="C116" s="73">
        <f t="shared" si="98"/>
        <v>1.05</v>
      </c>
      <c r="D116" s="74">
        <f t="shared" si="101"/>
        <v>0.25</v>
      </c>
      <c r="E116" s="75">
        <f t="shared" si="101"/>
        <v>0.2</v>
      </c>
      <c r="F116" s="75">
        <f t="shared" si="101"/>
        <v>0</v>
      </c>
      <c r="G116" s="76">
        <f t="shared" si="101"/>
        <v>0</v>
      </c>
      <c r="H116" s="74">
        <f t="shared" si="101"/>
        <v>0</v>
      </c>
      <c r="I116" s="76">
        <f t="shared" si="101"/>
        <v>0</v>
      </c>
      <c r="J116" s="81">
        <f t="shared" si="101"/>
        <v>2.5000000000000001E-2</v>
      </c>
      <c r="K116" s="81">
        <f t="shared" si="101"/>
        <v>0.3</v>
      </c>
      <c r="L116" s="74">
        <f t="shared" si="101"/>
        <v>0.05</v>
      </c>
      <c r="M116" s="75">
        <f t="shared" si="101"/>
        <v>7.4999999999999997E-2</v>
      </c>
      <c r="N116" s="76">
        <f t="shared" si="101"/>
        <v>0.15</v>
      </c>
      <c r="O116" s="108" t="s">
        <v>80</v>
      </c>
      <c r="R116" s="87"/>
      <c r="T116" s="87"/>
    </row>
    <row r="117" spans="1:20" outlineLevel="1" x14ac:dyDescent="0.2">
      <c r="A117" s="27">
        <f t="shared" si="100"/>
        <v>113594</v>
      </c>
      <c r="B117" s="19" t="str">
        <f t="shared" si="100"/>
        <v>UNTD</v>
      </c>
      <c r="C117" s="73">
        <f t="shared" si="98"/>
        <v>1.0499999999999998</v>
      </c>
      <c r="D117" s="74">
        <f t="shared" si="101"/>
        <v>0.25</v>
      </c>
      <c r="E117" s="75">
        <f t="shared" si="101"/>
        <v>0.2</v>
      </c>
      <c r="F117" s="75">
        <f t="shared" si="101"/>
        <v>0</v>
      </c>
      <c r="G117" s="76">
        <f t="shared" si="101"/>
        <v>0</v>
      </c>
      <c r="H117" s="74">
        <f t="shared" si="101"/>
        <v>0</v>
      </c>
      <c r="I117" s="76">
        <f t="shared" si="101"/>
        <v>0</v>
      </c>
      <c r="J117" s="81">
        <f t="shared" si="101"/>
        <v>0.15</v>
      </c>
      <c r="K117" s="81">
        <f t="shared" si="101"/>
        <v>0.3</v>
      </c>
      <c r="L117" s="74">
        <f t="shared" si="101"/>
        <v>7.4999999999999997E-2</v>
      </c>
      <c r="M117" s="75">
        <f t="shared" si="101"/>
        <v>0.05</v>
      </c>
      <c r="N117" s="76">
        <f t="shared" si="101"/>
        <v>2.5000000000000001E-2</v>
      </c>
      <c r="O117" s="108" t="s">
        <v>82</v>
      </c>
    </row>
    <row r="118" spans="1:20" outlineLevel="1" x14ac:dyDescent="0.2">
      <c r="A118" s="20">
        <f t="shared" si="100"/>
        <v>3624</v>
      </c>
      <c r="B118" s="19" t="str">
        <f t="shared" si="100"/>
        <v>SFA</v>
      </c>
      <c r="C118" s="73">
        <f t="shared" si="98"/>
        <v>1.05</v>
      </c>
      <c r="D118" s="74">
        <f t="shared" si="101"/>
        <v>0.25</v>
      </c>
      <c r="E118" s="75">
        <f t="shared" si="101"/>
        <v>0.2</v>
      </c>
      <c r="F118" s="75">
        <f t="shared" si="101"/>
        <v>0</v>
      </c>
      <c r="G118" s="76">
        <f t="shared" si="101"/>
        <v>0</v>
      </c>
      <c r="H118" s="74">
        <f t="shared" si="101"/>
        <v>0</v>
      </c>
      <c r="I118" s="76">
        <f t="shared" si="101"/>
        <v>0</v>
      </c>
      <c r="J118" s="81">
        <f t="shared" si="101"/>
        <v>2.5000000000000001E-2</v>
      </c>
      <c r="K118" s="81">
        <f t="shared" si="101"/>
        <v>0.3</v>
      </c>
      <c r="L118" s="74">
        <f t="shared" si="101"/>
        <v>0.05</v>
      </c>
      <c r="M118" s="75">
        <f t="shared" si="101"/>
        <v>7.4999999999999997E-2</v>
      </c>
      <c r="N118" s="76">
        <f t="shared" si="101"/>
        <v>0.15</v>
      </c>
      <c r="O118" s="108" t="s">
        <v>83</v>
      </c>
    </row>
    <row r="119" spans="1:20" outlineLevel="1" x14ac:dyDescent="0.2">
      <c r="A119" s="20">
        <f t="shared" si="100"/>
        <v>3642</v>
      </c>
      <c r="B119" s="19" t="str">
        <f t="shared" si="100"/>
        <v>TSU</v>
      </c>
      <c r="C119" s="73">
        <f t="shared" si="98"/>
        <v>1.05</v>
      </c>
      <c r="D119" s="74">
        <f t="shared" si="101"/>
        <v>0.25</v>
      </c>
      <c r="E119" s="75">
        <f t="shared" si="101"/>
        <v>0.2</v>
      </c>
      <c r="F119" s="75">
        <f t="shared" si="101"/>
        <v>0</v>
      </c>
      <c r="G119" s="76">
        <f t="shared" si="101"/>
        <v>0</v>
      </c>
      <c r="H119" s="74">
        <f t="shared" si="101"/>
        <v>0</v>
      </c>
      <c r="I119" s="76">
        <f t="shared" si="101"/>
        <v>0</v>
      </c>
      <c r="J119" s="81">
        <f t="shared" si="101"/>
        <v>2.5000000000000001E-2</v>
      </c>
      <c r="K119" s="81">
        <f t="shared" si="101"/>
        <v>0.3</v>
      </c>
      <c r="L119" s="74">
        <f t="shared" si="101"/>
        <v>0.05</v>
      </c>
      <c r="M119" s="75">
        <f t="shared" si="101"/>
        <v>7.4999999999999997E-2</v>
      </c>
      <c r="N119" s="76">
        <f t="shared" si="101"/>
        <v>0.15</v>
      </c>
      <c r="O119" s="108" t="s">
        <v>81</v>
      </c>
    </row>
    <row r="120" spans="1:20" outlineLevel="1" x14ac:dyDescent="0.2">
      <c r="A120" s="20">
        <f t="shared" si="100"/>
        <v>3644</v>
      </c>
      <c r="B120" s="19" t="str">
        <f t="shared" si="100"/>
        <v>TTU</v>
      </c>
      <c r="C120" s="73">
        <f t="shared" si="98"/>
        <v>1.05</v>
      </c>
      <c r="D120" s="74">
        <f t="shared" ref="D120:N127" si="102">SUMIF($O$131:$O$135,$O120,D$131:D$135)</f>
        <v>0.25</v>
      </c>
      <c r="E120" s="75">
        <f t="shared" si="102"/>
        <v>0.2</v>
      </c>
      <c r="F120" s="75">
        <f t="shared" si="102"/>
        <v>0</v>
      </c>
      <c r="G120" s="76">
        <f t="shared" si="102"/>
        <v>0</v>
      </c>
      <c r="H120" s="74">
        <f t="shared" si="102"/>
        <v>0</v>
      </c>
      <c r="I120" s="76">
        <f t="shared" si="102"/>
        <v>0</v>
      </c>
      <c r="J120" s="81">
        <f t="shared" si="102"/>
        <v>2.5000000000000001E-2</v>
      </c>
      <c r="K120" s="81">
        <f t="shared" si="102"/>
        <v>0.3</v>
      </c>
      <c r="L120" s="74">
        <f t="shared" si="102"/>
        <v>0.05</v>
      </c>
      <c r="M120" s="75">
        <f t="shared" si="102"/>
        <v>7.4999999999999997E-2</v>
      </c>
      <c r="N120" s="76">
        <f t="shared" si="102"/>
        <v>0.15</v>
      </c>
      <c r="O120" s="108" t="s">
        <v>80</v>
      </c>
    </row>
    <row r="121" spans="1:20" outlineLevel="1" x14ac:dyDescent="0.2">
      <c r="A121" s="20">
        <f t="shared" si="100"/>
        <v>3541</v>
      </c>
      <c r="B121" s="19" t="str">
        <f t="shared" si="100"/>
        <v>Angelo</v>
      </c>
      <c r="C121" s="73">
        <f t="shared" si="98"/>
        <v>1.0499999999999998</v>
      </c>
      <c r="D121" s="74">
        <f t="shared" si="102"/>
        <v>0.25</v>
      </c>
      <c r="E121" s="75">
        <f t="shared" si="102"/>
        <v>0.2</v>
      </c>
      <c r="F121" s="75">
        <f t="shared" si="102"/>
        <v>0</v>
      </c>
      <c r="G121" s="76">
        <f t="shared" si="102"/>
        <v>0</v>
      </c>
      <c r="H121" s="74">
        <f t="shared" si="102"/>
        <v>0</v>
      </c>
      <c r="I121" s="76">
        <f t="shared" si="102"/>
        <v>0</v>
      </c>
      <c r="J121" s="81">
        <f t="shared" si="102"/>
        <v>0.15</v>
      </c>
      <c r="K121" s="81">
        <f t="shared" si="102"/>
        <v>0.3</v>
      </c>
      <c r="L121" s="74">
        <f t="shared" si="102"/>
        <v>7.4999999999999997E-2</v>
      </c>
      <c r="M121" s="75">
        <f t="shared" si="102"/>
        <v>0.05</v>
      </c>
      <c r="N121" s="76">
        <f t="shared" si="102"/>
        <v>2.5000000000000001E-2</v>
      </c>
      <c r="O121" s="108" t="s">
        <v>82</v>
      </c>
    </row>
    <row r="122" spans="1:20" outlineLevel="1" x14ac:dyDescent="0.2">
      <c r="A122" s="20">
        <f t="shared" ref="A122:B127" si="103">A37</f>
        <v>3646</v>
      </c>
      <c r="B122" s="19" t="str">
        <f t="shared" si="103"/>
        <v>TWU</v>
      </c>
      <c r="C122" s="73">
        <f t="shared" si="98"/>
        <v>1.05</v>
      </c>
      <c r="D122" s="74">
        <f t="shared" si="102"/>
        <v>0.25</v>
      </c>
      <c r="E122" s="75">
        <f t="shared" si="102"/>
        <v>0.2</v>
      </c>
      <c r="F122" s="75">
        <f t="shared" si="102"/>
        <v>0</v>
      </c>
      <c r="G122" s="76">
        <f t="shared" si="102"/>
        <v>0</v>
      </c>
      <c r="H122" s="74">
        <f t="shared" si="102"/>
        <v>0</v>
      </c>
      <c r="I122" s="76">
        <f t="shared" si="102"/>
        <v>0</v>
      </c>
      <c r="J122" s="81">
        <f t="shared" si="102"/>
        <v>2.5000000000000001E-2</v>
      </c>
      <c r="K122" s="81">
        <f t="shared" si="102"/>
        <v>0.3</v>
      </c>
      <c r="L122" s="74">
        <f t="shared" si="102"/>
        <v>0.05</v>
      </c>
      <c r="M122" s="75">
        <f t="shared" si="102"/>
        <v>7.4999999999999997E-2</v>
      </c>
      <c r="N122" s="76">
        <f t="shared" si="102"/>
        <v>0.15</v>
      </c>
      <c r="O122" s="108" t="s">
        <v>81</v>
      </c>
    </row>
    <row r="123" spans="1:20" outlineLevel="1" x14ac:dyDescent="0.2">
      <c r="A123" s="20">
        <f t="shared" si="103"/>
        <v>3581</v>
      </c>
      <c r="B123" s="19" t="str">
        <f t="shared" si="103"/>
        <v>Lamar</v>
      </c>
      <c r="C123" s="73">
        <f t="shared" si="98"/>
        <v>1.05</v>
      </c>
      <c r="D123" s="74">
        <f t="shared" si="102"/>
        <v>0.25</v>
      </c>
      <c r="E123" s="75">
        <f t="shared" si="102"/>
        <v>0.2</v>
      </c>
      <c r="F123" s="75">
        <f t="shared" si="102"/>
        <v>0</v>
      </c>
      <c r="G123" s="76">
        <f t="shared" si="102"/>
        <v>0</v>
      </c>
      <c r="H123" s="74">
        <f t="shared" si="102"/>
        <v>0</v>
      </c>
      <c r="I123" s="76">
        <f t="shared" si="102"/>
        <v>0</v>
      </c>
      <c r="J123" s="81">
        <f t="shared" si="102"/>
        <v>2.5000000000000001E-2</v>
      </c>
      <c r="K123" s="81">
        <f t="shared" si="102"/>
        <v>0.3</v>
      </c>
      <c r="L123" s="74">
        <f t="shared" si="102"/>
        <v>0.05</v>
      </c>
      <c r="M123" s="75">
        <f t="shared" si="102"/>
        <v>7.4999999999999997E-2</v>
      </c>
      <c r="N123" s="76">
        <f t="shared" si="102"/>
        <v>0.15</v>
      </c>
      <c r="O123" s="108" t="s">
        <v>83</v>
      </c>
    </row>
    <row r="124" spans="1:20" outlineLevel="1" x14ac:dyDescent="0.2">
      <c r="A124" s="20">
        <f t="shared" si="103"/>
        <v>3606</v>
      </c>
      <c r="B124" s="19" t="str">
        <f t="shared" si="103"/>
        <v>SHSU</v>
      </c>
      <c r="C124" s="73">
        <f t="shared" si="98"/>
        <v>1.05</v>
      </c>
      <c r="D124" s="74">
        <f t="shared" si="102"/>
        <v>0.25</v>
      </c>
      <c r="E124" s="75">
        <f t="shared" si="102"/>
        <v>0.2</v>
      </c>
      <c r="F124" s="75">
        <f t="shared" si="102"/>
        <v>0</v>
      </c>
      <c r="G124" s="76">
        <f t="shared" si="102"/>
        <v>0</v>
      </c>
      <c r="H124" s="74">
        <f t="shared" si="102"/>
        <v>0</v>
      </c>
      <c r="I124" s="76">
        <f t="shared" si="102"/>
        <v>0</v>
      </c>
      <c r="J124" s="81">
        <f t="shared" si="102"/>
        <v>2.5000000000000001E-2</v>
      </c>
      <c r="K124" s="81">
        <f t="shared" si="102"/>
        <v>0.3</v>
      </c>
      <c r="L124" s="74">
        <f t="shared" si="102"/>
        <v>0.05</v>
      </c>
      <c r="M124" s="75">
        <f t="shared" si="102"/>
        <v>7.4999999999999997E-2</v>
      </c>
      <c r="N124" s="76">
        <f t="shared" si="102"/>
        <v>0.15</v>
      </c>
      <c r="O124" s="108" t="s">
        <v>81</v>
      </c>
    </row>
    <row r="125" spans="1:20" outlineLevel="1" x14ac:dyDescent="0.2">
      <c r="A125" s="20">
        <f t="shared" si="103"/>
        <v>3615</v>
      </c>
      <c r="B125" s="19" t="str">
        <f t="shared" si="103"/>
        <v>TXST</v>
      </c>
      <c r="C125" s="73">
        <f t="shared" si="98"/>
        <v>1.05</v>
      </c>
      <c r="D125" s="74">
        <f t="shared" si="102"/>
        <v>0.25</v>
      </c>
      <c r="E125" s="75">
        <f t="shared" si="102"/>
        <v>0.2</v>
      </c>
      <c r="F125" s="75">
        <f t="shared" si="102"/>
        <v>0</v>
      </c>
      <c r="G125" s="76">
        <f t="shared" si="102"/>
        <v>0</v>
      </c>
      <c r="H125" s="74">
        <f t="shared" si="102"/>
        <v>0</v>
      </c>
      <c r="I125" s="76">
        <f t="shared" si="102"/>
        <v>0</v>
      </c>
      <c r="J125" s="81">
        <f t="shared" si="102"/>
        <v>2.5000000000000001E-2</v>
      </c>
      <c r="K125" s="81">
        <f t="shared" si="102"/>
        <v>0.3</v>
      </c>
      <c r="L125" s="74">
        <f t="shared" si="102"/>
        <v>0.05</v>
      </c>
      <c r="M125" s="75">
        <f t="shared" si="102"/>
        <v>7.4999999999999997E-2</v>
      </c>
      <c r="N125" s="76">
        <f t="shared" si="102"/>
        <v>0.15</v>
      </c>
      <c r="O125" s="108" t="s">
        <v>80</v>
      </c>
    </row>
    <row r="126" spans="1:20" outlineLevel="1" x14ac:dyDescent="0.2">
      <c r="A126" s="20">
        <f t="shared" si="103"/>
        <v>3625</v>
      </c>
      <c r="B126" s="19" t="str">
        <f t="shared" si="103"/>
        <v>SRSU</v>
      </c>
      <c r="C126" s="73">
        <f t="shared" si="98"/>
        <v>1.0499999999999998</v>
      </c>
      <c r="D126" s="74">
        <f t="shared" si="102"/>
        <v>0.25</v>
      </c>
      <c r="E126" s="75">
        <f t="shared" si="102"/>
        <v>0.2</v>
      </c>
      <c r="F126" s="75">
        <f t="shared" si="102"/>
        <v>0</v>
      </c>
      <c r="G126" s="76">
        <f t="shared" si="102"/>
        <v>0</v>
      </c>
      <c r="H126" s="74">
        <f t="shared" si="102"/>
        <v>0</v>
      </c>
      <c r="I126" s="76">
        <f t="shared" si="102"/>
        <v>0</v>
      </c>
      <c r="J126" s="81">
        <f t="shared" si="102"/>
        <v>0.15</v>
      </c>
      <c r="K126" s="81">
        <f t="shared" si="102"/>
        <v>0.3</v>
      </c>
      <c r="L126" s="74">
        <f t="shared" si="102"/>
        <v>7.4999999999999997E-2</v>
      </c>
      <c r="M126" s="75">
        <f t="shared" si="102"/>
        <v>0.05</v>
      </c>
      <c r="N126" s="76">
        <f t="shared" si="102"/>
        <v>2.5000000000000001E-2</v>
      </c>
      <c r="O126" s="108" t="s">
        <v>82</v>
      </c>
    </row>
    <row r="127" spans="1:20" ht="13.5" outlineLevel="1" thickBot="1" x14ac:dyDescent="0.25">
      <c r="A127" s="136">
        <f t="shared" si="103"/>
        <v>20</v>
      </c>
      <c r="B127" s="137" t="str">
        <f t="shared" si="103"/>
        <v>SRRG</v>
      </c>
      <c r="C127" s="173">
        <f t="shared" si="98"/>
        <v>1.0499999999999998</v>
      </c>
      <c r="D127" s="174">
        <f t="shared" si="102"/>
        <v>0.25</v>
      </c>
      <c r="E127" s="175">
        <f t="shared" si="102"/>
        <v>0.2</v>
      </c>
      <c r="F127" s="175">
        <f t="shared" si="102"/>
        <v>0</v>
      </c>
      <c r="G127" s="176">
        <f t="shared" si="102"/>
        <v>0</v>
      </c>
      <c r="H127" s="174">
        <f t="shared" si="102"/>
        <v>0</v>
      </c>
      <c r="I127" s="176">
        <f t="shared" si="102"/>
        <v>0</v>
      </c>
      <c r="J127" s="177">
        <f t="shared" si="102"/>
        <v>0.15</v>
      </c>
      <c r="K127" s="177">
        <f t="shared" si="102"/>
        <v>0.3</v>
      </c>
      <c r="L127" s="174">
        <f t="shared" si="102"/>
        <v>7.4999999999999997E-2</v>
      </c>
      <c r="M127" s="175">
        <f t="shared" si="102"/>
        <v>0.05</v>
      </c>
      <c r="N127" s="176">
        <f t="shared" si="102"/>
        <v>2.5000000000000001E-2</v>
      </c>
      <c r="O127" s="170" t="s">
        <v>82</v>
      </c>
    </row>
    <row r="128" spans="1:20" ht="13.5" thickBot="1" x14ac:dyDescent="0.25">
      <c r="A128" s="86" t="s">
        <v>84</v>
      </c>
      <c r="B128" s="59"/>
      <c r="C128" s="84"/>
      <c r="D128" s="84"/>
      <c r="E128" s="84"/>
      <c r="F128" s="84"/>
      <c r="G128" s="84"/>
      <c r="H128" s="84"/>
      <c r="I128" s="84"/>
      <c r="J128" s="84"/>
      <c r="K128" s="84"/>
      <c r="L128" s="84"/>
      <c r="M128" s="84"/>
      <c r="N128" s="84"/>
      <c r="O128" s="85"/>
    </row>
    <row r="129" spans="1:15" ht="12.75" customHeight="1" x14ac:dyDescent="0.2">
      <c r="A129" s="83"/>
      <c r="B129" s="59"/>
      <c r="C129" s="252" t="s">
        <v>77</v>
      </c>
      <c r="D129" s="247" t="s">
        <v>35</v>
      </c>
      <c r="E129" s="248"/>
      <c r="F129" s="248"/>
      <c r="G129" s="249"/>
      <c r="H129" s="250" t="s">
        <v>18</v>
      </c>
      <c r="I129" s="225" t="s">
        <v>17</v>
      </c>
      <c r="J129" s="227" t="str">
        <f>$J$3</f>
        <v>Under Graduate Transfer Degrees</v>
      </c>
      <c r="K129" s="227" t="s">
        <v>16</v>
      </c>
      <c r="L129" s="229" t="s">
        <v>34</v>
      </c>
      <c r="M129" s="230"/>
      <c r="N129" s="230"/>
      <c r="O129" s="232" t="s">
        <v>86</v>
      </c>
    </row>
    <row r="130" spans="1:15" ht="51" x14ac:dyDescent="0.2">
      <c r="A130" s="83"/>
      <c r="B130" s="59"/>
      <c r="C130" s="253"/>
      <c r="D130" s="192"/>
      <c r="E130" s="121" t="s">
        <v>33</v>
      </c>
      <c r="F130" s="121" t="s">
        <v>32</v>
      </c>
      <c r="G130" s="211" t="s">
        <v>31</v>
      </c>
      <c r="H130" s="251"/>
      <c r="I130" s="226"/>
      <c r="J130" s="228"/>
      <c r="K130" s="228"/>
      <c r="L130" s="188" t="s">
        <v>14</v>
      </c>
      <c r="M130" s="189" t="s">
        <v>13</v>
      </c>
      <c r="N130" s="187" t="s">
        <v>12</v>
      </c>
      <c r="O130" s="233"/>
    </row>
    <row r="131" spans="1:15" x14ac:dyDescent="0.2">
      <c r="A131" s="83"/>
      <c r="B131" s="59"/>
      <c r="C131" s="194">
        <f>SUM(D131:N131)-I131</f>
        <v>1.05</v>
      </c>
      <c r="D131" s="195">
        <f t="shared" ref="D131:H135" si="104">HLOOKUP(D143,$D$149:$M$150,2,0)</f>
        <v>0.25</v>
      </c>
      <c r="E131" s="196">
        <f t="shared" si="104"/>
        <v>0.3</v>
      </c>
      <c r="F131" s="196">
        <f t="shared" si="104"/>
        <v>0</v>
      </c>
      <c r="G131" s="197">
        <f t="shared" si="104"/>
        <v>0</v>
      </c>
      <c r="H131" s="195">
        <f t="shared" si="104"/>
        <v>0</v>
      </c>
      <c r="I131" s="197">
        <f>H131</f>
        <v>0</v>
      </c>
      <c r="J131" s="195">
        <f t="shared" ref="J131:N135" si="105">HLOOKUP(J143,$D$149:$M$150,2,0)</f>
        <v>2.5000000000000001E-2</v>
      </c>
      <c r="K131" s="195">
        <f t="shared" si="105"/>
        <v>0.15</v>
      </c>
      <c r="L131" s="195">
        <f t="shared" si="105"/>
        <v>0.05</v>
      </c>
      <c r="M131" s="196">
        <f t="shared" si="105"/>
        <v>7.4999999999999997E-2</v>
      </c>
      <c r="N131" s="197">
        <f t="shared" si="105"/>
        <v>0.2</v>
      </c>
      <c r="O131" s="110" t="s">
        <v>79</v>
      </c>
    </row>
    <row r="132" spans="1:15" x14ac:dyDescent="0.2">
      <c r="A132" s="83"/>
      <c r="B132" s="59"/>
      <c r="C132" s="171">
        <f>SUM(D132:N132)-I132</f>
        <v>1.05</v>
      </c>
      <c r="D132" s="95">
        <f t="shared" si="104"/>
        <v>0.25</v>
      </c>
      <c r="E132" s="96">
        <f t="shared" si="104"/>
        <v>0.2</v>
      </c>
      <c r="F132" s="96">
        <f t="shared" si="104"/>
        <v>0</v>
      </c>
      <c r="G132" s="97">
        <f t="shared" si="104"/>
        <v>0</v>
      </c>
      <c r="H132" s="95">
        <f t="shared" si="104"/>
        <v>0</v>
      </c>
      <c r="I132" s="97">
        <f>H132</f>
        <v>0</v>
      </c>
      <c r="J132" s="95">
        <f t="shared" si="105"/>
        <v>2.5000000000000001E-2</v>
      </c>
      <c r="K132" s="95">
        <f t="shared" si="105"/>
        <v>0.3</v>
      </c>
      <c r="L132" s="95">
        <f t="shared" si="105"/>
        <v>0.05</v>
      </c>
      <c r="M132" s="96">
        <f t="shared" si="105"/>
        <v>7.4999999999999997E-2</v>
      </c>
      <c r="N132" s="97">
        <f t="shared" si="105"/>
        <v>0.15</v>
      </c>
      <c r="O132" s="108" t="s">
        <v>80</v>
      </c>
    </row>
    <row r="133" spans="1:15" x14ac:dyDescent="0.2">
      <c r="A133" s="83"/>
      <c r="B133" s="59"/>
      <c r="C133" s="171">
        <f>SUM(D133:N133)-I133</f>
        <v>1.05</v>
      </c>
      <c r="D133" s="95">
        <f t="shared" si="104"/>
        <v>0.25</v>
      </c>
      <c r="E133" s="96">
        <f t="shared" si="104"/>
        <v>0.2</v>
      </c>
      <c r="F133" s="96">
        <f t="shared" si="104"/>
        <v>0</v>
      </c>
      <c r="G133" s="97">
        <f t="shared" si="104"/>
        <v>0</v>
      </c>
      <c r="H133" s="95">
        <f t="shared" si="104"/>
        <v>0</v>
      </c>
      <c r="I133" s="97">
        <f>H133</f>
        <v>0</v>
      </c>
      <c r="J133" s="95">
        <f t="shared" si="105"/>
        <v>2.5000000000000001E-2</v>
      </c>
      <c r="K133" s="95">
        <f t="shared" si="105"/>
        <v>0.3</v>
      </c>
      <c r="L133" s="95">
        <f t="shared" si="105"/>
        <v>0.05</v>
      </c>
      <c r="M133" s="96">
        <f t="shared" si="105"/>
        <v>7.4999999999999997E-2</v>
      </c>
      <c r="N133" s="97">
        <f t="shared" si="105"/>
        <v>0.15</v>
      </c>
      <c r="O133" s="108" t="s">
        <v>81</v>
      </c>
    </row>
    <row r="134" spans="1:15" x14ac:dyDescent="0.2">
      <c r="A134" s="83"/>
      <c r="B134" s="59"/>
      <c r="C134" s="171">
        <f>SUM(D134:N134)-I134</f>
        <v>1.05</v>
      </c>
      <c r="D134" s="95">
        <f t="shared" si="104"/>
        <v>0.25</v>
      </c>
      <c r="E134" s="96">
        <f t="shared" si="104"/>
        <v>0.2</v>
      </c>
      <c r="F134" s="96">
        <f t="shared" si="104"/>
        <v>0</v>
      </c>
      <c r="G134" s="97">
        <f t="shared" si="104"/>
        <v>0</v>
      </c>
      <c r="H134" s="95">
        <f t="shared" si="104"/>
        <v>0</v>
      </c>
      <c r="I134" s="97">
        <f>H134</f>
        <v>0</v>
      </c>
      <c r="J134" s="95">
        <f t="shared" si="105"/>
        <v>2.5000000000000001E-2</v>
      </c>
      <c r="K134" s="95">
        <f t="shared" si="105"/>
        <v>0.3</v>
      </c>
      <c r="L134" s="95">
        <f t="shared" si="105"/>
        <v>0.05</v>
      </c>
      <c r="M134" s="96">
        <f t="shared" si="105"/>
        <v>7.4999999999999997E-2</v>
      </c>
      <c r="N134" s="97">
        <f t="shared" si="105"/>
        <v>0.15</v>
      </c>
      <c r="O134" s="108" t="s">
        <v>83</v>
      </c>
    </row>
    <row r="135" spans="1:15" ht="13.5" thickBot="1" x14ac:dyDescent="0.25">
      <c r="A135" s="83"/>
      <c r="B135" s="59"/>
      <c r="C135" s="172">
        <f>SUM(D135:N135)-I135</f>
        <v>1.0499999999999998</v>
      </c>
      <c r="D135" s="145">
        <f t="shared" si="104"/>
        <v>0.25</v>
      </c>
      <c r="E135" s="146">
        <f t="shared" si="104"/>
        <v>0.2</v>
      </c>
      <c r="F135" s="146">
        <f t="shared" si="104"/>
        <v>0</v>
      </c>
      <c r="G135" s="168">
        <f t="shared" si="104"/>
        <v>0</v>
      </c>
      <c r="H135" s="145">
        <f t="shared" si="104"/>
        <v>0</v>
      </c>
      <c r="I135" s="168">
        <f>H135</f>
        <v>0</v>
      </c>
      <c r="J135" s="145">
        <f t="shared" si="105"/>
        <v>0.15</v>
      </c>
      <c r="K135" s="145">
        <f t="shared" si="105"/>
        <v>0.3</v>
      </c>
      <c r="L135" s="145">
        <f t="shared" si="105"/>
        <v>7.4999999999999997E-2</v>
      </c>
      <c r="M135" s="146">
        <f t="shared" si="105"/>
        <v>0.05</v>
      </c>
      <c r="N135" s="168">
        <f t="shared" si="105"/>
        <v>2.5000000000000001E-2</v>
      </c>
      <c r="O135" s="170" t="s">
        <v>82</v>
      </c>
    </row>
    <row r="136" spans="1:15" ht="13.5" thickBot="1" x14ac:dyDescent="0.25">
      <c r="A136" s="86" t="s">
        <v>88</v>
      </c>
      <c r="B136" s="59"/>
      <c r="C136" s="90"/>
      <c r="D136" s="91"/>
      <c r="E136" s="91"/>
      <c r="F136" s="91"/>
      <c r="G136" s="91"/>
      <c r="H136" s="91"/>
      <c r="I136" s="91"/>
      <c r="J136" s="91"/>
      <c r="K136" s="91"/>
      <c r="L136" s="91"/>
      <c r="M136" s="91"/>
      <c r="N136" s="91"/>
      <c r="O136" s="85"/>
    </row>
    <row r="137" spans="1:15" x14ac:dyDescent="0.2">
      <c r="A137" s="83"/>
      <c r="B137" s="59"/>
      <c r="C137" s="90"/>
      <c r="D137" s="98">
        <f t="shared" ref="D137:G141" si="106">SUMIF($O$156:$O$193,$O137,D$156:D$193)/COUNTIF($O$156:$O$193,$O137)</f>
        <v>44215</v>
      </c>
      <c r="E137" s="99">
        <f t="shared" si="106"/>
        <v>51672.798722222222</v>
      </c>
      <c r="F137" s="99">
        <f t="shared" si="106"/>
        <v>0</v>
      </c>
      <c r="G137" s="100">
        <f t="shared" si="106"/>
        <v>0</v>
      </c>
      <c r="H137" s="98">
        <f>(SUMIF($O$156:$O$193,$O137,H$156:H$193)+SUMIF($O$156:$O$193,$O137,I$156:I$193))/COUNTIF($O$156:$O$193,$O137)</f>
        <v>0</v>
      </c>
      <c r="I137" s="100"/>
      <c r="J137" s="101">
        <f t="shared" ref="J137:N141" si="107">SUMIF($O$156:$O$193,$O137,J$156:J$193)/COUNTIF($O$156:$O$193,$O137)</f>
        <v>9001.6666666666661</v>
      </c>
      <c r="K137" s="101">
        <f t="shared" si="107"/>
        <v>28777.333333333336</v>
      </c>
      <c r="L137" s="98">
        <f t="shared" si="107"/>
        <v>16710.150000000001</v>
      </c>
      <c r="M137" s="99">
        <f t="shared" si="107"/>
        <v>22391.25</v>
      </c>
      <c r="N137" s="100">
        <f t="shared" si="107"/>
        <v>30663.600000000002</v>
      </c>
      <c r="O137" s="169" t="s">
        <v>79</v>
      </c>
    </row>
    <row r="138" spans="1:15" x14ac:dyDescent="0.2">
      <c r="A138" s="83"/>
      <c r="B138" s="59"/>
      <c r="C138" s="90"/>
      <c r="D138" s="102">
        <f t="shared" si="106"/>
        <v>22336.250000000004</v>
      </c>
      <c r="E138" s="103">
        <f t="shared" si="106"/>
        <v>17700.990319444441</v>
      </c>
      <c r="F138" s="103">
        <f t="shared" si="106"/>
        <v>0</v>
      </c>
      <c r="G138" s="104">
        <f t="shared" si="106"/>
        <v>0</v>
      </c>
      <c r="H138" s="102">
        <f>(SUMIF($O$156:$O$193,$O138,H$156:H$193)+SUMIF($O$156:$O$193,$O138,I$156:I$193))/COUNTIF($O$156:$O$193,$O138)</f>
        <v>0</v>
      </c>
      <c r="I138" s="104"/>
      <c r="J138" s="102">
        <f t="shared" si="107"/>
        <v>8139.5833333333339</v>
      </c>
      <c r="K138" s="102">
        <f t="shared" si="107"/>
        <v>23669.999999999996</v>
      </c>
      <c r="L138" s="102">
        <f t="shared" si="107"/>
        <v>10783.595833333335</v>
      </c>
      <c r="M138" s="103">
        <f t="shared" si="107"/>
        <v>11242.083333333332</v>
      </c>
      <c r="N138" s="104">
        <f t="shared" si="107"/>
        <v>11706.2</v>
      </c>
      <c r="O138" s="108" t="s">
        <v>80</v>
      </c>
    </row>
    <row r="139" spans="1:15" x14ac:dyDescent="0.2">
      <c r="A139" s="83"/>
      <c r="B139" s="59"/>
      <c r="C139" s="90"/>
      <c r="D139" s="102">
        <f t="shared" si="106"/>
        <v>8354.5238095238074</v>
      </c>
      <c r="E139" s="103">
        <f t="shared" si="106"/>
        <v>5566.6575555555555</v>
      </c>
      <c r="F139" s="103">
        <f t="shared" si="106"/>
        <v>0</v>
      </c>
      <c r="G139" s="104">
        <f t="shared" si="106"/>
        <v>0</v>
      </c>
      <c r="H139" s="102">
        <f>(SUMIF($O$156:$O$193,$O139,H$156:H$193)+SUMIF($O$156:$O$193,$O139,I$156:I$193))/COUNTIF($O$156:$O$193,$O139)</f>
        <v>0</v>
      </c>
      <c r="I139" s="104"/>
      <c r="J139" s="102">
        <f t="shared" si="107"/>
        <v>3281.4285714285716</v>
      </c>
      <c r="K139" s="102">
        <f t="shared" si="107"/>
        <v>10529.142857142857</v>
      </c>
      <c r="L139" s="102">
        <f t="shared" si="107"/>
        <v>4123.0666666666666</v>
      </c>
      <c r="M139" s="103">
        <f t="shared" si="107"/>
        <v>4268.4523809523807</v>
      </c>
      <c r="N139" s="104">
        <f t="shared" si="107"/>
        <v>4463.0666666666675</v>
      </c>
      <c r="O139" s="108" t="s">
        <v>81</v>
      </c>
    </row>
    <row r="140" spans="1:15" x14ac:dyDescent="0.2">
      <c r="A140" s="83"/>
      <c r="B140" s="59"/>
      <c r="C140" s="90"/>
      <c r="D140" s="102">
        <f t="shared" si="106"/>
        <v>6486.666666666667</v>
      </c>
      <c r="E140" s="103">
        <f t="shared" si="106"/>
        <v>4181.1750555555554</v>
      </c>
      <c r="F140" s="103">
        <f t="shared" si="106"/>
        <v>0</v>
      </c>
      <c r="G140" s="104">
        <f t="shared" si="106"/>
        <v>0</v>
      </c>
      <c r="H140" s="102">
        <f>(SUMIF($O$156:$O$193,$O140,H$156:H$193)+SUMIF($O$156:$O$193,$O140,I$156:I$193))/COUNTIF($O$156:$O$193,$O140)</f>
        <v>0</v>
      </c>
      <c r="I140" s="104"/>
      <c r="J140" s="102">
        <f t="shared" si="107"/>
        <v>2010.0000000000002</v>
      </c>
      <c r="K140" s="102">
        <f t="shared" si="107"/>
        <v>8011.5555555555557</v>
      </c>
      <c r="L140" s="102">
        <f t="shared" si="107"/>
        <v>3381.4888888888891</v>
      </c>
      <c r="M140" s="103">
        <f t="shared" si="107"/>
        <v>3459.1666666666665</v>
      </c>
      <c r="N140" s="104">
        <f t="shared" si="107"/>
        <v>3894.9777777777781</v>
      </c>
      <c r="O140" s="108" t="s">
        <v>83</v>
      </c>
    </row>
    <row r="141" spans="1:15" ht="13.5" thickBot="1" x14ac:dyDescent="0.25">
      <c r="A141" s="83"/>
      <c r="B141" s="59"/>
      <c r="C141" s="90"/>
      <c r="D141" s="139">
        <f t="shared" si="106"/>
        <v>3803.8333333333339</v>
      </c>
      <c r="E141" s="140">
        <f t="shared" si="106"/>
        <v>2281.0312001495613</v>
      </c>
      <c r="F141" s="140">
        <f t="shared" si="106"/>
        <v>0</v>
      </c>
      <c r="G141" s="141">
        <f t="shared" si="106"/>
        <v>0</v>
      </c>
      <c r="H141" s="139">
        <f>(SUMIF($O$156:$O$193,$O141,H$156:H$193)+SUMIF($O$156:$O$193,$O141,I$156:I$193))/COUNTIF($O$156:$O$193,$O141)</f>
        <v>0</v>
      </c>
      <c r="I141" s="141"/>
      <c r="J141" s="139">
        <f t="shared" si="107"/>
        <v>1835.4444444444448</v>
      </c>
      <c r="K141" s="139">
        <f t="shared" si="107"/>
        <v>4458.9333333333334</v>
      </c>
      <c r="L141" s="139">
        <f t="shared" si="107"/>
        <v>1688.1377777777775</v>
      </c>
      <c r="M141" s="140">
        <f t="shared" si="107"/>
        <v>1367.1944444444446</v>
      </c>
      <c r="N141" s="141">
        <f t="shared" si="107"/>
        <v>929.37777777777796</v>
      </c>
      <c r="O141" s="170" t="s">
        <v>82</v>
      </c>
    </row>
    <row r="142" spans="1:15" ht="13.5" thickBot="1" x14ac:dyDescent="0.25">
      <c r="A142" s="86" t="s">
        <v>89</v>
      </c>
      <c r="B142" s="59"/>
      <c r="C142" s="90"/>
      <c r="D142" s="111"/>
      <c r="E142" s="111"/>
      <c r="F142" s="111"/>
      <c r="G142" s="111"/>
      <c r="H142" s="111"/>
      <c r="I142" s="111"/>
      <c r="J142" s="111"/>
      <c r="K142" s="111"/>
      <c r="L142" s="111"/>
      <c r="M142" s="111"/>
      <c r="N142" s="111"/>
      <c r="O142" s="85"/>
    </row>
    <row r="143" spans="1:15" x14ac:dyDescent="0.2">
      <c r="A143" s="83"/>
      <c r="B143" s="59"/>
      <c r="C143" s="90"/>
      <c r="D143" s="98">
        <f t="shared" ref="D143:H147" si="108">RANK(D137,$D137:$N137)</f>
        <v>2</v>
      </c>
      <c r="E143" s="99">
        <f t="shared" si="108"/>
        <v>1</v>
      </c>
      <c r="F143" s="99">
        <f t="shared" si="108"/>
        <v>8</v>
      </c>
      <c r="G143" s="100">
        <f t="shared" si="108"/>
        <v>8</v>
      </c>
      <c r="H143" s="98">
        <f t="shared" si="108"/>
        <v>8</v>
      </c>
      <c r="I143" s="100"/>
      <c r="J143" s="101">
        <f t="shared" ref="J143:N147" si="109">RANK(J137,$D137:$N137)</f>
        <v>7</v>
      </c>
      <c r="K143" s="101">
        <f t="shared" si="109"/>
        <v>4</v>
      </c>
      <c r="L143" s="98">
        <f t="shared" si="109"/>
        <v>6</v>
      </c>
      <c r="M143" s="99">
        <f t="shared" si="109"/>
        <v>5</v>
      </c>
      <c r="N143" s="100">
        <f t="shared" si="109"/>
        <v>3</v>
      </c>
      <c r="O143" s="169" t="s">
        <v>79</v>
      </c>
    </row>
    <row r="144" spans="1:15" x14ac:dyDescent="0.2">
      <c r="A144" s="83"/>
      <c r="B144" s="59"/>
      <c r="C144" s="90"/>
      <c r="D144" s="102">
        <f t="shared" si="108"/>
        <v>2</v>
      </c>
      <c r="E144" s="103">
        <f t="shared" si="108"/>
        <v>3</v>
      </c>
      <c r="F144" s="103">
        <f t="shared" si="108"/>
        <v>8</v>
      </c>
      <c r="G144" s="104">
        <f t="shared" si="108"/>
        <v>8</v>
      </c>
      <c r="H144" s="102">
        <f t="shared" si="108"/>
        <v>8</v>
      </c>
      <c r="I144" s="104"/>
      <c r="J144" s="102">
        <f t="shared" si="109"/>
        <v>7</v>
      </c>
      <c r="K144" s="102">
        <f t="shared" si="109"/>
        <v>1</v>
      </c>
      <c r="L144" s="102">
        <f t="shared" si="109"/>
        <v>6</v>
      </c>
      <c r="M144" s="103">
        <f t="shared" si="109"/>
        <v>5</v>
      </c>
      <c r="N144" s="104">
        <f t="shared" si="109"/>
        <v>4</v>
      </c>
      <c r="O144" s="108" t="s">
        <v>80</v>
      </c>
    </row>
    <row r="145" spans="1:15" x14ac:dyDescent="0.2">
      <c r="A145" s="83"/>
      <c r="B145" s="59"/>
      <c r="C145" s="90"/>
      <c r="D145" s="102">
        <f t="shared" si="108"/>
        <v>2</v>
      </c>
      <c r="E145" s="103">
        <f t="shared" si="108"/>
        <v>3</v>
      </c>
      <c r="F145" s="103">
        <f t="shared" si="108"/>
        <v>8</v>
      </c>
      <c r="G145" s="104">
        <f t="shared" si="108"/>
        <v>8</v>
      </c>
      <c r="H145" s="102">
        <f t="shared" si="108"/>
        <v>8</v>
      </c>
      <c r="I145" s="104"/>
      <c r="J145" s="102">
        <f t="shared" si="109"/>
        <v>7</v>
      </c>
      <c r="K145" s="102">
        <f t="shared" si="109"/>
        <v>1</v>
      </c>
      <c r="L145" s="102">
        <f t="shared" si="109"/>
        <v>6</v>
      </c>
      <c r="M145" s="103">
        <f t="shared" si="109"/>
        <v>5</v>
      </c>
      <c r="N145" s="104">
        <f t="shared" si="109"/>
        <v>4</v>
      </c>
      <c r="O145" s="108" t="s">
        <v>81</v>
      </c>
    </row>
    <row r="146" spans="1:15" x14ac:dyDescent="0.2">
      <c r="A146" s="83"/>
      <c r="B146" s="59"/>
      <c r="C146" s="90"/>
      <c r="D146" s="102">
        <f t="shared" si="108"/>
        <v>2</v>
      </c>
      <c r="E146" s="103">
        <f t="shared" si="108"/>
        <v>3</v>
      </c>
      <c r="F146" s="103">
        <f t="shared" si="108"/>
        <v>8</v>
      </c>
      <c r="G146" s="104">
        <f t="shared" si="108"/>
        <v>8</v>
      </c>
      <c r="H146" s="102">
        <f t="shared" si="108"/>
        <v>8</v>
      </c>
      <c r="I146" s="104"/>
      <c r="J146" s="102">
        <f t="shared" si="109"/>
        <v>7</v>
      </c>
      <c r="K146" s="102">
        <f t="shared" si="109"/>
        <v>1</v>
      </c>
      <c r="L146" s="102">
        <f t="shared" si="109"/>
        <v>6</v>
      </c>
      <c r="M146" s="103">
        <f t="shared" si="109"/>
        <v>5</v>
      </c>
      <c r="N146" s="104">
        <f t="shared" si="109"/>
        <v>4</v>
      </c>
      <c r="O146" s="108" t="s">
        <v>83</v>
      </c>
    </row>
    <row r="147" spans="1:15" ht="13.5" thickBot="1" x14ac:dyDescent="0.25">
      <c r="A147" s="83"/>
      <c r="B147" s="59"/>
      <c r="C147" s="90"/>
      <c r="D147" s="139">
        <f t="shared" si="108"/>
        <v>2</v>
      </c>
      <c r="E147" s="140">
        <f t="shared" si="108"/>
        <v>3</v>
      </c>
      <c r="F147" s="140">
        <f t="shared" si="108"/>
        <v>8</v>
      </c>
      <c r="G147" s="141">
        <f t="shared" si="108"/>
        <v>8</v>
      </c>
      <c r="H147" s="139">
        <f t="shared" si="108"/>
        <v>8</v>
      </c>
      <c r="I147" s="141"/>
      <c r="J147" s="139">
        <f t="shared" si="109"/>
        <v>4</v>
      </c>
      <c r="K147" s="139">
        <f t="shared" si="109"/>
        <v>1</v>
      </c>
      <c r="L147" s="139">
        <f t="shared" si="109"/>
        <v>5</v>
      </c>
      <c r="M147" s="140">
        <f t="shared" si="109"/>
        <v>6</v>
      </c>
      <c r="N147" s="141">
        <f t="shared" si="109"/>
        <v>7</v>
      </c>
      <c r="O147" s="170" t="s">
        <v>82</v>
      </c>
    </row>
    <row r="148" spans="1:15" ht="13.5" thickBot="1" x14ac:dyDescent="0.25">
      <c r="A148" s="86" t="s">
        <v>90</v>
      </c>
      <c r="B148" s="59"/>
      <c r="C148" s="90"/>
      <c r="D148" s="91"/>
      <c r="E148" s="91"/>
      <c r="F148" s="91"/>
      <c r="G148" s="91"/>
      <c r="H148" s="91"/>
      <c r="I148" s="91"/>
      <c r="J148" s="91"/>
      <c r="K148" s="91"/>
      <c r="L148" s="91"/>
      <c r="M148" s="91"/>
      <c r="N148" s="91"/>
      <c r="O148" s="85"/>
    </row>
    <row r="149" spans="1:15" x14ac:dyDescent="0.2">
      <c r="A149" s="83"/>
      <c r="B149" s="59"/>
      <c r="D149" s="113">
        <v>1</v>
      </c>
      <c r="E149" s="114">
        <v>2</v>
      </c>
      <c r="F149" s="114">
        <v>3</v>
      </c>
      <c r="G149" s="114">
        <v>4</v>
      </c>
      <c r="H149" s="114">
        <v>5</v>
      </c>
      <c r="I149" s="114">
        <v>6</v>
      </c>
      <c r="J149" s="114">
        <v>7</v>
      </c>
      <c r="K149" s="114">
        <v>7</v>
      </c>
      <c r="L149" s="114">
        <v>8</v>
      </c>
      <c r="M149" s="114">
        <v>9</v>
      </c>
      <c r="N149" s="115" t="s">
        <v>11</v>
      </c>
    </row>
    <row r="150" spans="1:15" ht="13.5" thickBot="1" x14ac:dyDescent="0.25">
      <c r="A150" s="83"/>
      <c r="B150" s="59"/>
      <c r="D150" s="178">
        <v>0.3</v>
      </c>
      <c r="E150" s="179">
        <v>0.25</v>
      </c>
      <c r="F150" s="180">
        <v>0.2</v>
      </c>
      <c r="G150" s="181">
        <v>0.15</v>
      </c>
      <c r="H150" s="144">
        <v>7.4999999999999997E-2</v>
      </c>
      <c r="I150" s="182">
        <v>0.05</v>
      </c>
      <c r="J150" s="146">
        <v>2.5000000000000001E-2</v>
      </c>
      <c r="K150" s="183">
        <v>0</v>
      </c>
      <c r="L150" s="185">
        <v>0</v>
      </c>
      <c r="M150" s="184">
        <v>0</v>
      </c>
      <c r="N150" s="112">
        <f>SUM(D150:M150)</f>
        <v>1.0499999999999998</v>
      </c>
    </row>
    <row r="151" spans="1:15" x14ac:dyDescent="0.2">
      <c r="A151" s="83"/>
      <c r="B151" s="59"/>
      <c r="C151" s="90"/>
      <c r="D151" s="91"/>
      <c r="E151" s="91"/>
      <c r="F151" s="91"/>
      <c r="G151" s="91"/>
      <c r="H151" s="91"/>
      <c r="I151" s="91"/>
      <c r="J151" s="91"/>
      <c r="K151" s="91"/>
      <c r="L151" s="91"/>
      <c r="M151" s="91"/>
      <c r="N151" s="91"/>
      <c r="O151" s="85"/>
    </row>
    <row r="152" spans="1:15" ht="13.5" thickBot="1" x14ac:dyDescent="0.25">
      <c r="A152" s="57" t="s">
        <v>75</v>
      </c>
    </row>
    <row r="153" spans="1:15" ht="12.75" customHeight="1" outlineLevel="1" x14ac:dyDescent="0.2">
      <c r="A153" s="234" t="s">
        <v>24</v>
      </c>
      <c r="B153" s="236" t="s">
        <v>23</v>
      </c>
      <c r="C153" s="238" t="s">
        <v>36</v>
      </c>
      <c r="D153" s="247" t="s">
        <v>35</v>
      </c>
      <c r="E153" s="248"/>
      <c r="F153" s="248"/>
      <c r="G153" s="249"/>
      <c r="H153" s="250" t="s">
        <v>18</v>
      </c>
      <c r="I153" s="225" t="s">
        <v>17</v>
      </c>
      <c r="J153" s="227" t="str">
        <f>$J$3</f>
        <v>Under Graduate Transfer Degrees</v>
      </c>
      <c r="K153" s="227" t="s">
        <v>16</v>
      </c>
      <c r="L153" s="229" t="s">
        <v>34</v>
      </c>
      <c r="M153" s="230"/>
      <c r="N153" s="230"/>
      <c r="O153" s="232" t="s">
        <v>86</v>
      </c>
    </row>
    <row r="154" spans="1:15" ht="51" outlineLevel="1" x14ac:dyDescent="0.2">
      <c r="A154" s="235"/>
      <c r="B154" s="237"/>
      <c r="C154" s="239"/>
      <c r="D154" s="192"/>
      <c r="E154" s="121" t="s">
        <v>33</v>
      </c>
      <c r="F154" s="121" t="s">
        <v>32</v>
      </c>
      <c r="G154" s="211" t="s">
        <v>31</v>
      </c>
      <c r="H154" s="251"/>
      <c r="I154" s="226"/>
      <c r="J154" s="228"/>
      <c r="K154" s="228"/>
      <c r="L154" s="188" t="s">
        <v>14</v>
      </c>
      <c r="M154" s="189" t="s">
        <v>13</v>
      </c>
      <c r="N154" s="187" t="s">
        <v>12</v>
      </c>
      <c r="O154" s="233"/>
    </row>
    <row r="155" spans="1:15" outlineLevel="1" x14ac:dyDescent="0.2">
      <c r="A155" s="244" t="s">
        <v>78</v>
      </c>
      <c r="B155" s="245"/>
      <c r="C155" s="246"/>
      <c r="D155" s="132">
        <v>5</v>
      </c>
      <c r="E155" s="198">
        <v>7</v>
      </c>
      <c r="F155" s="198">
        <v>0</v>
      </c>
      <c r="G155" s="133">
        <v>0</v>
      </c>
      <c r="H155" s="132">
        <v>0</v>
      </c>
      <c r="I155" s="133">
        <v>0</v>
      </c>
      <c r="J155" s="134">
        <v>5</v>
      </c>
      <c r="K155" s="134">
        <v>8</v>
      </c>
      <c r="L155" s="132">
        <v>1.7</v>
      </c>
      <c r="M155" s="198">
        <v>2.5</v>
      </c>
      <c r="N155" s="199">
        <v>4.4000000000000004</v>
      </c>
      <c r="O155" s="200"/>
    </row>
    <row r="156" spans="1:15" outlineLevel="1" x14ac:dyDescent="0.2">
      <c r="A156" s="20">
        <f t="shared" ref="A156:B171" si="110">A5</f>
        <v>3656</v>
      </c>
      <c r="B156" s="19" t="str">
        <f t="shared" si="110"/>
        <v>UTA</v>
      </c>
      <c r="C156" s="55">
        <f t="shared" ref="C156:C193" si="111">SUM(D156:N156)</f>
        <v>108235.71</v>
      </c>
      <c r="D156" s="15">
        <f t="shared" ref="D156:F171" si="112">D198*D$155</f>
        <v>25090</v>
      </c>
      <c r="E156" s="14">
        <f>E198*E$155</f>
        <v>18206.976666666669</v>
      </c>
      <c r="F156" s="14">
        <f>F198*F$155</f>
        <v>0</v>
      </c>
      <c r="G156" s="13">
        <f t="shared" ref="G156:N171" si="113">G198*G$155</f>
        <v>0</v>
      </c>
      <c r="H156" s="36">
        <f t="shared" si="113"/>
        <v>0</v>
      </c>
      <c r="I156" s="35">
        <f t="shared" si="113"/>
        <v>0</v>
      </c>
      <c r="J156" s="34">
        <f t="shared" ref="J156" si="114">J198*J$155</f>
        <v>10956.666666666668</v>
      </c>
      <c r="K156" s="34">
        <f t="shared" si="113"/>
        <v>24928</v>
      </c>
      <c r="L156" s="36">
        <f t="shared" si="113"/>
        <v>11621.766666666666</v>
      </c>
      <c r="M156" s="56">
        <f t="shared" si="113"/>
        <v>9584.1666666666661</v>
      </c>
      <c r="N156" s="105">
        <f t="shared" si="113"/>
        <v>7848.1333333333341</v>
      </c>
      <c r="O156" s="110" t="s">
        <v>80</v>
      </c>
    </row>
    <row r="157" spans="1:15" outlineLevel="1" x14ac:dyDescent="0.2">
      <c r="A157" s="20">
        <f t="shared" si="110"/>
        <v>3658</v>
      </c>
      <c r="B157" s="19" t="str">
        <f t="shared" si="110"/>
        <v>UT</v>
      </c>
      <c r="C157" s="55">
        <f t="shared" si="111"/>
        <v>200393.70566666668</v>
      </c>
      <c r="D157" s="15">
        <f t="shared" si="112"/>
        <v>44731.666666666672</v>
      </c>
      <c r="E157" s="14">
        <f t="shared" si="112"/>
        <v>51915.572333333344</v>
      </c>
      <c r="F157" s="14">
        <f t="shared" si="112"/>
        <v>0</v>
      </c>
      <c r="G157" s="13">
        <f t="shared" si="113"/>
        <v>0</v>
      </c>
      <c r="H157" s="15">
        <f t="shared" si="113"/>
        <v>0</v>
      </c>
      <c r="I157" s="13">
        <f t="shared" si="113"/>
        <v>0</v>
      </c>
      <c r="J157" s="16">
        <f t="shared" ref="J157" si="115">J199*J$155</f>
        <v>6175</v>
      </c>
      <c r="K157" s="16">
        <f t="shared" si="113"/>
        <v>27762.666666666668</v>
      </c>
      <c r="L157" s="15">
        <f t="shared" si="113"/>
        <v>16317.166666666668</v>
      </c>
      <c r="M157" s="14">
        <f t="shared" si="113"/>
        <v>22514.166666666664</v>
      </c>
      <c r="N157" s="106">
        <f t="shared" si="113"/>
        <v>30977.466666666667</v>
      </c>
      <c r="O157" s="108" t="s">
        <v>79</v>
      </c>
    </row>
    <row r="158" spans="1:15" outlineLevel="1" x14ac:dyDescent="0.2">
      <c r="A158" s="20">
        <f t="shared" si="110"/>
        <v>9741</v>
      </c>
      <c r="B158" s="19" t="str">
        <f t="shared" si="110"/>
        <v>UTD</v>
      </c>
      <c r="C158" s="55">
        <f t="shared" si="111"/>
        <v>55178.486333333341</v>
      </c>
      <c r="D158" s="15">
        <f t="shared" si="112"/>
        <v>11965</v>
      </c>
      <c r="E158" s="14">
        <f t="shared" si="112"/>
        <v>11775.953</v>
      </c>
      <c r="F158" s="14">
        <f t="shared" si="112"/>
        <v>0</v>
      </c>
      <c r="G158" s="13">
        <f t="shared" si="113"/>
        <v>0</v>
      </c>
      <c r="H158" s="15">
        <f t="shared" si="113"/>
        <v>0</v>
      </c>
      <c r="I158" s="13">
        <f t="shared" si="113"/>
        <v>0</v>
      </c>
      <c r="J158" s="16">
        <f t="shared" ref="J158" si="116">J200*J$155</f>
        <v>5415</v>
      </c>
      <c r="K158" s="16">
        <f t="shared" si="113"/>
        <v>10557.333333333334</v>
      </c>
      <c r="L158" s="15">
        <f t="shared" si="113"/>
        <v>5635.5</v>
      </c>
      <c r="M158" s="14">
        <f t="shared" si="113"/>
        <v>5335.8333333333339</v>
      </c>
      <c r="N158" s="106">
        <f t="shared" si="113"/>
        <v>4493.8666666666668</v>
      </c>
      <c r="O158" s="108" t="s">
        <v>80</v>
      </c>
    </row>
    <row r="159" spans="1:15" outlineLevel="1" x14ac:dyDescent="0.2">
      <c r="A159" s="20">
        <f t="shared" si="110"/>
        <v>3661</v>
      </c>
      <c r="B159" s="19" t="str">
        <f t="shared" si="110"/>
        <v>UTEP</v>
      </c>
      <c r="C159" s="55">
        <f t="shared" si="111"/>
        <v>73436.543333333335</v>
      </c>
      <c r="D159" s="15">
        <f t="shared" si="112"/>
        <v>15285</v>
      </c>
      <c r="E159" s="14">
        <f t="shared" si="112"/>
        <v>8345.6099999999988</v>
      </c>
      <c r="F159" s="14">
        <f t="shared" si="112"/>
        <v>0</v>
      </c>
      <c r="G159" s="13">
        <f t="shared" si="113"/>
        <v>0</v>
      </c>
      <c r="H159" s="15">
        <f t="shared" si="113"/>
        <v>0</v>
      </c>
      <c r="I159" s="13">
        <f t="shared" si="113"/>
        <v>0</v>
      </c>
      <c r="J159" s="16">
        <f t="shared" ref="J159" si="117">J201*J$155</f>
        <v>5673.3333333333339</v>
      </c>
      <c r="K159" s="16">
        <f t="shared" si="113"/>
        <v>19714.666666666668</v>
      </c>
      <c r="L159" s="15">
        <f t="shared" si="113"/>
        <v>7416.5333333333338</v>
      </c>
      <c r="M159" s="14">
        <f t="shared" si="113"/>
        <v>8395</v>
      </c>
      <c r="N159" s="106">
        <f t="shared" si="113"/>
        <v>8606.4000000000015</v>
      </c>
      <c r="O159" s="108" t="s">
        <v>80</v>
      </c>
    </row>
    <row r="160" spans="1:15" outlineLevel="1" x14ac:dyDescent="0.2">
      <c r="A160" s="20">
        <f t="shared" si="110"/>
        <v>3599</v>
      </c>
      <c r="B160" s="19" t="str">
        <f t="shared" si="110"/>
        <v>UTPA</v>
      </c>
      <c r="C160" s="55">
        <f t="shared" si="111"/>
        <v>67111.66</v>
      </c>
      <c r="D160" s="15">
        <f t="shared" si="112"/>
        <v>12900</v>
      </c>
      <c r="E160" s="14">
        <f t="shared" si="112"/>
        <v>7783.8600000000006</v>
      </c>
      <c r="F160" s="14">
        <f t="shared" si="112"/>
        <v>0</v>
      </c>
      <c r="G160" s="13">
        <f t="shared" si="113"/>
        <v>0</v>
      </c>
      <c r="H160" s="15">
        <f t="shared" si="113"/>
        <v>0</v>
      </c>
      <c r="I160" s="13">
        <f t="shared" si="113"/>
        <v>0</v>
      </c>
      <c r="J160" s="16">
        <f t="shared" ref="J160" si="118">J202*J$155</f>
        <v>4520</v>
      </c>
      <c r="K160" s="16">
        <f t="shared" si="113"/>
        <v>18706.666666666668</v>
      </c>
      <c r="L160" s="15">
        <f t="shared" si="113"/>
        <v>6928.0666666666666</v>
      </c>
      <c r="M160" s="14">
        <f t="shared" si="113"/>
        <v>7740</v>
      </c>
      <c r="N160" s="106">
        <f t="shared" si="113"/>
        <v>8533.0666666666675</v>
      </c>
      <c r="O160" s="108" t="s">
        <v>81</v>
      </c>
    </row>
    <row r="161" spans="1:15" outlineLevel="1" x14ac:dyDescent="0.2">
      <c r="A161" s="20">
        <f t="shared" si="110"/>
        <v>30646</v>
      </c>
      <c r="B161" s="19" t="str">
        <f t="shared" si="110"/>
        <v>UTB</v>
      </c>
      <c r="C161" s="55">
        <f t="shared" si="111"/>
        <v>25919.063138257807</v>
      </c>
      <c r="D161" s="15">
        <f t="shared" si="112"/>
        <v>5460</v>
      </c>
      <c r="E161" s="14">
        <f t="shared" si="112"/>
        <v>4397.1964715911399</v>
      </c>
      <c r="F161" s="14">
        <f t="shared" si="112"/>
        <v>0</v>
      </c>
      <c r="G161" s="13">
        <f t="shared" si="113"/>
        <v>0</v>
      </c>
      <c r="H161" s="15">
        <f t="shared" si="113"/>
        <v>0</v>
      </c>
      <c r="I161" s="13">
        <f t="shared" si="113"/>
        <v>0</v>
      </c>
      <c r="J161" s="16">
        <f t="shared" ref="J161" si="119">J203*J$155</f>
        <v>4480</v>
      </c>
      <c r="K161" s="16">
        <f t="shared" si="113"/>
        <v>7493.333333333333</v>
      </c>
      <c r="L161" s="15">
        <f t="shared" si="113"/>
        <v>2254.7666666666664</v>
      </c>
      <c r="M161" s="14">
        <f t="shared" si="113"/>
        <v>1390.8333333333335</v>
      </c>
      <c r="N161" s="106">
        <f t="shared" si="113"/>
        <v>442.93333333333339</v>
      </c>
      <c r="O161" s="108" t="s">
        <v>82</v>
      </c>
    </row>
    <row r="162" spans="1:15" outlineLevel="1" x14ac:dyDescent="0.2">
      <c r="A162" s="20">
        <f t="shared" si="110"/>
        <v>9930</v>
      </c>
      <c r="B162" s="19" t="str">
        <f t="shared" si="110"/>
        <v>UTPB</v>
      </c>
      <c r="C162" s="55">
        <f t="shared" si="111"/>
        <v>12177.800000000001</v>
      </c>
      <c r="D162" s="15">
        <f t="shared" si="112"/>
        <v>2666.666666666667</v>
      </c>
      <c r="E162" s="14">
        <f t="shared" si="112"/>
        <v>1657.6000000000001</v>
      </c>
      <c r="F162" s="14">
        <f t="shared" si="112"/>
        <v>0</v>
      </c>
      <c r="G162" s="13">
        <f t="shared" si="113"/>
        <v>0</v>
      </c>
      <c r="H162" s="15">
        <f t="shared" si="113"/>
        <v>0</v>
      </c>
      <c r="I162" s="13">
        <f t="shared" si="113"/>
        <v>0</v>
      </c>
      <c r="J162" s="16">
        <f t="shared" ref="J162" si="120">J204*J$155</f>
        <v>1241.6666666666667</v>
      </c>
      <c r="K162" s="16">
        <f t="shared" si="113"/>
        <v>3192</v>
      </c>
      <c r="L162" s="15">
        <f t="shared" si="113"/>
        <v>1335.6333333333332</v>
      </c>
      <c r="M162" s="14">
        <f t="shared" si="113"/>
        <v>1229.1666666666667</v>
      </c>
      <c r="N162" s="106">
        <f t="shared" si="113"/>
        <v>855.06666666666683</v>
      </c>
      <c r="O162" s="108" t="s">
        <v>82</v>
      </c>
    </row>
    <row r="163" spans="1:15" outlineLevel="1" x14ac:dyDescent="0.2">
      <c r="A163" s="20">
        <f t="shared" si="110"/>
        <v>10115</v>
      </c>
      <c r="B163" s="19" t="str">
        <f t="shared" si="110"/>
        <v>UTSA</v>
      </c>
      <c r="C163" s="55">
        <f t="shared" si="111"/>
        <v>99011.249444444446</v>
      </c>
      <c r="D163" s="15">
        <f t="shared" si="112"/>
        <v>20598.333333333336</v>
      </c>
      <c r="E163" s="14">
        <f t="shared" si="112"/>
        <v>12159.882777777779</v>
      </c>
      <c r="F163" s="14">
        <f t="shared" si="112"/>
        <v>0</v>
      </c>
      <c r="G163" s="13">
        <f t="shared" si="113"/>
        <v>0</v>
      </c>
      <c r="H163" s="15">
        <f t="shared" si="113"/>
        <v>0</v>
      </c>
      <c r="I163" s="13">
        <f t="shared" si="113"/>
        <v>0</v>
      </c>
      <c r="J163" s="16">
        <f t="shared" ref="J163" si="121">J205*J$155</f>
        <v>7031.6666666666661</v>
      </c>
      <c r="K163" s="16">
        <f t="shared" si="113"/>
        <v>24989.333333333332</v>
      </c>
      <c r="L163" s="15">
        <f t="shared" si="113"/>
        <v>11576.433333333334</v>
      </c>
      <c r="M163" s="14">
        <f t="shared" si="113"/>
        <v>11146.666666666668</v>
      </c>
      <c r="N163" s="106">
        <f t="shared" si="113"/>
        <v>11508.933333333334</v>
      </c>
      <c r="O163" s="108" t="s">
        <v>80</v>
      </c>
    </row>
    <row r="164" spans="1:15" outlineLevel="1" x14ac:dyDescent="0.2">
      <c r="A164" s="20">
        <f t="shared" si="110"/>
        <v>11163</v>
      </c>
      <c r="B164" s="19" t="str">
        <f t="shared" si="110"/>
        <v>UTT</v>
      </c>
      <c r="C164" s="55">
        <f t="shared" si="111"/>
        <v>27336.870000000003</v>
      </c>
      <c r="D164" s="15">
        <f t="shared" si="112"/>
        <v>5950</v>
      </c>
      <c r="E164" s="14">
        <f t="shared" si="112"/>
        <v>4295.503333333334</v>
      </c>
      <c r="F164" s="14">
        <f t="shared" si="112"/>
        <v>0</v>
      </c>
      <c r="G164" s="13">
        <f t="shared" si="113"/>
        <v>0</v>
      </c>
      <c r="H164" s="15">
        <f t="shared" si="113"/>
        <v>0</v>
      </c>
      <c r="I164" s="13">
        <f t="shared" si="113"/>
        <v>0</v>
      </c>
      <c r="J164" s="16">
        <f t="shared" ref="J164" si="122">J206*J$155</f>
        <v>3181.666666666667</v>
      </c>
      <c r="K164" s="16">
        <f t="shared" si="113"/>
        <v>7538.666666666667</v>
      </c>
      <c r="L164" s="15">
        <f t="shared" si="113"/>
        <v>2441.7666666666664</v>
      </c>
      <c r="M164" s="14">
        <f t="shared" si="113"/>
        <v>2225</v>
      </c>
      <c r="N164" s="106">
        <f t="shared" si="113"/>
        <v>1704.2666666666667</v>
      </c>
      <c r="O164" s="108" t="s">
        <v>82</v>
      </c>
    </row>
    <row r="165" spans="1:15" outlineLevel="1" x14ac:dyDescent="0.2">
      <c r="A165" s="20">
        <f t="shared" si="110"/>
        <v>3632</v>
      </c>
      <c r="B165" s="19" t="str">
        <f t="shared" si="110"/>
        <v>TAMU</v>
      </c>
      <c r="C165" s="55">
        <f t="shared" si="111"/>
        <v>206469.89177777775</v>
      </c>
      <c r="D165" s="15">
        <f t="shared" si="112"/>
        <v>43698.333333333328</v>
      </c>
      <c r="E165" s="14">
        <f t="shared" si="112"/>
        <v>51430.025111111099</v>
      </c>
      <c r="F165" s="14">
        <f t="shared" si="112"/>
        <v>0</v>
      </c>
      <c r="G165" s="13">
        <f t="shared" si="113"/>
        <v>0</v>
      </c>
      <c r="H165" s="15">
        <f t="shared" si="113"/>
        <v>0</v>
      </c>
      <c r="I165" s="13">
        <f t="shared" si="113"/>
        <v>0</v>
      </c>
      <c r="J165" s="16">
        <f t="shared" ref="J165" si="123">J207*J$155</f>
        <v>11828.333333333332</v>
      </c>
      <c r="K165" s="16">
        <f t="shared" si="113"/>
        <v>29792</v>
      </c>
      <c r="L165" s="15">
        <f t="shared" si="113"/>
        <v>17103.133333333331</v>
      </c>
      <c r="M165" s="14">
        <f t="shared" si="113"/>
        <v>22268.333333333336</v>
      </c>
      <c r="N165" s="106">
        <f t="shared" si="113"/>
        <v>30349.733333333337</v>
      </c>
      <c r="O165" s="108" t="s">
        <v>79</v>
      </c>
    </row>
    <row r="166" spans="1:15" outlineLevel="1" x14ac:dyDescent="0.2">
      <c r="A166" s="20">
        <f t="shared" si="110"/>
        <v>10298</v>
      </c>
      <c r="B166" s="19" t="str">
        <f t="shared" si="110"/>
        <v>TAMUG</v>
      </c>
      <c r="C166" s="55">
        <f t="shared" si="111"/>
        <v>7074.1137777777767</v>
      </c>
      <c r="D166" s="15">
        <f>D208*D$155</f>
        <v>1376.6666666666665</v>
      </c>
      <c r="E166" s="14">
        <f t="shared" si="112"/>
        <v>1209.0804444444445</v>
      </c>
      <c r="F166" s="14">
        <f t="shared" si="112"/>
        <v>0</v>
      </c>
      <c r="G166" s="13">
        <f t="shared" si="113"/>
        <v>0</v>
      </c>
      <c r="H166" s="15">
        <f t="shared" si="113"/>
        <v>0</v>
      </c>
      <c r="I166" s="13">
        <f t="shared" si="113"/>
        <v>0</v>
      </c>
      <c r="J166" s="16">
        <f t="shared" ref="J166" si="124">J208*J$155</f>
        <v>340</v>
      </c>
      <c r="K166" s="16">
        <f t="shared" si="113"/>
        <v>1264</v>
      </c>
      <c r="L166" s="15">
        <f t="shared" si="113"/>
        <v>1006.9666666666667</v>
      </c>
      <c r="M166" s="14">
        <f t="shared" si="113"/>
        <v>795</v>
      </c>
      <c r="N166" s="106">
        <f t="shared" si="113"/>
        <v>1082.4000000000001</v>
      </c>
      <c r="O166" s="108" t="s">
        <v>82</v>
      </c>
    </row>
    <row r="167" spans="1:15" outlineLevel="1" x14ac:dyDescent="0.2">
      <c r="A167" s="20">
        <f t="shared" si="110"/>
        <v>3630</v>
      </c>
      <c r="B167" s="19" t="str">
        <f t="shared" si="110"/>
        <v>Prairie View</v>
      </c>
      <c r="C167" s="55">
        <f t="shared" si="111"/>
        <v>24125.593888888889</v>
      </c>
      <c r="D167" s="15">
        <f t="shared" ref="D167:N182" si="125">D209*D$155</f>
        <v>4681.666666666667</v>
      </c>
      <c r="E167" s="14">
        <f t="shared" si="112"/>
        <v>2436.027222222222</v>
      </c>
      <c r="F167" s="14">
        <f t="shared" si="112"/>
        <v>0</v>
      </c>
      <c r="G167" s="13">
        <f t="shared" si="113"/>
        <v>0</v>
      </c>
      <c r="H167" s="15">
        <f t="shared" si="113"/>
        <v>0</v>
      </c>
      <c r="I167" s="13">
        <f t="shared" si="113"/>
        <v>0</v>
      </c>
      <c r="J167" s="16">
        <f t="shared" ref="J167" si="126">J209*J$155</f>
        <v>815</v>
      </c>
      <c r="K167" s="16">
        <f t="shared" si="113"/>
        <v>6421.333333333333</v>
      </c>
      <c r="L167" s="15">
        <f t="shared" si="113"/>
        <v>2835.6</v>
      </c>
      <c r="M167" s="14">
        <f t="shared" si="113"/>
        <v>2952.5</v>
      </c>
      <c r="N167" s="106">
        <f t="shared" si="113"/>
        <v>3983.4666666666672</v>
      </c>
      <c r="O167" s="108" t="s">
        <v>83</v>
      </c>
    </row>
    <row r="168" spans="1:15" outlineLevel="1" x14ac:dyDescent="0.2">
      <c r="A168" s="20">
        <f t="shared" si="110"/>
        <v>3631</v>
      </c>
      <c r="B168" s="19" t="str">
        <f t="shared" si="110"/>
        <v>Tarleton</v>
      </c>
      <c r="C168" s="55">
        <f t="shared" si="111"/>
        <v>36355.451999999997</v>
      </c>
      <c r="D168" s="15">
        <f t="shared" si="125"/>
        <v>7726.6666666666661</v>
      </c>
      <c r="E168" s="14">
        <f t="shared" si="112"/>
        <v>5170.6853333333338</v>
      </c>
      <c r="F168" s="14">
        <f t="shared" si="112"/>
        <v>0</v>
      </c>
      <c r="G168" s="13">
        <f t="shared" si="113"/>
        <v>0</v>
      </c>
      <c r="H168" s="15">
        <f t="shared" si="113"/>
        <v>0</v>
      </c>
      <c r="I168" s="13">
        <f t="shared" si="113"/>
        <v>0</v>
      </c>
      <c r="J168" s="16">
        <f t="shared" ref="J168" si="127">J210*J$155</f>
        <v>3118.333333333333</v>
      </c>
      <c r="K168" s="16">
        <f t="shared" si="113"/>
        <v>9560</v>
      </c>
      <c r="L168" s="15">
        <f t="shared" si="113"/>
        <v>3662.3666666666668</v>
      </c>
      <c r="M168" s="14">
        <f t="shared" si="113"/>
        <v>3321.666666666667</v>
      </c>
      <c r="N168" s="106">
        <f t="shared" si="113"/>
        <v>3795.7333333333336</v>
      </c>
      <c r="O168" s="108" t="s">
        <v>83</v>
      </c>
    </row>
    <row r="169" spans="1:15" outlineLevel="1" x14ac:dyDescent="0.2">
      <c r="A169" s="27">
        <f t="shared" si="110"/>
        <v>103631</v>
      </c>
      <c r="B169" s="19" t="str">
        <f t="shared" si="110"/>
        <v>TAMUCT</v>
      </c>
      <c r="C169" s="55">
        <f t="shared" si="111"/>
        <v>8906.5419999999995</v>
      </c>
      <c r="D169" s="15">
        <f t="shared" si="125"/>
        <v>2301.6666666666665</v>
      </c>
      <c r="E169" s="14">
        <f t="shared" si="112"/>
        <v>1540.2753333333333</v>
      </c>
      <c r="F169" s="14">
        <f t="shared" si="112"/>
        <v>0</v>
      </c>
      <c r="G169" s="13">
        <f t="shared" si="113"/>
        <v>0</v>
      </c>
      <c r="H169" s="15">
        <f t="shared" si="113"/>
        <v>0</v>
      </c>
      <c r="I169" s="13">
        <f t="shared" si="113"/>
        <v>0</v>
      </c>
      <c r="J169" s="16">
        <f t="shared" ref="J169" si="128">J211*J$155</f>
        <v>1125</v>
      </c>
      <c r="K169" s="16">
        <f t="shared" si="113"/>
        <v>2616</v>
      </c>
      <c r="L169" s="15">
        <f t="shared" si="113"/>
        <v>841.5</v>
      </c>
      <c r="M169" s="14">
        <f t="shared" si="113"/>
        <v>332.5</v>
      </c>
      <c r="N169" s="106">
        <f t="shared" si="113"/>
        <v>149.60000000000002</v>
      </c>
      <c r="O169" s="108" t="s">
        <v>82</v>
      </c>
    </row>
    <row r="170" spans="1:15" outlineLevel="1" x14ac:dyDescent="0.2">
      <c r="A170" s="20">
        <f t="shared" si="110"/>
        <v>11161</v>
      </c>
      <c r="B170" s="19" t="str">
        <f t="shared" si="110"/>
        <v>TAMUCC</v>
      </c>
      <c r="C170" s="55">
        <f t="shared" si="111"/>
        <v>33963.379999999997</v>
      </c>
      <c r="D170" s="15">
        <f t="shared" si="125"/>
        <v>6941.6666666666661</v>
      </c>
      <c r="E170" s="14">
        <f t="shared" si="112"/>
        <v>4936.913333333333</v>
      </c>
      <c r="F170" s="14">
        <f t="shared" si="112"/>
        <v>0</v>
      </c>
      <c r="G170" s="13">
        <f t="shared" si="113"/>
        <v>0</v>
      </c>
      <c r="H170" s="15">
        <f t="shared" si="113"/>
        <v>0</v>
      </c>
      <c r="I170" s="13">
        <f t="shared" si="113"/>
        <v>0</v>
      </c>
      <c r="J170" s="16">
        <f t="shared" ref="J170" si="129">J212*J$155</f>
        <v>2418.3333333333335</v>
      </c>
      <c r="K170" s="16">
        <f t="shared" si="113"/>
        <v>8640</v>
      </c>
      <c r="L170" s="15">
        <f t="shared" si="113"/>
        <v>3491.7999999999997</v>
      </c>
      <c r="M170" s="14">
        <f t="shared" si="113"/>
        <v>3670</v>
      </c>
      <c r="N170" s="106">
        <f t="shared" si="113"/>
        <v>3864.666666666667</v>
      </c>
      <c r="O170" s="108" t="s">
        <v>81</v>
      </c>
    </row>
    <row r="171" spans="1:15" outlineLevel="1" x14ac:dyDescent="0.2">
      <c r="A171" s="20">
        <f t="shared" si="110"/>
        <v>3639</v>
      </c>
      <c r="B171" s="19" t="str">
        <f t="shared" si="110"/>
        <v>TAMUK</v>
      </c>
      <c r="C171" s="55">
        <f t="shared" si="111"/>
        <v>19110.540555555555</v>
      </c>
      <c r="D171" s="15">
        <f t="shared" si="125"/>
        <v>3808.333333333333</v>
      </c>
      <c r="E171" s="14">
        <f t="shared" si="112"/>
        <v>2145.1072222222224</v>
      </c>
      <c r="F171" s="14">
        <f t="shared" si="112"/>
        <v>0</v>
      </c>
      <c r="G171" s="13">
        <f t="shared" si="113"/>
        <v>0</v>
      </c>
      <c r="H171" s="15">
        <f t="shared" si="113"/>
        <v>0</v>
      </c>
      <c r="I171" s="13">
        <f t="shared" si="113"/>
        <v>0</v>
      </c>
      <c r="J171" s="16">
        <f t="shared" ref="J171" si="130">J213*J$155</f>
        <v>1276.6666666666667</v>
      </c>
      <c r="K171" s="16">
        <f t="shared" si="113"/>
        <v>5186.666666666667</v>
      </c>
      <c r="L171" s="15">
        <f t="shared" si="113"/>
        <v>2086.4666666666667</v>
      </c>
      <c r="M171" s="14">
        <f t="shared" si="113"/>
        <v>2149.1666666666665</v>
      </c>
      <c r="N171" s="106">
        <f t="shared" si="113"/>
        <v>2458.1333333333332</v>
      </c>
      <c r="O171" s="108" t="s">
        <v>81</v>
      </c>
    </row>
    <row r="172" spans="1:15" outlineLevel="1" x14ac:dyDescent="0.2">
      <c r="A172" s="27">
        <f t="shared" ref="A172:B187" si="131">A21</f>
        <v>103639</v>
      </c>
      <c r="B172" s="19" t="str">
        <f t="shared" si="131"/>
        <v>TAMUSA</v>
      </c>
      <c r="C172" s="55">
        <f t="shared" si="111"/>
        <v>11658.231888888888</v>
      </c>
      <c r="D172" s="15">
        <f t="shared" si="125"/>
        <v>2938.333333333333</v>
      </c>
      <c r="E172" s="14">
        <f t="shared" si="125"/>
        <v>1655.0652222222222</v>
      </c>
      <c r="F172" s="14">
        <f t="shared" si="125"/>
        <v>0</v>
      </c>
      <c r="G172" s="13">
        <f t="shared" si="125"/>
        <v>0</v>
      </c>
      <c r="H172" s="15">
        <f t="shared" si="125"/>
        <v>0</v>
      </c>
      <c r="I172" s="13">
        <f t="shared" si="125"/>
        <v>0</v>
      </c>
      <c r="J172" s="16">
        <f t="shared" ref="J172" si="132">J214*J$155</f>
        <v>1696.6666666666665</v>
      </c>
      <c r="K172" s="16">
        <f t="shared" si="125"/>
        <v>3922.6666666666665</v>
      </c>
      <c r="L172" s="15">
        <f t="shared" si="125"/>
        <v>1240.4333333333332</v>
      </c>
      <c r="M172" s="14">
        <f t="shared" si="125"/>
        <v>193.33333333333331</v>
      </c>
      <c r="N172" s="106">
        <f t="shared" si="125"/>
        <v>11.733333333333334</v>
      </c>
      <c r="O172" s="108" t="s">
        <v>82</v>
      </c>
    </row>
    <row r="173" spans="1:15" outlineLevel="1" x14ac:dyDescent="0.2">
      <c r="A173" s="20">
        <f t="shared" si="131"/>
        <v>9651</v>
      </c>
      <c r="B173" s="19" t="str">
        <f t="shared" si="131"/>
        <v>TAMI</v>
      </c>
      <c r="C173" s="55">
        <f t="shared" si="111"/>
        <v>21229.062222222223</v>
      </c>
      <c r="D173" s="15">
        <f t="shared" si="125"/>
        <v>3948.333333333333</v>
      </c>
      <c r="E173" s="14">
        <f t="shared" si="125"/>
        <v>2616.4288888888887</v>
      </c>
      <c r="F173" s="14">
        <f t="shared" si="125"/>
        <v>0</v>
      </c>
      <c r="G173" s="13">
        <f t="shared" si="125"/>
        <v>0</v>
      </c>
      <c r="H173" s="15">
        <f t="shared" si="125"/>
        <v>0</v>
      </c>
      <c r="I173" s="13">
        <f t="shared" si="125"/>
        <v>0</v>
      </c>
      <c r="J173" s="16">
        <f t="shared" ref="J173" si="133">J215*J$155</f>
        <v>1948.3333333333335</v>
      </c>
      <c r="K173" s="16">
        <f t="shared" si="125"/>
        <v>5701.333333333333</v>
      </c>
      <c r="L173" s="15">
        <f t="shared" si="125"/>
        <v>2391.3333333333335</v>
      </c>
      <c r="M173" s="14">
        <f t="shared" si="125"/>
        <v>2539.1666666666665</v>
      </c>
      <c r="N173" s="106">
        <f t="shared" si="125"/>
        <v>2084.1333333333337</v>
      </c>
      <c r="O173" s="108" t="s">
        <v>83</v>
      </c>
    </row>
    <row r="174" spans="1:15" outlineLevel="1" x14ac:dyDescent="0.2">
      <c r="A174" s="20">
        <f t="shared" si="131"/>
        <v>3665</v>
      </c>
      <c r="B174" s="19" t="str">
        <f t="shared" si="131"/>
        <v>WTAMU</v>
      </c>
      <c r="C174" s="55">
        <f t="shared" si="111"/>
        <v>28710.703111111114</v>
      </c>
      <c r="D174" s="15">
        <f t="shared" si="125"/>
        <v>6278.3333333333339</v>
      </c>
      <c r="E174" s="14">
        <f t="shared" si="125"/>
        <v>4137.0031111111111</v>
      </c>
      <c r="F174" s="14">
        <f t="shared" si="125"/>
        <v>0</v>
      </c>
      <c r="G174" s="13">
        <f t="shared" si="125"/>
        <v>0</v>
      </c>
      <c r="H174" s="15">
        <f t="shared" si="125"/>
        <v>0</v>
      </c>
      <c r="I174" s="13">
        <f t="shared" si="125"/>
        <v>0</v>
      </c>
      <c r="J174" s="16">
        <f t="shared" ref="J174" si="134">J216*J$155</f>
        <v>2193.3333333333335</v>
      </c>
      <c r="K174" s="16">
        <f t="shared" si="125"/>
        <v>7114.666666666667</v>
      </c>
      <c r="L174" s="15">
        <f t="shared" si="125"/>
        <v>3045.8333333333335</v>
      </c>
      <c r="M174" s="14">
        <f t="shared" si="125"/>
        <v>3031.666666666667</v>
      </c>
      <c r="N174" s="106">
        <f t="shared" si="125"/>
        <v>2909.8666666666672</v>
      </c>
      <c r="O174" s="108" t="s">
        <v>83</v>
      </c>
    </row>
    <row r="175" spans="1:15" outlineLevel="1" x14ac:dyDescent="0.2">
      <c r="A175" s="20">
        <f t="shared" si="131"/>
        <v>3565</v>
      </c>
      <c r="B175" s="19" t="str">
        <f t="shared" si="131"/>
        <v>TAMUC</v>
      </c>
      <c r="C175" s="55">
        <f t="shared" si="111"/>
        <v>30671.979999999996</v>
      </c>
      <c r="D175" s="15">
        <f t="shared" si="125"/>
        <v>6621.6666666666661</v>
      </c>
      <c r="E175" s="14">
        <f t="shared" si="125"/>
        <v>4078.9466666666663</v>
      </c>
      <c r="F175" s="14">
        <f t="shared" si="125"/>
        <v>0</v>
      </c>
      <c r="G175" s="13">
        <f t="shared" si="125"/>
        <v>0</v>
      </c>
      <c r="H175" s="15">
        <f t="shared" si="125"/>
        <v>0</v>
      </c>
      <c r="I175" s="13">
        <f t="shared" si="125"/>
        <v>0</v>
      </c>
      <c r="J175" s="16">
        <f t="shared" ref="J175" si="135">J217*J$155</f>
        <v>3765</v>
      </c>
      <c r="K175" s="16">
        <f t="shared" si="125"/>
        <v>8154.666666666667</v>
      </c>
      <c r="L175" s="15">
        <f t="shared" si="125"/>
        <v>3218.1</v>
      </c>
      <c r="M175" s="14">
        <f t="shared" si="125"/>
        <v>2843.333333333333</v>
      </c>
      <c r="N175" s="106">
        <f t="shared" si="125"/>
        <v>1990.2666666666667</v>
      </c>
      <c r="O175" s="108" t="s">
        <v>81</v>
      </c>
    </row>
    <row r="176" spans="1:15" outlineLevel="1" x14ac:dyDescent="0.2">
      <c r="A176" s="20">
        <f t="shared" si="131"/>
        <v>29269</v>
      </c>
      <c r="B176" s="19" t="str">
        <f t="shared" si="131"/>
        <v>TAMUT</v>
      </c>
      <c r="C176" s="55">
        <f t="shared" si="111"/>
        <v>7232.8218378278625</v>
      </c>
      <c r="D176" s="15">
        <f t="shared" si="125"/>
        <v>1728.3333333333335</v>
      </c>
      <c r="E176" s="14">
        <f t="shared" si="125"/>
        <v>1311.5218378278626</v>
      </c>
      <c r="F176" s="14">
        <f t="shared" si="125"/>
        <v>0</v>
      </c>
      <c r="G176" s="13">
        <f t="shared" si="125"/>
        <v>0</v>
      </c>
      <c r="H176" s="15">
        <f t="shared" si="125"/>
        <v>0</v>
      </c>
      <c r="I176" s="13">
        <f t="shared" si="125"/>
        <v>0</v>
      </c>
      <c r="J176" s="16">
        <f t="shared" ref="J176" si="136">J218*J$155</f>
        <v>1090</v>
      </c>
      <c r="K176" s="16">
        <f t="shared" si="125"/>
        <v>1912</v>
      </c>
      <c r="L176" s="15">
        <f t="shared" si="125"/>
        <v>735.5333333333333</v>
      </c>
      <c r="M176" s="14">
        <f t="shared" si="125"/>
        <v>452.5</v>
      </c>
      <c r="N176" s="106">
        <f t="shared" si="125"/>
        <v>2.9333333333333336</v>
      </c>
      <c r="O176" s="108" t="s">
        <v>82</v>
      </c>
    </row>
    <row r="177" spans="1:15" outlineLevel="1" x14ac:dyDescent="0.2">
      <c r="A177" s="20">
        <f t="shared" si="131"/>
        <v>3652</v>
      </c>
      <c r="B177" s="19" t="str">
        <f t="shared" si="131"/>
        <v>UH</v>
      </c>
      <c r="C177" s="55">
        <f t="shared" si="111"/>
        <v>122234.82755555554</v>
      </c>
      <c r="D177" s="15">
        <f t="shared" si="125"/>
        <v>25493.333333333336</v>
      </c>
      <c r="E177" s="14">
        <f t="shared" si="125"/>
        <v>19142.094222222222</v>
      </c>
      <c r="F177" s="14">
        <f t="shared" si="125"/>
        <v>0</v>
      </c>
      <c r="G177" s="13">
        <f t="shared" si="125"/>
        <v>0</v>
      </c>
      <c r="H177" s="15">
        <f t="shared" si="125"/>
        <v>0</v>
      </c>
      <c r="I177" s="13">
        <f t="shared" si="125"/>
        <v>0</v>
      </c>
      <c r="J177" s="16">
        <f t="shared" ref="J177" si="137">J219*J$155</f>
        <v>8913.3333333333339</v>
      </c>
      <c r="K177" s="16">
        <f t="shared" si="125"/>
        <v>26984</v>
      </c>
      <c r="L177" s="15">
        <f t="shared" si="125"/>
        <v>12923.966666666665</v>
      </c>
      <c r="M177" s="14">
        <f t="shared" si="125"/>
        <v>14225.833333333332</v>
      </c>
      <c r="N177" s="106">
        <f t="shared" si="125"/>
        <v>14552.266666666668</v>
      </c>
      <c r="O177" s="108" t="s">
        <v>80</v>
      </c>
    </row>
    <row r="178" spans="1:15" outlineLevel="1" x14ac:dyDescent="0.2">
      <c r="A178" s="20">
        <f t="shared" si="131"/>
        <v>11711</v>
      </c>
      <c r="B178" s="19" t="str">
        <f t="shared" si="131"/>
        <v>UHCL</v>
      </c>
      <c r="C178" s="55">
        <f t="shared" si="111"/>
        <v>25516.965422179586</v>
      </c>
      <c r="D178" s="15">
        <f t="shared" si="125"/>
        <v>5953.3333333333339</v>
      </c>
      <c r="E178" s="14">
        <f t="shared" si="125"/>
        <v>4335.3987555129188</v>
      </c>
      <c r="F178" s="14">
        <f t="shared" si="125"/>
        <v>0</v>
      </c>
      <c r="G178" s="13">
        <f t="shared" si="125"/>
        <v>0</v>
      </c>
      <c r="H178" s="15">
        <f t="shared" si="125"/>
        <v>0</v>
      </c>
      <c r="I178" s="13">
        <f t="shared" si="125"/>
        <v>0</v>
      </c>
      <c r="J178" s="16">
        <f t="shared" ref="J178" si="138">J220*J$155</f>
        <v>4033.333333333333</v>
      </c>
      <c r="K178" s="16">
        <f t="shared" si="125"/>
        <v>6194.666666666667</v>
      </c>
      <c r="L178" s="15">
        <f t="shared" si="125"/>
        <v>2365.2666666666664</v>
      </c>
      <c r="M178" s="14">
        <f t="shared" si="125"/>
        <v>2384.1666666666665</v>
      </c>
      <c r="N178" s="106">
        <f t="shared" si="125"/>
        <v>250.8</v>
      </c>
      <c r="O178" s="108" t="s">
        <v>82</v>
      </c>
    </row>
    <row r="179" spans="1:15" outlineLevel="1" x14ac:dyDescent="0.2">
      <c r="A179" s="20">
        <f t="shared" si="131"/>
        <v>12826</v>
      </c>
      <c r="B179" s="19" t="str">
        <f t="shared" si="131"/>
        <v>UHD</v>
      </c>
      <c r="C179" s="55">
        <f t="shared" si="111"/>
        <v>46385.270000000004</v>
      </c>
      <c r="D179" s="15">
        <f t="shared" si="125"/>
        <v>11911.666666666668</v>
      </c>
      <c r="E179" s="14">
        <f t="shared" si="125"/>
        <v>3168.503333333334</v>
      </c>
      <c r="F179" s="14">
        <f t="shared" si="125"/>
        <v>0</v>
      </c>
      <c r="G179" s="13">
        <f t="shared" si="125"/>
        <v>0</v>
      </c>
      <c r="H179" s="15">
        <f t="shared" si="125"/>
        <v>0</v>
      </c>
      <c r="I179" s="13">
        <f t="shared" si="125"/>
        <v>0</v>
      </c>
      <c r="J179" s="16">
        <f t="shared" ref="J179" si="139">J221*J$155</f>
        <v>5246.6666666666661</v>
      </c>
      <c r="K179" s="16">
        <f t="shared" si="125"/>
        <v>13448</v>
      </c>
      <c r="L179" s="15">
        <f t="shared" si="125"/>
        <v>5279.0666666666666</v>
      </c>
      <c r="M179" s="14">
        <f t="shared" si="125"/>
        <v>4670.833333333333</v>
      </c>
      <c r="N179" s="106">
        <f t="shared" si="125"/>
        <v>2660.5333333333333</v>
      </c>
      <c r="O179" s="108" t="s">
        <v>82</v>
      </c>
    </row>
    <row r="180" spans="1:15" outlineLevel="1" x14ac:dyDescent="0.2">
      <c r="A180" s="20">
        <f t="shared" si="131"/>
        <v>13231</v>
      </c>
      <c r="B180" s="19" t="str">
        <f t="shared" si="131"/>
        <v>UHV</v>
      </c>
      <c r="C180" s="55">
        <f t="shared" si="111"/>
        <v>12120.734906538693</v>
      </c>
      <c r="D180" s="15">
        <f t="shared" si="125"/>
        <v>2883.333333333333</v>
      </c>
      <c r="E180" s="14">
        <f t="shared" si="125"/>
        <v>2101.3682398720248</v>
      </c>
      <c r="F180" s="14">
        <f t="shared" si="125"/>
        <v>0</v>
      </c>
      <c r="G180" s="13">
        <f t="shared" si="125"/>
        <v>0</v>
      </c>
      <c r="H180" s="15">
        <f t="shared" si="125"/>
        <v>0</v>
      </c>
      <c r="I180" s="13">
        <f t="shared" si="125"/>
        <v>0</v>
      </c>
      <c r="J180" s="16">
        <f t="shared" ref="J180" si="140">J222*J$155</f>
        <v>2076.6666666666665</v>
      </c>
      <c r="K180" s="16">
        <f t="shared" si="125"/>
        <v>3072</v>
      </c>
      <c r="L180" s="15">
        <f t="shared" si="125"/>
        <v>1217.2</v>
      </c>
      <c r="M180" s="14">
        <f t="shared" si="125"/>
        <v>740.83333333333326</v>
      </c>
      <c r="N180" s="106">
        <f t="shared" si="125"/>
        <v>29.333333333333336</v>
      </c>
      <c r="O180" s="108" t="s">
        <v>82</v>
      </c>
    </row>
    <row r="181" spans="1:15" outlineLevel="1" x14ac:dyDescent="0.2">
      <c r="A181" s="20">
        <f t="shared" si="131"/>
        <v>3592</v>
      </c>
      <c r="B181" s="19" t="str">
        <f t="shared" si="131"/>
        <v>Midwestern</v>
      </c>
      <c r="C181" s="55">
        <f t="shared" si="111"/>
        <v>23160.518888888888</v>
      </c>
      <c r="D181" s="15">
        <f t="shared" si="125"/>
        <v>5158.3333333333339</v>
      </c>
      <c r="E181" s="14">
        <f t="shared" si="125"/>
        <v>3172.7188888888886</v>
      </c>
      <c r="F181" s="14">
        <f t="shared" si="125"/>
        <v>0</v>
      </c>
      <c r="G181" s="13">
        <f t="shared" si="125"/>
        <v>0</v>
      </c>
      <c r="H181" s="15">
        <f t="shared" si="125"/>
        <v>0</v>
      </c>
      <c r="I181" s="13">
        <f t="shared" si="125"/>
        <v>0</v>
      </c>
      <c r="J181" s="16">
        <f t="shared" ref="J181" si="141">J223*J$155</f>
        <v>1256.6666666666667</v>
      </c>
      <c r="K181" s="16">
        <f t="shared" si="125"/>
        <v>5522.666666666667</v>
      </c>
      <c r="L181" s="15">
        <f t="shared" si="125"/>
        <v>2444.6</v>
      </c>
      <c r="M181" s="14">
        <f t="shared" si="125"/>
        <v>2615</v>
      </c>
      <c r="N181" s="106">
        <f t="shared" si="125"/>
        <v>2990.5333333333333</v>
      </c>
      <c r="O181" s="108" t="s">
        <v>82</v>
      </c>
    </row>
    <row r="182" spans="1:15" outlineLevel="1" x14ac:dyDescent="0.2">
      <c r="A182" s="20">
        <f t="shared" si="131"/>
        <v>3594</v>
      </c>
      <c r="B182" s="19" t="str">
        <f t="shared" si="131"/>
        <v>UNT</v>
      </c>
      <c r="C182" s="55">
        <f t="shared" si="111"/>
        <v>138525.13888888888</v>
      </c>
      <c r="D182" s="15">
        <f t="shared" si="125"/>
        <v>30083.333333333336</v>
      </c>
      <c r="E182" s="14">
        <f t="shared" si="125"/>
        <v>24273.238888888889</v>
      </c>
      <c r="F182" s="14">
        <f t="shared" si="125"/>
        <v>0</v>
      </c>
      <c r="G182" s="13">
        <f t="shared" si="125"/>
        <v>0</v>
      </c>
      <c r="H182" s="15">
        <f t="shared" si="125"/>
        <v>0</v>
      </c>
      <c r="I182" s="13">
        <f t="shared" si="125"/>
        <v>0</v>
      </c>
      <c r="J182" s="16">
        <f t="shared" ref="J182" si="142">J224*J$155</f>
        <v>11450</v>
      </c>
      <c r="K182" s="16">
        <f t="shared" si="125"/>
        <v>30560</v>
      </c>
      <c r="L182" s="15">
        <f t="shared" si="125"/>
        <v>13369.933333333334</v>
      </c>
      <c r="M182" s="14">
        <f t="shared" si="125"/>
        <v>14105.833333333332</v>
      </c>
      <c r="N182" s="106">
        <f t="shared" si="125"/>
        <v>14682.800000000001</v>
      </c>
      <c r="O182" s="108" t="s">
        <v>80</v>
      </c>
    </row>
    <row r="183" spans="1:15" outlineLevel="1" x14ac:dyDescent="0.2">
      <c r="A183" s="27">
        <f t="shared" si="131"/>
        <v>113594</v>
      </c>
      <c r="B183" s="19" t="str">
        <f t="shared" si="131"/>
        <v>UNTD</v>
      </c>
      <c r="C183" s="55">
        <f t="shared" si="111"/>
        <v>7156.3987500000003</v>
      </c>
      <c r="D183" s="15">
        <f t="shared" ref="D183:N193" si="143">D225*D$155</f>
        <v>2017.5</v>
      </c>
      <c r="E183" s="14">
        <f t="shared" si="143"/>
        <v>1631.1487500000001</v>
      </c>
      <c r="F183" s="14">
        <f t="shared" si="143"/>
        <v>0</v>
      </c>
      <c r="G183" s="13">
        <f t="shared" si="143"/>
        <v>0</v>
      </c>
      <c r="H183" s="15">
        <f t="shared" si="143"/>
        <v>0</v>
      </c>
      <c r="I183" s="13">
        <f t="shared" si="143"/>
        <v>0</v>
      </c>
      <c r="J183" s="16">
        <f t="shared" ref="J183" si="144">J225*J$155</f>
        <v>0</v>
      </c>
      <c r="K183" s="16">
        <f t="shared" si="143"/>
        <v>2468</v>
      </c>
      <c r="L183" s="15">
        <f t="shared" si="143"/>
        <v>812.6</v>
      </c>
      <c r="M183" s="14">
        <f t="shared" si="143"/>
        <v>178.75</v>
      </c>
      <c r="N183" s="106">
        <f t="shared" si="143"/>
        <v>48.400000000000006</v>
      </c>
      <c r="O183" s="108" t="s">
        <v>82</v>
      </c>
    </row>
    <row r="184" spans="1:15" outlineLevel="1" x14ac:dyDescent="0.2">
      <c r="A184" s="20">
        <f t="shared" si="131"/>
        <v>3624</v>
      </c>
      <c r="B184" s="19" t="str">
        <f t="shared" si="131"/>
        <v>SFA</v>
      </c>
      <c r="C184" s="55">
        <f t="shared" si="111"/>
        <v>47603.523333333331</v>
      </c>
      <c r="D184" s="15">
        <f t="shared" si="143"/>
        <v>9608.3333333333339</v>
      </c>
      <c r="E184" s="14">
        <f t="shared" si="143"/>
        <v>7452.2233333333324</v>
      </c>
      <c r="F184" s="14">
        <f t="shared" si="143"/>
        <v>0</v>
      </c>
      <c r="G184" s="13">
        <f t="shared" si="143"/>
        <v>0</v>
      </c>
      <c r="H184" s="15">
        <f t="shared" si="143"/>
        <v>0</v>
      </c>
      <c r="I184" s="13">
        <f t="shared" si="143"/>
        <v>0</v>
      </c>
      <c r="J184" s="16">
        <f t="shared" ref="J184" si="145">J226*J$155</f>
        <v>2816.666666666667</v>
      </c>
      <c r="K184" s="16">
        <f t="shared" si="143"/>
        <v>11682.666666666666</v>
      </c>
      <c r="L184" s="15">
        <f t="shared" si="143"/>
        <v>4707.8666666666668</v>
      </c>
      <c r="M184" s="14">
        <f t="shared" si="143"/>
        <v>5187.5</v>
      </c>
      <c r="N184" s="106">
        <f t="shared" si="143"/>
        <v>6148.2666666666664</v>
      </c>
      <c r="O184" s="108" t="s">
        <v>83</v>
      </c>
    </row>
    <row r="185" spans="1:15" outlineLevel="1" x14ac:dyDescent="0.2">
      <c r="A185" s="20">
        <f t="shared" si="131"/>
        <v>3642</v>
      </c>
      <c r="B185" s="19" t="str">
        <f t="shared" si="131"/>
        <v>TSU</v>
      </c>
      <c r="C185" s="55">
        <f t="shared" si="111"/>
        <v>19800.06388888889</v>
      </c>
      <c r="D185" s="15">
        <f t="shared" si="143"/>
        <v>3791.666666666667</v>
      </c>
      <c r="E185" s="14">
        <f t="shared" si="143"/>
        <v>762.63055555555547</v>
      </c>
      <c r="F185" s="14">
        <f t="shared" si="143"/>
        <v>0</v>
      </c>
      <c r="G185" s="13">
        <f t="shared" si="143"/>
        <v>0</v>
      </c>
      <c r="H185" s="15">
        <f t="shared" si="143"/>
        <v>0</v>
      </c>
      <c r="I185" s="13">
        <f t="shared" si="143"/>
        <v>0</v>
      </c>
      <c r="J185" s="16">
        <f t="shared" ref="J185" si="146">J227*J$155</f>
        <v>565</v>
      </c>
      <c r="K185" s="16">
        <f t="shared" si="143"/>
        <v>5330.666666666667</v>
      </c>
      <c r="L185" s="15">
        <f t="shared" si="143"/>
        <v>2783.4666666666662</v>
      </c>
      <c r="M185" s="14">
        <f t="shared" si="143"/>
        <v>2832.5</v>
      </c>
      <c r="N185" s="106">
        <f t="shared" si="143"/>
        <v>3734.1333333333337</v>
      </c>
      <c r="O185" s="108" t="s">
        <v>81</v>
      </c>
    </row>
    <row r="186" spans="1:15" outlineLevel="1" x14ac:dyDescent="0.2">
      <c r="A186" s="20">
        <f t="shared" si="131"/>
        <v>3644</v>
      </c>
      <c r="B186" s="19" t="str">
        <f t="shared" si="131"/>
        <v>TTU</v>
      </c>
      <c r="C186" s="55">
        <f t="shared" si="111"/>
        <v>116743.74266666667</v>
      </c>
      <c r="D186" s="15">
        <f t="shared" si="143"/>
        <v>23370</v>
      </c>
      <c r="E186" s="14">
        <f t="shared" si="143"/>
        <v>23949.575999999997</v>
      </c>
      <c r="F186" s="14">
        <f t="shared" si="143"/>
        <v>0</v>
      </c>
      <c r="G186" s="13">
        <f t="shared" si="143"/>
        <v>0</v>
      </c>
      <c r="H186" s="15">
        <f t="shared" si="143"/>
        <v>0</v>
      </c>
      <c r="I186" s="13">
        <f t="shared" si="143"/>
        <v>0</v>
      </c>
      <c r="J186" s="16">
        <f t="shared" ref="J186" si="147">J228*J$155</f>
        <v>5618.3333333333339</v>
      </c>
      <c r="K186" s="16">
        <f t="shared" si="143"/>
        <v>22224</v>
      </c>
      <c r="L186" s="15">
        <f t="shared" si="143"/>
        <v>11025.066666666666</v>
      </c>
      <c r="M186" s="14">
        <f t="shared" si="143"/>
        <v>13195.833333333332</v>
      </c>
      <c r="N186" s="106">
        <f t="shared" si="143"/>
        <v>17360.933333333334</v>
      </c>
      <c r="O186" s="108" t="s">
        <v>80</v>
      </c>
    </row>
    <row r="187" spans="1:15" outlineLevel="1" x14ac:dyDescent="0.2">
      <c r="A187" s="20">
        <f t="shared" si="131"/>
        <v>3541</v>
      </c>
      <c r="B187" s="19" t="str">
        <f t="shared" si="131"/>
        <v>Angelo</v>
      </c>
      <c r="C187" s="55">
        <f t="shared" si="111"/>
        <v>22837.56688888889</v>
      </c>
      <c r="D187" s="15">
        <f t="shared" si="143"/>
        <v>4956.666666666667</v>
      </c>
      <c r="E187" s="14">
        <f t="shared" si="143"/>
        <v>2981.6002222222223</v>
      </c>
      <c r="F187" s="14">
        <f t="shared" si="143"/>
        <v>0</v>
      </c>
      <c r="G187" s="13">
        <f t="shared" si="143"/>
        <v>0</v>
      </c>
      <c r="H187" s="15">
        <f t="shared" si="143"/>
        <v>0</v>
      </c>
      <c r="I187" s="13">
        <f t="shared" si="143"/>
        <v>0</v>
      </c>
      <c r="J187" s="16">
        <f t="shared" ref="J187" si="148">J229*J$155</f>
        <v>971.66666666666674</v>
      </c>
      <c r="K187" s="16">
        <f t="shared" si="143"/>
        <v>5784</v>
      </c>
      <c r="L187" s="15">
        <f t="shared" si="143"/>
        <v>2445.7333333333336</v>
      </c>
      <c r="M187" s="14">
        <f t="shared" si="143"/>
        <v>2584.166666666667</v>
      </c>
      <c r="N187" s="106">
        <f t="shared" si="143"/>
        <v>3113.7333333333336</v>
      </c>
      <c r="O187" s="108" t="s">
        <v>82</v>
      </c>
    </row>
    <row r="188" spans="1:15" outlineLevel="1" x14ac:dyDescent="0.2">
      <c r="A188" s="20">
        <f t="shared" ref="A188:B193" si="149">A37</f>
        <v>3646</v>
      </c>
      <c r="B188" s="19" t="str">
        <f t="shared" si="149"/>
        <v>TWU</v>
      </c>
      <c r="C188" s="55">
        <f t="shared" si="111"/>
        <v>39509.427333333333</v>
      </c>
      <c r="D188" s="15">
        <f t="shared" si="143"/>
        <v>9030</v>
      </c>
      <c r="E188" s="14">
        <f t="shared" si="143"/>
        <v>6620.1940000000004</v>
      </c>
      <c r="F188" s="14">
        <f t="shared" si="143"/>
        <v>0</v>
      </c>
      <c r="G188" s="13">
        <f t="shared" si="143"/>
        <v>0</v>
      </c>
      <c r="H188" s="15">
        <f t="shared" si="143"/>
        <v>0</v>
      </c>
      <c r="I188" s="13">
        <f t="shared" si="143"/>
        <v>0</v>
      </c>
      <c r="J188" s="16">
        <f t="shared" ref="J188" si="150">J230*J$155</f>
        <v>4016.666666666667</v>
      </c>
      <c r="K188" s="16">
        <f t="shared" si="143"/>
        <v>9976</v>
      </c>
      <c r="L188" s="15">
        <f t="shared" si="143"/>
        <v>3733.2</v>
      </c>
      <c r="M188" s="14">
        <f t="shared" si="143"/>
        <v>3230.833333333333</v>
      </c>
      <c r="N188" s="106">
        <f t="shared" si="143"/>
        <v>2902.5333333333333</v>
      </c>
      <c r="O188" s="108" t="s">
        <v>81</v>
      </c>
    </row>
    <row r="189" spans="1:15" outlineLevel="1" x14ac:dyDescent="0.2">
      <c r="A189" s="20">
        <f t="shared" si="149"/>
        <v>3581</v>
      </c>
      <c r="B189" s="19" t="str">
        <f t="shared" si="149"/>
        <v>Lamar</v>
      </c>
      <c r="C189" s="55">
        <f t="shared" si="111"/>
        <v>30525.849111111114</v>
      </c>
      <c r="D189" s="15">
        <f t="shared" si="143"/>
        <v>6676.6666666666661</v>
      </c>
      <c r="E189" s="14">
        <f t="shared" si="143"/>
        <v>3274.6824444444442</v>
      </c>
      <c r="F189" s="14">
        <f t="shared" si="143"/>
        <v>0</v>
      </c>
      <c r="G189" s="13">
        <f t="shared" si="143"/>
        <v>0</v>
      </c>
      <c r="H189" s="15">
        <f t="shared" si="143"/>
        <v>0</v>
      </c>
      <c r="I189" s="13">
        <f t="shared" si="143"/>
        <v>0</v>
      </c>
      <c r="J189" s="16">
        <f t="shared" ref="J189" si="151">J231*J$155</f>
        <v>1168.3333333333333</v>
      </c>
      <c r="K189" s="16">
        <f t="shared" si="143"/>
        <v>7589.333333333333</v>
      </c>
      <c r="L189" s="15">
        <f t="shared" si="143"/>
        <v>3645.9333333333329</v>
      </c>
      <c r="M189" s="14">
        <f t="shared" si="143"/>
        <v>3722.5</v>
      </c>
      <c r="N189" s="106">
        <f t="shared" si="143"/>
        <v>4448.4000000000005</v>
      </c>
      <c r="O189" s="108" t="s">
        <v>83</v>
      </c>
    </row>
    <row r="190" spans="1:15" outlineLevel="1" x14ac:dyDescent="0.2">
      <c r="A190" s="20">
        <f t="shared" si="149"/>
        <v>3606</v>
      </c>
      <c r="B190" s="19" t="str">
        <f t="shared" si="149"/>
        <v>SHSU</v>
      </c>
      <c r="C190" s="55">
        <f t="shared" si="111"/>
        <v>73937.317777777775</v>
      </c>
      <c r="D190" s="15">
        <f t="shared" si="143"/>
        <v>15388.333333333332</v>
      </c>
      <c r="E190" s="14">
        <f t="shared" si="143"/>
        <v>12638.951111111111</v>
      </c>
      <c r="F190" s="14">
        <f t="shared" si="143"/>
        <v>0</v>
      </c>
      <c r="G190" s="13">
        <f t="shared" si="143"/>
        <v>0</v>
      </c>
      <c r="H190" s="15">
        <f t="shared" si="143"/>
        <v>0</v>
      </c>
      <c r="I190" s="13">
        <f t="shared" si="143"/>
        <v>0</v>
      </c>
      <c r="J190" s="16">
        <f t="shared" ref="J190" si="152">J232*J$155</f>
        <v>6408.3333333333339</v>
      </c>
      <c r="K190" s="16">
        <f t="shared" si="143"/>
        <v>17709.333333333332</v>
      </c>
      <c r="L190" s="15">
        <f t="shared" si="143"/>
        <v>6620.3666666666668</v>
      </c>
      <c r="M190" s="14">
        <f t="shared" si="143"/>
        <v>7413.3333333333339</v>
      </c>
      <c r="N190" s="106">
        <f t="shared" si="143"/>
        <v>7758.666666666667</v>
      </c>
      <c r="O190" s="108" t="s">
        <v>81</v>
      </c>
    </row>
    <row r="191" spans="1:15" outlineLevel="1" x14ac:dyDescent="0.2">
      <c r="A191" s="20">
        <f t="shared" si="149"/>
        <v>3615</v>
      </c>
      <c r="B191" s="19" t="str">
        <f t="shared" si="149"/>
        <v>TXST</v>
      </c>
      <c r="C191" s="55">
        <f t="shared" si="111"/>
        <v>131263.92433333333</v>
      </c>
      <c r="D191" s="15">
        <f t="shared" si="143"/>
        <v>26805</v>
      </c>
      <c r="E191" s="14">
        <f t="shared" si="143"/>
        <v>23754.591</v>
      </c>
      <c r="F191" s="14">
        <f t="shared" si="143"/>
        <v>0</v>
      </c>
      <c r="G191" s="13">
        <f t="shared" si="143"/>
        <v>0</v>
      </c>
      <c r="H191" s="15">
        <f t="shared" si="143"/>
        <v>0</v>
      </c>
      <c r="I191" s="13">
        <f t="shared" si="143"/>
        <v>0</v>
      </c>
      <c r="J191" s="16">
        <f t="shared" ref="J191" si="153">J233*J$155</f>
        <v>10058.333333333334</v>
      </c>
      <c r="K191" s="16">
        <f t="shared" si="143"/>
        <v>29402.666666666668</v>
      </c>
      <c r="L191" s="15">
        <f t="shared" si="143"/>
        <v>12699.566666666666</v>
      </c>
      <c r="M191" s="14">
        <f t="shared" si="143"/>
        <v>13947.5</v>
      </c>
      <c r="N191" s="106">
        <f t="shared" si="143"/>
        <v>14596.266666666668</v>
      </c>
      <c r="O191" s="108" t="s">
        <v>80</v>
      </c>
    </row>
    <row r="192" spans="1:15" outlineLevel="1" x14ac:dyDescent="0.2">
      <c r="A192" s="20">
        <f t="shared" si="149"/>
        <v>3625</v>
      </c>
      <c r="B192" s="19" t="str">
        <f t="shared" si="149"/>
        <v>SRSU</v>
      </c>
      <c r="C192" s="55">
        <f t="shared" si="111"/>
        <v>4439.7586666666666</v>
      </c>
      <c r="D192" s="15">
        <f t="shared" si="143"/>
        <v>946.66666666666674</v>
      </c>
      <c r="E192" s="14">
        <f t="shared" si="143"/>
        <v>398.92533333333336</v>
      </c>
      <c r="F192" s="14">
        <f t="shared" si="143"/>
        <v>0</v>
      </c>
      <c r="G192" s="13">
        <f t="shared" si="143"/>
        <v>0</v>
      </c>
      <c r="H192" s="15">
        <f t="shared" si="143"/>
        <v>0</v>
      </c>
      <c r="I192" s="13">
        <f t="shared" si="143"/>
        <v>0</v>
      </c>
      <c r="J192" s="16">
        <f t="shared" ref="J192" si="154">J234*J$155</f>
        <v>216.66666666666669</v>
      </c>
      <c r="K192" s="16">
        <f t="shared" si="143"/>
        <v>1304</v>
      </c>
      <c r="L192" s="15">
        <f t="shared" si="143"/>
        <v>510</v>
      </c>
      <c r="M192" s="14">
        <f t="shared" si="143"/>
        <v>484.16666666666663</v>
      </c>
      <c r="N192" s="106">
        <f t="shared" si="143"/>
        <v>579.33333333333337</v>
      </c>
      <c r="O192" s="108" t="s">
        <v>82</v>
      </c>
    </row>
    <row r="193" spans="1:15" outlineLevel="1" x14ac:dyDescent="0.2">
      <c r="A193" s="20">
        <f t="shared" si="149"/>
        <v>20</v>
      </c>
      <c r="B193" s="19" t="str">
        <f t="shared" si="149"/>
        <v>SRRG</v>
      </c>
      <c r="C193" s="55">
        <f t="shared" si="111"/>
        <v>3536.6285029950309</v>
      </c>
      <c r="D193" s="15">
        <f t="shared" si="143"/>
        <v>808.33333333333326</v>
      </c>
      <c r="E193" s="14">
        <f t="shared" si="143"/>
        <v>359.56183632836428</v>
      </c>
      <c r="F193" s="14">
        <f t="shared" si="143"/>
        <v>0</v>
      </c>
      <c r="G193" s="13">
        <f t="shared" si="143"/>
        <v>0</v>
      </c>
      <c r="H193" s="15">
        <f t="shared" si="143"/>
        <v>0</v>
      </c>
      <c r="I193" s="13">
        <f t="shared" si="143"/>
        <v>0</v>
      </c>
      <c r="J193" s="16">
        <f t="shared" ref="J193" si="155">J235*J$155</f>
        <v>575</v>
      </c>
      <c r="K193" s="16">
        <f t="shared" si="143"/>
        <v>1152</v>
      </c>
      <c r="L193" s="15">
        <f t="shared" si="143"/>
        <v>391</v>
      </c>
      <c r="M193" s="14">
        <f t="shared" si="143"/>
        <v>231.66666666666669</v>
      </c>
      <c r="N193" s="106">
        <f t="shared" si="143"/>
        <v>19.066666666666666</v>
      </c>
      <c r="O193" s="108" t="s">
        <v>82</v>
      </c>
    </row>
    <row r="194" spans="1:15" ht="13.5" outlineLevel="1" thickBot="1" x14ac:dyDescent="0.25">
      <c r="A194" s="12"/>
      <c r="B194" s="11" t="s">
        <v>11</v>
      </c>
      <c r="C194" s="54">
        <f t="shared" ref="C194:N194" si="156">SUM(C156:C193)</f>
        <v>1969607.0578911321</v>
      </c>
      <c r="D194" s="9">
        <f t="shared" si="156"/>
        <v>421579.16666666663</v>
      </c>
      <c r="E194" s="7">
        <f t="shared" si="156"/>
        <v>343222.64122446562</v>
      </c>
      <c r="F194" s="7">
        <f t="shared" si="156"/>
        <v>0</v>
      </c>
      <c r="G194" s="3">
        <f t="shared" si="156"/>
        <v>0</v>
      </c>
      <c r="H194" s="5">
        <f t="shared" si="156"/>
        <v>0</v>
      </c>
      <c r="I194" s="3">
        <f t="shared" si="156"/>
        <v>0</v>
      </c>
      <c r="J194" s="6">
        <f t="shared" ref="J194" si="157">SUM(J156:J193)</f>
        <v>145681.66666666666</v>
      </c>
      <c r="K194" s="6">
        <f t="shared" si="156"/>
        <v>435572.00000000006</v>
      </c>
      <c r="L194" s="5">
        <f t="shared" si="156"/>
        <v>194161.53333333333</v>
      </c>
      <c r="M194" s="4">
        <f t="shared" si="156"/>
        <v>205861.25000000003</v>
      </c>
      <c r="N194" s="107">
        <f t="shared" si="156"/>
        <v>223528.8</v>
      </c>
      <c r="O194" s="109"/>
    </row>
    <row r="195" spans="1:15" ht="13.5" thickBot="1" x14ac:dyDescent="0.25">
      <c r="A195" s="42" t="s">
        <v>29</v>
      </c>
      <c r="B195" s="42"/>
      <c r="C195" s="127"/>
      <c r="D195" s="51"/>
      <c r="E195" s="51"/>
      <c r="F195" s="53"/>
      <c r="H195" s="53"/>
      <c r="O195" s="52"/>
    </row>
    <row r="196" spans="1:15" ht="12.75" customHeight="1" outlineLevel="1" x14ac:dyDescent="0.2">
      <c r="A196" s="234" t="s">
        <v>24</v>
      </c>
      <c r="B196" s="236" t="s">
        <v>23</v>
      </c>
      <c r="C196" s="238"/>
      <c r="D196" s="240" t="s">
        <v>28</v>
      </c>
      <c r="E196" s="242" t="s">
        <v>21</v>
      </c>
      <c r="F196" s="236" t="s">
        <v>20</v>
      </c>
      <c r="G196" s="221" t="s">
        <v>19</v>
      </c>
      <c r="H196" s="223" t="s">
        <v>18</v>
      </c>
      <c r="I196" s="225" t="s">
        <v>17</v>
      </c>
      <c r="J196" s="227" t="str">
        <f>$J$3</f>
        <v>Under Graduate Transfer Degrees</v>
      </c>
      <c r="K196" s="227" t="s">
        <v>16</v>
      </c>
      <c r="L196" s="229" t="s">
        <v>15</v>
      </c>
      <c r="M196" s="230"/>
      <c r="N196" s="231"/>
      <c r="O196" s="52"/>
    </row>
    <row r="197" spans="1:15" s="41" customFormat="1" ht="41.25" customHeight="1" outlineLevel="1" x14ac:dyDescent="0.2">
      <c r="A197" s="235"/>
      <c r="B197" s="237"/>
      <c r="C197" s="239"/>
      <c r="D197" s="241"/>
      <c r="E197" s="243"/>
      <c r="F197" s="237"/>
      <c r="G197" s="222"/>
      <c r="H197" s="224"/>
      <c r="I197" s="226"/>
      <c r="J197" s="228"/>
      <c r="K197" s="228"/>
      <c r="L197" s="188" t="s">
        <v>14</v>
      </c>
      <c r="M197" s="189" t="s">
        <v>13</v>
      </c>
      <c r="N197" s="190" t="s">
        <v>12</v>
      </c>
      <c r="O197" s="52"/>
    </row>
    <row r="198" spans="1:15" outlineLevel="1" x14ac:dyDescent="0.2">
      <c r="A198" s="40">
        <f t="shared" ref="A198:B213" si="158">A156</f>
        <v>3656</v>
      </c>
      <c r="B198" s="39" t="str">
        <f t="shared" si="158"/>
        <v>UTA</v>
      </c>
      <c r="C198" s="18"/>
      <c r="D198" s="36">
        <f t="shared" ref="D198:N213" si="159">AVERAGE(D240,D282,D324)</f>
        <v>5018</v>
      </c>
      <c r="E198" s="201">
        <f>AVERAGE(E240,E282,E324)*D198</f>
        <v>2600.9966666666669</v>
      </c>
      <c r="F198" s="56">
        <f>D198/AVERAGE(F240,F282,F324)*100</f>
        <v>29.603788278048281</v>
      </c>
      <c r="G198" s="35">
        <f t="shared" si="159"/>
        <v>10418.553333333379</v>
      </c>
      <c r="H198" s="36">
        <f t="shared" si="159"/>
        <v>1531.3333333333333</v>
      </c>
      <c r="I198" s="35">
        <f t="shared" si="159"/>
        <v>35</v>
      </c>
      <c r="J198" s="34">
        <f t="shared" ref="J198" si="160">AVERAGE(J240,J282,J324)</f>
        <v>2191.3333333333335</v>
      </c>
      <c r="K198" s="34">
        <f t="shared" si="159"/>
        <v>3116</v>
      </c>
      <c r="L198" s="36">
        <f t="shared" si="159"/>
        <v>6836.333333333333</v>
      </c>
      <c r="M198" s="56">
        <f t="shared" si="159"/>
        <v>3833.6666666666665</v>
      </c>
      <c r="N198" s="35">
        <f t="shared" si="159"/>
        <v>1783.6666666666667</v>
      </c>
      <c r="O198" s="52"/>
    </row>
    <row r="199" spans="1:15" outlineLevel="1" x14ac:dyDescent="0.2">
      <c r="A199" s="20">
        <f t="shared" si="158"/>
        <v>3658</v>
      </c>
      <c r="B199" s="19" t="str">
        <f t="shared" si="158"/>
        <v>UT</v>
      </c>
      <c r="C199" s="18"/>
      <c r="D199" s="15">
        <f t="shared" si="159"/>
        <v>8946.3333333333339</v>
      </c>
      <c r="E199" s="116">
        <f t="shared" ref="E199:E235" si="161">AVERAGE(E241,E283,E325)*D199</f>
        <v>7416.5103333333345</v>
      </c>
      <c r="F199" s="14">
        <f t="shared" ref="F199:F235" si="162">D199/AVERAGE(F241,F283,F325)*100</f>
        <v>26.497692061124674</v>
      </c>
      <c r="G199" s="13">
        <f t="shared" si="159"/>
        <v>19398.350000000519</v>
      </c>
      <c r="H199" s="15">
        <f t="shared" si="159"/>
        <v>1876.3333333333333</v>
      </c>
      <c r="I199" s="13">
        <f t="shared" si="159"/>
        <v>66</v>
      </c>
      <c r="J199" s="16">
        <f t="shared" ref="J199" si="163">AVERAGE(J241,J283,J325)</f>
        <v>1235</v>
      </c>
      <c r="K199" s="16">
        <f t="shared" si="159"/>
        <v>3470.3333333333335</v>
      </c>
      <c r="L199" s="15">
        <f t="shared" si="159"/>
        <v>9598.3333333333339</v>
      </c>
      <c r="M199" s="14">
        <f t="shared" si="159"/>
        <v>9005.6666666666661</v>
      </c>
      <c r="N199" s="13">
        <f t="shared" si="159"/>
        <v>7040.333333333333</v>
      </c>
      <c r="O199" s="52"/>
    </row>
    <row r="200" spans="1:15" outlineLevel="1" x14ac:dyDescent="0.2">
      <c r="A200" s="20">
        <f t="shared" si="158"/>
        <v>9741</v>
      </c>
      <c r="B200" s="19" t="str">
        <f t="shared" si="158"/>
        <v>UTD</v>
      </c>
      <c r="C200" s="18"/>
      <c r="D200" s="15">
        <f t="shared" si="159"/>
        <v>2393</v>
      </c>
      <c r="E200" s="116">
        <f t="shared" si="161"/>
        <v>1682.279</v>
      </c>
      <c r="F200" s="14">
        <f t="shared" si="162"/>
        <v>26.829760516638267</v>
      </c>
      <c r="G200" s="13">
        <f t="shared" si="159"/>
        <v>5101.2033333334393</v>
      </c>
      <c r="H200" s="15">
        <f t="shared" si="159"/>
        <v>421.66666666666669</v>
      </c>
      <c r="I200" s="13">
        <f t="shared" si="159"/>
        <v>32</v>
      </c>
      <c r="J200" s="16">
        <f t="shared" ref="J200" si="164">AVERAGE(J242,J284,J326)</f>
        <v>1083</v>
      </c>
      <c r="K200" s="16">
        <f t="shared" si="159"/>
        <v>1319.6666666666667</v>
      </c>
      <c r="L200" s="15">
        <f t="shared" si="159"/>
        <v>3315</v>
      </c>
      <c r="M200" s="14">
        <f t="shared" si="159"/>
        <v>2134.3333333333335</v>
      </c>
      <c r="N200" s="13">
        <f t="shared" si="159"/>
        <v>1021.3333333333334</v>
      </c>
      <c r="O200" s="52"/>
    </row>
    <row r="201" spans="1:15" outlineLevel="1" x14ac:dyDescent="0.2">
      <c r="A201" s="20">
        <f t="shared" si="158"/>
        <v>3661</v>
      </c>
      <c r="B201" s="19" t="str">
        <f t="shared" si="158"/>
        <v>UTEP</v>
      </c>
      <c r="C201" s="18"/>
      <c r="D201" s="15">
        <f t="shared" si="159"/>
        <v>3057</v>
      </c>
      <c r="E201" s="116">
        <f t="shared" si="161"/>
        <v>1192.2299999999998</v>
      </c>
      <c r="F201" s="14">
        <f t="shared" si="162"/>
        <v>22.870894536023343</v>
      </c>
      <c r="G201" s="13">
        <f t="shared" si="159"/>
        <v>6298.0766666668133</v>
      </c>
      <c r="H201" s="15">
        <f t="shared" si="159"/>
        <v>655</v>
      </c>
      <c r="I201" s="13">
        <f t="shared" si="159"/>
        <v>90</v>
      </c>
      <c r="J201" s="16">
        <f t="shared" ref="J201" si="165">AVERAGE(J243,J285,J327)</f>
        <v>1134.6666666666667</v>
      </c>
      <c r="K201" s="16">
        <f t="shared" si="159"/>
        <v>2464.3333333333335</v>
      </c>
      <c r="L201" s="15">
        <f t="shared" si="159"/>
        <v>4362.666666666667</v>
      </c>
      <c r="M201" s="14">
        <f t="shared" si="159"/>
        <v>3358</v>
      </c>
      <c r="N201" s="13">
        <f t="shared" si="159"/>
        <v>1956</v>
      </c>
      <c r="O201" s="52"/>
    </row>
    <row r="202" spans="1:15" outlineLevel="1" x14ac:dyDescent="0.2">
      <c r="A202" s="20">
        <f t="shared" si="158"/>
        <v>3599</v>
      </c>
      <c r="B202" s="19" t="str">
        <f t="shared" si="158"/>
        <v>UTPA</v>
      </c>
      <c r="C202" s="18"/>
      <c r="D202" s="15">
        <f t="shared" si="159"/>
        <v>2580</v>
      </c>
      <c r="E202" s="116">
        <f t="shared" si="161"/>
        <v>1111.98</v>
      </c>
      <c r="F202" s="14">
        <f t="shared" si="162"/>
        <v>20.492490499497837</v>
      </c>
      <c r="G202" s="13">
        <f t="shared" si="159"/>
        <v>5134.1666666667797</v>
      </c>
      <c r="H202" s="15">
        <f t="shared" si="159"/>
        <v>520.33333333333337</v>
      </c>
      <c r="I202" s="13">
        <f t="shared" si="159"/>
        <v>28</v>
      </c>
      <c r="J202" s="16">
        <f t="shared" ref="J202" si="166">AVERAGE(J244,J286,J328)</f>
        <v>904</v>
      </c>
      <c r="K202" s="16">
        <f t="shared" si="159"/>
        <v>2338.3333333333335</v>
      </c>
      <c r="L202" s="15">
        <f t="shared" si="159"/>
        <v>4075.3333333333335</v>
      </c>
      <c r="M202" s="14">
        <f t="shared" si="159"/>
        <v>3096</v>
      </c>
      <c r="N202" s="13">
        <f t="shared" si="159"/>
        <v>1939.3333333333333</v>
      </c>
      <c r="O202" s="52"/>
    </row>
    <row r="203" spans="1:15" outlineLevel="1" x14ac:dyDescent="0.2">
      <c r="A203" s="20">
        <f t="shared" si="158"/>
        <v>30646</v>
      </c>
      <c r="B203" s="19" t="str">
        <f t="shared" si="158"/>
        <v>UTB</v>
      </c>
      <c r="C203" s="18"/>
      <c r="D203" s="15">
        <f t="shared" si="159"/>
        <v>1092</v>
      </c>
      <c r="E203" s="116">
        <f t="shared" si="161"/>
        <v>628.17092451302005</v>
      </c>
      <c r="F203" s="14">
        <f t="shared" si="162"/>
        <v>34.461236368736628</v>
      </c>
      <c r="G203" s="13">
        <f t="shared" si="159"/>
        <v>2097.7933333333553</v>
      </c>
      <c r="H203" s="15">
        <f t="shared" si="159"/>
        <v>124.33333333333333</v>
      </c>
      <c r="I203" s="13">
        <f t="shared" si="159"/>
        <v>18.333333333333332</v>
      </c>
      <c r="J203" s="16">
        <f t="shared" ref="J203" si="167">AVERAGE(J245,J287,J329)</f>
        <v>896</v>
      </c>
      <c r="K203" s="16">
        <f t="shared" si="159"/>
        <v>936.66666666666663</v>
      </c>
      <c r="L203" s="15">
        <f t="shared" si="159"/>
        <v>1326.3333333333333</v>
      </c>
      <c r="M203" s="14">
        <f t="shared" si="159"/>
        <v>556.33333333333337</v>
      </c>
      <c r="N203" s="13">
        <f t="shared" si="159"/>
        <v>100.66666666666667</v>
      </c>
      <c r="O203" s="52"/>
    </row>
    <row r="204" spans="1:15" outlineLevel="1" x14ac:dyDescent="0.2">
      <c r="A204" s="20">
        <f t="shared" si="158"/>
        <v>9930</v>
      </c>
      <c r="B204" s="19" t="str">
        <f t="shared" si="158"/>
        <v>UTPB</v>
      </c>
      <c r="C204" s="18"/>
      <c r="D204" s="15">
        <f t="shared" si="159"/>
        <v>533.33333333333337</v>
      </c>
      <c r="E204" s="116">
        <f t="shared" si="161"/>
        <v>236.8</v>
      </c>
      <c r="F204" s="14">
        <f t="shared" si="162"/>
        <v>23.125174643246009</v>
      </c>
      <c r="G204" s="13">
        <f t="shared" si="159"/>
        <v>1001.5166666666704</v>
      </c>
      <c r="H204" s="15">
        <f t="shared" si="159"/>
        <v>41.333333333333336</v>
      </c>
      <c r="I204" s="13">
        <f t="shared" si="159"/>
        <v>10</v>
      </c>
      <c r="J204" s="16">
        <f t="shared" ref="J204" si="168">AVERAGE(J246,J288,J330)</f>
        <v>248.33333333333334</v>
      </c>
      <c r="K204" s="16">
        <f t="shared" si="159"/>
        <v>399</v>
      </c>
      <c r="L204" s="15">
        <f t="shared" si="159"/>
        <v>785.66666666666663</v>
      </c>
      <c r="M204" s="14">
        <f t="shared" si="159"/>
        <v>491.66666666666669</v>
      </c>
      <c r="N204" s="13">
        <f t="shared" si="159"/>
        <v>194.33333333333334</v>
      </c>
      <c r="O204" s="52"/>
    </row>
    <row r="205" spans="1:15" outlineLevel="1" x14ac:dyDescent="0.2">
      <c r="A205" s="20">
        <f t="shared" si="158"/>
        <v>10115</v>
      </c>
      <c r="B205" s="19" t="str">
        <f t="shared" si="158"/>
        <v>UTSA</v>
      </c>
      <c r="C205" s="18"/>
      <c r="D205" s="15">
        <f t="shared" si="159"/>
        <v>4119.666666666667</v>
      </c>
      <c r="E205" s="116">
        <f t="shared" si="161"/>
        <v>1737.1261111111112</v>
      </c>
      <c r="F205" s="14">
        <f t="shared" si="162"/>
        <v>20.241034101368403</v>
      </c>
      <c r="G205" s="13">
        <f t="shared" si="159"/>
        <v>8414.213333333224</v>
      </c>
      <c r="H205" s="15">
        <f t="shared" si="159"/>
        <v>392</v>
      </c>
      <c r="I205" s="13">
        <f t="shared" si="159"/>
        <v>49.666666666666664</v>
      </c>
      <c r="J205" s="16">
        <f t="shared" ref="J205" si="169">AVERAGE(J247,J289,J331)</f>
        <v>1406.3333333333333</v>
      </c>
      <c r="K205" s="16">
        <f t="shared" si="159"/>
        <v>3123.6666666666665</v>
      </c>
      <c r="L205" s="15">
        <f t="shared" si="159"/>
        <v>6809.666666666667</v>
      </c>
      <c r="M205" s="14">
        <f t="shared" si="159"/>
        <v>4458.666666666667</v>
      </c>
      <c r="N205" s="13">
        <f t="shared" si="159"/>
        <v>2615.6666666666665</v>
      </c>
      <c r="O205" s="52"/>
    </row>
    <row r="206" spans="1:15" outlineLevel="1" x14ac:dyDescent="0.2">
      <c r="A206" s="20">
        <f t="shared" si="158"/>
        <v>11163</v>
      </c>
      <c r="B206" s="19" t="str">
        <f t="shared" si="158"/>
        <v>UTT</v>
      </c>
      <c r="C206" s="18"/>
      <c r="D206" s="15">
        <f t="shared" si="159"/>
        <v>1190</v>
      </c>
      <c r="E206" s="116">
        <f t="shared" si="161"/>
        <v>613.64333333333343</v>
      </c>
      <c r="F206" s="14">
        <f t="shared" si="162"/>
        <v>29.255740517151896</v>
      </c>
      <c r="G206" s="13">
        <f t="shared" si="159"/>
        <v>2362.6600000000103</v>
      </c>
      <c r="H206" s="15">
        <f t="shared" si="159"/>
        <v>376.66666666666669</v>
      </c>
      <c r="I206" s="13">
        <f t="shared" si="159"/>
        <v>14</v>
      </c>
      <c r="J206" s="16">
        <f t="shared" ref="J206" si="170">AVERAGE(J248,J290,J332)</f>
        <v>636.33333333333337</v>
      </c>
      <c r="K206" s="16">
        <f t="shared" si="159"/>
        <v>942.33333333333337</v>
      </c>
      <c r="L206" s="15">
        <f t="shared" si="159"/>
        <v>1436.3333333333333</v>
      </c>
      <c r="M206" s="14">
        <f t="shared" si="159"/>
        <v>890</v>
      </c>
      <c r="N206" s="13">
        <f t="shared" si="159"/>
        <v>387.33333333333331</v>
      </c>
      <c r="O206" s="52"/>
    </row>
    <row r="207" spans="1:15" outlineLevel="1" x14ac:dyDescent="0.2">
      <c r="A207" s="20">
        <f t="shared" si="158"/>
        <v>3632</v>
      </c>
      <c r="B207" s="19" t="str">
        <f t="shared" si="158"/>
        <v>TAMU</v>
      </c>
      <c r="C207" s="18"/>
      <c r="D207" s="15">
        <f t="shared" si="159"/>
        <v>8739.6666666666661</v>
      </c>
      <c r="E207" s="116">
        <f t="shared" si="161"/>
        <v>7347.1464444444427</v>
      </c>
      <c r="F207" s="14">
        <f t="shared" si="162"/>
        <v>25.241886570842681</v>
      </c>
      <c r="G207" s="13">
        <f t="shared" si="159"/>
        <v>20104.8166666668</v>
      </c>
      <c r="H207" s="15">
        <f t="shared" si="159"/>
        <v>1763</v>
      </c>
      <c r="I207" s="13">
        <f t="shared" si="159"/>
        <v>126</v>
      </c>
      <c r="J207" s="16">
        <f t="shared" ref="J207" si="171">AVERAGE(J249,J291,J333)</f>
        <v>2365.6666666666665</v>
      </c>
      <c r="K207" s="16">
        <f t="shared" si="159"/>
        <v>3724</v>
      </c>
      <c r="L207" s="15">
        <f t="shared" si="159"/>
        <v>10060.666666666666</v>
      </c>
      <c r="M207" s="14">
        <f t="shared" si="159"/>
        <v>8907.3333333333339</v>
      </c>
      <c r="N207" s="13">
        <f t="shared" si="159"/>
        <v>6897.666666666667</v>
      </c>
      <c r="O207" s="52"/>
    </row>
    <row r="208" spans="1:15" outlineLevel="1" x14ac:dyDescent="0.2">
      <c r="A208" s="20">
        <f t="shared" si="158"/>
        <v>10298</v>
      </c>
      <c r="B208" s="19" t="str">
        <f t="shared" si="158"/>
        <v>TAMUG</v>
      </c>
      <c r="C208" s="18"/>
      <c r="D208" s="15">
        <f t="shared" si="159"/>
        <v>275.33333333333331</v>
      </c>
      <c r="E208" s="116">
        <f t="shared" si="161"/>
        <v>172.72577777777778</v>
      </c>
      <c r="F208" s="14">
        <f t="shared" si="162"/>
        <v>16.399301143583227</v>
      </c>
      <c r="G208" s="13">
        <f t="shared" si="159"/>
        <v>704.02666666666448</v>
      </c>
      <c r="H208" s="15">
        <f t="shared" si="159"/>
        <v>37.333333333333336</v>
      </c>
      <c r="I208" s="13">
        <f t="shared" si="159"/>
        <v>0</v>
      </c>
      <c r="J208" s="16">
        <f t="shared" ref="J208" si="172">AVERAGE(J250,J292,J334)</f>
        <v>68</v>
      </c>
      <c r="K208" s="16">
        <f t="shared" si="159"/>
        <v>158</v>
      </c>
      <c r="L208" s="15">
        <f t="shared" si="159"/>
        <v>592.33333333333337</v>
      </c>
      <c r="M208" s="14">
        <f t="shared" si="159"/>
        <v>318</v>
      </c>
      <c r="N208" s="13">
        <f t="shared" si="159"/>
        <v>246</v>
      </c>
      <c r="O208" s="52"/>
    </row>
    <row r="209" spans="1:15" outlineLevel="1" x14ac:dyDescent="0.2">
      <c r="A209" s="20">
        <f t="shared" si="158"/>
        <v>3630</v>
      </c>
      <c r="B209" s="19" t="str">
        <f t="shared" si="158"/>
        <v>Prairie View</v>
      </c>
      <c r="C209" s="18"/>
      <c r="D209" s="15">
        <f t="shared" si="159"/>
        <v>936.33333333333337</v>
      </c>
      <c r="E209" s="116">
        <f t="shared" si="161"/>
        <v>348.00388888888887</v>
      </c>
      <c r="F209" s="14">
        <f t="shared" si="162"/>
        <v>15.823688025296873</v>
      </c>
      <c r="G209" s="13">
        <f t="shared" si="159"/>
        <v>2072.9000000000092</v>
      </c>
      <c r="H209" s="15">
        <f t="shared" si="159"/>
        <v>315.66666666666669</v>
      </c>
      <c r="I209" s="13">
        <f t="shared" si="159"/>
        <v>9.6666666666666661</v>
      </c>
      <c r="J209" s="16">
        <f t="shared" ref="J209" si="173">AVERAGE(J251,J293,J335)</f>
        <v>163</v>
      </c>
      <c r="K209" s="16">
        <f t="shared" si="159"/>
        <v>802.66666666666663</v>
      </c>
      <c r="L209" s="15">
        <f t="shared" si="159"/>
        <v>1668</v>
      </c>
      <c r="M209" s="14">
        <f t="shared" si="159"/>
        <v>1181</v>
      </c>
      <c r="N209" s="13">
        <f t="shared" si="159"/>
        <v>905.33333333333337</v>
      </c>
      <c r="O209" s="52"/>
    </row>
    <row r="210" spans="1:15" outlineLevel="1" x14ac:dyDescent="0.2">
      <c r="A210" s="20">
        <f t="shared" si="158"/>
        <v>3631</v>
      </c>
      <c r="B210" s="19" t="str">
        <f t="shared" si="158"/>
        <v>Tarleton</v>
      </c>
      <c r="C210" s="18"/>
      <c r="D210" s="15">
        <f t="shared" si="159"/>
        <v>1545.3333333333333</v>
      </c>
      <c r="E210" s="116">
        <f t="shared" si="161"/>
        <v>738.66933333333338</v>
      </c>
      <c r="F210" s="14">
        <f t="shared" si="162"/>
        <v>24.559767752325659</v>
      </c>
      <c r="G210" s="13">
        <f t="shared" si="159"/>
        <v>3122.5433333333599</v>
      </c>
      <c r="H210" s="15">
        <f t="shared" si="159"/>
        <v>203</v>
      </c>
      <c r="I210" s="13">
        <f t="shared" si="159"/>
        <v>47.666666666666664</v>
      </c>
      <c r="J210" s="16">
        <f t="shared" ref="J210" si="174">AVERAGE(J252,J294,J336)</f>
        <v>623.66666666666663</v>
      </c>
      <c r="K210" s="16">
        <f t="shared" si="159"/>
        <v>1195</v>
      </c>
      <c r="L210" s="15">
        <f t="shared" si="159"/>
        <v>2154.3333333333335</v>
      </c>
      <c r="M210" s="14">
        <f t="shared" si="159"/>
        <v>1328.6666666666667</v>
      </c>
      <c r="N210" s="13">
        <f t="shared" si="159"/>
        <v>862.66666666666663</v>
      </c>
      <c r="O210" s="52"/>
    </row>
    <row r="211" spans="1:15" outlineLevel="1" x14ac:dyDescent="0.2">
      <c r="A211" s="27">
        <f t="shared" si="158"/>
        <v>103631</v>
      </c>
      <c r="B211" s="19" t="str">
        <f t="shared" si="158"/>
        <v>TAMUCT</v>
      </c>
      <c r="C211" s="18"/>
      <c r="D211" s="15">
        <f t="shared" si="159"/>
        <v>460.33333333333331</v>
      </c>
      <c r="E211" s="116">
        <f t="shared" si="161"/>
        <v>220.03933333333333</v>
      </c>
      <c r="F211" s="14">
        <f t="shared" si="162"/>
        <v>67.587849522007247</v>
      </c>
      <c r="G211" s="13">
        <f t="shared" si="159"/>
        <v>853.61666666666588</v>
      </c>
      <c r="H211" s="15">
        <f t="shared" si="159"/>
        <v>40.666666666666664</v>
      </c>
      <c r="I211" s="13">
        <f t="shared" si="159"/>
        <v>0</v>
      </c>
      <c r="J211" s="16">
        <f t="shared" ref="J211" si="175">AVERAGE(J253,J295,J337)</f>
        <v>225</v>
      </c>
      <c r="K211" s="16">
        <f t="shared" si="159"/>
        <v>327</v>
      </c>
      <c r="L211" s="15">
        <f t="shared" si="159"/>
        <v>495</v>
      </c>
      <c r="M211" s="14">
        <f t="shared" si="159"/>
        <v>133</v>
      </c>
      <c r="N211" s="13">
        <f t="shared" si="159"/>
        <v>34</v>
      </c>
      <c r="O211" s="52"/>
    </row>
    <row r="212" spans="1:15" outlineLevel="1" x14ac:dyDescent="0.2">
      <c r="A212" s="20">
        <f t="shared" si="158"/>
        <v>11161</v>
      </c>
      <c r="B212" s="19" t="str">
        <f t="shared" si="158"/>
        <v>TAMUCC</v>
      </c>
      <c r="C212" s="18"/>
      <c r="D212" s="15">
        <f t="shared" si="159"/>
        <v>1388.3333333333333</v>
      </c>
      <c r="E212" s="116">
        <f t="shared" si="161"/>
        <v>705.27333333333331</v>
      </c>
      <c r="F212" s="14">
        <f t="shared" si="162"/>
        <v>21.376514062820775</v>
      </c>
      <c r="G212" s="13">
        <f t="shared" si="159"/>
        <v>2804.2000000000139</v>
      </c>
      <c r="H212" s="15">
        <f t="shared" si="159"/>
        <v>266.33333333333331</v>
      </c>
      <c r="I212" s="13">
        <f t="shared" si="159"/>
        <v>25.666666666666668</v>
      </c>
      <c r="J212" s="16">
        <f t="shared" ref="J212" si="176">AVERAGE(J254,J296,J338)</f>
        <v>483.66666666666669</v>
      </c>
      <c r="K212" s="16">
        <f t="shared" si="159"/>
        <v>1080</v>
      </c>
      <c r="L212" s="15">
        <f t="shared" si="159"/>
        <v>2054</v>
      </c>
      <c r="M212" s="14">
        <f t="shared" si="159"/>
        <v>1468</v>
      </c>
      <c r="N212" s="13">
        <f t="shared" si="159"/>
        <v>878.33333333333337</v>
      </c>
      <c r="O212" s="52"/>
    </row>
    <row r="213" spans="1:15" outlineLevel="1" x14ac:dyDescent="0.2">
      <c r="A213" s="20">
        <f t="shared" si="158"/>
        <v>3639</v>
      </c>
      <c r="B213" s="19" t="str">
        <f t="shared" si="158"/>
        <v>TAMUK</v>
      </c>
      <c r="C213" s="18"/>
      <c r="D213" s="15">
        <f t="shared" si="159"/>
        <v>761.66666666666663</v>
      </c>
      <c r="E213" s="116">
        <f t="shared" si="161"/>
        <v>306.44388888888892</v>
      </c>
      <c r="F213" s="14">
        <f t="shared" si="162"/>
        <v>17.879499217527385</v>
      </c>
      <c r="G213" s="13">
        <f t="shared" si="159"/>
        <v>1763.4533333333395</v>
      </c>
      <c r="H213" s="15">
        <f t="shared" si="159"/>
        <v>260</v>
      </c>
      <c r="I213" s="13">
        <f t="shared" si="159"/>
        <v>16.666666666666668</v>
      </c>
      <c r="J213" s="16">
        <f t="shared" ref="J213" si="177">AVERAGE(J255,J297,J339)</f>
        <v>255.33333333333334</v>
      </c>
      <c r="K213" s="16">
        <f t="shared" si="159"/>
        <v>648.33333333333337</v>
      </c>
      <c r="L213" s="15">
        <f t="shared" si="159"/>
        <v>1227.3333333333333</v>
      </c>
      <c r="M213" s="14">
        <f t="shared" si="159"/>
        <v>859.66666666666663</v>
      </c>
      <c r="N213" s="13">
        <f t="shared" si="159"/>
        <v>558.66666666666663</v>
      </c>
      <c r="O213" s="52"/>
    </row>
    <row r="214" spans="1:15" outlineLevel="1" x14ac:dyDescent="0.2">
      <c r="A214" s="27">
        <f t="shared" ref="A214:B229" si="178">A172</f>
        <v>103639</v>
      </c>
      <c r="B214" s="19" t="str">
        <f t="shared" si="178"/>
        <v>TAMUSA</v>
      </c>
      <c r="C214" s="18"/>
      <c r="D214" s="15">
        <f t="shared" ref="D214:N229" si="179">AVERAGE(D256,D298,D340)</f>
        <v>587.66666666666663</v>
      </c>
      <c r="E214" s="116">
        <f t="shared" si="161"/>
        <v>236.43788888888889</v>
      </c>
      <c r="F214" s="14">
        <f t="shared" si="162"/>
        <v>41.598502485370922</v>
      </c>
      <c r="G214" s="13">
        <f t="shared" si="179"/>
        <v>1026.0133333333379</v>
      </c>
      <c r="H214" s="15">
        <f t="shared" si="179"/>
        <v>5</v>
      </c>
      <c r="I214" s="13">
        <f t="shared" si="179"/>
        <v>2</v>
      </c>
      <c r="J214" s="16">
        <f t="shared" ref="J214" si="180">AVERAGE(J256,J298,J340)</f>
        <v>339.33333333333331</v>
      </c>
      <c r="K214" s="16">
        <f t="shared" si="179"/>
        <v>490.33333333333331</v>
      </c>
      <c r="L214" s="15">
        <f t="shared" si="179"/>
        <v>729.66666666666663</v>
      </c>
      <c r="M214" s="14">
        <f t="shared" si="179"/>
        <v>77.333333333333329</v>
      </c>
      <c r="N214" s="13">
        <f t="shared" si="179"/>
        <v>2.6666666666666665</v>
      </c>
      <c r="O214" s="52"/>
    </row>
    <row r="215" spans="1:15" outlineLevel="1" x14ac:dyDescent="0.2">
      <c r="A215" s="20">
        <f t="shared" si="178"/>
        <v>9651</v>
      </c>
      <c r="B215" s="19" t="str">
        <f t="shared" si="178"/>
        <v>TAMI</v>
      </c>
      <c r="C215" s="18"/>
      <c r="D215" s="15">
        <f t="shared" si="179"/>
        <v>789.66666666666663</v>
      </c>
      <c r="E215" s="116">
        <f t="shared" si="161"/>
        <v>373.77555555555551</v>
      </c>
      <c r="F215" s="14">
        <f t="shared" si="162"/>
        <v>19.326154348180779</v>
      </c>
      <c r="G215" s="13">
        <f t="shared" si="179"/>
        <v>1458.4966666666717</v>
      </c>
      <c r="H215" s="15">
        <f t="shared" si="179"/>
        <v>115.66666666666667</v>
      </c>
      <c r="I215" s="13">
        <f t="shared" si="179"/>
        <v>22.333333333333332</v>
      </c>
      <c r="J215" s="16">
        <f t="shared" ref="J215" si="181">AVERAGE(J257,J299,J341)</f>
        <v>389.66666666666669</v>
      </c>
      <c r="K215" s="16">
        <f t="shared" si="179"/>
        <v>712.66666666666663</v>
      </c>
      <c r="L215" s="15">
        <f t="shared" si="179"/>
        <v>1406.6666666666667</v>
      </c>
      <c r="M215" s="14">
        <f t="shared" si="179"/>
        <v>1015.6666666666666</v>
      </c>
      <c r="N215" s="13">
        <f t="shared" si="179"/>
        <v>473.66666666666669</v>
      </c>
      <c r="O215" s="52"/>
    </row>
    <row r="216" spans="1:15" outlineLevel="1" x14ac:dyDescent="0.2">
      <c r="A216" s="20">
        <f t="shared" si="178"/>
        <v>3665</v>
      </c>
      <c r="B216" s="19" t="str">
        <f t="shared" si="178"/>
        <v>WTAMU</v>
      </c>
      <c r="C216" s="18"/>
      <c r="D216" s="15">
        <f t="shared" si="179"/>
        <v>1255.6666666666667</v>
      </c>
      <c r="E216" s="116">
        <f t="shared" si="161"/>
        <v>591.00044444444438</v>
      </c>
      <c r="F216" s="14">
        <f t="shared" si="162"/>
        <v>23.187721854032869</v>
      </c>
      <c r="G216" s="13">
        <f t="shared" si="179"/>
        <v>2503.5766666666836</v>
      </c>
      <c r="H216" s="15">
        <f t="shared" si="179"/>
        <v>191.66666666666666</v>
      </c>
      <c r="I216" s="13">
        <f t="shared" si="179"/>
        <v>60.666666666666664</v>
      </c>
      <c r="J216" s="16">
        <f t="shared" ref="J216" si="182">AVERAGE(J258,J300,J342)</f>
        <v>438.66666666666669</v>
      </c>
      <c r="K216" s="16">
        <f t="shared" si="179"/>
        <v>889.33333333333337</v>
      </c>
      <c r="L216" s="15">
        <f t="shared" si="179"/>
        <v>1791.6666666666667</v>
      </c>
      <c r="M216" s="14">
        <f t="shared" si="179"/>
        <v>1212.6666666666667</v>
      </c>
      <c r="N216" s="13">
        <f t="shared" si="179"/>
        <v>661.33333333333337</v>
      </c>
      <c r="O216" s="52"/>
    </row>
    <row r="217" spans="1:15" outlineLevel="1" x14ac:dyDescent="0.2">
      <c r="A217" s="20">
        <f t="shared" si="178"/>
        <v>3565</v>
      </c>
      <c r="B217" s="19" t="str">
        <f t="shared" si="178"/>
        <v>TAMUC</v>
      </c>
      <c r="C217" s="18"/>
      <c r="D217" s="15">
        <f t="shared" si="179"/>
        <v>1324.3333333333333</v>
      </c>
      <c r="E217" s="116">
        <f t="shared" si="161"/>
        <v>582.70666666666659</v>
      </c>
      <c r="F217" s="14">
        <f t="shared" si="162"/>
        <v>28.19543536269185</v>
      </c>
      <c r="G217" s="13">
        <f t="shared" si="179"/>
        <v>2501.8266666666914</v>
      </c>
      <c r="H217" s="15">
        <f t="shared" si="179"/>
        <v>73</v>
      </c>
      <c r="I217" s="13">
        <f t="shared" si="179"/>
        <v>74.333333333333329</v>
      </c>
      <c r="J217" s="16">
        <f t="shared" ref="J217" si="183">AVERAGE(J259,J301,J343)</f>
        <v>753</v>
      </c>
      <c r="K217" s="16">
        <f t="shared" si="179"/>
        <v>1019.3333333333334</v>
      </c>
      <c r="L217" s="15">
        <f t="shared" si="179"/>
        <v>1893</v>
      </c>
      <c r="M217" s="14">
        <f t="shared" si="179"/>
        <v>1137.3333333333333</v>
      </c>
      <c r="N217" s="13">
        <f t="shared" si="179"/>
        <v>452.33333333333331</v>
      </c>
      <c r="O217" s="52"/>
    </row>
    <row r="218" spans="1:15" outlineLevel="1" x14ac:dyDescent="0.2">
      <c r="A218" s="20">
        <f t="shared" si="178"/>
        <v>29269</v>
      </c>
      <c r="B218" s="19" t="str">
        <f t="shared" si="178"/>
        <v>TAMUT</v>
      </c>
      <c r="C218" s="18"/>
      <c r="D218" s="15">
        <f t="shared" si="179"/>
        <v>345.66666666666669</v>
      </c>
      <c r="E218" s="116">
        <f t="shared" si="161"/>
        <v>187.3602625468375</v>
      </c>
      <c r="F218" s="14">
        <f t="shared" si="162"/>
        <v>38.766355140186917</v>
      </c>
      <c r="G218" s="13">
        <f t="shared" si="179"/>
        <v>619.90999999999826</v>
      </c>
      <c r="H218" s="15">
        <f t="shared" si="179"/>
        <v>41.666666666666664</v>
      </c>
      <c r="I218" s="13">
        <f t="shared" si="179"/>
        <v>19.333333333333332</v>
      </c>
      <c r="J218" s="16">
        <f t="shared" ref="J218" si="184">AVERAGE(J260,J302,J344)</f>
        <v>218</v>
      </c>
      <c r="K218" s="16">
        <f t="shared" si="179"/>
        <v>239</v>
      </c>
      <c r="L218" s="15">
        <f t="shared" si="179"/>
        <v>432.66666666666669</v>
      </c>
      <c r="M218" s="14">
        <f t="shared" si="179"/>
        <v>181</v>
      </c>
      <c r="N218" s="13">
        <f t="shared" si="179"/>
        <v>0.66666666666666663</v>
      </c>
      <c r="O218" s="52"/>
    </row>
    <row r="219" spans="1:15" outlineLevel="1" x14ac:dyDescent="0.2">
      <c r="A219" s="20">
        <f t="shared" si="178"/>
        <v>3652</v>
      </c>
      <c r="B219" s="19" t="str">
        <f t="shared" si="178"/>
        <v>UH</v>
      </c>
      <c r="C219" s="18"/>
      <c r="D219" s="15">
        <f t="shared" si="179"/>
        <v>5098.666666666667</v>
      </c>
      <c r="E219" s="116">
        <f t="shared" si="161"/>
        <v>2734.5848888888891</v>
      </c>
      <c r="F219" s="14">
        <f t="shared" si="162"/>
        <v>21.425049678026625</v>
      </c>
      <c r="G219" s="13">
        <f t="shared" si="179"/>
        <v>10580.246666665944</v>
      </c>
      <c r="H219" s="15">
        <f t="shared" si="179"/>
        <v>737</v>
      </c>
      <c r="I219" s="13">
        <f t="shared" si="179"/>
        <v>62.666666666666664</v>
      </c>
      <c r="J219" s="16">
        <f t="shared" ref="J219" si="185">AVERAGE(J261,J303,J345)</f>
        <v>1782.6666666666667</v>
      </c>
      <c r="K219" s="16">
        <f t="shared" si="179"/>
        <v>3373</v>
      </c>
      <c r="L219" s="15">
        <f t="shared" si="179"/>
        <v>7602.333333333333</v>
      </c>
      <c r="M219" s="14">
        <f t="shared" si="179"/>
        <v>5690.333333333333</v>
      </c>
      <c r="N219" s="13">
        <f t="shared" si="179"/>
        <v>3307.3333333333335</v>
      </c>
      <c r="O219" s="52"/>
    </row>
    <row r="220" spans="1:15" outlineLevel="1" x14ac:dyDescent="0.2">
      <c r="A220" s="20">
        <f t="shared" si="178"/>
        <v>11711</v>
      </c>
      <c r="B220" s="19" t="str">
        <f t="shared" si="178"/>
        <v>UHCL</v>
      </c>
      <c r="C220" s="18"/>
      <c r="D220" s="15">
        <f t="shared" si="179"/>
        <v>1190.6666666666667</v>
      </c>
      <c r="E220" s="116">
        <f t="shared" si="161"/>
        <v>619.34267935898833</v>
      </c>
      <c r="F220" s="14">
        <f t="shared" si="162"/>
        <v>39.693593314763234</v>
      </c>
      <c r="G220" s="13">
        <f t="shared" si="179"/>
        <v>2282.9533333333529</v>
      </c>
      <c r="H220" s="15">
        <f t="shared" si="179"/>
        <v>106.66666666666667</v>
      </c>
      <c r="I220" s="13">
        <f t="shared" si="179"/>
        <v>8.3333333333333339</v>
      </c>
      <c r="J220" s="16">
        <f t="shared" ref="J220" si="186">AVERAGE(J262,J304,J346)</f>
        <v>806.66666666666663</v>
      </c>
      <c r="K220" s="16">
        <f t="shared" si="179"/>
        <v>774.33333333333337</v>
      </c>
      <c r="L220" s="15">
        <f t="shared" si="179"/>
        <v>1391.3333333333333</v>
      </c>
      <c r="M220" s="14">
        <f t="shared" si="179"/>
        <v>953.66666666666663</v>
      </c>
      <c r="N220" s="13">
        <f t="shared" si="179"/>
        <v>57</v>
      </c>
      <c r="O220" s="52"/>
    </row>
    <row r="221" spans="1:15" outlineLevel="1" x14ac:dyDescent="0.2">
      <c r="A221" s="20">
        <f t="shared" si="178"/>
        <v>12826</v>
      </c>
      <c r="B221" s="19" t="str">
        <f t="shared" si="178"/>
        <v>UHD</v>
      </c>
      <c r="C221" s="18"/>
      <c r="D221" s="15">
        <f t="shared" si="179"/>
        <v>2382.3333333333335</v>
      </c>
      <c r="E221" s="116">
        <f t="shared" si="161"/>
        <v>452.64333333333343</v>
      </c>
      <c r="F221" s="14">
        <f t="shared" si="162"/>
        <v>29.833031863086134</v>
      </c>
      <c r="G221" s="13">
        <f t="shared" si="179"/>
        <v>4271.3166666667212</v>
      </c>
      <c r="H221" s="15">
        <f t="shared" si="179"/>
        <v>129.66666666666666</v>
      </c>
      <c r="I221" s="13">
        <f t="shared" si="179"/>
        <v>1.6666666666666667</v>
      </c>
      <c r="J221" s="16">
        <f t="shared" ref="J221" si="187">AVERAGE(J263,J305,J347)</f>
        <v>1049.3333333333333</v>
      </c>
      <c r="K221" s="16">
        <f t="shared" si="179"/>
        <v>1681</v>
      </c>
      <c r="L221" s="15">
        <f t="shared" si="179"/>
        <v>3105.3333333333335</v>
      </c>
      <c r="M221" s="14">
        <f t="shared" si="179"/>
        <v>1868.3333333333333</v>
      </c>
      <c r="N221" s="13">
        <f t="shared" si="179"/>
        <v>604.66666666666663</v>
      </c>
      <c r="O221" s="52"/>
    </row>
    <row r="222" spans="1:15" outlineLevel="1" x14ac:dyDescent="0.2">
      <c r="A222" s="20">
        <f t="shared" si="178"/>
        <v>13231</v>
      </c>
      <c r="B222" s="19" t="str">
        <f t="shared" si="178"/>
        <v>UHV</v>
      </c>
      <c r="C222" s="18"/>
      <c r="D222" s="15">
        <f t="shared" si="179"/>
        <v>576.66666666666663</v>
      </c>
      <c r="E222" s="116">
        <f t="shared" si="161"/>
        <v>300.19546283886069</v>
      </c>
      <c r="F222" s="14">
        <f t="shared" si="162"/>
        <v>40.08464889245883</v>
      </c>
      <c r="G222" s="13">
        <f t="shared" si="179"/>
        <v>1084.4800000000012</v>
      </c>
      <c r="H222" s="15">
        <f t="shared" si="179"/>
        <v>108</v>
      </c>
      <c r="I222" s="13">
        <f t="shared" si="179"/>
        <v>7.333333333333333</v>
      </c>
      <c r="J222" s="16">
        <f t="shared" ref="J222" si="188">AVERAGE(J264,J306,J348)</f>
        <v>415.33333333333331</v>
      </c>
      <c r="K222" s="16">
        <f t="shared" si="179"/>
        <v>384</v>
      </c>
      <c r="L222" s="15">
        <f t="shared" si="179"/>
        <v>716</v>
      </c>
      <c r="M222" s="14">
        <f t="shared" si="179"/>
        <v>296.33333333333331</v>
      </c>
      <c r="N222" s="13">
        <f t="shared" si="179"/>
        <v>6.666666666666667</v>
      </c>
      <c r="O222" s="52"/>
    </row>
    <row r="223" spans="1:15" outlineLevel="1" x14ac:dyDescent="0.2">
      <c r="A223" s="20">
        <f t="shared" si="178"/>
        <v>3592</v>
      </c>
      <c r="B223" s="19" t="str">
        <f t="shared" si="178"/>
        <v>Midwestern</v>
      </c>
      <c r="C223" s="18"/>
      <c r="D223" s="15">
        <f t="shared" si="179"/>
        <v>1031.6666666666667</v>
      </c>
      <c r="E223" s="116">
        <f t="shared" si="161"/>
        <v>453.24555555555554</v>
      </c>
      <c r="F223" s="14">
        <f t="shared" si="162"/>
        <v>24.122522148034601</v>
      </c>
      <c r="G223" s="13">
        <f t="shared" si="179"/>
        <v>1962.0000000000034</v>
      </c>
      <c r="H223" s="15">
        <f t="shared" si="179"/>
        <v>333.33333333333331</v>
      </c>
      <c r="I223" s="13">
        <f t="shared" si="179"/>
        <v>15</v>
      </c>
      <c r="J223" s="16">
        <f t="shared" ref="J223" si="189">AVERAGE(J265,J307,J349)</f>
        <v>251.33333333333334</v>
      </c>
      <c r="K223" s="16">
        <f t="shared" si="179"/>
        <v>690.33333333333337</v>
      </c>
      <c r="L223" s="15">
        <f t="shared" si="179"/>
        <v>1438</v>
      </c>
      <c r="M223" s="14">
        <f t="shared" si="179"/>
        <v>1046</v>
      </c>
      <c r="N223" s="13">
        <f t="shared" si="179"/>
        <v>679.66666666666663</v>
      </c>
      <c r="O223" s="52"/>
    </row>
    <row r="224" spans="1:15" outlineLevel="1" x14ac:dyDescent="0.2">
      <c r="A224" s="20">
        <f t="shared" si="178"/>
        <v>3594</v>
      </c>
      <c r="B224" s="19" t="str">
        <f t="shared" si="178"/>
        <v>UNT</v>
      </c>
      <c r="C224" s="18"/>
      <c r="D224" s="15">
        <f t="shared" si="179"/>
        <v>6016.666666666667</v>
      </c>
      <c r="E224" s="116">
        <f t="shared" si="161"/>
        <v>3467.6055555555558</v>
      </c>
      <c r="F224" s="14">
        <f t="shared" si="162"/>
        <v>25.886944566084125</v>
      </c>
      <c r="G224" s="13">
        <f t="shared" si="179"/>
        <v>11411.553333332529</v>
      </c>
      <c r="H224" s="15">
        <f t="shared" si="179"/>
        <v>336.66666666666669</v>
      </c>
      <c r="I224" s="13">
        <f t="shared" si="179"/>
        <v>43.333333333333336</v>
      </c>
      <c r="J224" s="16">
        <f t="shared" ref="J224" si="190">AVERAGE(J266,J308,J350)</f>
        <v>2290</v>
      </c>
      <c r="K224" s="16">
        <f t="shared" si="179"/>
        <v>3820</v>
      </c>
      <c r="L224" s="15">
        <f t="shared" si="179"/>
        <v>7864.666666666667</v>
      </c>
      <c r="M224" s="14">
        <f t="shared" si="179"/>
        <v>5642.333333333333</v>
      </c>
      <c r="N224" s="13">
        <f t="shared" si="179"/>
        <v>3337</v>
      </c>
      <c r="O224" s="52"/>
    </row>
    <row r="225" spans="1:15" outlineLevel="1" x14ac:dyDescent="0.2">
      <c r="A225" s="27">
        <f t="shared" si="178"/>
        <v>113594</v>
      </c>
      <c r="B225" s="19" t="str">
        <f t="shared" si="178"/>
        <v>UNTD</v>
      </c>
      <c r="C225" s="18"/>
      <c r="D225" s="15">
        <f t="shared" si="179"/>
        <v>403.5</v>
      </c>
      <c r="E225" s="116">
        <f t="shared" si="161"/>
        <v>233.02125000000001</v>
      </c>
      <c r="F225" s="14">
        <f t="shared" si="162"/>
        <v>42.647266065388948</v>
      </c>
      <c r="G225" s="13">
        <f t="shared" si="179"/>
        <v>705.85999999999717</v>
      </c>
      <c r="H225" s="15">
        <f t="shared" si="179"/>
        <v>12</v>
      </c>
      <c r="I225" s="13">
        <f t="shared" si="179"/>
        <v>0</v>
      </c>
      <c r="J225" s="16">
        <f t="shared" ref="J225" si="191">AVERAGE(J267,J309,J351)</f>
        <v>0</v>
      </c>
      <c r="K225" s="16">
        <f t="shared" si="179"/>
        <v>308.5</v>
      </c>
      <c r="L225" s="15">
        <f t="shared" si="179"/>
        <v>478</v>
      </c>
      <c r="M225" s="14">
        <f t="shared" si="179"/>
        <v>71.5</v>
      </c>
      <c r="N225" s="13">
        <f t="shared" si="179"/>
        <v>11</v>
      </c>
      <c r="O225" s="52"/>
    </row>
    <row r="226" spans="1:15" outlineLevel="1" x14ac:dyDescent="0.2">
      <c r="A226" s="20">
        <f t="shared" si="178"/>
        <v>3624</v>
      </c>
      <c r="B226" s="19" t="str">
        <f t="shared" si="178"/>
        <v>SFA</v>
      </c>
      <c r="C226" s="18"/>
      <c r="D226" s="15">
        <f t="shared" si="179"/>
        <v>1921.6666666666667</v>
      </c>
      <c r="E226" s="116">
        <f t="shared" si="161"/>
        <v>1064.6033333333332</v>
      </c>
      <c r="F226" s="14">
        <f t="shared" si="162"/>
        <v>20.257544310083915</v>
      </c>
      <c r="G226" s="13">
        <f t="shared" si="179"/>
        <v>3721.736666666669</v>
      </c>
      <c r="H226" s="15">
        <f t="shared" si="179"/>
        <v>248</v>
      </c>
      <c r="I226" s="13">
        <f t="shared" si="179"/>
        <v>44.666666666666664</v>
      </c>
      <c r="J226" s="16">
        <f t="shared" ref="J226" si="192">AVERAGE(J268,J310,J352)</f>
        <v>563.33333333333337</v>
      </c>
      <c r="K226" s="16">
        <f t="shared" si="179"/>
        <v>1460.3333333333333</v>
      </c>
      <c r="L226" s="15">
        <f t="shared" si="179"/>
        <v>2769.3333333333335</v>
      </c>
      <c r="M226" s="14">
        <f t="shared" si="179"/>
        <v>2075</v>
      </c>
      <c r="N226" s="13">
        <f t="shared" si="179"/>
        <v>1397.3333333333333</v>
      </c>
      <c r="O226" s="52"/>
    </row>
    <row r="227" spans="1:15" outlineLevel="1" x14ac:dyDescent="0.2">
      <c r="A227" s="20">
        <f t="shared" si="178"/>
        <v>3642</v>
      </c>
      <c r="B227" s="19" t="str">
        <f t="shared" si="178"/>
        <v>TSU</v>
      </c>
      <c r="C227" s="18"/>
      <c r="D227" s="15">
        <f t="shared" si="179"/>
        <v>758.33333333333337</v>
      </c>
      <c r="E227" s="116">
        <f t="shared" si="161"/>
        <v>108.94722222222221</v>
      </c>
      <c r="F227" s="14">
        <f t="shared" si="162"/>
        <v>12.933681010892716</v>
      </c>
      <c r="G227" s="13">
        <f t="shared" si="179"/>
        <v>1488.6533333333352</v>
      </c>
      <c r="H227" s="15">
        <f t="shared" si="179"/>
        <v>134.33333333333334</v>
      </c>
      <c r="I227" s="13">
        <f t="shared" si="179"/>
        <v>3</v>
      </c>
      <c r="J227" s="16">
        <f t="shared" ref="J227" si="193">AVERAGE(J269,J311,J353)</f>
        <v>113</v>
      </c>
      <c r="K227" s="16">
        <f t="shared" si="179"/>
        <v>666.33333333333337</v>
      </c>
      <c r="L227" s="15">
        <f t="shared" si="179"/>
        <v>1637.3333333333333</v>
      </c>
      <c r="M227" s="14">
        <f t="shared" si="179"/>
        <v>1133</v>
      </c>
      <c r="N227" s="13">
        <f t="shared" si="179"/>
        <v>848.66666666666663</v>
      </c>
      <c r="O227" s="52"/>
    </row>
    <row r="228" spans="1:15" outlineLevel="1" x14ac:dyDescent="0.2">
      <c r="A228" s="20">
        <f t="shared" si="178"/>
        <v>3644</v>
      </c>
      <c r="B228" s="19" t="str">
        <f t="shared" si="178"/>
        <v>TTU</v>
      </c>
      <c r="C228" s="18"/>
      <c r="D228" s="15">
        <f t="shared" si="179"/>
        <v>4674</v>
      </c>
      <c r="E228" s="116">
        <f t="shared" si="161"/>
        <v>3421.3679999999995</v>
      </c>
      <c r="F228" s="14">
        <f t="shared" si="162"/>
        <v>21.061243127033354</v>
      </c>
      <c r="G228" s="13">
        <f t="shared" si="179"/>
        <v>10128.113333332682</v>
      </c>
      <c r="H228" s="15">
        <f t="shared" si="179"/>
        <v>727.33333333333337</v>
      </c>
      <c r="I228" s="13">
        <f t="shared" si="179"/>
        <v>57.333333333333336</v>
      </c>
      <c r="J228" s="16">
        <f t="shared" ref="J228" si="194">AVERAGE(J270,J312,J354)</f>
        <v>1123.6666666666667</v>
      </c>
      <c r="K228" s="16">
        <f t="shared" si="179"/>
        <v>2778</v>
      </c>
      <c r="L228" s="15">
        <f t="shared" si="179"/>
        <v>6485.333333333333</v>
      </c>
      <c r="M228" s="14">
        <f t="shared" si="179"/>
        <v>5278.333333333333</v>
      </c>
      <c r="N228" s="13">
        <f t="shared" si="179"/>
        <v>3945.6666666666665</v>
      </c>
      <c r="O228" s="52"/>
    </row>
    <row r="229" spans="1:15" outlineLevel="1" x14ac:dyDescent="0.2">
      <c r="A229" s="20">
        <f t="shared" si="178"/>
        <v>3541</v>
      </c>
      <c r="B229" s="19" t="str">
        <f t="shared" si="178"/>
        <v>Angelo</v>
      </c>
      <c r="C229" s="18"/>
      <c r="D229" s="15">
        <f t="shared" si="179"/>
        <v>991.33333333333337</v>
      </c>
      <c r="E229" s="116">
        <f t="shared" si="161"/>
        <v>425.94288888888889</v>
      </c>
      <c r="F229" s="14">
        <f t="shared" si="162"/>
        <v>20.305700708264297</v>
      </c>
      <c r="G229" s="13">
        <f t="shared" si="179"/>
        <v>1977.3500000000051</v>
      </c>
      <c r="H229" s="15">
        <f t="shared" si="179"/>
        <v>254.33333333333334</v>
      </c>
      <c r="I229" s="13">
        <f t="shared" si="179"/>
        <v>19.333333333333332</v>
      </c>
      <c r="J229" s="16">
        <f t="shared" ref="J229" si="195">AVERAGE(J271,J313,J355)</f>
        <v>194.33333333333334</v>
      </c>
      <c r="K229" s="16">
        <f t="shared" si="179"/>
        <v>723</v>
      </c>
      <c r="L229" s="15">
        <f t="shared" si="179"/>
        <v>1438.6666666666667</v>
      </c>
      <c r="M229" s="14">
        <f t="shared" si="179"/>
        <v>1033.6666666666667</v>
      </c>
      <c r="N229" s="13">
        <f t="shared" si="179"/>
        <v>707.66666666666663</v>
      </c>
      <c r="O229" s="52"/>
    </row>
    <row r="230" spans="1:15" outlineLevel="1" x14ac:dyDescent="0.2">
      <c r="A230" s="20">
        <f t="shared" ref="A230:B235" si="196">A188</f>
        <v>3646</v>
      </c>
      <c r="B230" s="19" t="str">
        <f t="shared" si="196"/>
        <v>TWU</v>
      </c>
      <c r="C230" s="18"/>
      <c r="D230" s="15">
        <f t="shared" ref="D230:N235" si="197">AVERAGE(D272,D314,D356)</f>
        <v>1806</v>
      </c>
      <c r="E230" s="116">
        <f t="shared" si="161"/>
        <v>945.74200000000008</v>
      </c>
      <c r="F230" s="14">
        <f t="shared" si="162"/>
        <v>27.545604295039961</v>
      </c>
      <c r="G230" s="13">
        <f t="shared" si="197"/>
        <v>3452.1766666666658</v>
      </c>
      <c r="H230" s="15">
        <f t="shared" si="197"/>
        <v>569.33333333333337</v>
      </c>
      <c r="I230" s="13">
        <f t="shared" si="197"/>
        <v>31.666666666666668</v>
      </c>
      <c r="J230" s="16">
        <f t="shared" ref="J230" si="198">AVERAGE(J272,J314,J356)</f>
        <v>803.33333333333337</v>
      </c>
      <c r="K230" s="16">
        <f t="shared" si="197"/>
        <v>1247</v>
      </c>
      <c r="L230" s="15">
        <f t="shared" si="197"/>
        <v>2196</v>
      </c>
      <c r="M230" s="14">
        <f t="shared" si="197"/>
        <v>1292.3333333333333</v>
      </c>
      <c r="N230" s="13">
        <f t="shared" si="197"/>
        <v>659.66666666666663</v>
      </c>
      <c r="O230" s="52"/>
    </row>
    <row r="231" spans="1:15" outlineLevel="1" x14ac:dyDescent="0.2">
      <c r="A231" s="20">
        <f t="shared" si="196"/>
        <v>3581</v>
      </c>
      <c r="B231" s="19" t="str">
        <f t="shared" si="196"/>
        <v>Lamar</v>
      </c>
      <c r="C231" s="18"/>
      <c r="D231" s="15">
        <f t="shared" si="197"/>
        <v>1335.3333333333333</v>
      </c>
      <c r="E231" s="116">
        <f t="shared" si="161"/>
        <v>467.81177777777776</v>
      </c>
      <c r="F231" s="14">
        <f t="shared" si="162"/>
        <v>18.354929164452098</v>
      </c>
      <c r="G231" s="13">
        <f t="shared" si="197"/>
        <v>2684.9000000000165</v>
      </c>
      <c r="H231" s="15">
        <f t="shared" si="197"/>
        <v>330</v>
      </c>
      <c r="I231" s="13">
        <f t="shared" si="197"/>
        <v>17</v>
      </c>
      <c r="J231" s="16">
        <f t="shared" ref="J231" si="199">AVERAGE(J273,J315,J357)</f>
        <v>233.66666666666666</v>
      </c>
      <c r="K231" s="16">
        <f t="shared" si="197"/>
        <v>948.66666666666663</v>
      </c>
      <c r="L231" s="15">
        <f t="shared" si="197"/>
        <v>2144.6666666666665</v>
      </c>
      <c r="M231" s="14">
        <f t="shared" si="197"/>
        <v>1489</v>
      </c>
      <c r="N231" s="13">
        <f t="shared" si="197"/>
        <v>1011</v>
      </c>
      <c r="O231" s="52"/>
    </row>
    <row r="232" spans="1:15" outlineLevel="1" x14ac:dyDescent="0.2">
      <c r="A232" s="20">
        <f t="shared" si="196"/>
        <v>3606</v>
      </c>
      <c r="B232" s="19" t="str">
        <f t="shared" si="196"/>
        <v>SHSU</v>
      </c>
      <c r="C232" s="18"/>
      <c r="D232" s="15">
        <f t="shared" si="197"/>
        <v>3077.6666666666665</v>
      </c>
      <c r="E232" s="116">
        <f t="shared" si="161"/>
        <v>1805.5644444444445</v>
      </c>
      <c r="F232" s="14">
        <f t="shared" si="162"/>
        <v>24.475654239301015</v>
      </c>
      <c r="G232" s="13">
        <f t="shared" si="197"/>
        <v>5837.0766666667887</v>
      </c>
      <c r="H232" s="15">
        <f t="shared" si="197"/>
        <v>167</v>
      </c>
      <c r="I232" s="13">
        <f t="shared" si="197"/>
        <v>61</v>
      </c>
      <c r="J232" s="16">
        <f t="shared" ref="J232" si="200">AVERAGE(J274,J316,J358)</f>
        <v>1281.6666666666667</v>
      </c>
      <c r="K232" s="16">
        <f t="shared" si="197"/>
        <v>2213.6666666666665</v>
      </c>
      <c r="L232" s="15">
        <f t="shared" si="197"/>
        <v>3894.3333333333335</v>
      </c>
      <c r="M232" s="14">
        <f t="shared" si="197"/>
        <v>2965.3333333333335</v>
      </c>
      <c r="N232" s="13">
        <f t="shared" si="197"/>
        <v>1763.3333333333333</v>
      </c>
    </row>
    <row r="233" spans="1:15" outlineLevel="1" x14ac:dyDescent="0.2">
      <c r="A233" s="20">
        <f t="shared" si="196"/>
        <v>3615</v>
      </c>
      <c r="B233" s="19" t="str">
        <f t="shared" si="196"/>
        <v>TXST</v>
      </c>
      <c r="C233" s="18"/>
      <c r="D233" s="15">
        <f t="shared" si="197"/>
        <v>5361</v>
      </c>
      <c r="E233" s="116">
        <f t="shared" si="161"/>
        <v>3393.5129999999999</v>
      </c>
      <c r="F233" s="14">
        <f t="shared" si="162"/>
        <v>23.406891519786395</v>
      </c>
      <c r="G233" s="13">
        <f t="shared" si="197"/>
        <v>10437.309999999357</v>
      </c>
      <c r="H233" s="15">
        <f t="shared" si="197"/>
        <v>488.66666666666669</v>
      </c>
      <c r="I233" s="13">
        <f t="shared" si="197"/>
        <v>66.666666666666671</v>
      </c>
      <c r="J233" s="16">
        <f t="shared" ref="J233" si="201">AVERAGE(J275,J317,J359)</f>
        <v>2011.6666666666667</v>
      </c>
      <c r="K233" s="16">
        <f t="shared" si="197"/>
        <v>3675.3333333333335</v>
      </c>
      <c r="L233" s="15">
        <f t="shared" si="197"/>
        <v>7470.333333333333</v>
      </c>
      <c r="M233" s="14">
        <f t="shared" si="197"/>
        <v>5579</v>
      </c>
      <c r="N233" s="13">
        <f t="shared" si="197"/>
        <v>3317.3333333333335</v>
      </c>
    </row>
    <row r="234" spans="1:15" outlineLevel="1" x14ac:dyDescent="0.2">
      <c r="A234" s="20">
        <f t="shared" si="196"/>
        <v>3625</v>
      </c>
      <c r="B234" s="19" t="str">
        <f t="shared" si="196"/>
        <v>SRSU</v>
      </c>
      <c r="C234" s="18"/>
      <c r="D234" s="15">
        <f t="shared" si="197"/>
        <v>189.33333333333334</v>
      </c>
      <c r="E234" s="116">
        <f t="shared" si="161"/>
        <v>56.989333333333335</v>
      </c>
      <c r="F234" s="14">
        <f t="shared" si="162"/>
        <v>15.518843008324076</v>
      </c>
      <c r="G234" s="13">
        <f t="shared" si="197"/>
        <v>394.32999999999964</v>
      </c>
      <c r="H234" s="15">
        <f t="shared" si="197"/>
        <v>12.666666666666666</v>
      </c>
      <c r="I234" s="13">
        <f t="shared" si="197"/>
        <v>6.333333333333333</v>
      </c>
      <c r="J234" s="16">
        <f t="shared" ref="J234" si="202">AVERAGE(J276,J318,J360)</f>
        <v>43.333333333333336</v>
      </c>
      <c r="K234" s="16">
        <f t="shared" si="197"/>
        <v>163</v>
      </c>
      <c r="L234" s="15">
        <f t="shared" si="197"/>
        <v>300</v>
      </c>
      <c r="M234" s="14">
        <f t="shared" si="197"/>
        <v>193.66666666666666</v>
      </c>
      <c r="N234" s="13">
        <f t="shared" si="197"/>
        <v>131.66666666666666</v>
      </c>
      <c r="O234" s="41"/>
    </row>
    <row r="235" spans="1:15" outlineLevel="1" x14ac:dyDescent="0.2">
      <c r="A235" s="20">
        <f t="shared" si="196"/>
        <v>20</v>
      </c>
      <c r="B235" s="19" t="str">
        <f t="shared" si="196"/>
        <v>SRRG</v>
      </c>
      <c r="C235" s="18"/>
      <c r="D235" s="15">
        <f t="shared" si="197"/>
        <v>161.66666666666666</v>
      </c>
      <c r="E235" s="116">
        <f t="shared" si="161"/>
        <v>51.365976618337754</v>
      </c>
      <c r="F235" s="14">
        <f t="shared" si="162"/>
        <v>36.596408270033706</v>
      </c>
      <c r="G235" s="13">
        <f t="shared" si="197"/>
        <v>279.16999999999979</v>
      </c>
      <c r="H235" s="15">
        <f t="shared" si="197"/>
        <v>6.333333333333333</v>
      </c>
      <c r="I235" s="13">
        <f t="shared" si="197"/>
        <v>5.666666666666667</v>
      </c>
      <c r="J235" s="16">
        <f t="shared" ref="J235" si="203">AVERAGE(J277,J319,J361)</f>
        <v>115</v>
      </c>
      <c r="K235" s="16">
        <f t="shared" si="197"/>
        <v>144</v>
      </c>
      <c r="L235" s="15">
        <f t="shared" si="197"/>
        <v>230</v>
      </c>
      <c r="M235" s="14">
        <f t="shared" si="197"/>
        <v>92.666666666666671</v>
      </c>
      <c r="N235" s="13">
        <f t="shared" si="197"/>
        <v>4.333333333333333</v>
      </c>
    </row>
    <row r="236" spans="1:15" ht="13.5" outlineLevel="1" thickBot="1" x14ac:dyDescent="0.25">
      <c r="A236" s="12"/>
      <c r="B236" s="11" t="s">
        <v>11</v>
      </c>
      <c r="C236" s="10"/>
      <c r="D236" s="9">
        <f>SUM(D198:D235)</f>
        <v>84315.833333333314</v>
      </c>
      <c r="E236" s="117">
        <f>SUM(E198:E235)</f>
        <v>49031.80588920939</v>
      </c>
      <c r="F236" s="7">
        <f t="shared" ref="F236:N236" si="204">SUM(F198:F235)</f>
        <v>1017.4700431877567</v>
      </c>
      <c r="G236" s="3">
        <f t="shared" si="204"/>
        <v>172461.13999999844</v>
      </c>
      <c r="H236" s="5">
        <f t="shared" si="204"/>
        <v>13953.333333333332</v>
      </c>
      <c r="I236" s="3">
        <f t="shared" si="204"/>
        <v>1198.3333333333335</v>
      </c>
      <c r="J236" s="6">
        <f t="shared" ref="J236" si="205">SUM(J198:J235)</f>
        <v>29136.333333333332</v>
      </c>
      <c r="K236" s="6">
        <f t="shared" si="204"/>
        <v>54446.500000000007</v>
      </c>
      <c r="L236" s="5">
        <f t="shared" si="204"/>
        <v>114212.66666666664</v>
      </c>
      <c r="M236" s="4">
        <f t="shared" si="204"/>
        <v>82344.5</v>
      </c>
      <c r="N236" s="3">
        <f t="shared" si="204"/>
        <v>50801.999999999993</v>
      </c>
    </row>
    <row r="237" spans="1:15" ht="13.5" thickBot="1" x14ac:dyDescent="0.25">
      <c r="A237" s="42" t="s">
        <v>27</v>
      </c>
      <c r="B237" s="42"/>
      <c r="C237" s="42"/>
      <c r="D237" s="51"/>
      <c r="F237" s="51"/>
      <c r="J237" s="51"/>
      <c r="K237" s="51"/>
    </row>
    <row r="238" spans="1:15" ht="12.75" customHeight="1" outlineLevel="1" x14ac:dyDescent="0.2">
      <c r="A238" s="234" t="s">
        <v>24</v>
      </c>
      <c r="B238" s="236" t="s">
        <v>23</v>
      </c>
      <c r="C238" s="238"/>
      <c r="D238" s="240" t="s">
        <v>28</v>
      </c>
      <c r="E238" s="242" t="s">
        <v>21</v>
      </c>
      <c r="F238" s="236" t="s">
        <v>20</v>
      </c>
      <c r="G238" s="221" t="s">
        <v>19</v>
      </c>
      <c r="H238" s="223" t="s">
        <v>18</v>
      </c>
      <c r="I238" s="225" t="s">
        <v>17</v>
      </c>
      <c r="J238" s="227" t="str">
        <f>$J$3</f>
        <v>Under Graduate Transfer Degrees</v>
      </c>
      <c r="K238" s="227" t="s">
        <v>16</v>
      </c>
      <c r="L238" s="229" t="s">
        <v>15</v>
      </c>
      <c r="M238" s="230"/>
      <c r="N238" s="231"/>
    </row>
    <row r="239" spans="1:15" s="41" customFormat="1" ht="36" customHeight="1" outlineLevel="1" thickBot="1" x14ac:dyDescent="0.25">
      <c r="A239" s="235"/>
      <c r="B239" s="237"/>
      <c r="C239" s="239"/>
      <c r="D239" s="241"/>
      <c r="E239" s="243"/>
      <c r="F239" s="237"/>
      <c r="G239" s="222"/>
      <c r="H239" s="224"/>
      <c r="I239" s="226"/>
      <c r="J239" s="228"/>
      <c r="K239" s="228"/>
      <c r="L239" s="188" t="s">
        <v>14</v>
      </c>
      <c r="M239" s="189" t="s">
        <v>13</v>
      </c>
      <c r="N239" s="190" t="s">
        <v>12</v>
      </c>
      <c r="O239" s="1"/>
    </row>
    <row r="240" spans="1:15" outlineLevel="1" x14ac:dyDescent="0.2">
      <c r="A240" s="40">
        <f t="shared" ref="A240:B255" si="206">A198</f>
        <v>3656</v>
      </c>
      <c r="B240" s="39" t="str">
        <f t="shared" si="206"/>
        <v>UTA</v>
      </c>
      <c r="C240" s="38"/>
      <c r="D240" s="33">
        <v>5773</v>
      </c>
      <c r="E240" s="37">
        <v>0.55500000000000005</v>
      </c>
      <c r="F240" s="32">
        <v>17781.466666666667</v>
      </c>
      <c r="G240" s="48">
        <v>12087.560000000249</v>
      </c>
      <c r="H240" s="36">
        <v>2140</v>
      </c>
      <c r="I240" s="35">
        <v>43</v>
      </c>
      <c r="J240" s="34">
        <v>2471</v>
      </c>
      <c r="K240" s="34">
        <v>3528</v>
      </c>
      <c r="L240" s="50">
        <v>6893</v>
      </c>
      <c r="M240" s="49">
        <v>3962</v>
      </c>
      <c r="N240" s="48">
        <v>1894</v>
      </c>
    </row>
    <row r="241" spans="1:14" outlineLevel="1" x14ac:dyDescent="0.2">
      <c r="A241" s="20">
        <f t="shared" si="206"/>
        <v>3658</v>
      </c>
      <c r="B241" s="19" t="str">
        <f t="shared" si="206"/>
        <v>UT</v>
      </c>
      <c r="C241" s="18"/>
      <c r="D241" s="15">
        <v>8860</v>
      </c>
      <c r="E241" s="21">
        <v>0.82499999999999996</v>
      </c>
      <c r="F241" s="14">
        <v>33841.466666666667</v>
      </c>
      <c r="G241" s="28">
        <v>19542.67999999996</v>
      </c>
      <c r="H241" s="15">
        <v>1981</v>
      </c>
      <c r="I241" s="13">
        <v>83</v>
      </c>
      <c r="J241" s="16">
        <v>1223</v>
      </c>
      <c r="K241" s="16">
        <v>3501</v>
      </c>
      <c r="L241" s="30">
        <v>9260</v>
      </c>
      <c r="M241" s="29">
        <v>8373</v>
      </c>
      <c r="N241" s="28">
        <v>6348</v>
      </c>
    </row>
    <row r="242" spans="1:14" outlineLevel="1" x14ac:dyDescent="0.2">
      <c r="A242" s="20">
        <f t="shared" si="206"/>
        <v>9741</v>
      </c>
      <c r="B242" s="19" t="str">
        <f t="shared" si="206"/>
        <v>UTD</v>
      </c>
      <c r="C242" s="18"/>
      <c r="D242" s="15">
        <v>2510</v>
      </c>
      <c r="E242" s="21">
        <v>0.71900000000000008</v>
      </c>
      <c r="F242" s="14">
        <v>9826.5333333333328</v>
      </c>
      <c r="G242" s="28">
        <v>5443.8700000002518</v>
      </c>
      <c r="H242" s="15">
        <v>449</v>
      </c>
      <c r="I242" s="13">
        <v>33</v>
      </c>
      <c r="J242" s="16">
        <v>1107</v>
      </c>
      <c r="K242" s="16">
        <v>1410</v>
      </c>
      <c r="L242" s="30">
        <v>3522</v>
      </c>
      <c r="M242" s="29">
        <v>2348</v>
      </c>
      <c r="N242" s="28">
        <v>1065</v>
      </c>
    </row>
    <row r="243" spans="1:14" outlineLevel="1" x14ac:dyDescent="0.2">
      <c r="A243" s="20">
        <f t="shared" si="206"/>
        <v>3661</v>
      </c>
      <c r="B243" s="19" t="str">
        <f t="shared" si="206"/>
        <v>UTEP</v>
      </c>
      <c r="C243" s="18"/>
      <c r="D243" s="15">
        <v>3132</v>
      </c>
      <c r="E243" s="21">
        <v>0.41200000000000003</v>
      </c>
      <c r="F243" s="14">
        <v>13931.066666666668</v>
      </c>
      <c r="G243" s="28">
        <v>6456.0600000003096</v>
      </c>
      <c r="H243" s="15">
        <v>643</v>
      </c>
      <c r="I243" s="13">
        <v>86</v>
      </c>
      <c r="J243" s="16">
        <v>1212</v>
      </c>
      <c r="K243" s="16">
        <v>2590</v>
      </c>
      <c r="L243" s="30">
        <v>4400</v>
      </c>
      <c r="M243" s="29">
        <v>3304</v>
      </c>
      <c r="N243" s="28">
        <v>1986</v>
      </c>
    </row>
    <row r="244" spans="1:14" outlineLevel="1" x14ac:dyDescent="0.2">
      <c r="A244" s="20">
        <f t="shared" si="206"/>
        <v>3599</v>
      </c>
      <c r="B244" s="19" t="str">
        <f t="shared" si="206"/>
        <v>UTPA</v>
      </c>
      <c r="C244" s="18"/>
      <c r="D244" s="15">
        <v>2462</v>
      </c>
      <c r="E244" s="21">
        <v>0.44</v>
      </c>
      <c r="F244" s="14">
        <v>12698.333333333334</v>
      </c>
      <c r="G244" s="28">
        <v>5000.2800000001325</v>
      </c>
      <c r="H244" s="15">
        <v>547</v>
      </c>
      <c r="I244" s="13">
        <v>19</v>
      </c>
      <c r="J244" s="16">
        <v>876</v>
      </c>
      <c r="K244" s="16">
        <v>2247</v>
      </c>
      <c r="L244" s="30">
        <v>3730</v>
      </c>
      <c r="M244" s="29">
        <v>2862</v>
      </c>
      <c r="N244" s="28">
        <v>1896</v>
      </c>
    </row>
    <row r="245" spans="1:14" outlineLevel="1" x14ac:dyDescent="0.2">
      <c r="A245" s="20">
        <f t="shared" si="206"/>
        <v>30646</v>
      </c>
      <c r="B245" s="19" t="str">
        <f t="shared" si="206"/>
        <v>UTB</v>
      </c>
      <c r="C245" s="18"/>
      <c r="D245" s="15">
        <v>1149</v>
      </c>
      <c r="E245" s="17">
        <v>0.52783109404990403</v>
      </c>
      <c r="F245" s="14">
        <v>3400.5333333333333</v>
      </c>
      <c r="G245" s="28">
        <v>2236.3100000000127</v>
      </c>
      <c r="H245" s="15">
        <v>133</v>
      </c>
      <c r="I245" s="13">
        <v>21</v>
      </c>
      <c r="J245" s="16">
        <v>910</v>
      </c>
      <c r="K245" s="16">
        <v>978</v>
      </c>
      <c r="L245" s="30">
        <v>1243</v>
      </c>
      <c r="M245" s="29">
        <v>486</v>
      </c>
      <c r="N245" s="28">
        <v>99</v>
      </c>
    </row>
    <row r="246" spans="1:14" outlineLevel="1" x14ac:dyDescent="0.2">
      <c r="A246" s="20">
        <f t="shared" si="206"/>
        <v>9930</v>
      </c>
      <c r="B246" s="19" t="str">
        <f t="shared" si="206"/>
        <v>UTPB</v>
      </c>
      <c r="C246" s="18"/>
      <c r="D246" s="15">
        <v>546</v>
      </c>
      <c r="E246" s="21">
        <v>0.47899999999999998</v>
      </c>
      <c r="F246" s="14">
        <v>2343.2666666666669</v>
      </c>
      <c r="G246" s="28">
        <v>1054.6599999999951</v>
      </c>
      <c r="H246" s="15">
        <v>51</v>
      </c>
      <c r="I246" s="13">
        <v>7</v>
      </c>
      <c r="J246" s="16">
        <v>248</v>
      </c>
      <c r="K246" s="16">
        <v>411</v>
      </c>
      <c r="L246" s="30">
        <v>742</v>
      </c>
      <c r="M246" s="29">
        <v>535</v>
      </c>
      <c r="N246" s="28">
        <v>210</v>
      </c>
    </row>
    <row r="247" spans="1:14" outlineLevel="1" x14ac:dyDescent="0.2">
      <c r="A247" s="20">
        <f t="shared" si="206"/>
        <v>10115</v>
      </c>
      <c r="B247" s="19" t="str">
        <f t="shared" si="206"/>
        <v>UTSA</v>
      </c>
      <c r="C247" s="18"/>
      <c r="D247" s="15">
        <v>4243</v>
      </c>
      <c r="E247" s="21">
        <v>0.43099999999999999</v>
      </c>
      <c r="F247" s="14">
        <v>21066.866666666665</v>
      </c>
      <c r="G247" s="28">
        <v>8736.7000000001954</v>
      </c>
      <c r="H247" s="15">
        <v>407</v>
      </c>
      <c r="I247" s="13">
        <v>63</v>
      </c>
      <c r="J247" s="16">
        <v>1404</v>
      </c>
      <c r="K247" s="16">
        <v>3204</v>
      </c>
      <c r="L247" s="30">
        <v>6815</v>
      </c>
      <c r="M247" s="29">
        <v>4371</v>
      </c>
      <c r="N247" s="28">
        <v>2560</v>
      </c>
    </row>
    <row r="248" spans="1:14" outlineLevel="1" x14ac:dyDescent="0.2">
      <c r="A248" s="20">
        <f t="shared" si="206"/>
        <v>11163</v>
      </c>
      <c r="B248" s="19" t="str">
        <f t="shared" si="206"/>
        <v>UTT</v>
      </c>
      <c r="C248" s="18"/>
      <c r="D248" s="15">
        <v>1144</v>
      </c>
      <c r="E248" s="21">
        <v>0.51800000000000002</v>
      </c>
      <c r="F248" s="14">
        <v>4086.7333333333331</v>
      </c>
      <c r="G248" s="28">
        <v>2263.8699999999944</v>
      </c>
      <c r="H248" s="15">
        <v>392</v>
      </c>
      <c r="I248" s="13">
        <v>23</v>
      </c>
      <c r="J248" s="16">
        <v>599</v>
      </c>
      <c r="K248" s="16">
        <v>886</v>
      </c>
      <c r="L248" s="30">
        <v>1409</v>
      </c>
      <c r="M248" s="29">
        <v>844</v>
      </c>
      <c r="N248" s="28">
        <v>383</v>
      </c>
    </row>
    <row r="249" spans="1:14" outlineLevel="1" x14ac:dyDescent="0.2">
      <c r="A249" s="20">
        <f t="shared" si="206"/>
        <v>3632</v>
      </c>
      <c r="B249" s="19" t="str">
        <f t="shared" si="206"/>
        <v>TAMU</v>
      </c>
      <c r="C249" s="18"/>
      <c r="D249" s="15">
        <v>9020</v>
      </c>
      <c r="E249" s="21">
        <v>0.84200000000000008</v>
      </c>
      <c r="F249" s="14">
        <v>35116.666666666664</v>
      </c>
      <c r="G249" s="28">
        <v>21108.189999999984</v>
      </c>
      <c r="H249" s="15">
        <v>1934</v>
      </c>
      <c r="I249" s="13">
        <v>137</v>
      </c>
      <c r="J249" s="16">
        <v>2462</v>
      </c>
      <c r="K249" s="16">
        <v>3915</v>
      </c>
      <c r="L249" s="30">
        <v>10547</v>
      </c>
      <c r="M249" s="29">
        <v>8924</v>
      </c>
      <c r="N249" s="28">
        <v>6938</v>
      </c>
    </row>
    <row r="250" spans="1:14" outlineLevel="1" x14ac:dyDescent="0.2">
      <c r="A250" s="20">
        <f t="shared" si="206"/>
        <v>10298</v>
      </c>
      <c r="B250" s="19" t="str">
        <f t="shared" si="206"/>
        <v>TAMUG</v>
      </c>
      <c r="C250" s="18"/>
      <c r="D250" s="15">
        <v>314</v>
      </c>
      <c r="E250" s="21">
        <v>0.626</v>
      </c>
      <c r="F250" s="14">
        <v>1769.4666666666667</v>
      </c>
      <c r="G250" s="28">
        <v>826.3399999999923</v>
      </c>
      <c r="H250" s="15">
        <v>46</v>
      </c>
      <c r="I250" s="13">
        <v>0</v>
      </c>
      <c r="J250" s="16">
        <v>86</v>
      </c>
      <c r="K250" s="16">
        <v>186</v>
      </c>
      <c r="L250" s="30">
        <v>607</v>
      </c>
      <c r="M250" s="29">
        <v>296</v>
      </c>
      <c r="N250" s="28">
        <v>263</v>
      </c>
    </row>
    <row r="251" spans="1:14" outlineLevel="1" x14ac:dyDescent="0.2">
      <c r="A251" s="20">
        <f t="shared" si="206"/>
        <v>3630</v>
      </c>
      <c r="B251" s="19" t="str">
        <f t="shared" si="206"/>
        <v>Prairie View</v>
      </c>
      <c r="C251" s="18"/>
      <c r="D251" s="15">
        <v>1026</v>
      </c>
      <c r="E251" s="21">
        <v>0.40299999999999997</v>
      </c>
      <c r="F251" s="14">
        <v>5822.8</v>
      </c>
      <c r="G251" s="28">
        <v>2288.9700000000062</v>
      </c>
      <c r="H251" s="15">
        <v>373</v>
      </c>
      <c r="I251" s="13">
        <v>11</v>
      </c>
      <c r="J251" s="16">
        <v>183</v>
      </c>
      <c r="K251" s="16">
        <v>877</v>
      </c>
      <c r="L251" s="30">
        <v>1701</v>
      </c>
      <c r="M251" s="29">
        <v>1132</v>
      </c>
      <c r="N251" s="28">
        <v>871</v>
      </c>
    </row>
    <row r="252" spans="1:14" outlineLevel="1" x14ac:dyDescent="0.2">
      <c r="A252" s="20">
        <f t="shared" si="206"/>
        <v>3631</v>
      </c>
      <c r="B252" s="19" t="str">
        <f t="shared" si="206"/>
        <v>Tarleton</v>
      </c>
      <c r="C252" s="18"/>
      <c r="D252" s="15">
        <v>1662</v>
      </c>
      <c r="E252" s="21">
        <v>0.47600000000000003</v>
      </c>
      <c r="F252" s="14">
        <v>6766.4</v>
      </c>
      <c r="G252" s="28">
        <v>3337.2399999999966</v>
      </c>
      <c r="H252" s="15">
        <v>229</v>
      </c>
      <c r="I252" s="13">
        <v>49</v>
      </c>
      <c r="J252" s="16">
        <v>645</v>
      </c>
      <c r="K252" s="16">
        <v>1296</v>
      </c>
      <c r="L252" s="30">
        <v>2227</v>
      </c>
      <c r="M252" s="29">
        <v>1216</v>
      </c>
      <c r="N252" s="28">
        <v>845</v>
      </c>
    </row>
    <row r="253" spans="1:14" outlineLevel="1" x14ac:dyDescent="0.2">
      <c r="A253" s="27">
        <f t="shared" si="206"/>
        <v>103631</v>
      </c>
      <c r="B253" s="19" t="str">
        <f t="shared" si="206"/>
        <v>TAMUCT</v>
      </c>
      <c r="C253" s="18"/>
      <c r="D253" s="15">
        <v>469</v>
      </c>
      <c r="E253" s="21">
        <f>E252</f>
        <v>0.47600000000000003</v>
      </c>
      <c r="F253" s="14">
        <v>684.13333333333333</v>
      </c>
      <c r="G253" s="28">
        <v>882.20999999999208</v>
      </c>
      <c r="H253" s="15">
        <v>42</v>
      </c>
      <c r="I253" s="13">
        <v>0</v>
      </c>
      <c r="J253" s="16">
        <v>335</v>
      </c>
      <c r="K253" s="16">
        <v>329</v>
      </c>
      <c r="L253" s="30">
        <v>550</v>
      </c>
      <c r="M253" s="29">
        <v>119</v>
      </c>
      <c r="N253" s="28">
        <v>5</v>
      </c>
    </row>
    <row r="254" spans="1:14" outlineLevel="1" x14ac:dyDescent="0.2">
      <c r="A254" s="20">
        <f t="shared" si="206"/>
        <v>11161</v>
      </c>
      <c r="B254" s="19" t="str">
        <f t="shared" si="206"/>
        <v>TAMUCC</v>
      </c>
      <c r="C254" s="18"/>
      <c r="D254" s="15">
        <v>1515</v>
      </c>
      <c r="E254" s="21">
        <v>0.51</v>
      </c>
      <c r="F254" s="14">
        <v>6742.2</v>
      </c>
      <c r="G254" s="28">
        <v>3028.8999999999978</v>
      </c>
      <c r="H254" s="15">
        <v>310</v>
      </c>
      <c r="I254" s="13">
        <v>23</v>
      </c>
      <c r="J254" s="16">
        <v>538</v>
      </c>
      <c r="K254" s="16">
        <v>1182</v>
      </c>
      <c r="L254" s="30">
        <v>1957</v>
      </c>
      <c r="M254" s="29">
        <v>1470</v>
      </c>
      <c r="N254" s="28">
        <v>959</v>
      </c>
    </row>
    <row r="255" spans="1:14" outlineLevel="1" x14ac:dyDescent="0.2">
      <c r="A255" s="20">
        <f t="shared" si="206"/>
        <v>3639</v>
      </c>
      <c r="B255" s="19" t="str">
        <f t="shared" si="206"/>
        <v>TAMUK</v>
      </c>
      <c r="C255" s="18"/>
      <c r="D255" s="15">
        <v>855</v>
      </c>
      <c r="E255" s="21">
        <v>0.39200000000000002</v>
      </c>
      <c r="F255" s="14">
        <v>4577.5333333333338</v>
      </c>
      <c r="G255" s="28">
        <v>1952.6200000000099</v>
      </c>
      <c r="H255" s="15">
        <v>298</v>
      </c>
      <c r="I255" s="13">
        <v>19</v>
      </c>
      <c r="J255" s="16">
        <v>251</v>
      </c>
      <c r="K255" s="16">
        <v>742</v>
      </c>
      <c r="L255" s="30">
        <v>1343</v>
      </c>
      <c r="M255" s="29">
        <v>910</v>
      </c>
      <c r="N255" s="28">
        <v>571</v>
      </c>
    </row>
    <row r="256" spans="1:14" outlineLevel="1" x14ac:dyDescent="0.2">
      <c r="A256" s="27">
        <f t="shared" ref="A256:B271" si="207">A214</f>
        <v>103639</v>
      </c>
      <c r="B256" s="19" t="str">
        <f t="shared" si="207"/>
        <v>TAMUSA</v>
      </c>
      <c r="C256" s="18"/>
      <c r="D256" s="15">
        <v>647</v>
      </c>
      <c r="E256" s="21">
        <f>E255</f>
        <v>0.39200000000000002</v>
      </c>
      <c r="F256" s="14">
        <v>1673.0666666666666</v>
      </c>
      <c r="G256" s="28">
        <v>1155.5399999999984</v>
      </c>
      <c r="H256" s="15">
        <v>10</v>
      </c>
      <c r="I256" s="13">
        <v>4</v>
      </c>
      <c r="J256" s="16">
        <v>505</v>
      </c>
      <c r="K256" s="16">
        <v>549</v>
      </c>
      <c r="L256" s="30">
        <v>887</v>
      </c>
      <c r="M256" s="29">
        <v>190</v>
      </c>
      <c r="N256" s="28">
        <v>1</v>
      </c>
    </row>
    <row r="257" spans="1:14" outlineLevel="1" x14ac:dyDescent="0.2">
      <c r="A257" s="20">
        <f t="shared" si="207"/>
        <v>9651</v>
      </c>
      <c r="B257" s="19" t="str">
        <f t="shared" si="207"/>
        <v>TAMI</v>
      </c>
      <c r="C257" s="18"/>
      <c r="D257" s="15">
        <v>805</v>
      </c>
      <c r="E257" s="21">
        <v>0.45700000000000002</v>
      </c>
      <c r="F257" s="14">
        <v>4312.1333333333332</v>
      </c>
      <c r="G257" s="28">
        <v>1498.7699999999936</v>
      </c>
      <c r="H257" s="15">
        <v>142</v>
      </c>
      <c r="I257" s="13">
        <v>23</v>
      </c>
      <c r="J257" s="16">
        <v>382</v>
      </c>
      <c r="K257" s="16">
        <v>737</v>
      </c>
      <c r="L257" s="30">
        <v>1292</v>
      </c>
      <c r="M257" s="29">
        <v>1039</v>
      </c>
      <c r="N257" s="28">
        <v>488</v>
      </c>
    </row>
    <row r="258" spans="1:14" outlineLevel="1" x14ac:dyDescent="0.2">
      <c r="A258" s="20">
        <f t="shared" si="207"/>
        <v>3665</v>
      </c>
      <c r="B258" s="19" t="str">
        <f t="shared" si="207"/>
        <v>WTAMU</v>
      </c>
      <c r="C258" s="18"/>
      <c r="D258" s="15">
        <v>1253</v>
      </c>
      <c r="E258" s="21">
        <v>0.48200000000000004</v>
      </c>
      <c r="F258" s="14">
        <v>5523.2</v>
      </c>
      <c r="G258" s="28">
        <v>2523.9800000000132</v>
      </c>
      <c r="H258" s="15">
        <v>175</v>
      </c>
      <c r="I258" s="13">
        <v>60</v>
      </c>
      <c r="J258" s="16">
        <v>435</v>
      </c>
      <c r="K258" s="16">
        <v>902</v>
      </c>
      <c r="L258" s="30">
        <v>1631</v>
      </c>
      <c r="M258" s="29">
        <v>1213</v>
      </c>
      <c r="N258" s="28">
        <v>689</v>
      </c>
    </row>
    <row r="259" spans="1:14" outlineLevel="1" x14ac:dyDescent="0.2">
      <c r="A259" s="20">
        <f t="shared" si="207"/>
        <v>3565</v>
      </c>
      <c r="B259" s="19" t="str">
        <f t="shared" si="207"/>
        <v>TAMUC</v>
      </c>
      <c r="C259" s="18"/>
      <c r="D259" s="15">
        <v>1507</v>
      </c>
      <c r="E259" s="21">
        <v>0.44600000000000001</v>
      </c>
      <c r="F259" s="14">
        <v>5135.2666666666664</v>
      </c>
      <c r="G259" s="28">
        <v>2861.9500000000121</v>
      </c>
      <c r="H259" s="15">
        <v>89</v>
      </c>
      <c r="I259" s="13">
        <v>81</v>
      </c>
      <c r="J259" s="16">
        <v>851</v>
      </c>
      <c r="K259" s="16">
        <v>1172</v>
      </c>
      <c r="L259" s="30">
        <v>2056</v>
      </c>
      <c r="M259" s="29">
        <v>1174</v>
      </c>
      <c r="N259" s="28">
        <v>457</v>
      </c>
    </row>
    <row r="260" spans="1:14" outlineLevel="1" x14ac:dyDescent="0.2">
      <c r="A260" s="20">
        <f t="shared" si="207"/>
        <v>29269</v>
      </c>
      <c r="B260" s="19" t="str">
        <f t="shared" si="207"/>
        <v>TAMUT</v>
      </c>
      <c r="C260" s="18"/>
      <c r="D260" s="15">
        <v>376</v>
      </c>
      <c r="E260" s="17">
        <v>0.49242424242424243</v>
      </c>
      <c r="F260" s="14">
        <v>1101.2666666666667</v>
      </c>
      <c r="G260" s="28">
        <v>680.4399999999946</v>
      </c>
      <c r="H260" s="15">
        <v>47</v>
      </c>
      <c r="I260" s="13">
        <v>25</v>
      </c>
      <c r="J260" s="16">
        <v>222</v>
      </c>
      <c r="K260" s="16">
        <v>277</v>
      </c>
      <c r="L260" s="30">
        <v>484</v>
      </c>
      <c r="M260" s="29">
        <v>219</v>
      </c>
      <c r="N260" s="28">
        <v>1</v>
      </c>
    </row>
    <row r="261" spans="1:14" outlineLevel="1" x14ac:dyDescent="0.2">
      <c r="A261" s="20">
        <f t="shared" si="207"/>
        <v>3652</v>
      </c>
      <c r="B261" s="19" t="str">
        <f t="shared" si="207"/>
        <v>UH</v>
      </c>
      <c r="C261" s="18"/>
      <c r="D261" s="15">
        <v>5426</v>
      </c>
      <c r="E261" s="21">
        <v>0.53600000000000003</v>
      </c>
      <c r="F261" s="14">
        <v>24760.400000000001</v>
      </c>
      <c r="G261" s="28">
        <v>11378.949999999324</v>
      </c>
      <c r="H261" s="15">
        <v>835</v>
      </c>
      <c r="I261" s="13">
        <v>60</v>
      </c>
      <c r="J261" s="16">
        <v>1975</v>
      </c>
      <c r="K261" s="16">
        <v>3688</v>
      </c>
      <c r="L261" s="30">
        <v>7823</v>
      </c>
      <c r="M261" s="29">
        <v>5667</v>
      </c>
      <c r="N261" s="28">
        <v>3232</v>
      </c>
    </row>
    <row r="262" spans="1:14" outlineLevel="1" x14ac:dyDescent="0.2">
      <c r="A262" s="20">
        <f t="shared" si="207"/>
        <v>11711</v>
      </c>
      <c r="B262" s="19" t="str">
        <f t="shared" si="207"/>
        <v>UHCL</v>
      </c>
      <c r="C262" s="18"/>
      <c r="D262" s="15">
        <v>1251</v>
      </c>
      <c r="E262" s="17">
        <v>0.51671732522796354</v>
      </c>
      <c r="F262" s="14">
        <v>3079.2666666666669</v>
      </c>
      <c r="G262" s="28">
        <v>2423.7000000000025</v>
      </c>
      <c r="H262" s="15">
        <v>119</v>
      </c>
      <c r="I262" s="13">
        <v>9</v>
      </c>
      <c r="J262" s="16">
        <v>831</v>
      </c>
      <c r="K262" s="16">
        <v>839</v>
      </c>
      <c r="L262" s="30">
        <v>1391</v>
      </c>
      <c r="M262" s="29">
        <v>1014</v>
      </c>
      <c r="N262" s="28">
        <v>37</v>
      </c>
    </row>
    <row r="263" spans="1:14" outlineLevel="1" x14ac:dyDescent="0.2">
      <c r="A263" s="20">
        <f t="shared" si="207"/>
        <v>12826</v>
      </c>
      <c r="B263" s="19" t="str">
        <f t="shared" si="207"/>
        <v>UHD</v>
      </c>
      <c r="C263" s="18"/>
      <c r="D263" s="15">
        <v>2351</v>
      </c>
      <c r="E263" s="21">
        <v>0.17399999999999999</v>
      </c>
      <c r="F263" s="14">
        <v>8043.8</v>
      </c>
      <c r="G263" s="28">
        <v>4292.430000000033</v>
      </c>
      <c r="H263" s="15">
        <v>134</v>
      </c>
      <c r="I263" s="13">
        <v>3</v>
      </c>
      <c r="J263" s="16">
        <v>1034</v>
      </c>
      <c r="K263" s="16">
        <v>1694</v>
      </c>
      <c r="L263" s="30">
        <v>3011</v>
      </c>
      <c r="M263" s="29">
        <v>1820</v>
      </c>
      <c r="N263" s="28">
        <v>590</v>
      </c>
    </row>
    <row r="264" spans="1:14" outlineLevel="1" x14ac:dyDescent="0.2">
      <c r="A264" s="20">
        <f t="shared" si="207"/>
        <v>13231</v>
      </c>
      <c r="B264" s="19" t="str">
        <f t="shared" si="207"/>
        <v>UHV</v>
      </c>
      <c r="C264" s="18"/>
      <c r="D264" s="15">
        <v>619</v>
      </c>
      <c r="E264" s="17">
        <v>0.47520661157024796</v>
      </c>
      <c r="F264" s="14">
        <v>1685.8666666666666</v>
      </c>
      <c r="G264" s="28">
        <v>1187.5899999999924</v>
      </c>
      <c r="H264" s="15">
        <v>134</v>
      </c>
      <c r="I264" s="13">
        <v>9</v>
      </c>
      <c r="J264" s="16">
        <v>432</v>
      </c>
      <c r="K264" s="16">
        <v>418</v>
      </c>
      <c r="L264" s="30">
        <v>776</v>
      </c>
      <c r="M264" s="29">
        <v>334</v>
      </c>
      <c r="N264" s="28">
        <v>6</v>
      </c>
    </row>
    <row r="265" spans="1:14" outlineLevel="1" x14ac:dyDescent="0.2">
      <c r="A265" s="20">
        <f t="shared" si="207"/>
        <v>3592</v>
      </c>
      <c r="B265" s="19" t="str">
        <f t="shared" si="207"/>
        <v>Midwestern</v>
      </c>
      <c r="C265" s="18"/>
      <c r="D265" s="15">
        <v>1066</v>
      </c>
      <c r="E265" s="21">
        <v>0.46299999999999997</v>
      </c>
      <c r="F265" s="14">
        <v>4147.7333333333336</v>
      </c>
      <c r="G265" s="28">
        <v>2062.1399999999949</v>
      </c>
      <c r="H265" s="15">
        <v>358</v>
      </c>
      <c r="I265" s="13">
        <v>15</v>
      </c>
      <c r="J265" s="16">
        <v>276</v>
      </c>
      <c r="K265" s="16">
        <v>723</v>
      </c>
      <c r="L265" s="30">
        <v>1310</v>
      </c>
      <c r="M265" s="29">
        <v>979</v>
      </c>
      <c r="N265" s="28">
        <v>683</v>
      </c>
    </row>
    <row r="266" spans="1:14" outlineLevel="1" x14ac:dyDescent="0.2">
      <c r="A266" s="20">
        <f t="shared" si="207"/>
        <v>3594</v>
      </c>
      <c r="B266" s="19" t="str">
        <f t="shared" si="207"/>
        <v>UNT</v>
      </c>
      <c r="C266" s="18"/>
      <c r="D266" s="15">
        <v>5843</v>
      </c>
      <c r="E266" s="21">
        <v>0.56799999999999995</v>
      </c>
      <c r="F266" s="14">
        <v>23213.466666666667</v>
      </c>
      <c r="G266" s="28">
        <v>11338.869999999399</v>
      </c>
      <c r="H266" s="15">
        <v>368</v>
      </c>
      <c r="I266" s="13">
        <v>56</v>
      </c>
      <c r="J266" s="16">
        <v>2267</v>
      </c>
      <c r="K266" s="16">
        <v>3771</v>
      </c>
      <c r="L266" s="30">
        <v>7310</v>
      </c>
      <c r="M266" s="29">
        <v>5432</v>
      </c>
      <c r="N266" s="28">
        <v>3116</v>
      </c>
    </row>
    <row r="267" spans="1:14" outlineLevel="1" x14ac:dyDescent="0.2">
      <c r="A267" s="27">
        <f t="shared" si="207"/>
        <v>113594</v>
      </c>
      <c r="B267" s="19" t="str">
        <f t="shared" si="207"/>
        <v>UNTD</v>
      </c>
      <c r="C267" s="18"/>
      <c r="D267" s="15">
        <v>419</v>
      </c>
      <c r="E267" s="21">
        <f>E266</f>
        <v>0.56799999999999995</v>
      </c>
      <c r="F267" s="14">
        <v>983.4666666666667</v>
      </c>
      <c r="G267" s="28">
        <v>742.11999999999398</v>
      </c>
      <c r="H267" s="15">
        <v>14</v>
      </c>
      <c r="I267" s="13">
        <v>0</v>
      </c>
      <c r="J267" s="16">
        <v>0</v>
      </c>
      <c r="K267" s="16">
        <v>313</v>
      </c>
      <c r="L267" s="30">
        <v>469</v>
      </c>
      <c r="M267" s="29">
        <v>80</v>
      </c>
      <c r="N267" s="28">
        <v>4</v>
      </c>
    </row>
    <row r="268" spans="1:14" outlineLevel="1" x14ac:dyDescent="0.2">
      <c r="A268" s="20">
        <f t="shared" si="207"/>
        <v>3624</v>
      </c>
      <c r="B268" s="19" t="str">
        <f t="shared" si="207"/>
        <v>SFA</v>
      </c>
      <c r="C268" s="18"/>
      <c r="D268" s="15">
        <v>2011</v>
      </c>
      <c r="E268" s="21">
        <v>0.55299999999999994</v>
      </c>
      <c r="F268" s="14">
        <v>9507.3333333333339</v>
      </c>
      <c r="G268" s="28">
        <v>3932.9399999999569</v>
      </c>
      <c r="H268" s="15">
        <v>273</v>
      </c>
      <c r="I268" s="13">
        <v>42</v>
      </c>
      <c r="J268" s="16">
        <v>607</v>
      </c>
      <c r="K268" s="16">
        <v>1513</v>
      </c>
      <c r="L268" s="30">
        <v>2605</v>
      </c>
      <c r="M268" s="29">
        <v>2125</v>
      </c>
      <c r="N268" s="28">
        <v>1473</v>
      </c>
    </row>
    <row r="269" spans="1:14" outlineLevel="1" x14ac:dyDescent="0.2">
      <c r="A269" s="20">
        <f t="shared" si="207"/>
        <v>3642</v>
      </c>
      <c r="B269" s="19" t="str">
        <f t="shared" si="207"/>
        <v>TSU</v>
      </c>
      <c r="C269" s="18"/>
      <c r="D269" s="15">
        <v>737</v>
      </c>
      <c r="E269" s="21">
        <v>0.14099999999999999</v>
      </c>
      <c r="F269" s="14">
        <v>5767.1333333333332</v>
      </c>
      <c r="G269" s="28">
        <v>1478.8299999999929</v>
      </c>
      <c r="H269" s="15">
        <v>154</v>
      </c>
      <c r="I269" s="13">
        <v>5</v>
      </c>
      <c r="J269" s="16">
        <v>106</v>
      </c>
      <c r="K269" s="16">
        <v>641</v>
      </c>
      <c r="L269" s="30">
        <v>1349</v>
      </c>
      <c r="M269" s="29">
        <v>988</v>
      </c>
      <c r="N269" s="28">
        <v>760</v>
      </c>
    </row>
    <row r="270" spans="1:14" outlineLevel="1" x14ac:dyDescent="0.2">
      <c r="A270" s="20">
        <f t="shared" si="207"/>
        <v>3644</v>
      </c>
      <c r="B270" s="19" t="str">
        <f t="shared" si="207"/>
        <v>TTU</v>
      </c>
      <c r="C270" s="18"/>
      <c r="D270" s="15">
        <v>4941</v>
      </c>
      <c r="E270" s="21">
        <v>0.73599999999999999</v>
      </c>
      <c r="F270" s="14">
        <v>22627.599999999999</v>
      </c>
      <c r="G270" s="28">
        <v>10741.019999999262</v>
      </c>
      <c r="H270" s="15">
        <v>839</v>
      </c>
      <c r="I270" s="13">
        <v>67</v>
      </c>
      <c r="J270" s="16">
        <v>1250</v>
      </c>
      <c r="K270" s="16">
        <v>3071</v>
      </c>
      <c r="L270" s="30">
        <v>6449</v>
      </c>
      <c r="M270" s="29">
        <v>5332</v>
      </c>
      <c r="N270" s="28">
        <v>4048</v>
      </c>
    </row>
    <row r="271" spans="1:14" outlineLevel="1" x14ac:dyDescent="0.2">
      <c r="A271" s="20">
        <f t="shared" si="207"/>
        <v>3541</v>
      </c>
      <c r="B271" s="19" t="str">
        <f t="shared" si="207"/>
        <v>Angelo</v>
      </c>
      <c r="C271" s="18"/>
      <c r="D271" s="15">
        <v>1073</v>
      </c>
      <c r="E271" s="21">
        <v>0.40799999999999997</v>
      </c>
      <c r="F271" s="14">
        <v>4921.333333333333</v>
      </c>
      <c r="G271" s="28">
        <v>2141.5100000000025</v>
      </c>
      <c r="H271" s="15">
        <v>304</v>
      </c>
      <c r="I271" s="13">
        <v>19</v>
      </c>
      <c r="J271" s="16">
        <v>187</v>
      </c>
      <c r="K271" s="16">
        <v>773</v>
      </c>
      <c r="L271" s="30">
        <v>1398</v>
      </c>
      <c r="M271" s="29">
        <v>1022</v>
      </c>
      <c r="N271" s="28">
        <v>707</v>
      </c>
    </row>
    <row r="272" spans="1:14" outlineLevel="1" x14ac:dyDescent="0.2">
      <c r="A272" s="20">
        <f t="shared" ref="A272:B277" si="208">A230</f>
        <v>3646</v>
      </c>
      <c r="B272" s="19" t="str">
        <f t="shared" si="208"/>
        <v>TWU</v>
      </c>
      <c r="C272" s="18"/>
      <c r="D272" s="15">
        <v>1919</v>
      </c>
      <c r="E272" s="21">
        <v>0.54200000000000004</v>
      </c>
      <c r="F272" s="14">
        <v>6999.5333333333338</v>
      </c>
      <c r="G272" s="28">
        <v>3704.3199999999606</v>
      </c>
      <c r="H272" s="15">
        <v>571</v>
      </c>
      <c r="I272" s="13">
        <v>30</v>
      </c>
      <c r="J272" s="16">
        <v>831</v>
      </c>
      <c r="K272" s="16">
        <v>1326</v>
      </c>
      <c r="L272" s="30">
        <v>2425</v>
      </c>
      <c r="M272" s="29">
        <v>1247</v>
      </c>
      <c r="N272" s="28">
        <v>703</v>
      </c>
    </row>
    <row r="273" spans="1:15" outlineLevel="1" x14ac:dyDescent="0.2">
      <c r="A273" s="20">
        <f t="shared" si="208"/>
        <v>3581</v>
      </c>
      <c r="B273" s="19" t="str">
        <f t="shared" si="208"/>
        <v>Lamar</v>
      </c>
      <c r="C273" s="18"/>
      <c r="D273" s="15">
        <v>1380</v>
      </c>
      <c r="E273" s="21">
        <v>0.35899999999999999</v>
      </c>
      <c r="F273" s="14">
        <v>7404.4666666666662</v>
      </c>
      <c r="G273" s="28">
        <v>2721.5300000000057</v>
      </c>
      <c r="H273" s="15">
        <v>318</v>
      </c>
      <c r="I273" s="13">
        <v>18</v>
      </c>
      <c r="J273" s="16">
        <v>247</v>
      </c>
      <c r="K273" s="16">
        <v>995</v>
      </c>
      <c r="L273" s="30">
        <v>2074</v>
      </c>
      <c r="M273" s="29">
        <v>1486</v>
      </c>
      <c r="N273" s="28">
        <v>1002</v>
      </c>
    </row>
    <row r="274" spans="1:15" outlineLevel="1" x14ac:dyDescent="0.2">
      <c r="A274" s="20">
        <f t="shared" si="208"/>
        <v>3606</v>
      </c>
      <c r="B274" s="19" t="str">
        <f t="shared" si="208"/>
        <v>SHSU</v>
      </c>
      <c r="C274" s="18"/>
      <c r="D274" s="15">
        <v>2978</v>
      </c>
      <c r="E274" s="21">
        <v>0.57799999999999996</v>
      </c>
      <c r="F274" s="14">
        <v>12574.466666666667</v>
      </c>
      <c r="G274" s="28">
        <v>5694.020000000286</v>
      </c>
      <c r="H274" s="15">
        <v>172</v>
      </c>
      <c r="I274" s="13">
        <v>51</v>
      </c>
      <c r="J274" s="16">
        <v>1263</v>
      </c>
      <c r="K274" s="16">
        <v>2163</v>
      </c>
      <c r="L274" s="30">
        <v>3894</v>
      </c>
      <c r="M274" s="29">
        <v>2915</v>
      </c>
      <c r="N274" s="28">
        <v>1704</v>
      </c>
    </row>
    <row r="275" spans="1:15" outlineLevel="1" x14ac:dyDescent="0.2">
      <c r="A275" s="20">
        <f t="shared" si="208"/>
        <v>3615</v>
      </c>
      <c r="B275" s="19" t="str">
        <f t="shared" si="208"/>
        <v>TXST</v>
      </c>
      <c r="C275" s="18"/>
      <c r="D275" s="15">
        <v>5435</v>
      </c>
      <c r="E275" s="21">
        <v>0.61399999999999999</v>
      </c>
      <c r="F275" s="14">
        <v>24028</v>
      </c>
      <c r="G275" s="28">
        <v>10677.06999999951</v>
      </c>
      <c r="H275" s="15">
        <v>582</v>
      </c>
      <c r="I275" s="13">
        <v>67</v>
      </c>
      <c r="J275" s="16">
        <v>2016</v>
      </c>
      <c r="K275" s="16">
        <v>3816</v>
      </c>
      <c r="L275" s="30">
        <v>7425</v>
      </c>
      <c r="M275" s="29">
        <v>5561</v>
      </c>
      <c r="N275" s="28">
        <v>3333</v>
      </c>
    </row>
    <row r="276" spans="1:15" outlineLevel="1" x14ac:dyDescent="0.2">
      <c r="A276" s="20">
        <f t="shared" si="208"/>
        <v>3625</v>
      </c>
      <c r="B276" s="19" t="str">
        <f t="shared" si="208"/>
        <v>SRSU</v>
      </c>
      <c r="C276" s="18"/>
      <c r="D276" s="15">
        <v>191</v>
      </c>
      <c r="E276" s="21">
        <v>0.32600000000000001</v>
      </c>
      <c r="F276" s="14">
        <v>1229</v>
      </c>
      <c r="G276" s="28">
        <v>409.0499999999999</v>
      </c>
      <c r="H276" s="15">
        <v>10</v>
      </c>
      <c r="I276" s="13">
        <v>5</v>
      </c>
      <c r="J276" s="16">
        <v>43</v>
      </c>
      <c r="K276" s="16">
        <v>167</v>
      </c>
      <c r="L276" s="30">
        <v>284</v>
      </c>
      <c r="M276" s="29">
        <v>188</v>
      </c>
      <c r="N276" s="28">
        <v>144</v>
      </c>
      <c r="O276" s="41"/>
    </row>
    <row r="277" spans="1:15" outlineLevel="1" x14ac:dyDescent="0.2">
      <c r="A277" s="20">
        <f t="shared" si="208"/>
        <v>20</v>
      </c>
      <c r="B277" s="19" t="str">
        <f t="shared" si="208"/>
        <v>SRRG</v>
      </c>
      <c r="C277" s="18"/>
      <c r="D277" s="15">
        <v>154</v>
      </c>
      <c r="E277" s="17">
        <v>0.25423728813559321</v>
      </c>
      <c r="F277" s="14">
        <v>436.8</v>
      </c>
      <c r="G277" s="28">
        <v>268.06000000000023</v>
      </c>
      <c r="H277" s="15">
        <v>6</v>
      </c>
      <c r="I277" s="13">
        <v>1</v>
      </c>
      <c r="J277" s="16">
        <v>104</v>
      </c>
      <c r="K277" s="16">
        <v>138</v>
      </c>
      <c r="L277" s="30">
        <v>215</v>
      </c>
      <c r="M277" s="29">
        <v>91</v>
      </c>
      <c r="N277" s="28">
        <v>6</v>
      </c>
    </row>
    <row r="278" spans="1:15" ht="13.5" outlineLevel="1" thickBot="1" x14ac:dyDescent="0.25">
      <c r="A278" s="12"/>
      <c r="B278" s="11" t="s">
        <v>11</v>
      </c>
      <c r="C278" s="10"/>
      <c r="D278" s="9">
        <f>SUM(D240:D277)</f>
        <v>87062</v>
      </c>
      <c r="E278" s="8">
        <v>0.58700000000000008</v>
      </c>
      <c r="F278" s="7">
        <f t="shared" ref="F278:N278" si="209">SUM(F240:F277)</f>
        <v>359610.06666666665</v>
      </c>
      <c r="G278" s="3">
        <f t="shared" si="209"/>
        <v>180161.28999999876</v>
      </c>
      <c r="H278" s="5">
        <f t="shared" si="209"/>
        <v>15629</v>
      </c>
      <c r="I278" s="3">
        <f t="shared" si="209"/>
        <v>1267</v>
      </c>
      <c r="J278" s="6">
        <f t="shared" ref="J278" si="210">SUM(J240:J277)</f>
        <v>30414</v>
      </c>
      <c r="K278" s="6">
        <f t="shared" si="209"/>
        <v>56968</v>
      </c>
      <c r="L278" s="5">
        <f t="shared" si="209"/>
        <v>113504</v>
      </c>
      <c r="M278" s="4">
        <f t="shared" si="209"/>
        <v>81268</v>
      </c>
      <c r="N278" s="3">
        <f t="shared" si="209"/>
        <v>50077</v>
      </c>
    </row>
    <row r="279" spans="1:15" ht="13.5" thickBot="1" x14ac:dyDescent="0.25">
      <c r="A279" s="42" t="s">
        <v>26</v>
      </c>
      <c r="B279" s="42"/>
      <c r="C279" s="42"/>
      <c r="D279" s="42"/>
      <c r="F279" s="42"/>
      <c r="J279" s="42"/>
      <c r="K279" s="42"/>
    </row>
    <row r="280" spans="1:15" ht="12.75" customHeight="1" outlineLevel="1" x14ac:dyDescent="0.2">
      <c r="A280" s="234" t="s">
        <v>24</v>
      </c>
      <c r="B280" s="236" t="s">
        <v>23</v>
      </c>
      <c r="C280" s="238"/>
      <c r="D280" s="240" t="s">
        <v>28</v>
      </c>
      <c r="E280" s="242" t="s">
        <v>21</v>
      </c>
      <c r="F280" s="236" t="s">
        <v>20</v>
      </c>
      <c r="G280" s="221" t="s">
        <v>19</v>
      </c>
      <c r="H280" s="223" t="s">
        <v>18</v>
      </c>
      <c r="I280" s="225" t="s">
        <v>17</v>
      </c>
      <c r="J280" s="227" t="str">
        <f>$J$3</f>
        <v>Under Graduate Transfer Degrees</v>
      </c>
      <c r="K280" s="227" t="s">
        <v>16</v>
      </c>
      <c r="L280" s="229" t="s">
        <v>15</v>
      </c>
      <c r="M280" s="230"/>
      <c r="N280" s="231"/>
    </row>
    <row r="281" spans="1:15" s="41" customFormat="1" ht="40.5" customHeight="1" outlineLevel="1" thickBot="1" x14ac:dyDescent="0.25">
      <c r="A281" s="235"/>
      <c r="B281" s="237"/>
      <c r="C281" s="239"/>
      <c r="D281" s="241"/>
      <c r="E281" s="243"/>
      <c r="F281" s="237"/>
      <c r="G281" s="222"/>
      <c r="H281" s="224"/>
      <c r="I281" s="226"/>
      <c r="J281" s="228"/>
      <c r="K281" s="228"/>
      <c r="L281" s="188" t="s">
        <v>14</v>
      </c>
      <c r="M281" s="189" t="s">
        <v>13</v>
      </c>
      <c r="N281" s="190" t="s">
        <v>12</v>
      </c>
      <c r="O281" s="1"/>
    </row>
    <row r="282" spans="1:15" outlineLevel="1" x14ac:dyDescent="0.2">
      <c r="A282" s="40">
        <f t="shared" ref="A282:B297" si="211">A240</f>
        <v>3656</v>
      </c>
      <c r="B282" s="39" t="str">
        <f t="shared" si="211"/>
        <v>UTA</v>
      </c>
      <c r="C282" s="38"/>
      <c r="D282" s="33">
        <v>5103</v>
      </c>
      <c r="E282" s="37">
        <v>0.49299999999999999</v>
      </c>
      <c r="F282" s="32">
        <v>17372</v>
      </c>
      <c r="G282" s="31">
        <v>10527.860000000002</v>
      </c>
      <c r="H282" s="36">
        <v>1620</v>
      </c>
      <c r="I282" s="35">
        <v>26</v>
      </c>
      <c r="J282" s="34">
        <v>2286</v>
      </c>
      <c r="K282" s="34">
        <v>3158</v>
      </c>
      <c r="L282" s="33">
        <v>6986</v>
      </c>
      <c r="M282" s="32">
        <v>3903</v>
      </c>
      <c r="N282" s="31">
        <v>1733</v>
      </c>
    </row>
    <row r="283" spans="1:15" outlineLevel="1" x14ac:dyDescent="0.2">
      <c r="A283" s="20">
        <f t="shared" si="211"/>
        <v>3658</v>
      </c>
      <c r="B283" s="19" t="str">
        <f t="shared" si="211"/>
        <v>UT</v>
      </c>
      <c r="C283" s="18"/>
      <c r="D283" s="15">
        <v>9027</v>
      </c>
      <c r="E283" s="21">
        <v>0.83299999999999996</v>
      </c>
      <c r="F283" s="14">
        <v>33709.866666666669</v>
      </c>
      <c r="G283" s="13">
        <v>19422.050000001858</v>
      </c>
      <c r="H283" s="15">
        <v>1894</v>
      </c>
      <c r="I283" s="13">
        <v>60</v>
      </c>
      <c r="J283" s="16">
        <v>1291</v>
      </c>
      <c r="K283" s="16">
        <v>3475</v>
      </c>
      <c r="L283" s="15">
        <v>9939</v>
      </c>
      <c r="M283" s="14">
        <v>8895</v>
      </c>
      <c r="N283" s="13">
        <v>7485</v>
      </c>
    </row>
    <row r="284" spans="1:15" outlineLevel="1" x14ac:dyDescent="0.2">
      <c r="A284" s="20">
        <f t="shared" si="211"/>
        <v>9741</v>
      </c>
      <c r="B284" s="19" t="str">
        <f t="shared" si="211"/>
        <v>UTD</v>
      </c>
      <c r="C284" s="18"/>
      <c r="D284" s="15">
        <v>2314</v>
      </c>
      <c r="E284" s="21">
        <v>0.68299999999999994</v>
      </c>
      <c r="F284" s="14">
        <v>8822.2000000000007</v>
      </c>
      <c r="G284" s="13">
        <v>4904.1700000000228</v>
      </c>
      <c r="H284" s="15">
        <v>424</v>
      </c>
      <c r="I284" s="13">
        <v>27</v>
      </c>
      <c r="J284" s="16">
        <v>1078</v>
      </c>
      <c r="K284" s="16">
        <v>1294</v>
      </c>
      <c r="L284" s="15">
        <v>3345</v>
      </c>
      <c r="M284" s="14">
        <v>2105</v>
      </c>
      <c r="N284" s="13">
        <v>1076</v>
      </c>
    </row>
    <row r="285" spans="1:15" outlineLevel="1" x14ac:dyDescent="0.2">
      <c r="A285" s="20">
        <f t="shared" si="211"/>
        <v>3661</v>
      </c>
      <c r="B285" s="19" t="str">
        <f t="shared" si="211"/>
        <v>UTEP</v>
      </c>
      <c r="C285" s="18"/>
      <c r="D285" s="15">
        <v>3008</v>
      </c>
      <c r="E285" s="21">
        <v>0.38400000000000001</v>
      </c>
      <c r="F285" s="14">
        <v>13376</v>
      </c>
      <c r="G285" s="13">
        <v>6142.7200000000885</v>
      </c>
      <c r="H285" s="15">
        <v>613</v>
      </c>
      <c r="I285" s="13">
        <v>91</v>
      </c>
      <c r="J285" s="16">
        <v>1098</v>
      </c>
      <c r="K285" s="16">
        <v>2409</v>
      </c>
      <c r="L285" s="15">
        <v>4488</v>
      </c>
      <c r="M285" s="14">
        <v>3404</v>
      </c>
      <c r="N285" s="13">
        <v>1910</v>
      </c>
    </row>
    <row r="286" spans="1:15" outlineLevel="1" x14ac:dyDescent="0.2">
      <c r="A286" s="20">
        <f t="shared" si="211"/>
        <v>3599</v>
      </c>
      <c r="B286" s="19" t="str">
        <f t="shared" si="211"/>
        <v>UTPA</v>
      </c>
      <c r="C286" s="18"/>
      <c r="D286" s="15">
        <v>2658</v>
      </c>
      <c r="E286" s="21">
        <v>0.46399999999999997</v>
      </c>
      <c r="F286" s="14">
        <v>12499.266666666666</v>
      </c>
      <c r="G286" s="13">
        <v>5231.3300000001427</v>
      </c>
      <c r="H286" s="15">
        <v>534</v>
      </c>
      <c r="I286" s="13">
        <v>34</v>
      </c>
      <c r="J286" s="16">
        <v>885</v>
      </c>
      <c r="K286" s="16">
        <v>2427</v>
      </c>
      <c r="L286" s="15">
        <v>4142</v>
      </c>
      <c r="M286" s="14">
        <v>3290</v>
      </c>
      <c r="N286" s="13">
        <v>1998</v>
      </c>
    </row>
    <row r="287" spans="1:15" outlineLevel="1" x14ac:dyDescent="0.2">
      <c r="A287" s="20">
        <f t="shared" si="211"/>
        <v>30646</v>
      </c>
      <c r="B287" s="19" t="str">
        <f t="shared" si="211"/>
        <v>UTB</v>
      </c>
      <c r="C287" s="18"/>
      <c r="D287" s="15">
        <v>1075</v>
      </c>
      <c r="E287" s="17">
        <v>0.55124653739612184</v>
      </c>
      <c r="F287" s="14">
        <v>3116.2</v>
      </c>
      <c r="G287" s="13">
        <v>2052.0600000000218</v>
      </c>
      <c r="H287" s="15">
        <v>132</v>
      </c>
      <c r="I287" s="13">
        <v>15</v>
      </c>
      <c r="J287" s="16">
        <v>904</v>
      </c>
      <c r="K287" s="16">
        <v>916</v>
      </c>
      <c r="L287" s="15">
        <v>1359</v>
      </c>
      <c r="M287" s="14">
        <v>600</v>
      </c>
      <c r="N287" s="13">
        <v>131</v>
      </c>
    </row>
    <row r="288" spans="1:15" outlineLevel="1" x14ac:dyDescent="0.2">
      <c r="A288" s="20">
        <f t="shared" si="211"/>
        <v>9930</v>
      </c>
      <c r="B288" s="19" t="str">
        <f t="shared" si="211"/>
        <v>UTPB</v>
      </c>
      <c r="C288" s="18"/>
      <c r="D288" s="15">
        <v>541</v>
      </c>
      <c r="E288" s="21">
        <v>0.40700000000000003</v>
      </c>
      <c r="F288" s="14">
        <v>2416</v>
      </c>
      <c r="G288" s="13">
        <v>1005.1500000000051</v>
      </c>
      <c r="H288" s="15">
        <v>40</v>
      </c>
      <c r="I288" s="13">
        <v>10</v>
      </c>
      <c r="J288" s="16">
        <v>247</v>
      </c>
      <c r="K288" s="16">
        <v>407</v>
      </c>
      <c r="L288" s="15">
        <v>908</v>
      </c>
      <c r="M288" s="14">
        <v>490</v>
      </c>
      <c r="N288" s="13">
        <v>191</v>
      </c>
    </row>
    <row r="289" spans="1:14" outlineLevel="1" x14ac:dyDescent="0.2">
      <c r="A289" s="20">
        <f t="shared" si="211"/>
        <v>10115</v>
      </c>
      <c r="B289" s="19" t="str">
        <f t="shared" si="211"/>
        <v>UTSA</v>
      </c>
      <c r="C289" s="18"/>
      <c r="D289" s="15">
        <v>4148</v>
      </c>
      <c r="E289" s="21">
        <v>0.39400000000000002</v>
      </c>
      <c r="F289" s="14">
        <v>20284.733333333334</v>
      </c>
      <c r="G289" s="13">
        <v>8398.8499999997166</v>
      </c>
      <c r="H289" s="15">
        <v>394</v>
      </c>
      <c r="I289" s="13">
        <v>47</v>
      </c>
      <c r="J289" s="16">
        <v>1398</v>
      </c>
      <c r="K289" s="16">
        <v>3211</v>
      </c>
      <c r="L289" s="15">
        <v>6802</v>
      </c>
      <c r="M289" s="14">
        <v>4390</v>
      </c>
      <c r="N289" s="13">
        <v>2699</v>
      </c>
    </row>
    <row r="290" spans="1:14" outlineLevel="1" x14ac:dyDescent="0.2">
      <c r="A290" s="20">
        <f t="shared" si="211"/>
        <v>11163</v>
      </c>
      <c r="B290" s="19" t="str">
        <f t="shared" si="211"/>
        <v>UTT</v>
      </c>
      <c r="C290" s="18"/>
      <c r="D290" s="15">
        <v>1188</v>
      </c>
      <c r="E290" s="21">
        <v>0.53300000000000003</v>
      </c>
      <c r="F290" s="14">
        <v>4030.7333333333331</v>
      </c>
      <c r="G290" s="13">
        <v>2364.9800000000037</v>
      </c>
      <c r="H290" s="15">
        <v>366</v>
      </c>
      <c r="I290" s="13">
        <v>9</v>
      </c>
      <c r="J290" s="16">
        <v>634</v>
      </c>
      <c r="K290" s="16">
        <v>939</v>
      </c>
      <c r="L290" s="15">
        <v>1496</v>
      </c>
      <c r="M290" s="14">
        <v>905</v>
      </c>
      <c r="N290" s="13">
        <v>401</v>
      </c>
    </row>
    <row r="291" spans="1:14" outlineLevel="1" x14ac:dyDescent="0.2">
      <c r="A291" s="20">
        <f t="shared" si="211"/>
        <v>3632</v>
      </c>
      <c r="B291" s="19" t="str">
        <f t="shared" si="211"/>
        <v>TAMU</v>
      </c>
      <c r="C291" s="18"/>
      <c r="D291" s="15">
        <v>8748</v>
      </c>
      <c r="E291" s="21">
        <v>0.84399999999999997</v>
      </c>
      <c r="F291" s="14">
        <v>34425.133333333331</v>
      </c>
      <c r="G291" s="13">
        <v>20060.050000001262</v>
      </c>
      <c r="H291" s="15">
        <v>1775</v>
      </c>
      <c r="I291" s="13">
        <v>133</v>
      </c>
      <c r="J291" s="16">
        <v>2353</v>
      </c>
      <c r="K291" s="16">
        <v>3727</v>
      </c>
      <c r="L291" s="15">
        <v>9623</v>
      </c>
      <c r="M291" s="14">
        <v>8962</v>
      </c>
      <c r="N291" s="13">
        <v>6823</v>
      </c>
    </row>
    <row r="292" spans="1:14" outlineLevel="1" x14ac:dyDescent="0.2">
      <c r="A292" s="20">
        <f t="shared" si="211"/>
        <v>10298</v>
      </c>
      <c r="B292" s="19" t="str">
        <f t="shared" si="211"/>
        <v>TAMUG</v>
      </c>
      <c r="C292" s="18"/>
      <c r="D292" s="15">
        <v>250</v>
      </c>
      <c r="E292" s="21">
        <v>0.66400000000000003</v>
      </c>
      <c r="F292" s="14">
        <v>1668.1333333333334</v>
      </c>
      <c r="G292" s="13">
        <v>648.89999999999895</v>
      </c>
      <c r="H292" s="15">
        <v>35</v>
      </c>
      <c r="I292" s="13">
        <v>0</v>
      </c>
      <c r="J292" s="16">
        <v>58</v>
      </c>
      <c r="K292" s="16">
        <v>151</v>
      </c>
      <c r="L292" s="15">
        <v>600</v>
      </c>
      <c r="M292" s="14">
        <v>336</v>
      </c>
      <c r="N292" s="13">
        <v>234</v>
      </c>
    </row>
    <row r="293" spans="1:14" outlineLevel="1" x14ac:dyDescent="0.2">
      <c r="A293" s="20">
        <f t="shared" si="211"/>
        <v>3630</v>
      </c>
      <c r="B293" s="19" t="str">
        <f t="shared" si="211"/>
        <v>Prairie View</v>
      </c>
      <c r="C293" s="18"/>
      <c r="D293" s="15">
        <v>904</v>
      </c>
      <c r="E293" s="21">
        <v>0.37</v>
      </c>
      <c r="F293" s="46">
        <v>6088.2666666666664</v>
      </c>
      <c r="G293" s="13">
        <v>1934.240000000003</v>
      </c>
      <c r="H293" s="15">
        <v>279</v>
      </c>
      <c r="I293" s="13">
        <v>10</v>
      </c>
      <c r="J293" s="16">
        <v>161</v>
      </c>
      <c r="K293" s="16">
        <v>775</v>
      </c>
      <c r="L293" s="15">
        <v>1660</v>
      </c>
      <c r="M293" s="14">
        <v>1237</v>
      </c>
      <c r="N293" s="13">
        <v>905</v>
      </c>
    </row>
    <row r="294" spans="1:14" outlineLevel="1" x14ac:dyDescent="0.2">
      <c r="A294" s="20">
        <f t="shared" si="211"/>
        <v>3631</v>
      </c>
      <c r="B294" s="19" t="str">
        <f t="shared" si="211"/>
        <v>Tarleton</v>
      </c>
      <c r="C294" s="18"/>
      <c r="D294" s="15">
        <v>1552</v>
      </c>
      <c r="E294" s="21">
        <v>0.48299999999999998</v>
      </c>
      <c r="F294" s="46">
        <v>6264.4666666666662</v>
      </c>
      <c r="G294" s="13">
        <v>3063.9600000000341</v>
      </c>
      <c r="H294" s="15">
        <v>197</v>
      </c>
      <c r="I294" s="45">
        <v>56</v>
      </c>
      <c r="J294" s="16">
        <v>580</v>
      </c>
      <c r="K294" s="16">
        <v>1196</v>
      </c>
      <c r="L294" s="47">
        <v>2096</v>
      </c>
      <c r="M294" s="46">
        <v>1464</v>
      </c>
      <c r="N294" s="45">
        <v>840</v>
      </c>
    </row>
    <row r="295" spans="1:14" outlineLevel="1" x14ac:dyDescent="0.2">
      <c r="A295" s="27">
        <f t="shared" si="211"/>
        <v>103631</v>
      </c>
      <c r="B295" s="19" t="str">
        <f t="shared" si="211"/>
        <v>TAMUCT</v>
      </c>
      <c r="C295" s="18"/>
      <c r="D295" s="15">
        <v>462</v>
      </c>
      <c r="E295" s="21">
        <v>0.48299999999999998</v>
      </c>
      <c r="F295" s="46">
        <v>700.66666666666663</v>
      </c>
      <c r="G295" s="13">
        <v>846.68000000000006</v>
      </c>
      <c r="H295" s="15">
        <v>36</v>
      </c>
      <c r="I295" s="45">
        <v>0</v>
      </c>
      <c r="J295" s="16">
        <v>340</v>
      </c>
      <c r="K295" s="16">
        <v>330</v>
      </c>
      <c r="L295" s="47">
        <v>555</v>
      </c>
      <c r="M295" s="46">
        <v>143</v>
      </c>
      <c r="N295" s="45">
        <v>66</v>
      </c>
    </row>
    <row r="296" spans="1:14" outlineLevel="1" x14ac:dyDescent="0.2">
      <c r="A296" s="20">
        <f t="shared" si="211"/>
        <v>11161</v>
      </c>
      <c r="B296" s="19" t="str">
        <f t="shared" si="211"/>
        <v>TAMUCC</v>
      </c>
      <c r="C296" s="18"/>
      <c r="D296" s="15">
        <v>1315</v>
      </c>
      <c r="E296" s="21">
        <v>0.51100000000000001</v>
      </c>
      <c r="F296" s="46">
        <v>6609.8666666666668</v>
      </c>
      <c r="G296" s="13">
        <v>2639.1300000000101</v>
      </c>
      <c r="H296" s="15">
        <v>252</v>
      </c>
      <c r="I296" s="45">
        <v>25</v>
      </c>
      <c r="J296" s="16">
        <v>459</v>
      </c>
      <c r="K296" s="16">
        <v>1034</v>
      </c>
      <c r="L296" s="15">
        <v>2126</v>
      </c>
      <c r="M296" s="14">
        <v>1577</v>
      </c>
      <c r="N296" s="13">
        <v>864</v>
      </c>
    </row>
    <row r="297" spans="1:14" outlineLevel="1" x14ac:dyDescent="0.2">
      <c r="A297" s="20">
        <f t="shared" si="211"/>
        <v>3639</v>
      </c>
      <c r="B297" s="19" t="str">
        <f t="shared" si="211"/>
        <v>TAMUK</v>
      </c>
      <c r="C297" s="18"/>
      <c r="D297" s="15">
        <v>738</v>
      </c>
      <c r="E297" s="21">
        <v>0.39799999999999996</v>
      </c>
      <c r="F297" s="46">
        <v>4394.2</v>
      </c>
      <c r="G297" s="13">
        <v>1735.8600000000065</v>
      </c>
      <c r="H297" s="15">
        <v>246</v>
      </c>
      <c r="I297" s="45">
        <v>16</v>
      </c>
      <c r="J297" s="16">
        <v>190</v>
      </c>
      <c r="K297" s="16">
        <v>613</v>
      </c>
      <c r="L297" s="47">
        <v>1180</v>
      </c>
      <c r="M297" s="46">
        <v>879</v>
      </c>
      <c r="N297" s="45">
        <v>555</v>
      </c>
    </row>
    <row r="298" spans="1:14" outlineLevel="1" x14ac:dyDescent="0.2">
      <c r="A298" s="27">
        <f t="shared" ref="A298:B313" si="212">A256</f>
        <v>103639</v>
      </c>
      <c r="B298" s="19" t="str">
        <f t="shared" si="212"/>
        <v>TAMUSA</v>
      </c>
      <c r="C298" s="18"/>
      <c r="D298" s="15">
        <v>620</v>
      </c>
      <c r="E298" s="21">
        <v>0.39799999999999996</v>
      </c>
      <c r="F298" s="46">
        <v>1492.4</v>
      </c>
      <c r="G298" s="13">
        <v>1078.0000000000073</v>
      </c>
      <c r="H298" s="15">
        <v>1</v>
      </c>
      <c r="I298" s="45">
        <v>0</v>
      </c>
      <c r="J298" s="16">
        <v>513</v>
      </c>
      <c r="K298" s="16">
        <v>520</v>
      </c>
      <c r="L298" s="47">
        <v>995</v>
      </c>
      <c r="M298" s="46">
        <v>37</v>
      </c>
      <c r="N298" s="45">
        <v>2</v>
      </c>
    </row>
    <row r="299" spans="1:14" outlineLevel="1" x14ac:dyDescent="0.2">
      <c r="A299" s="20">
        <f t="shared" si="212"/>
        <v>9651</v>
      </c>
      <c r="B299" s="19" t="str">
        <f t="shared" si="212"/>
        <v>TAMI</v>
      </c>
      <c r="C299" s="18"/>
      <c r="D299" s="15">
        <v>766</v>
      </c>
      <c r="E299" s="21">
        <v>0.503</v>
      </c>
      <c r="F299" s="14">
        <v>4126.8</v>
      </c>
      <c r="G299" s="13">
        <v>1400.4200000000046</v>
      </c>
      <c r="H299" s="15">
        <v>120</v>
      </c>
      <c r="I299" s="13">
        <v>18</v>
      </c>
      <c r="J299" s="16">
        <v>376</v>
      </c>
      <c r="K299" s="16">
        <v>688</v>
      </c>
      <c r="L299" s="15">
        <v>1515</v>
      </c>
      <c r="M299" s="14">
        <v>1027</v>
      </c>
      <c r="N299" s="13">
        <v>486</v>
      </c>
    </row>
    <row r="300" spans="1:14" outlineLevel="1" x14ac:dyDescent="0.2">
      <c r="A300" s="20">
        <f t="shared" si="212"/>
        <v>3665</v>
      </c>
      <c r="B300" s="19" t="str">
        <f t="shared" si="212"/>
        <v>WTAMU</v>
      </c>
      <c r="C300" s="18"/>
      <c r="D300" s="15">
        <v>1294</v>
      </c>
      <c r="E300" s="21">
        <v>0.47399999999999998</v>
      </c>
      <c r="F300" s="14">
        <v>5457.666666666667</v>
      </c>
      <c r="G300" s="13">
        <v>2570.7800000000157</v>
      </c>
      <c r="H300" s="15">
        <v>184</v>
      </c>
      <c r="I300" s="13">
        <v>58</v>
      </c>
      <c r="J300" s="16">
        <v>437</v>
      </c>
      <c r="K300" s="16">
        <v>913</v>
      </c>
      <c r="L300" s="15">
        <v>1871</v>
      </c>
      <c r="M300" s="14">
        <v>1264</v>
      </c>
      <c r="N300" s="13">
        <v>664</v>
      </c>
    </row>
    <row r="301" spans="1:14" outlineLevel="1" x14ac:dyDescent="0.2">
      <c r="A301" s="20">
        <f t="shared" si="212"/>
        <v>3565</v>
      </c>
      <c r="B301" s="19" t="str">
        <f t="shared" si="212"/>
        <v>TAMUC</v>
      </c>
      <c r="C301" s="18"/>
      <c r="D301" s="15">
        <v>1313</v>
      </c>
      <c r="E301" s="21">
        <v>0.42600000000000005</v>
      </c>
      <c r="F301" s="14">
        <v>4783.5333333333338</v>
      </c>
      <c r="G301" s="13">
        <v>2463.6900000000296</v>
      </c>
      <c r="H301" s="15">
        <v>71</v>
      </c>
      <c r="I301" s="13">
        <v>77</v>
      </c>
      <c r="J301" s="16">
        <v>748</v>
      </c>
      <c r="K301" s="16">
        <v>1002</v>
      </c>
      <c r="L301" s="15">
        <v>1911</v>
      </c>
      <c r="M301" s="14">
        <v>1200</v>
      </c>
      <c r="N301" s="13">
        <v>477</v>
      </c>
    </row>
    <row r="302" spans="1:14" outlineLevel="1" x14ac:dyDescent="0.2">
      <c r="A302" s="20">
        <f t="shared" si="212"/>
        <v>29269</v>
      </c>
      <c r="B302" s="19" t="str">
        <f t="shared" si="212"/>
        <v>TAMUT</v>
      </c>
      <c r="C302" s="18"/>
      <c r="D302" s="15">
        <v>335</v>
      </c>
      <c r="E302" s="17">
        <v>0.56028368794326244</v>
      </c>
      <c r="F302" s="14">
        <v>879.13333333333333</v>
      </c>
      <c r="G302" s="13">
        <v>609.83000000000015</v>
      </c>
      <c r="H302" s="15">
        <v>48</v>
      </c>
      <c r="I302" s="13">
        <v>18</v>
      </c>
      <c r="J302" s="16">
        <v>220</v>
      </c>
      <c r="K302" s="16">
        <v>230</v>
      </c>
      <c r="L302" s="15">
        <v>411</v>
      </c>
      <c r="M302" s="14">
        <v>186</v>
      </c>
      <c r="N302" s="13">
        <v>1</v>
      </c>
    </row>
    <row r="303" spans="1:14" outlineLevel="1" x14ac:dyDescent="0.2">
      <c r="A303" s="20">
        <f t="shared" si="212"/>
        <v>3652</v>
      </c>
      <c r="B303" s="19" t="str">
        <f t="shared" si="212"/>
        <v>UH</v>
      </c>
      <c r="C303" s="18"/>
      <c r="D303" s="15">
        <v>5092</v>
      </c>
      <c r="E303" s="21">
        <v>0.54200000000000004</v>
      </c>
      <c r="F303" s="14">
        <v>23853.933333333334</v>
      </c>
      <c r="G303" s="13">
        <v>10569.339999999527</v>
      </c>
      <c r="H303" s="15">
        <v>720</v>
      </c>
      <c r="I303" s="13">
        <v>74</v>
      </c>
      <c r="J303" s="16">
        <v>1691</v>
      </c>
      <c r="K303" s="16">
        <v>3340</v>
      </c>
      <c r="L303" s="15">
        <v>7467</v>
      </c>
      <c r="M303" s="14">
        <v>5804</v>
      </c>
      <c r="N303" s="13">
        <v>3314</v>
      </c>
    </row>
    <row r="304" spans="1:14" outlineLevel="1" x14ac:dyDescent="0.2">
      <c r="A304" s="20">
        <f t="shared" si="212"/>
        <v>11711</v>
      </c>
      <c r="B304" s="19" t="str">
        <f t="shared" si="212"/>
        <v>UHCL</v>
      </c>
      <c r="C304" s="18"/>
      <c r="D304" s="15">
        <v>1197</v>
      </c>
      <c r="E304" s="17">
        <v>0.53820033955857383</v>
      </c>
      <c r="F304" s="14">
        <v>3046.8</v>
      </c>
      <c r="G304" s="13">
        <v>2293.9500000000248</v>
      </c>
      <c r="H304" s="15">
        <v>113</v>
      </c>
      <c r="I304" s="13">
        <v>8</v>
      </c>
      <c r="J304" s="16">
        <v>822</v>
      </c>
      <c r="K304" s="16">
        <v>777</v>
      </c>
      <c r="L304" s="15">
        <v>1434</v>
      </c>
      <c r="M304" s="14">
        <v>959</v>
      </c>
      <c r="N304" s="13">
        <v>53</v>
      </c>
    </row>
    <row r="305" spans="1:15" outlineLevel="1" x14ac:dyDescent="0.2">
      <c r="A305" s="20">
        <f t="shared" si="212"/>
        <v>12826</v>
      </c>
      <c r="B305" s="19" t="str">
        <f t="shared" si="212"/>
        <v>UHD</v>
      </c>
      <c r="C305" s="18"/>
      <c r="D305" s="15">
        <v>2437</v>
      </c>
      <c r="E305" s="21">
        <v>0.215</v>
      </c>
      <c r="F305" s="14">
        <v>7949.2666666666664</v>
      </c>
      <c r="G305" s="13">
        <v>4368.2100000000464</v>
      </c>
      <c r="H305" s="15">
        <v>143</v>
      </c>
      <c r="I305" s="13">
        <v>0</v>
      </c>
      <c r="J305" s="16">
        <v>1114</v>
      </c>
      <c r="K305" s="16">
        <v>1730</v>
      </c>
      <c r="L305" s="15">
        <v>3223</v>
      </c>
      <c r="M305" s="14">
        <v>1896</v>
      </c>
      <c r="N305" s="13">
        <v>618</v>
      </c>
    </row>
    <row r="306" spans="1:15" outlineLevel="1" x14ac:dyDescent="0.2">
      <c r="A306" s="20">
        <f t="shared" si="212"/>
        <v>13231</v>
      </c>
      <c r="B306" s="19" t="str">
        <f t="shared" si="212"/>
        <v>UHV</v>
      </c>
      <c r="C306" s="18"/>
      <c r="D306" s="15">
        <v>596</v>
      </c>
      <c r="E306" s="17">
        <v>0.5339366515837104</v>
      </c>
      <c r="F306" s="14">
        <v>1494.2</v>
      </c>
      <c r="G306" s="13">
        <v>1103.6999999999998</v>
      </c>
      <c r="H306" s="15">
        <v>118</v>
      </c>
      <c r="I306" s="13">
        <v>11</v>
      </c>
      <c r="J306" s="16">
        <v>433</v>
      </c>
      <c r="K306" s="16">
        <v>397</v>
      </c>
      <c r="L306" s="15">
        <v>718</v>
      </c>
      <c r="M306" s="14">
        <v>286</v>
      </c>
      <c r="N306" s="13">
        <v>6</v>
      </c>
    </row>
    <row r="307" spans="1:15" outlineLevel="1" x14ac:dyDescent="0.2">
      <c r="A307" s="20">
        <f t="shared" si="212"/>
        <v>3592</v>
      </c>
      <c r="B307" s="19" t="str">
        <f t="shared" si="212"/>
        <v>Midwestern</v>
      </c>
      <c r="C307" s="18"/>
      <c r="D307" s="15">
        <v>1027</v>
      </c>
      <c r="E307" s="21">
        <v>0.443</v>
      </c>
      <c r="F307" s="14">
        <v>4387.7333333333336</v>
      </c>
      <c r="G307" s="13">
        <v>1924.84</v>
      </c>
      <c r="H307" s="15">
        <v>340</v>
      </c>
      <c r="I307" s="13">
        <v>11</v>
      </c>
      <c r="J307" s="16">
        <v>250</v>
      </c>
      <c r="K307" s="16">
        <v>675</v>
      </c>
      <c r="L307" s="15">
        <v>1507</v>
      </c>
      <c r="M307" s="14">
        <v>1079</v>
      </c>
      <c r="N307" s="13">
        <v>734</v>
      </c>
    </row>
    <row r="308" spans="1:15" outlineLevel="1" x14ac:dyDescent="0.2">
      <c r="A308" s="20">
        <f t="shared" si="212"/>
        <v>3594</v>
      </c>
      <c r="B308" s="19" t="str">
        <f t="shared" si="212"/>
        <v>UNT</v>
      </c>
      <c r="C308" s="18"/>
      <c r="D308" s="15">
        <v>6183</v>
      </c>
      <c r="E308" s="21">
        <v>0.58700000000000008</v>
      </c>
      <c r="F308" s="14">
        <v>23168.733333333334</v>
      </c>
      <c r="G308" s="13">
        <v>11731.089999999795</v>
      </c>
      <c r="H308" s="15">
        <v>345</v>
      </c>
      <c r="I308" s="13">
        <v>47</v>
      </c>
      <c r="J308" s="16">
        <v>2356</v>
      </c>
      <c r="K308" s="16">
        <v>3942</v>
      </c>
      <c r="L308" s="15">
        <v>7957</v>
      </c>
      <c r="M308" s="14">
        <v>5891</v>
      </c>
      <c r="N308" s="13">
        <v>3310</v>
      </c>
    </row>
    <row r="309" spans="1:15" outlineLevel="1" x14ac:dyDescent="0.2">
      <c r="A309" s="27">
        <f t="shared" si="212"/>
        <v>113594</v>
      </c>
      <c r="B309" s="19" t="str">
        <f t="shared" si="212"/>
        <v>UNTD</v>
      </c>
      <c r="C309" s="18"/>
      <c r="D309" s="30">
        <v>388</v>
      </c>
      <c r="E309" s="44">
        <v>0.58700000000000008</v>
      </c>
      <c r="F309" s="29">
        <v>908.8</v>
      </c>
      <c r="G309" s="28">
        <v>669.60000000000036</v>
      </c>
      <c r="H309" s="30">
        <v>10</v>
      </c>
      <c r="I309" s="28"/>
      <c r="J309" s="43">
        <v>0</v>
      </c>
      <c r="K309" s="43">
        <v>304</v>
      </c>
      <c r="L309" s="30">
        <v>487</v>
      </c>
      <c r="M309" s="29">
        <v>63</v>
      </c>
      <c r="N309" s="28">
        <v>18</v>
      </c>
    </row>
    <row r="310" spans="1:15" outlineLevel="1" x14ac:dyDescent="0.2">
      <c r="A310" s="20">
        <f t="shared" si="212"/>
        <v>3624</v>
      </c>
      <c r="B310" s="19" t="str">
        <f t="shared" si="212"/>
        <v>SFA</v>
      </c>
      <c r="C310" s="18"/>
      <c r="D310" s="15">
        <v>1880</v>
      </c>
      <c r="E310" s="21">
        <v>0.53900000000000003</v>
      </c>
      <c r="F310" s="14">
        <v>9440.9333333333325</v>
      </c>
      <c r="G310" s="13">
        <v>3606.8600000000297</v>
      </c>
      <c r="H310" s="15">
        <v>241</v>
      </c>
      <c r="I310" s="13">
        <v>49</v>
      </c>
      <c r="J310" s="16">
        <v>545</v>
      </c>
      <c r="K310" s="16">
        <v>1446</v>
      </c>
      <c r="L310" s="15">
        <v>3040</v>
      </c>
      <c r="M310" s="14">
        <v>2166</v>
      </c>
      <c r="N310" s="13">
        <v>1402</v>
      </c>
    </row>
    <row r="311" spans="1:15" outlineLevel="1" x14ac:dyDescent="0.2">
      <c r="A311" s="20">
        <f t="shared" si="212"/>
        <v>3642</v>
      </c>
      <c r="B311" s="19" t="str">
        <f t="shared" si="212"/>
        <v>TSU</v>
      </c>
      <c r="C311" s="18"/>
      <c r="D311" s="15">
        <v>721</v>
      </c>
      <c r="E311" s="21">
        <v>0.14099999999999999</v>
      </c>
      <c r="F311" s="14">
        <v>5912.8</v>
      </c>
      <c r="G311" s="13">
        <v>1385.6100000000063</v>
      </c>
      <c r="H311" s="15">
        <v>122</v>
      </c>
      <c r="I311" s="13">
        <v>2</v>
      </c>
      <c r="J311" s="16">
        <v>109</v>
      </c>
      <c r="K311" s="16">
        <v>635</v>
      </c>
      <c r="L311" s="15">
        <v>1692</v>
      </c>
      <c r="M311" s="14">
        <v>1274</v>
      </c>
      <c r="N311" s="13">
        <v>870</v>
      </c>
    </row>
    <row r="312" spans="1:15" outlineLevel="1" x14ac:dyDescent="0.2">
      <c r="A312" s="20">
        <f t="shared" si="212"/>
        <v>3644</v>
      </c>
      <c r="B312" s="19" t="str">
        <f t="shared" si="212"/>
        <v>TTU</v>
      </c>
      <c r="C312" s="18"/>
      <c r="D312" s="15">
        <v>4605</v>
      </c>
      <c r="E312" s="21">
        <v>0.7320000000000001</v>
      </c>
      <c r="F312" s="14">
        <v>22527.466666666667</v>
      </c>
      <c r="G312" s="13">
        <v>9815.7899999997753</v>
      </c>
      <c r="H312" s="15">
        <v>687</v>
      </c>
      <c r="I312" s="13">
        <v>62</v>
      </c>
      <c r="J312" s="16">
        <v>1087</v>
      </c>
      <c r="K312" s="16">
        <v>2724</v>
      </c>
      <c r="L312" s="15">
        <v>6577</v>
      </c>
      <c r="M312" s="14">
        <v>5355</v>
      </c>
      <c r="N312" s="13">
        <v>3957</v>
      </c>
    </row>
    <row r="313" spans="1:15" outlineLevel="1" x14ac:dyDescent="0.2">
      <c r="A313" s="20">
        <f t="shared" si="212"/>
        <v>3541</v>
      </c>
      <c r="B313" s="19" t="str">
        <f t="shared" si="212"/>
        <v>Angelo</v>
      </c>
      <c r="C313" s="18"/>
      <c r="D313" s="15">
        <v>960</v>
      </c>
      <c r="E313" s="21">
        <v>0.441</v>
      </c>
      <c r="F313" s="14">
        <v>4895.666666666667</v>
      </c>
      <c r="G313" s="13">
        <v>1856.9499999999953</v>
      </c>
      <c r="H313" s="15">
        <v>242</v>
      </c>
      <c r="I313" s="13">
        <v>21</v>
      </c>
      <c r="J313" s="16">
        <v>179</v>
      </c>
      <c r="K313" s="16">
        <v>720</v>
      </c>
      <c r="L313" s="15">
        <v>1444</v>
      </c>
      <c r="M313" s="14">
        <v>1071</v>
      </c>
      <c r="N313" s="13">
        <v>708</v>
      </c>
    </row>
    <row r="314" spans="1:15" outlineLevel="1" x14ac:dyDescent="0.2">
      <c r="A314" s="20">
        <f t="shared" ref="A314:B319" si="213">A272</f>
        <v>3646</v>
      </c>
      <c r="B314" s="19" t="str">
        <f t="shared" si="213"/>
        <v>TWU</v>
      </c>
      <c r="C314" s="18"/>
      <c r="D314" s="15">
        <v>1725</v>
      </c>
      <c r="E314" s="21">
        <v>0.48399999999999999</v>
      </c>
      <c r="F314" s="14">
        <v>6598.2</v>
      </c>
      <c r="G314" s="13">
        <v>3227.0100000000139</v>
      </c>
      <c r="H314" s="15">
        <v>523</v>
      </c>
      <c r="I314" s="13">
        <v>34</v>
      </c>
      <c r="J314" s="16">
        <v>768</v>
      </c>
      <c r="K314" s="16">
        <v>1201</v>
      </c>
      <c r="L314" s="15">
        <v>2121</v>
      </c>
      <c r="M314" s="14">
        <v>1259</v>
      </c>
      <c r="N314" s="13">
        <v>608</v>
      </c>
    </row>
    <row r="315" spans="1:15" outlineLevel="1" x14ac:dyDescent="0.2">
      <c r="A315" s="20">
        <f t="shared" si="213"/>
        <v>3581</v>
      </c>
      <c r="B315" s="19" t="str">
        <f t="shared" si="213"/>
        <v>Lamar</v>
      </c>
      <c r="C315" s="18"/>
      <c r="D315" s="15">
        <v>1340</v>
      </c>
      <c r="E315" s="21">
        <v>0.35399999999999998</v>
      </c>
      <c r="F315" s="14">
        <v>7247.8</v>
      </c>
      <c r="G315" s="13">
        <v>2695.0800000000122</v>
      </c>
      <c r="H315" s="15">
        <v>358</v>
      </c>
      <c r="I315" s="13">
        <v>16</v>
      </c>
      <c r="J315" s="16">
        <v>228</v>
      </c>
      <c r="K315" s="16">
        <v>943</v>
      </c>
      <c r="L315" s="15">
        <v>2317</v>
      </c>
      <c r="M315" s="14">
        <v>1577</v>
      </c>
      <c r="N315" s="13">
        <v>1000</v>
      </c>
    </row>
    <row r="316" spans="1:15" outlineLevel="1" x14ac:dyDescent="0.2">
      <c r="A316" s="20">
        <f t="shared" si="213"/>
        <v>3606</v>
      </c>
      <c r="B316" s="19" t="str">
        <f t="shared" si="213"/>
        <v>SHSU</v>
      </c>
      <c r="C316" s="18"/>
      <c r="D316" s="15">
        <v>3013</v>
      </c>
      <c r="E316" s="21">
        <v>0.60299999999999998</v>
      </c>
      <c r="F316" s="14">
        <v>12631.666666666666</v>
      </c>
      <c r="G316" s="13">
        <v>5628.5800000000427</v>
      </c>
      <c r="H316" s="15">
        <v>166</v>
      </c>
      <c r="I316" s="13">
        <v>63</v>
      </c>
      <c r="J316" s="16">
        <v>1259</v>
      </c>
      <c r="K316" s="16">
        <v>2160</v>
      </c>
      <c r="L316" s="15">
        <v>3940</v>
      </c>
      <c r="M316" s="14">
        <v>2970</v>
      </c>
      <c r="N316" s="13">
        <v>1716</v>
      </c>
    </row>
    <row r="317" spans="1:15" outlineLevel="1" x14ac:dyDescent="0.2">
      <c r="A317" s="20">
        <f t="shared" si="213"/>
        <v>3615</v>
      </c>
      <c r="B317" s="19" t="str">
        <f t="shared" si="213"/>
        <v>TXST</v>
      </c>
      <c r="C317" s="18"/>
      <c r="D317" s="15">
        <v>5349</v>
      </c>
      <c r="E317" s="21">
        <v>0.6409999999999999</v>
      </c>
      <c r="F317" s="14">
        <v>22917.933333333334</v>
      </c>
      <c r="G317" s="13">
        <v>10250.389999999717</v>
      </c>
      <c r="H317" s="15">
        <v>445</v>
      </c>
      <c r="I317" s="13">
        <v>65</v>
      </c>
      <c r="J317" s="16">
        <v>2011</v>
      </c>
      <c r="K317" s="16">
        <v>3665</v>
      </c>
      <c r="L317" s="15">
        <v>7685</v>
      </c>
      <c r="M317" s="14">
        <v>5748</v>
      </c>
      <c r="N317" s="13">
        <v>3317</v>
      </c>
    </row>
    <row r="318" spans="1:15" outlineLevel="1" x14ac:dyDescent="0.2">
      <c r="A318" s="20">
        <f t="shared" si="213"/>
        <v>3625</v>
      </c>
      <c r="B318" s="19" t="str">
        <f t="shared" si="213"/>
        <v>SRSU</v>
      </c>
      <c r="C318" s="18"/>
      <c r="D318" s="15">
        <v>196</v>
      </c>
      <c r="E318" s="21">
        <v>0.29199999999999998</v>
      </c>
      <c r="F318" s="14">
        <v>1200.1333333333334</v>
      </c>
      <c r="G318" s="13">
        <v>405.49999999999949</v>
      </c>
      <c r="H318" s="15">
        <v>18</v>
      </c>
      <c r="I318" s="13">
        <v>4</v>
      </c>
      <c r="J318" s="16">
        <v>49</v>
      </c>
      <c r="K318" s="16">
        <v>166</v>
      </c>
      <c r="L318" s="15">
        <v>298</v>
      </c>
      <c r="M318" s="14">
        <v>217</v>
      </c>
      <c r="N318" s="13">
        <v>136</v>
      </c>
      <c r="O318" s="41"/>
    </row>
    <row r="319" spans="1:15" outlineLevel="1" x14ac:dyDescent="0.2">
      <c r="A319" s="20">
        <f t="shared" si="213"/>
        <v>20</v>
      </c>
      <c r="B319" s="19" t="str">
        <f t="shared" si="213"/>
        <v>SRRG</v>
      </c>
      <c r="C319" s="18"/>
      <c r="D319" s="15">
        <v>163</v>
      </c>
      <c r="E319" s="17">
        <v>0.33750000000000002</v>
      </c>
      <c r="F319" s="14">
        <v>472.13333333333333</v>
      </c>
      <c r="G319" s="13">
        <v>281.52999999999975</v>
      </c>
      <c r="H319" s="15">
        <v>5</v>
      </c>
      <c r="I319" s="13">
        <v>7</v>
      </c>
      <c r="J319" s="16">
        <v>117</v>
      </c>
      <c r="K319" s="16">
        <v>145</v>
      </c>
      <c r="L319" s="15">
        <v>224</v>
      </c>
      <c r="M319" s="14">
        <v>97</v>
      </c>
      <c r="N319" s="13">
        <v>2</v>
      </c>
    </row>
    <row r="320" spans="1:15" ht="13.5" outlineLevel="1" thickBot="1" x14ac:dyDescent="0.25">
      <c r="A320" s="12"/>
      <c r="B320" s="11" t="s">
        <v>11</v>
      </c>
      <c r="C320" s="10"/>
      <c r="D320" s="9">
        <f>SUM(D282:D319)</f>
        <v>84231</v>
      </c>
      <c r="E320" s="8">
        <v>0.58399999999999996</v>
      </c>
      <c r="F320" s="7">
        <f t="shared" ref="F320:N320" si="214">SUM(F282:F319)</f>
        <v>351171.46666666673</v>
      </c>
      <c r="G320" s="3">
        <f t="shared" si="214"/>
        <v>170914.74000000223</v>
      </c>
      <c r="H320" s="5">
        <f t="shared" si="214"/>
        <v>13857</v>
      </c>
      <c r="I320" s="3">
        <f t="shared" si="214"/>
        <v>1204</v>
      </c>
      <c r="J320" s="6">
        <f t="shared" ref="J320" si="215">SUM(J282:J319)</f>
        <v>29274</v>
      </c>
      <c r="K320" s="6">
        <f t="shared" si="214"/>
        <v>54385</v>
      </c>
      <c r="L320" s="5">
        <f t="shared" si="214"/>
        <v>116139</v>
      </c>
      <c r="M320" s="4">
        <f t="shared" si="214"/>
        <v>84006</v>
      </c>
      <c r="N320" s="3">
        <f t="shared" si="214"/>
        <v>51310</v>
      </c>
    </row>
    <row r="321" spans="1:16" ht="13.5" thickBot="1" x14ac:dyDescent="0.25">
      <c r="A321" s="42" t="s">
        <v>25</v>
      </c>
      <c r="B321" s="42"/>
      <c r="C321" s="42"/>
      <c r="D321" s="42"/>
      <c r="F321" s="42"/>
      <c r="J321" s="42"/>
      <c r="K321" s="42"/>
    </row>
    <row r="322" spans="1:16" ht="12.75" customHeight="1" outlineLevel="1" x14ac:dyDescent="0.2">
      <c r="A322" s="234" t="s">
        <v>24</v>
      </c>
      <c r="B322" s="236" t="s">
        <v>23</v>
      </c>
      <c r="C322" s="238"/>
      <c r="D322" s="240" t="s">
        <v>28</v>
      </c>
      <c r="E322" s="242" t="s">
        <v>21</v>
      </c>
      <c r="F322" s="236" t="s">
        <v>20</v>
      </c>
      <c r="G322" s="221" t="s">
        <v>19</v>
      </c>
      <c r="H322" s="223" t="s">
        <v>18</v>
      </c>
      <c r="I322" s="225" t="s">
        <v>17</v>
      </c>
      <c r="J322" s="227" t="str">
        <f>$J$3</f>
        <v>Under Graduate Transfer Degrees</v>
      </c>
      <c r="K322" s="227" t="s">
        <v>16</v>
      </c>
      <c r="L322" s="229" t="s">
        <v>15</v>
      </c>
      <c r="M322" s="230"/>
      <c r="N322" s="231"/>
    </row>
    <row r="323" spans="1:16" s="41" customFormat="1" ht="39.75" customHeight="1" outlineLevel="1" thickBot="1" x14ac:dyDescent="0.25">
      <c r="A323" s="235"/>
      <c r="B323" s="237"/>
      <c r="C323" s="239"/>
      <c r="D323" s="241"/>
      <c r="E323" s="243"/>
      <c r="F323" s="237"/>
      <c r="G323" s="222"/>
      <c r="H323" s="224"/>
      <c r="I323" s="226"/>
      <c r="J323" s="228"/>
      <c r="K323" s="228"/>
      <c r="L323" s="188" t="s">
        <v>14</v>
      </c>
      <c r="M323" s="189" t="s">
        <v>13</v>
      </c>
      <c r="N323" s="190" t="s">
        <v>12</v>
      </c>
      <c r="O323" s="1"/>
    </row>
    <row r="324" spans="1:16" outlineLevel="1" x14ac:dyDescent="0.2">
      <c r="A324" s="40">
        <f t="shared" ref="A324:B339" si="216">A282</f>
        <v>3656</v>
      </c>
      <c r="B324" s="39" t="str">
        <f t="shared" si="216"/>
        <v>UTA</v>
      </c>
      <c r="C324" s="38"/>
      <c r="D324" s="33">
        <v>4178</v>
      </c>
      <c r="E324" s="37">
        <v>0.50700000000000001</v>
      </c>
      <c r="F324" s="32">
        <v>15698.133333333333</v>
      </c>
      <c r="G324" s="31">
        <v>8640.2399999998797</v>
      </c>
      <c r="H324" s="36">
        <v>834</v>
      </c>
      <c r="I324" s="35">
        <v>36</v>
      </c>
      <c r="J324" s="34">
        <v>1817</v>
      </c>
      <c r="K324" s="34">
        <v>2662</v>
      </c>
      <c r="L324" s="33">
        <v>6630</v>
      </c>
      <c r="M324" s="32">
        <v>3636</v>
      </c>
      <c r="N324" s="31">
        <v>1724</v>
      </c>
    </row>
    <row r="325" spans="1:16" outlineLevel="1" x14ac:dyDescent="0.2">
      <c r="A325" s="20">
        <f t="shared" si="216"/>
        <v>3658</v>
      </c>
      <c r="B325" s="19" t="str">
        <f t="shared" si="216"/>
        <v>UT</v>
      </c>
      <c r="C325" s="18"/>
      <c r="D325" s="15">
        <v>8952</v>
      </c>
      <c r="E325" s="21">
        <v>0.82899999999999996</v>
      </c>
      <c r="F325" s="14">
        <v>33736.73333333333</v>
      </c>
      <c r="G325" s="13">
        <v>19230.319999999745</v>
      </c>
      <c r="H325" s="15">
        <v>1754</v>
      </c>
      <c r="I325" s="13">
        <v>55</v>
      </c>
      <c r="J325" s="16">
        <v>1191</v>
      </c>
      <c r="K325" s="16">
        <v>3435</v>
      </c>
      <c r="L325" s="15">
        <v>9596</v>
      </c>
      <c r="M325" s="14">
        <v>9749</v>
      </c>
      <c r="N325" s="13">
        <v>7288</v>
      </c>
      <c r="P325" s="2"/>
    </row>
    <row r="326" spans="1:16" outlineLevel="1" x14ac:dyDescent="0.2">
      <c r="A326" s="20">
        <f t="shared" si="216"/>
        <v>9741</v>
      </c>
      <c r="B326" s="19" t="str">
        <f t="shared" si="216"/>
        <v>UTD</v>
      </c>
      <c r="C326" s="18"/>
      <c r="D326" s="15">
        <v>2355</v>
      </c>
      <c r="E326" s="21">
        <v>0.70699999999999996</v>
      </c>
      <c r="F326" s="14">
        <v>8108.8666666666668</v>
      </c>
      <c r="G326" s="13">
        <v>4955.5700000000443</v>
      </c>
      <c r="H326" s="15">
        <v>392</v>
      </c>
      <c r="I326" s="13">
        <v>36</v>
      </c>
      <c r="J326" s="16">
        <v>1064</v>
      </c>
      <c r="K326" s="16">
        <v>1255</v>
      </c>
      <c r="L326" s="15">
        <v>3078</v>
      </c>
      <c r="M326" s="14">
        <v>1950</v>
      </c>
      <c r="N326" s="13">
        <v>923</v>
      </c>
      <c r="P326" s="2"/>
    </row>
    <row r="327" spans="1:16" outlineLevel="1" x14ac:dyDescent="0.2">
      <c r="A327" s="20">
        <f t="shared" si="216"/>
        <v>3661</v>
      </c>
      <c r="B327" s="19" t="str">
        <f t="shared" si="216"/>
        <v>UTEP</v>
      </c>
      <c r="C327" s="18"/>
      <c r="D327" s="15">
        <v>3031</v>
      </c>
      <c r="E327" s="21">
        <v>0.374</v>
      </c>
      <c r="F327" s="14">
        <v>12791.933333333332</v>
      </c>
      <c r="G327" s="13">
        <v>6295.4500000000389</v>
      </c>
      <c r="H327" s="15">
        <v>709</v>
      </c>
      <c r="I327" s="13">
        <v>93</v>
      </c>
      <c r="J327" s="16">
        <v>1094</v>
      </c>
      <c r="K327" s="16">
        <v>2394</v>
      </c>
      <c r="L327" s="15">
        <v>4200</v>
      </c>
      <c r="M327" s="14">
        <v>3366</v>
      </c>
      <c r="N327" s="13">
        <v>1972</v>
      </c>
      <c r="P327" s="2"/>
    </row>
    <row r="328" spans="1:16" outlineLevel="1" x14ac:dyDescent="0.2">
      <c r="A328" s="20">
        <f t="shared" si="216"/>
        <v>3599</v>
      </c>
      <c r="B328" s="19" t="str">
        <f t="shared" si="216"/>
        <v>UTPA</v>
      </c>
      <c r="C328" s="18"/>
      <c r="D328" s="15">
        <v>2620</v>
      </c>
      <c r="E328" s="21">
        <v>0.38900000000000001</v>
      </c>
      <c r="F328" s="14">
        <v>12572.333333333334</v>
      </c>
      <c r="G328" s="13">
        <v>5170.8900000000631</v>
      </c>
      <c r="H328" s="15">
        <v>480</v>
      </c>
      <c r="I328" s="13">
        <v>31</v>
      </c>
      <c r="J328" s="16">
        <v>951</v>
      </c>
      <c r="K328" s="16">
        <v>2341</v>
      </c>
      <c r="L328" s="15">
        <v>4354</v>
      </c>
      <c r="M328" s="14">
        <v>3136</v>
      </c>
      <c r="N328" s="13">
        <v>1924</v>
      </c>
      <c r="P328" s="2"/>
    </row>
    <row r="329" spans="1:16" outlineLevel="1" x14ac:dyDescent="0.2">
      <c r="A329" s="20">
        <f t="shared" si="216"/>
        <v>30646</v>
      </c>
      <c r="B329" s="19" t="str">
        <f t="shared" si="216"/>
        <v>UTB</v>
      </c>
      <c r="C329" s="18"/>
      <c r="D329" s="15">
        <v>1052</v>
      </c>
      <c r="E329" s="17">
        <v>0.64666666666666661</v>
      </c>
      <c r="F329" s="14">
        <v>2989.6</v>
      </c>
      <c r="G329" s="13">
        <v>2005.0100000000309</v>
      </c>
      <c r="H329" s="15">
        <v>108</v>
      </c>
      <c r="I329" s="13">
        <v>19</v>
      </c>
      <c r="J329" s="16">
        <v>874</v>
      </c>
      <c r="K329" s="16">
        <v>916</v>
      </c>
      <c r="L329" s="15">
        <v>1377</v>
      </c>
      <c r="M329" s="14">
        <v>583</v>
      </c>
      <c r="N329" s="13">
        <v>72</v>
      </c>
      <c r="P329" s="2"/>
    </row>
    <row r="330" spans="1:16" outlineLevel="1" x14ac:dyDescent="0.2">
      <c r="A330" s="20">
        <f t="shared" si="216"/>
        <v>9930</v>
      </c>
      <c r="B330" s="19" t="str">
        <f t="shared" si="216"/>
        <v>UTPB</v>
      </c>
      <c r="C330" s="18"/>
      <c r="D330" s="15">
        <v>513</v>
      </c>
      <c r="E330" s="21">
        <v>0.44600000000000001</v>
      </c>
      <c r="F330" s="14">
        <v>2159.6</v>
      </c>
      <c r="G330" s="13">
        <v>944.74000000001092</v>
      </c>
      <c r="H330" s="15">
        <v>33</v>
      </c>
      <c r="I330" s="13">
        <v>13</v>
      </c>
      <c r="J330" s="16">
        <v>250</v>
      </c>
      <c r="K330" s="16">
        <v>379</v>
      </c>
      <c r="L330" s="15">
        <v>707</v>
      </c>
      <c r="M330" s="14">
        <v>450</v>
      </c>
      <c r="N330" s="13">
        <v>182</v>
      </c>
      <c r="P330" s="2"/>
    </row>
    <row r="331" spans="1:16" outlineLevel="1" x14ac:dyDescent="0.2">
      <c r="A331" s="20">
        <f t="shared" si="216"/>
        <v>10115</v>
      </c>
      <c r="B331" s="19" t="str">
        <f t="shared" si="216"/>
        <v>UTSA</v>
      </c>
      <c r="C331" s="18"/>
      <c r="D331" s="15">
        <v>3968</v>
      </c>
      <c r="E331" s="21">
        <v>0.44</v>
      </c>
      <c r="F331" s="14">
        <v>19707.533333333333</v>
      </c>
      <c r="G331" s="13">
        <v>8107.0899999997582</v>
      </c>
      <c r="H331" s="15">
        <v>375</v>
      </c>
      <c r="I331" s="13">
        <v>39</v>
      </c>
      <c r="J331" s="16">
        <v>1417</v>
      </c>
      <c r="K331" s="16">
        <v>2956</v>
      </c>
      <c r="L331" s="15">
        <v>6812</v>
      </c>
      <c r="M331" s="14">
        <v>4615</v>
      </c>
      <c r="N331" s="13">
        <v>2588</v>
      </c>
      <c r="P331" s="2"/>
    </row>
    <row r="332" spans="1:16" outlineLevel="1" x14ac:dyDescent="0.2">
      <c r="A332" s="20">
        <f t="shared" si="216"/>
        <v>11163</v>
      </c>
      <c r="B332" s="19" t="str">
        <f t="shared" si="216"/>
        <v>UTT</v>
      </c>
      <c r="C332" s="18"/>
      <c r="D332" s="15">
        <v>1238</v>
      </c>
      <c r="E332" s="21">
        <v>0.496</v>
      </c>
      <c r="F332" s="14">
        <v>4085.2666666666669</v>
      </c>
      <c r="G332" s="13">
        <v>2459.1300000000315</v>
      </c>
      <c r="H332" s="15">
        <v>372</v>
      </c>
      <c r="I332" s="13">
        <v>10</v>
      </c>
      <c r="J332" s="16">
        <v>676</v>
      </c>
      <c r="K332" s="16">
        <v>1002</v>
      </c>
      <c r="L332" s="15">
        <v>1404</v>
      </c>
      <c r="M332" s="14">
        <v>921</v>
      </c>
      <c r="N332" s="13">
        <v>378</v>
      </c>
      <c r="P332" s="2"/>
    </row>
    <row r="333" spans="1:16" outlineLevel="1" x14ac:dyDescent="0.2">
      <c r="A333" s="20">
        <f t="shared" si="216"/>
        <v>3632</v>
      </c>
      <c r="B333" s="19" t="str">
        <f t="shared" si="216"/>
        <v>TAMU</v>
      </c>
      <c r="C333" s="18"/>
      <c r="D333" s="15">
        <v>8451</v>
      </c>
      <c r="E333" s="21">
        <v>0.83599999999999997</v>
      </c>
      <c r="F333" s="14">
        <v>34329.199999999997</v>
      </c>
      <c r="G333" s="13">
        <v>19146.209999999159</v>
      </c>
      <c r="H333" s="15">
        <v>1580</v>
      </c>
      <c r="I333" s="13">
        <v>108</v>
      </c>
      <c r="J333" s="16">
        <v>2282</v>
      </c>
      <c r="K333" s="16">
        <v>3530</v>
      </c>
      <c r="L333" s="15">
        <v>10012</v>
      </c>
      <c r="M333" s="14">
        <v>8836</v>
      </c>
      <c r="N333" s="13">
        <v>6932</v>
      </c>
      <c r="P333" s="2"/>
    </row>
    <row r="334" spans="1:16" outlineLevel="1" x14ac:dyDescent="0.2">
      <c r="A334" s="20">
        <f t="shared" si="216"/>
        <v>10298</v>
      </c>
      <c r="B334" s="19" t="str">
        <f t="shared" si="216"/>
        <v>TAMUG</v>
      </c>
      <c r="C334" s="18"/>
      <c r="D334" s="15">
        <v>262</v>
      </c>
      <c r="E334" s="21">
        <v>0.59199999999999997</v>
      </c>
      <c r="F334" s="14">
        <v>1599.2</v>
      </c>
      <c r="G334" s="13">
        <v>636.84000000000231</v>
      </c>
      <c r="H334" s="15">
        <v>31</v>
      </c>
      <c r="I334" s="13">
        <v>0</v>
      </c>
      <c r="J334" s="16">
        <v>60</v>
      </c>
      <c r="K334" s="16">
        <v>137</v>
      </c>
      <c r="L334" s="15">
        <v>570</v>
      </c>
      <c r="M334" s="14">
        <v>322</v>
      </c>
      <c r="N334" s="13">
        <v>241</v>
      </c>
      <c r="P334" s="2"/>
    </row>
    <row r="335" spans="1:16" outlineLevel="1" x14ac:dyDescent="0.2">
      <c r="A335" s="20">
        <f t="shared" si="216"/>
        <v>3630</v>
      </c>
      <c r="B335" s="19" t="str">
        <f t="shared" si="216"/>
        <v>Prairie View</v>
      </c>
      <c r="C335" s="18"/>
      <c r="D335" s="15">
        <v>879</v>
      </c>
      <c r="E335" s="21">
        <v>0.34200000000000003</v>
      </c>
      <c r="F335" s="14">
        <v>5840.8</v>
      </c>
      <c r="G335" s="13">
        <v>1995.4900000000189</v>
      </c>
      <c r="H335" s="15">
        <v>295</v>
      </c>
      <c r="I335" s="13">
        <v>8</v>
      </c>
      <c r="J335" s="16">
        <v>145</v>
      </c>
      <c r="K335" s="16">
        <v>756</v>
      </c>
      <c r="L335" s="15">
        <v>1643</v>
      </c>
      <c r="M335" s="14">
        <v>1174</v>
      </c>
      <c r="N335" s="13">
        <v>940</v>
      </c>
      <c r="P335" s="2"/>
    </row>
    <row r="336" spans="1:16" outlineLevel="1" x14ac:dyDescent="0.2">
      <c r="A336" s="20">
        <f t="shared" si="216"/>
        <v>3631</v>
      </c>
      <c r="B336" s="19" t="str">
        <f t="shared" si="216"/>
        <v>Tarleton</v>
      </c>
      <c r="C336" s="18"/>
      <c r="D336" s="15">
        <v>1422</v>
      </c>
      <c r="E336" s="21">
        <v>0.47499999999999998</v>
      </c>
      <c r="F336" s="14">
        <v>5845.5333333333338</v>
      </c>
      <c r="G336" s="13">
        <v>2966.430000000048</v>
      </c>
      <c r="H336" s="15">
        <v>183</v>
      </c>
      <c r="I336" s="13">
        <v>38</v>
      </c>
      <c r="J336" s="16">
        <v>646</v>
      </c>
      <c r="K336" s="16">
        <v>1093</v>
      </c>
      <c r="L336" s="15">
        <v>2140</v>
      </c>
      <c r="M336" s="14">
        <v>1306</v>
      </c>
      <c r="N336" s="13">
        <v>903</v>
      </c>
      <c r="P336" s="2"/>
    </row>
    <row r="337" spans="1:16" outlineLevel="1" x14ac:dyDescent="0.2">
      <c r="A337" s="27">
        <f t="shared" si="216"/>
        <v>103631</v>
      </c>
      <c r="B337" s="19" t="str">
        <f t="shared" si="216"/>
        <v>TAMUCT</v>
      </c>
      <c r="C337" s="18"/>
      <c r="D337" s="15">
        <v>450</v>
      </c>
      <c r="E337" s="21">
        <v>0.47499999999999998</v>
      </c>
      <c r="F337" s="14">
        <v>658.4666666666667</v>
      </c>
      <c r="G337" s="13">
        <v>831.96000000000549</v>
      </c>
      <c r="H337" s="15">
        <v>44</v>
      </c>
      <c r="I337" s="13"/>
      <c r="J337" s="16">
        <v>0</v>
      </c>
      <c r="K337" s="16">
        <v>322</v>
      </c>
      <c r="L337" s="15">
        <v>380</v>
      </c>
      <c r="M337" s="14">
        <v>137</v>
      </c>
      <c r="N337" s="13">
        <v>31</v>
      </c>
      <c r="P337" s="2"/>
    </row>
    <row r="338" spans="1:16" outlineLevel="1" x14ac:dyDescent="0.2">
      <c r="A338" s="20">
        <f t="shared" si="216"/>
        <v>11161</v>
      </c>
      <c r="B338" s="19" t="str">
        <f t="shared" si="216"/>
        <v>TAMUCC</v>
      </c>
      <c r="C338" s="18"/>
      <c r="D338" s="15">
        <v>1335</v>
      </c>
      <c r="E338" s="21">
        <v>0.503</v>
      </c>
      <c r="F338" s="14">
        <v>6131.9333333333334</v>
      </c>
      <c r="G338" s="13">
        <v>2744.5700000000347</v>
      </c>
      <c r="H338" s="15">
        <v>237</v>
      </c>
      <c r="I338" s="13">
        <v>29</v>
      </c>
      <c r="J338" s="16">
        <v>454</v>
      </c>
      <c r="K338" s="16">
        <v>1024</v>
      </c>
      <c r="L338" s="15">
        <v>2079</v>
      </c>
      <c r="M338" s="14">
        <v>1357</v>
      </c>
      <c r="N338" s="13">
        <v>812</v>
      </c>
      <c r="P338" s="2"/>
    </row>
    <row r="339" spans="1:16" outlineLevel="1" x14ac:dyDescent="0.2">
      <c r="A339" s="20">
        <f t="shared" si="216"/>
        <v>3639</v>
      </c>
      <c r="B339" s="19" t="str">
        <f t="shared" si="216"/>
        <v>TAMUK</v>
      </c>
      <c r="C339" s="18"/>
      <c r="D339" s="15">
        <v>692</v>
      </c>
      <c r="E339" s="21">
        <v>0.41699999999999998</v>
      </c>
      <c r="F339" s="14">
        <v>3808.2666666666669</v>
      </c>
      <c r="G339" s="13">
        <v>1601.8800000000022</v>
      </c>
      <c r="H339" s="15">
        <v>236</v>
      </c>
      <c r="I339" s="13">
        <v>15</v>
      </c>
      <c r="J339" s="16">
        <v>325</v>
      </c>
      <c r="K339" s="16">
        <v>590</v>
      </c>
      <c r="L339" s="15">
        <v>1159</v>
      </c>
      <c r="M339" s="14">
        <v>790</v>
      </c>
      <c r="N339" s="13">
        <v>550</v>
      </c>
      <c r="P339" s="2"/>
    </row>
    <row r="340" spans="1:16" outlineLevel="1" x14ac:dyDescent="0.2">
      <c r="A340" s="27">
        <f t="shared" ref="A340:B355" si="217">A298</f>
        <v>103639</v>
      </c>
      <c r="B340" s="19" t="str">
        <f t="shared" si="217"/>
        <v>TAMUSA</v>
      </c>
      <c r="C340" s="18"/>
      <c r="D340" s="15">
        <v>496</v>
      </c>
      <c r="E340" s="21">
        <v>0.41699999999999998</v>
      </c>
      <c r="F340" s="14">
        <v>1072.6666666666667</v>
      </c>
      <c r="G340" s="13">
        <v>844.50000000000807</v>
      </c>
      <c r="H340" s="15">
        <v>4</v>
      </c>
      <c r="I340" s="13"/>
      <c r="J340" s="16">
        <v>0</v>
      </c>
      <c r="K340" s="16">
        <v>402</v>
      </c>
      <c r="L340" s="15">
        <v>307</v>
      </c>
      <c r="M340" s="14">
        <v>5</v>
      </c>
      <c r="N340" s="13">
        <v>5</v>
      </c>
      <c r="P340" s="2"/>
    </row>
    <row r="341" spans="1:16" outlineLevel="1" x14ac:dyDescent="0.2">
      <c r="A341" s="20">
        <f t="shared" si="217"/>
        <v>9651</v>
      </c>
      <c r="B341" s="19" t="str">
        <f t="shared" si="217"/>
        <v>TAMI</v>
      </c>
      <c r="C341" s="18"/>
      <c r="D341" s="15">
        <v>798</v>
      </c>
      <c r="E341" s="21">
        <v>0.46</v>
      </c>
      <c r="F341" s="14">
        <v>3819.0666666666666</v>
      </c>
      <c r="G341" s="13">
        <v>1476.3000000000168</v>
      </c>
      <c r="H341" s="15">
        <v>85</v>
      </c>
      <c r="I341" s="13">
        <v>26</v>
      </c>
      <c r="J341" s="16">
        <v>411</v>
      </c>
      <c r="K341" s="16">
        <v>713</v>
      </c>
      <c r="L341" s="15">
        <v>1413</v>
      </c>
      <c r="M341" s="14">
        <v>981</v>
      </c>
      <c r="N341" s="13">
        <v>447</v>
      </c>
      <c r="P341" s="2"/>
    </row>
    <row r="342" spans="1:16" outlineLevel="1" x14ac:dyDescent="0.2">
      <c r="A342" s="20">
        <f t="shared" si="217"/>
        <v>3665</v>
      </c>
      <c r="B342" s="19" t="str">
        <f t="shared" si="217"/>
        <v>WTAMU</v>
      </c>
      <c r="C342" s="18"/>
      <c r="D342" s="15">
        <v>1220</v>
      </c>
      <c r="E342" s="21">
        <v>0.45600000000000002</v>
      </c>
      <c r="F342" s="14">
        <v>5264.8</v>
      </c>
      <c r="G342" s="13">
        <v>2415.9700000000216</v>
      </c>
      <c r="H342" s="15">
        <v>216</v>
      </c>
      <c r="I342" s="13">
        <v>64</v>
      </c>
      <c r="J342" s="16">
        <v>444</v>
      </c>
      <c r="K342" s="16">
        <v>853</v>
      </c>
      <c r="L342" s="15">
        <v>1873</v>
      </c>
      <c r="M342" s="14">
        <v>1161</v>
      </c>
      <c r="N342" s="13">
        <v>631</v>
      </c>
      <c r="P342" s="2"/>
    </row>
    <row r="343" spans="1:16" outlineLevel="1" x14ac:dyDescent="0.2">
      <c r="A343" s="20">
        <f t="shared" si="217"/>
        <v>3565</v>
      </c>
      <c r="B343" s="19" t="str">
        <f t="shared" si="217"/>
        <v>TAMUC</v>
      </c>
      <c r="C343" s="18"/>
      <c r="D343" s="15">
        <v>1153</v>
      </c>
      <c r="E343" s="21">
        <v>0.44800000000000001</v>
      </c>
      <c r="F343" s="14">
        <v>4172.1333333333332</v>
      </c>
      <c r="G343" s="13">
        <v>2179.8400000000324</v>
      </c>
      <c r="H343" s="15">
        <v>59</v>
      </c>
      <c r="I343" s="13">
        <v>65</v>
      </c>
      <c r="J343" s="16">
        <v>660</v>
      </c>
      <c r="K343" s="16">
        <v>884</v>
      </c>
      <c r="L343" s="15">
        <v>1712</v>
      </c>
      <c r="M343" s="14">
        <v>1038</v>
      </c>
      <c r="N343" s="13">
        <v>423</v>
      </c>
      <c r="P343" s="2"/>
    </row>
    <row r="344" spans="1:16" outlineLevel="1" x14ac:dyDescent="0.2">
      <c r="A344" s="20">
        <f t="shared" si="217"/>
        <v>29269</v>
      </c>
      <c r="B344" s="19" t="str">
        <f t="shared" si="217"/>
        <v>TAMUT</v>
      </c>
      <c r="C344" s="18"/>
      <c r="D344" s="15">
        <v>326</v>
      </c>
      <c r="E344" s="17">
        <v>0.57336956521739135</v>
      </c>
      <c r="F344" s="14">
        <v>694.6</v>
      </c>
      <c r="G344" s="13">
        <v>569.46</v>
      </c>
      <c r="H344" s="15">
        <v>30</v>
      </c>
      <c r="I344" s="13">
        <v>15</v>
      </c>
      <c r="J344" s="16">
        <v>212</v>
      </c>
      <c r="K344" s="16">
        <v>210</v>
      </c>
      <c r="L344" s="15">
        <v>403</v>
      </c>
      <c r="M344" s="14">
        <v>138</v>
      </c>
      <c r="N344" s="13">
        <v>0</v>
      </c>
      <c r="P344" s="2"/>
    </row>
    <row r="345" spans="1:16" outlineLevel="1" x14ac:dyDescent="0.2">
      <c r="A345" s="20">
        <f t="shared" si="217"/>
        <v>3652</v>
      </c>
      <c r="B345" s="19" t="str">
        <f t="shared" si="217"/>
        <v>UH</v>
      </c>
      <c r="C345" s="18"/>
      <c r="D345" s="15">
        <v>4778</v>
      </c>
      <c r="E345" s="21">
        <v>0.53100000000000003</v>
      </c>
      <c r="F345" s="14">
        <v>22778.733333333334</v>
      </c>
      <c r="G345" s="13">
        <v>9792.4499999989821</v>
      </c>
      <c r="H345" s="15">
        <v>656</v>
      </c>
      <c r="I345" s="13">
        <v>54</v>
      </c>
      <c r="J345" s="16">
        <v>1682</v>
      </c>
      <c r="K345" s="16">
        <v>3091</v>
      </c>
      <c r="L345" s="15">
        <v>7517</v>
      </c>
      <c r="M345" s="14">
        <v>5600</v>
      </c>
      <c r="N345" s="13">
        <v>3376</v>
      </c>
      <c r="P345" s="2"/>
    </row>
    <row r="346" spans="1:16" outlineLevel="1" x14ac:dyDescent="0.2">
      <c r="A346" s="20">
        <f t="shared" si="217"/>
        <v>11711</v>
      </c>
      <c r="B346" s="19" t="str">
        <f t="shared" si="217"/>
        <v>UHCL</v>
      </c>
      <c r="C346" s="18"/>
      <c r="D346" s="15">
        <v>1124</v>
      </c>
      <c r="E346" s="17">
        <v>0.50557620817843862</v>
      </c>
      <c r="F346" s="14">
        <v>2872.8666666666668</v>
      </c>
      <c r="G346" s="13">
        <v>2131.2100000000323</v>
      </c>
      <c r="H346" s="15">
        <v>88</v>
      </c>
      <c r="I346" s="13">
        <v>8</v>
      </c>
      <c r="J346" s="16">
        <v>767</v>
      </c>
      <c r="K346" s="16">
        <v>707</v>
      </c>
      <c r="L346" s="15">
        <v>1349</v>
      </c>
      <c r="M346" s="14">
        <v>888</v>
      </c>
      <c r="N346" s="13">
        <v>81</v>
      </c>
      <c r="P346" s="2"/>
    </row>
    <row r="347" spans="1:16" outlineLevel="1" x14ac:dyDescent="0.2">
      <c r="A347" s="20">
        <f t="shared" si="217"/>
        <v>12826</v>
      </c>
      <c r="B347" s="19" t="str">
        <f t="shared" si="217"/>
        <v>UHD</v>
      </c>
      <c r="C347" s="18"/>
      <c r="D347" s="15">
        <v>2359</v>
      </c>
      <c r="E347" s="21">
        <v>0.18099999999999999</v>
      </c>
      <c r="F347" s="14">
        <v>7963.6</v>
      </c>
      <c r="G347" s="13">
        <v>4153.3100000000841</v>
      </c>
      <c r="H347" s="15">
        <v>112</v>
      </c>
      <c r="I347" s="13">
        <v>2</v>
      </c>
      <c r="J347" s="16">
        <v>1000</v>
      </c>
      <c r="K347" s="16">
        <v>1619</v>
      </c>
      <c r="L347" s="15">
        <v>3082</v>
      </c>
      <c r="M347" s="14">
        <v>1889</v>
      </c>
      <c r="N347" s="13">
        <v>606</v>
      </c>
      <c r="P347" s="2"/>
    </row>
    <row r="348" spans="1:16" outlineLevel="1" x14ac:dyDescent="0.2">
      <c r="A348" s="20">
        <f t="shared" si="217"/>
        <v>13231</v>
      </c>
      <c r="B348" s="19" t="str">
        <f t="shared" si="217"/>
        <v>UHV</v>
      </c>
      <c r="C348" s="18"/>
      <c r="D348" s="15">
        <v>515</v>
      </c>
      <c r="E348" s="17">
        <v>0.55256723716381417</v>
      </c>
      <c r="F348" s="14">
        <v>1135.8</v>
      </c>
      <c r="G348" s="13">
        <v>962.15000000001089</v>
      </c>
      <c r="H348" s="15">
        <v>72</v>
      </c>
      <c r="I348" s="13">
        <v>2</v>
      </c>
      <c r="J348" s="16">
        <v>381</v>
      </c>
      <c r="K348" s="16">
        <v>337</v>
      </c>
      <c r="L348" s="15">
        <v>654</v>
      </c>
      <c r="M348" s="14">
        <v>269</v>
      </c>
      <c r="N348" s="13">
        <v>8</v>
      </c>
      <c r="P348" s="2"/>
    </row>
    <row r="349" spans="1:16" outlineLevel="1" x14ac:dyDescent="0.2">
      <c r="A349" s="20">
        <f t="shared" si="217"/>
        <v>3592</v>
      </c>
      <c r="B349" s="19" t="str">
        <f t="shared" si="217"/>
        <v>Midwestern</v>
      </c>
      <c r="C349" s="18"/>
      <c r="D349" s="15">
        <v>1002</v>
      </c>
      <c r="E349" s="21">
        <v>0.41199999999999998</v>
      </c>
      <c r="F349" s="14">
        <v>4294.8666666666668</v>
      </c>
      <c r="G349" s="13">
        <v>1899.0200000000148</v>
      </c>
      <c r="H349" s="15">
        <v>302</v>
      </c>
      <c r="I349" s="13">
        <v>19</v>
      </c>
      <c r="J349" s="16">
        <v>228</v>
      </c>
      <c r="K349" s="16">
        <v>673</v>
      </c>
      <c r="L349" s="15">
        <v>1497</v>
      </c>
      <c r="M349" s="14">
        <v>1080</v>
      </c>
      <c r="N349" s="13">
        <v>622</v>
      </c>
      <c r="P349" s="2"/>
    </row>
    <row r="350" spans="1:16" outlineLevel="1" x14ac:dyDescent="0.2">
      <c r="A350" s="20">
        <f t="shared" si="217"/>
        <v>3594</v>
      </c>
      <c r="B350" s="19" t="str">
        <f t="shared" si="217"/>
        <v>UNT</v>
      </c>
      <c r="C350" s="18"/>
      <c r="D350" s="15">
        <v>6024</v>
      </c>
      <c r="E350" s="21">
        <v>0.57399999999999995</v>
      </c>
      <c r="F350" s="14">
        <f>22506.0666666667+838</f>
        <v>23344.066666666698</v>
      </c>
      <c r="G350" s="13">
        <v>11164.699999998398</v>
      </c>
      <c r="H350" s="15">
        <v>297</v>
      </c>
      <c r="I350" s="13">
        <v>27</v>
      </c>
      <c r="J350" s="16">
        <v>2247</v>
      </c>
      <c r="K350" s="16">
        <v>3747</v>
      </c>
      <c r="L350" s="30">
        <v>8327</v>
      </c>
      <c r="M350" s="29">
        <v>5604</v>
      </c>
      <c r="N350" s="28">
        <v>3585</v>
      </c>
      <c r="P350" s="2"/>
    </row>
    <row r="351" spans="1:16" outlineLevel="1" x14ac:dyDescent="0.2">
      <c r="A351" s="27">
        <f t="shared" si="217"/>
        <v>113594</v>
      </c>
      <c r="B351" s="19" t="str">
        <f t="shared" si="217"/>
        <v>UNTD</v>
      </c>
      <c r="C351" s="18"/>
      <c r="D351" s="24"/>
      <c r="E351" s="26"/>
      <c r="F351" s="23"/>
      <c r="G351" s="22"/>
      <c r="H351" s="24"/>
      <c r="I351" s="22"/>
      <c r="J351" s="25">
        <v>0</v>
      </c>
      <c r="K351" s="25"/>
      <c r="L351" s="24"/>
      <c r="M351" s="23"/>
      <c r="N351" s="22"/>
      <c r="P351" s="2"/>
    </row>
    <row r="352" spans="1:16" outlineLevel="1" x14ac:dyDescent="0.2">
      <c r="A352" s="20">
        <f t="shared" si="217"/>
        <v>3624</v>
      </c>
      <c r="B352" s="19" t="str">
        <f t="shared" si="217"/>
        <v>SFA</v>
      </c>
      <c r="C352" s="18"/>
      <c r="D352" s="15">
        <v>1874</v>
      </c>
      <c r="E352" s="21">
        <v>0.56999999999999995</v>
      </c>
      <c r="F352" s="14">
        <v>9510.2666666666664</v>
      </c>
      <c r="G352" s="13">
        <v>3625.4100000000203</v>
      </c>
      <c r="H352" s="15">
        <v>230</v>
      </c>
      <c r="I352" s="13">
        <v>43</v>
      </c>
      <c r="J352" s="16">
        <v>538</v>
      </c>
      <c r="K352" s="16">
        <v>1422</v>
      </c>
      <c r="L352" s="15">
        <v>2663</v>
      </c>
      <c r="M352" s="14">
        <v>1934</v>
      </c>
      <c r="N352" s="13">
        <v>1317</v>
      </c>
      <c r="P352" s="2"/>
    </row>
    <row r="353" spans="1:16" outlineLevel="1" x14ac:dyDescent="0.2">
      <c r="A353" s="20">
        <f t="shared" si="217"/>
        <v>3642</v>
      </c>
      <c r="B353" s="19" t="str">
        <f t="shared" si="217"/>
        <v>TSU</v>
      </c>
      <c r="C353" s="18"/>
      <c r="D353" s="15">
        <v>817</v>
      </c>
      <c r="E353" s="21">
        <v>0.14899999999999999</v>
      </c>
      <c r="F353" s="14">
        <v>5909.8</v>
      </c>
      <c r="G353" s="13">
        <v>1601.5200000000066</v>
      </c>
      <c r="H353" s="15">
        <v>127</v>
      </c>
      <c r="I353" s="13">
        <v>2</v>
      </c>
      <c r="J353" s="16">
        <v>124</v>
      </c>
      <c r="K353" s="16">
        <v>723</v>
      </c>
      <c r="L353" s="15">
        <v>1871</v>
      </c>
      <c r="M353" s="14">
        <v>1137</v>
      </c>
      <c r="N353" s="13">
        <v>916</v>
      </c>
      <c r="P353" s="2"/>
    </row>
    <row r="354" spans="1:16" outlineLevel="1" x14ac:dyDescent="0.2">
      <c r="A354" s="20">
        <f t="shared" si="217"/>
        <v>3644</v>
      </c>
      <c r="B354" s="19" t="str">
        <f t="shared" si="217"/>
        <v>TTU</v>
      </c>
      <c r="C354" s="18"/>
      <c r="D354" s="15">
        <v>4476</v>
      </c>
      <c r="E354" s="21">
        <v>0.72799999999999998</v>
      </c>
      <c r="F354" s="14">
        <v>21422.2</v>
      </c>
      <c r="G354" s="13">
        <v>9827.5299999990111</v>
      </c>
      <c r="H354" s="15">
        <v>656</v>
      </c>
      <c r="I354" s="13">
        <v>43</v>
      </c>
      <c r="J354" s="16">
        <v>1034</v>
      </c>
      <c r="K354" s="16">
        <v>2539</v>
      </c>
      <c r="L354" s="15">
        <v>6430</v>
      </c>
      <c r="M354" s="14">
        <v>5148</v>
      </c>
      <c r="N354" s="13">
        <v>3832</v>
      </c>
      <c r="P354" s="2"/>
    </row>
    <row r="355" spans="1:16" outlineLevel="1" x14ac:dyDescent="0.2">
      <c r="A355" s="20">
        <f t="shared" si="217"/>
        <v>3541</v>
      </c>
      <c r="B355" s="19" t="str">
        <f t="shared" si="217"/>
        <v>Angelo</v>
      </c>
      <c r="C355" s="18"/>
      <c r="D355" s="15">
        <v>941</v>
      </c>
      <c r="E355" s="21">
        <v>0.44</v>
      </c>
      <c r="F355" s="14">
        <v>4829.1333333333332</v>
      </c>
      <c r="G355" s="13">
        <v>1933.5900000000179</v>
      </c>
      <c r="H355" s="15">
        <v>217</v>
      </c>
      <c r="I355" s="13">
        <v>18</v>
      </c>
      <c r="J355" s="16">
        <v>217</v>
      </c>
      <c r="K355" s="16">
        <v>676</v>
      </c>
      <c r="L355" s="15">
        <v>1474</v>
      </c>
      <c r="M355" s="14">
        <v>1008</v>
      </c>
      <c r="N355" s="13">
        <v>708</v>
      </c>
      <c r="P355" s="2"/>
    </row>
    <row r="356" spans="1:16" outlineLevel="1" x14ac:dyDescent="0.2">
      <c r="A356" s="20">
        <f t="shared" ref="A356:B361" si="218">A314</f>
        <v>3646</v>
      </c>
      <c r="B356" s="19" t="str">
        <f t="shared" si="218"/>
        <v>TWU</v>
      </c>
      <c r="C356" s="18"/>
      <c r="D356" s="15">
        <v>1774</v>
      </c>
      <c r="E356" s="21">
        <v>0.54500000000000004</v>
      </c>
      <c r="F356" s="14">
        <v>6071.4666666666662</v>
      </c>
      <c r="G356" s="13">
        <v>3425.2000000000221</v>
      </c>
      <c r="H356" s="15">
        <v>614</v>
      </c>
      <c r="I356" s="13">
        <v>31</v>
      </c>
      <c r="J356" s="16">
        <v>811</v>
      </c>
      <c r="K356" s="16">
        <v>1214</v>
      </c>
      <c r="L356" s="15">
        <v>2042</v>
      </c>
      <c r="M356" s="14">
        <v>1371</v>
      </c>
      <c r="N356" s="13">
        <v>668</v>
      </c>
      <c r="P356" s="2"/>
    </row>
    <row r="357" spans="1:16" outlineLevel="1" x14ac:dyDescent="0.2">
      <c r="A357" s="20">
        <f t="shared" si="218"/>
        <v>3581</v>
      </c>
      <c r="B357" s="19" t="str">
        <f t="shared" si="218"/>
        <v>Lamar</v>
      </c>
      <c r="C357" s="18"/>
      <c r="D357" s="15">
        <v>1286</v>
      </c>
      <c r="E357" s="21">
        <v>0.33800000000000002</v>
      </c>
      <c r="F357" s="14">
        <v>7172.9333333333334</v>
      </c>
      <c r="G357" s="13">
        <v>2638.0900000000311</v>
      </c>
      <c r="H357" s="15">
        <v>314</v>
      </c>
      <c r="I357" s="13">
        <v>17</v>
      </c>
      <c r="J357" s="16">
        <v>226</v>
      </c>
      <c r="K357" s="16">
        <v>908</v>
      </c>
      <c r="L357" s="15">
        <v>2043</v>
      </c>
      <c r="M357" s="14">
        <v>1404</v>
      </c>
      <c r="N357" s="13">
        <v>1031</v>
      </c>
      <c r="P357" s="2"/>
    </row>
    <row r="358" spans="1:16" outlineLevel="1" x14ac:dyDescent="0.2">
      <c r="A358" s="20">
        <f t="shared" si="218"/>
        <v>3606</v>
      </c>
      <c r="B358" s="19" t="str">
        <f t="shared" si="218"/>
        <v>SHSU</v>
      </c>
      <c r="C358" s="18"/>
      <c r="D358" s="15">
        <v>3242</v>
      </c>
      <c r="E358" s="21">
        <v>0.57899999999999996</v>
      </c>
      <c r="F358" s="14">
        <v>12517.066666666668</v>
      </c>
      <c r="G358" s="13">
        <v>6188.6300000000374</v>
      </c>
      <c r="H358" s="15">
        <v>163</v>
      </c>
      <c r="I358" s="13">
        <v>69</v>
      </c>
      <c r="J358" s="16">
        <v>1323</v>
      </c>
      <c r="K358" s="16">
        <v>2318</v>
      </c>
      <c r="L358" s="15">
        <v>3849</v>
      </c>
      <c r="M358" s="14">
        <v>3011</v>
      </c>
      <c r="N358" s="13">
        <v>1870</v>
      </c>
      <c r="P358" s="2"/>
    </row>
    <row r="359" spans="1:16" outlineLevel="1" x14ac:dyDescent="0.2">
      <c r="A359" s="20">
        <f t="shared" si="218"/>
        <v>3615</v>
      </c>
      <c r="B359" s="19" t="str">
        <f t="shared" si="218"/>
        <v>TXST</v>
      </c>
      <c r="C359" s="18"/>
      <c r="D359" s="15">
        <v>5299</v>
      </c>
      <c r="E359" s="21">
        <v>0.64400000000000002</v>
      </c>
      <c r="F359" s="14">
        <v>21764.6</v>
      </c>
      <c r="G359" s="13">
        <v>10384.469999998846</v>
      </c>
      <c r="H359" s="15">
        <v>439</v>
      </c>
      <c r="I359" s="13">
        <v>68</v>
      </c>
      <c r="J359" s="16">
        <v>2008</v>
      </c>
      <c r="K359" s="16">
        <v>3545</v>
      </c>
      <c r="L359" s="15">
        <v>7301</v>
      </c>
      <c r="M359" s="14">
        <v>5428</v>
      </c>
      <c r="N359" s="13">
        <v>3302</v>
      </c>
      <c r="P359" s="2"/>
    </row>
    <row r="360" spans="1:16" outlineLevel="1" x14ac:dyDescent="0.2">
      <c r="A360" s="20">
        <f t="shared" si="218"/>
        <v>3625</v>
      </c>
      <c r="B360" s="19" t="str">
        <f t="shared" si="218"/>
        <v>SRSU</v>
      </c>
      <c r="C360" s="18"/>
      <c r="D360" s="15">
        <v>181</v>
      </c>
      <c r="E360" s="21">
        <v>0.28499999999999998</v>
      </c>
      <c r="F360" s="14">
        <v>1230.9333333333334</v>
      </c>
      <c r="G360" s="13">
        <v>368.43999999999954</v>
      </c>
      <c r="H360" s="15">
        <v>10</v>
      </c>
      <c r="I360" s="13">
        <v>10</v>
      </c>
      <c r="J360" s="16">
        <v>38</v>
      </c>
      <c r="K360" s="16">
        <v>156</v>
      </c>
      <c r="L360" s="15">
        <v>318</v>
      </c>
      <c r="M360" s="14">
        <v>176</v>
      </c>
      <c r="N360" s="13">
        <v>115</v>
      </c>
      <c r="P360" s="2"/>
    </row>
    <row r="361" spans="1:16" outlineLevel="1" x14ac:dyDescent="0.2">
      <c r="A361" s="20">
        <f t="shared" si="218"/>
        <v>20</v>
      </c>
      <c r="B361" s="19" t="str">
        <f t="shared" si="218"/>
        <v>SRRG</v>
      </c>
      <c r="C361" s="18"/>
      <c r="D361" s="15">
        <v>168</v>
      </c>
      <c r="E361" s="17">
        <v>0.36144578313253012</v>
      </c>
      <c r="F361" s="14">
        <v>416.33333333333331</v>
      </c>
      <c r="G361" s="13">
        <v>287.9199999999995</v>
      </c>
      <c r="H361" s="15">
        <v>8</v>
      </c>
      <c r="I361" s="13">
        <v>9</v>
      </c>
      <c r="J361" s="16">
        <v>124</v>
      </c>
      <c r="K361" s="16">
        <v>149</v>
      </c>
      <c r="L361" s="15">
        <v>251</v>
      </c>
      <c r="M361" s="14">
        <v>90</v>
      </c>
      <c r="N361" s="13">
        <v>5</v>
      </c>
      <c r="P361" s="2"/>
    </row>
    <row r="362" spans="1:16" ht="13.5" outlineLevel="1" thickBot="1" x14ac:dyDescent="0.25">
      <c r="A362" s="12"/>
      <c r="B362" s="11" t="s">
        <v>11</v>
      </c>
      <c r="C362" s="10"/>
      <c r="D362" s="9">
        <f>SUM(D324:D361)</f>
        <v>81251</v>
      </c>
      <c r="E362" s="8">
        <v>0.56799999999999995</v>
      </c>
      <c r="F362" s="7">
        <f t="shared" ref="F362:N362" si="219">SUM(F324:F361)</f>
        <v>338321.33333333337</v>
      </c>
      <c r="G362" s="3">
        <f t="shared" si="219"/>
        <v>165601.52999999447</v>
      </c>
      <c r="H362" s="5">
        <f t="shared" si="219"/>
        <v>12362</v>
      </c>
      <c r="I362" s="3">
        <f t="shared" si="219"/>
        <v>1122</v>
      </c>
      <c r="J362" s="6">
        <f t="shared" ref="J362" si="220">SUM(J324:J361)</f>
        <v>27721</v>
      </c>
      <c r="K362" s="6">
        <f t="shared" si="219"/>
        <v>51678</v>
      </c>
      <c r="L362" s="5">
        <f t="shared" si="219"/>
        <v>112517</v>
      </c>
      <c r="M362" s="4">
        <f t="shared" si="219"/>
        <v>81688</v>
      </c>
      <c r="N362" s="3">
        <f t="shared" si="219"/>
        <v>51008</v>
      </c>
      <c r="P362" s="2"/>
    </row>
    <row r="363" spans="1:16" x14ac:dyDescent="0.2">
      <c r="P363" s="2"/>
    </row>
    <row r="365" spans="1:16" x14ac:dyDescent="0.2">
      <c r="A365" s="1" t="s">
        <v>10</v>
      </c>
    </row>
    <row r="366" spans="1:16" x14ac:dyDescent="0.2">
      <c r="A366" s="1" t="s">
        <v>9</v>
      </c>
    </row>
    <row r="367" spans="1:16" x14ac:dyDescent="0.2">
      <c r="A367" s="1" t="s">
        <v>8</v>
      </c>
    </row>
    <row r="368" spans="1:16" x14ac:dyDescent="0.2">
      <c r="A368" s="1" t="s">
        <v>7</v>
      </c>
    </row>
    <row r="369" spans="1:1" x14ac:dyDescent="0.2">
      <c r="A369" s="1" t="s">
        <v>6</v>
      </c>
    </row>
    <row r="370" spans="1:1" x14ac:dyDescent="0.2">
      <c r="A370" s="1" t="s">
        <v>5</v>
      </c>
    </row>
    <row r="371" spans="1:1" x14ac:dyDescent="0.2">
      <c r="A371" s="1" t="s">
        <v>4</v>
      </c>
    </row>
    <row r="372" spans="1:1" x14ac:dyDescent="0.2">
      <c r="A372" s="1" t="s">
        <v>3</v>
      </c>
    </row>
    <row r="373" spans="1:1" x14ac:dyDescent="0.2">
      <c r="A373" s="1" t="s">
        <v>2</v>
      </c>
    </row>
    <row r="374" spans="1:1" x14ac:dyDescent="0.2">
      <c r="A374" s="1" t="s">
        <v>1</v>
      </c>
    </row>
    <row r="375" spans="1:1" x14ac:dyDescent="0.2">
      <c r="A375" s="1" t="s">
        <v>0</v>
      </c>
    </row>
  </sheetData>
  <mergeCells count="98">
    <mergeCell ref="A1:N1"/>
    <mergeCell ref="A3:A4"/>
    <mergeCell ref="B3:B4"/>
    <mergeCell ref="C3:C4"/>
    <mergeCell ref="D3:G3"/>
    <mergeCell ref="H3:H4"/>
    <mergeCell ref="I3:I4"/>
    <mergeCell ref="K3:K4"/>
    <mergeCell ref="L3:N3"/>
    <mergeCell ref="J3:J4"/>
    <mergeCell ref="P3:R3"/>
    <mergeCell ref="A46:A47"/>
    <mergeCell ref="B46:B47"/>
    <mergeCell ref="C46:C47"/>
    <mergeCell ref="D46:G46"/>
    <mergeCell ref="H46:H47"/>
    <mergeCell ref="I46:I47"/>
    <mergeCell ref="K46:K47"/>
    <mergeCell ref="L46:N46"/>
    <mergeCell ref="O46:O47"/>
    <mergeCell ref="A88:A89"/>
    <mergeCell ref="B88:B89"/>
    <mergeCell ref="C88:C89"/>
    <mergeCell ref="D88:G88"/>
    <mergeCell ref="H88:H89"/>
    <mergeCell ref="K88:K89"/>
    <mergeCell ref="L88:N88"/>
    <mergeCell ref="O88:O89"/>
    <mergeCell ref="C129:C130"/>
    <mergeCell ref="D129:G129"/>
    <mergeCell ref="H129:H130"/>
    <mergeCell ref="I129:I130"/>
    <mergeCell ref="K129:K130"/>
    <mergeCell ref="L129:N129"/>
    <mergeCell ref="O129:O130"/>
    <mergeCell ref="I88:I89"/>
    <mergeCell ref="K153:K154"/>
    <mergeCell ref="L153:N153"/>
    <mergeCell ref="O153:O154"/>
    <mergeCell ref="A155:C155"/>
    <mergeCell ref="A196:A197"/>
    <mergeCell ref="B196:B197"/>
    <mergeCell ref="C196:C197"/>
    <mergeCell ref="D196:D197"/>
    <mergeCell ref="E196:E197"/>
    <mergeCell ref="F196:F197"/>
    <mergeCell ref="A153:A154"/>
    <mergeCell ref="B153:B154"/>
    <mergeCell ref="C153:C154"/>
    <mergeCell ref="D153:G153"/>
    <mergeCell ref="H153:H154"/>
    <mergeCell ref="I153:I154"/>
    <mergeCell ref="A238:A239"/>
    <mergeCell ref="B238:B239"/>
    <mergeCell ref="C238:C239"/>
    <mergeCell ref="D238:D239"/>
    <mergeCell ref="E238:E239"/>
    <mergeCell ref="K238:K239"/>
    <mergeCell ref="L238:N238"/>
    <mergeCell ref="G196:G197"/>
    <mergeCell ref="H196:H197"/>
    <mergeCell ref="I196:I197"/>
    <mergeCell ref="K196:K197"/>
    <mergeCell ref="L196:N196"/>
    <mergeCell ref="F280:F281"/>
    <mergeCell ref="F238:F239"/>
    <mergeCell ref="G238:G239"/>
    <mergeCell ref="H238:H239"/>
    <mergeCell ref="I238:I239"/>
    <mergeCell ref="A280:A281"/>
    <mergeCell ref="B280:B281"/>
    <mergeCell ref="C280:C281"/>
    <mergeCell ref="D280:D281"/>
    <mergeCell ref="E280:E281"/>
    <mergeCell ref="A322:A323"/>
    <mergeCell ref="B322:B323"/>
    <mergeCell ref="C322:C323"/>
    <mergeCell ref="D322:D323"/>
    <mergeCell ref="E322:E323"/>
    <mergeCell ref="L322:N322"/>
    <mergeCell ref="G280:G281"/>
    <mergeCell ref="H280:H281"/>
    <mergeCell ref="I280:I281"/>
    <mergeCell ref="K280:K281"/>
    <mergeCell ref="L280:N280"/>
    <mergeCell ref="F322:F323"/>
    <mergeCell ref="G322:G323"/>
    <mergeCell ref="H322:H323"/>
    <mergeCell ref="I322:I323"/>
    <mergeCell ref="K322:K323"/>
    <mergeCell ref="J280:J281"/>
    <mergeCell ref="J322:J323"/>
    <mergeCell ref="J46:J47"/>
    <mergeCell ref="J88:J89"/>
    <mergeCell ref="J129:J130"/>
    <mergeCell ref="J153:J154"/>
    <mergeCell ref="J196:J197"/>
    <mergeCell ref="J238:J239"/>
  </mergeCells>
  <conditionalFormatting sqref="D142:I142 K142:N142">
    <cfRule type="colorScale" priority="29">
      <colorScale>
        <cfvo type="min"/>
        <cfvo type="max"/>
        <color theme="6" tint="0.79998168889431442"/>
        <color theme="6" tint="-0.499984740745262"/>
      </colorScale>
    </cfRule>
  </conditionalFormatting>
  <conditionalFormatting sqref="D131:I135 K131:N135">
    <cfRule type="cellIs" dxfId="53" priority="30" operator="equal">
      <formula>$D$150</formula>
    </cfRule>
    <cfRule type="cellIs" dxfId="52" priority="31" operator="equal">
      <formula>$E$150</formula>
    </cfRule>
    <cfRule type="cellIs" dxfId="51" priority="32" operator="equal">
      <formula>$F$150</formula>
    </cfRule>
    <cfRule type="cellIs" dxfId="50" priority="33" operator="equal">
      <formula>$G$150</formula>
    </cfRule>
    <cfRule type="cellIs" dxfId="49" priority="34" operator="equal">
      <formula>$H$150</formula>
    </cfRule>
    <cfRule type="cellIs" dxfId="48" priority="35" operator="equal">
      <formula>$I$150</formula>
    </cfRule>
    <cfRule type="cellIs" dxfId="47" priority="36" operator="equal">
      <formula>$K$150</formula>
    </cfRule>
    <cfRule type="cellIs" dxfId="46" priority="37" operator="equal">
      <formula>$L$150</formula>
    </cfRule>
    <cfRule type="cellIs" dxfId="45" priority="38" operator="equal">
      <formula>$M$150</formula>
    </cfRule>
  </conditionalFormatting>
  <conditionalFormatting sqref="D90:I127 K90:N127">
    <cfRule type="cellIs" dxfId="44" priority="20" operator="equal">
      <formula>$D$150</formula>
    </cfRule>
    <cfRule type="cellIs" dxfId="43" priority="21" operator="equal">
      <formula>$E$150</formula>
    </cfRule>
    <cfRule type="cellIs" dxfId="42" priority="22" operator="equal">
      <formula>$F$150</formula>
    </cfRule>
    <cfRule type="cellIs" dxfId="41" priority="23" operator="equal">
      <formula>$G$150</formula>
    </cfRule>
    <cfRule type="cellIs" dxfId="40" priority="24" operator="equal">
      <formula>$H$150</formula>
    </cfRule>
    <cfRule type="cellIs" dxfId="39" priority="25" operator="equal">
      <formula>$I$150</formula>
    </cfRule>
    <cfRule type="cellIs" dxfId="38" priority="26" operator="equal">
      <formula>$K$150</formula>
    </cfRule>
    <cfRule type="cellIs" dxfId="37" priority="27" operator="equal">
      <formula>$L$150</formula>
    </cfRule>
    <cfRule type="cellIs" dxfId="36" priority="28" operator="equal">
      <formula>$M$150</formula>
    </cfRule>
  </conditionalFormatting>
  <conditionalFormatting sqref="J142">
    <cfRule type="colorScale" priority="10">
      <colorScale>
        <cfvo type="min"/>
        <cfvo type="max"/>
        <color theme="6" tint="0.79998168889431442"/>
        <color theme="6" tint="-0.499984740745262"/>
      </colorScale>
    </cfRule>
  </conditionalFormatting>
  <conditionalFormatting sqref="J131:J135">
    <cfRule type="cellIs" dxfId="35" priority="11" operator="equal">
      <formula>$D$150</formula>
    </cfRule>
    <cfRule type="cellIs" dxfId="34" priority="12" operator="equal">
      <formula>$E$150</formula>
    </cfRule>
    <cfRule type="cellIs" dxfId="33" priority="13" operator="equal">
      <formula>$F$150</formula>
    </cfRule>
    <cfRule type="cellIs" dxfId="32" priority="14" operator="equal">
      <formula>$G$150</formula>
    </cfRule>
    <cfRule type="cellIs" dxfId="31" priority="15" operator="equal">
      <formula>$H$150</formula>
    </cfRule>
    <cfRule type="cellIs" dxfId="30" priority="16" operator="equal">
      <formula>$I$150</formula>
    </cfRule>
    <cfRule type="cellIs" dxfId="29" priority="17" operator="equal">
      <formula>$K$150</formula>
    </cfRule>
    <cfRule type="cellIs" dxfId="28" priority="18" operator="equal">
      <formula>$L$150</formula>
    </cfRule>
    <cfRule type="cellIs" dxfId="27" priority="19" operator="equal">
      <formula>$M$150</formula>
    </cfRule>
  </conditionalFormatting>
  <conditionalFormatting sqref="J90:J127">
    <cfRule type="cellIs" dxfId="26" priority="1" operator="equal">
      <formula>$D$150</formula>
    </cfRule>
    <cfRule type="cellIs" dxfId="25" priority="2" operator="equal">
      <formula>$E$150</formula>
    </cfRule>
    <cfRule type="cellIs" dxfId="24" priority="3" operator="equal">
      <formula>$F$150</formula>
    </cfRule>
    <cfRule type="cellIs" dxfId="23" priority="4" operator="equal">
      <formula>$G$150</formula>
    </cfRule>
    <cfRule type="cellIs" dxfId="22" priority="5" operator="equal">
      <formula>$H$150</formula>
    </cfRule>
    <cfRule type="cellIs" dxfId="21" priority="6" operator="equal">
      <formula>$I$150</formula>
    </cfRule>
    <cfRule type="cellIs" dxfId="20" priority="7" operator="equal">
      <formula>$K$150</formula>
    </cfRule>
    <cfRule type="cellIs" dxfId="19" priority="8" operator="equal">
      <formula>$L$150</formula>
    </cfRule>
    <cfRule type="cellIs" dxfId="18" priority="9" operator="equal">
      <formula>$M$150</formula>
    </cfRule>
  </conditionalFormatting>
  <pageMargins left="0.25" right="0.25" top="0.5" bottom="0.2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outlinePr summaryBelow="0" summaryRight="0"/>
  </sheetPr>
  <dimension ref="A1:V396"/>
  <sheetViews>
    <sheetView showGridLines="0" zoomScale="70" zoomScaleNormal="70" workbookViewId="0">
      <pane xSplit="2" ySplit="4" topLeftCell="C147" activePane="bottomRight" state="frozen"/>
      <selection activeCell="C5" sqref="C5"/>
      <selection pane="topRight" activeCell="C5" sqref="C5"/>
      <selection pane="bottomLeft" activeCell="C5" sqref="C5"/>
      <selection pane="bottomRight" sqref="A1:N1"/>
    </sheetView>
  </sheetViews>
  <sheetFormatPr defaultRowHeight="12.75" outlineLevelRow="1" x14ac:dyDescent="0.2"/>
  <cols>
    <col min="1" max="1" width="7.28515625" style="1" customWidth="1"/>
    <col min="2" max="2" width="10.85546875" style="1" bestFit="1" customWidth="1"/>
    <col min="3" max="3" width="13.7109375" style="1" bestFit="1" customWidth="1"/>
    <col min="4" max="4" width="13.140625" style="1" customWidth="1"/>
    <col min="5" max="5" width="12.5703125" style="1" customWidth="1"/>
    <col min="6" max="6" width="13" style="1" customWidth="1"/>
    <col min="7" max="7" width="12.42578125" style="1" customWidth="1"/>
    <col min="8" max="8" width="12.85546875" style="1" customWidth="1"/>
    <col min="9" max="9" width="12.28515625" style="1" customWidth="1"/>
    <col min="10" max="11" width="12.42578125" style="1" customWidth="1"/>
    <col min="12" max="14" width="12.5703125" style="1" bestFit="1" customWidth="1"/>
    <col min="15" max="15" width="14.28515625" style="154" customWidth="1"/>
    <col min="16" max="16" width="16.42578125" style="1" customWidth="1"/>
    <col min="17" max="17" width="14.85546875" style="1" customWidth="1"/>
    <col min="18" max="18" width="16.85546875" style="1" customWidth="1"/>
    <col min="19" max="19" width="9.140625" style="1"/>
    <col min="20" max="20" width="11.140625" style="1" customWidth="1"/>
    <col min="21" max="21" width="11.28515625" style="1" bestFit="1" customWidth="1"/>
    <col min="22" max="22" width="10.5703125" style="1" bestFit="1" customWidth="1"/>
    <col min="23" max="16384" width="9.140625" style="1"/>
  </cols>
  <sheetData>
    <row r="1" spans="1:22" ht="41.25" customHeight="1" x14ac:dyDescent="0.2">
      <c r="A1" s="257" t="s">
        <v>105</v>
      </c>
      <c r="B1" s="257"/>
      <c r="C1" s="257"/>
      <c r="D1" s="257"/>
      <c r="E1" s="257"/>
      <c r="F1" s="257"/>
      <c r="G1" s="257"/>
      <c r="H1" s="257"/>
      <c r="I1" s="257"/>
      <c r="J1" s="257"/>
      <c r="K1" s="257"/>
      <c r="L1" s="257"/>
      <c r="M1" s="257"/>
      <c r="N1" s="257"/>
    </row>
    <row r="2" spans="1:22" ht="13.5" thickBot="1" x14ac:dyDescent="0.25">
      <c r="A2" s="72"/>
      <c r="B2" s="71"/>
      <c r="C2" s="71"/>
      <c r="D2" s="71"/>
      <c r="E2" s="71"/>
      <c r="F2" s="71"/>
      <c r="G2" s="71"/>
      <c r="H2" s="71"/>
    </row>
    <row r="3" spans="1:22" ht="12.75" customHeight="1" thickBot="1" x14ac:dyDescent="0.25">
      <c r="A3" s="258" t="s">
        <v>24</v>
      </c>
      <c r="B3" s="260" t="s">
        <v>23</v>
      </c>
      <c r="C3" s="262" t="s">
        <v>74</v>
      </c>
      <c r="D3" s="248" t="s">
        <v>35</v>
      </c>
      <c r="E3" s="248"/>
      <c r="F3" s="248"/>
      <c r="G3" s="248"/>
      <c r="H3" s="250" t="s">
        <v>18</v>
      </c>
      <c r="I3" s="225" t="s">
        <v>17</v>
      </c>
      <c r="J3" s="227" t="s">
        <v>97</v>
      </c>
      <c r="K3" s="227" t="s">
        <v>16</v>
      </c>
      <c r="L3" s="229" t="s">
        <v>34</v>
      </c>
      <c r="M3" s="230"/>
      <c r="N3" s="231"/>
      <c r="P3" s="254" t="s">
        <v>94</v>
      </c>
      <c r="Q3" s="255"/>
      <c r="R3" s="256"/>
    </row>
    <row r="4" spans="1:22" ht="54" customHeight="1" thickBot="1" x14ac:dyDescent="0.25">
      <c r="A4" s="267"/>
      <c r="B4" s="268"/>
      <c r="C4" s="269"/>
      <c r="D4" s="122"/>
      <c r="E4" s="123" t="s">
        <v>33</v>
      </c>
      <c r="F4" s="123" t="s">
        <v>32</v>
      </c>
      <c r="G4" s="124" t="s">
        <v>31</v>
      </c>
      <c r="H4" s="264"/>
      <c r="I4" s="265"/>
      <c r="J4" s="266"/>
      <c r="K4" s="266"/>
      <c r="L4" s="125" t="s">
        <v>14</v>
      </c>
      <c r="M4" s="126" t="s">
        <v>13</v>
      </c>
      <c r="N4" s="135" t="s">
        <v>12</v>
      </c>
      <c r="P4" s="157" t="s">
        <v>87</v>
      </c>
      <c r="Q4" s="121" t="s">
        <v>92</v>
      </c>
      <c r="R4" s="158" t="s">
        <v>93</v>
      </c>
      <c r="T4" s="204" t="s">
        <v>96</v>
      </c>
    </row>
    <row r="5" spans="1:22" x14ac:dyDescent="0.2">
      <c r="A5" s="40">
        <v>3656</v>
      </c>
      <c r="B5" s="39" t="s">
        <v>73</v>
      </c>
      <c r="C5" s="70">
        <f>SUM(D5:N5)</f>
        <v>12814418.913018722</v>
      </c>
      <c r="D5" s="82">
        <f>D48/$C$86*$C$43</f>
        <v>4672979.1651849868</v>
      </c>
      <c r="E5" s="67">
        <f t="shared" ref="E5:N5" si="0">E48/$C$86*$C$43</f>
        <v>2260683.4761350485</v>
      </c>
      <c r="F5" s="67">
        <f t="shared" si="0"/>
        <v>0</v>
      </c>
      <c r="G5" s="66">
        <f t="shared" si="0"/>
        <v>0</v>
      </c>
      <c r="H5" s="68">
        <f t="shared" si="0"/>
        <v>0</v>
      </c>
      <c r="I5" s="66">
        <f t="shared" si="0"/>
        <v>0</v>
      </c>
      <c r="J5" s="69">
        <f t="shared" ref="J5" si="1">J48/$C$86*$C$43</f>
        <v>510166.1523835212</v>
      </c>
      <c r="K5" s="69">
        <f t="shared" si="0"/>
        <v>3869005.7336831195</v>
      </c>
      <c r="L5" s="68">
        <f t="shared" si="0"/>
        <v>1082269.3004379177</v>
      </c>
      <c r="M5" s="67">
        <f t="shared" si="0"/>
        <v>297506.38467512804</v>
      </c>
      <c r="N5" s="66">
        <f t="shared" si="0"/>
        <v>121808.70051899985</v>
      </c>
      <c r="P5" s="74">
        <v>5.3941374102444546E-2</v>
      </c>
      <c r="Q5" s="119">
        <f t="shared" ref="Q5:Q42" si="2">MIN(0,C48/$C$86-P5+$Q$44)*-1*$R$43</f>
        <v>0</v>
      </c>
      <c r="R5" s="159">
        <f t="shared" ref="R5:R42" si="3">C5+Q5</f>
        <v>12814418.913018722</v>
      </c>
      <c r="T5" s="205">
        <f>R5-P5*$R$43</f>
        <v>138195.99894425459</v>
      </c>
      <c r="U5" s="202"/>
      <c r="V5" s="203"/>
    </row>
    <row r="6" spans="1:22" x14ac:dyDescent="0.2">
      <c r="A6" s="20">
        <v>3658</v>
      </c>
      <c r="B6" s="19" t="s">
        <v>72</v>
      </c>
      <c r="C6" s="55">
        <f t="shared" ref="C6:C42" si="4">SUM(D6:N6)</f>
        <v>24694262.811463051</v>
      </c>
      <c r="D6" s="15">
        <f t="shared" ref="D6:N21" si="5">D49/$C$86*$C$43</f>
        <v>6942677.9047872042</v>
      </c>
      <c r="E6" s="14">
        <f t="shared" si="5"/>
        <v>9669206.3715552352</v>
      </c>
      <c r="F6" s="14">
        <f t="shared" si="5"/>
        <v>0</v>
      </c>
      <c r="G6" s="13">
        <f t="shared" si="5"/>
        <v>0</v>
      </c>
      <c r="H6" s="15">
        <f t="shared" si="5"/>
        <v>0</v>
      </c>
      <c r="I6" s="13">
        <f t="shared" si="5"/>
        <v>0</v>
      </c>
      <c r="J6" s="16">
        <f t="shared" ref="J6" si="6">J49/$C$86*$C$43</f>
        <v>95840.462152973618</v>
      </c>
      <c r="K6" s="16">
        <f t="shared" si="5"/>
        <v>2585379.8904605233</v>
      </c>
      <c r="L6" s="15">
        <f t="shared" si="5"/>
        <v>506508.43542038201</v>
      </c>
      <c r="M6" s="14">
        <f t="shared" si="5"/>
        <v>1048308.4072821407</v>
      </c>
      <c r="N6" s="13">
        <f t="shared" si="5"/>
        <v>3846341.3398045907</v>
      </c>
      <c r="P6" s="74">
        <v>9.7535367886092073E-2</v>
      </c>
      <c r="Q6" s="120">
        <f t="shared" si="2"/>
        <v>0</v>
      </c>
      <c r="R6" s="160">
        <f t="shared" si="3"/>
        <v>24694262.811463051</v>
      </c>
      <c r="T6" s="206">
        <f t="shared" ref="T6:T43" si="7">R6-P6*$R$43</f>
        <v>1773451.3582314141</v>
      </c>
      <c r="U6" s="202"/>
      <c r="V6" s="203"/>
    </row>
    <row r="7" spans="1:22" x14ac:dyDescent="0.2">
      <c r="A7" s="20">
        <v>9741</v>
      </c>
      <c r="B7" s="19" t="s">
        <v>71</v>
      </c>
      <c r="C7" s="55">
        <f t="shared" si="4"/>
        <v>6379354.2604234396</v>
      </c>
      <c r="D7" s="15">
        <f t="shared" si="5"/>
        <v>2228465.3531860649</v>
      </c>
      <c r="E7" s="14">
        <f t="shared" si="5"/>
        <v>1827713.0005047708</v>
      </c>
      <c r="F7" s="14">
        <f t="shared" si="5"/>
        <v>0</v>
      </c>
      <c r="G7" s="13">
        <f t="shared" si="5"/>
        <v>0</v>
      </c>
      <c r="H7" s="15">
        <f t="shared" si="5"/>
        <v>0</v>
      </c>
      <c r="I7" s="13">
        <f t="shared" si="5"/>
        <v>0</v>
      </c>
      <c r="J7" s="16">
        <f t="shared" ref="J7" si="8">J50/$C$86*$C$43</f>
        <v>252134.13889474596</v>
      </c>
      <c r="K7" s="16">
        <f t="shared" si="5"/>
        <v>1310859.5378392357</v>
      </c>
      <c r="L7" s="15">
        <f t="shared" si="5"/>
        <v>524802.19381028286</v>
      </c>
      <c r="M7" s="14">
        <f t="shared" si="5"/>
        <v>165631.9781823185</v>
      </c>
      <c r="N7" s="13">
        <f t="shared" si="5"/>
        <v>69748.058006020467</v>
      </c>
      <c r="P7" s="74">
        <v>3.0845130992374833E-2</v>
      </c>
      <c r="Q7" s="120">
        <f t="shared" si="2"/>
        <v>0</v>
      </c>
      <c r="R7" s="160">
        <f t="shared" si="3"/>
        <v>6379354.2604234396</v>
      </c>
      <c r="T7" s="206">
        <f t="shared" si="7"/>
        <v>-869251.5227846466</v>
      </c>
      <c r="U7" s="202"/>
      <c r="V7" s="203"/>
    </row>
    <row r="8" spans="1:22" x14ac:dyDescent="0.2">
      <c r="A8" s="20">
        <v>3661</v>
      </c>
      <c r="B8" s="19" t="s">
        <v>70</v>
      </c>
      <c r="C8" s="55">
        <f t="shared" si="4"/>
        <v>8601435.9403975997</v>
      </c>
      <c r="D8" s="15">
        <f t="shared" si="5"/>
        <v>2372342.4518351443</v>
      </c>
      <c r="E8" s="14">
        <f t="shared" si="5"/>
        <v>388589.69361059659</v>
      </c>
      <c r="F8" s="14">
        <f t="shared" si="5"/>
        <v>0</v>
      </c>
      <c r="G8" s="13">
        <f t="shared" si="5"/>
        <v>0</v>
      </c>
      <c r="H8" s="15">
        <f t="shared" si="5"/>
        <v>0</v>
      </c>
      <c r="I8" s="13">
        <f t="shared" si="5"/>
        <v>0</v>
      </c>
      <c r="J8" s="16">
        <f t="shared" ref="J8" si="9">J51/$C$86*$C$43</f>
        <v>88054.232974014085</v>
      </c>
      <c r="K8" s="16">
        <f t="shared" si="5"/>
        <v>3671830.4735711562</v>
      </c>
      <c r="L8" s="15">
        <f t="shared" si="5"/>
        <v>230219.913275984</v>
      </c>
      <c r="M8" s="14">
        <f t="shared" si="5"/>
        <v>781778.79816117906</v>
      </c>
      <c r="N8" s="13">
        <f t="shared" si="5"/>
        <v>1068620.3769695251</v>
      </c>
      <c r="P8" s="74">
        <v>3.8067899960727944E-2</v>
      </c>
      <c r="Q8" s="120">
        <f t="shared" si="2"/>
        <v>0</v>
      </c>
      <c r="R8" s="160">
        <f t="shared" si="3"/>
        <v>8601435.9403975997</v>
      </c>
      <c r="T8" s="206">
        <f t="shared" si="7"/>
        <v>-344520.55037346669</v>
      </c>
      <c r="U8" s="202"/>
      <c r="V8" s="203"/>
    </row>
    <row r="9" spans="1:22" x14ac:dyDescent="0.2">
      <c r="A9" s="20">
        <v>3599</v>
      </c>
      <c r="B9" s="19" t="s">
        <v>69</v>
      </c>
      <c r="C9" s="55">
        <f t="shared" si="4"/>
        <v>7916248.7556282599</v>
      </c>
      <c r="D9" s="15">
        <f t="shared" si="5"/>
        <v>2002173.2174467363</v>
      </c>
      <c r="E9" s="14">
        <f t="shared" si="5"/>
        <v>724866.79164441628</v>
      </c>
      <c r="F9" s="14">
        <f t="shared" si="5"/>
        <v>0</v>
      </c>
      <c r="G9" s="13">
        <f t="shared" si="5"/>
        <v>0</v>
      </c>
      <c r="H9" s="15">
        <f t="shared" si="5"/>
        <v>0</v>
      </c>
      <c r="I9" s="13">
        <f t="shared" si="5"/>
        <v>0</v>
      </c>
      <c r="J9" s="16">
        <f t="shared" ref="J9" si="10">J52/$C$86*$C$43</f>
        <v>70153.666223715103</v>
      </c>
      <c r="K9" s="16">
        <f t="shared" si="5"/>
        <v>3484091.8128096382</v>
      </c>
      <c r="L9" s="15">
        <f t="shared" si="5"/>
        <v>215057.20199512382</v>
      </c>
      <c r="M9" s="14">
        <f t="shared" si="5"/>
        <v>360391.17914041248</v>
      </c>
      <c r="N9" s="13">
        <f t="shared" si="5"/>
        <v>1059514.8863682169</v>
      </c>
      <c r="P9" s="74">
        <v>3.6041180893975448E-2</v>
      </c>
      <c r="Q9" s="120">
        <f t="shared" si="2"/>
        <v>0</v>
      </c>
      <c r="R9" s="160">
        <f t="shared" si="3"/>
        <v>7916248.7556282599</v>
      </c>
      <c r="T9" s="206">
        <f t="shared" si="7"/>
        <v>-553428.7544559706</v>
      </c>
      <c r="U9" s="202"/>
      <c r="V9" s="203"/>
    </row>
    <row r="10" spans="1:22" x14ac:dyDescent="0.2">
      <c r="A10" s="20">
        <v>30646</v>
      </c>
      <c r="B10" s="19" t="s">
        <v>68</v>
      </c>
      <c r="C10" s="55">
        <f t="shared" si="4"/>
        <v>3363838.4774734373</v>
      </c>
      <c r="D10" s="15">
        <f t="shared" si="5"/>
        <v>847431.45482629293</v>
      </c>
      <c r="E10" s="14">
        <f t="shared" si="5"/>
        <v>409486.00033818919</v>
      </c>
      <c r="F10" s="14">
        <f t="shared" si="5"/>
        <v>0</v>
      </c>
      <c r="G10" s="13">
        <f t="shared" si="5"/>
        <v>0</v>
      </c>
      <c r="H10" s="15">
        <f t="shared" si="5"/>
        <v>0</v>
      </c>
      <c r="I10" s="13">
        <f t="shared" si="5"/>
        <v>0</v>
      </c>
      <c r="J10" s="16">
        <f t="shared" ref="J10" si="11">J53/$C$86*$C$43</f>
        <v>556262.69855264353</v>
      </c>
      <c r="K10" s="16">
        <f t="shared" si="5"/>
        <v>1395623.3776186861</v>
      </c>
      <c r="L10" s="15">
        <f t="shared" si="5"/>
        <v>104986.82399050354</v>
      </c>
      <c r="M10" s="14">
        <f t="shared" si="5"/>
        <v>43173.476743134408</v>
      </c>
      <c r="N10" s="13">
        <f t="shared" si="5"/>
        <v>6874.645403987658</v>
      </c>
      <c r="P10" s="74">
        <v>1.3127311227878089E-2</v>
      </c>
      <c r="Q10" s="120">
        <f t="shared" si="2"/>
        <v>0</v>
      </c>
      <c r="R10" s="160">
        <f t="shared" si="3"/>
        <v>3363838.4774734373</v>
      </c>
      <c r="T10" s="206">
        <f t="shared" si="7"/>
        <v>278920.33892208664</v>
      </c>
      <c r="U10" s="202"/>
      <c r="V10" s="203"/>
    </row>
    <row r="11" spans="1:22" x14ac:dyDescent="0.2">
      <c r="A11" s="20">
        <v>9930</v>
      </c>
      <c r="B11" s="19" t="s">
        <v>67</v>
      </c>
      <c r="C11" s="55">
        <f t="shared" si="4"/>
        <v>1447829.9149242546</v>
      </c>
      <c r="D11" s="15">
        <f t="shared" si="5"/>
        <v>413885.93642309797</v>
      </c>
      <c r="E11" s="14">
        <f t="shared" si="5"/>
        <v>205817.19846447816</v>
      </c>
      <c r="F11" s="14">
        <f t="shared" si="5"/>
        <v>0</v>
      </c>
      <c r="G11" s="13">
        <f t="shared" si="5"/>
        <v>0</v>
      </c>
      <c r="H11" s="15">
        <f t="shared" si="5"/>
        <v>0</v>
      </c>
      <c r="I11" s="13">
        <f t="shared" si="5"/>
        <v>0</v>
      </c>
      <c r="J11" s="16">
        <f t="shared" ref="J11" si="12">J54/$C$86*$C$43</f>
        <v>57814.691744101496</v>
      </c>
      <c r="K11" s="16">
        <f t="shared" si="5"/>
        <v>594505.75907813781</v>
      </c>
      <c r="L11" s="15">
        <f t="shared" si="5"/>
        <v>124379.96689902831</v>
      </c>
      <c r="M11" s="14">
        <f t="shared" si="5"/>
        <v>38155.109764004344</v>
      </c>
      <c r="N11" s="13">
        <f t="shared" si="5"/>
        <v>13271.252551406638</v>
      </c>
      <c r="P11" s="74">
        <v>6.658597974462911E-3</v>
      </c>
      <c r="Q11" s="120">
        <f t="shared" si="2"/>
        <v>0</v>
      </c>
      <c r="R11" s="160">
        <f t="shared" si="3"/>
        <v>1447829.9149242546</v>
      </c>
      <c r="T11" s="206">
        <f t="shared" si="7"/>
        <v>-116940.60907452949</v>
      </c>
      <c r="U11" s="202"/>
      <c r="V11" s="203"/>
    </row>
    <row r="12" spans="1:22" x14ac:dyDescent="0.2">
      <c r="A12" s="20">
        <v>10115</v>
      </c>
      <c r="B12" s="19" t="s">
        <v>66</v>
      </c>
      <c r="C12" s="55">
        <f t="shared" si="4"/>
        <v>11430155.39371605</v>
      </c>
      <c r="D12" s="15">
        <f t="shared" si="5"/>
        <v>3197010.1801581671</v>
      </c>
      <c r="E12" s="14">
        <f t="shared" si="5"/>
        <v>1509841.341082697</v>
      </c>
      <c r="F12" s="14">
        <f t="shared" si="5"/>
        <v>0</v>
      </c>
      <c r="G12" s="13">
        <f t="shared" si="5"/>
        <v>0</v>
      </c>
      <c r="H12" s="15">
        <f t="shared" si="5"/>
        <v>0</v>
      </c>
      <c r="I12" s="13">
        <f t="shared" si="5"/>
        <v>0</v>
      </c>
      <c r="J12" s="16">
        <f t="shared" ref="J12" si="13">J55/$C$86*$C$43</f>
        <v>109136.54786056562</v>
      </c>
      <c r="K12" s="16">
        <f t="shared" si="5"/>
        <v>4654230.1322650202</v>
      </c>
      <c r="L12" s="15">
        <f t="shared" si="5"/>
        <v>1078047.6638864023</v>
      </c>
      <c r="M12" s="14">
        <f t="shared" si="5"/>
        <v>346008.6428497099</v>
      </c>
      <c r="N12" s="13">
        <f t="shared" si="5"/>
        <v>535880.88561348815</v>
      </c>
      <c r="P12" s="74">
        <v>5.1993931386758195E-2</v>
      </c>
      <c r="Q12" s="120">
        <f t="shared" si="2"/>
        <v>0</v>
      </c>
      <c r="R12" s="160">
        <f t="shared" si="3"/>
        <v>11430155.39371605</v>
      </c>
      <c r="T12" s="206">
        <f t="shared" si="7"/>
        <v>-788418.48217212595</v>
      </c>
      <c r="U12" s="202"/>
      <c r="V12" s="203"/>
    </row>
    <row r="13" spans="1:22" x14ac:dyDescent="0.2">
      <c r="A13" s="20">
        <v>11163</v>
      </c>
      <c r="B13" s="19" t="s">
        <v>65</v>
      </c>
      <c r="C13" s="55">
        <f t="shared" si="4"/>
        <v>3366407.3821756109</v>
      </c>
      <c r="D13" s="15">
        <f t="shared" si="5"/>
        <v>923482.99564403715</v>
      </c>
      <c r="E13" s="14">
        <f t="shared" si="5"/>
        <v>533354.52585756162</v>
      </c>
      <c r="F13" s="14">
        <f t="shared" si="5"/>
        <v>0</v>
      </c>
      <c r="G13" s="13">
        <f t="shared" si="5"/>
        <v>0</v>
      </c>
      <c r="H13" s="15">
        <f t="shared" si="5"/>
        <v>0</v>
      </c>
      <c r="I13" s="13">
        <f t="shared" si="5"/>
        <v>0</v>
      </c>
      <c r="J13" s="16">
        <f t="shared" ref="J13" si="14">J56/$C$86*$C$43</f>
        <v>296290.59473688522</v>
      </c>
      <c r="K13" s="16">
        <f t="shared" si="5"/>
        <v>1404066.6507217174</v>
      </c>
      <c r="L13" s="15">
        <f t="shared" si="5"/>
        <v>113693.94937800444</v>
      </c>
      <c r="M13" s="14">
        <f t="shared" si="5"/>
        <v>69067.215640604467</v>
      </c>
      <c r="N13" s="13">
        <f t="shared" si="5"/>
        <v>26451.45019680019</v>
      </c>
      <c r="P13" s="74">
        <v>1.2069401585431769E-2</v>
      </c>
      <c r="Q13" s="120">
        <f t="shared" si="2"/>
        <v>0</v>
      </c>
      <c r="R13" s="160">
        <f t="shared" si="3"/>
        <v>3366407.3821756109</v>
      </c>
      <c r="T13" s="206">
        <f t="shared" si="7"/>
        <v>530098.00959914504</v>
      </c>
      <c r="U13" s="202"/>
      <c r="V13" s="203"/>
    </row>
    <row r="14" spans="1:22" x14ac:dyDescent="0.2">
      <c r="A14" s="20">
        <v>3632</v>
      </c>
      <c r="B14" s="19" t="s">
        <v>64</v>
      </c>
      <c r="C14" s="55">
        <f t="shared" si="4"/>
        <v>24655181.631916288</v>
      </c>
      <c r="D14" s="15">
        <f t="shared" si="5"/>
        <v>6782297.1044232519</v>
      </c>
      <c r="E14" s="14">
        <f t="shared" si="5"/>
        <v>9578773.8465190455</v>
      </c>
      <c r="F14" s="14">
        <f t="shared" si="5"/>
        <v>0</v>
      </c>
      <c r="G14" s="13">
        <f t="shared" si="5"/>
        <v>0</v>
      </c>
      <c r="H14" s="15">
        <f t="shared" si="5"/>
        <v>0</v>
      </c>
      <c r="I14" s="13">
        <f t="shared" si="5"/>
        <v>0</v>
      </c>
      <c r="J14" s="16">
        <f t="shared" ref="J14" si="15">J57/$C$86*$C$43</f>
        <v>183584.28067467036</v>
      </c>
      <c r="K14" s="16">
        <f t="shared" si="5"/>
        <v>2774360.2090313104</v>
      </c>
      <c r="L14" s="15">
        <f t="shared" si="5"/>
        <v>530905.97665768245</v>
      </c>
      <c r="M14" s="14">
        <f t="shared" si="5"/>
        <v>1036861.8743529398</v>
      </c>
      <c r="N14" s="13">
        <f t="shared" si="5"/>
        <v>3768398.3402573927</v>
      </c>
      <c r="P14" s="74">
        <v>0.10514316433214833</v>
      </c>
      <c r="Q14" s="120">
        <f t="shared" si="2"/>
        <v>0</v>
      </c>
      <c r="R14" s="160">
        <f t="shared" si="3"/>
        <v>24655181.631916288</v>
      </c>
      <c r="T14" s="206">
        <f t="shared" si="7"/>
        <v>-53461.986138571054</v>
      </c>
      <c r="U14" s="202"/>
      <c r="V14" s="203"/>
    </row>
    <row r="15" spans="1:22" x14ac:dyDescent="0.2">
      <c r="A15" s="20">
        <v>10298</v>
      </c>
      <c r="B15" s="19" t="s">
        <v>63</v>
      </c>
      <c r="C15" s="55">
        <f t="shared" si="4"/>
        <v>1170525.0234329309</v>
      </c>
      <c r="D15" s="15">
        <f t="shared" si="5"/>
        <v>384603.50642116362</v>
      </c>
      <c r="E15" s="14">
        <f t="shared" si="5"/>
        <v>225189.62638188497</v>
      </c>
      <c r="F15" s="14">
        <f t="shared" si="5"/>
        <v>0</v>
      </c>
      <c r="G15" s="13">
        <f t="shared" si="5"/>
        <v>0</v>
      </c>
      <c r="H15" s="15">
        <f t="shared" si="5"/>
        <v>0</v>
      </c>
      <c r="I15" s="13">
        <f t="shared" si="5"/>
        <v>0</v>
      </c>
      <c r="J15" s="16">
        <f t="shared" ref="J15" si="16">J58/$C$86*$C$43</f>
        <v>7915.568534091748</v>
      </c>
      <c r="K15" s="16">
        <f t="shared" si="5"/>
        <v>294272.90079682262</v>
      </c>
      <c r="L15" s="15">
        <f t="shared" si="5"/>
        <v>70329.826425405176</v>
      </c>
      <c r="M15" s="14">
        <f t="shared" si="5"/>
        <v>37016.923438840815</v>
      </c>
      <c r="N15" s="13">
        <f t="shared" si="5"/>
        <v>151196.67143472191</v>
      </c>
      <c r="P15" s="74">
        <v>7.0859752523080169E-3</v>
      </c>
      <c r="Q15" s="120">
        <f t="shared" si="2"/>
        <v>0</v>
      </c>
      <c r="R15" s="160">
        <f t="shared" si="3"/>
        <v>1170525.0234329309</v>
      </c>
      <c r="T15" s="206">
        <f t="shared" si="7"/>
        <v>-494679.16085945303</v>
      </c>
      <c r="U15" s="202"/>
      <c r="V15" s="203"/>
    </row>
    <row r="16" spans="1:22" x14ac:dyDescent="0.2">
      <c r="A16" s="20">
        <v>3630</v>
      </c>
      <c r="B16" s="19" t="s">
        <v>62</v>
      </c>
      <c r="C16" s="55">
        <f t="shared" si="4"/>
        <v>2912452.027306315</v>
      </c>
      <c r="D16" s="15">
        <f t="shared" si="5"/>
        <v>726628.49713280133</v>
      </c>
      <c r="E16" s="14">
        <f t="shared" si="5"/>
        <v>75617.805601620188</v>
      </c>
      <c r="F16" s="14">
        <f t="shared" si="5"/>
        <v>0</v>
      </c>
      <c r="G16" s="13">
        <f t="shared" si="5"/>
        <v>0</v>
      </c>
      <c r="H16" s="15">
        <f t="shared" si="5"/>
        <v>0</v>
      </c>
      <c r="I16" s="13">
        <f t="shared" si="5"/>
        <v>0</v>
      </c>
      <c r="J16" s="16">
        <f t="shared" ref="J16" si="17">J59/$C$86*$C$43</f>
        <v>12649.388931930929</v>
      </c>
      <c r="K16" s="16">
        <f t="shared" si="5"/>
        <v>1195964.8018881837</v>
      </c>
      <c r="L16" s="15">
        <f t="shared" si="5"/>
        <v>132031.68314865034</v>
      </c>
      <c r="M16" s="14">
        <f t="shared" si="5"/>
        <v>274949.60114006925</v>
      </c>
      <c r="N16" s="13">
        <f t="shared" si="5"/>
        <v>494610.24946305907</v>
      </c>
      <c r="P16" s="74">
        <v>1.5279410782616385E-2</v>
      </c>
      <c r="Q16" s="120">
        <f t="shared" si="2"/>
        <v>0</v>
      </c>
      <c r="R16" s="160">
        <f t="shared" si="3"/>
        <v>2912452.027306315</v>
      </c>
      <c r="T16" s="206">
        <f t="shared" si="7"/>
        <v>-678209.50660853554</v>
      </c>
      <c r="U16" s="202"/>
      <c r="V16" s="203"/>
    </row>
    <row r="17" spans="1:22" x14ac:dyDescent="0.2">
      <c r="A17" s="20">
        <v>3631</v>
      </c>
      <c r="B17" s="19" t="s">
        <v>61</v>
      </c>
      <c r="C17" s="55">
        <f t="shared" si="4"/>
        <v>4297304.9788162932</v>
      </c>
      <c r="D17" s="15">
        <f t="shared" si="5"/>
        <v>1199234.5007859261</v>
      </c>
      <c r="E17" s="14">
        <f t="shared" si="5"/>
        <v>642022.18234075361</v>
      </c>
      <c r="F17" s="14">
        <f t="shared" si="5"/>
        <v>0</v>
      </c>
      <c r="G17" s="13">
        <f t="shared" si="5"/>
        <v>0</v>
      </c>
      <c r="H17" s="15">
        <f t="shared" si="5"/>
        <v>0</v>
      </c>
      <c r="I17" s="13">
        <f t="shared" si="5"/>
        <v>0</v>
      </c>
      <c r="J17" s="16">
        <f t="shared" ref="J17" si="18">J60/$C$86*$C$43</f>
        <v>48398.786690476009</v>
      </c>
      <c r="K17" s="16">
        <f t="shared" si="5"/>
        <v>1780537.2984921671</v>
      </c>
      <c r="L17" s="15">
        <f t="shared" si="5"/>
        <v>170527.73145278322</v>
      </c>
      <c r="M17" s="14">
        <f t="shared" si="5"/>
        <v>103109.33391140429</v>
      </c>
      <c r="N17" s="13">
        <f t="shared" si="5"/>
        <v>353475.14514278254</v>
      </c>
      <c r="P17" s="74">
        <v>1.9985241623354359E-2</v>
      </c>
      <c r="Q17" s="120">
        <f t="shared" si="2"/>
        <v>0</v>
      </c>
      <c r="R17" s="160">
        <f t="shared" si="3"/>
        <v>4297304.9788162932</v>
      </c>
      <c r="T17" s="206">
        <f t="shared" si="7"/>
        <v>-399226.80267198104</v>
      </c>
      <c r="U17" s="202"/>
      <c r="V17" s="203"/>
    </row>
    <row r="18" spans="1:22" x14ac:dyDescent="0.2">
      <c r="A18" s="65">
        <v>103631</v>
      </c>
      <c r="B18" s="19" t="s">
        <v>60</v>
      </c>
      <c r="C18" s="55">
        <f t="shared" si="4"/>
        <v>1192301.4353820125</v>
      </c>
      <c r="D18" s="15">
        <f t="shared" si="5"/>
        <v>357235.29887518636</v>
      </c>
      <c r="E18" s="14">
        <f t="shared" si="5"/>
        <v>191249.48960581981</v>
      </c>
      <c r="F18" s="14">
        <f t="shared" si="5"/>
        <v>0</v>
      </c>
      <c r="G18" s="13">
        <f t="shared" si="5"/>
        <v>0</v>
      </c>
      <c r="H18" s="15">
        <f t="shared" si="5"/>
        <v>0</v>
      </c>
      <c r="I18" s="13">
        <f t="shared" si="5"/>
        <v>0</v>
      </c>
      <c r="J18" s="16">
        <f t="shared" ref="J18" si="19">J61/$C$86*$C$43</f>
        <v>104764.87765709666</v>
      </c>
      <c r="K18" s="16">
        <f t="shared" si="5"/>
        <v>487226.52435727086</v>
      </c>
      <c r="L18" s="15">
        <f t="shared" si="5"/>
        <v>39182.064243754146</v>
      </c>
      <c r="M18" s="14">
        <f t="shared" si="5"/>
        <v>10321.280539551004</v>
      </c>
      <c r="N18" s="13">
        <f t="shared" si="5"/>
        <v>2321.9001033335799</v>
      </c>
      <c r="P18" s="74">
        <v>3.4527219750504121E-3</v>
      </c>
      <c r="Q18" s="120">
        <f t="shared" si="2"/>
        <v>0</v>
      </c>
      <c r="R18" s="160">
        <f t="shared" si="3"/>
        <v>1192301.4353820125</v>
      </c>
      <c r="T18" s="206">
        <f t="shared" si="7"/>
        <v>380911.77124516561</v>
      </c>
      <c r="U18" s="202"/>
      <c r="V18" s="203"/>
    </row>
    <row r="19" spans="1:22" x14ac:dyDescent="0.2">
      <c r="A19" s="20">
        <v>11161</v>
      </c>
      <c r="B19" s="19" t="s">
        <v>59</v>
      </c>
      <c r="C19" s="55">
        <f t="shared" si="4"/>
        <v>3976283.5198032088</v>
      </c>
      <c r="D19" s="15">
        <f t="shared" si="5"/>
        <v>1077396.8282513767</v>
      </c>
      <c r="E19" s="14">
        <f t="shared" si="5"/>
        <v>612995.69940190332</v>
      </c>
      <c r="F19" s="14">
        <f t="shared" si="5"/>
        <v>0</v>
      </c>
      <c r="G19" s="13">
        <f t="shared" si="5"/>
        <v>0</v>
      </c>
      <c r="H19" s="15">
        <f t="shared" si="5"/>
        <v>0</v>
      </c>
      <c r="I19" s="13">
        <f t="shared" si="5"/>
        <v>0</v>
      </c>
      <c r="J19" s="16">
        <f t="shared" ref="J19" si="20">J62/$C$86*$C$43</f>
        <v>37534.280859369697</v>
      </c>
      <c r="K19" s="16">
        <f t="shared" si="5"/>
        <v>1609188.5208130048</v>
      </c>
      <c r="L19" s="15">
        <f t="shared" si="5"/>
        <v>108390.518460163</v>
      </c>
      <c r="M19" s="14">
        <f t="shared" si="5"/>
        <v>170883.15600068655</v>
      </c>
      <c r="N19" s="13">
        <f t="shared" si="5"/>
        <v>359894.51601670479</v>
      </c>
      <c r="P19" s="74">
        <v>1.9224284187157891E-2</v>
      </c>
      <c r="Q19" s="120">
        <f t="shared" si="2"/>
        <v>0</v>
      </c>
      <c r="R19" s="160">
        <f t="shared" si="3"/>
        <v>3976283.5198032088</v>
      </c>
      <c r="T19" s="206">
        <f t="shared" si="7"/>
        <v>-541423.26417889586</v>
      </c>
      <c r="U19" s="202"/>
      <c r="V19" s="203"/>
    </row>
    <row r="20" spans="1:22" x14ac:dyDescent="0.2">
      <c r="A20" s="20">
        <v>3639</v>
      </c>
      <c r="B20" s="19" t="s">
        <v>58</v>
      </c>
      <c r="C20" s="55">
        <f t="shared" si="4"/>
        <v>2246908.9641528218</v>
      </c>
      <c r="D20" s="15">
        <f t="shared" si="5"/>
        <v>591080.85295423667</v>
      </c>
      <c r="E20" s="14">
        <f t="shared" si="5"/>
        <v>99880.842532206938</v>
      </c>
      <c r="F20" s="14">
        <f t="shared" si="5"/>
        <v>0</v>
      </c>
      <c r="G20" s="13">
        <f t="shared" si="5"/>
        <v>0</v>
      </c>
      <c r="H20" s="15">
        <f t="shared" si="5"/>
        <v>0</v>
      </c>
      <c r="I20" s="13">
        <f t="shared" si="5"/>
        <v>0</v>
      </c>
      <c r="J20" s="16">
        <f t="shared" ref="J20" si="21">J63/$C$86*$C$43</f>
        <v>19814.789206255813</v>
      </c>
      <c r="K20" s="16">
        <f t="shared" si="5"/>
        <v>966009.77561151038</v>
      </c>
      <c r="L20" s="15">
        <f t="shared" si="5"/>
        <v>64766.940761168487</v>
      </c>
      <c r="M20" s="14">
        <f t="shared" si="5"/>
        <v>200139.71813159424</v>
      </c>
      <c r="N20" s="13">
        <f t="shared" si="5"/>
        <v>305216.0449558493</v>
      </c>
      <c r="P20" s="74">
        <v>1.296528221607569E-2</v>
      </c>
      <c r="Q20" s="120">
        <f t="shared" si="2"/>
        <v>0</v>
      </c>
      <c r="R20" s="160">
        <f t="shared" si="3"/>
        <v>2246908.9641528218</v>
      </c>
      <c r="T20" s="206">
        <f t="shared" si="7"/>
        <v>-799932.35662496556</v>
      </c>
      <c r="U20" s="202"/>
      <c r="V20" s="203"/>
    </row>
    <row r="21" spans="1:22" x14ac:dyDescent="0.2">
      <c r="A21" s="65">
        <v>103639</v>
      </c>
      <c r="B21" s="19" t="s">
        <v>57</v>
      </c>
      <c r="C21" s="55">
        <f t="shared" si="4"/>
        <v>1615377.533121862</v>
      </c>
      <c r="D21" s="15">
        <f t="shared" si="5"/>
        <v>456050.56619620096</v>
      </c>
      <c r="E21" s="14">
        <f t="shared" si="5"/>
        <v>154126.84935166809</v>
      </c>
      <c r="F21" s="14">
        <f t="shared" si="5"/>
        <v>0</v>
      </c>
      <c r="G21" s="13">
        <f t="shared" si="5"/>
        <v>0</v>
      </c>
      <c r="H21" s="15">
        <f t="shared" si="5"/>
        <v>0</v>
      </c>
      <c r="I21" s="13">
        <f t="shared" si="5"/>
        <v>0</v>
      </c>
      <c r="J21" s="16">
        <f t="shared" ref="J21" si="22">J64/$C$86*$C$43</f>
        <v>210667.94163935681</v>
      </c>
      <c r="K21" s="16">
        <f t="shared" si="5"/>
        <v>730591.45497405238</v>
      </c>
      <c r="L21" s="15">
        <f t="shared" si="5"/>
        <v>57757.265070422771</v>
      </c>
      <c r="M21" s="14">
        <f t="shared" si="5"/>
        <v>6001.3460781349195</v>
      </c>
      <c r="N21" s="13">
        <f t="shared" si="5"/>
        <v>182.10981202616313</v>
      </c>
      <c r="P21" s="74">
        <v>5.939285915308113E-3</v>
      </c>
      <c r="Q21" s="120">
        <f t="shared" si="2"/>
        <v>0</v>
      </c>
      <c r="R21" s="160">
        <f t="shared" si="3"/>
        <v>1615377.533121862</v>
      </c>
      <c r="T21" s="206">
        <f t="shared" si="7"/>
        <v>219645.34302445548</v>
      </c>
      <c r="U21" s="202"/>
      <c r="V21" s="203"/>
    </row>
    <row r="22" spans="1:22" x14ac:dyDescent="0.2">
      <c r="A22" s="20">
        <v>9651</v>
      </c>
      <c r="B22" s="19" t="s">
        <v>56</v>
      </c>
      <c r="C22" s="55">
        <f t="shared" si="4"/>
        <v>2442284.4843833684</v>
      </c>
      <c r="D22" s="15">
        <f t="shared" ref="D22:N37" si="23">D65/$C$86*$C$43</f>
        <v>612809.86461644934</v>
      </c>
      <c r="E22" s="14">
        <f t="shared" si="23"/>
        <v>324870.93622866704</v>
      </c>
      <c r="F22" s="14">
        <f t="shared" si="23"/>
        <v>0</v>
      </c>
      <c r="G22" s="13">
        <f t="shared" si="23"/>
        <v>0</v>
      </c>
      <c r="H22" s="15">
        <f t="shared" si="23"/>
        <v>0</v>
      </c>
      <c r="I22" s="13">
        <f t="shared" si="23"/>
        <v>0</v>
      </c>
      <c r="J22" s="16">
        <f t="shared" ref="J22" si="24">J65/$C$86*$C$43</f>
        <v>30239.541229912596</v>
      </c>
      <c r="K22" s="16">
        <f t="shared" si="23"/>
        <v>1061865.7584871</v>
      </c>
      <c r="L22" s="15">
        <f t="shared" si="23"/>
        <v>111345.6640462239</v>
      </c>
      <c r="M22" s="14">
        <f t="shared" si="23"/>
        <v>236458.20905272107</v>
      </c>
      <c r="N22" s="13">
        <f t="shared" si="23"/>
        <v>64694.51072229445</v>
      </c>
      <c r="P22" s="74">
        <v>1.0886031395541047E-2</v>
      </c>
      <c r="Q22" s="120">
        <f t="shared" si="2"/>
        <v>0</v>
      </c>
      <c r="R22" s="160">
        <f t="shared" si="3"/>
        <v>2442284.4843833684</v>
      </c>
      <c r="T22" s="206">
        <f t="shared" si="7"/>
        <v>-115932.89356877748</v>
      </c>
      <c r="U22" s="202"/>
      <c r="V22" s="203"/>
    </row>
    <row r="23" spans="1:22" x14ac:dyDescent="0.2">
      <c r="A23" s="20">
        <v>3665</v>
      </c>
      <c r="B23" s="19" t="s">
        <v>55</v>
      </c>
      <c r="C23" s="55">
        <f t="shared" si="4"/>
        <v>3362384.9006386031</v>
      </c>
      <c r="D23" s="15">
        <f t="shared" si="23"/>
        <v>974442.70156613132</v>
      </c>
      <c r="E23" s="14">
        <f t="shared" si="23"/>
        <v>513674.22198824747</v>
      </c>
      <c r="F23" s="14">
        <f t="shared" si="23"/>
        <v>0</v>
      </c>
      <c r="G23" s="13">
        <f t="shared" si="23"/>
        <v>0</v>
      </c>
      <c r="H23" s="15">
        <f t="shared" si="23"/>
        <v>0</v>
      </c>
      <c r="I23" s="13">
        <f t="shared" si="23"/>
        <v>0</v>
      </c>
      <c r="J23" s="16">
        <f t="shared" ref="J23" si="25">J66/$C$86*$C$43</f>
        <v>34042.118270799809</v>
      </c>
      <c r="K23" s="16">
        <f t="shared" si="23"/>
        <v>1325097.2140521903</v>
      </c>
      <c r="L23" s="15">
        <f t="shared" si="23"/>
        <v>283641.20580495428</v>
      </c>
      <c r="M23" s="14">
        <f t="shared" si="23"/>
        <v>141160.97219130283</v>
      </c>
      <c r="N23" s="13">
        <f t="shared" si="23"/>
        <v>90326.466764976911</v>
      </c>
      <c r="P23" s="74">
        <v>1.5183466872892367E-2</v>
      </c>
      <c r="Q23" s="120">
        <f t="shared" si="2"/>
        <v>0</v>
      </c>
      <c r="R23" s="160">
        <f t="shared" si="3"/>
        <v>3362384.9006386031</v>
      </c>
      <c r="T23" s="206">
        <f t="shared" si="7"/>
        <v>-205729.8144911034</v>
      </c>
      <c r="U23" s="202"/>
      <c r="V23" s="203"/>
    </row>
    <row r="24" spans="1:22" x14ac:dyDescent="0.2">
      <c r="A24" s="20">
        <v>3565</v>
      </c>
      <c r="B24" s="19" t="s">
        <v>54</v>
      </c>
      <c r="C24" s="55">
        <f t="shared" si="4"/>
        <v>3672598.3354547047</v>
      </c>
      <c r="D24" s="15">
        <f t="shared" si="23"/>
        <v>1027730.515880605</v>
      </c>
      <c r="E24" s="14">
        <f t="shared" si="23"/>
        <v>506465.59822596214</v>
      </c>
      <c r="F24" s="14">
        <f t="shared" si="23"/>
        <v>0</v>
      </c>
      <c r="G24" s="13">
        <f t="shared" si="23"/>
        <v>0</v>
      </c>
      <c r="H24" s="15">
        <f t="shared" si="23"/>
        <v>0</v>
      </c>
      <c r="I24" s="13">
        <f t="shared" si="23"/>
        <v>0</v>
      </c>
      <c r="J24" s="16">
        <f t="shared" ref="J24" si="26">J67/$C$86*$C$43</f>
        <v>350613.12389241683</v>
      </c>
      <c r="K24" s="16">
        <f t="shared" si="23"/>
        <v>1518795.8322982001</v>
      </c>
      <c r="L24" s="15">
        <f t="shared" si="23"/>
        <v>149841.71235035677</v>
      </c>
      <c r="M24" s="14">
        <f t="shared" si="23"/>
        <v>88261.175942225629</v>
      </c>
      <c r="N24" s="13">
        <f t="shared" si="23"/>
        <v>30890.376864937913</v>
      </c>
      <c r="P24" s="74">
        <v>1.411122580581306E-2</v>
      </c>
      <c r="Q24" s="120">
        <f t="shared" si="2"/>
        <v>0</v>
      </c>
      <c r="R24" s="160">
        <f t="shared" si="3"/>
        <v>3672598.3354547047</v>
      </c>
      <c r="T24" s="206">
        <f t="shared" si="7"/>
        <v>356460.27108863555</v>
      </c>
      <c r="U24" s="202"/>
      <c r="V24" s="203"/>
    </row>
    <row r="25" spans="1:22" x14ac:dyDescent="0.2">
      <c r="A25" s="20">
        <v>29269</v>
      </c>
      <c r="B25" s="19" t="s">
        <v>53</v>
      </c>
      <c r="C25" s="55">
        <f t="shared" si="4"/>
        <v>937048.74929157249</v>
      </c>
      <c r="D25" s="15">
        <f t="shared" si="23"/>
        <v>268249.82254422037</v>
      </c>
      <c r="E25" s="14">
        <f t="shared" si="23"/>
        <v>162846.1331966182</v>
      </c>
      <c r="F25" s="14">
        <f t="shared" si="23"/>
        <v>0</v>
      </c>
      <c r="G25" s="13">
        <f t="shared" si="23"/>
        <v>0</v>
      </c>
      <c r="H25" s="15">
        <f t="shared" si="23"/>
        <v>0</v>
      </c>
      <c r="I25" s="13">
        <f t="shared" si="23"/>
        <v>0</v>
      </c>
      <c r="J25" s="16">
        <f t="shared" ref="J25" si="27">J68/$C$86*$C$43</f>
        <v>101505.52590776476</v>
      </c>
      <c r="K25" s="16">
        <f t="shared" si="23"/>
        <v>356107.45969843346</v>
      </c>
      <c r="L25" s="15">
        <f t="shared" si="23"/>
        <v>34248.026524170295</v>
      </c>
      <c r="M25" s="14">
        <f t="shared" si="23"/>
        <v>14046.253967358885</v>
      </c>
      <c r="N25" s="13">
        <f t="shared" si="23"/>
        <v>45.527453006540782</v>
      </c>
      <c r="P25" s="74">
        <v>2.885126155730112E-3</v>
      </c>
      <c r="Q25" s="120">
        <f t="shared" si="2"/>
        <v>0</v>
      </c>
      <c r="R25" s="160">
        <f t="shared" si="3"/>
        <v>937048.74929157249</v>
      </c>
      <c r="T25" s="206">
        <f t="shared" si="7"/>
        <v>259044.10269499617</v>
      </c>
      <c r="U25" s="202"/>
      <c r="V25" s="203"/>
    </row>
    <row r="26" spans="1:22" x14ac:dyDescent="0.2">
      <c r="A26" s="20">
        <v>3652</v>
      </c>
      <c r="B26" s="19" t="s">
        <v>52</v>
      </c>
      <c r="C26" s="55">
        <f t="shared" si="4"/>
        <v>13916352.562023103</v>
      </c>
      <c r="D26" s="15">
        <f t="shared" si="23"/>
        <v>3956749.5522048161</v>
      </c>
      <c r="E26" s="14">
        <f t="shared" si="23"/>
        <v>2376793.0776790851</v>
      </c>
      <c r="F26" s="14">
        <f t="shared" si="23"/>
        <v>0</v>
      </c>
      <c r="G26" s="13">
        <f t="shared" si="23"/>
        <v>0</v>
      </c>
      <c r="H26" s="15">
        <f t="shared" si="23"/>
        <v>0</v>
      </c>
      <c r="I26" s="13">
        <f t="shared" si="23"/>
        <v>0</v>
      </c>
      <c r="J26" s="16">
        <f t="shared" ref="J26" si="28">J69/$C$86*$C$43</f>
        <v>138341.37424942051</v>
      </c>
      <c r="K26" s="16">
        <f t="shared" si="23"/>
        <v>5025734.1487983931</v>
      </c>
      <c r="L26" s="15">
        <f t="shared" si="23"/>
        <v>401178.60346006771</v>
      </c>
      <c r="M26" s="14">
        <f t="shared" si="23"/>
        <v>662385.63943862834</v>
      </c>
      <c r="N26" s="13">
        <f t="shared" si="23"/>
        <v>1355170.1661926927</v>
      </c>
      <c r="P26" s="74">
        <v>6.680079885949769E-2</v>
      </c>
      <c r="Q26" s="120">
        <f t="shared" si="2"/>
        <v>563745.26657070778</v>
      </c>
      <c r="R26" s="160">
        <f t="shared" si="3"/>
        <v>14480097.828593811</v>
      </c>
      <c r="T26" s="206">
        <f t="shared" si="7"/>
        <v>-1218089.9033881463</v>
      </c>
      <c r="U26" s="202"/>
      <c r="V26" s="203"/>
    </row>
    <row r="27" spans="1:22" x14ac:dyDescent="0.2">
      <c r="A27" s="20">
        <v>11711</v>
      </c>
      <c r="B27" s="19" t="s">
        <v>51</v>
      </c>
      <c r="C27" s="55">
        <f t="shared" si="4"/>
        <v>3179984.3102832721</v>
      </c>
      <c r="D27" s="15">
        <f t="shared" si="23"/>
        <v>924000.35306456627</v>
      </c>
      <c r="E27" s="14">
        <f t="shared" si="23"/>
        <v>538308.17210789933</v>
      </c>
      <c r="F27" s="14">
        <f t="shared" si="23"/>
        <v>0</v>
      </c>
      <c r="G27" s="13">
        <f t="shared" si="23"/>
        <v>0</v>
      </c>
      <c r="H27" s="15">
        <f t="shared" si="23"/>
        <v>0</v>
      </c>
      <c r="I27" s="13">
        <f t="shared" si="23"/>
        <v>0</v>
      </c>
      <c r="J27" s="16">
        <f t="shared" ref="J27" si="29">J70/$C$86*$C$43</f>
        <v>375601.4873039613</v>
      </c>
      <c r="K27" s="16">
        <f t="shared" si="23"/>
        <v>1153748.4363730277</v>
      </c>
      <c r="L27" s="15">
        <f t="shared" si="23"/>
        <v>73421.295691775449</v>
      </c>
      <c r="M27" s="14">
        <f t="shared" si="23"/>
        <v>111011.96850998278</v>
      </c>
      <c r="N27" s="13">
        <f t="shared" si="23"/>
        <v>3892.5972320592359</v>
      </c>
      <c r="P27" s="74">
        <v>1.0972897764284933E-2</v>
      </c>
      <c r="Q27" s="120">
        <f t="shared" si="2"/>
        <v>0</v>
      </c>
      <c r="R27" s="160">
        <f t="shared" si="3"/>
        <v>3179984.3102832721</v>
      </c>
      <c r="T27" s="206">
        <f t="shared" si="7"/>
        <v>601353.33567631291</v>
      </c>
      <c r="U27" s="202"/>
      <c r="V27" s="203"/>
    </row>
    <row r="28" spans="1:22" x14ac:dyDescent="0.2">
      <c r="A28" s="20">
        <v>12826</v>
      </c>
      <c r="B28" s="19" t="s">
        <v>50</v>
      </c>
      <c r="C28" s="55">
        <f t="shared" si="4"/>
        <v>5854653.1065173866</v>
      </c>
      <c r="D28" s="15">
        <f t="shared" si="23"/>
        <v>1848776.7422599257</v>
      </c>
      <c r="E28" s="14">
        <f t="shared" si="23"/>
        <v>98354.922688228064</v>
      </c>
      <c r="F28" s="14">
        <f t="shared" si="23"/>
        <v>0</v>
      </c>
      <c r="G28" s="13">
        <f t="shared" si="23"/>
        <v>0</v>
      </c>
      <c r="H28" s="15">
        <f t="shared" si="23"/>
        <v>0</v>
      </c>
      <c r="I28" s="13">
        <f t="shared" si="23"/>
        <v>0</v>
      </c>
      <c r="J28" s="16">
        <f t="shared" ref="J28" si="30">J71/$C$86*$C$43</f>
        <v>488592.34794746706</v>
      </c>
      <c r="K28" s="16">
        <f t="shared" si="23"/>
        <v>2504672.1328580193</v>
      </c>
      <c r="L28" s="15">
        <f t="shared" si="23"/>
        <v>655479.43523198855</v>
      </c>
      <c r="M28" s="14">
        <f t="shared" si="23"/>
        <v>217484.12565482469</v>
      </c>
      <c r="N28" s="13">
        <f t="shared" si="23"/>
        <v>41293.399876932483</v>
      </c>
      <c r="P28" s="74">
        <v>2.262163232206927E-2</v>
      </c>
      <c r="Q28" s="120">
        <f t="shared" si="2"/>
        <v>0</v>
      </c>
      <c r="R28" s="160">
        <f t="shared" si="3"/>
        <v>5854653.1065173866</v>
      </c>
      <c r="T28" s="206">
        <f t="shared" si="7"/>
        <v>538569.51083110832</v>
      </c>
      <c r="U28" s="202"/>
      <c r="V28" s="203"/>
    </row>
    <row r="29" spans="1:22" x14ac:dyDescent="0.2">
      <c r="A29" s="20">
        <v>13231</v>
      </c>
      <c r="B29" s="19" t="s">
        <v>49</v>
      </c>
      <c r="C29" s="55">
        <f t="shared" si="4"/>
        <v>1554103.602157885</v>
      </c>
      <c r="D29" s="15">
        <f t="shared" si="23"/>
        <v>447514.16875747452</v>
      </c>
      <c r="E29" s="14">
        <f t="shared" si="23"/>
        <v>260918.02851875703</v>
      </c>
      <c r="F29" s="14">
        <f t="shared" si="23"/>
        <v>0</v>
      </c>
      <c r="G29" s="13">
        <f t="shared" si="23"/>
        <v>0</v>
      </c>
      <c r="H29" s="15">
        <f t="shared" si="23"/>
        <v>0</v>
      </c>
      <c r="I29" s="13">
        <f t="shared" si="23"/>
        <v>0</v>
      </c>
      <c r="J29" s="16">
        <f t="shared" ref="J29" si="31">J72/$C$86*$C$43</f>
        <v>193388.20379369246</v>
      </c>
      <c r="K29" s="16">
        <f t="shared" si="23"/>
        <v>572155.91851129045</v>
      </c>
      <c r="L29" s="15">
        <f t="shared" si="23"/>
        <v>56675.470704096915</v>
      </c>
      <c r="M29" s="14">
        <f t="shared" si="23"/>
        <v>22996.537342508378</v>
      </c>
      <c r="N29" s="13">
        <f t="shared" si="23"/>
        <v>455.2745300654077</v>
      </c>
      <c r="P29" s="74">
        <v>5.6229417841748381E-3</v>
      </c>
      <c r="Q29" s="120">
        <f t="shared" si="2"/>
        <v>0</v>
      </c>
      <c r="R29" s="160">
        <f t="shared" si="3"/>
        <v>1554103.602157885</v>
      </c>
      <c r="T29" s="206">
        <f t="shared" si="7"/>
        <v>232712.28287679795</v>
      </c>
      <c r="U29" s="202"/>
      <c r="V29" s="203"/>
    </row>
    <row r="30" spans="1:22" x14ac:dyDescent="0.2">
      <c r="A30" s="20">
        <v>3592</v>
      </c>
      <c r="B30" s="19" t="s">
        <v>48</v>
      </c>
      <c r="C30" s="55">
        <f t="shared" si="4"/>
        <v>2718782.8466975335</v>
      </c>
      <c r="D30" s="15">
        <f t="shared" si="23"/>
        <v>800610.60826843011</v>
      </c>
      <c r="E30" s="14">
        <f t="shared" si="23"/>
        <v>393943.1185005086</v>
      </c>
      <c r="F30" s="14">
        <f t="shared" si="23"/>
        <v>0</v>
      </c>
      <c r="G30" s="13">
        <f t="shared" si="23"/>
        <v>0</v>
      </c>
      <c r="H30" s="15">
        <f t="shared" si="23"/>
        <v>0</v>
      </c>
      <c r="I30" s="13">
        <f t="shared" si="23"/>
        <v>0</v>
      </c>
      <c r="J30" s="16">
        <f t="shared" ref="J30" si="32">J73/$C$86*$C$43</f>
        <v>19504.374753938493</v>
      </c>
      <c r="K30" s="16">
        <f t="shared" si="23"/>
        <v>1028589.3291986829</v>
      </c>
      <c r="L30" s="15">
        <f t="shared" si="23"/>
        <v>75883.917013492886</v>
      </c>
      <c r="M30" s="14">
        <f t="shared" si="23"/>
        <v>121760.06892147013</v>
      </c>
      <c r="N30" s="13">
        <f t="shared" si="23"/>
        <v>278491.43004100991</v>
      </c>
      <c r="P30" s="74">
        <v>1.0364568727977754E-2</v>
      </c>
      <c r="Q30" s="120">
        <f t="shared" si="2"/>
        <v>0</v>
      </c>
      <c r="R30" s="160">
        <f t="shared" si="3"/>
        <v>2718782.8466975335</v>
      </c>
      <c r="T30" s="206">
        <f t="shared" si="7"/>
        <v>283109.19562276127</v>
      </c>
      <c r="U30" s="202"/>
      <c r="V30" s="203"/>
    </row>
    <row r="31" spans="1:22" x14ac:dyDescent="0.2">
      <c r="A31" s="20">
        <v>3594</v>
      </c>
      <c r="B31" s="19" t="s">
        <v>47</v>
      </c>
      <c r="C31" s="55">
        <f t="shared" si="4"/>
        <v>15991674.282940919</v>
      </c>
      <c r="D31" s="15">
        <f t="shared" si="23"/>
        <v>4669150.7202730738</v>
      </c>
      <c r="E31" s="14">
        <f t="shared" si="23"/>
        <v>3013905.6622648006</v>
      </c>
      <c r="F31" s="14">
        <f t="shared" si="23"/>
        <v>0</v>
      </c>
      <c r="G31" s="13">
        <f t="shared" si="23"/>
        <v>0</v>
      </c>
      <c r="H31" s="15">
        <f t="shared" si="23"/>
        <v>0</v>
      </c>
      <c r="I31" s="13">
        <f t="shared" si="23"/>
        <v>0</v>
      </c>
      <c r="J31" s="16">
        <f t="shared" ref="J31" si="33">J74/$C$86*$C$43</f>
        <v>177712.27395166765</v>
      </c>
      <c r="K31" s="16">
        <f t="shared" si="23"/>
        <v>5691759.3976904424</v>
      </c>
      <c r="L31" s="15">
        <f t="shared" si="23"/>
        <v>415022.05331857939</v>
      </c>
      <c r="M31" s="14">
        <f t="shared" si="23"/>
        <v>656798.17929691658</v>
      </c>
      <c r="N31" s="13">
        <f t="shared" si="23"/>
        <v>1367325.9961454391</v>
      </c>
      <c r="P31" s="74">
        <v>5.9972196847224775E-2</v>
      </c>
      <c r="Q31" s="120">
        <f t="shared" si="2"/>
        <v>0</v>
      </c>
      <c r="R31" s="160">
        <f t="shared" si="3"/>
        <v>15991674.282940919</v>
      </c>
      <c r="T31" s="206">
        <f t="shared" si="7"/>
        <v>1898208.0238430966</v>
      </c>
      <c r="U31" s="202"/>
      <c r="V31" s="203"/>
    </row>
    <row r="32" spans="1:22" x14ac:dyDescent="0.2">
      <c r="A32" s="65">
        <v>113594</v>
      </c>
      <c r="B32" s="19" t="s">
        <v>46</v>
      </c>
      <c r="C32" s="55">
        <f t="shared" si="4"/>
        <v>1060823.3867562185</v>
      </c>
      <c r="D32" s="15">
        <f t="shared" si="23"/>
        <v>313130.5787751</v>
      </c>
      <c r="E32" s="14">
        <f t="shared" si="23"/>
        <v>202532.85835173473</v>
      </c>
      <c r="F32" s="14">
        <f t="shared" si="23"/>
        <v>0</v>
      </c>
      <c r="G32" s="13">
        <f t="shared" si="23"/>
        <v>0</v>
      </c>
      <c r="H32" s="15">
        <f t="shared" si="23"/>
        <v>0</v>
      </c>
      <c r="I32" s="13">
        <f t="shared" si="23"/>
        <v>0</v>
      </c>
      <c r="J32" s="16">
        <f t="shared" ref="J32" si="34">J75/$C$86*$C$43</f>
        <v>0</v>
      </c>
      <c r="K32" s="16">
        <f t="shared" si="23"/>
        <v>459661.72099149256</v>
      </c>
      <c r="L32" s="15">
        <f t="shared" si="23"/>
        <v>75672.835185917109</v>
      </c>
      <c r="M32" s="14">
        <f t="shared" si="23"/>
        <v>8322.9875027582348</v>
      </c>
      <c r="N32" s="13">
        <f t="shared" si="23"/>
        <v>1502.4059492158456</v>
      </c>
      <c r="P32" s="74">
        <v>2.8602942419239919E-3</v>
      </c>
      <c r="Q32" s="120">
        <f t="shared" si="2"/>
        <v>0</v>
      </c>
      <c r="R32" s="160">
        <f t="shared" si="3"/>
        <v>1060823.3867562185</v>
      </c>
      <c r="T32" s="206">
        <f t="shared" si="7"/>
        <v>388654.2399040804</v>
      </c>
      <c r="U32" s="202"/>
      <c r="V32" s="203"/>
    </row>
    <row r="33" spans="1:22" x14ac:dyDescent="0.2">
      <c r="A33" s="20">
        <v>3624</v>
      </c>
      <c r="B33" s="19" t="s">
        <v>45</v>
      </c>
      <c r="C33" s="55">
        <f t="shared" si="4"/>
        <v>5596425.2215091987</v>
      </c>
      <c r="D33" s="15">
        <f t="shared" si="23"/>
        <v>1491282.7646744747</v>
      </c>
      <c r="E33" s="14">
        <f t="shared" si="23"/>
        <v>925311.129825218</v>
      </c>
      <c r="F33" s="14">
        <f t="shared" si="23"/>
        <v>0</v>
      </c>
      <c r="G33" s="13">
        <f t="shared" si="23"/>
        <v>0</v>
      </c>
      <c r="H33" s="15">
        <f t="shared" si="23"/>
        <v>0</v>
      </c>
      <c r="I33" s="13">
        <f t="shared" si="23"/>
        <v>0</v>
      </c>
      <c r="J33" s="16">
        <f t="shared" ref="J33" si="35">J76/$C$86*$C$43</f>
        <v>43716.702034689719</v>
      </c>
      <c r="K33" s="16">
        <f t="shared" si="23"/>
        <v>2175881.1449635103</v>
      </c>
      <c r="L33" s="15">
        <f t="shared" si="23"/>
        <v>146138.98529163166</v>
      </c>
      <c r="M33" s="14">
        <f t="shared" si="23"/>
        <v>241541.2457094173</v>
      </c>
      <c r="N33" s="13">
        <f t="shared" si="23"/>
        <v>572553.24901025661</v>
      </c>
      <c r="P33" s="74">
        <v>2.3435865298122357E-2</v>
      </c>
      <c r="Q33" s="120">
        <f t="shared" si="2"/>
        <v>0</v>
      </c>
      <c r="R33" s="160">
        <f t="shared" si="3"/>
        <v>5596425.2215091987</v>
      </c>
      <c r="T33" s="206">
        <f t="shared" si="7"/>
        <v>88996.876450444572</v>
      </c>
      <c r="U33" s="202"/>
      <c r="V33" s="203"/>
    </row>
    <row r="34" spans="1:22" x14ac:dyDescent="0.2">
      <c r="A34" s="20">
        <v>3642</v>
      </c>
      <c r="B34" s="19" t="s">
        <v>44</v>
      </c>
      <c r="C34" s="55">
        <f t="shared" si="4"/>
        <v>2470796.5174503932</v>
      </c>
      <c r="D34" s="15">
        <f t="shared" si="23"/>
        <v>588494.06585159246</v>
      </c>
      <c r="E34" s="14">
        <f t="shared" si="23"/>
        <v>23673.154622323389</v>
      </c>
      <c r="F34" s="14">
        <f t="shared" si="23"/>
        <v>0</v>
      </c>
      <c r="G34" s="13">
        <f t="shared" si="23"/>
        <v>0</v>
      </c>
      <c r="H34" s="15">
        <f t="shared" si="23"/>
        <v>0</v>
      </c>
      <c r="I34" s="13">
        <f t="shared" si="23"/>
        <v>0</v>
      </c>
      <c r="J34" s="16">
        <f t="shared" ref="J34" si="36">J77/$C$86*$C$43</f>
        <v>8769.2082779643879</v>
      </c>
      <c r="K34" s="16">
        <f t="shared" si="23"/>
        <v>992829.58429172728</v>
      </c>
      <c r="L34" s="15">
        <f t="shared" si="23"/>
        <v>129604.24213152885</v>
      </c>
      <c r="M34" s="14">
        <f t="shared" si="23"/>
        <v>263774.68085664557</v>
      </c>
      <c r="N34" s="13">
        <f t="shared" si="23"/>
        <v>463651.58141861134</v>
      </c>
      <c r="P34" s="74">
        <v>1.3524899052819646E-2</v>
      </c>
      <c r="Q34" s="120">
        <f t="shared" si="2"/>
        <v>0</v>
      </c>
      <c r="R34" s="160">
        <f t="shared" si="3"/>
        <v>2470796.5174503932</v>
      </c>
      <c r="T34" s="206">
        <f t="shared" si="7"/>
        <v>-707554.75996222347</v>
      </c>
      <c r="U34" s="202"/>
      <c r="V34" s="203"/>
    </row>
    <row r="35" spans="1:22" x14ac:dyDescent="0.2">
      <c r="A35" s="20">
        <v>3644</v>
      </c>
      <c r="B35" s="19" t="s">
        <v>43</v>
      </c>
      <c r="C35" s="55">
        <f t="shared" si="4"/>
        <v>13507816.487621814</v>
      </c>
      <c r="D35" s="15">
        <f t="shared" si="23"/>
        <v>3627192.8753279243</v>
      </c>
      <c r="E35" s="14">
        <f t="shared" si="23"/>
        <v>4460576.7103632679</v>
      </c>
      <c r="F35" s="14">
        <f t="shared" si="23"/>
        <v>0</v>
      </c>
      <c r="G35" s="13">
        <f t="shared" si="23"/>
        <v>0</v>
      </c>
      <c r="H35" s="15">
        <f t="shared" si="23"/>
        <v>0</v>
      </c>
      <c r="I35" s="13">
        <f t="shared" si="23"/>
        <v>0</v>
      </c>
      <c r="J35" s="16">
        <f t="shared" ref="J35" si="37">J78/$C$86*$C$43</f>
        <v>87200.593230141443</v>
      </c>
      <c r="K35" s="16">
        <f t="shared" si="23"/>
        <v>2759460.3153200787</v>
      </c>
      <c r="L35" s="15">
        <f t="shared" si="23"/>
        <v>342234.00310953119</v>
      </c>
      <c r="M35" s="14">
        <f t="shared" si="23"/>
        <v>614426.60655560205</v>
      </c>
      <c r="N35" s="13">
        <f t="shared" si="23"/>
        <v>1616725.3837152692</v>
      </c>
      <c r="P35" s="74">
        <v>6.3345925146063756E-2</v>
      </c>
      <c r="Q35" s="120">
        <f t="shared" si="2"/>
        <v>161650.98913967537</v>
      </c>
      <c r="R35" s="160">
        <f t="shared" si="3"/>
        <v>13669467.47676149</v>
      </c>
      <c r="T35" s="206">
        <f t="shared" si="7"/>
        <v>-1216824.932563493</v>
      </c>
      <c r="U35" s="202"/>
      <c r="V35" s="203"/>
    </row>
    <row r="36" spans="1:22" x14ac:dyDescent="0.2">
      <c r="A36" s="20">
        <v>3541</v>
      </c>
      <c r="B36" s="19" t="s">
        <v>42</v>
      </c>
      <c r="C36" s="55">
        <f t="shared" si="4"/>
        <v>2722175.9387891213</v>
      </c>
      <c r="D36" s="15">
        <f t="shared" si="23"/>
        <v>769310.48432643327</v>
      </c>
      <c r="E36" s="14">
        <f t="shared" si="23"/>
        <v>277659.54000309628</v>
      </c>
      <c r="F36" s="14">
        <f t="shared" si="23"/>
        <v>0</v>
      </c>
      <c r="G36" s="13">
        <f t="shared" si="23"/>
        <v>0</v>
      </c>
      <c r="H36" s="15">
        <f t="shared" si="23"/>
        <v>0</v>
      </c>
      <c r="I36" s="13">
        <f t="shared" si="23"/>
        <v>0</v>
      </c>
      <c r="J36" s="16">
        <f t="shared" ref="J36" si="38">J79/$C$86*$C$43</f>
        <v>15080.968808416632</v>
      </c>
      <c r="K36" s="16">
        <f t="shared" si="23"/>
        <v>1077262.3153220392</v>
      </c>
      <c r="L36" s="15">
        <f t="shared" si="23"/>
        <v>75919.097318088869</v>
      </c>
      <c r="M36" s="14">
        <f t="shared" si="23"/>
        <v>120324.40207950251</v>
      </c>
      <c r="N36" s="13">
        <f t="shared" si="23"/>
        <v>386619.13093154429</v>
      </c>
      <c r="P36" s="74">
        <v>1.2561069385453944E-2</v>
      </c>
      <c r="Q36" s="120">
        <f t="shared" si="2"/>
        <v>0</v>
      </c>
      <c r="R36" s="160">
        <f t="shared" si="3"/>
        <v>2722175.9387891213</v>
      </c>
      <c r="T36" s="206">
        <f t="shared" si="7"/>
        <v>-229675.36679255543</v>
      </c>
      <c r="U36" s="202"/>
      <c r="V36" s="203"/>
    </row>
    <row r="37" spans="1:22" x14ac:dyDescent="0.2">
      <c r="A37" s="20">
        <v>3646</v>
      </c>
      <c r="B37" s="19" t="s">
        <v>41</v>
      </c>
      <c r="C37" s="55">
        <f t="shared" si="4"/>
        <v>4774754.0066715833</v>
      </c>
      <c r="D37" s="15">
        <f t="shared" si="23"/>
        <v>1401521.2522127153</v>
      </c>
      <c r="E37" s="14">
        <f t="shared" si="23"/>
        <v>822001.55789777241</v>
      </c>
      <c r="F37" s="14">
        <f t="shared" si="23"/>
        <v>0</v>
      </c>
      <c r="G37" s="13">
        <f t="shared" si="23"/>
        <v>0</v>
      </c>
      <c r="H37" s="15">
        <f t="shared" si="23"/>
        <v>0</v>
      </c>
      <c r="I37" s="13">
        <f t="shared" si="23"/>
        <v>0</v>
      </c>
      <c r="J37" s="16">
        <f t="shared" ref="J37" si="39">J80/$C$86*$C$43</f>
        <v>374049.41504237475</v>
      </c>
      <c r="K37" s="16">
        <f t="shared" si="23"/>
        <v>1858016.7457905712</v>
      </c>
      <c r="L37" s="15">
        <f t="shared" si="23"/>
        <v>173825.88500865476</v>
      </c>
      <c r="M37" s="14">
        <f t="shared" si="23"/>
        <v>100289.73596952191</v>
      </c>
      <c r="N37" s="13">
        <f t="shared" si="23"/>
        <v>45049.414749972093</v>
      </c>
      <c r="P37" s="74">
        <v>1.8983457031793705E-2</v>
      </c>
      <c r="Q37" s="120">
        <f t="shared" si="2"/>
        <v>0</v>
      </c>
      <c r="R37" s="160">
        <f t="shared" si="3"/>
        <v>4774754.0066715833</v>
      </c>
      <c r="T37" s="206">
        <f t="shared" si="7"/>
        <v>313641.60420006234</v>
      </c>
      <c r="U37" s="202"/>
      <c r="V37" s="203"/>
    </row>
    <row r="38" spans="1:22" x14ac:dyDescent="0.2">
      <c r="A38" s="20">
        <v>3581</v>
      </c>
      <c r="B38" s="19" t="s">
        <v>40</v>
      </c>
      <c r="C38" s="55">
        <f t="shared" si="4"/>
        <v>3638311.3760601147</v>
      </c>
      <c r="D38" s="15">
        <f t="shared" ref="D38:N42" si="40">D81/$C$86*$C$43</f>
        <v>1036266.9133193314</v>
      </c>
      <c r="E38" s="14">
        <f t="shared" si="40"/>
        <v>101650.87575053761</v>
      </c>
      <c r="F38" s="14">
        <f t="shared" si="40"/>
        <v>0</v>
      </c>
      <c r="G38" s="13">
        <f t="shared" si="40"/>
        <v>0</v>
      </c>
      <c r="H38" s="15">
        <f t="shared" si="40"/>
        <v>0</v>
      </c>
      <c r="I38" s="13">
        <f t="shared" si="40"/>
        <v>0</v>
      </c>
      <c r="J38" s="16">
        <f t="shared" ref="J38" si="41">J81/$C$86*$C$43</f>
        <v>18133.377589536976</v>
      </c>
      <c r="K38" s="16">
        <f t="shared" si="40"/>
        <v>1413503.2500721638</v>
      </c>
      <c r="L38" s="15">
        <f t="shared" si="40"/>
        <v>169762.55982782098</v>
      </c>
      <c r="M38" s="14">
        <f t="shared" si="40"/>
        <v>346655.33962537098</v>
      </c>
      <c r="N38" s="13">
        <f t="shared" si="40"/>
        <v>552339.05987535266</v>
      </c>
      <c r="P38" s="74">
        <v>1.8519296567582645E-2</v>
      </c>
      <c r="Q38" s="120">
        <f t="shared" si="2"/>
        <v>0</v>
      </c>
      <c r="R38" s="160">
        <f t="shared" si="3"/>
        <v>3638311.3760601147</v>
      </c>
      <c r="T38" s="206">
        <f t="shared" si="7"/>
        <v>-713723.31732180668</v>
      </c>
      <c r="U38" s="202"/>
      <c r="V38" s="203"/>
    </row>
    <row r="39" spans="1:22" x14ac:dyDescent="0.2">
      <c r="A39" s="20">
        <v>3606</v>
      </c>
      <c r="B39" s="19" t="s">
        <v>39</v>
      </c>
      <c r="C39" s="55">
        <f t="shared" si="4"/>
        <v>8628714.8348075449</v>
      </c>
      <c r="D39" s="15">
        <f t="shared" si="40"/>
        <v>2388380.5318715395</v>
      </c>
      <c r="E39" s="14">
        <f t="shared" si="40"/>
        <v>1569325.2348083931</v>
      </c>
      <c r="F39" s="14">
        <f t="shared" si="40"/>
        <v>0</v>
      </c>
      <c r="G39" s="13">
        <f t="shared" si="40"/>
        <v>0</v>
      </c>
      <c r="H39" s="15">
        <f t="shared" si="40"/>
        <v>0</v>
      </c>
      <c r="I39" s="13">
        <f t="shared" si="40"/>
        <v>0</v>
      </c>
      <c r="J39" s="16">
        <f t="shared" ref="J39" si="42">J82/$C$86*$C$43</f>
        <v>99461.964096675743</v>
      </c>
      <c r="K39" s="16">
        <f t="shared" si="40"/>
        <v>3298339.8045429513</v>
      </c>
      <c r="L39" s="15">
        <f t="shared" si="40"/>
        <v>205505.74929731977</v>
      </c>
      <c r="M39" s="14">
        <f t="shared" si="40"/>
        <v>345180.87097686366</v>
      </c>
      <c r="N39" s="13">
        <f t="shared" si="40"/>
        <v>722520.67921380198</v>
      </c>
      <c r="P39" s="74">
        <v>3.2554270941238916E-2</v>
      </c>
      <c r="Q39" s="120">
        <f t="shared" si="2"/>
        <v>0</v>
      </c>
      <c r="R39" s="160">
        <f t="shared" si="3"/>
        <v>8628714.8348075449</v>
      </c>
      <c r="T39" s="206">
        <f t="shared" si="7"/>
        <v>978461.16361639928</v>
      </c>
      <c r="U39" s="202"/>
      <c r="V39" s="203"/>
    </row>
    <row r="40" spans="1:22" x14ac:dyDescent="0.2">
      <c r="A40" s="20">
        <v>3615</v>
      </c>
      <c r="B40" s="19" t="s">
        <v>85</v>
      </c>
      <c r="C40" s="55">
        <f t="shared" si="4"/>
        <v>15145063.619111344</v>
      </c>
      <c r="D40" s="15">
        <f t="shared" si="40"/>
        <v>4160329.6971829268</v>
      </c>
      <c r="E40" s="14">
        <f t="shared" si="40"/>
        <v>2949507.342114808</v>
      </c>
      <c r="F40" s="14">
        <f t="shared" si="40"/>
        <v>0</v>
      </c>
      <c r="G40" s="13">
        <f t="shared" si="40"/>
        <v>0</v>
      </c>
      <c r="H40" s="15">
        <f t="shared" si="40"/>
        <v>0</v>
      </c>
      <c r="I40" s="13">
        <f t="shared" si="40"/>
        <v>0</v>
      </c>
      <c r="J40" s="16">
        <f t="shared" ref="J40" si="43">J83/$C$86*$C$43</f>
        <v>156112.60164458727</v>
      </c>
      <c r="K40" s="16">
        <f t="shared" si="40"/>
        <v>5476207.6020012926</v>
      </c>
      <c r="L40" s="15">
        <f t="shared" si="40"/>
        <v>394212.90315006702</v>
      </c>
      <c r="M40" s="14">
        <f t="shared" si="40"/>
        <v>649425.83605438028</v>
      </c>
      <c r="N40" s="13">
        <f t="shared" si="40"/>
        <v>1359267.6369632811</v>
      </c>
      <c r="P40" s="74">
        <v>6.1387457427191858E-2</v>
      </c>
      <c r="Q40" s="120">
        <f t="shared" si="2"/>
        <v>0</v>
      </c>
      <c r="R40" s="160">
        <f t="shared" si="3"/>
        <v>15145063.619111344</v>
      </c>
      <c r="T40" s="206">
        <f t="shared" si="7"/>
        <v>719011.12372125685</v>
      </c>
      <c r="U40" s="202"/>
      <c r="V40" s="203"/>
    </row>
    <row r="41" spans="1:22" x14ac:dyDescent="0.2">
      <c r="A41" s="20">
        <v>3625</v>
      </c>
      <c r="B41" s="19" t="s">
        <v>38</v>
      </c>
      <c r="C41" s="55">
        <f t="shared" si="4"/>
        <v>547514.45359735901</v>
      </c>
      <c r="D41" s="15">
        <f t="shared" si="40"/>
        <v>146929.50743019977</v>
      </c>
      <c r="E41" s="14">
        <f t="shared" si="40"/>
        <v>12383.218886217237</v>
      </c>
      <c r="F41" s="14">
        <f t="shared" si="40"/>
        <v>0</v>
      </c>
      <c r="G41" s="13">
        <f t="shared" si="40"/>
        <v>0</v>
      </c>
      <c r="H41" s="15">
        <f t="shared" si="40"/>
        <v>0</v>
      </c>
      <c r="I41" s="13">
        <f t="shared" si="40"/>
        <v>0</v>
      </c>
      <c r="J41" s="16">
        <f t="shared" ref="J41" si="44">J84/$C$86*$C$43</f>
        <v>3362.8232334376712</v>
      </c>
      <c r="K41" s="16">
        <f t="shared" si="40"/>
        <v>242868.26749307386</v>
      </c>
      <c r="L41" s="15">
        <f t="shared" si="40"/>
        <v>47493.411204550488</v>
      </c>
      <c r="M41" s="14">
        <f t="shared" si="40"/>
        <v>22543.849599545611</v>
      </c>
      <c r="N41" s="13">
        <f t="shared" si="40"/>
        <v>71933.375750334424</v>
      </c>
      <c r="P41" s="74">
        <v>2.5717361648878246E-3</v>
      </c>
      <c r="Q41" s="120">
        <f t="shared" si="2"/>
        <v>0</v>
      </c>
      <c r="R41" s="160">
        <f t="shared" si="3"/>
        <v>547514.45359735901</v>
      </c>
      <c r="T41" s="206">
        <f t="shared" si="7"/>
        <v>-56843.545151279774</v>
      </c>
      <c r="U41" s="202"/>
      <c r="V41" s="203"/>
    </row>
    <row r="42" spans="1:22" x14ac:dyDescent="0.2">
      <c r="A42" s="20">
        <v>20</v>
      </c>
      <c r="B42" s="19" t="s">
        <v>37</v>
      </c>
      <c r="C42" s="64">
        <f t="shared" si="4"/>
        <v>472053.75837439776</v>
      </c>
      <c r="D42" s="15">
        <f t="shared" si="40"/>
        <v>125459.17447825155</v>
      </c>
      <c r="E42" s="14">
        <f t="shared" si="40"/>
        <v>16741.978574712044</v>
      </c>
      <c r="F42" s="14">
        <f t="shared" si="40"/>
        <v>0</v>
      </c>
      <c r="G42" s="13">
        <f t="shared" si="40"/>
        <v>0</v>
      </c>
      <c r="H42" s="15">
        <f t="shared" si="40"/>
        <v>0</v>
      </c>
      <c r="I42" s="13">
        <f t="shared" si="40"/>
        <v>0</v>
      </c>
      <c r="J42" s="16">
        <f t="shared" ref="J42" si="45">J85/$C$86*$C$43</f>
        <v>71395.324032984383</v>
      </c>
      <c r="K42" s="16">
        <f t="shared" si="40"/>
        <v>214558.46944173393</v>
      </c>
      <c r="L42" s="15">
        <f t="shared" si="40"/>
        <v>36411.615256822042</v>
      </c>
      <c r="M42" s="14">
        <f t="shared" si="40"/>
        <v>7191.2681453513269</v>
      </c>
      <c r="N42" s="13">
        <f t="shared" si="40"/>
        <v>295.92844454251502</v>
      </c>
      <c r="P42" s="74">
        <v>1.4792799135503695E-3</v>
      </c>
      <c r="Q42" s="120">
        <f t="shared" si="2"/>
        <v>0</v>
      </c>
      <c r="R42" s="160">
        <f t="shared" si="3"/>
        <v>472053.75837439776</v>
      </c>
      <c r="T42" s="206">
        <f t="shared" si="7"/>
        <v>124422.9786900609</v>
      </c>
      <c r="U42" s="202"/>
      <c r="V42" s="203"/>
    </row>
    <row r="43" spans="1:22" ht="13.5" thickBot="1" x14ac:dyDescent="0.25">
      <c r="A43" s="12"/>
      <c r="B43" s="11" t="s">
        <v>11</v>
      </c>
      <c r="C43" s="62">
        <f>R43-Q43</f>
        <v>234274603.74428961</v>
      </c>
      <c r="D43" s="62">
        <f t="shared" ref="D43:N43" si="46">SUM(D5:D42)</f>
        <v>66753308.709418066</v>
      </c>
      <c r="E43" s="61">
        <f t="shared" si="46"/>
        <v>48660858.213524751</v>
      </c>
      <c r="F43" s="61">
        <f t="shared" si="46"/>
        <v>0</v>
      </c>
      <c r="G43" s="60">
        <f t="shared" si="46"/>
        <v>0</v>
      </c>
      <c r="H43" s="62">
        <f t="shared" si="46"/>
        <v>0</v>
      </c>
      <c r="I43" s="60">
        <f t="shared" si="46"/>
        <v>0</v>
      </c>
      <c r="J43" s="63">
        <f t="shared" ref="J43" si="47">SUM(J5:J42)</f>
        <v>5448006.4490082627</v>
      </c>
      <c r="K43" s="63">
        <f t="shared" si="46"/>
        <v>73014859.702207953</v>
      </c>
      <c r="L43" s="62">
        <f t="shared" si="46"/>
        <v>9207376.1262412947</v>
      </c>
      <c r="M43" s="61">
        <f t="shared" si="46"/>
        <v>9981344.3794247489</v>
      </c>
      <c r="N43" s="60">
        <f t="shared" si="46"/>
        <v>21208850.164464507</v>
      </c>
      <c r="P43" s="161">
        <f>SUM(P5:P42)</f>
        <v>1.0000000000000002</v>
      </c>
      <c r="Q43" s="119">
        <f>SUM(Q5:Q42)</f>
        <v>725396.25571038318</v>
      </c>
      <c r="R43" s="162">
        <v>235000000</v>
      </c>
      <c r="T43" s="207">
        <f t="shared" si="7"/>
        <v>0</v>
      </c>
      <c r="U43" s="202"/>
      <c r="V43" s="203"/>
    </row>
    <row r="44" spans="1:22" ht="13.5" thickBot="1" x14ac:dyDescent="0.25">
      <c r="A44" s="59"/>
      <c r="C44" s="88"/>
      <c r="D44" s="89"/>
      <c r="E44" s="58"/>
      <c r="F44" s="58"/>
      <c r="G44" s="58"/>
      <c r="H44" s="58"/>
      <c r="I44" s="58"/>
      <c r="J44" s="58"/>
      <c r="K44" s="58"/>
      <c r="L44" s="58"/>
      <c r="M44" s="58"/>
      <c r="N44" s="58"/>
      <c r="P44" s="163" t="s">
        <v>91</v>
      </c>
      <c r="Q44" s="164">
        <v>5.0000000000000001E-3</v>
      </c>
      <c r="R44" s="165"/>
    </row>
    <row r="45" spans="1:22" ht="13.5" thickBot="1" x14ac:dyDescent="0.25">
      <c r="A45" s="57" t="s">
        <v>76</v>
      </c>
    </row>
    <row r="46" spans="1:22" ht="12.75" customHeight="1" outlineLevel="1" x14ac:dyDescent="0.2">
      <c r="A46" s="234" t="s">
        <v>24</v>
      </c>
      <c r="B46" s="236" t="s">
        <v>23</v>
      </c>
      <c r="C46" s="238" t="s">
        <v>36</v>
      </c>
      <c r="D46" s="247" t="s">
        <v>35</v>
      </c>
      <c r="E46" s="248"/>
      <c r="F46" s="248"/>
      <c r="G46" s="249"/>
      <c r="H46" s="250" t="s">
        <v>18</v>
      </c>
      <c r="I46" s="225" t="s">
        <v>17</v>
      </c>
      <c r="J46" s="227" t="str">
        <f>J3</f>
        <v>Under Graduate Transfer Degrees</v>
      </c>
      <c r="K46" s="227" t="s">
        <v>16</v>
      </c>
      <c r="L46" s="229" t="s">
        <v>34</v>
      </c>
      <c r="M46" s="230"/>
      <c r="N46" s="231"/>
      <c r="O46" s="277"/>
    </row>
    <row r="47" spans="1:22" ht="51.75" outlineLevel="1" thickBot="1" x14ac:dyDescent="0.25">
      <c r="A47" s="273"/>
      <c r="B47" s="270"/>
      <c r="C47" s="274"/>
      <c r="D47" s="152"/>
      <c r="E47" s="123" t="s">
        <v>33</v>
      </c>
      <c r="F47" s="123" t="s">
        <v>32</v>
      </c>
      <c r="G47" s="212" t="s">
        <v>31</v>
      </c>
      <c r="H47" s="264"/>
      <c r="I47" s="265"/>
      <c r="J47" s="266"/>
      <c r="K47" s="266"/>
      <c r="L47" s="125" t="s">
        <v>14</v>
      </c>
      <c r="M47" s="126" t="s">
        <v>13</v>
      </c>
      <c r="N47" s="135" t="s">
        <v>12</v>
      </c>
      <c r="O47" s="277"/>
    </row>
    <row r="48" spans="1:22" outlineLevel="1" x14ac:dyDescent="0.2">
      <c r="A48" s="20">
        <f t="shared" ref="A48:B63" si="48">A5</f>
        <v>3656</v>
      </c>
      <c r="B48" s="19" t="str">
        <f t="shared" si="48"/>
        <v>UTA</v>
      </c>
      <c r="C48" s="55">
        <f t="shared" ref="C48:C85" si="49">SUM(D48:N48)</f>
        <v>20640.822</v>
      </c>
      <c r="D48" s="15">
        <f t="shared" ref="D48:N57" si="50">D90*D177</f>
        <v>7527</v>
      </c>
      <c r="E48" s="14">
        <f t="shared" si="50"/>
        <v>3641.3953333333338</v>
      </c>
      <c r="F48" s="14">
        <f t="shared" si="50"/>
        <v>0</v>
      </c>
      <c r="G48" s="13">
        <f t="shared" si="50"/>
        <v>0</v>
      </c>
      <c r="H48" s="36">
        <f t="shared" si="50"/>
        <v>0</v>
      </c>
      <c r="I48" s="35">
        <f t="shared" si="50"/>
        <v>0</v>
      </c>
      <c r="J48" s="34">
        <f t="shared" ref="J48" si="51">J90*J177</f>
        <v>821.75000000000011</v>
      </c>
      <c r="K48" s="34">
        <f t="shared" si="50"/>
        <v>6232</v>
      </c>
      <c r="L48" s="36">
        <f t="shared" si="50"/>
        <v>1743.2649999999999</v>
      </c>
      <c r="M48" s="56">
        <f t="shared" si="50"/>
        <v>479.20833333333331</v>
      </c>
      <c r="N48" s="35">
        <f t="shared" si="50"/>
        <v>196.20333333333338</v>
      </c>
      <c r="O48" s="153"/>
    </row>
    <row r="49" spans="1:15" outlineLevel="1" x14ac:dyDescent="0.2">
      <c r="A49" s="20">
        <f t="shared" si="48"/>
        <v>3658</v>
      </c>
      <c r="B49" s="19" t="str">
        <f t="shared" si="48"/>
        <v>UT</v>
      </c>
      <c r="C49" s="55">
        <f t="shared" si="49"/>
        <v>39776.277533333334</v>
      </c>
      <c r="D49" s="15">
        <f t="shared" si="50"/>
        <v>11182.916666666668</v>
      </c>
      <c r="E49" s="14">
        <f t="shared" si="50"/>
        <v>15574.671700000003</v>
      </c>
      <c r="F49" s="14">
        <f t="shared" si="50"/>
        <v>0</v>
      </c>
      <c r="G49" s="13">
        <f t="shared" si="50"/>
        <v>0</v>
      </c>
      <c r="H49" s="15">
        <f t="shared" si="50"/>
        <v>0</v>
      </c>
      <c r="I49" s="13">
        <f t="shared" si="50"/>
        <v>0</v>
      </c>
      <c r="J49" s="16">
        <f t="shared" ref="J49" si="52">J91*J178</f>
        <v>154.375</v>
      </c>
      <c r="K49" s="16">
        <f t="shared" si="50"/>
        <v>4164.3999999999996</v>
      </c>
      <c r="L49" s="15">
        <f t="shared" si="50"/>
        <v>815.85833333333346</v>
      </c>
      <c r="M49" s="14">
        <f t="shared" si="50"/>
        <v>1688.5624999999998</v>
      </c>
      <c r="N49" s="13">
        <f t="shared" si="50"/>
        <v>6195.4933333333338</v>
      </c>
      <c r="O49" s="85"/>
    </row>
    <row r="50" spans="1:15" outlineLevel="1" x14ac:dyDescent="0.2">
      <c r="A50" s="20">
        <f t="shared" si="48"/>
        <v>9741</v>
      </c>
      <c r="B50" s="19" t="str">
        <f t="shared" si="48"/>
        <v>UTD</v>
      </c>
      <c r="C50" s="55">
        <f t="shared" si="49"/>
        <v>10275.543250000001</v>
      </c>
      <c r="D50" s="15">
        <f t="shared" si="50"/>
        <v>3589.5</v>
      </c>
      <c r="E50" s="14">
        <f t="shared" si="50"/>
        <v>2943.9882499999999</v>
      </c>
      <c r="F50" s="14">
        <f t="shared" si="50"/>
        <v>0</v>
      </c>
      <c r="G50" s="13">
        <f t="shared" si="50"/>
        <v>0</v>
      </c>
      <c r="H50" s="15">
        <f t="shared" si="50"/>
        <v>0</v>
      </c>
      <c r="I50" s="13">
        <f t="shared" si="50"/>
        <v>0</v>
      </c>
      <c r="J50" s="16">
        <f t="shared" ref="J50" si="53">J92*J179</f>
        <v>406.125</v>
      </c>
      <c r="K50" s="16">
        <f t="shared" si="50"/>
        <v>2111.4666666666667</v>
      </c>
      <c r="L50" s="15">
        <f t="shared" si="50"/>
        <v>845.32499999999993</v>
      </c>
      <c r="M50" s="14">
        <f t="shared" si="50"/>
        <v>266.79166666666669</v>
      </c>
      <c r="N50" s="13">
        <f t="shared" si="50"/>
        <v>112.34666666666668</v>
      </c>
      <c r="O50" s="85"/>
    </row>
    <row r="51" spans="1:15" outlineLevel="1" x14ac:dyDescent="0.2">
      <c r="A51" s="20">
        <f t="shared" si="48"/>
        <v>3661</v>
      </c>
      <c r="B51" s="19" t="str">
        <f t="shared" si="48"/>
        <v>UTEP</v>
      </c>
      <c r="C51" s="55">
        <f t="shared" si="49"/>
        <v>13854.760750000001</v>
      </c>
      <c r="D51" s="15">
        <f t="shared" si="50"/>
        <v>3821.25</v>
      </c>
      <c r="E51" s="14">
        <f t="shared" si="50"/>
        <v>625.92074999999988</v>
      </c>
      <c r="F51" s="14">
        <f t="shared" si="50"/>
        <v>0</v>
      </c>
      <c r="G51" s="13">
        <f t="shared" si="50"/>
        <v>0</v>
      </c>
      <c r="H51" s="15">
        <f t="shared" si="50"/>
        <v>0</v>
      </c>
      <c r="I51" s="13">
        <f t="shared" si="50"/>
        <v>0</v>
      </c>
      <c r="J51" s="16">
        <f t="shared" ref="J51" si="54">J93*J180</f>
        <v>141.83333333333334</v>
      </c>
      <c r="K51" s="16">
        <f t="shared" si="50"/>
        <v>5914.4000000000005</v>
      </c>
      <c r="L51" s="15">
        <f t="shared" si="50"/>
        <v>370.82666666666671</v>
      </c>
      <c r="M51" s="14">
        <f t="shared" si="50"/>
        <v>1259.25</v>
      </c>
      <c r="N51" s="13">
        <f t="shared" si="50"/>
        <v>1721.2800000000004</v>
      </c>
      <c r="O51" s="85"/>
    </row>
    <row r="52" spans="1:15" outlineLevel="1" x14ac:dyDescent="0.2">
      <c r="A52" s="20">
        <f t="shared" si="48"/>
        <v>3599</v>
      </c>
      <c r="B52" s="19" t="str">
        <f t="shared" si="48"/>
        <v>UTPA</v>
      </c>
      <c r="C52" s="55">
        <f t="shared" si="49"/>
        <v>12751.095666666668</v>
      </c>
      <c r="D52" s="15">
        <f t="shared" si="50"/>
        <v>3225</v>
      </c>
      <c r="E52" s="14">
        <f t="shared" si="50"/>
        <v>1167.579</v>
      </c>
      <c r="F52" s="14">
        <f t="shared" si="50"/>
        <v>0</v>
      </c>
      <c r="G52" s="13">
        <f t="shared" si="50"/>
        <v>0</v>
      </c>
      <c r="H52" s="15">
        <f t="shared" si="50"/>
        <v>0</v>
      </c>
      <c r="I52" s="13">
        <f t="shared" si="50"/>
        <v>0</v>
      </c>
      <c r="J52" s="16">
        <f t="shared" ref="J52" si="55">J94*J181</f>
        <v>113</v>
      </c>
      <c r="K52" s="16">
        <f t="shared" si="50"/>
        <v>5612</v>
      </c>
      <c r="L52" s="15">
        <f t="shared" si="50"/>
        <v>346.40333333333336</v>
      </c>
      <c r="M52" s="14">
        <f t="shared" si="50"/>
        <v>580.5</v>
      </c>
      <c r="N52" s="13">
        <f t="shared" si="50"/>
        <v>1706.6133333333337</v>
      </c>
      <c r="O52" s="85"/>
    </row>
    <row r="53" spans="1:15" outlineLevel="1" x14ac:dyDescent="0.2">
      <c r="A53" s="20">
        <f t="shared" si="48"/>
        <v>30646</v>
      </c>
      <c r="B53" s="19" t="str">
        <f t="shared" si="48"/>
        <v>UTB</v>
      </c>
      <c r="C53" s="55">
        <f t="shared" si="49"/>
        <v>5418.3019707386711</v>
      </c>
      <c r="D53" s="15">
        <f t="shared" si="50"/>
        <v>1365</v>
      </c>
      <c r="E53" s="14">
        <f t="shared" si="50"/>
        <v>659.57947073867092</v>
      </c>
      <c r="F53" s="14">
        <f t="shared" si="50"/>
        <v>0</v>
      </c>
      <c r="G53" s="13">
        <f t="shared" si="50"/>
        <v>0</v>
      </c>
      <c r="H53" s="15">
        <f t="shared" si="50"/>
        <v>0</v>
      </c>
      <c r="I53" s="13">
        <f t="shared" si="50"/>
        <v>0</v>
      </c>
      <c r="J53" s="16">
        <f t="shared" ref="J53" si="56">J95*J182</f>
        <v>896</v>
      </c>
      <c r="K53" s="16">
        <f t="shared" si="50"/>
        <v>2248</v>
      </c>
      <c r="L53" s="15">
        <f t="shared" si="50"/>
        <v>169.10749999999999</v>
      </c>
      <c r="M53" s="14">
        <f t="shared" si="50"/>
        <v>69.541666666666671</v>
      </c>
      <c r="N53" s="13">
        <f t="shared" si="50"/>
        <v>11.073333333333336</v>
      </c>
      <c r="O53" s="85"/>
    </row>
    <row r="54" spans="1:15" outlineLevel="1" x14ac:dyDescent="0.2">
      <c r="A54" s="20">
        <f t="shared" si="48"/>
        <v>9930</v>
      </c>
      <c r="B54" s="19" t="str">
        <f t="shared" si="48"/>
        <v>UTPB</v>
      </c>
      <c r="C54" s="55">
        <f t="shared" si="49"/>
        <v>2332.0916666666667</v>
      </c>
      <c r="D54" s="15">
        <f t="shared" si="50"/>
        <v>666.66666666666674</v>
      </c>
      <c r="E54" s="14">
        <f t="shared" si="50"/>
        <v>331.52000000000004</v>
      </c>
      <c r="F54" s="14">
        <f t="shared" si="50"/>
        <v>0</v>
      </c>
      <c r="G54" s="13">
        <f t="shared" si="50"/>
        <v>0</v>
      </c>
      <c r="H54" s="15">
        <f t="shared" si="50"/>
        <v>0</v>
      </c>
      <c r="I54" s="13">
        <f t="shared" si="50"/>
        <v>0</v>
      </c>
      <c r="J54" s="16">
        <f t="shared" ref="J54" si="57">J96*J183</f>
        <v>93.125</v>
      </c>
      <c r="K54" s="16">
        <f t="shared" si="50"/>
        <v>957.59999999999991</v>
      </c>
      <c r="L54" s="15">
        <f t="shared" si="50"/>
        <v>200.34499999999997</v>
      </c>
      <c r="M54" s="14">
        <f t="shared" si="50"/>
        <v>61.458333333333343</v>
      </c>
      <c r="N54" s="13">
        <f t="shared" si="50"/>
        <v>21.376666666666672</v>
      </c>
      <c r="O54" s="85"/>
    </row>
    <row r="55" spans="1:15" outlineLevel="1" x14ac:dyDescent="0.2">
      <c r="A55" s="20">
        <f t="shared" si="48"/>
        <v>10115</v>
      </c>
      <c r="B55" s="19" t="str">
        <f t="shared" si="48"/>
        <v>UTSA</v>
      </c>
      <c r="C55" s="55">
        <f t="shared" si="49"/>
        <v>18411.11988888889</v>
      </c>
      <c r="D55" s="15">
        <f t="shared" si="50"/>
        <v>5149.5833333333339</v>
      </c>
      <c r="E55" s="14">
        <f t="shared" si="50"/>
        <v>2431.9765555555559</v>
      </c>
      <c r="F55" s="14">
        <f t="shared" si="50"/>
        <v>0</v>
      </c>
      <c r="G55" s="13">
        <f t="shared" si="50"/>
        <v>0</v>
      </c>
      <c r="H55" s="15">
        <f t="shared" si="50"/>
        <v>0</v>
      </c>
      <c r="I55" s="13">
        <f t="shared" si="50"/>
        <v>0</v>
      </c>
      <c r="J55" s="16">
        <f t="shared" ref="J55" si="58">J97*J184</f>
        <v>175.79166666666666</v>
      </c>
      <c r="K55" s="16">
        <f t="shared" si="50"/>
        <v>7496.7999999999993</v>
      </c>
      <c r="L55" s="15">
        <f t="shared" si="50"/>
        <v>1736.4650000000001</v>
      </c>
      <c r="M55" s="14">
        <f t="shared" si="50"/>
        <v>557.33333333333337</v>
      </c>
      <c r="N55" s="13">
        <f t="shared" si="50"/>
        <v>863.17000000000007</v>
      </c>
      <c r="O55" s="85"/>
    </row>
    <row r="56" spans="1:15" outlineLevel="1" x14ac:dyDescent="0.2">
      <c r="A56" s="20">
        <f t="shared" si="48"/>
        <v>11163</v>
      </c>
      <c r="B56" s="19" t="str">
        <f t="shared" si="48"/>
        <v>UTT</v>
      </c>
      <c r="C56" s="55">
        <f t="shared" si="49"/>
        <v>5422.4398333333329</v>
      </c>
      <c r="D56" s="15">
        <f t="shared" si="50"/>
        <v>1487.5</v>
      </c>
      <c r="E56" s="14">
        <f t="shared" si="50"/>
        <v>859.10066666666683</v>
      </c>
      <c r="F56" s="14">
        <f t="shared" si="50"/>
        <v>0</v>
      </c>
      <c r="G56" s="13">
        <f t="shared" si="50"/>
        <v>0</v>
      </c>
      <c r="H56" s="15">
        <f t="shared" si="50"/>
        <v>0</v>
      </c>
      <c r="I56" s="13">
        <f t="shared" si="50"/>
        <v>0</v>
      </c>
      <c r="J56" s="16">
        <f t="shared" ref="J56" si="59">J98*J185</f>
        <v>477.25</v>
      </c>
      <c r="K56" s="16">
        <f t="shared" si="50"/>
        <v>2261.6</v>
      </c>
      <c r="L56" s="15">
        <f t="shared" si="50"/>
        <v>183.13249999999996</v>
      </c>
      <c r="M56" s="14">
        <f t="shared" si="50"/>
        <v>111.25</v>
      </c>
      <c r="N56" s="13">
        <f t="shared" si="50"/>
        <v>42.606666666666669</v>
      </c>
      <c r="O56" s="85"/>
    </row>
    <row r="57" spans="1:15" outlineLevel="1" x14ac:dyDescent="0.2">
      <c r="A57" s="20">
        <f t="shared" si="48"/>
        <v>3632</v>
      </c>
      <c r="B57" s="19" t="str">
        <f t="shared" si="48"/>
        <v>TAMU</v>
      </c>
      <c r="C57" s="55">
        <f t="shared" si="49"/>
        <v>39713.327533333329</v>
      </c>
      <c r="D57" s="15">
        <f t="shared" si="50"/>
        <v>10924.583333333332</v>
      </c>
      <c r="E57" s="14">
        <f t="shared" si="50"/>
        <v>15429.00753333333</v>
      </c>
      <c r="F57" s="14">
        <f t="shared" si="50"/>
        <v>0</v>
      </c>
      <c r="G57" s="13">
        <f t="shared" si="50"/>
        <v>0</v>
      </c>
      <c r="H57" s="15">
        <f t="shared" si="50"/>
        <v>0</v>
      </c>
      <c r="I57" s="13">
        <f t="shared" si="50"/>
        <v>0</v>
      </c>
      <c r="J57" s="16">
        <f t="shared" ref="J57" si="60">J99*J186</f>
        <v>295.70833333333331</v>
      </c>
      <c r="K57" s="16">
        <f t="shared" si="50"/>
        <v>4468.8</v>
      </c>
      <c r="L57" s="15">
        <f t="shared" si="50"/>
        <v>855.15666666666664</v>
      </c>
      <c r="M57" s="14">
        <f t="shared" si="50"/>
        <v>1670.1250000000002</v>
      </c>
      <c r="N57" s="13">
        <f t="shared" si="50"/>
        <v>6069.9466666666676</v>
      </c>
      <c r="O57" s="85"/>
    </row>
    <row r="58" spans="1:15" outlineLevel="1" x14ac:dyDescent="0.2">
      <c r="A58" s="20">
        <f t="shared" si="48"/>
        <v>10298</v>
      </c>
      <c r="B58" s="19" t="str">
        <f t="shared" si="48"/>
        <v>TAMUG</v>
      </c>
      <c r="C58" s="55">
        <f t="shared" si="49"/>
        <v>1885.4228833333332</v>
      </c>
      <c r="D58" s="15">
        <f t="shared" ref="D58:N58" si="61">D100*D187*1.5</f>
        <v>619.49999999999989</v>
      </c>
      <c r="E58" s="14">
        <f t="shared" si="61"/>
        <v>362.72413333333338</v>
      </c>
      <c r="F58" s="14">
        <f t="shared" si="61"/>
        <v>0</v>
      </c>
      <c r="G58" s="13">
        <f t="shared" si="61"/>
        <v>0</v>
      </c>
      <c r="H58" s="15">
        <f t="shared" si="61"/>
        <v>0</v>
      </c>
      <c r="I58" s="13">
        <f t="shared" si="61"/>
        <v>0</v>
      </c>
      <c r="J58" s="16">
        <f t="shared" ref="J58" si="62">J100*J187*1.5</f>
        <v>12.75</v>
      </c>
      <c r="K58" s="16">
        <f t="shared" si="61"/>
        <v>474</v>
      </c>
      <c r="L58" s="15">
        <f t="shared" si="61"/>
        <v>113.28375</v>
      </c>
      <c r="M58" s="14">
        <f t="shared" si="61"/>
        <v>59.625</v>
      </c>
      <c r="N58" s="13">
        <f t="shared" si="61"/>
        <v>243.54000000000002</v>
      </c>
      <c r="O58" s="85"/>
    </row>
    <row r="59" spans="1:15" outlineLevel="1" x14ac:dyDescent="0.2">
      <c r="A59" s="20">
        <f t="shared" si="48"/>
        <v>3630</v>
      </c>
      <c r="B59" s="19" t="str">
        <f t="shared" si="48"/>
        <v>Prairie View</v>
      </c>
      <c r="C59" s="55">
        <f t="shared" si="49"/>
        <v>4691.2313611111113</v>
      </c>
      <c r="D59" s="15">
        <f t="shared" ref="D59:N74" si="63">D101*D188</f>
        <v>1170.4166666666667</v>
      </c>
      <c r="E59" s="14">
        <f t="shared" si="63"/>
        <v>121.80136111111111</v>
      </c>
      <c r="F59" s="14">
        <f t="shared" si="63"/>
        <v>0</v>
      </c>
      <c r="G59" s="13">
        <f t="shared" si="63"/>
        <v>0</v>
      </c>
      <c r="H59" s="15">
        <f t="shared" si="63"/>
        <v>0</v>
      </c>
      <c r="I59" s="13">
        <f t="shared" si="63"/>
        <v>0</v>
      </c>
      <c r="J59" s="16">
        <f t="shared" ref="J59" si="64">J101*J188</f>
        <v>20.375</v>
      </c>
      <c r="K59" s="16">
        <f t="shared" si="63"/>
        <v>1926.3999999999999</v>
      </c>
      <c r="L59" s="15">
        <f t="shared" si="63"/>
        <v>212.67</v>
      </c>
      <c r="M59" s="14">
        <f t="shared" si="63"/>
        <v>442.875</v>
      </c>
      <c r="N59" s="13">
        <f t="shared" si="63"/>
        <v>796.6933333333335</v>
      </c>
      <c r="O59" s="85"/>
    </row>
    <row r="60" spans="1:15" outlineLevel="1" x14ac:dyDescent="0.2">
      <c r="A60" s="20">
        <f t="shared" si="48"/>
        <v>3631</v>
      </c>
      <c r="B60" s="19" t="str">
        <f t="shared" si="48"/>
        <v>Tarleton</v>
      </c>
      <c r="C60" s="55">
        <f t="shared" si="49"/>
        <v>6921.8828999999987</v>
      </c>
      <c r="D60" s="15">
        <f t="shared" si="63"/>
        <v>1931.6666666666665</v>
      </c>
      <c r="E60" s="14">
        <f t="shared" si="63"/>
        <v>1034.1370666666669</v>
      </c>
      <c r="F60" s="14">
        <f t="shared" si="63"/>
        <v>0</v>
      </c>
      <c r="G60" s="13">
        <f t="shared" si="63"/>
        <v>0</v>
      </c>
      <c r="H60" s="15">
        <f t="shared" si="63"/>
        <v>0</v>
      </c>
      <c r="I60" s="13">
        <f t="shared" si="63"/>
        <v>0</v>
      </c>
      <c r="J60" s="16">
        <f t="shared" ref="J60" si="65">J102*J189</f>
        <v>77.958333333333329</v>
      </c>
      <c r="K60" s="16">
        <f t="shared" si="63"/>
        <v>2868</v>
      </c>
      <c r="L60" s="15">
        <f t="shared" si="63"/>
        <v>274.67750000000001</v>
      </c>
      <c r="M60" s="14">
        <f t="shared" si="63"/>
        <v>166.08333333333337</v>
      </c>
      <c r="N60" s="13">
        <f t="shared" si="63"/>
        <v>569.36</v>
      </c>
      <c r="O60" s="85"/>
    </row>
    <row r="61" spans="1:15" outlineLevel="1" x14ac:dyDescent="0.2">
      <c r="A61" s="27">
        <f t="shared" si="48"/>
        <v>103631</v>
      </c>
      <c r="B61" s="19" t="str">
        <f t="shared" si="48"/>
        <v>TAMUCT</v>
      </c>
      <c r="C61" s="55">
        <f t="shared" si="49"/>
        <v>1920.4992333333332</v>
      </c>
      <c r="D61" s="15">
        <f t="shared" si="63"/>
        <v>575.41666666666663</v>
      </c>
      <c r="E61" s="14">
        <f t="shared" si="63"/>
        <v>308.05506666666668</v>
      </c>
      <c r="F61" s="14">
        <f t="shared" si="63"/>
        <v>0</v>
      </c>
      <c r="G61" s="13">
        <f t="shared" si="63"/>
        <v>0</v>
      </c>
      <c r="H61" s="15">
        <f t="shared" si="63"/>
        <v>0</v>
      </c>
      <c r="I61" s="13">
        <f t="shared" si="63"/>
        <v>0</v>
      </c>
      <c r="J61" s="16">
        <f t="shared" ref="J61" si="66">J103*J190</f>
        <v>168.75</v>
      </c>
      <c r="K61" s="16">
        <f t="shared" si="63"/>
        <v>784.8</v>
      </c>
      <c r="L61" s="15">
        <f t="shared" si="63"/>
        <v>63.112499999999997</v>
      </c>
      <c r="M61" s="14">
        <f t="shared" si="63"/>
        <v>16.625</v>
      </c>
      <c r="N61" s="13">
        <f t="shared" si="63"/>
        <v>3.7400000000000007</v>
      </c>
      <c r="O61" s="85"/>
    </row>
    <row r="62" spans="1:15" outlineLevel="1" x14ac:dyDescent="0.2">
      <c r="A62" s="20">
        <f t="shared" si="48"/>
        <v>11161</v>
      </c>
      <c r="B62" s="19" t="str">
        <f t="shared" si="48"/>
        <v>TAMUCC</v>
      </c>
      <c r="C62" s="55">
        <f t="shared" si="49"/>
        <v>6404.7976666666664</v>
      </c>
      <c r="D62" s="15">
        <f t="shared" si="63"/>
        <v>1735.4166666666665</v>
      </c>
      <c r="E62" s="14">
        <f t="shared" si="63"/>
        <v>987.38266666666664</v>
      </c>
      <c r="F62" s="14">
        <f t="shared" si="63"/>
        <v>0</v>
      </c>
      <c r="G62" s="13">
        <f t="shared" si="63"/>
        <v>0</v>
      </c>
      <c r="H62" s="15">
        <f t="shared" si="63"/>
        <v>0</v>
      </c>
      <c r="I62" s="13">
        <f t="shared" si="63"/>
        <v>0</v>
      </c>
      <c r="J62" s="16">
        <f t="shared" ref="J62" si="67">J104*J191</f>
        <v>60.458333333333343</v>
      </c>
      <c r="K62" s="16">
        <f t="shared" si="63"/>
        <v>2592</v>
      </c>
      <c r="L62" s="15">
        <f t="shared" si="63"/>
        <v>174.59</v>
      </c>
      <c r="M62" s="14">
        <f t="shared" si="63"/>
        <v>275.25</v>
      </c>
      <c r="N62" s="13">
        <f t="shared" si="63"/>
        <v>579.70000000000005</v>
      </c>
      <c r="O62" s="85"/>
    </row>
    <row r="63" spans="1:15" outlineLevel="1" x14ac:dyDescent="0.2">
      <c r="A63" s="20">
        <f t="shared" si="48"/>
        <v>3639</v>
      </c>
      <c r="B63" s="19" t="str">
        <f t="shared" si="48"/>
        <v>TAMUK</v>
      </c>
      <c r="C63" s="55">
        <f t="shared" si="49"/>
        <v>3619.2080416666668</v>
      </c>
      <c r="D63" s="15">
        <f t="shared" si="63"/>
        <v>952.08333333333326</v>
      </c>
      <c r="E63" s="14">
        <f t="shared" si="63"/>
        <v>160.88304166666668</v>
      </c>
      <c r="F63" s="14">
        <f t="shared" si="63"/>
        <v>0</v>
      </c>
      <c r="G63" s="13">
        <f t="shared" si="63"/>
        <v>0</v>
      </c>
      <c r="H63" s="15">
        <f t="shared" si="63"/>
        <v>0</v>
      </c>
      <c r="I63" s="13">
        <f t="shared" si="63"/>
        <v>0</v>
      </c>
      <c r="J63" s="16">
        <f t="shared" ref="J63" si="68">J105*J192</f>
        <v>31.916666666666671</v>
      </c>
      <c r="K63" s="16">
        <f t="shared" si="63"/>
        <v>1556</v>
      </c>
      <c r="L63" s="15">
        <f t="shared" si="63"/>
        <v>104.32333333333334</v>
      </c>
      <c r="M63" s="14">
        <f t="shared" si="63"/>
        <v>322.37499999999994</v>
      </c>
      <c r="N63" s="13">
        <f t="shared" si="63"/>
        <v>491.62666666666667</v>
      </c>
      <c r="O63" s="85"/>
    </row>
    <row r="64" spans="1:15" outlineLevel="1" x14ac:dyDescent="0.2">
      <c r="A64" s="27">
        <f t="shared" ref="A64:B79" si="69">A21</f>
        <v>103639</v>
      </c>
      <c r="B64" s="19" t="str">
        <f t="shared" si="69"/>
        <v>TAMUSA</v>
      </c>
      <c r="C64" s="55">
        <f t="shared" si="49"/>
        <v>2601.9689499999999</v>
      </c>
      <c r="D64" s="15">
        <f t="shared" si="63"/>
        <v>734.58333333333326</v>
      </c>
      <c r="E64" s="14">
        <f t="shared" si="63"/>
        <v>248.25978333333333</v>
      </c>
      <c r="F64" s="14">
        <f t="shared" si="63"/>
        <v>0</v>
      </c>
      <c r="G64" s="13">
        <f t="shared" si="63"/>
        <v>0</v>
      </c>
      <c r="H64" s="15">
        <f t="shared" si="63"/>
        <v>0</v>
      </c>
      <c r="I64" s="13">
        <f t="shared" si="63"/>
        <v>0</v>
      </c>
      <c r="J64" s="16">
        <f t="shared" ref="J64" si="70">J106*J193</f>
        <v>339.33333333333331</v>
      </c>
      <c r="K64" s="16">
        <f t="shared" si="63"/>
        <v>1176.8</v>
      </c>
      <c r="L64" s="15">
        <f t="shared" si="63"/>
        <v>93.032499999999985</v>
      </c>
      <c r="M64" s="14">
        <f t="shared" si="63"/>
        <v>9.6666666666666661</v>
      </c>
      <c r="N64" s="13">
        <f t="shared" si="63"/>
        <v>0.29333333333333339</v>
      </c>
      <c r="O64" s="85"/>
    </row>
    <row r="65" spans="1:15" outlineLevel="1" x14ac:dyDescent="0.2">
      <c r="A65" s="20">
        <f t="shared" si="69"/>
        <v>9651</v>
      </c>
      <c r="B65" s="19" t="str">
        <f t="shared" si="69"/>
        <v>TAMI</v>
      </c>
      <c r="C65" s="55">
        <f t="shared" si="49"/>
        <v>3933.9091111111106</v>
      </c>
      <c r="D65" s="15">
        <f t="shared" si="63"/>
        <v>987.08333333333326</v>
      </c>
      <c r="E65" s="14">
        <f t="shared" si="63"/>
        <v>523.28577777777775</v>
      </c>
      <c r="F65" s="14">
        <f t="shared" si="63"/>
        <v>0</v>
      </c>
      <c r="G65" s="13">
        <f t="shared" si="63"/>
        <v>0</v>
      </c>
      <c r="H65" s="15">
        <f t="shared" si="63"/>
        <v>0</v>
      </c>
      <c r="I65" s="13">
        <f t="shared" si="63"/>
        <v>0</v>
      </c>
      <c r="J65" s="16">
        <f t="shared" ref="J65" si="71">J107*J194</f>
        <v>48.708333333333343</v>
      </c>
      <c r="K65" s="16">
        <f t="shared" si="63"/>
        <v>1710.3999999999999</v>
      </c>
      <c r="L65" s="15">
        <f t="shared" si="63"/>
        <v>179.35</v>
      </c>
      <c r="M65" s="14">
        <f t="shared" si="63"/>
        <v>380.87499999999994</v>
      </c>
      <c r="N65" s="13">
        <f t="shared" si="63"/>
        <v>104.20666666666669</v>
      </c>
      <c r="O65" s="85"/>
    </row>
    <row r="66" spans="1:15" outlineLevel="1" x14ac:dyDescent="0.2">
      <c r="A66" s="20">
        <f t="shared" si="69"/>
        <v>3665</v>
      </c>
      <c r="B66" s="19" t="str">
        <f t="shared" si="69"/>
        <v>WTAMU</v>
      </c>
      <c r="C66" s="55">
        <f t="shared" si="49"/>
        <v>5415.9606222222228</v>
      </c>
      <c r="D66" s="15">
        <f t="shared" si="63"/>
        <v>1569.5833333333335</v>
      </c>
      <c r="E66" s="14">
        <f t="shared" si="63"/>
        <v>827.4006222222223</v>
      </c>
      <c r="F66" s="14">
        <f t="shared" si="63"/>
        <v>0</v>
      </c>
      <c r="G66" s="13">
        <f t="shared" si="63"/>
        <v>0</v>
      </c>
      <c r="H66" s="15">
        <f t="shared" si="63"/>
        <v>0</v>
      </c>
      <c r="I66" s="13">
        <f t="shared" si="63"/>
        <v>0</v>
      </c>
      <c r="J66" s="16">
        <f t="shared" ref="J66" si="72">J108*J195</f>
        <v>54.833333333333343</v>
      </c>
      <c r="K66" s="16">
        <f t="shared" si="63"/>
        <v>2134.4</v>
      </c>
      <c r="L66" s="15">
        <f t="shared" si="63"/>
        <v>456.875</v>
      </c>
      <c r="M66" s="14">
        <f t="shared" si="63"/>
        <v>227.37500000000003</v>
      </c>
      <c r="N66" s="13">
        <f t="shared" si="63"/>
        <v>145.49333333333337</v>
      </c>
      <c r="O66" s="85"/>
    </row>
    <row r="67" spans="1:15" outlineLevel="1" x14ac:dyDescent="0.2">
      <c r="A67" s="20">
        <f t="shared" si="69"/>
        <v>3565</v>
      </c>
      <c r="B67" s="19" t="str">
        <f t="shared" si="69"/>
        <v>TAMUC</v>
      </c>
      <c r="C67" s="55">
        <f t="shared" si="49"/>
        <v>5915.6368333333339</v>
      </c>
      <c r="D67" s="15">
        <f t="shared" si="63"/>
        <v>1655.4166666666665</v>
      </c>
      <c r="E67" s="14">
        <f t="shared" si="63"/>
        <v>815.78933333333327</v>
      </c>
      <c r="F67" s="14">
        <f t="shared" si="63"/>
        <v>0</v>
      </c>
      <c r="G67" s="13">
        <f t="shared" si="63"/>
        <v>0</v>
      </c>
      <c r="H67" s="15">
        <f t="shared" si="63"/>
        <v>0</v>
      </c>
      <c r="I67" s="13">
        <f t="shared" si="63"/>
        <v>0</v>
      </c>
      <c r="J67" s="16">
        <f t="shared" ref="J67" si="73">J109*J196</f>
        <v>564.75</v>
      </c>
      <c r="K67" s="16">
        <f t="shared" si="63"/>
        <v>2446.4</v>
      </c>
      <c r="L67" s="15">
        <f t="shared" si="63"/>
        <v>241.35749999999999</v>
      </c>
      <c r="M67" s="14">
        <f t="shared" si="63"/>
        <v>142.16666666666666</v>
      </c>
      <c r="N67" s="13">
        <f t="shared" si="63"/>
        <v>49.756666666666668</v>
      </c>
      <c r="O67" s="85"/>
    </row>
    <row r="68" spans="1:15" outlineLevel="1" x14ac:dyDescent="0.2">
      <c r="A68" s="20">
        <f t="shared" si="69"/>
        <v>29269</v>
      </c>
      <c r="B68" s="19" t="str">
        <f t="shared" si="69"/>
        <v>TAMUT</v>
      </c>
      <c r="C68" s="55">
        <f t="shared" si="49"/>
        <v>1509.3510342322393</v>
      </c>
      <c r="D68" s="15">
        <f t="shared" si="63"/>
        <v>432.08333333333337</v>
      </c>
      <c r="E68" s="14">
        <f t="shared" si="63"/>
        <v>262.30436756557253</v>
      </c>
      <c r="F68" s="14">
        <f t="shared" si="63"/>
        <v>0</v>
      </c>
      <c r="G68" s="13">
        <f t="shared" si="63"/>
        <v>0</v>
      </c>
      <c r="H68" s="15">
        <f t="shared" si="63"/>
        <v>0</v>
      </c>
      <c r="I68" s="13">
        <f t="shared" si="63"/>
        <v>0</v>
      </c>
      <c r="J68" s="16">
        <f t="shared" ref="J68" si="74">J110*J197</f>
        <v>163.5</v>
      </c>
      <c r="K68" s="16">
        <f t="shared" si="63"/>
        <v>573.6</v>
      </c>
      <c r="L68" s="15">
        <f t="shared" si="63"/>
        <v>55.164999999999999</v>
      </c>
      <c r="M68" s="14">
        <f t="shared" si="63"/>
        <v>22.625</v>
      </c>
      <c r="N68" s="13">
        <f t="shared" si="63"/>
        <v>7.3333333333333348E-2</v>
      </c>
      <c r="O68" s="85"/>
    </row>
    <row r="69" spans="1:15" outlineLevel="1" x14ac:dyDescent="0.2">
      <c r="A69" s="20">
        <f t="shared" si="69"/>
        <v>3652</v>
      </c>
      <c r="B69" s="19" t="str">
        <f t="shared" si="69"/>
        <v>UH</v>
      </c>
      <c r="C69" s="55">
        <f t="shared" si="49"/>
        <v>22415.761344444447</v>
      </c>
      <c r="D69" s="15">
        <f t="shared" si="63"/>
        <v>6373.3333333333339</v>
      </c>
      <c r="E69" s="14">
        <f t="shared" si="63"/>
        <v>3828.4188444444444</v>
      </c>
      <c r="F69" s="14">
        <f t="shared" si="63"/>
        <v>0</v>
      </c>
      <c r="G69" s="13">
        <f t="shared" si="63"/>
        <v>0</v>
      </c>
      <c r="H69" s="15">
        <f t="shared" si="63"/>
        <v>0</v>
      </c>
      <c r="I69" s="13">
        <f t="shared" si="63"/>
        <v>0</v>
      </c>
      <c r="J69" s="16">
        <f t="shared" ref="J69" si="75">J111*J198</f>
        <v>222.83333333333337</v>
      </c>
      <c r="K69" s="16">
        <f t="shared" si="63"/>
        <v>8095.2</v>
      </c>
      <c r="L69" s="15">
        <f t="shared" si="63"/>
        <v>646.19833333333327</v>
      </c>
      <c r="M69" s="14">
        <f t="shared" si="63"/>
        <v>1066.9374999999998</v>
      </c>
      <c r="N69" s="13">
        <f t="shared" si="63"/>
        <v>2182.84</v>
      </c>
      <c r="O69" s="85"/>
    </row>
    <row r="70" spans="1:15" outlineLevel="1" x14ac:dyDescent="0.2">
      <c r="A70" s="20">
        <f t="shared" si="69"/>
        <v>11711</v>
      </c>
      <c r="B70" s="19" t="str">
        <f t="shared" si="69"/>
        <v>UHCL</v>
      </c>
      <c r="C70" s="55">
        <f t="shared" si="49"/>
        <v>5122.1589177692513</v>
      </c>
      <c r="D70" s="15">
        <f t="shared" si="63"/>
        <v>1488.3333333333335</v>
      </c>
      <c r="E70" s="14">
        <f t="shared" si="63"/>
        <v>867.07975110258383</v>
      </c>
      <c r="F70" s="14">
        <f t="shared" si="63"/>
        <v>0</v>
      </c>
      <c r="G70" s="13">
        <f t="shared" si="63"/>
        <v>0</v>
      </c>
      <c r="H70" s="15">
        <f t="shared" si="63"/>
        <v>0</v>
      </c>
      <c r="I70" s="13">
        <f t="shared" si="63"/>
        <v>0</v>
      </c>
      <c r="J70" s="16">
        <f t="shared" ref="J70" si="76">J112*J199</f>
        <v>604.99999999999989</v>
      </c>
      <c r="K70" s="16">
        <f t="shared" si="63"/>
        <v>1858.4</v>
      </c>
      <c r="L70" s="15">
        <f t="shared" si="63"/>
        <v>118.26333333333332</v>
      </c>
      <c r="M70" s="14">
        <f t="shared" si="63"/>
        <v>178.81249999999997</v>
      </c>
      <c r="N70" s="13">
        <f t="shared" si="63"/>
        <v>6.2700000000000005</v>
      </c>
      <c r="O70" s="85"/>
    </row>
    <row r="71" spans="1:15" outlineLevel="1" x14ac:dyDescent="0.2">
      <c r="A71" s="20">
        <f t="shared" si="69"/>
        <v>12826</v>
      </c>
      <c r="B71" s="19" t="str">
        <f t="shared" si="69"/>
        <v>UHD</v>
      </c>
      <c r="C71" s="55">
        <f t="shared" si="49"/>
        <v>9430.3810000000012</v>
      </c>
      <c r="D71" s="15">
        <f t="shared" si="63"/>
        <v>2977.916666666667</v>
      </c>
      <c r="E71" s="14">
        <f t="shared" si="63"/>
        <v>158.42516666666671</v>
      </c>
      <c r="F71" s="14">
        <f t="shared" si="63"/>
        <v>0</v>
      </c>
      <c r="G71" s="13">
        <f t="shared" si="63"/>
        <v>0</v>
      </c>
      <c r="H71" s="15">
        <f t="shared" si="63"/>
        <v>0</v>
      </c>
      <c r="I71" s="13">
        <f t="shared" si="63"/>
        <v>0</v>
      </c>
      <c r="J71" s="16">
        <f t="shared" ref="J71" si="77">J113*J200</f>
        <v>786.99999999999989</v>
      </c>
      <c r="K71" s="16">
        <f t="shared" si="63"/>
        <v>4034.3999999999996</v>
      </c>
      <c r="L71" s="15">
        <f t="shared" si="63"/>
        <v>1055.8133333333333</v>
      </c>
      <c r="M71" s="14">
        <f t="shared" si="63"/>
        <v>350.31249999999994</v>
      </c>
      <c r="N71" s="13">
        <f t="shared" si="63"/>
        <v>66.513333333333335</v>
      </c>
      <c r="O71" s="85"/>
    </row>
    <row r="72" spans="1:15" outlineLevel="1" x14ac:dyDescent="0.2">
      <c r="A72" s="20">
        <f t="shared" si="69"/>
        <v>13231</v>
      </c>
      <c r="B72" s="19" t="str">
        <f t="shared" si="69"/>
        <v>UHV</v>
      </c>
      <c r="C72" s="55">
        <f t="shared" si="49"/>
        <v>2503.2719813077379</v>
      </c>
      <c r="D72" s="15">
        <f t="shared" si="63"/>
        <v>720.83333333333326</v>
      </c>
      <c r="E72" s="14">
        <f t="shared" si="63"/>
        <v>420.27364797440498</v>
      </c>
      <c r="F72" s="14">
        <f t="shared" si="63"/>
        <v>0</v>
      </c>
      <c r="G72" s="13">
        <f t="shared" si="63"/>
        <v>0</v>
      </c>
      <c r="H72" s="15">
        <f t="shared" si="63"/>
        <v>0</v>
      </c>
      <c r="I72" s="13">
        <f t="shared" si="63"/>
        <v>0</v>
      </c>
      <c r="J72" s="16">
        <f t="shared" ref="J72" si="78">J114*J201</f>
        <v>311.49999999999994</v>
      </c>
      <c r="K72" s="16">
        <f t="shared" si="63"/>
        <v>921.59999999999991</v>
      </c>
      <c r="L72" s="15">
        <f t="shared" si="63"/>
        <v>91.29</v>
      </c>
      <c r="M72" s="14">
        <f t="shared" si="63"/>
        <v>37.041666666666664</v>
      </c>
      <c r="N72" s="13">
        <f t="shared" si="63"/>
        <v>0.73333333333333339</v>
      </c>
      <c r="O72" s="85"/>
    </row>
    <row r="73" spans="1:15" outlineLevel="1" x14ac:dyDescent="0.2">
      <c r="A73" s="20">
        <f t="shared" si="69"/>
        <v>3592</v>
      </c>
      <c r="B73" s="19" t="str">
        <f t="shared" si="69"/>
        <v>Midwestern</v>
      </c>
      <c r="C73" s="55">
        <f t="shared" si="49"/>
        <v>4379.2787777777785</v>
      </c>
      <c r="D73" s="15">
        <f t="shared" si="63"/>
        <v>1289.5833333333335</v>
      </c>
      <c r="E73" s="14">
        <f t="shared" si="63"/>
        <v>634.54377777777779</v>
      </c>
      <c r="F73" s="14">
        <f t="shared" si="63"/>
        <v>0</v>
      </c>
      <c r="G73" s="13">
        <f t="shared" si="63"/>
        <v>0</v>
      </c>
      <c r="H73" s="15">
        <f t="shared" si="63"/>
        <v>0</v>
      </c>
      <c r="I73" s="13">
        <f t="shared" si="63"/>
        <v>0</v>
      </c>
      <c r="J73" s="16">
        <f t="shared" ref="J73" si="79">J115*J202</f>
        <v>31.416666666666671</v>
      </c>
      <c r="K73" s="16">
        <f t="shared" si="63"/>
        <v>1656.8</v>
      </c>
      <c r="L73" s="15">
        <f t="shared" si="63"/>
        <v>122.23</v>
      </c>
      <c r="M73" s="14">
        <f t="shared" si="63"/>
        <v>196.125</v>
      </c>
      <c r="N73" s="13">
        <f t="shared" si="63"/>
        <v>448.58</v>
      </c>
      <c r="O73" s="85"/>
    </row>
    <row r="74" spans="1:15" outlineLevel="1" x14ac:dyDescent="0.2">
      <c r="A74" s="20">
        <f t="shared" si="69"/>
        <v>3594</v>
      </c>
      <c r="B74" s="19" t="str">
        <f t="shared" si="69"/>
        <v>UNT</v>
      </c>
      <c r="C74" s="55">
        <f t="shared" si="49"/>
        <v>25758.585277777776</v>
      </c>
      <c r="D74" s="15">
        <f t="shared" si="63"/>
        <v>7520.8333333333339</v>
      </c>
      <c r="E74" s="14">
        <f t="shared" si="63"/>
        <v>4854.6477777777782</v>
      </c>
      <c r="F74" s="14">
        <f t="shared" si="63"/>
        <v>0</v>
      </c>
      <c r="G74" s="13">
        <f t="shared" si="63"/>
        <v>0</v>
      </c>
      <c r="H74" s="15">
        <f t="shared" si="63"/>
        <v>0</v>
      </c>
      <c r="I74" s="13">
        <f t="shared" si="63"/>
        <v>0</v>
      </c>
      <c r="J74" s="16">
        <f t="shared" ref="J74" si="80">J116*J203</f>
        <v>286.25</v>
      </c>
      <c r="K74" s="16">
        <f t="shared" si="63"/>
        <v>9168</v>
      </c>
      <c r="L74" s="15">
        <f t="shared" si="63"/>
        <v>668.49666666666678</v>
      </c>
      <c r="M74" s="14">
        <f t="shared" si="63"/>
        <v>1057.9374999999998</v>
      </c>
      <c r="N74" s="13">
        <f t="shared" si="63"/>
        <v>2202.42</v>
      </c>
      <c r="O74" s="85"/>
    </row>
    <row r="75" spans="1:15" outlineLevel="1" x14ac:dyDescent="0.2">
      <c r="A75" s="27">
        <f t="shared" si="69"/>
        <v>113594</v>
      </c>
      <c r="B75" s="19" t="str">
        <f t="shared" si="69"/>
        <v>UNTD</v>
      </c>
      <c r="C75" s="55">
        <f t="shared" si="49"/>
        <v>1708.7210000000002</v>
      </c>
      <c r="D75" s="15">
        <f t="shared" ref="D75:N85" si="81">D117*D204</f>
        <v>504.375</v>
      </c>
      <c r="E75" s="14">
        <f t="shared" si="81"/>
        <v>326.22975000000002</v>
      </c>
      <c r="F75" s="14">
        <f t="shared" si="81"/>
        <v>0</v>
      </c>
      <c r="G75" s="13">
        <f t="shared" si="81"/>
        <v>0</v>
      </c>
      <c r="H75" s="15">
        <f t="shared" si="81"/>
        <v>0</v>
      </c>
      <c r="I75" s="13">
        <f t="shared" si="81"/>
        <v>0</v>
      </c>
      <c r="J75" s="16">
        <f t="shared" ref="J75" si="82">J117*J204</f>
        <v>0</v>
      </c>
      <c r="K75" s="16">
        <f t="shared" si="81"/>
        <v>740.4</v>
      </c>
      <c r="L75" s="15">
        <f t="shared" si="81"/>
        <v>121.89</v>
      </c>
      <c r="M75" s="14">
        <f t="shared" si="81"/>
        <v>13.40625</v>
      </c>
      <c r="N75" s="13">
        <f t="shared" si="81"/>
        <v>2.4200000000000004</v>
      </c>
      <c r="O75" s="85"/>
    </row>
    <row r="76" spans="1:15" outlineLevel="1" x14ac:dyDescent="0.2">
      <c r="A76" s="20">
        <f t="shared" si="69"/>
        <v>3624</v>
      </c>
      <c r="B76" s="19" t="str">
        <f t="shared" si="69"/>
        <v>SFA</v>
      </c>
      <c r="C76" s="55">
        <f t="shared" si="49"/>
        <v>9014.4405000000006</v>
      </c>
      <c r="D76" s="15">
        <f t="shared" si="81"/>
        <v>2402.0833333333335</v>
      </c>
      <c r="E76" s="14">
        <f t="shared" si="81"/>
        <v>1490.4446666666665</v>
      </c>
      <c r="F76" s="14">
        <f t="shared" si="81"/>
        <v>0</v>
      </c>
      <c r="G76" s="13">
        <f t="shared" si="81"/>
        <v>0</v>
      </c>
      <c r="H76" s="15">
        <f t="shared" si="81"/>
        <v>0</v>
      </c>
      <c r="I76" s="13">
        <f t="shared" si="81"/>
        <v>0</v>
      </c>
      <c r="J76" s="16">
        <f t="shared" ref="J76" si="83">J118*J205</f>
        <v>70.416666666666671</v>
      </c>
      <c r="K76" s="16">
        <f t="shared" si="81"/>
        <v>3504.7999999999997</v>
      </c>
      <c r="L76" s="15">
        <f t="shared" si="81"/>
        <v>235.39333333333335</v>
      </c>
      <c r="M76" s="14">
        <f t="shared" si="81"/>
        <v>389.0625</v>
      </c>
      <c r="N76" s="13">
        <f t="shared" si="81"/>
        <v>922.2399999999999</v>
      </c>
      <c r="O76" s="85"/>
    </row>
    <row r="77" spans="1:15" outlineLevel="1" x14ac:dyDescent="0.2">
      <c r="A77" s="20">
        <f t="shared" si="69"/>
        <v>3642</v>
      </c>
      <c r="B77" s="19" t="str">
        <f t="shared" si="69"/>
        <v>TSU</v>
      </c>
      <c r="C77" s="55">
        <f t="shared" si="49"/>
        <v>3979.834861111111</v>
      </c>
      <c r="D77" s="15">
        <f t="shared" si="81"/>
        <v>947.91666666666674</v>
      </c>
      <c r="E77" s="14">
        <f t="shared" si="81"/>
        <v>38.131527777777777</v>
      </c>
      <c r="F77" s="14">
        <f t="shared" si="81"/>
        <v>0</v>
      </c>
      <c r="G77" s="13">
        <f t="shared" si="81"/>
        <v>0</v>
      </c>
      <c r="H77" s="15">
        <f t="shared" si="81"/>
        <v>0</v>
      </c>
      <c r="I77" s="13">
        <f t="shared" si="81"/>
        <v>0</v>
      </c>
      <c r="J77" s="16">
        <f t="shared" ref="J77" si="84">J119*J206</f>
        <v>14.125</v>
      </c>
      <c r="K77" s="16">
        <f t="shared" si="81"/>
        <v>1599.2</v>
      </c>
      <c r="L77" s="15">
        <f t="shared" si="81"/>
        <v>208.75999999999996</v>
      </c>
      <c r="M77" s="14">
        <f t="shared" si="81"/>
        <v>424.875</v>
      </c>
      <c r="N77" s="13">
        <f t="shared" si="81"/>
        <v>746.82666666666682</v>
      </c>
      <c r="O77" s="85"/>
    </row>
    <row r="78" spans="1:15" outlineLevel="1" x14ac:dyDescent="0.2">
      <c r="A78" s="20">
        <f t="shared" si="69"/>
        <v>3644</v>
      </c>
      <c r="B78" s="19" t="str">
        <f t="shared" si="69"/>
        <v>TTU</v>
      </c>
      <c r="C78" s="55">
        <f t="shared" si="49"/>
        <v>21757.711966666666</v>
      </c>
      <c r="D78" s="15">
        <f t="shared" si="81"/>
        <v>5842.5</v>
      </c>
      <c r="E78" s="14">
        <f t="shared" si="81"/>
        <v>7184.8727999999992</v>
      </c>
      <c r="F78" s="14">
        <f t="shared" si="81"/>
        <v>0</v>
      </c>
      <c r="G78" s="13">
        <f t="shared" si="81"/>
        <v>0</v>
      </c>
      <c r="H78" s="15">
        <f t="shared" si="81"/>
        <v>0</v>
      </c>
      <c r="I78" s="13">
        <f t="shared" si="81"/>
        <v>0</v>
      </c>
      <c r="J78" s="16">
        <f t="shared" ref="J78" si="85">J120*J207</f>
        <v>140.45833333333334</v>
      </c>
      <c r="K78" s="16">
        <f t="shared" si="81"/>
        <v>4444.8</v>
      </c>
      <c r="L78" s="15">
        <f t="shared" si="81"/>
        <v>551.25333333333333</v>
      </c>
      <c r="M78" s="14">
        <f t="shared" si="81"/>
        <v>989.68749999999989</v>
      </c>
      <c r="N78" s="13">
        <f t="shared" si="81"/>
        <v>2604.14</v>
      </c>
      <c r="O78" s="85"/>
    </row>
    <row r="79" spans="1:15" outlineLevel="1" x14ac:dyDescent="0.2">
      <c r="A79" s="20">
        <f t="shared" si="69"/>
        <v>3541</v>
      </c>
      <c r="B79" s="19" t="str">
        <f t="shared" si="69"/>
        <v>Angelo</v>
      </c>
      <c r="C79" s="55">
        <f t="shared" si="49"/>
        <v>4384.7442000000001</v>
      </c>
      <c r="D79" s="15">
        <f t="shared" si="81"/>
        <v>1239.1666666666667</v>
      </c>
      <c r="E79" s="14">
        <f t="shared" si="81"/>
        <v>447.24003333333332</v>
      </c>
      <c r="F79" s="14">
        <f t="shared" si="81"/>
        <v>0</v>
      </c>
      <c r="G79" s="13">
        <f t="shared" si="81"/>
        <v>0</v>
      </c>
      <c r="H79" s="15">
        <f t="shared" si="81"/>
        <v>0</v>
      </c>
      <c r="I79" s="13">
        <f t="shared" si="81"/>
        <v>0</v>
      </c>
      <c r="J79" s="16">
        <f t="shared" ref="J79" si="86">J121*J208</f>
        <v>24.291666666666671</v>
      </c>
      <c r="K79" s="16">
        <f t="shared" si="81"/>
        <v>1735.2</v>
      </c>
      <c r="L79" s="15">
        <f t="shared" si="81"/>
        <v>122.28666666666669</v>
      </c>
      <c r="M79" s="14">
        <f t="shared" si="81"/>
        <v>193.81250000000003</v>
      </c>
      <c r="N79" s="13">
        <f t="shared" si="81"/>
        <v>622.74666666666678</v>
      </c>
      <c r="O79" s="85"/>
    </row>
    <row r="80" spans="1:15" outlineLevel="1" x14ac:dyDescent="0.2">
      <c r="A80" s="20">
        <f t="shared" ref="A80:B85" si="87">A37</f>
        <v>3646</v>
      </c>
      <c r="B80" s="19" t="str">
        <f t="shared" si="87"/>
        <v>TWU</v>
      </c>
      <c r="C80" s="55">
        <f t="shared" si="49"/>
        <v>7690.9337999999998</v>
      </c>
      <c r="D80" s="15">
        <f t="shared" si="81"/>
        <v>2257.5</v>
      </c>
      <c r="E80" s="14">
        <f t="shared" si="81"/>
        <v>1324.0388000000003</v>
      </c>
      <c r="F80" s="14">
        <f t="shared" si="81"/>
        <v>0</v>
      </c>
      <c r="G80" s="13">
        <f t="shared" si="81"/>
        <v>0</v>
      </c>
      <c r="H80" s="15">
        <f t="shared" si="81"/>
        <v>0</v>
      </c>
      <c r="I80" s="13">
        <f t="shared" si="81"/>
        <v>0</v>
      </c>
      <c r="J80" s="16">
        <f t="shared" ref="J80" si="88">J122*J209</f>
        <v>602.5</v>
      </c>
      <c r="K80" s="16">
        <f t="shared" si="81"/>
        <v>2992.7999999999997</v>
      </c>
      <c r="L80" s="15">
        <f t="shared" si="81"/>
        <v>279.98999999999995</v>
      </c>
      <c r="M80" s="14">
        <f t="shared" si="81"/>
        <v>161.54166666666666</v>
      </c>
      <c r="N80" s="13">
        <f t="shared" si="81"/>
        <v>72.563333333333333</v>
      </c>
      <c r="O80" s="85"/>
    </row>
    <row r="81" spans="1:15" outlineLevel="1" x14ac:dyDescent="0.2">
      <c r="A81" s="20">
        <f t="shared" si="87"/>
        <v>3581</v>
      </c>
      <c r="B81" s="19" t="str">
        <f t="shared" si="87"/>
        <v>Lamar</v>
      </c>
      <c r="C81" s="55">
        <f t="shared" si="49"/>
        <v>5860.4091222222214</v>
      </c>
      <c r="D81" s="15">
        <f t="shared" si="81"/>
        <v>1669.1666666666665</v>
      </c>
      <c r="E81" s="14">
        <f t="shared" si="81"/>
        <v>163.73412222222223</v>
      </c>
      <c r="F81" s="14">
        <f t="shared" si="81"/>
        <v>0</v>
      </c>
      <c r="G81" s="13">
        <f t="shared" si="81"/>
        <v>0</v>
      </c>
      <c r="H81" s="15">
        <f t="shared" si="81"/>
        <v>0</v>
      </c>
      <c r="I81" s="13">
        <f t="shared" si="81"/>
        <v>0</v>
      </c>
      <c r="J81" s="16">
        <f t="shared" ref="J81" si="89">J123*J210</f>
        <v>29.208333333333332</v>
      </c>
      <c r="K81" s="16">
        <f t="shared" si="81"/>
        <v>2276.7999999999997</v>
      </c>
      <c r="L81" s="15">
        <f t="shared" si="81"/>
        <v>273.44499999999994</v>
      </c>
      <c r="M81" s="14">
        <f t="shared" si="81"/>
        <v>558.375</v>
      </c>
      <c r="N81" s="13">
        <f t="shared" si="81"/>
        <v>889.68000000000018</v>
      </c>
      <c r="O81" s="85"/>
    </row>
    <row r="82" spans="1:15" outlineLevel="1" x14ac:dyDescent="0.2">
      <c r="A82" s="20">
        <f t="shared" si="87"/>
        <v>3606</v>
      </c>
      <c r="B82" s="19" t="str">
        <f t="shared" si="87"/>
        <v>SHSU</v>
      </c>
      <c r="C82" s="55">
        <f t="shared" si="49"/>
        <v>13898.700222222222</v>
      </c>
      <c r="D82" s="15">
        <f t="shared" si="81"/>
        <v>3847.083333333333</v>
      </c>
      <c r="E82" s="14">
        <f t="shared" si="81"/>
        <v>2527.7902222222224</v>
      </c>
      <c r="F82" s="14">
        <f t="shared" si="81"/>
        <v>0</v>
      </c>
      <c r="G82" s="13">
        <f t="shared" si="81"/>
        <v>0</v>
      </c>
      <c r="H82" s="15">
        <f t="shared" si="81"/>
        <v>0</v>
      </c>
      <c r="I82" s="13">
        <f t="shared" si="81"/>
        <v>0</v>
      </c>
      <c r="J82" s="16">
        <f t="shared" ref="J82" si="90">J124*J211</f>
        <v>160.20833333333337</v>
      </c>
      <c r="K82" s="16">
        <f t="shared" si="81"/>
        <v>5312.7999999999993</v>
      </c>
      <c r="L82" s="15">
        <f t="shared" si="81"/>
        <v>331.01833333333337</v>
      </c>
      <c r="M82" s="14">
        <f t="shared" si="81"/>
        <v>556</v>
      </c>
      <c r="N82" s="13">
        <f t="shared" si="81"/>
        <v>1163.8</v>
      </c>
      <c r="O82" s="85"/>
    </row>
    <row r="83" spans="1:15" outlineLevel="1" x14ac:dyDescent="0.2">
      <c r="A83" s="20">
        <f t="shared" si="87"/>
        <v>3615</v>
      </c>
      <c r="B83" s="19" t="str">
        <f t="shared" si="87"/>
        <v>TXST</v>
      </c>
      <c r="C83" s="55">
        <f t="shared" si="49"/>
        <v>24394.907366666663</v>
      </c>
      <c r="D83" s="15">
        <f t="shared" si="81"/>
        <v>6701.25</v>
      </c>
      <c r="E83" s="14">
        <f t="shared" si="81"/>
        <v>4750.9182000000001</v>
      </c>
      <c r="F83" s="14">
        <f t="shared" si="81"/>
        <v>0</v>
      </c>
      <c r="G83" s="13">
        <f t="shared" si="81"/>
        <v>0</v>
      </c>
      <c r="H83" s="15">
        <f t="shared" si="81"/>
        <v>0</v>
      </c>
      <c r="I83" s="13">
        <f t="shared" si="81"/>
        <v>0</v>
      </c>
      <c r="J83" s="16">
        <f t="shared" ref="J83" si="91">J125*J212</f>
        <v>251.45833333333337</v>
      </c>
      <c r="K83" s="16">
        <f t="shared" si="81"/>
        <v>8820.7999999999993</v>
      </c>
      <c r="L83" s="15">
        <f t="shared" si="81"/>
        <v>634.97833333333335</v>
      </c>
      <c r="M83" s="14">
        <f t="shared" si="81"/>
        <v>1046.0625</v>
      </c>
      <c r="N83" s="13">
        <f t="shared" si="81"/>
        <v>2189.44</v>
      </c>
      <c r="O83" s="85"/>
    </row>
    <row r="84" spans="1:15" outlineLevel="1" x14ac:dyDescent="0.2">
      <c r="A84" s="20">
        <f t="shared" si="87"/>
        <v>3625</v>
      </c>
      <c r="B84" s="19" t="str">
        <f t="shared" si="87"/>
        <v>SRSU</v>
      </c>
      <c r="C84" s="55">
        <f t="shared" si="49"/>
        <v>881.90876666666668</v>
      </c>
      <c r="D84" s="15">
        <f t="shared" si="81"/>
        <v>236.66666666666669</v>
      </c>
      <c r="E84" s="14">
        <f t="shared" si="81"/>
        <v>19.94626666666667</v>
      </c>
      <c r="F84" s="14">
        <f t="shared" si="81"/>
        <v>0</v>
      </c>
      <c r="G84" s="13">
        <f t="shared" si="81"/>
        <v>0</v>
      </c>
      <c r="H84" s="15">
        <f t="shared" si="81"/>
        <v>0</v>
      </c>
      <c r="I84" s="13">
        <f t="shared" si="81"/>
        <v>0</v>
      </c>
      <c r="J84" s="16">
        <f t="shared" ref="J84" si="92">J126*J213</f>
        <v>5.4166666666666679</v>
      </c>
      <c r="K84" s="16">
        <f t="shared" si="81"/>
        <v>391.2</v>
      </c>
      <c r="L84" s="15">
        <f t="shared" si="81"/>
        <v>76.5</v>
      </c>
      <c r="M84" s="14">
        <f t="shared" si="81"/>
        <v>36.312499999999993</v>
      </c>
      <c r="N84" s="13">
        <f t="shared" si="81"/>
        <v>115.86666666666667</v>
      </c>
      <c r="O84" s="85"/>
    </row>
    <row r="85" spans="1:15" outlineLevel="1" x14ac:dyDescent="0.2">
      <c r="A85" s="20">
        <f t="shared" si="87"/>
        <v>20</v>
      </c>
      <c r="B85" s="19" t="str">
        <f t="shared" si="87"/>
        <v>SRRG</v>
      </c>
      <c r="C85" s="55">
        <f t="shared" si="49"/>
        <v>760.36047105796069</v>
      </c>
      <c r="D85" s="15">
        <f t="shared" si="81"/>
        <v>202.08333333333331</v>
      </c>
      <c r="E85" s="14">
        <f t="shared" si="81"/>
        <v>26.967137724627321</v>
      </c>
      <c r="F85" s="14">
        <f t="shared" si="81"/>
        <v>0</v>
      </c>
      <c r="G85" s="13">
        <f t="shared" si="81"/>
        <v>0</v>
      </c>
      <c r="H85" s="15">
        <f t="shared" si="81"/>
        <v>0</v>
      </c>
      <c r="I85" s="13">
        <f t="shared" si="81"/>
        <v>0</v>
      </c>
      <c r="J85" s="16">
        <f t="shared" ref="J85" si="93">J127*J214</f>
        <v>115</v>
      </c>
      <c r="K85" s="16">
        <f t="shared" si="81"/>
        <v>345.59999999999997</v>
      </c>
      <c r="L85" s="15">
        <f t="shared" si="81"/>
        <v>58.65</v>
      </c>
      <c r="M85" s="14">
        <f t="shared" si="81"/>
        <v>11.583333333333336</v>
      </c>
      <c r="N85" s="13">
        <f t="shared" si="81"/>
        <v>0.47666666666666668</v>
      </c>
      <c r="O85" s="85"/>
    </row>
    <row r="86" spans="1:15" ht="13.5" outlineLevel="1" thickBot="1" x14ac:dyDescent="0.25">
      <c r="A86" s="12"/>
      <c r="B86" s="11" t="s">
        <v>11</v>
      </c>
      <c r="C86" s="54">
        <f t="shared" ref="C86:N86" si="94">SUM(C48:C85)</f>
        <v>377357.75830566144</v>
      </c>
      <c r="D86" s="9">
        <f t="shared" si="94"/>
        <v>107522.87499999999</v>
      </c>
      <c r="E86" s="7">
        <f t="shared" si="94"/>
        <v>78380.464972328075</v>
      </c>
      <c r="F86" s="7">
        <f t="shared" si="94"/>
        <v>0</v>
      </c>
      <c r="G86" s="3">
        <f t="shared" si="94"/>
        <v>0</v>
      </c>
      <c r="H86" s="5">
        <f t="shared" si="94"/>
        <v>0</v>
      </c>
      <c r="I86" s="3">
        <f t="shared" si="94"/>
        <v>0</v>
      </c>
      <c r="J86" s="6">
        <f t="shared" ref="J86" si="95">SUM(J48:J85)</f>
        <v>8775.375</v>
      </c>
      <c r="K86" s="6">
        <f t="shared" si="94"/>
        <v>117608.66666666669</v>
      </c>
      <c r="L86" s="5">
        <f t="shared" si="94"/>
        <v>14830.778750000001</v>
      </c>
      <c r="M86" s="4">
        <f t="shared" si="94"/>
        <v>16077.447916666664</v>
      </c>
      <c r="N86" s="3">
        <f t="shared" si="94"/>
        <v>34162.150000000016</v>
      </c>
    </row>
    <row r="87" spans="1:15" ht="13.5" thickBot="1" x14ac:dyDescent="0.25">
      <c r="A87" s="57" t="s">
        <v>30</v>
      </c>
    </row>
    <row r="88" spans="1:15" ht="12.75" customHeight="1" outlineLevel="1" x14ac:dyDescent="0.2">
      <c r="A88" s="234" t="s">
        <v>24</v>
      </c>
      <c r="B88" s="236" t="s">
        <v>23</v>
      </c>
      <c r="C88" s="238" t="s">
        <v>77</v>
      </c>
      <c r="D88" s="247" t="s">
        <v>35</v>
      </c>
      <c r="E88" s="248"/>
      <c r="F88" s="248"/>
      <c r="G88" s="249"/>
      <c r="H88" s="250" t="s">
        <v>18</v>
      </c>
      <c r="I88" s="225" t="s">
        <v>17</v>
      </c>
      <c r="J88" s="227" t="s">
        <v>16</v>
      </c>
      <c r="K88" s="227" t="s">
        <v>16</v>
      </c>
      <c r="L88" s="229" t="s">
        <v>34</v>
      </c>
      <c r="M88" s="230"/>
      <c r="N88" s="231"/>
      <c r="O88" s="277"/>
    </row>
    <row r="89" spans="1:15" ht="51.75" outlineLevel="1" thickBot="1" x14ac:dyDescent="0.25">
      <c r="A89" s="273"/>
      <c r="B89" s="270"/>
      <c r="C89" s="274"/>
      <c r="D89" s="147"/>
      <c r="E89" s="148" t="s">
        <v>33</v>
      </c>
      <c r="F89" s="148" t="s">
        <v>32</v>
      </c>
      <c r="G89" s="213" t="s">
        <v>31</v>
      </c>
      <c r="H89" s="279"/>
      <c r="I89" s="280"/>
      <c r="J89" s="278"/>
      <c r="K89" s="278"/>
      <c r="L89" s="150" t="s">
        <v>14</v>
      </c>
      <c r="M89" s="151" t="s">
        <v>13</v>
      </c>
      <c r="N89" s="166" t="s">
        <v>12</v>
      </c>
      <c r="O89" s="277"/>
    </row>
    <row r="90" spans="1:15" outlineLevel="1" x14ac:dyDescent="0.2">
      <c r="A90" s="20">
        <f t="shared" ref="A90:B105" si="96">A5</f>
        <v>3656</v>
      </c>
      <c r="B90" s="19" t="str">
        <f t="shared" si="96"/>
        <v>UTA</v>
      </c>
      <c r="C90" s="143">
        <f>SUM(D90:N90)-I90</f>
        <v>1.0499999999999998</v>
      </c>
      <c r="D90" s="96">
        <f t="shared" ref="D90:H99" si="97">HLOOKUP(D131,$D$170:$M$171,2,0)</f>
        <v>0.3</v>
      </c>
      <c r="E90" s="96">
        <f t="shared" si="97"/>
        <v>0.2</v>
      </c>
      <c r="F90" s="96">
        <f t="shared" si="97"/>
        <v>0</v>
      </c>
      <c r="G90" s="96">
        <f t="shared" si="97"/>
        <v>0</v>
      </c>
      <c r="H90" s="96">
        <f t="shared" si="97"/>
        <v>0</v>
      </c>
      <c r="I90" s="96">
        <f>H90</f>
        <v>0</v>
      </c>
      <c r="J90" s="96">
        <f t="shared" ref="J90:N99" si="98">HLOOKUP(J131,$D$170:$M$171,2,0)</f>
        <v>7.4999999999999997E-2</v>
      </c>
      <c r="K90" s="96">
        <f t="shared" si="98"/>
        <v>0.25</v>
      </c>
      <c r="L90" s="96">
        <f t="shared" si="98"/>
        <v>0.15</v>
      </c>
      <c r="M90" s="96">
        <f t="shared" si="98"/>
        <v>0.05</v>
      </c>
      <c r="N90" s="97">
        <f t="shared" si="98"/>
        <v>2.5000000000000001E-2</v>
      </c>
      <c r="O90" s="153"/>
    </row>
    <row r="91" spans="1:15" outlineLevel="1" x14ac:dyDescent="0.2">
      <c r="A91" s="20">
        <f t="shared" si="96"/>
        <v>3658</v>
      </c>
      <c r="B91" s="19" t="str">
        <f t="shared" si="96"/>
        <v>UT</v>
      </c>
      <c r="C91" s="142">
        <f t="shared" ref="C91:C127" si="99">SUM(D91:N91)</f>
        <v>1.05</v>
      </c>
      <c r="D91" s="96">
        <f t="shared" si="97"/>
        <v>0.25</v>
      </c>
      <c r="E91" s="96">
        <f t="shared" si="97"/>
        <v>0.3</v>
      </c>
      <c r="F91" s="96">
        <f t="shared" si="97"/>
        <v>0</v>
      </c>
      <c r="G91" s="96">
        <f t="shared" si="97"/>
        <v>0</v>
      </c>
      <c r="H91" s="96">
        <f t="shared" si="97"/>
        <v>0</v>
      </c>
      <c r="I91" s="96">
        <f t="shared" ref="I91:I127" si="100">H91</f>
        <v>0</v>
      </c>
      <c r="J91" s="96">
        <f t="shared" si="98"/>
        <v>2.5000000000000001E-2</v>
      </c>
      <c r="K91" s="96">
        <f t="shared" si="98"/>
        <v>0.15</v>
      </c>
      <c r="L91" s="96">
        <f t="shared" si="98"/>
        <v>0.05</v>
      </c>
      <c r="M91" s="96">
        <f t="shared" si="98"/>
        <v>7.4999999999999997E-2</v>
      </c>
      <c r="N91" s="97">
        <f t="shared" si="98"/>
        <v>0.2</v>
      </c>
      <c r="O91" s="85"/>
    </row>
    <row r="92" spans="1:15" outlineLevel="1" x14ac:dyDescent="0.2">
      <c r="A92" s="20">
        <f t="shared" si="96"/>
        <v>9741</v>
      </c>
      <c r="B92" s="19" t="str">
        <f t="shared" si="96"/>
        <v>UTD</v>
      </c>
      <c r="C92" s="142">
        <f t="shared" si="99"/>
        <v>1.0499999999999998</v>
      </c>
      <c r="D92" s="96">
        <f t="shared" si="97"/>
        <v>0.3</v>
      </c>
      <c r="E92" s="96">
        <f t="shared" si="97"/>
        <v>0.25</v>
      </c>
      <c r="F92" s="96">
        <f t="shared" si="97"/>
        <v>0</v>
      </c>
      <c r="G92" s="96">
        <f t="shared" si="97"/>
        <v>0</v>
      </c>
      <c r="H92" s="96">
        <f t="shared" si="97"/>
        <v>0</v>
      </c>
      <c r="I92" s="96">
        <f t="shared" si="100"/>
        <v>0</v>
      </c>
      <c r="J92" s="96">
        <f t="shared" si="98"/>
        <v>7.4999999999999997E-2</v>
      </c>
      <c r="K92" s="96">
        <f t="shared" si="98"/>
        <v>0.2</v>
      </c>
      <c r="L92" s="96">
        <f t="shared" si="98"/>
        <v>0.15</v>
      </c>
      <c r="M92" s="96">
        <f t="shared" si="98"/>
        <v>0.05</v>
      </c>
      <c r="N92" s="97">
        <f t="shared" si="98"/>
        <v>2.5000000000000001E-2</v>
      </c>
      <c r="O92" s="85"/>
    </row>
    <row r="93" spans="1:15" outlineLevel="1" x14ac:dyDescent="0.2">
      <c r="A93" s="20">
        <f t="shared" si="96"/>
        <v>3661</v>
      </c>
      <c r="B93" s="19" t="str">
        <f t="shared" si="96"/>
        <v>UTEP</v>
      </c>
      <c r="C93" s="142">
        <f t="shared" si="99"/>
        <v>1.05</v>
      </c>
      <c r="D93" s="96">
        <f t="shared" si="97"/>
        <v>0.25</v>
      </c>
      <c r="E93" s="96">
        <f t="shared" si="97"/>
        <v>7.4999999999999997E-2</v>
      </c>
      <c r="F93" s="96">
        <f t="shared" si="97"/>
        <v>0</v>
      </c>
      <c r="G93" s="96">
        <f t="shared" si="97"/>
        <v>0</v>
      </c>
      <c r="H93" s="96">
        <f t="shared" si="97"/>
        <v>0</v>
      </c>
      <c r="I93" s="96">
        <f t="shared" si="100"/>
        <v>0</v>
      </c>
      <c r="J93" s="96">
        <f t="shared" si="98"/>
        <v>2.5000000000000001E-2</v>
      </c>
      <c r="K93" s="96">
        <f t="shared" si="98"/>
        <v>0.3</v>
      </c>
      <c r="L93" s="96">
        <f t="shared" si="98"/>
        <v>0.05</v>
      </c>
      <c r="M93" s="96">
        <f t="shared" si="98"/>
        <v>0.15</v>
      </c>
      <c r="N93" s="97">
        <f t="shared" si="98"/>
        <v>0.2</v>
      </c>
      <c r="O93" s="85"/>
    </row>
    <row r="94" spans="1:15" outlineLevel="1" x14ac:dyDescent="0.2">
      <c r="A94" s="20">
        <f t="shared" si="96"/>
        <v>3599</v>
      </c>
      <c r="B94" s="19" t="str">
        <f t="shared" si="96"/>
        <v>UTPA</v>
      </c>
      <c r="C94" s="142">
        <f t="shared" si="99"/>
        <v>1.05</v>
      </c>
      <c r="D94" s="96">
        <f t="shared" si="97"/>
        <v>0.25</v>
      </c>
      <c r="E94" s="96">
        <f t="shared" si="97"/>
        <v>0.15</v>
      </c>
      <c r="F94" s="96">
        <f t="shared" si="97"/>
        <v>0</v>
      </c>
      <c r="G94" s="96">
        <f t="shared" si="97"/>
        <v>0</v>
      </c>
      <c r="H94" s="96">
        <f t="shared" si="97"/>
        <v>0</v>
      </c>
      <c r="I94" s="96">
        <f t="shared" si="100"/>
        <v>0</v>
      </c>
      <c r="J94" s="96">
        <f t="shared" si="98"/>
        <v>2.5000000000000001E-2</v>
      </c>
      <c r="K94" s="96">
        <f t="shared" si="98"/>
        <v>0.3</v>
      </c>
      <c r="L94" s="96">
        <f t="shared" si="98"/>
        <v>0.05</v>
      </c>
      <c r="M94" s="96">
        <f t="shared" si="98"/>
        <v>7.4999999999999997E-2</v>
      </c>
      <c r="N94" s="97">
        <f t="shared" si="98"/>
        <v>0.2</v>
      </c>
      <c r="O94" s="85"/>
    </row>
    <row r="95" spans="1:15" outlineLevel="1" x14ac:dyDescent="0.2">
      <c r="A95" s="20">
        <f t="shared" si="96"/>
        <v>30646</v>
      </c>
      <c r="B95" s="19" t="str">
        <f t="shared" si="96"/>
        <v>UTB</v>
      </c>
      <c r="C95" s="142">
        <f t="shared" si="99"/>
        <v>1.05</v>
      </c>
      <c r="D95" s="96">
        <f t="shared" si="97"/>
        <v>0.25</v>
      </c>
      <c r="E95" s="96">
        <f t="shared" si="97"/>
        <v>0.15</v>
      </c>
      <c r="F95" s="96">
        <f t="shared" si="97"/>
        <v>0</v>
      </c>
      <c r="G95" s="96">
        <f t="shared" si="97"/>
        <v>0</v>
      </c>
      <c r="H95" s="96">
        <f t="shared" si="97"/>
        <v>0</v>
      </c>
      <c r="I95" s="96">
        <f t="shared" si="100"/>
        <v>0</v>
      </c>
      <c r="J95" s="96">
        <f t="shared" si="98"/>
        <v>0.2</v>
      </c>
      <c r="K95" s="96">
        <f t="shared" si="98"/>
        <v>0.3</v>
      </c>
      <c r="L95" s="96">
        <f t="shared" si="98"/>
        <v>7.4999999999999997E-2</v>
      </c>
      <c r="M95" s="96">
        <f t="shared" si="98"/>
        <v>0.05</v>
      </c>
      <c r="N95" s="97">
        <f t="shared" si="98"/>
        <v>2.5000000000000001E-2</v>
      </c>
      <c r="O95" s="85"/>
    </row>
    <row r="96" spans="1:15" outlineLevel="1" x14ac:dyDescent="0.2">
      <c r="A96" s="20">
        <f t="shared" si="96"/>
        <v>9930</v>
      </c>
      <c r="B96" s="19" t="str">
        <f t="shared" si="96"/>
        <v>UTPB</v>
      </c>
      <c r="C96" s="142">
        <f t="shared" si="99"/>
        <v>1.0499999999999998</v>
      </c>
      <c r="D96" s="96">
        <f t="shared" si="97"/>
        <v>0.25</v>
      </c>
      <c r="E96" s="96">
        <f t="shared" si="97"/>
        <v>0.2</v>
      </c>
      <c r="F96" s="96">
        <f t="shared" si="97"/>
        <v>0</v>
      </c>
      <c r="G96" s="96">
        <f t="shared" si="97"/>
        <v>0</v>
      </c>
      <c r="H96" s="96">
        <f t="shared" si="97"/>
        <v>0</v>
      </c>
      <c r="I96" s="96">
        <f t="shared" si="100"/>
        <v>0</v>
      </c>
      <c r="J96" s="96">
        <f t="shared" si="98"/>
        <v>7.4999999999999997E-2</v>
      </c>
      <c r="K96" s="96">
        <f t="shared" si="98"/>
        <v>0.3</v>
      </c>
      <c r="L96" s="96">
        <f t="shared" si="98"/>
        <v>0.15</v>
      </c>
      <c r="M96" s="96">
        <f t="shared" si="98"/>
        <v>0.05</v>
      </c>
      <c r="N96" s="97">
        <f t="shared" si="98"/>
        <v>2.5000000000000001E-2</v>
      </c>
      <c r="O96" s="85"/>
    </row>
    <row r="97" spans="1:15" outlineLevel="1" x14ac:dyDescent="0.2">
      <c r="A97" s="20">
        <f t="shared" si="96"/>
        <v>10115</v>
      </c>
      <c r="B97" s="19" t="str">
        <f t="shared" si="96"/>
        <v>UTSA</v>
      </c>
      <c r="C97" s="142">
        <f t="shared" si="99"/>
        <v>1.05</v>
      </c>
      <c r="D97" s="96">
        <f t="shared" si="97"/>
        <v>0.25</v>
      </c>
      <c r="E97" s="96">
        <f t="shared" si="97"/>
        <v>0.2</v>
      </c>
      <c r="F97" s="96">
        <f t="shared" si="97"/>
        <v>0</v>
      </c>
      <c r="G97" s="96">
        <f t="shared" si="97"/>
        <v>0</v>
      </c>
      <c r="H97" s="96">
        <f t="shared" si="97"/>
        <v>0</v>
      </c>
      <c r="I97" s="96">
        <f t="shared" si="100"/>
        <v>0</v>
      </c>
      <c r="J97" s="96">
        <f t="shared" si="98"/>
        <v>2.5000000000000001E-2</v>
      </c>
      <c r="K97" s="96">
        <f t="shared" si="98"/>
        <v>0.3</v>
      </c>
      <c r="L97" s="96">
        <f t="shared" si="98"/>
        <v>0.15</v>
      </c>
      <c r="M97" s="96">
        <f t="shared" si="98"/>
        <v>0.05</v>
      </c>
      <c r="N97" s="97">
        <f t="shared" si="98"/>
        <v>7.4999999999999997E-2</v>
      </c>
      <c r="O97" s="85"/>
    </row>
    <row r="98" spans="1:15" outlineLevel="1" x14ac:dyDescent="0.2">
      <c r="A98" s="20">
        <f t="shared" si="96"/>
        <v>11163</v>
      </c>
      <c r="B98" s="19" t="str">
        <f t="shared" si="96"/>
        <v>UTT</v>
      </c>
      <c r="C98" s="142">
        <f t="shared" si="99"/>
        <v>1.0499999999999998</v>
      </c>
      <c r="D98" s="96">
        <f t="shared" si="97"/>
        <v>0.25</v>
      </c>
      <c r="E98" s="96">
        <f t="shared" si="97"/>
        <v>0.2</v>
      </c>
      <c r="F98" s="96">
        <f t="shared" si="97"/>
        <v>0</v>
      </c>
      <c r="G98" s="96">
        <f t="shared" si="97"/>
        <v>0</v>
      </c>
      <c r="H98" s="96">
        <f t="shared" si="97"/>
        <v>0</v>
      </c>
      <c r="I98" s="96">
        <f t="shared" si="100"/>
        <v>0</v>
      </c>
      <c r="J98" s="96">
        <f t="shared" si="98"/>
        <v>0.15</v>
      </c>
      <c r="K98" s="96">
        <f t="shared" si="98"/>
        <v>0.3</v>
      </c>
      <c r="L98" s="96">
        <f t="shared" si="98"/>
        <v>7.4999999999999997E-2</v>
      </c>
      <c r="M98" s="96">
        <f t="shared" si="98"/>
        <v>0.05</v>
      </c>
      <c r="N98" s="97">
        <f t="shared" si="98"/>
        <v>2.5000000000000001E-2</v>
      </c>
      <c r="O98" s="85"/>
    </row>
    <row r="99" spans="1:15" outlineLevel="1" x14ac:dyDescent="0.2">
      <c r="A99" s="20">
        <f t="shared" si="96"/>
        <v>3632</v>
      </c>
      <c r="B99" s="19" t="str">
        <f t="shared" si="96"/>
        <v>TAMU</v>
      </c>
      <c r="C99" s="142">
        <f t="shared" si="99"/>
        <v>1.05</v>
      </c>
      <c r="D99" s="96">
        <f t="shared" si="97"/>
        <v>0.25</v>
      </c>
      <c r="E99" s="96">
        <f t="shared" si="97"/>
        <v>0.3</v>
      </c>
      <c r="F99" s="96">
        <f t="shared" si="97"/>
        <v>0</v>
      </c>
      <c r="G99" s="96">
        <f t="shared" si="97"/>
        <v>0</v>
      </c>
      <c r="H99" s="96">
        <f t="shared" si="97"/>
        <v>0</v>
      </c>
      <c r="I99" s="96">
        <f t="shared" si="100"/>
        <v>0</v>
      </c>
      <c r="J99" s="96">
        <f t="shared" si="98"/>
        <v>2.5000000000000001E-2</v>
      </c>
      <c r="K99" s="96">
        <f t="shared" si="98"/>
        <v>0.15</v>
      </c>
      <c r="L99" s="96">
        <f t="shared" si="98"/>
        <v>0.05</v>
      </c>
      <c r="M99" s="96">
        <f t="shared" si="98"/>
        <v>7.4999999999999997E-2</v>
      </c>
      <c r="N99" s="97">
        <f t="shared" si="98"/>
        <v>0.2</v>
      </c>
      <c r="O99" s="85"/>
    </row>
    <row r="100" spans="1:15" outlineLevel="1" x14ac:dyDescent="0.2">
      <c r="A100" s="20">
        <f t="shared" si="96"/>
        <v>10298</v>
      </c>
      <c r="B100" s="19" t="str">
        <f t="shared" si="96"/>
        <v>TAMUG</v>
      </c>
      <c r="C100" s="142">
        <f t="shared" si="99"/>
        <v>1.05</v>
      </c>
      <c r="D100" s="96">
        <f t="shared" ref="D100:H109" si="101">HLOOKUP(D141,$D$170:$M$171,2,0)</f>
        <v>0.3</v>
      </c>
      <c r="E100" s="96">
        <f t="shared" si="101"/>
        <v>0.2</v>
      </c>
      <c r="F100" s="96">
        <f t="shared" si="101"/>
        <v>0</v>
      </c>
      <c r="G100" s="96">
        <f t="shared" si="101"/>
        <v>0</v>
      </c>
      <c r="H100" s="96">
        <f t="shared" si="101"/>
        <v>0</v>
      </c>
      <c r="I100" s="96">
        <f t="shared" si="100"/>
        <v>0</v>
      </c>
      <c r="J100" s="96">
        <f t="shared" ref="J100:N109" si="102">HLOOKUP(J141,$D$170:$M$171,2,0)</f>
        <v>2.5000000000000001E-2</v>
      </c>
      <c r="K100" s="96">
        <f t="shared" si="102"/>
        <v>0.25</v>
      </c>
      <c r="L100" s="96">
        <f t="shared" si="102"/>
        <v>7.4999999999999997E-2</v>
      </c>
      <c r="M100" s="96">
        <f t="shared" si="102"/>
        <v>0.05</v>
      </c>
      <c r="N100" s="97">
        <f t="shared" si="102"/>
        <v>0.15</v>
      </c>
      <c r="O100" s="85"/>
    </row>
    <row r="101" spans="1:15" outlineLevel="1" x14ac:dyDescent="0.2">
      <c r="A101" s="20">
        <f t="shared" si="96"/>
        <v>3630</v>
      </c>
      <c r="B101" s="19" t="str">
        <f t="shared" si="96"/>
        <v>Prairie View</v>
      </c>
      <c r="C101" s="142">
        <f t="shared" si="99"/>
        <v>1.05</v>
      </c>
      <c r="D101" s="96">
        <f t="shared" si="101"/>
        <v>0.25</v>
      </c>
      <c r="E101" s="96">
        <f t="shared" si="101"/>
        <v>0.05</v>
      </c>
      <c r="F101" s="96">
        <f t="shared" si="101"/>
        <v>0</v>
      </c>
      <c r="G101" s="96">
        <f t="shared" si="101"/>
        <v>0</v>
      </c>
      <c r="H101" s="96">
        <f t="shared" si="101"/>
        <v>0</v>
      </c>
      <c r="I101" s="96">
        <f t="shared" si="100"/>
        <v>0</v>
      </c>
      <c r="J101" s="96">
        <f t="shared" si="102"/>
        <v>2.5000000000000001E-2</v>
      </c>
      <c r="K101" s="96">
        <f t="shared" si="102"/>
        <v>0.3</v>
      </c>
      <c r="L101" s="96">
        <f t="shared" si="102"/>
        <v>7.4999999999999997E-2</v>
      </c>
      <c r="M101" s="96">
        <f t="shared" si="102"/>
        <v>0.15</v>
      </c>
      <c r="N101" s="97">
        <f t="shared" si="102"/>
        <v>0.2</v>
      </c>
      <c r="O101" s="85"/>
    </row>
    <row r="102" spans="1:15" outlineLevel="1" x14ac:dyDescent="0.2">
      <c r="A102" s="20">
        <f t="shared" si="96"/>
        <v>3631</v>
      </c>
      <c r="B102" s="19" t="str">
        <f t="shared" si="96"/>
        <v>Tarleton</v>
      </c>
      <c r="C102" s="142">
        <f t="shared" si="99"/>
        <v>1.05</v>
      </c>
      <c r="D102" s="96">
        <f t="shared" si="101"/>
        <v>0.25</v>
      </c>
      <c r="E102" s="96">
        <f t="shared" si="101"/>
        <v>0.2</v>
      </c>
      <c r="F102" s="96">
        <f t="shared" si="101"/>
        <v>0</v>
      </c>
      <c r="G102" s="96">
        <f t="shared" si="101"/>
        <v>0</v>
      </c>
      <c r="H102" s="96">
        <f t="shared" si="101"/>
        <v>0</v>
      </c>
      <c r="I102" s="96">
        <f t="shared" si="100"/>
        <v>0</v>
      </c>
      <c r="J102" s="96">
        <f t="shared" si="102"/>
        <v>2.5000000000000001E-2</v>
      </c>
      <c r="K102" s="96">
        <f t="shared" si="102"/>
        <v>0.3</v>
      </c>
      <c r="L102" s="96">
        <f t="shared" si="102"/>
        <v>7.4999999999999997E-2</v>
      </c>
      <c r="M102" s="96">
        <f t="shared" si="102"/>
        <v>0.05</v>
      </c>
      <c r="N102" s="97">
        <f t="shared" si="102"/>
        <v>0.15</v>
      </c>
      <c r="O102" s="85"/>
    </row>
    <row r="103" spans="1:15" outlineLevel="1" x14ac:dyDescent="0.2">
      <c r="A103" s="27">
        <f t="shared" si="96"/>
        <v>103631</v>
      </c>
      <c r="B103" s="19" t="str">
        <f t="shared" si="96"/>
        <v>TAMUCT</v>
      </c>
      <c r="C103" s="142">
        <f t="shared" si="99"/>
        <v>1.0499999999999998</v>
      </c>
      <c r="D103" s="96">
        <f t="shared" si="101"/>
        <v>0.25</v>
      </c>
      <c r="E103" s="96">
        <f t="shared" si="101"/>
        <v>0.2</v>
      </c>
      <c r="F103" s="96">
        <f t="shared" si="101"/>
        <v>0</v>
      </c>
      <c r="G103" s="96">
        <f t="shared" si="101"/>
        <v>0</v>
      </c>
      <c r="H103" s="96">
        <f t="shared" si="101"/>
        <v>0</v>
      </c>
      <c r="I103" s="96">
        <f t="shared" si="100"/>
        <v>0</v>
      </c>
      <c r="J103" s="96">
        <f t="shared" si="102"/>
        <v>0.15</v>
      </c>
      <c r="K103" s="96">
        <f t="shared" si="102"/>
        <v>0.3</v>
      </c>
      <c r="L103" s="96">
        <f t="shared" si="102"/>
        <v>7.4999999999999997E-2</v>
      </c>
      <c r="M103" s="96">
        <f t="shared" si="102"/>
        <v>0.05</v>
      </c>
      <c r="N103" s="97">
        <f t="shared" si="102"/>
        <v>2.5000000000000001E-2</v>
      </c>
      <c r="O103" s="85"/>
    </row>
    <row r="104" spans="1:15" outlineLevel="1" x14ac:dyDescent="0.2">
      <c r="A104" s="20">
        <f t="shared" si="96"/>
        <v>11161</v>
      </c>
      <c r="B104" s="19" t="str">
        <f t="shared" si="96"/>
        <v>TAMUCC</v>
      </c>
      <c r="C104" s="142">
        <f t="shared" si="99"/>
        <v>1.05</v>
      </c>
      <c r="D104" s="96">
        <f t="shared" si="101"/>
        <v>0.25</v>
      </c>
      <c r="E104" s="96">
        <f t="shared" si="101"/>
        <v>0.2</v>
      </c>
      <c r="F104" s="96">
        <f t="shared" si="101"/>
        <v>0</v>
      </c>
      <c r="G104" s="96">
        <f t="shared" si="101"/>
        <v>0</v>
      </c>
      <c r="H104" s="96">
        <f t="shared" si="101"/>
        <v>0</v>
      </c>
      <c r="I104" s="96">
        <f t="shared" si="100"/>
        <v>0</v>
      </c>
      <c r="J104" s="96">
        <f t="shared" si="102"/>
        <v>2.5000000000000001E-2</v>
      </c>
      <c r="K104" s="96">
        <f t="shared" si="102"/>
        <v>0.3</v>
      </c>
      <c r="L104" s="96">
        <f t="shared" si="102"/>
        <v>0.05</v>
      </c>
      <c r="M104" s="96">
        <f t="shared" si="102"/>
        <v>7.4999999999999997E-2</v>
      </c>
      <c r="N104" s="97">
        <f t="shared" si="102"/>
        <v>0.15</v>
      </c>
      <c r="O104" s="85"/>
    </row>
    <row r="105" spans="1:15" outlineLevel="1" x14ac:dyDescent="0.2">
      <c r="A105" s="20">
        <f t="shared" si="96"/>
        <v>3639</v>
      </c>
      <c r="B105" s="19" t="str">
        <f t="shared" si="96"/>
        <v>TAMUK</v>
      </c>
      <c r="C105" s="142">
        <f t="shared" si="99"/>
        <v>1.05</v>
      </c>
      <c r="D105" s="96">
        <f t="shared" si="101"/>
        <v>0.25</v>
      </c>
      <c r="E105" s="96">
        <f t="shared" si="101"/>
        <v>7.4999999999999997E-2</v>
      </c>
      <c r="F105" s="96">
        <f t="shared" si="101"/>
        <v>0</v>
      </c>
      <c r="G105" s="96">
        <f t="shared" si="101"/>
        <v>0</v>
      </c>
      <c r="H105" s="96">
        <f t="shared" si="101"/>
        <v>0</v>
      </c>
      <c r="I105" s="96">
        <f t="shared" si="100"/>
        <v>0</v>
      </c>
      <c r="J105" s="96">
        <f t="shared" si="102"/>
        <v>2.5000000000000001E-2</v>
      </c>
      <c r="K105" s="96">
        <f t="shared" si="102"/>
        <v>0.3</v>
      </c>
      <c r="L105" s="96">
        <f t="shared" si="102"/>
        <v>0.05</v>
      </c>
      <c r="M105" s="96">
        <f t="shared" si="102"/>
        <v>0.15</v>
      </c>
      <c r="N105" s="97">
        <f t="shared" si="102"/>
        <v>0.2</v>
      </c>
      <c r="O105" s="85"/>
    </row>
    <row r="106" spans="1:15" outlineLevel="1" x14ac:dyDescent="0.2">
      <c r="A106" s="27">
        <f t="shared" ref="A106:B121" si="103">A21</f>
        <v>103639</v>
      </c>
      <c r="B106" s="19" t="str">
        <f t="shared" si="103"/>
        <v>TAMUSA</v>
      </c>
      <c r="C106" s="142">
        <f t="shared" si="99"/>
        <v>1.05</v>
      </c>
      <c r="D106" s="96">
        <f t="shared" si="101"/>
        <v>0.25</v>
      </c>
      <c r="E106" s="96">
        <f t="shared" si="101"/>
        <v>0.15</v>
      </c>
      <c r="F106" s="96">
        <f t="shared" si="101"/>
        <v>0</v>
      </c>
      <c r="G106" s="96">
        <f t="shared" si="101"/>
        <v>0</v>
      </c>
      <c r="H106" s="96">
        <f t="shared" si="101"/>
        <v>0</v>
      </c>
      <c r="I106" s="96">
        <f t="shared" si="100"/>
        <v>0</v>
      </c>
      <c r="J106" s="96">
        <f t="shared" si="102"/>
        <v>0.2</v>
      </c>
      <c r="K106" s="96">
        <f t="shared" si="102"/>
        <v>0.3</v>
      </c>
      <c r="L106" s="96">
        <f t="shared" si="102"/>
        <v>7.4999999999999997E-2</v>
      </c>
      <c r="M106" s="96">
        <f t="shared" si="102"/>
        <v>0.05</v>
      </c>
      <c r="N106" s="97">
        <f t="shared" si="102"/>
        <v>2.5000000000000001E-2</v>
      </c>
      <c r="O106" s="85"/>
    </row>
    <row r="107" spans="1:15" outlineLevel="1" x14ac:dyDescent="0.2">
      <c r="A107" s="20">
        <f t="shared" si="103"/>
        <v>9651</v>
      </c>
      <c r="B107" s="19" t="str">
        <f t="shared" si="103"/>
        <v>TAMI</v>
      </c>
      <c r="C107" s="142">
        <f t="shared" si="99"/>
        <v>1.05</v>
      </c>
      <c r="D107" s="96">
        <f t="shared" si="101"/>
        <v>0.25</v>
      </c>
      <c r="E107" s="96">
        <f t="shared" si="101"/>
        <v>0.2</v>
      </c>
      <c r="F107" s="96">
        <f t="shared" si="101"/>
        <v>0</v>
      </c>
      <c r="G107" s="96">
        <f t="shared" si="101"/>
        <v>0</v>
      </c>
      <c r="H107" s="96">
        <f t="shared" si="101"/>
        <v>0</v>
      </c>
      <c r="I107" s="96">
        <f t="shared" si="100"/>
        <v>0</v>
      </c>
      <c r="J107" s="96">
        <f t="shared" si="102"/>
        <v>2.5000000000000001E-2</v>
      </c>
      <c r="K107" s="96">
        <f t="shared" si="102"/>
        <v>0.3</v>
      </c>
      <c r="L107" s="96">
        <f t="shared" si="102"/>
        <v>7.4999999999999997E-2</v>
      </c>
      <c r="M107" s="96">
        <f t="shared" si="102"/>
        <v>0.15</v>
      </c>
      <c r="N107" s="97">
        <f t="shared" si="102"/>
        <v>0.05</v>
      </c>
      <c r="O107" s="85"/>
    </row>
    <row r="108" spans="1:15" outlineLevel="1" x14ac:dyDescent="0.2">
      <c r="A108" s="20">
        <f t="shared" si="103"/>
        <v>3665</v>
      </c>
      <c r="B108" s="19" t="str">
        <f t="shared" si="103"/>
        <v>WTAMU</v>
      </c>
      <c r="C108" s="142">
        <f t="shared" si="99"/>
        <v>1.05</v>
      </c>
      <c r="D108" s="96">
        <f t="shared" si="101"/>
        <v>0.25</v>
      </c>
      <c r="E108" s="96">
        <f t="shared" si="101"/>
        <v>0.2</v>
      </c>
      <c r="F108" s="96">
        <f t="shared" si="101"/>
        <v>0</v>
      </c>
      <c r="G108" s="96">
        <f t="shared" si="101"/>
        <v>0</v>
      </c>
      <c r="H108" s="96">
        <f t="shared" si="101"/>
        <v>0</v>
      </c>
      <c r="I108" s="96">
        <f t="shared" si="100"/>
        <v>0</v>
      </c>
      <c r="J108" s="96">
        <f t="shared" si="102"/>
        <v>2.5000000000000001E-2</v>
      </c>
      <c r="K108" s="96">
        <f t="shared" si="102"/>
        <v>0.3</v>
      </c>
      <c r="L108" s="96">
        <f t="shared" si="102"/>
        <v>0.15</v>
      </c>
      <c r="M108" s="96">
        <f t="shared" si="102"/>
        <v>7.4999999999999997E-2</v>
      </c>
      <c r="N108" s="97">
        <f t="shared" si="102"/>
        <v>0.05</v>
      </c>
      <c r="O108" s="85"/>
    </row>
    <row r="109" spans="1:15" outlineLevel="1" x14ac:dyDescent="0.2">
      <c r="A109" s="20">
        <f t="shared" si="103"/>
        <v>3565</v>
      </c>
      <c r="B109" s="19" t="str">
        <f t="shared" si="103"/>
        <v>TAMUC</v>
      </c>
      <c r="C109" s="142">
        <f t="shared" si="99"/>
        <v>1.0499999999999998</v>
      </c>
      <c r="D109" s="96">
        <f t="shared" si="101"/>
        <v>0.25</v>
      </c>
      <c r="E109" s="96">
        <f t="shared" si="101"/>
        <v>0.2</v>
      </c>
      <c r="F109" s="96">
        <f t="shared" si="101"/>
        <v>0</v>
      </c>
      <c r="G109" s="96">
        <f t="shared" si="101"/>
        <v>0</v>
      </c>
      <c r="H109" s="96">
        <f t="shared" si="101"/>
        <v>0</v>
      </c>
      <c r="I109" s="96">
        <f t="shared" si="100"/>
        <v>0</v>
      </c>
      <c r="J109" s="96">
        <f t="shared" si="102"/>
        <v>0.15</v>
      </c>
      <c r="K109" s="96">
        <f t="shared" si="102"/>
        <v>0.3</v>
      </c>
      <c r="L109" s="96">
        <f t="shared" si="102"/>
        <v>7.4999999999999997E-2</v>
      </c>
      <c r="M109" s="96">
        <f t="shared" si="102"/>
        <v>0.05</v>
      </c>
      <c r="N109" s="97">
        <f t="shared" si="102"/>
        <v>2.5000000000000001E-2</v>
      </c>
      <c r="O109" s="85"/>
    </row>
    <row r="110" spans="1:15" outlineLevel="1" x14ac:dyDescent="0.2">
      <c r="A110" s="20">
        <f t="shared" si="103"/>
        <v>29269</v>
      </c>
      <c r="B110" s="19" t="str">
        <f t="shared" si="103"/>
        <v>TAMUT</v>
      </c>
      <c r="C110" s="142">
        <f t="shared" si="99"/>
        <v>1.0499999999999998</v>
      </c>
      <c r="D110" s="96">
        <f t="shared" ref="D110:H119" si="104">HLOOKUP(D151,$D$170:$M$171,2,0)</f>
        <v>0.25</v>
      </c>
      <c r="E110" s="96">
        <f t="shared" si="104"/>
        <v>0.2</v>
      </c>
      <c r="F110" s="96">
        <f t="shared" si="104"/>
        <v>0</v>
      </c>
      <c r="G110" s="96">
        <f t="shared" si="104"/>
        <v>0</v>
      </c>
      <c r="H110" s="96">
        <f t="shared" si="104"/>
        <v>0</v>
      </c>
      <c r="I110" s="96">
        <f t="shared" si="100"/>
        <v>0</v>
      </c>
      <c r="J110" s="96">
        <f t="shared" ref="J110:N119" si="105">HLOOKUP(J151,$D$170:$M$171,2,0)</f>
        <v>0.15</v>
      </c>
      <c r="K110" s="96">
        <f t="shared" si="105"/>
        <v>0.3</v>
      </c>
      <c r="L110" s="96">
        <f t="shared" si="105"/>
        <v>7.4999999999999997E-2</v>
      </c>
      <c r="M110" s="96">
        <f t="shared" si="105"/>
        <v>0.05</v>
      </c>
      <c r="N110" s="97">
        <f t="shared" si="105"/>
        <v>2.5000000000000001E-2</v>
      </c>
      <c r="O110" s="85"/>
    </row>
    <row r="111" spans="1:15" outlineLevel="1" x14ac:dyDescent="0.2">
      <c r="A111" s="20">
        <f t="shared" si="103"/>
        <v>3652</v>
      </c>
      <c r="B111" s="19" t="str">
        <f t="shared" si="103"/>
        <v>UH</v>
      </c>
      <c r="C111" s="142">
        <f t="shared" si="99"/>
        <v>1.05</v>
      </c>
      <c r="D111" s="96">
        <f t="shared" si="104"/>
        <v>0.25</v>
      </c>
      <c r="E111" s="96">
        <f t="shared" si="104"/>
        <v>0.2</v>
      </c>
      <c r="F111" s="96">
        <f t="shared" si="104"/>
        <v>0</v>
      </c>
      <c r="G111" s="96">
        <f t="shared" si="104"/>
        <v>0</v>
      </c>
      <c r="H111" s="96">
        <f t="shared" si="104"/>
        <v>0</v>
      </c>
      <c r="I111" s="96">
        <f t="shared" si="100"/>
        <v>0</v>
      </c>
      <c r="J111" s="96">
        <f t="shared" si="105"/>
        <v>2.5000000000000001E-2</v>
      </c>
      <c r="K111" s="96">
        <f t="shared" si="105"/>
        <v>0.3</v>
      </c>
      <c r="L111" s="96">
        <f t="shared" si="105"/>
        <v>0.05</v>
      </c>
      <c r="M111" s="96">
        <f t="shared" si="105"/>
        <v>7.4999999999999997E-2</v>
      </c>
      <c r="N111" s="97">
        <f t="shared" si="105"/>
        <v>0.15</v>
      </c>
      <c r="O111" s="85"/>
    </row>
    <row r="112" spans="1:15" outlineLevel="1" x14ac:dyDescent="0.2">
      <c r="A112" s="20">
        <f t="shared" si="103"/>
        <v>11711</v>
      </c>
      <c r="B112" s="19" t="str">
        <f t="shared" si="103"/>
        <v>UHCL</v>
      </c>
      <c r="C112" s="142">
        <f t="shared" si="99"/>
        <v>1.0499999999999998</v>
      </c>
      <c r="D112" s="96">
        <f t="shared" si="104"/>
        <v>0.25</v>
      </c>
      <c r="E112" s="96">
        <f t="shared" si="104"/>
        <v>0.2</v>
      </c>
      <c r="F112" s="96">
        <f t="shared" si="104"/>
        <v>0</v>
      </c>
      <c r="G112" s="96">
        <f t="shared" si="104"/>
        <v>0</v>
      </c>
      <c r="H112" s="96">
        <f t="shared" si="104"/>
        <v>0</v>
      </c>
      <c r="I112" s="96">
        <f t="shared" si="100"/>
        <v>0</v>
      </c>
      <c r="J112" s="96">
        <f t="shared" si="105"/>
        <v>0.15</v>
      </c>
      <c r="K112" s="96">
        <f t="shared" si="105"/>
        <v>0.3</v>
      </c>
      <c r="L112" s="96">
        <f t="shared" si="105"/>
        <v>0.05</v>
      </c>
      <c r="M112" s="96">
        <f t="shared" si="105"/>
        <v>7.4999999999999997E-2</v>
      </c>
      <c r="N112" s="97">
        <f t="shared" si="105"/>
        <v>2.5000000000000001E-2</v>
      </c>
      <c r="O112" s="85"/>
    </row>
    <row r="113" spans="1:18" outlineLevel="1" x14ac:dyDescent="0.2">
      <c r="A113" s="20">
        <f t="shared" si="103"/>
        <v>12826</v>
      </c>
      <c r="B113" s="19" t="str">
        <f t="shared" si="103"/>
        <v>UHD</v>
      </c>
      <c r="C113" s="142">
        <f t="shared" si="99"/>
        <v>1.0499999999999998</v>
      </c>
      <c r="D113" s="96">
        <f t="shared" si="104"/>
        <v>0.25</v>
      </c>
      <c r="E113" s="96">
        <f t="shared" si="104"/>
        <v>0.05</v>
      </c>
      <c r="F113" s="96">
        <f t="shared" si="104"/>
        <v>0</v>
      </c>
      <c r="G113" s="96">
        <f t="shared" si="104"/>
        <v>0</v>
      </c>
      <c r="H113" s="96">
        <f t="shared" si="104"/>
        <v>0</v>
      </c>
      <c r="I113" s="96">
        <f t="shared" si="100"/>
        <v>0</v>
      </c>
      <c r="J113" s="96">
        <f t="shared" si="105"/>
        <v>0.15</v>
      </c>
      <c r="K113" s="96">
        <f t="shared" si="105"/>
        <v>0.3</v>
      </c>
      <c r="L113" s="96">
        <f t="shared" si="105"/>
        <v>0.2</v>
      </c>
      <c r="M113" s="96">
        <f t="shared" si="105"/>
        <v>7.4999999999999997E-2</v>
      </c>
      <c r="N113" s="97">
        <f t="shared" si="105"/>
        <v>2.5000000000000001E-2</v>
      </c>
      <c r="O113" s="85"/>
    </row>
    <row r="114" spans="1:18" outlineLevel="1" x14ac:dyDescent="0.2">
      <c r="A114" s="20">
        <f t="shared" si="103"/>
        <v>13231</v>
      </c>
      <c r="B114" s="19" t="str">
        <f t="shared" si="103"/>
        <v>UHV</v>
      </c>
      <c r="C114" s="142">
        <f t="shared" si="99"/>
        <v>1.0499999999999998</v>
      </c>
      <c r="D114" s="96">
        <f t="shared" si="104"/>
        <v>0.25</v>
      </c>
      <c r="E114" s="96">
        <f t="shared" si="104"/>
        <v>0.2</v>
      </c>
      <c r="F114" s="96">
        <f t="shared" si="104"/>
        <v>0</v>
      </c>
      <c r="G114" s="96">
        <f t="shared" si="104"/>
        <v>0</v>
      </c>
      <c r="H114" s="96">
        <f t="shared" si="104"/>
        <v>0</v>
      </c>
      <c r="I114" s="96">
        <f t="shared" si="100"/>
        <v>0</v>
      </c>
      <c r="J114" s="96">
        <f t="shared" si="105"/>
        <v>0.15</v>
      </c>
      <c r="K114" s="96">
        <f t="shared" si="105"/>
        <v>0.3</v>
      </c>
      <c r="L114" s="96">
        <f t="shared" si="105"/>
        <v>7.4999999999999997E-2</v>
      </c>
      <c r="M114" s="96">
        <f t="shared" si="105"/>
        <v>0.05</v>
      </c>
      <c r="N114" s="97">
        <f t="shared" si="105"/>
        <v>2.5000000000000001E-2</v>
      </c>
      <c r="O114" s="85"/>
    </row>
    <row r="115" spans="1:18" outlineLevel="1" x14ac:dyDescent="0.2">
      <c r="A115" s="20">
        <f t="shared" si="103"/>
        <v>3592</v>
      </c>
      <c r="B115" s="19" t="str">
        <f t="shared" si="103"/>
        <v>Midwestern</v>
      </c>
      <c r="C115" s="142">
        <f t="shared" si="99"/>
        <v>1.05</v>
      </c>
      <c r="D115" s="96">
        <f t="shared" si="104"/>
        <v>0.25</v>
      </c>
      <c r="E115" s="96">
        <f t="shared" si="104"/>
        <v>0.2</v>
      </c>
      <c r="F115" s="96">
        <f t="shared" si="104"/>
        <v>0</v>
      </c>
      <c r="G115" s="96">
        <f t="shared" si="104"/>
        <v>0</v>
      </c>
      <c r="H115" s="96">
        <f t="shared" si="104"/>
        <v>0</v>
      </c>
      <c r="I115" s="96">
        <f t="shared" si="100"/>
        <v>0</v>
      </c>
      <c r="J115" s="96">
        <f t="shared" si="105"/>
        <v>2.5000000000000001E-2</v>
      </c>
      <c r="K115" s="96">
        <f t="shared" si="105"/>
        <v>0.3</v>
      </c>
      <c r="L115" s="96">
        <f t="shared" si="105"/>
        <v>0.05</v>
      </c>
      <c r="M115" s="96">
        <f t="shared" si="105"/>
        <v>7.4999999999999997E-2</v>
      </c>
      <c r="N115" s="97">
        <f t="shared" si="105"/>
        <v>0.15</v>
      </c>
      <c r="O115" s="85"/>
    </row>
    <row r="116" spans="1:18" outlineLevel="1" x14ac:dyDescent="0.2">
      <c r="A116" s="20">
        <f t="shared" si="103"/>
        <v>3594</v>
      </c>
      <c r="B116" s="19" t="str">
        <f t="shared" si="103"/>
        <v>UNT</v>
      </c>
      <c r="C116" s="142">
        <f t="shared" si="99"/>
        <v>1.05</v>
      </c>
      <c r="D116" s="96">
        <f t="shared" si="104"/>
        <v>0.25</v>
      </c>
      <c r="E116" s="96">
        <f t="shared" si="104"/>
        <v>0.2</v>
      </c>
      <c r="F116" s="96">
        <f t="shared" si="104"/>
        <v>0</v>
      </c>
      <c r="G116" s="96">
        <f t="shared" si="104"/>
        <v>0</v>
      </c>
      <c r="H116" s="96">
        <f t="shared" si="104"/>
        <v>0</v>
      </c>
      <c r="I116" s="96">
        <f t="shared" si="100"/>
        <v>0</v>
      </c>
      <c r="J116" s="96">
        <f t="shared" si="105"/>
        <v>2.5000000000000001E-2</v>
      </c>
      <c r="K116" s="96">
        <f t="shared" si="105"/>
        <v>0.3</v>
      </c>
      <c r="L116" s="96">
        <f t="shared" si="105"/>
        <v>0.05</v>
      </c>
      <c r="M116" s="96">
        <f t="shared" si="105"/>
        <v>7.4999999999999997E-2</v>
      </c>
      <c r="N116" s="97">
        <f t="shared" si="105"/>
        <v>0.15</v>
      </c>
      <c r="O116" s="85"/>
      <c r="R116" s="87"/>
    </row>
    <row r="117" spans="1:18" outlineLevel="1" x14ac:dyDescent="0.2">
      <c r="A117" s="27">
        <f t="shared" si="103"/>
        <v>113594</v>
      </c>
      <c r="B117" s="19" t="str">
        <f t="shared" si="103"/>
        <v>UNTD</v>
      </c>
      <c r="C117" s="142">
        <f t="shared" si="99"/>
        <v>1.1499999999999999</v>
      </c>
      <c r="D117" s="96">
        <f t="shared" si="104"/>
        <v>0.25</v>
      </c>
      <c r="E117" s="96">
        <f t="shared" si="104"/>
        <v>0.2</v>
      </c>
      <c r="F117" s="96">
        <f t="shared" si="104"/>
        <v>2.5000000000000001E-2</v>
      </c>
      <c r="G117" s="96">
        <f t="shared" si="104"/>
        <v>2.5000000000000001E-2</v>
      </c>
      <c r="H117" s="96">
        <f t="shared" si="104"/>
        <v>2.5000000000000001E-2</v>
      </c>
      <c r="I117" s="96">
        <f t="shared" si="100"/>
        <v>2.5000000000000001E-2</v>
      </c>
      <c r="J117" s="96">
        <f t="shared" si="105"/>
        <v>2.5000000000000001E-2</v>
      </c>
      <c r="K117" s="96">
        <f t="shared" si="105"/>
        <v>0.3</v>
      </c>
      <c r="L117" s="96">
        <f t="shared" si="105"/>
        <v>0.15</v>
      </c>
      <c r="M117" s="96">
        <f t="shared" si="105"/>
        <v>7.4999999999999997E-2</v>
      </c>
      <c r="N117" s="97">
        <f t="shared" si="105"/>
        <v>0.05</v>
      </c>
      <c r="O117" s="85"/>
    </row>
    <row r="118" spans="1:18" outlineLevel="1" x14ac:dyDescent="0.2">
      <c r="A118" s="20">
        <f t="shared" si="103"/>
        <v>3624</v>
      </c>
      <c r="B118" s="19" t="str">
        <f t="shared" si="103"/>
        <v>SFA</v>
      </c>
      <c r="C118" s="142">
        <f t="shared" si="99"/>
        <v>1.05</v>
      </c>
      <c r="D118" s="96">
        <f t="shared" si="104"/>
        <v>0.25</v>
      </c>
      <c r="E118" s="96">
        <f t="shared" si="104"/>
        <v>0.2</v>
      </c>
      <c r="F118" s="96">
        <f t="shared" si="104"/>
        <v>0</v>
      </c>
      <c r="G118" s="96">
        <f t="shared" si="104"/>
        <v>0</v>
      </c>
      <c r="H118" s="96">
        <f t="shared" si="104"/>
        <v>0</v>
      </c>
      <c r="I118" s="96">
        <f t="shared" si="100"/>
        <v>0</v>
      </c>
      <c r="J118" s="96">
        <f t="shared" si="105"/>
        <v>2.5000000000000001E-2</v>
      </c>
      <c r="K118" s="96">
        <f t="shared" si="105"/>
        <v>0.3</v>
      </c>
      <c r="L118" s="96">
        <f t="shared" si="105"/>
        <v>0.05</v>
      </c>
      <c r="M118" s="96">
        <f t="shared" si="105"/>
        <v>7.4999999999999997E-2</v>
      </c>
      <c r="N118" s="97">
        <f t="shared" si="105"/>
        <v>0.15</v>
      </c>
      <c r="O118" s="85"/>
    </row>
    <row r="119" spans="1:18" outlineLevel="1" x14ac:dyDescent="0.2">
      <c r="A119" s="20">
        <f t="shared" si="103"/>
        <v>3642</v>
      </c>
      <c r="B119" s="19" t="str">
        <f t="shared" si="103"/>
        <v>TSU</v>
      </c>
      <c r="C119" s="142">
        <f t="shared" si="99"/>
        <v>1.05</v>
      </c>
      <c r="D119" s="96">
        <f t="shared" si="104"/>
        <v>0.25</v>
      </c>
      <c r="E119" s="96">
        <f t="shared" si="104"/>
        <v>0.05</v>
      </c>
      <c r="F119" s="96">
        <f t="shared" si="104"/>
        <v>0</v>
      </c>
      <c r="G119" s="96">
        <f t="shared" si="104"/>
        <v>0</v>
      </c>
      <c r="H119" s="96">
        <f t="shared" si="104"/>
        <v>0</v>
      </c>
      <c r="I119" s="96">
        <f t="shared" si="100"/>
        <v>0</v>
      </c>
      <c r="J119" s="96">
        <f t="shared" si="105"/>
        <v>2.5000000000000001E-2</v>
      </c>
      <c r="K119" s="96">
        <f t="shared" si="105"/>
        <v>0.3</v>
      </c>
      <c r="L119" s="96">
        <f t="shared" si="105"/>
        <v>7.4999999999999997E-2</v>
      </c>
      <c r="M119" s="96">
        <f t="shared" si="105"/>
        <v>0.15</v>
      </c>
      <c r="N119" s="97">
        <f t="shared" si="105"/>
        <v>0.2</v>
      </c>
      <c r="O119" s="85"/>
    </row>
    <row r="120" spans="1:18" outlineLevel="1" x14ac:dyDescent="0.2">
      <c r="A120" s="20">
        <f t="shared" si="103"/>
        <v>3644</v>
      </c>
      <c r="B120" s="19" t="str">
        <f t="shared" si="103"/>
        <v>TTU</v>
      </c>
      <c r="C120" s="142">
        <f t="shared" si="99"/>
        <v>1.05</v>
      </c>
      <c r="D120" s="96">
        <f t="shared" ref="D120:H129" si="106">HLOOKUP(D161,$D$170:$M$171,2,0)</f>
        <v>0.25</v>
      </c>
      <c r="E120" s="96">
        <f t="shared" si="106"/>
        <v>0.3</v>
      </c>
      <c r="F120" s="96">
        <f t="shared" si="106"/>
        <v>0</v>
      </c>
      <c r="G120" s="96">
        <f t="shared" si="106"/>
        <v>0</v>
      </c>
      <c r="H120" s="96">
        <f t="shared" si="106"/>
        <v>0</v>
      </c>
      <c r="I120" s="96">
        <f t="shared" si="100"/>
        <v>0</v>
      </c>
      <c r="J120" s="96">
        <f t="shared" ref="J120:N129" si="107">HLOOKUP(J161,$D$170:$M$171,2,0)</f>
        <v>2.5000000000000001E-2</v>
      </c>
      <c r="K120" s="96">
        <f t="shared" si="107"/>
        <v>0.2</v>
      </c>
      <c r="L120" s="96">
        <f t="shared" si="107"/>
        <v>0.05</v>
      </c>
      <c r="M120" s="96">
        <f t="shared" si="107"/>
        <v>7.4999999999999997E-2</v>
      </c>
      <c r="N120" s="97">
        <f t="shared" si="107"/>
        <v>0.15</v>
      </c>
      <c r="O120" s="85"/>
    </row>
    <row r="121" spans="1:18" outlineLevel="1" x14ac:dyDescent="0.2">
      <c r="A121" s="20">
        <f t="shared" si="103"/>
        <v>3541</v>
      </c>
      <c r="B121" s="19" t="str">
        <f t="shared" si="103"/>
        <v>Angelo</v>
      </c>
      <c r="C121" s="142">
        <f t="shared" si="99"/>
        <v>1.05</v>
      </c>
      <c r="D121" s="96">
        <f t="shared" si="106"/>
        <v>0.25</v>
      </c>
      <c r="E121" s="96">
        <f t="shared" si="106"/>
        <v>0.15</v>
      </c>
      <c r="F121" s="96">
        <f t="shared" si="106"/>
        <v>0</v>
      </c>
      <c r="G121" s="96">
        <f t="shared" si="106"/>
        <v>0</v>
      </c>
      <c r="H121" s="96">
        <f t="shared" si="106"/>
        <v>0</v>
      </c>
      <c r="I121" s="96">
        <f t="shared" si="100"/>
        <v>0</v>
      </c>
      <c r="J121" s="96">
        <f t="shared" si="107"/>
        <v>2.5000000000000001E-2</v>
      </c>
      <c r="K121" s="96">
        <f t="shared" si="107"/>
        <v>0.3</v>
      </c>
      <c r="L121" s="96">
        <f t="shared" si="107"/>
        <v>0.05</v>
      </c>
      <c r="M121" s="96">
        <f t="shared" si="107"/>
        <v>7.4999999999999997E-2</v>
      </c>
      <c r="N121" s="97">
        <f t="shared" si="107"/>
        <v>0.2</v>
      </c>
      <c r="O121" s="85"/>
    </row>
    <row r="122" spans="1:18" outlineLevel="1" x14ac:dyDescent="0.2">
      <c r="A122" s="20">
        <f t="shared" ref="A122:B127" si="108">A37</f>
        <v>3646</v>
      </c>
      <c r="B122" s="19" t="str">
        <f t="shared" si="108"/>
        <v>TWU</v>
      </c>
      <c r="C122" s="142">
        <f t="shared" si="99"/>
        <v>1.0499999999999998</v>
      </c>
      <c r="D122" s="96">
        <f t="shared" si="106"/>
        <v>0.25</v>
      </c>
      <c r="E122" s="96">
        <f t="shared" si="106"/>
        <v>0.2</v>
      </c>
      <c r="F122" s="96">
        <f t="shared" si="106"/>
        <v>0</v>
      </c>
      <c r="G122" s="96">
        <f t="shared" si="106"/>
        <v>0</v>
      </c>
      <c r="H122" s="96">
        <f t="shared" si="106"/>
        <v>0</v>
      </c>
      <c r="I122" s="96">
        <f t="shared" si="100"/>
        <v>0</v>
      </c>
      <c r="J122" s="96">
        <f t="shared" si="107"/>
        <v>0.15</v>
      </c>
      <c r="K122" s="96">
        <f t="shared" si="107"/>
        <v>0.3</v>
      </c>
      <c r="L122" s="96">
        <f t="shared" si="107"/>
        <v>7.4999999999999997E-2</v>
      </c>
      <c r="M122" s="96">
        <f t="shared" si="107"/>
        <v>0.05</v>
      </c>
      <c r="N122" s="97">
        <f t="shared" si="107"/>
        <v>2.5000000000000001E-2</v>
      </c>
      <c r="O122" s="85"/>
    </row>
    <row r="123" spans="1:18" outlineLevel="1" x14ac:dyDescent="0.2">
      <c r="A123" s="20">
        <f t="shared" si="108"/>
        <v>3581</v>
      </c>
      <c r="B123" s="19" t="str">
        <f t="shared" si="108"/>
        <v>Lamar</v>
      </c>
      <c r="C123" s="142">
        <f t="shared" si="99"/>
        <v>1.05</v>
      </c>
      <c r="D123" s="96">
        <f t="shared" si="106"/>
        <v>0.25</v>
      </c>
      <c r="E123" s="96">
        <f t="shared" si="106"/>
        <v>0.05</v>
      </c>
      <c r="F123" s="96">
        <f t="shared" si="106"/>
        <v>0</v>
      </c>
      <c r="G123" s="96">
        <f t="shared" si="106"/>
        <v>0</v>
      </c>
      <c r="H123" s="96">
        <f t="shared" si="106"/>
        <v>0</v>
      </c>
      <c r="I123" s="96">
        <f t="shared" si="100"/>
        <v>0</v>
      </c>
      <c r="J123" s="96">
        <f t="shared" si="107"/>
        <v>2.5000000000000001E-2</v>
      </c>
      <c r="K123" s="96">
        <f t="shared" si="107"/>
        <v>0.3</v>
      </c>
      <c r="L123" s="96">
        <f t="shared" si="107"/>
        <v>7.4999999999999997E-2</v>
      </c>
      <c r="M123" s="96">
        <f t="shared" si="107"/>
        <v>0.15</v>
      </c>
      <c r="N123" s="97">
        <f t="shared" si="107"/>
        <v>0.2</v>
      </c>
      <c r="O123" s="85"/>
    </row>
    <row r="124" spans="1:18" outlineLevel="1" x14ac:dyDescent="0.2">
      <c r="A124" s="20">
        <f t="shared" si="108"/>
        <v>3606</v>
      </c>
      <c r="B124" s="19" t="str">
        <f t="shared" si="108"/>
        <v>SHSU</v>
      </c>
      <c r="C124" s="142">
        <f t="shared" si="99"/>
        <v>1.05</v>
      </c>
      <c r="D124" s="96">
        <f t="shared" si="106"/>
        <v>0.25</v>
      </c>
      <c r="E124" s="96">
        <f t="shared" si="106"/>
        <v>0.2</v>
      </c>
      <c r="F124" s="96">
        <f t="shared" si="106"/>
        <v>0</v>
      </c>
      <c r="G124" s="96">
        <f t="shared" si="106"/>
        <v>0</v>
      </c>
      <c r="H124" s="96">
        <f t="shared" si="106"/>
        <v>0</v>
      </c>
      <c r="I124" s="96">
        <f t="shared" si="100"/>
        <v>0</v>
      </c>
      <c r="J124" s="96">
        <f t="shared" si="107"/>
        <v>2.5000000000000001E-2</v>
      </c>
      <c r="K124" s="96">
        <f t="shared" si="107"/>
        <v>0.3</v>
      </c>
      <c r="L124" s="96">
        <f t="shared" si="107"/>
        <v>0.05</v>
      </c>
      <c r="M124" s="96">
        <f t="shared" si="107"/>
        <v>7.4999999999999997E-2</v>
      </c>
      <c r="N124" s="97">
        <f t="shared" si="107"/>
        <v>0.15</v>
      </c>
      <c r="O124" s="85"/>
    </row>
    <row r="125" spans="1:18" outlineLevel="1" x14ac:dyDescent="0.2">
      <c r="A125" s="20">
        <f t="shared" si="108"/>
        <v>3615</v>
      </c>
      <c r="B125" s="19" t="str">
        <f t="shared" si="108"/>
        <v>TXST</v>
      </c>
      <c r="C125" s="142">
        <f t="shared" si="99"/>
        <v>1.05</v>
      </c>
      <c r="D125" s="96">
        <f t="shared" si="106"/>
        <v>0.25</v>
      </c>
      <c r="E125" s="96">
        <f t="shared" si="106"/>
        <v>0.2</v>
      </c>
      <c r="F125" s="96">
        <f t="shared" si="106"/>
        <v>0</v>
      </c>
      <c r="G125" s="96">
        <f t="shared" si="106"/>
        <v>0</v>
      </c>
      <c r="H125" s="96">
        <f t="shared" si="106"/>
        <v>0</v>
      </c>
      <c r="I125" s="96">
        <f t="shared" si="100"/>
        <v>0</v>
      </c>
      <c r="J125" s="96">
        <f t="shared" si="107"/>
        <v>2.5000000000000001E-2</v>
      </c>
      <c r="K125" s="96">
        <f t="shared" si="107"/>
        <v>0.3</v>
      </c>
      <c r="L125" s="96">
        <f t="shared" si="107"/>
        <v>0.05</v>
      </c>
      <c r="M125" s="96">
        <f t="shared" si="107"/>
        <v>7.4999999999999997E-2</v>
      </c>
      <c r="N125" s="97">
        <f t="shared" si="107"/>
        <v>0.15</v>
      </c>
      <c r="O125" s="85"/>
    </row>
    <row r="126" spans="1:18" outlineLevel="1" x14ac:dyDescent="0.2">
      <c r="A126" s="20">
        <f t="shared" si="108"/>
        <v>3625</v>
      </c>
      <c r="B126" s="19" t="str">
        <f t="shared" si="108"/>
        <v>SRSU</v>
      </c>
      <c r="C126" s="142">
        <f t="shared" si="99"/>
        <v>1.05</v>
      </c>
      <c r="D126" s="96">
        <f t="shared" si="106"/>
        <v>0.25</v>
      </c>
      <c r="E126" s="96">
        <f t="shared" si="106"/>
        <v>0.05</v>
      </c>
      <c r="F126" s="96">
        <f t="shared" si="106"/>
        <v>0</v>
      </c>
      <c r="G126" s="96">
        <f t="shared" si="106"/>
        <v>0</v>
      </c>
      <c r="H126" s="96">
        <f t="shared" si="106"/>
        <v>0</v>
      </c>
      <c r="I126" s="96">
        <f t="shared" si="100"/>
        <v>0</v>
      </c>
      <c r="J126" s="96">
        <f t="shared" si="107"/>
        <v>2.5000000000000001E-2</v>
      </c>
      <c r="K126" s="96">
        <f t="shared" si="107"/>
        <v>0.3</v>
      </c>
      <c r="L126" s="96">
        <f t="shared" si="107"/>
        <v>0.15</v>
      </c>
      <c r="M126" s="96">
        <f t="shared" si="107"/>
        <v>7.4999999999999997E-2</v>
      </c>
      <c r="N126" s="97">
        <f t="shared" si="107"/>
        <v>0.2</v>
      </c>
      <c r="O126" s="85"/>
    </row>
    <row r="127" spans="1:18" ht="13.5" outlineLevel="1" thickBot="1" x14ac:dyDescent="0.25">
      <c r="A127" s="136">
        <f t="shared" si="108"/>
        <v>20</v>
      </c>
      <c r="B127" s="137" t="str">
        <f t="shared" si="108"/>
        <v>SRRG</v>
      </c>
      <c r="C127" s="167">
        <f t="shared" si="99"/>
        <v>1.0499999999999998</v>
      </c>
      <c r="D127" s="146">
        <f t="shared" si="106"/>
        <v>0.25</v>
      </c>
      <c r="E127" s="146">
        <f t="shared" si="106"/>
        <v>7.4999999999999997E-2</v>
      </c>
      <c r="F127" s="146">
        <f t="shared" si="106"/>
        <v>0</v>
      </c>
      <c r="G127" s="146">
        <f t="shared" si="106"/>
        <v>0</v>
      </c>
      <c r="H127" s="146">
        <f t="shared" si="106"/>
        <v>0</v>
      </c>
      <c r="I127" s="146">
        <f t="shared" si="100"/>
        <v>0</v>
      </c>
      <c r="J127" s="146">
        <f t="shared" si="107"/>
        <v>0.2</v>
      </c>
      <c r="K127" s="146">
        <f t="shared" si="107"/>
        <v>0.3</v>
      </c>
      <c r="L127" s="146">
        <f t="shared" si="107"/>
        <v>0.15</v>
      </c>
      <c r="M127" s="146">
        <f t="shared" si="107"/>
        <v>0.05</v>
      </c>
      <c r="N127" s="168">
        <f t="shared" si="107"/>
        <v>2.5000000000000001E-2</v>
      </c>
      <c r="O127" s="85"/>
    </row>
    <row r="128" spans="1:18" ht="13.5" thickBot="1" x14ac:dyDescent="0.25">
      <c r="A128" s="86" t="s">
        <v>95</v>
      </c>
      <c r="B128" s="59"/>
      <c r="C128" s="90"/>
      <c r="D128" s="111"/>
      <c r="E128" s="111"/>
      <c r="F128" s="111"/>
      <c r="G128" s="111"/>
      <c r="H128" s="111"/>
      <c r="I128" s="111"/>
      <c r="J128" s="111"/>
      <c r="K128" s="111"/>
      <c r="L128" s="111"/>
      <c r="M128" s="111"/>
      <c r="N128" s="111"/>
      <c r="O128" s="85"/>
    </row>
    <row r="129" spans="1:15" outlineLevel="1" x14ac:dyDescent="0.2">
      <c r="A129" s="258" t="s">
        <v>24</v>
      </c>
      <c r="B129" s="260" t="s">
        <v>23</v>
      </c>
      <c r="C129" s="262" t="s">
        <v>74</v>
      </c>
      <c r="D129" s="248" t="s">
        <v>35</v>
      </c>
      <c r="E129" s="248"/>
      <c r="F129" s="248"/>
      <c r="G129" s="248"/>
      <c r="H129" s="250" t="s">
        <v>18</v>
      </c>
      <c r="I129" s="225" t="s">
        <v>17</v>
      </c>
      <c r="J129" s="227" t="str">
        <f>J3</f>
        <v>Under Graduate Transfer Degrees</v>
      </c>
      <c r="K129" s="227" t="s">
        <v>16</v>
      </c>
      <c r="L129" s="229" t="s">
        <v>34</v>
      </c>
      <c r="M129" s="230"/>
      <c r="N129" s="231"/>
      <c r="O129" s="85"/>
    </row>
    <row r="130" spans="1:15" ht="51.75" outlineLevel="1" thickBot="1" x14ac:dyDescent="0.25">
      <c r="A130" s="267"/>
      <c r="B130" s="268"/>
      <c r="C130" s="269"/>
      <c r="D130" s="122"/>
      <c r="E130" s="123" t="s">
        <v>33</v>
      </c>
      <c r="F130" s="123" t="s">
        <v>32</v>
      </c>
      <c r="G130" s="124" t="s">
        <v>31</v>
      </c>
      <c r="H130" s="264"/>
      <c r="I130" s="265"/>
      <c r="J130" s="266"/>
      <c r="K130" s="266"/>
      <c r="L130" s="125" t="s">
        <v>14</v>
      </c>
      <c r="M130" s="126" t="s">
        <v>13</v>
      </c>
      <c r="N130" s="135" t="s">
        <v>12</v>
      </c>
      <c r="O130" s="85"/>
    </row>
    <row r="131" spans="1:15" outlineLevel="1" x14ac:dyDescent="0.2">
      <c r="A131" s="20">
        <f t="shared" ref="A131:B146" si="109">A90</f>
        <v>3656</v>
      </c>
      <c r="B131" s="19" t="str">
        <f t="shared" si="109"/>
        <v>UTA</v>
      </c>
      <c r="C131" s="90"/>
      <c r="D131" s="98">
        <f t="shared" ref="D131:N131" si="110">RANK(D177,$D177:$N177)</f>
        <v>1</v>
      </c>
      <c r="E131" s="99">
        <f t="shared" si="110"/>
        <v>3</v>
      </c>
      <c r="F131" s="99">
        <f t="shared" si="110"/>
        <v>8</v>
      </c>
      <c r="G131" s="100">
        <f t="shared" si="110"/>
        <v>8</v>
      </c>
      <c r="H131" s="98">
        <f t="shared" si="110"/>
        <v>8</v>
      </c>
      <c r="I131" s="100">
        <f t="shared" si="110"/>
        <v>8</v>
      </c>
      <c r="J131" s="101">
        <f t="shared" si="110"/>
        <v>5</v>
      </c>
      <c r="K131" s="101">
        <f t="shared" si="110"/>
        <v>2</v>
      </c>
      <c r="L131" s="98">
        <f t="shared" si="110"/>
        <v>4</v>
      </c>
      <c r="M131" s="99">
        <f t="shared" si="110"/>
        <v>6</v>
      </c>
      <c r="N131" s="100">
        <f t="shared" si="110"/>
        <v>7</v>
      </c>
      <c r="O131" s="85"/>
    </row>
    <row r="132" spans="1:15" outlineLevel="1" x14ac:dyDescent="0.2">
      <c r="A132" s="20">
        <f t="shared" si="109"/>
        <v>3658</v>
      </c>
      <c r="B132" s="19" t="str">
        <f t="shared" si="109"/>
        <v>UT</v>
      </c>
      <c r="C132" s="90"/>
      <c r="D132" s="102">
        <f t="shared" ref="D132:N132" si="111">RANK(D178,$D178:$N178)</f>
        <v>2</v>
      </c>
      <c r="E132" s="103">
        <f t="shared" si="111"/>
        <v>1</v>
      </c>
      <c r="F132" s="103">
        <f t="shared" si="111"/>
        <v>8</v>
      </c>
      <c r="G132" s="104">
        <f t="shared" si="111"/>
        <v>8</v>
      </c>
      <c r="H132" s="102">
        <f t="shared" si="111"/>
        <v>8</v>
      </c>
      <c r="I132" s="104">
        <f t="shared" si="111"/>
        <v>8</v>
      </c>
      <c r="J132" s="102">
        <f t="shared" si="111"/>
        <v>7</v>
      </c>
      <c r="K132" s="102">
        <f t="shared" si="111"/>
        <v>4</v>
      </c>
      <c r="L132" s="102">
        <f t="shared" si="111"/>
        <v>6</v>
      </c>
      <c r="M132" s="103">
        <f t="shared" si="111"/>
        <v>5</v>
      </c>
      <c r="N132" s="104">
        <f t="shared" si="111"/>
        <v>3</v>
      </c>
      <c r="O132" s="85"/>
    </row>
    <row r="133" spans="1:15" outlineLevel="1" x14ac:dyDescent="0.2">
      <c r="A133" s="20">
        <f t="shared" si="109"/>
        <v>9741</v>
      </c>
      <c r="B133" s="19" t="str">
        <f t="shared" si="109"/>
        <v>UTD</v>
      </c>
      <c r="C133" s="90"/>
      <c r="D133" s="102">
        <f t="shared" ref="D133:N133" si="112">RANK(D179,$D179:$N179)</f>
        <v>1</v>
      </c>
      <c r="E133" s="103">
        <f t="shared" si="112"/>
        <v>2</v>
      </c>
      <c r="F133" s="103">
        <f t="shared" si="112"/>
        <v>8</v>
      </c>
      <c r="G133" s="104">
        <f t="shared" si="112"/>
        <v>8</v>
      </c>
      <c r="H133" s="102">
        <f t="shared" si="112"/>
        <v>8</v>
      </c>
      <c r="I133" s="104">
        <f t="shared" si="112"/>
        <v>8</v>
      </c>
      <c r="J133" s="102">
        <f t="shared" si="112"/>
        <v>5</v>
      </c>
      <c r="K133" s="102">
        <f t="shared" si="112"/>
        <v>3</v>
      </c>
      <c r="L133" s="102">
        <f t="shared" si="112"/>
        <v>4</v>
      </c>
      <c r="M133" s="103">
        <f t="shared" si="112"/>
        <v>6</v>
      </c>
      <c r="N133" s="104">
        <f t="shared" si="112"/>
        <v>7</v>
      </c>
      <c r="O133" s="85"/>
    </row>
    <row r="134" spans="1:15" outlineLevel="1" x14ac:dyDescent="0.2">
      <c r="A134" s="20">
        <f t="shared" si="109"/>
        <v>3661</v>
      </c>
      <c r="B134" s="19" t="str">
        <f t="shared" si="109"/>
        <v>UTEP</v>
      </c>
      <c r="C134" s="90"/>
      <c r="D134" s="102">
        <f t="shared" ref="D134:N134" si="113">RANK(D180,$D180:$N180)</f>
        <v>2</v>
      </c>
      <c r="E134" s="103">
        <f t="shared" si="113"/>
        <v>5</v>
      </c>
      <c r="F134" s="103">
        <f t="shared" si="113"/>
        <v>8</v>
      </c>
      <c r="G134" s="104">
        <f t="shared" si="113"/>
        <v>8</v>
      </c>
      <c r="H134" s="102">
        <f t="shared" si="113"/>
        <v>8</v>
      </c>
      <c r="I134" s="104">
        <f t="shared" si="113"/>
        <v>8</v>
      </c>
      <c r="J134" s="102">
        <f t="shared" si="113"/>
        <v>7</v>
      </c>
      <c r="K134" s="102">
        <f t="shared" si="113"/>
        <v>1</v>
      </c>
      <c r="L134" s="102">
        <f t="shared" si="113"/>
        <v>6</v>
      </c>
      <c r="M134" s="103">
        <f t="shared" si="113"/>
        <v>4</v>
      </c>
      <c r="N134" s="104">
        <f t="shared" si="113"/>
        <v>3</v>
      </c>
      <c r="O134" s="85"/>
    </row>
    <row r="135" spans="1:15" outlineLevel="1" x14ac:dyDescent="0.2">
      <c r="A135" s="20">
        <f t="shared" si="109"/>
        <v>3599</v>
      </c>
      <c r="B135" s="19" t="str">
        <f t="shared" si="109"/>
        <v>UTPA</v>
      </c>
      <c r="C135" s="90"/>
      <c r="D135" s="102">
        <f t="shared" ref="D135:N135" si="114">RANK(D181,$D181:$N181)</f>
        <v>2</v>
      </c>
      <c r="E135" s="103">
        <f t="shared" si="114"/>
        <v>4</v>
      </c>
      <c r="F135" s="103">
        <f t="shared" si="114"/>
        <v>8</v>
      </c>
      <c r="G135" s="104">
        <f t="shared" si="114"/>
        <v>8</v>
      </c>
      <c r="H135" s="102">
        <f t="shared" si="114"/>
        <v>8</v>
      </c>
      <c r="I135" s="104">
        <f t="shared" si="114"/>
        <v>8</v>
      </c>
      <c r="J135" s="102">
        <f t="shared" si="114"/>
        <v>7</v>
      </c>
      <c r="K135" s="102">
        <f t="shared" si="114"/>
        <v>1</v>
      </c>
      <c r="L135" s="102">
        <f t="shared" si="114"/>
        <v>6</v>
      </c>
      <c r="M135" s="103">
        <f t="shared" si="114"/>
        <v>5</v>
      </c>
      <c r="N135" s="104">
        <f t="shared" si="114"/>
        <v>3</v>
      </c>
      <c r="O135" s="85"/>
    </row>
    <row r="136" spans="1:15" outlineLevel="1" x14ac:dyDescent="0.2">
      <c r="A136" s="20">
        <f t="shared" si="109"/>
        <v>30646</v>
      </c>
      <c r="B136" s="19" t="str">
        <f t="shared" si="109"/>
        <v>UTB</v>
      </c>
      <c r="C136" s="90"/>
      <c r="D136" s="102">
        <f t="shared" ref="D136:N136" si="115">RANK(D182,$D182:$N182)</f>
        <v>2</v>
      </c>
      <c r="E136" s="103">
        <f t="shared" si="115"/>
        <v>4</v>
      </c>
      <c r="F136" s="103">
        <f t="shared" si="115"/>
        <v>8</v>
      </c>
      <c r="G136" s="104">
        <f t="shared" si="115"/>
        <v>8</v>
      </c>
      <c r="H136" s="102">
        <f t="shared" si="115"/>
        <v>8</v>
      </c>
      <c r="I136" s="104">
        <f t="shared" si="115"/>
        <v>8</v>
      </c>
      <c r="J136" s="102">
        <f t="shared" si="115"/>
        <v>3</v>
      </c>
      <c r="K136" s="102">
        <f t="shared" si="115"/>
        <v>1</v>
      </c>
      <c r="L136" s="102">
        <f t="shared" si="115"/>
        <v>5</v>
      </c>
      <c r="M136" s="103">
        <f t="shared" si="115"/>
        <v>6</v>
      </c>
      <c r="N136" s="104">
        <f t="shared" si="115"/>
        <v>7</v>
      </c>
      <c r="O136" s="85"/>
    </row>
    <row r="137" spans="1:15" outlineLevel="1" x14ac:dyDescent="0.2">
      <c r="A137" s="20">
        <f t="shared" si="109"/>
        <v>9930</v>
      </c>
      <c r="B137" s="19" t="str">
        <f t="shared" si="109"/>
        <v>UTPB</v>
      </c>
      <c r="C137" s="90"/>
      <c r="D137" s="102">
        <f t="shared" ref="D137:N137" si="116">RANK(D183,$D183:$N183)</f>
        <v>2</v>
      </c>
      <c r="E137" s="103">
        <f t="shared" si="116"/>
        <v>3</v>
      </c>
      <c r="F137" s="103">
        <f t="shared" si="116"/>
        <v>8</v>
      </c>
      <c r="G137" s="104">
        <f t="shared" si="116"/>
        <v>8</v>
      </c>
      <c r="H137" s="102">
        <f t="shared" si="116"/>
        <v>8</v>
      </c>
      <c r="I137" s="104">
        <f t="shared" si="116"/>
        <v>8</v>
      </c>
      <c r="J137" s="102">
        <f t="shared" si="116"/>
        <v>5</v>
      </c>
      <c r="K137" s="102">
        <f t="shared" si="116"/>
        <v>1</v>
      </c>
      <c r="L137" s="102">
        <f t="shared" si="116"/>
        <v>4</v>
      </c>
      <c r="M137" s="103">
        <f t="shared" si="116"/>
        <v>6</v>
      </c>
      <c r="N137" s="104">
        <f t="shared" si="116"/>
        <v>7</v>
      </c>
      <c r="O137" s="85"/>
    </row>
    <row r="138" spans="1:15" outlineLevel="1" x14ac:dyDescent="0.2">
      <c r="A138" s="20">
        <f t="shared" si="109"/>
        <v>10115</v>
      </c>
      <c r="B138" s="19" t="str">
        <f t="shared" si="109"/>
        <v>UTSA</v>
      </c>
      <c r="C138" s="90"/>
      <c r="D138" s="102">
        <f t="shared" ref="D138:N138" si="117">RANK(D184,$D184:$N184)</f>
        <v>2</v>
      </c>
      <c r="E138" s="103">
        <f t="shared" si="117"/>
        <v>3</v>
      </c>
      <c r="F138" s="103">
        <f t="shared" si="117"/>
        <v>8</v>
      </c>
      <c r="G138" s="104">
        <f t="shared" si="117"/>
        <v>8</v>
      </c>
      <c r="H138" s="102">
        <f t="shared" si="117"/>
        <v>8</v>
      </c>
      <c r="I138" s="104">
        <f t="shared" si="117"/>
        <v>8</v>
      </c>
      <c r="J138" s="102">
        <f t="shared" si="117"/>
        <v>7</v>
      </c>
      <c r="K138" s="102">
        <f t="shared" si="117"/>
        <v>1</v>
      </c>
      <c r="L138" s="102">
        <f t="shared" si="117"/>
        <v>4</v>
      </c>
      <c r="M138" s="103">
        <f t="shared" si="117"/>
        <v>6</v>
      </c>
      <c r="N138" s="104">
        <f t="shared" si="117"/>
        <v>5</v>
      </c>
      <c r="O138" s="85"/>
    </row>
    <row r="139" spans="1:15" outlineLevel="1" x14ac:dyDescent="0.2">
      <c r="A139" s="20">
        <f t="shared" si="109"/>
        <v>11163</v>
      </c>
      <c r="B139" s="19" t="str">
        <f t="shared" si="109"/>
        <v>UTT</v>
      </c>
      <c r="C139" s="90"/>
      <c r="D139" s="102">
        <f t="shared" ref="D139:N139" si="118">RANK(D185,$D185:$N185)</f>
        <v>2</v>
      </c>
      <c r="E139" s="103">
        <f t="shared" si="118"/>
        <v>3</v>
      </c>
      <c r="F139" s="103">
        <f t="shared" si="118"/>
        <v>8</v>
      </c>
      <c r="G139" s="104">
        <f t="shared" si="118"/>
        <v>8</v>
      </c>
      <c r="H139" s="102">
        <f t="shared" si="118"/>
        <v>8</v>
      </c>
      <c r="I139" s="104">
        <f t="shared" si="118"/>
        <v>8</v>
      </c>
      <c r="J139" s="102">
        <f t="shared" si="118"/>
        <v>4</v>
      </c>
      <c r="K139" s="102">
        <f t="shared" si="118"/>
        <v>1</v>
      </c>
      <c r="L139" s="102">
        <f t="shared" si="118"/>
        <v>5</v>
      </c>
      <c r="M139" s="103">
        <f t="shared" si="118"/>
        <v>6</v>
      </c>
      <c r="N139" s="104">
        <f t="shared" si="118"/>
        <v>7</v>
      </c>
      <c r="O139" s="85"/>
    </row>
    <row r="140" spans="1:15" outlineLevel="1" x14ac:dyDescent="0.2">
      <c r="A140" s="20">
        <f t="shared" si="109"/>
        <v>3632</v>
      </c>
      <c r="B140" s="19" t="str">
        <f t="shared" si="109"/>
        <v>TAMU</v>
      </c>
      <c r="C140" s="90"/>
      <c r="D140" s="102">
        <f t="shared" ref="D140:N140" si="119">RANK(D186,$D186:$N186)</f>
        <v>2</v>
      </c>
      <c r="E140" s="103">
        <f t="shared" si="119"/>
        <v>1</v>
      </c>
      <c r="F140" s="103">
        <f t="shared" si="119"/>
        <v>8</v>
      </c>
      <c r="G140" s="104">
        <f t="shared" si="119"/>
        <v>8</v>
      </c>
      <c r="H140" s="102">
        <f t="shared" si="119"/>
        <v>8</v>
      </c>
      <c r="I140" s="104">
        <f t="shared" si="119"/>
        <v>8</v>
      </c>
      <c r="J140" s="102">
        <f t="shared" si="119"/>
        <v>7</v>
      </c>
      <c r="K140" s="102">
        <f t="shared" si="119"/>
        <v>4</v>
      </c>
      <c r="L140" s="102">
        <f t="shared" si="119"/>
        <v>6</v>
      </c>
      <c r="M140" s="103">
        <f t="shared" si="119"/>
        <v>5</v>
      </c>
      <c r="N140" s="104">
        <f t="shared" si="119"/>
        <v>3</v>
      </c>
      <c r="O140" s="85"/>
    </row>
    <row r="141" spans="1:15" outlineLevel="1" x14ac:dyDescent="0.2">
      <c r="A141" s="20">
        <f t="shared" si="109"/>
        <v>10298</v>
      </c>
      <c r="B141" s="19" t="str">
        <f t="shared" si="109"/>
        <v>TAMUG</v>
      </c>
      <c r="C141" s="90"/>
      <c r="D141" s="102">
        <f t="shared" ref="D141:N141" si="120">RANK(D187,$D187:$N187)</f>
        <v>1</v>
      </c>
      <c r="E141" s="103">
        <f t="shared" si="120"/>
        <v>3</v>
      </c>
      <c r="F141" s="103">
        <f t="shared" si="120"/>
        <v>8</v>
      </c>
      <c r="G141" s="104">
        <f t="shared" si="120"/>
        <v>8</v>
      </c>
      <c r="H141" s="102">
        <f t="shared" si="120"/>
        <v>8</v>
      </c>
      <c r="I141" s="104">
        <f t="shared" si="120"/>
        <v>8</v>
      </c>
      <c r="J141" s="102">
        <f t="shared" si="120"/>
        <v>7</v>
      </c>
      <c r="K141" s="102">
        <f t="shared" si="120"/>
        <v>2</v>
      </c>
      <c r="L141" s="102">
        <f t="shared" si="120"/>
        <v>5</v>
      </c>
      <c r="M141" s="103">
        <f t="shared" si="120"/>
        <v>6</v>
      </c>
      <c r="N141" s="104">
        <f t="shared" si="120"/>
        <v>4</v>
      </c>
      <c r="O141" s="85"/>
    </row>
    <row r="142" spans="1:15" outlineLevel="1" x14ac:dyDescent="0.2">
      <c r="A142" s="20">
        <f t="shared" si="109"/>
        <v>3630</v>
      </c>
      <c r="B142" s="19" t="str">
        <f t="shared" si="109"/>
        <v>Prairie View</v>
      </c>
      <c r="C142" s="90"/>
      <c r="D142" s="102">
        <f t="shared" ref="D142:N142" si="121">RANK(D188,$D188:$N188)</f>
        <v>2</v>
      </c>
      <c r="E142" s="103">
        <f t="shared" si="121"/>
        <v>6</v>
      </c>
      <c r="F142" s="103">
        <f t="shared" si="121"/>
        <v>8</v>
      </c>
      <c r="G142" s="104">
        <f t="shared" si="121"/>
        <v>8</v>
      </c>
      <c r="H142" s="102">
        <f t="shared" si="121"/>
        <v>8</v>
      </c>
      <c r="I142" s="104">
        <f t="shared" si="121"/>
        <v>8</v>
      </c>
      <c r="J142" s="102">
        <f t="shared" si="121"/>
        <v>7</v>
      </c>
      <c r="K142" s="102">
        <f t="shared" si="121"/>
        <v>1</v>
      </c>
      <c r="L142" s="102">
        <f t="shared" si="121"/>
        <v>5</v>
      </c>
      <c r="M142" s="103">
        <f t="shared" si="121"/>
        <v>4</v>
      </c>
      <c r="N142" s="104">
        <f t="shared" si="121"/>
        <v>3</v>
      </c>
      <c r="O142" s="85"/>
    </row>
    <row r="143" spans="1:15" outlineLevel="1" x14ac:dyDescent="0.2">
      <c r="A143" s="20">
        <f t="shared" si="109"/>
        <v>3631</v>
      </c>
      <c r="B143" s="19" t="str">
        <f t="shared" si="109"/>
        <v>Tarleton</v>
      </c>
      <c r="C143" s="90"/>
      <c r="D143" s="102">
        <f t="shared" ref="D143:N143" si="122">RANK(D189,$D189:$N189)</f>
        <v>2</v>
      </c>
      <c r="E143" s="103">
        <f t="shared" si="122"/>
        <v>3</v>
      </c>
      <c r="F143" s="103">
        <f t="shared" si="122"/>
        <v>8</v>
      </c>
      <c r="G143" s="104">
        <f t="shared" si="122"/>
        <v>8</v>
      </c>
      <c r="H143" s="102">
        <f t="shared" si="122"/>
        <v>8</v>
      </c>
      <c r="I143" s="104">
        <f t="shared" si="122"/>
        <v>8</v>
      </c>
      <c r="J143" s="102">
        <f t="shared" si="122"/>
        <v>7</v>
      </c>
      <c r="K143" s="102">
        <f t="shared" si="122"/>
        <v>1</v>
      </c>
      <c r="L143" s="102">
        <f t="shared" si="122"/>
        <v>5</v>
      </c>
      <c r="M143" s="103">
        <f t="shared" si="122"/>
        <v>6</v>
      </c>
      <c r="N143" s="104">
        <f t="shared" si="122"/>
        <v>4</v>
      </c>
      <c r="O143" s="85"/>
    </row>
    <row r="144" spans="1:15" outlineLevel="1" x14ac:dyDescent="0.2">
      <c r="A144" s="27">
        <f t="shared" si="109"/>
        <v>103631</v>
      </c>
      <c r="B144" s="19" t="str">
        <f t="shared" si="109"/>
        <v>TAMUCT</v>
      </c>
      <c r="C144" s="90"/>
      <c r="D144" s="102">
        <f t="shared" ref="D144:N144" si="123">RANK(D190,$D190:$N190)</f>
        <v>2</v>
      </c>
      <c r="E144" s="103">
        <f t="shared" si="123"/>
        <v>3</v>
      </c>
      <c r="F144" s="103">
        <f t="shared" si="123"/>
        <v>8</v>
      </c>
      <c r="G144" s="104">
        <f t="shared" si="123"/>
        <v>8</v>
      </c>
      <c r="H144" s="102">
        <f t="shared" si="123"/>
        <v>8</v>
      </c>
      <c r="I144" s="104">
        <f t="shared" si="123"/>
        <v>8</v>
      </c>
      <c r="J144" s="102">
        <f t="shared" si="123"/>
        <v>4</v>
      </c>
      <c r="K144" s="102">
        <f t="shared" si="123"/>
        <v>1</v>
      </c>
      <c r="L144" s="102">
        <f t="shared" si="123"/>
        <v>5</v>
      </c>
      <c r="M144" s="103">
        <f t="shared" si="123"/>
        <v>6</v>
      </c>
      <c r="N144" s="104">
        <f t="shared" si="123"/>
        <v>7</v>
      </c>
      <c r="O144" s="85"/>
    </row>
    <row r="145" spans="1:15" outlineLevel="1" x14ac:dyDescent="0.2">
      <c r="A145" s="20">
        <f t="shared" si="109"/>
        <v>11161</v>
      </c>
      <c r="B145" s="19" t="str">
        <f t="shared" si="109"/>
        <v>TAMUCC</v>
      </c>
      <c r="C145" s="90"/>
      <c r="D145" s="102">
        <f t="shared" ref="D145:N145" si="124">RANK(D191,$D191:$N191)</f>
        <v>2</v>
      </c>
      <c r="E145" s="103">
        <f t="shared" si="124"/>
        <v>3</v>
      </c>
      <c r="F145" s="103">
        <f t="shared" si="124"/>
        <v>8</v>
      </c>
      <c r="G145" s="104">
        <f t="shared" si="124"/>
        <v>8</v>
      </c>
      <c r="H145" s="102">
        <f t="shared" si="124"/>
        <v>8</v>
      </c>
      <c r="I145" s="104">
        <f t="shared" si="124"/>
        <v>8</v>
      </c>
      <c r="J145" s="102">
        <f t="shared" si="124"/>
        <v>7</v>
      </c>
      <c r="K145" s="102">
        <f t="shared" si="124"/>
        <v>1</v>
      </c>
      <c r="L145" s="102">
        <f t="shared" si="124"/>
        <v>6</v>
      </c>
      <c r="M145" s="103">
        <f t="shared" si="124"/>
        <v>5</v>
      </c>
      <c r="N145" s="104">
        <f t="shared" si="124"/>
        <v>4</v>
      </c>
      <c r="O145" s="85"/>
    </row>
    <row r="146" spans="1:15" outlineLevel="1" x14ac:dyDescent="0.2">
      <c r="A146" s="20">
        <f t="shared" si="109"/>
        <v>3639</v>
      </c>
      <c r="B146" s="19" t="str">
        <f t="shared" si="109"/>
        <v>TAMUK</v>
      </c>
      <c r="C146" s="90"/>
      <c r="D146" s="102">
        <f t="shared" ref="D146:N146" si="125">RANK(D192,$D192:$N192)</f>
        <v>2</v>
      </c>
      <c r="E146" s="103">
        <f t="shared" si="125"/>
        <v>5</v>
      </c>
      <c r="F146" s="103">
        <f t="shared" si="125"/>
        <v>8</v>
      </c>
      <c r="G146" s="104">
        <f t="shared" si="125"/>
        <v>8</v>
      </c>
      <c r="H146" s="102">
        <f t="shared" si="125"/>
        <v>8</v>
      </c>
      <c r="I146" s="104">
        <f t="shared" si="125"/>
        <v>8</v>
      </c>
      <c r="J146" s="102">
        <f t="shared" si="125"/>
        <v>7</v>
      </c>
      <c r="K146" s="102">
        <f t="shared" si="125"/>
        <v>1</v>
      </c>
      <c r="L146" s="102">
        <f t="shared" si="125"/>
        <v>6</v>
      </c>
      <c r="M146" s="103">
        <f t="shared" si="125"/>
        <v>4</v>
      </c>
      <c r="N146" s="104">
        <f t="shared" si="125"/>
        <v>3</v>
      </c>
      <c r="O146" s="85"/>
    </row>
    <row r="147" spans="1:15" outlineLevel="1" x14ac:dyDescent="0.2">
      <c r="A147" s="27">
        <f t="shared" ref="A147:B162" si="126">A106</f>
        <v>103639</v>
      </c>
      <c r="B147" s="19" t="str">
        <f t="shared" si="126"/>
        <v>TAMUSA</v>
      </c>
      <c r="C147" s="90"/>
      <c r="D147" s="102">
        <f t="shared" ref="D147:N147" si="127">RANK(D193,$D193:$N193)</f>
        <v>2</v>
      </c>
      <c r="E147" s="103">
        <f t="shared" si="127"/>
        <v>4</v>
      </c>
      <c r="F147" s="103">
        <f t="shared" si="127"/>
        <v>8</v>
      </c>
      <c r="G147" s="104">
        <f t="shared" si="127"/>
        <v>8</v>
      </c>
      <c r="H147" s="102">
        <f t="shared" si="127"/>
        <v>8</v>
      </c>
      <c r="I147" s="104">
        <f t="shared" si="127"/>
        <v>8</v>
      </c>
      <c r="J147" s="102">
        <f t="shared" si="127"/>
        <v>3</v>
      </c>
      <c r="K147" s="102">
        <f t="shared" si="127"/>
        <v>1</v>
      </c>
      <c r="L147" s="102">
        <f t="shared" si="127"/>
        <v>5</v>
      </c>
      <c r="M147" s="103">
        <f t="shared" si="127"/>
        <v>6</v>
      </c>
      <c r="N147" s="104">
        <f t="shared" si="127"/>
        <v>7</v>
      </c>
      <c r="O147" s="85"/>
    </row>
    <row r="148" spans="1:15" outlineLevel="1" x14ac:dyDescent="0.2">
      <c r="A148" s="20">
        <f t="shared" si="126"/>
        <v>9651</v>
      </c>
      <c r="B148" s="19" t="str">
        <f t="shared" si="126"/>
        <v>TAMI</v>
      </c>
      <c r="C148" s="90"/>
      <c r="D148" s="102">
        <f t="shared" ref="D148:N148" si="128">RANK(D194,$D194:$N194)</f>
        <v>2</v>
      </c>
      <c r="E148" s="103">
        <f t="shared" si="128"/>
        <v>3</v>
      </c>
      <c r="F148" s="103">
        <f t="shared" si="128"/>
        <v>8</v>
      </c>
      <c r="G148" s="104">
        <f t="shared" si="128"/>
        <v>8</v>
      </c>
      <c r="H148" s="102">
        <f t="shared" si="128"/>
        <v>8</v>
      </c>
      <c r="I148" s="104">
        <f t="shared" si="128"/>
        <v>8</v>
      </c>
      <c r="J148" s="102">
        <f t="shared" si="128"/>
        <v>7</v>
      </c>
      <c r="K148" s="102">
        <f t="shared" si="128"/>
        <v>1</v>
      </c>
      <c r="L148" s="102">
        <f t="shared" si="128"/>
        <v>5</v>
      </c>
      <c r="M148" s="103">
        <f t="shared" si="128"/>
        <v>4</v>
      </c>
      <c r="N148" s="104">
        <f t="shared" si="128"/>
        <v>6</v>
      </c>
      <c r="O148" s="85"/>
    </row>
    <row r="149" spans="1:15" outlineLevel="1" x14ac:dyDescent="0.2">
      <c r="A149" s="20">
        <f t="shared" si="126"/>
        <v>3665</v>
      </c>
      <c r="B149" s="19" t="str">
        <f t="shared" si="126"/>
        <v>WTAMU</v>
      </c>
      <c r="C149" s="90"/>
      <c r="D149" s="102">
        <f t="shared" ref="D149:N149" si="129">RANK(D195,$D195:$N195)</f>
        <v>2</v>
      </c>
      <c r="E149" s="103">
        <f t="shared" si="129"/>
        <v>3</v>
      </c>
      <c r="F149" s="103">
        <f t="shared" si="129"/>
        <v>8</v>
      </c>
      <c r="G149" s="104">
        <f t="shared" si="129"/>
        <v>8</v>
      </c>
      <c r="H149" s="102">
        <f t="shared" si="129"/>
        <v>8</v>
      </c>
      <c r="I149" s="104">
        <f t="shared" si="129"/>
        <v>8</v>
      </c>
      <c r="J149" s="102">
        <f t="shared" si="129"/>
        <v>7</v>
      </c>
      <c r="K149" s="102">
        <f t="shared" si="129"/>
        <v>1</v>
      </c>
      <c r="L149" s="102">
        <f t="shared" si="129"/>
        <v>4</v>
      </c>
      <c r="M149" s="103">
        <f t="shared" si="129"/>
        <v>5</v>
      </c>
      <c r="N149" s="104">
        <f t="shared" si="129"/>
        <v>6</v>
      </c>
      <c r="O149" s="85"/>
    </row>
    <row r="150" spans="1:15" outlineLevel="1" x14ac:dyDescent="0.2">
      <c r="A150" s="20">
        <f t="shared" si="126"/>
        <v>3565</v>
      </c>
      <c r="B150" s="19" t="str">
        <f t="shared" si="126"/>
        <v>TAMUC</v>
      </c>
      <c r="C150" s="90"/>
      <c r="D150" s="102">
        <f t="shared" ref="D150:N150" si="130">RANK(D196,$D196:$N196)</f>
        <v>2</v>
      </c>
      <c r="E150" s="103">
        <f t="shared" si="130"/>
        <v>3</v>
      </c>
      <c r="F150" s="103">
        <f t="shared" si="130"/>
        <v>8</v>
      </c>
      <c r="G150" s="104">
        <f t="shared" si="130"/>
        <v>8</v>
      </c>
      <c r="H150" s="102">
        <f t="shared" si="130"/>
        <v>8</v>
      </c>
      <c r="I150" s="104">
        <f t="shared" si="130"/>
        <v>8</v>
      </c>
      <c r="J150" s="102">
        <f t="shared" si="130"/>
        <v>4</v>
      </c>
      <c r="K150" s="102">
        <f t="shared" si="130"/>
        <v>1</v>
      </c>
      <c r="L150" s="102">
        <f t="shared" si="130"/>
        <v>5</v>
      </c>
      <c r="M150" s="103">
        <f t="shared" si="130"/>
        <v>6</v>
      </c>
      <c r="N150" s="104">
        <f t="shared" si="130"/>
        <v>7</v>
      </c>
      <c r="O150" s="85"/>
    </row>
    <row r="151" spans="1:15" outlineLevel="1" x14ac:dyDescent="0.2">
      <c r="A151" s="20">
        <f t="shared" si="126"/>
        <v>29269</v>
      </c>
      <c r="B151" s="19" t="str">
        <f t="shared" si="126"/>
        <v>TAMUT</v>
      </c>
      <c r="C151" s="90"/>
      <c r="D151" s="102">
        <f t="shared" ref="D151:N151" si="131">RANK(D197,$D197:$N197)</f>
        <v>2</v>
      </c>
      <c r="E151" s="103">
        <f t="shared" si="131"/>
        <v>3</v>
      </c>
      <c r="F151" s="103">
        <f t="shared" si="131"/>
        <v>8</v>
      </c>
      <c r="G151" s="104">
        <f t="shared" si="131"/>
        <v>8</v>
      </c>
      <c r="H151" s="102">
        <f t="shared" si="131"/>
        <v>8</v>
      </c>
      <c r="I151" s="104">
        <f t="shared" si="131"/>
        <v>8</v>
      </c>
      <c r="J151" s="102">
        <f t="shared" si="131"/>
        <v>4</v>
      </c>
      <c r="K151" s="102">
        <f t="shared" si="131"/>
        <v>1</v>
      </c>
      <c r="L151" s="102">
        <f t="shared" si="131"/>
        <v>5</v>
      </c>
      <c r="M151" s="103">
        <f t="shared" si="131"/>
        <v>6</v>
      </c>
      <c r="N151" s="104">
        <f t="shared" si="131"/>
        <v>7</v>
      </c>
      <c r="O151" s="85"/>
    </row>
    <row r="152" spans="1:15" outlineLevel="1" x14ac:dyDescent="0.2">
      <c r="A152" s="20">
        <f t="shared" si="126"/>
        <v>3652</v>
      </c>
      <c r="B152" s="19" t="str">
        <f t="shared" si="126"/>
        <v>UH</v>
      </c>
      <c r="C152" s="90"/>
      <c r="D152" s="102">
        <f t="shared" ref="D152:N152" si="132">RANK(D198,$D198:$N198)</f>
        <v>2</v>
      </c>
      <c r="E152" s="103">
        <f t="shared" si="132"/>
        <v>3</v>
      </c>
      <c r="F152" s="103">
        <f t="shared" si="132"/>
        <v>8</v>
      </c>
      <c r="G152" s="104">
        <f t="shared" si="132"/>
        <v>8</v>
      </c>
      <c r="H152" s="102">
        <f t="shared" si="132"/>
        <v>8</v>
      </c>
      <c r="I152" s="104">
        <f t="shared" si="132"/>
        <v>8</v>
      </c>
      <c r="J152" s="102">
        <f t="shared" si="132"/>
        <v>7</v>
      </c>
      <c r="K152" s="102">
        <f t="shared" si="132"/>
        <v>1</v>
      </c>
      <c r="L152" s="102">
        <f t="shared" si="132"/>
        <v>6</v>
      </c>
      <c r="M152" s="103">
        <f t="shared" si="132"/>
        <v>5</v>
      </c>
      <c r="N152" s="104">
        <f t="shared" si="132"/>
        <v>4</v>
      </c>
      <c r="O152" s="85"/>
    </row>
    <row r="153" spans="1:15" outlineLevel="1" x14ac:dyDescent="0.2">
      <c r="A153" s="20">
        <f t="shared" si="126"/>
        <v>11711</v>
      </c>
      <c r="B153" s="19" t="str">
        <f t="shared" si="126"/>
        <v>UHCL</v>
      </c>
      <c r="C153" s="90"/>
      <c r="D153" s="102">
        <f t="shared" ref="D153:N153" si="133">RANK(D199,$D199:$N199)</f>
        <v>2</v>
      </c>
      <c r="E153" s="103">
        <f t="shared" si="133"/>
        <v>3</v>
      </c>
      <c r="F153" s="103">
        <f t="shared" si="133"/>
        <v>8</v>
      </c>
      <c r="G153" s="104">
        <f t="shared" si="133"/>
        <v>8</v>
      </c>
      <c r="H153" s="102">
        <f t="shared" si="133"/>
        <v>8</v>
      </c>
      <c r="I153" s="104">
        <f t="shared" si="133"/>
        <v>8</v>
      </c>
      <c r="J153" s="102">
        <f t="shared" si="133"/>
        <v>4</v>
      </c>
      <c r="K153" s="102">
        <f t="shared" si="133"/>
        <v>1</v>
      </c>
      <c r="L153" s="102">
        <f t="shared" si="133"/>
        <v>6</v>
      </c>
      <c r="M153" s="103">
        <f t="shared" si="133"/>
        <v>5</v>
      </c>
      <c r="N153" s="104">
        <f t="shared" si="133"/>
        <v>7</v>
      </c>
      <c r="O153" s="85"/>
    </row>
    <row r="154" spans="1:15" outlineLevel="1" x14ac:dyDescent="0.2">
      <c r="A154" s="20">
        <f t="shared" si="126"/>
        <v>12826</v>
      </c>
      <c r="B154" s="19" t="str">
        <f t="shared" si="126"/>
        <v>UHD</v>
      </c>
      <c r="C154" s="90"/>
      <c r="D154" s="102">
        <f t="shared" ref="D154:N154" si="134">RANK(D200,$D200:$N200)</f>
        <v>2</v>
      </c>
      <c r="E154" s="103">
        <f t="shared" si="134"/>
        <v>6</v>
      </c>
      <c r="F154" s="103">
        <f t="shared" si="134"/>
        <v>8</v>
      </c>
      <c r="G154" s="104">
        <f t="shared" si="134"/>
        <v>8</v>
      </c>
      <c r="H154" s="102">
        <f t="shared" si="134"/>
        <v>8</v>
      </c>
      <c r="I154" s="104">
        <f t="shared" si="134"/>
        <v>8</v>
      </c>
      <c r="J154" s="102">
        <f t="shared" si="134"/>
        <v>4</v>
      </c>
      <c r="K154" s="102">
        <f t="shared" si="134"/>
        <v>1</v>
      </c>
      <c r="L154" s="102">
        <f t="shared" si="134"/>
        <v>3</v>
      </c>
      <c r="M154" s="103">
        <f t="shared" si="134"/>
        <v>5</v>
      </c>
      <c r="N154" s="104">
        <f t="shared" si="134"/>
        <v>7</v>
      </c>
      <c r="O154" s="85"/>
    </row>
    <row r="155" spans="1:15" outlineLevel="1" x14ac:dyDescent="0.2">
      <c r="A155" s="20">
        <f t="shared" si="126"/>
        <v>13231</v>
      </c>
      <c r="B155" s="19" t="str">
        <f t="shared" si="126"/>
        <v>UHV</v>
      </c>
      <c r="C155" s="90"/>
      <c r="D155" s="102">
        <f t="shared" ref="D155:N155" si="135">RANK(D201,$D201:$N201)</f>
        <v>2</v>
      </c>
      <c r="E155" s="103">
        <f t="shared" si="135"/>
        <v>3</v>
      </c>
      <c r="F155" s="103">
        <f t="shared" si="135"/>
        <v>8</v>
      </c>
      <c r="G155" s="104">
        <f t="shared" si="135"/>
        <v>8</v>
      </c>
      <c r="H155" s="102">
        <f t="shared" si="135"/>
        <v>8</v>
      </c>
      <c r="I155" s="104">
        <f t="shared" si="135"/>
        <v>8</v>
      </c>
      <c r="J155" s="102">
        <f t="shared" si="135"/>
        <v>4</v>
      </c>
      <c r="K155" s="102">
        <f t="shared" si="135"/>
        <v>1</v>
      </c>
      <c r="L155" s="102">
        <f t="shared" si="135"/>
        <v>5</v>
      </c>
      <c r="M155" s="103">
        <f t="shared" si="135"/>
        <v>6</v>
      </c>
      <c r="N155" s="104">
        <f t="shared" si="135"/>
        <v>7</v>
      </c>
      <c r="O155" s="85"/>
    </row>
    <row r="156" spans="1:15" outlineLevel="1" x14ac:dyDescent="0.2">
      <c r="A156" s="20">
        <f t="shared" si="126"/>
        <v>3592</v>
      </c>
      <c r="B156" s="19" t="str">
        <f t="shared" si="126"/>
        <v>Midwestern</v>
      </c>
      <c r="C156" s="90"/>
      <c r="D156" s="102">
        <f t="shared" ref="D156:N156" si="136">RANK(D202,$D202:$N202)</f>
        <v>2</v>
      </c>
      <c r="E156" s="103">
        <f t="shared" si="136"/>
        <v>3</v>
      </c>
      <c r="F156" s="103">
        <f t="shared" si="136"/>
        <v>8</v>
      </c>
      <c r="G156" s="104">
        <f t="shared" si="136"/>
        <v>8</v>
      </c>
      <c r="H156" s="102">
        <f t="shared" si="136"/>
        <v>8</v>
      </c>
      <c r="I156" s="104">
        <f t="shared" si="136"/>
        <v>8</v>
      </c>
      <c r="J156" s="102">
        <f t="shared" si="136"/>
        <v>7</v>
      </c>
      <c r="K156" s="102">
        <f t="shared" si="136"/>
        <v>1</v>
      </c>
      <c r="L156" s="102">
        <f t="shared" si="136"/>
        <v>6</v>
      </c>
      <c r="M156" s="103">
        <f t="shared" si="136"/>
        <v>5</v>
      </c>
      <c r="N156" s="104">
        <f t="shared" si="136"/>
        <v>4</v>
      </c>
      <c r="O156" s="85"/>
    </row>
    <row r="157" spans="1:15" outlineLevel="1" x14ac:dyDescent="0.2">
      <c r="A157" s="20">
        <f t="shared" si="126"/>
        <v>3594</v>
      </c>
      <c r="B157" s="19" t="str">
        <f t="shared" si="126"/>
        <v>UNT</v>
      </c>
      <c r="C157" s="90"/>
      <c r="D157" s="102">
        <f t="shared" ref="D157:N157" si="137">RANK(D203,$D203:$N203)</f>
        <v>2</v>
      </c>
      <c r="E157" s="103">
        <f t="shared" si="137"/>
        <v>3</v>
      </c>
      <c r="F157" s="103">
        <f t="shared" si="137"/>
        <v>8</v>
      </c>
      <c r="G157" s="104">
        <f t="shared" si="137"/>
        <v>8</v>
      </c>
      <c r="H157" s="102">
        <f t="shared" si="137"/>
        <v>8</v>
      </c>
      <c r="I157" s="104">
        <f t="shared" si="137"/>
        <v>8</v>
      </c>
      <c r="J157" s="102">
        <f t="shared" si="137"/>
        <v>7</v>
      </c>
      <c r="K157" s="102">
        <f t="shared" si="137"/>
        <v>1</v>
      </c>
      <c r="L157" s="102">
        <f t="shared" si="137"/>
        <v>6</v>
      </c>
      <c r="M157" s="103">
        <f t="shared" si="137"/>
        <v>5</v>
      </c>
      <c r="N157" s="104">
        <f t="shared" si="137"/>
        <v>4</v>
      </c>
      <c r="O157" s="85"/>
    </row>
    <row r="158" spans="1:15" outlineLevel="1" x14ac:dyDescent="0.2">
      <c r="A158" s="27">
        <f t="shared" si="126"/>
        <v>113594</v>
      </c>
      <c r="B158" s="19" t="str">
        <f t="shared" si="126"/>
        <v>UNTD</v>
      </c>
      <c r="C158" s="90"/>
      <c r="D158" s="102">
        <f t="shared" ref="D158:N158" si="138">RANK(D204,$D204:$N204)</f>
        <v>2</v>
      </c>
      <c r="E158" s="103">
        <f t="shared" si="138"/>
        <v>3</v>
      </c>
      <c r="F158" s="103">
        <f t="shared" si="138"/>
        <v>7</v>
      </c>
      <c r="G158" s="104">
        <f t="shared" si="138"/>
        <v>7</v>
      </c>
      <c r="H158" s="102">
        <f t="shared" si="138"/>
        <v>7</v>
      </c>
      <c r="I158" s="104">
        <f t="shared" si="138"/>
        <v>7</v>
      </c>
      <c r="J158" s="102">
        <f t="shared" si="138"/>
        <v>7</v>
      </c>
      <c r="K158" s="102">
        <f t="shared" si="138"/>
        <v>1</v>
      </c>
      <c r="L158" s="102">
        <f t="shared" si="138"/>
        <v>4</v>
      </c>
      <c r="M158" s="103">
        <f t="shared" si="138"/>
        <v>5</v>
      </c>
      <c r="N158" s="104">
        <f t="shared" si="138"/>
        <v>6</v>
      </c>
      <c r="O158" s="85"/>
    </row>
    <row r="159" spans="1:15" outlineLevel="1" x14ac:dyDescent="0.2">
      <c r="A159" s="20">
        <f t="shared" si="126"/>
        <v>3624</v>
      </c>
      <c r="B159" s="19" t="str">
        <f t="shared" si="126"/>
        <v>SFA</v>
      </c>
      <c r="C159" s="90"/>
      <c r="D159" s="102">
        <f t="shared" ref="D159:N159" si="139">RANK(D205,$D205:$N205)</f>
        <v>2</v>
      </c>
      <c r="E159" s="103">
        <f t="shared" si="139"/>
        <v>3</v>
      </c>
      <c r="F159" s="103">
        <f t="shared" si="139"/>
        <v>8</v>
      </c>
      <c r="G159" s="104">
        <f t="shared" si="139"/>
        <v>8</v>
      </c>
      <c r="H159" s="102">
        <f t="shared" si="139"/>
        <v>8</v>
      </c>
      <c r="I159" s="104">
        <f t="shared" si="139"/>
        <v>8</v>
      </c>
      <c r="J159" s="102">
        <f t="shared" si="139"/>
        <v>7</v>
      </c>
      <c r="K159" s="102">
        <f t="shared" si="139"/>
        <v>1</v>
      </c>
      <c r="L159" s="102">
        <f t="shared" si="139"/>
        <v>6</v>
      </c>
      <c r="M159" s="103">
        <f t="shared" si="139"/>
        <v>5</v>
      </c>
      <c r="N159" s="104">
        <f t="shared" si="139"/>
        <v>4</v>
      </c>
      <c r="O159" s="85"/>
    </row>
    <row r="160" spans="1:15" outlineLevel="1" x14ac:dyDescent="0.2">
      <c r="A160" s="20">
        <f t="shared" si="126"/>
        <v>3642</v>
      </c>
      <c r="B160" s="19" t="str">
        <f t="shared" si="126"/>
        <v>TSU</v>
      </c>
      <c r="C160" s="90"/>
      <c r="D160" s="102">
        <f t="shared" ref="D160:N160" si="140">RANK(D206,$D206:$N206)</f>
        <v>2</v>
      </c>
      <c r="E160" s="103">
        <f t="shared" si="140"/>
        <v>6</v>
      </c>
      <c r="F160" s="103">
        <f t="shared" si="140"/>
        <v>8</v>
      </c>
      <c r="G160" s="104">
        <f t="shared" si="140"/>
        <v>8</v>
      </c>
      <c r="H160" s="102">
        <f t="shared" si="140"/>
        <v>8</v>
      </c>
      <c r="I160" s="104">
        <f t="shared" si="140"/>
        <v>8</v>
      </c>
      <c r="J160" s="102">
        <f t="shared" si="140"/>
        <v>7</v>
      </c>
      <c r="K160" s="102">
        <f t="shared" si="140"/>
        <v>1</v>
      </c>
      <c r="L160" s="102">
        <f t="shared" si="140"/>
        <v>5</v>
      </c>
      <c r="M160" s="103">
        <f t="shared" si="140"/>
        <v>4</v>
      </c>
      <c r="N160" s="104">
        <f t="shared" si="140"/>
        <v>3</v>
      </c>
      <c r="O160" s="85"/>
    </row>
    <row r="161" spans="1:15" outlineLevel="1" x14ac:dyDescent="0.2">
      <c r="A161" s="20">
        <f t="shared" si="126"/>
        <v>3644</v>
      </c>
      <c r="B161" s="19" t="str">
        <f t="shared" si="126"/>
        <v>TTU</v>
      </c>
      <c r="C161" s="90"/>
      <c r="D161" s="102">
        <f t="shared" ref="D161:N161" si="141">RANK(D207,$D207:$N207)</f>
        <v>2</v>
      </c>
      <c r="E161" s="103">
        <f t="shared" si="141"/>
        <v>1</v>
      </c>
      <c r="F161" s="103">
        <f t="shared" si="141"/>
        <v>8</v>
      </c>
      <c r="G161" s="104">
        <f t="shared" si="141"/>
        <v>8</v>
      </c>
      <c r="H161" s="102">
        <f t="shared" si="141"/>
        <v>8</v>
      </c>
      <c r="I161" s="104">
        <f t="shared" si="141"/>
        <v>8</v>
      </c>
      <c r="J161" s="102">
        <f t="shared" si="141"/>
        <v>7</v>
      </c>
      <c r="K161" s="102">
        <f t="shared" si="141"/>
        <v>3</v>
      </c>
      <c r="L161" s="102">
        <f t="shared" si="141"/>
        <v>6</v>
      </c>
      <c r="M161" s="103">
        <f t="shared" si="141"/>
        <v>5</v>
      </c>
      <c r="N161" s="104">
        <f t="shared" si="141"/>
        <v>4</v>
      </c>
      <c r="O161" s="85"/>
    </row>
    <row r="162" spans="1:15" outlineLevel="1" x14ac:dyDescent="0.2">
      <c r="A162" s="20">
        <f t="shared" si="126"/>
        <v>3541</v>
      </c>
      <c r="B162" s="19" t="str">
        <f t="shared" si="126"/>
        <v>Angelo</v>
      </c>
      <c r="C162" s="90"/>
      <c r="D162" s="102">
        <f t="shared" ref="D162:N162" si="142">RANK(D208,$D208:$N208)</f>
        <v>2</v>
      </c>
      <c r="E162" s="103">
        <f t="shared" si="142"/>
        <v>4</v>
      </c>
      <c r="F162" s="103">
        <f t="shared" si="142"/>
        <v>8</v>
      </c>
      <c r="G162" s="104">
        <f t="shared" si="142"/>
        <v>8</v>
      </c>
      <c r="H162" s="102">
        <f t="shared" si="142"/>
        <v>8</v>
      </c>
      <c r="I162" s="104">
        <f t="shared" si="142"/>
        <v>8</v>
      </c>
      <c r="J162" s="102">
        <f t="shared" si="142"/>
        <v>7</v>
      </c>
      <c r="K162" s="102">
        <f t="shared" si="142"/>
        <v>1</v>
      </c>
      <c r="L162" s="102">
        <f t="shared" si="142"/>
        <v>6</v>
      </c>
      <c r="M162" s="103">
        <f t="shared" si="142"/>
        <v>5</v>
      </c>
      <c r="N162" s="104">
        <f t="shared" si="142"/>
        <v>3</v>
      </c>
      <c r="O162" s="85"/>
    </row>
    <row r="163" spans="1:15" outlineLevel="1" x14ac:dyDescent="0.2">
      <c r="A163" s="20">
        <f t="shared" ref="A163:B168" si="143">A122</f>
        <v>3646</v>
      </c>
      <c r="B163" s="19" t="str">
        <f t="shared" si="143"/>
        <v>TWU</v>
      </c>
      <c r="C163" s="90"/>
      <c r="D163" s="102">
        <f t="shared" ref="D163:N163" si="144">RANK(D209,$D209:$N209)</f>
        <v>2</v>
      </c>
      <c r="E163" s="103">
        <f t="shared" si="144"/>
        <v>3</v>
      </c>
      <c r="F163" s="103">
        <f t="shared" si="144"/>
        <v>8</v>
      </c>
      <c r="G163" s="104">
        <f t="shared" si="144"/>
        <v>8</v>
      </c>
      <c r="H163" s="102">
        <f t="shared" si="144"/>
        <v>8</v>
      </c>
      <c r="I163" s="104">
        <f t="shared" si="144"/>
        <v>8</v>
      </c>
      <c r="J163" s="102">
        <f t="shared" si="144"/>
        <v>4</v>
      </c>
      <c r="K163" s="102">
        <f t="shared" si="144"/>
        <v>1</v>
      </c>
      <c r="L163" s="102">
        <f t="shared" si="144"/>
        <v>5</v>
      </c>
      <c r="M163" s="103">
        <f t="shared" si="144"/>
        <v>6</v>
      </c>
      <c r="N163" s="104">
        <f t="shared" si="144"/>
        <v>7</v>
      </c>
      <c r="O163" s="85"/>
    </row>
    <row r="164" spans="1:15" outlineLevel="1" x14ac:dyDescent="0.2">
      <c r="A164" s="20">
        <f t="shared" si="143"/>
        <v>3581</v>
      </c>
      <c r="B164" s="19" t="str">
        <f t="shared" si="143"/>
        <v>Lamar</v>
      </c>
      <c r="C164" s="90"/>
      <c r="D164" s="102">
        <f t="shared" ref="D164:N164" si="145">RANK(D210,$D210:$N210)</f>
        <v>2</v>
      </c>
      <c r="E164" s="103">
        <f t="shared" si="145"/>
        <v>6</v>
      </c>
      <c r="F164" s="103">
        <f t="shared" si="145"/>
        <v>8</v>
      </c>
      <c r="G164" s="104">
        <f t="shared" si="145"/>
        <v>8</v>
      </c>
      <c r="H164" s="102">
        <f t="shared" si="145"/>
        <v>8</v>
      </c>
      <c r="I164" s="104">
        <f t="shared" si="145"/>
        <v>8</v>
      </c>
      <c r="J164" s="102">
        <f t="shared" si="145"/>
        <v>7</v>
      </c>
      <c r="K164" s="102">
        <f t="shared" si="145"/>
        <v>1</v>
      </c>
      <c r="L164" s="102">
        <f t="shared" si="145"/>
        <v>5</v>
      </c>
      <c r="M164" s="103">
        <f t="shared" si="145"/>
        <v>4</v>
      </c>
      <c r="N164" s="104">
        <f t="shared" si="145"/>
        <v>3</v>
      </c>
      <c r="O164" s="85"/>
    </row>
    <row r="165" spans="1:15" outlineLevel="1" x14ac:dyDescent="0.2">
      <c r="A165" s="20">
        <f t="shared" si="143"/>
        <v>3606</v>
      </c>
      <c r="B165" s="19" t="str">
        <f t="shared" si="143"/>
        <v>SHSU</v>
      </c>
      <c r="C165" s="90"/>
      <c r="D165" s="102">
        <f t="shared" ref="D165:N165" si="146">RANK(D211,$D211:$N211)</f>
        <v>2</v>
      </c>
      <c r="E165" s="103">
        <f t="shared" si="146"/>
        <v>3</v>
      </c>
      <c r="F165" s="103">
        <f t="shared" si="146"/>
        <v>8</v>
      </c>
      <c r="G165" s="104">
        <f t="shared" si="146"/>
        <v>8</v>
      </c>
      <c r="H165" s="102">
        <f t="shared" si="146"/>
        <v>8</v>
      </c>
      <c r="I165" s="104">
        <f t="shared" si="146"/>
        <v>8</v>
      </c>
      <c r="J165" s="102">
        <f t="shared" si="146"/>
        <v>7</v>
      </c>
      <c r="K165" s="102">
        <f t="shared" si="146"/>
        <v>1</v>
      </c>
      <c r="L165" s="102">
        <f t="shared" si="146"/>
        <v>6</v>
      </c>
      <c r="M165" s="103">
        <f t="shared" si="146"/>
        <v>5</v>
      </c>
      <c r="N165" s="104">
        <f t="shared" si="146"/>
        <v>4</v>
      </c>
      <c r="O165" s="85"/>
    </row>
    <row r="166" spans="1:15" outlineLevel="1" x14ac:dyDescent="0.2">
      <c r="A166" s="20">
        <f t="shared" si="143"/>
        <v>3615</v>
      </c>
      <c r="B166" s="19" t="str">
        <f t="shared" si="143"/>
        <v>TXST</v>
      </c>
      <c r="C166" s="90"/>
      <c r="D166" s="102">
        <f t="shared" ref="D166:N166" si="147">RANK(D212,$D212:$N212)</f>
        <v>2</v>
      </c>
      <c r="E166" s="103">
        <f t="shared" si="147"/>
        <v>3</v>
      </c>
      <c r="F166" s="103">
        <f t="shared" si="147"/>
        <v>8</v>
      </c>
      <c r="G166" s="104">
        <f t="shared" si="147"/>
        <v>8</v>
      </c>
      <c r="H166" s="102">
        <f t="shared" si="147"/>
        <v>8</v>
      </c>
      <c r="I166" s="104">
        <f t="shared" si="147"/>
        <v>8</v>
      </c>
      <c r="J166" s="102">
        <f t="shared" si="147"/>
        <v>7</v>
      </c>
      <c r="K166" s="102">
        <f t="shared" si="147"/>
        <v>1</v>
      </c>
      <c r="L166" s="102">
        <f t="shared" si="147"/>
        <v>6</v>
      </c>
      <c r="M166" s="103">
        <f t="shared" si="147"/>
        <v>5</v>
      </c>
      <c r="N166" s="104">
        <f t="shared" si="147"/>
        <v>4</v>
      </c>
      <c r="O166" s="85"/>
    </row>
    <row r="167" spans="1:15" outlineLevel="1" x14ac:dyDescent="0.2">
      <c r="A167" s="20">
        <f t="shared" si="143"/>
        <v>3625</v>
      </c>
      <c r="B167" s="19" t="str">
        <f t="shared" si="143"/>
        <v>SRSU</v>
      </c>
      <c r="C167" s="90"/>
      <c r="D167" s="102">
        <f t="shared" ref="D167:N167" si="148">RANK(D213,$D213:$N213)</f>
        <v>2</v>
      </c>
      <c r="E167" s="103">
        <f t="shared" si="148"/>
        <v>6</v>
      </c>
      <c r="F167" s="103">
        <f t="shared" si="148"/>
        <v>8</v>
      </c>
      <c r="G167" s="104">
        <f t="shared" si="148"/>
        <v>8</v>
      </c>
      <c r="H167" s="102">
        <f t="shared" si="148"/>
        <v>8</v>
      </c>
      <c r="I167" s="104">
        <f t="shared" si="148"/>
        <v>8</v>
      </c>
      <c r="J167" s="102">
        <f t="shared" si="148"/>
        <v>7</v>
      </c>
      <c r="K167" s="102">
        <f t="shared" si="148"/>
        <v>1</v>
      </c>
      <c r="L167" s="102">
        <f t="shared" si="148"/>
        <v>4</v>
      </c>
      <c r="M167" s="103">
        <f t="shared" si="148"/>
        <v>5</v>
      </c>
      <c r="N167" s="104">
        <f t="shared" si="148"/>
        <v>3</v>
      </c>
      <c r="O167" s="85"/>
    </row>
    <row r="168" spans="1:15" ht="13.5" outlineLevel="1" thickBot="1" x14ac:dyDescent="0.25">
      <c r="A168" s="136">
        <f t="shared" si="143"/>
        <v>20</v>
      </c>
      <c r="B168" s="137" t="str">
        <f t="shared" si="143"/>
        <v>SRRG</v>
      </c>
      <c r="C168" s="138"/>
      <c r="D168" s="139">
        <f t="shared" ref="D168:N168" si="149">RANK(D214,$D214:$N214)</f>
        <v>2</v>
      </c>
      <c r="E168" s="140">
        <f t="shared" si="149"/>
        <v>5</v>
      </c>
      <c r="F168" s="140">
        <f t="shared" si="149"/>
        <v>8</v>
      </c>
      <c r="G168" s="141">
        <f t="shared" si="149"/>
        <v>8</v>
      </c>
      <c r="H168" s="139">
        <f t="shared" si="149"/>
        <v>8</v>
      </c>
      <c r="I168" s="141">
        <f t="shared" si="149"/>
        <v>8</v>
      </c>
      <c r="J168" s="139">
        <f t="shared" si="149"/>
        <v>3</v>
      </c>
      <c r="K168" s="139">
        <f t="shared" si="149"/>
        <v>1</v>
      </c>
      <c r="L168" s="139">
        <f t="shared" si="149"/>
        <v>4</v>
      </c>
      <c r="M168" s="140">
        <f t="shared" si="149"/>
        <v>6</v>
      </c>
      <c r="N168" s="141">
        <f t="shared" si="149"/>
        <v>7</v>
      </c>
      <c r="O168" s="85"/>
    </row>
    <row r="169" spans="1:15" ht="13.5" thickBot="1" x14ac:dyDescent="0.25">
      <c r="C169" s="90"/>
      <c r="D169" s="91"/>
      <c r="E169" s="91"/>
      <c r="F169" s="91"/>
      <c r="G169" s="91"/>
      <c r="H169" s="91"/>
      <c r="I169" s="91"/>
      <c r="J169" s="91"/>
      <c r="K169" s="91"/>
      <c r="L169" s="91"/>
      <c r="M169" s="91"/>
      <c r="N169" s="91"/>
      <c r="O169" s="85"/>
    </row>
    <row r="170" spans="1:15" x14ac:dyDescent="0.2">
      <c r="D170" s="113">
        <v>1</v>
      </c>
      <c r="E170" s="114">
        <v>2</v>
      </c>
      <c r="F170" s="114">
        <v>3</v>
      </c>
      <c r="G170" s="114">
        <v>4</v>
      </c>
      <c r="H170" s="114">
        <v>5</v>
      </c>
      <c r="I170" s="114">
        <v>6</v>
      </c>
      <c r="J170" s="114">
        <v>7</v>
      </c>
      <c r="K170" s="114">
        <v>8</v>
      </c>
      <c r="L170" s="114">
        <v>9</v>
      </c>
      <c r="M170" s="114">
        <v>10</v>
      </c>
      <c r="N170" s="115" t="s">
        <v>11</v>
      </c>
    </row>
    <row r="171" spans="1:15" ht="13.5" thickBot="1" x14ac:dyDescent="0.25">
      <c r="D171" s="178">
        <v>0.3</v>
      </c>
      <c r="E171" s="179">
        <v>0.25</v>
      </c>
      <c r="F171" s="180">
        <v>0.2</v>
      </c>
      <c r="G171" s="181">
        <v>0.15</v>
      </c>
      <c r="H171" s="144">
        <v>7.4999999999999997E-2</v>
      </c>
      <c r="I171" s="182">
        <v>0.05</v>
      </c>
      <c r="J171" s="146">
        <v>2.5000000000000001E-2</v>
      </c>
      <c r="K171" s="183">
        <v>0</v>
      </c>
      <c r="L171" s="185">
        <v>0</v>
      </c>
      <c r="M171" s="184">
        <v>0</v>
      </c>
      <c r="N171" s="112">
        <f>SUM(D171:M171)</f>
        <v>1.0499999999999998</v>
      </c>
    </row>
    <row r="172" spans="1:15" x14ac:dyDescent="0.2">
      <c r="C172" s="90"/>
      <c r="D172" s="91"/>
      <c r="E172" s="91"/>
      <c r="F172" s="91"/>
      <c r="G172" s="91"/>
      <c r="H172" s="91"/>
      <c r="I172" s="91"/>
      <c r="J172" s="91"/>
      <c r="K172" s="91"/>
      <c r="L172" s="91"/>
      <c r="M172" s="91"/>
      <c r="N172" s="91"/>
      <c r="O172" s="85"/>
    </row>
    <row r="173" spans="1:15" ht="13.5" thickBot="1" x14ac:dyDescent="0.25">
      <c r="A173" s="57" t="s">
        <v>75</v>
      </c>
    </row>
    <row r="174" spans="1:15" ht="12.75" customHeight="1" outlineLevel="1" x14ac:dyDescent="0.2">
      <c r="A174" s="234" t="s">
        <v>24</v>
      </c>
      <c r="B174" s="236" t="s">
        <v>23</v>
      </c>
      <c r="C174" s="238" t="s">
        <v>36</v>
      </c>
      <c r="D174" s="247" t="s">
        <v>35</v>
      </c>
      <c r="E174" s="248"/>
      <c r="F174" s="248"/>
      <c r="G174" s="249"/>
      <c r="H174" s="250" t="s">
        <v>18</v>
      </c>
      <c r="I174" s="225" t="s">
        <v>17</v>
      </c>
      <c r="J174" s="227" t="str">
        <f>J3</f>
        <v>Under Graduate Transfer Degrees</v>
      </c>
      <c r="K174" s="227" t="s">
        <v>16</v>
      </c>
      <c r="L174" s="229" t="s">
        <v>34</v>
      </c>
      <c r="M174" s="230"/>
      <c r="N174" s="231"/>
      <c r="O174" s="277"/>
    </row>
    <row r="175" spans="1:15" ht="51.75" outlineLevel="1" thickBot="1" x14ac:dyDescent="0.25">
      <c r="A175" s="273"/>
      <c r="B175" s="270"/>
      <c r="C175" s="274"/>
      <c r="D175" s="152"/>
      <c r="E175" s="123" t="s">
        <v>33</v>
      </c>
      <c r="F175" s="123" t="s">
        <v>32</v>
      </c>
      <c r="G175" s="212" t="s">
        <v>31</v>
      </c>
      <c r="H175" s="264"/>
      <c r="I175" s="265"/>
      <c r="J175" s="266"/>
      <c r="K175" s="266"/>
      <c r="L175" s="125" t="s">
        <v>14</v>
      </c>
      <c r="M175" s="126" t="s">
        <v>13</v>
      </c>
      <c r="N175" s="135" t="s">
        <v>12</v>
      </c>
      <c r="O175" s="277"/>
    </row>
    <row r="176" spans="1:15" outlineLevel="1" x14ac:dyDescent="0.2">
      <c r="A176" s="244" t="s">
        <v>78</v>
      </c>
      <c r="B176" s="245"/>
      <c r="C176" s="246"/>
      <c r="D176" s="129">
        <v>5</v>
      </c>
      <c r="E176" s="130">
        <v>7</v>
      </c>
      <c r="F176" s="130">
        <v>0</v>
      </c>
      <c r="G176" s="131">
        <v>0</v>
      </c>
      <c r="H176" s="132">
        <v>0</v>
      </c>
      <c r="I176" s="133">
        <v>0</v>
      </c>
      <c r="J176" s="134">
        <v>5</v>
      </c>
      <c r="K176" s="134">
        <v>8</v>
      </c>
      <c r="L176" s="129">
        <v>1.7</v>
      </c>
      <c r="M176" s="130">
        <v>2.5</v>
      </c>
      <c r="N176" s="131">
        <v>4.4000000000000004</v>
      </c>
    </row>
    <row r="177" spans="1:15" outlineLevel="1" x14ac:dyDescent="0.2">
      <c r="A177" s="20">
        <f t="shared" ref="A177:B192" si="150">A5</f>
        <v>3656</v>
      </c>
      <c r="B177" s="19" t="str">
        <f t="shared" si="150"/>
        <v>UTA</v>
      </c>
      <c r="C177" s="55">
        <f t="shared" ref="C177:C214" si="151">SUM(D177:N177)</f>
        <v>108235.71</v>
      </c>
      <c r="D177" s="15">
        <f t="shared" ref="D177:F192" si="152">D219*D$176</f>
        <v>25090</v>
      </c>
      <c r="E177" s="14">
        <f>E219*E$176</f>
        <v>18206.976666666669</v>
      </c>
      <c r="F177" s="14">
        <f>F219*F$176</f>
        <v>0</v>
      </c>
      <c r="G177" s="13">
        <f t="shared" ref="G177:N192" si="153">G219*G$176</f>
        <v>0</v>
      </c>
      <c r="H177" s="36">
        <f t="shared" si="153"/>
        <v>0</v>
      </c>
      <c r="I177" s="35">
        <f t="shared" si="153"/>
        <v>0</v>
      </c>
      <c r="J177" s="34">
        <f t="shared" ref="J177" si="154">J219*J$176</f>
        <v>10956.666666666668</v>
      </c>
      <c r="K177" s="34">
        <f t="shared" si="153"/>
        <v>24928</v>
      </c>
      <c r="L177" s="36">
        <f t="shared" si="153"/>
        <v>11621.766666666666</v>
      </c>
      <c r="M177" s="56">
        <f t="shared" si="153"/>
        <v>9584.1666666666661</v>
      </c>
      <c r="N177" s="35">
        <f t="shared" si="153"/>
        <v>7848.1333333333341</v>
      </c>
      <c r="O177" s="153"/>
    </row>
    <row r="178" spans="1:15" outlineLevel="1" x14ac:dyDescent="0.2">
      <c r="A178" s="20">
        <f t="shared" si="150"/>
        <v>3658</v>
      </c>
      <c r="B178" s="19" t="str">
        <f t="shared" si="150"/>
        <v>UT</v>
      </c>
      <c r="C178" s="55">
        <f t="shared" si="151"/>
        <v>200393.70566666668</v>
      </c>
      <c r="D178" s="15">
        <f t="shared" si="152"/>
        <v>44731.666666666672</v>
      </c>
      <c r="E178" s="14">
        <f t="shared" si="152"/>
        <v>51915.572333333344</v>
      </c>
      <c r="F178" s="14">
        <f t="shared" si="152"/>
        <v>0</v>
      </c>
      <c r="G178" s="13">
        <f t="shared" si="153"/>
        <v>0</v>
      </c>
      <c r="H178" s="15">
        <f t="shared" si="153"/>
        <v>0</v>
      </c>
      <c r="I178" s="13">
        <f t="shared" si="153"/>
        <v>0</v>
      </c>
      <c r="J178" s="16">
        <f t="shared" ref="J178" si="155">J220*J$176</f>
        <v>6175</v>
      </c>
      <c r="K178" s="16">
        <f t="shared" si="153"/>
        <v>27762.666666666668</v>
      </c>
      <c r="L178" s="15">
        <f t="shared" si="153"/>
        <v>16317.166666666668</v>
      </c>
      <c r="M178" s="14">
        <f t="shared" si="153"/>
        <v>22514.166666666664</v>
      </c>
      <c r="N178" s="13">
        <f t="shared" si="153"/>
        <v>30977.466666666667</v>
      </c>
      <c r="O178" s="85"/>
    </row>
    <row r="179" spans="1:15" outlineLevel="1" x14ac:dyDescent="0.2">
      <c r="A179" s="20">
        <f t="shared" si="150"/>
        <v>9741</v>
      </c>
      <c r="B179" s="19" t="str">
        <f t="shared" si="150"/>
        <v>UTD</v>
      </c>
      <c r="C179" s="55">
        <f t="shared" si="151"/>
        <v>55178.486333333341</v>
      </c>
      <c r="D179" s="15">
        <f t="shared" si="152"/>
        <v>11965</v>
      </c>
      <c r="E179" s="14">
        <f t="shared" si="152"/>
        <v>11775.953</v>
      </c>
      <c r="F179" s="14">
        <f t="shared" si="152"/>
        <v>0</v>
      </c>
      <c r="G179" s="13">
        <f t="shared" si="153"/>
        <v>0</v>
      </c>
      <c r="H179" s="15">
        <f t="shared" si="153"/>
        <v>0</v>
      </c>
      <c r="I179" s="13">
        <f t="shared" si="153"/>
        <v>0</v>
      </c>
      <c r="J179" s="16">
        <f t="shared" ref="J179" si="156">J221*J$176</f>
        <v>5415</v>
      </c>
      <c r="K179" s="16">
        <f t="shared" si="153"/>
        <v>10557.333333333334</v>
      </c>
      <c r="L179" s="15">
        <f t="shared" si="153"/>
        <v>5635.5</v>
      </c>
      <c r="M179" s="14">
        <f t="shared" si="153"/>
        <v>5335.8333333333339</v>
      </c>
      <c r="N179" s="13">
        <f t="shared" si="153"/>
        <v>4493.8666666666668</v>
      </c>
      <c r="O179" s="85"/>
    </row>
    <row r="180" spans="1:15" outlineLevel="1" x14ac:dyDescent="0.2">
      <c r="A180" s="20">
        <f t="shared" si="150"/>
        <v>3661</v>
      </c>
      <c r="B180" s="19" t="str">
        <f t="shared" si="150"/>
        <v>UTEP</v>
      </c>
      <c r="C180" s="55">
        <f t="shared" si="151"/>
        <v>73436.543333333335</v>
      </c>
      <c r="D180" s="15">
        <f t="shared" si="152"/>
        <v>15285</v>
      </c>
      <c r="E180" s="14">
        <f t="shared" si="152"/>
        <v>8345.6099999999988</v>
      </c>
      <c r="F180" s="14">
        <f t="shared" si="152"/>
        <v>0</v>
      </c>
      <c r="G180" s="13">
        <f t="shared" si="153"/>
        <v>0</v>
      </c>
      <c r="H180" s="15">
        <f t="shared" si="153"/>
        <v>0</v>
      </c>
      <c r="I180" s="13">
        <f t="shared" si="153"/>
        <v>0</v>
      </c>
      <c r="J180" s="16">
        <f t="shared" ref="J180" si="157">J222*J$176</f>
        <v>5673.3333333333339</v>
      </c>
      <c r="K180" s="16">
        <f t="shared" si="153"/>
        <v>19714.666666666668</v>
      </c>
      <c r="L180" s="15">
        <f t="shared" si="153"/>
        <v>7416.5333333333338</v>
      </c>
      <c r="M180" s="14">
        <f t="shared" si="153"/>
        <v>8395</v>
      </c>
      <c r="N180" s="13">
        <f t="shared" si="153"/>
        <v>8606.4000000000015</v>
      </c>
      <c r="O180" s="85"/>
    </row>
    <row r="181" spans="1:15" outlineLevel="1" x14ac:dyDescent="0.2">
      <c r="A181" s="20">
        <f t="shared" si="150"/>
        <v>3599</v>
      </c>
      <c r="B181" s="19" t="str">
        <f t="shared" si="150"/>
        <v>UTPA</v>
      </c>
      <c r="C181" s="55">
        <f t="shared" si="151"/>
        <v>67111.66</v>
      </c>
      <c r="D181" s="15">
        <f t="shared" si="152"/>
        <v>12900</v>
      </c>
      <c r="E181" s="14">
        <f t="shared" si="152"/>
        <v>7783.8600000000006</v>
      </c>
      <c r="F181" s="14">
        <f t="shared" si="152"/>
        <v>0</v>
      </c>
      <c r="G181" s="13">
        <f t="shared" si="153"/>
        <v>0</v>
      </c>
      <c r="H181" s="15">
        <f t="shared" si="153"/>
        <v>0</v>
      </c>
      <c r="I181" s="13">
        <f t="shared" si="153"/>
        <v>0</v>
      </c>
      <c r="J181" s="16">
        <f t="shared" ref="J181" si="158">J223*J$176</f>
        <v>4520</v>
      </c>
      <c r="K181" s="16">
        <f t="shared" si="153"/>
        <v>18706.666666666668</v>
      </c>
      <c r="L181" s="15">
        <f t="shared" si="153"/>
        <v>6928.0666666666666</v>
      </c>
      <c r="M181" s="14">
        <f t="shared" si="153"/>
        <v>7740</v>
      </c>
      <c r="N181" s="13">
        <f t="shared" si="153"/>
        <v>8533.0666666666675</v>
      </c>
      <c r="O181" s="85"/>
    </row>
    <row r="182" spans="1:15" outlineLevel="1" x14ac:dyDescent="0.2">
      <c r="A182" s="20">
        <f t="shared" si="150"/>
        <v>30646</v>
      </c>
      <c r="B182" s="19" t="str">
        <f t="shared" si="150"/>
        <v>UTB</v>
      </c>
      <c r="C182" s="55">
        <f t="shared" si="151"/>
        <v>25919.063138257807</v>
      </c>
      <c r="D182" s="15">
        <f t="shared" si="152"/>
        <v>5460</v>
      </c>
      <c r="E182" s="14">
        <f t="shared" si="152"/>
        <v>4397.1964715911399</v>
      </c>
      <c r="F182" s="14">
        <f t="shared" si="152"/>
        <v>0</v>
      </c>
      <c r="G182" s="13">
        <f t="shared" si="153"/>
        <v>0</v>
      </c>
      <c r="H182" s="15">
        <f t="shared" si="153"/>
        <v>0</v>
      </c>
      <c r="I182" s="13">
        <f t="shared" si="153"/>
        <v>0</v>
      </c>
      <c r="J182" s="16">
        <f t="shared" ref="J182" si="159">J224*J$176</f>
        <v>4480</v>
      </c>
      <c r="K182" s="16">
        <f t="shared" si="153"/>
        <v>7493.333333333333</v>
      </c>
      <c r="L182" s="15">
        <f t="shared" si="153"/>
        <v>2254.7666666666664</v>
      </c>
      <c r="M182" s="14">
        <f t="shared" si="153"/>
        <v>1390.8333333333335</v>
      </c>
      <c r="N182" s="13">
        <f t="shared" si="153"/>
        <v>442.93333333333339</v>
      </c>
      <c r="O182" s="85"/>
    </row>
    <row r="183" spans="1:15" outlineLevel="1" x14ac:dyDescent="0.2">
      <c r="A183" s="20">
        <f t="shared" si="150"/>
        <v>9930</v>
      </c>
      <c r="B183" s="19" t="str">
        <f t="shared" si="150"/>
        <v>UTPB</v>
      </c>
      <c r="C183" s="55">
        <f t="shared" si="151"/>
        <v>12177.800000000001</v>
      </c>
      <c r="D183" s="15">
        <f t="shared" si="152"/>
        <v>2666.666666666667</v>
      </c>
      <c r="E183" s="14">
        <f t="shared" si="152"/>
        <v>1657.6000000000001</v>
      </c>
      <c r="F183" s="14">
        <f t="shared" si="152"/>
        <v>0</v>
      </c>
      <c r="G183" s="13">
        <f t="shared" si="153"/>
        <v>0</v>
      </c>
      <c r="H183" s="15">
        <f t="shared" si="153"/>
        <v>0</v>
      </c>
      <c r="I183" s="13">
        <f t="shared" si="153"/>
        <v>0</v>
      </c>
      <c r="J183" s="16">
        <f t="shared" ref="J183" si="160">J225*J$176</f>
        <v>1241.6666666666667</v>
      </c>
      <c r="K183" s="16">
        <f t="shared" si="153"/>
        <v>3192</v>
      </c>
      <c r="L183" s="15">
        <f t="shared" si="153"/>
        <v>1335.6333333333332</v>
      </c>
      <c r="M183" s="14">
        <f t="shared" si="153"/>
        <v>1229.1666666666667</v>
      </c>
      <c r="N183" s="13">
        <f t="shared" si="153"/>
        <v>855.06666666666683</v>
      </c>
      <c r="O183" s="85"/>
    </row>
    <row r="184" spans="1:15" outlineLevel="1" x14ac:dyDescent="0.2">
      <c r="A184" s="20">
        <f t="shared" si="150"/>
        <v>10115</v>
      </c>
      <c r="B184" s="19" t="str">
        <f t="shared" si="150"/>
        <v>UTSA</v>
      </c>
      <c r="C184" s="55">
        <f t="shared" si="151"/>
        <v>99011.249444444446</v>
      </c>
      <c r="D184" s="15">
        <f t="shared" si="152"/>
        <v>20598.333333333336</v>
      </c>
      <c r="E184" s="14">
        <f t="shared" si="152"/>
        <v>12159.882777777779</v>
      </c>
      <c r="F184" s="14">
        <f t="shared" si="152"/>
        <v>0</v>
      </c>
      <c r="G184" s="13">
        <f t="shared" si="153"/>
        <v>0</v>
      </c>
      <c r="H184" s="15">
        <f t="shared" si="153"/>
        <v>0</v>
      </c>
      <c r="I184" s="13">
        <f t="shared" si="153"/>
        <v>0</v>
      </c>
      <c r="J184" s="16">
        <f t="shared" ref="J184" si="161">J226*J$176</f>
        <v>7031.6666666666661</v>
      </c>
      <c r="K184" s="16">
        <f t="shared" si="153"/>
        <v>24989.333333333332</v>
      </c>
      <c r="L184" s="15">
        <f t="shared" si="153"/>
        <v>11576.433333333334</v>
      </c>
      <c r="M184" s="14">
        <f t="shared" si="153"/>
        <v>11146.666666666668</v>
      </c>
      <c r="N184" s="13">
        <f t="shared" si="153"/>
        <v>11508.933333333334</v>
      </c>
      <c r="O184" s="85"/>
    </row>
    <row r="185" spans="1:15" outlineLevel="1" x14ac:dyDescent="0.2">
      <c r="A185" s="20">
        <f t="shared" si="150"/>
        <v>11163</v>
      </c>
      <c r="B185" s="19" t="str">
        <f t="shared" si="150"/>
        <v>UTT</v>
      </c>
      <c r="C185" s="55">
        <f t="shared" si="151"/>
        <v>27336.870000000003</v>
      </c>
      <c r="D185" s="15">
        <f t="shared" si="152"/>
        <v>5950</v>
      </c>
      <c r="E185" s="14">
        <f t="shared" si="152"/>
        <v>4295.503333333334</v>
      </c>
      <c r="F185" s="14">
        <f t="shared" si="152"/>
        <v>0</v>
      </c>
      <c r="G185" s="13">
        <f t="shared" si="153"/>
        <v>0</v>
      </c>
      <c r="H185" s="15">
        <f t="shared" si="153"/>
        <v>0</v>
      </c>
      <c r="I185" s="13">
        <f t="shared" si="153"/>
        <v>0</v>
      </c>
      <c r="J185" s="16">
        <f t="shared" ref="J185" si="162">J227*J$176</f>
        <v>3181.666666666667</v>
      </c>
      <c r="K185" s="16">
        <f t="shared" si="153"/>
        <v>7538.666666666667</v>
      </c>
      <c r="L185" s="15">
        <f t="shared" si="153"/>
        <v>2441.7666666666664</v>
      </c>
      <c r="M185" s="14">
        <f t="shared" si="153"/>
        <v>2225</v>
      </c>
      <c r="N185" s="13">
        <f t="shared" si="153"/>
        <v>1704.2666666666667</v>
      </c>
      <c r="O185" s="85"/>
    </row>
    <row r="186" spans="1:15" outlineLevel="1" x14ac:dyDescent="0.2">
      <c r="A186" s="20">
        <f t="shared" si="150"/>
        <v>3632</v>
      </c>
      <c r="B186" s="19" t="str">
        <f t="shared" si="150"/>
        <v>TAMU</v>
      </c>
      <c r="C186" s="55">
        <f t="shared" si="151"/>
        <v>206469.89177777775</v>
      </c>
      <c r="D186" s="15">
        <f t="shared" si="152"/>
        <v>43698.333333333328</v>
      </c>
      <c r="E186" s="14">
        <f t="shared" si="152"/>
        <v>51430.025111111099</v>
      </c>
      <c r="F186" s="14">
        <f t="shared" si="152"/>
        <v>0</v>
      </c>
      <c r="G186" s="13">
        <f t="shared" si="153"/>
        <v>0</v>
      </c>
      <c r="H186" s="15">
        <f t="shared" si="153"/>
        <v>0</v>
      </c>
      <c r="I186" s="13">
        <f t="shared" si="153"/>
        <v>0</v>
      </c>
      <c r="J186" s="16">
        <f t="shared" ref="J186" si="163">J228*J$176</f>
        <v>11828.333333333332</v>
      </c>
      <c r="K186" s="16">
        <f t="shared" si="153"/>
        <v>29792</v>
      </c>
      <c r="L186" s="15">
        <f t="shared" si="153"/>
        <v>17103.133333333331</v>
      </c>
      <c r="M186" s="14">
        <f t="shared" si="153"/>
        <v>22268.333333333336</v>
      </c>
      <c r="N186" s="13">
        <f t="shared" si="153"/>
        <v>30349.733333333337</v>
      </c>
      <c r="O186" s="85"/>
    </row>
    <row r="187" spans="1:15" outlineLevel="1" x14ac:dyDescent="0.2">
      <c r="A187" s="20">
        <f t="shared" si="150"/>
        <v>10298</v>
      </c>
      <c r="B187" s="19" t="str">
        <f t="shared" si="150"/>
        <v>TAMUG</v>
      </c>
      <c r="C187" s="55">
        <f t="shared" si="151"/>
        <v>7074.1137777777767</v>
      </c>
      <c r="D187" s="15">
        <f>D229*D$176</f>
        <v>1376.6666666666665</v>
      </c>
      <c r="E187" s="14">
        <f t="shared" si="152"/>
        <v>1209.0804444444445</v>
      </c>
      <c r="F187" s="14">
        <f t="shared" si="152"/>
        <v>0</v>
      </c>
      <c r="G187" s="13">
        <f t="shared" si="153"/>
        <v>0</v>
      </c>
      <c r="H187" s="15">
        <f t="shared" si="153"/>
        <v>0</v>
      </c>
      <c r="I187" s="13">
        <f t="shared" si="153"/>
        <v>0</v>
      </c>
      <c r="J187" s="16">
        <f t="shared" ref="J187" si="164">J229*J$176</f>
        <v>340</v>
      </c>
      <c r="K187" s="16">
        <f t="shared" si="153"/>
        <v>1264</v>
      </c>
      <c r="L187" s="15">
        <f t="shared" si="153"/>
        <v>1006.9666666666667</v>
      </c>
      <c r="M187" s="14">
        <f t="shared" si="153"/>
        <v>795</v>
      </c>
      <c r="N187" s="13">
        <f t="shared" si="153"/>
        <v>1082.4000000000001</v>
      </c>
      <c r="O187" s="85"/>
    </row>
    <row r="188" spans="1:15" outlineLevel="1" x14ac:dyDescent="0.2">
      <c r="A188" s="20">
        <f t="shared" si="150"/>
        <v>3630</v>
      </c>
      <c r="B188" s="19" t="str">
        <f t="shared" si="150"/>
        <v>Prairie View</v>
      </c>
      <c r="C188" s="55">
        <f t="shared" si="151"/>
        <v>24125.593888888889</v>
      </c>
      <c r="D188" s="15">
        <f t="shared" ref="D188:N203" si="165">D230*D$176</f>
        <v>4681.666666666667</v>
      </c>
      <c r="E188" s="14">
        <f t="shared" si="152"/>
        <v>2436.027222222222</v>
      </c>
      <c r="F188" s="14">
        <f t="shared" si="152"/>
        <v>0</v>
      </c>
      <c r="G188" s="13">
        <f t="shared" si="153"/>
        <v>0</v>
      </c>
      <c r="H188" s="15">
        <f t="shared" si="153"/>
        <v>0</v>
      </c>
      <c r="I188" s="13">
        <f t="shared" si="153"/>
        <v>0</v>
      </c>
      <c r="J188" s="16">
        <f t="shared" ref="J188" si="166">J230*J$176</f>
        <v>815</v>
      </c>
      <c r="K188" s="16">
        <f t="shared" si="153"/>
        <v>6421.333333333333</v>
      </c>
      <c r="L188" s="15">
        <f t="shared" si="153"/>
        <v>2835.6</v>
      </c>
      <c r="M188" s="14">
        <f t="shared" si="153"/>
        <v>2952.5</v>
      </c>
      <c r="N188" s="13">
        <f t="shared" si="153"/>
        <v>3983.4666666666672</v>
      </c>
      <c r="O188" s="85"/>
    </row>
    <row r="189" spans="1:15" outlineLevel="1" x14ac:dyDescent="0.2">
      <c r="A189" s="20">
        <f t="shared" si="150"/>
        <v>3631</v>
      </c>
      <c r="B189" s="19" t="str">
        <f t="shared" si="150"/>
        <v>Tarleton</v>
      </c>
      <c r="C189" s="55">
        <f t="shared" si="151"/>
        <v>36355.451999999997</v>
      </c>
      <c r="D189" s="15">
        <f t="shared" si="165"/>
        <v>7726.6666666666661</v>
      </c>
      <c r="E189" s="14">
        <f t="shared" si="152"/>
        <v>5170.6853333333338</v>
      </c>
      <c r="F189" s="14">
        <f t="shared" si="152"/>
        <v>0</v>
      </c>
      <c r="G189" s="13">
        <f t="shared" si="153"/>
        <v>0</v>
      </c>
      <c r="H189" s="15">
        <f t="shared" si="153"/>
        <v>0</v>
      </c>
      <c r="I189" s="13">
        <f t="shared" si="153"/>
        <v>0</v>
      </c>
      <c r="J189" s="16">
        <f t="shared" ref="J189" si="167">J231*J$176</f>
        <v>3118.333333333333</v>
      </c>
      <c r="K189" s="16">
        <f t="shared" si="153"/>
        <v>9560</v>
      </c>
      <c r="L189" s="15">
        <f t="shared" si="153"/>
        <v>3662.3666666666668</v>
      </c>
      <c r="M189" s="14">
        <f t="shared" si="153"/>
        <v>3321.666666666667</v>
      </c>
      <c r="N189" s="13">
        <f t="shared" si="153"/>
        <v>3795.7333333333336</v>
      </c>
      <c r="O189" s="85"/>
    </row>
    <row r="190" spans="1:15" outlineLevel="1" x14ac:dyDescent="0.2">
      <c r="A190" s="27">
        <f t="shared" si="150"/>
        <v>103631</v>
      </c>
      <c r="B190" s="19" t="str">
        <f t="shared" si="150"/>
        <v>TAMUCT</v>
      </c>
      <c r="C190" s="55">
        <f t="shared" si="151"/>
        <v>8906.5419999999995</v>
      </c>
      <c r="D190" s="15">
        <f t="shared" si="165"/>
        <v>2301.6666666666665</v>
      </c>
      <c r="E190" s="14">
        <f t="shared" si="152"/>
        <v>1540.2753333333333</v>
      </c>
      <c r="F190" s="14">
        <f t="shared" si="152"/>
        <v>0</v>
      </c>
      <c r="G190" s="13">
        <f t="shared" si="153"/>
        <v>0</v>
      </c>
      <c r="H190" s="15">
        <f t="shared" si="153"/>
        <v>0</v>
      </c>
      <c r="I190" s="13">
        <f t="shared" si="153"/>
        <v>0</v>
      </c>
      <c r="J190" s="16">
        <f t="shared" ref="J190" si="168">J232*J$176</f>
        <v>1125</v>
      </c>
      <c r="K190" s="16">
        <f t="shared" si="153"/>
        <v>2616</v>
      </c>
      <c r="L190" s="15">
        <f t="shared" si="153"/>
        <v>841.5</v>
      </c>
      <c r="M190" s="14">
        <f t="shared" si="153"/>
        <v>332.5</v>
      </c>
      <c r="N190" s="13">
        <f t="shared" si="153"/>
        <v>149.60000000000002</v>
      </c>
      <c r="O190" s="85"/>
    </row>
    <row r="191" spans="1:15" outlineLevel="1" x14ac:dyDescent="0.2">
      <c r="A191" s="20">
        <f t="shared" si="150"/>
        <v>11161</v>
      </c>
      <c r="B191" s="19" t="str">
        <f t="shared" si="150"/>
        <v>TAMUCC</v>
      </c>
      <c r="C191" s="55">
        <f t="shared" si="151"/>
        <v>33963.379999999997</v>
      </c>
      <c r="D191" s="15">
        <f t="shared" si="165"/>
        <v>6941.6666666666661</v>
      </c>
      <c r="E191" s="14">
        <f t="shared" si="152"/>
        <v>4936.913333333333</v>
      </c>
      <c r="F191" s="14">
        <f t="shared" si="152"/>
        <v>0</v>
      </c>
      <c r="G191" s="13">
        <f t="shared" si="153"/>
        <v>0</v>
      </c>
      <c r="H191" s="15">
        <f t="shared" si="153"/>
        <v>0</v>
      </c>
      <c r="I191" s="13">
        <f t="shared" si="153"/>
        <v>0</v>
      </c>
      <c r="J191" s="16">
        <f t="shared" ref="J191" si="169">J233*J$176</f>
        <v>2418.3333333333335</v>
      </c>
      <c r="K191" s="16">
        <f t="shared" si="153"/>
        <v>8640</v>
      </c>
      <c r="L191" s="15">
        <f t="shared" si="153"/>
        <v>3491.7999999999997</v>
      </c>
      <c r="M191" s="14">
        <f t="shared" si="153"/>
        <v>3670</v>
      </c>
      <c r="N191" s="13">
        <f t="shared" si="153"/>
        <v>3864.666666666667</v>
      </c>
      <c r="O191" s="85"/>
    </row>
    <row r="192" spans="1:15" outlineLevel="1" x14ac:dyDescent="0.2">
      <c r="A192" s="20">
        <f t="shared" si="150"/>
        <v>3639</v>
      </c>
      <c r="B192" s="19" t="str">
        <f t="shared" si="150"/>
        <v>TAMUK</v>
      </c>
      <c r="C192" s="55">
        <f t="shared" si="151"/>
        <v>19110.540555555555</v>
      </c>
      <c r="D192" s="15">
        <f t="shared" si="165"/>
        <v>3808.333333333333</v>
      </c>
      <c r="E192" s="14">
        <f t="shared" si="152"/>
        <v>2145.1072222222224</v>
      </c>
      <c r="F192" s="14">
        <f t="shared" si="152"/>
        <v>0</v>
      </c>
      <c r="G192" s="13">
        <f t="shared" si="153"/>
        <v>0</v>
      </c>
      <c r="H192" s="15">
        <f t="shared" si="153"/>
        <v>0</v>
      </c>
      <c r="I192" s="13">
        <f t="shared" si="153"/>
        <v>0</v>
      </c>
      <c r="J192" s="16">
        <f t="shared" ref="J192" si="170">J234*J$176</f>
        <v>1276.6666666666667</v>
      </c>
      <c r="K192" s="16">
        <f t="shared" si="153"/>
        <v>5186.666666666667</v>
      </c>
      <c r="L192" s="15">
        <f t="shared" si="153"/>
        <v>2086.4666666666667</v>
      </c>
      <c r="M192" s="14">
        <f t="shared" si="153"/>
        <v>2149.1666666666665</v>
      </c>
      <c r="N192" s="13">
        <f t="shared" si="153"/>
        <v>2458.1333333333332</v>
      </c>
      <c r="O192" s="85"/>
    </row>
    <row r="193" spans="1:15" outlineLevel="1" x14ac:dyDescent="0.2">
      <c r="A193" s="27">
        <f t="shared" ref="A193:B208" si="171">A21</f>
        <v>103639</v>
      </c>
      <c r="B193" s="19" t="str">
        <f t="shared" si="171"/>
        <v>TAMUSA</v>
      </c>
      <c r="C193" s="55">
        <f t="shared" si="151"/>
        <v>11658.231888888888</v>
      </c>
      <c r="D193" s="15">
        <f t="shared" si="165"/>
        <v>2938.333333333333</v>
      </c>
      <c r="E193" s="14">
        <f t="shared" si="165"/>
        <v>1655.0652222222222</v>
      </c>
      <c r="F193" s="14">
        <f t="shared" si="165"/>
        <v>0</v>
      </c>
      <c r="G193" s="13">
        <f t="shared" si="165"/>
        <v>0</v>
      </c>
      <c r="H193" s="15">
        <f t="shared" si="165"/>
        <v>0</v>
      </c>
      <c r="I193" s="13">
        <f t="shared" si="165"/>
        <v>0</v>
      </c>
      <c r="J193" s="16">
        <f t="shared" ref="J193" si="172">J235*J$176</f>
        <v>1696.6666666666665</v>
      </c>
      <c r="K193" s="16">
        <f t="shared" si="165"/>
        <v>3922.6666666666665</v>
      </c>
      <c r="L193" s="15">
        <f t="shared" si="165"/>
        <v>1240.4333333333332</v>
      </c>
      <c r="M193" s="14">
        <f t="shared" si="165"/>
        <v>193.33333333333331</v>
      </c>
      <c r="N193" s="13">
        <f t="shared" si="165"/>
        <v>11.733333333333334</v>
      </c>
      <c r="O193" s="85"/>
    </row>
    <row r="194" spans="1:15" outlineLevel="1" x14ac:dyDescent="0.2">
      <c r="A194" s="20">
        <f t="shared" si="171"/>
        <v>9651</v>
      </c>
      <c r="B194" s="19" t="str">
        <f t="shared" si="171"/>
        <v>TAMI</v>
      </c>
      <c r="C194" s="55">
        <f t="shared" si="151"/>
        <v>21229.062222222223</v>
      </c>
      <c r="D194" s="15">
        <f t="shared" si="165"/>
        <v>3948.333333333333</v>
      </c>
      <c r="E194" s="14">
        <f t="shared" si="165"/>
        <v>2616.4288888888887</v>
      </c>
      <c r="F194" s="14">
        <f t="shared" si="165"/>
        <v>0</v>
      </c>
      <c r="G194" s="13">
        <f t="shared" si="165"/>
        <v>0</v>
      </c>
      <c r="H194" s="15">
        <f t="shared" si="165"/>
        <v>0</v>
      </c>
      <c r="I194" s="13">
        <f t="shared" si="165"/>
        <v>0</v>
      </c>
      <c r="J194" s="16">
        <f t="shared" ref="J194" si="173">J236*J$176</f>
        <v>1948.3333333333335</v>
      </c>
      <c r="K194" s="16">
        <f t="shared" si="165"/>
        <v>5701.333333333333</v>
      </c>
      <c r="L194" s="15">
        <f t="shared" si="165"/>
        <v>2391.3333333333335</v>
      </c>
      <c r="M194" s="14">
        <f t="shared" si="165"/>
        <v>2539.1666666666665</v>
      </c>
      <c r="N194" s="13">
        <f t="shared" si="165"/>
        <v>2084.1333333333337</v>
      </c>
      <c r="O194" s="85"/>
    </row>
    <row r="195" spans="1:15" outlineLevel="1" x14ac:dyDescent="0.2">
      <c r="A195" s="20">
        <f t="shared" si="171"/>
        <v>3665</v>
      </c>
      <c r="B195" s="19" t="str">
        <f t="shared" si="171"/>
        <v>WTAMU</v>
      </c>
      <c r="C195" s="55">
        <f t="shared" si="151"/>
        <v>28710.703111111114</v>
      </c>
      <c r="D195" s="15">
        <f t="shared" si="165"/>
        <v>6278.3333333333339</v>
      </c>
      <c r="E195" s="14">
        <f t="shared" si="165"/>
        <v>4137.0031111111111</v>
      </c>
      <c r="F195" s="14">
        <f t="shared" si="165"/>
        <v>0</v>
      </c>
      <c r="G195" s="13">
        <f t="shared" si="165"/>
        <v>0</v>
      </c>
      <c r="H195" s="15">
        <f t="shared" si="165"/>
        <v>0</v>
      </c>
      <c r="I195" s="13">
        <f t="shared" si="165"/>
        <v>0</v>
      </c>
      <c r="J195" s="16">
        <f t="shared" ref="J195" si="174">J237*J$176</f>
        <v>2193.3333333333335</v>
      </c>
      <c r="K195" s="16">
        <f t="shared" si="165"/>
        <v>7114.666666666667</v>
      </c>
      <c r="L195" s="15">
        <f t="shared" si="165"/>
        <v>3045.8333333333335</v>
      </c>
      <c r="M195" s="14">
        <f t="shared" si="165"/>
        <v>3031.666666666667</v>
      </c>
      <c r="N195" s="13">
        <f t="shared" si="165"/>
        <v>2909.8666666666672</v>
      </c>
      <c r="O195" s="85"/>
    </row>
    <row r="196" spans="1:15" outlineLevel="1" x14ac:dyDescent="0.2">
      <c r="A196" s="20">
        <f t="shared" si="171"/>
        <v>3565</v>
      </c>
      <c r="B196" s="19" t="str">
        <f t="shared" si="171"/>
        <v>TAMUC</v>
      </c>
      <c r="C196" s="55">
        <f t="shared" si="151"/>
        <v>30671.979999999996</v>
      </c>
      <c r="D196" s="15">
        <f t="shared" si="165"/>
        <v>6621.6666666666661</v>
      </c>
      <c r="E196" s="14">
        <f t="shared" si="165"/>
        <v>4078.9466666666663</v>
      </c>
      <c r="F196" s="14">
        <f t="shared" si="165"/>
        <v>0</v>
      </c>
      <c r="G196" s="13">
        <f t="shared" si="165"/>
        <v>0</v>
      </c>
      <c r="H196" s="15">
        <f t="shared" si="165"/>
        <v>0</v>
      </c>
      <c r="I196" s="13">
        <f t="shared" si="165"/>
        <v>0</v>
      </c>
      <c r="J196" s="16">
        <f t="shared" ref="J196" si="175">J238*J$176</f>
        <v>3765</v>
      </c>
      <c r="K196" s="16">
        <f t="shared" si="165"/>
        <v>8154.666666666667</v>
      </c>
      <c r="L196" s="15">
        <f t="shared" si="165"/>
        <v>3218.1</v>
      </c>
      <c r="M196" s="14">
        <f t="shared" si="165"/>
        <v>2843.333333333333</v>
      </c>
      <c r="N196" s="13">
        <f t="shared" si="165"/>
        <v>1990.2666666666667</v>
      </c>
      <c r="O196" s="85"/>
    </row>
    <row r="197" spans="1:15" outlineLevel="1" x14ac:dyDescent="0.2">
      <c r="A197" s="20">
        <f t="shared" si="171"/>
        <v>29269</v>
      </c>
      <c r="B197" s="19" t="str">
        <f t="shared" si="171"/>
        <v>TAMUT</v>
      </c>
      <c r="C197" s="55">
        <f t="shared" si="151"/>
        <v>7232.8218378278625</v>
      </c>
      <c r="D197" s="15">
        <f t="shared" si="165"/>
        <v>1728.3333333333335</v>
      </c>
      <c r="E197" s="14">
        <f t="shared" si="165"/>
        <v>1311.5218378278626</v>
      </c>
      <c r="F197" s="14">
        <f t="shared" si="165"/>
        <v>0</v>
      </c>
      <c r="G197" s="13">
        <f t="shared" si="165"/>
        <v>0</v>
      </c>
      <c r="H197" s="15">
        <f t="shared" si="165"/>
        <v>0</v>
      </c>
      <c r="I197" s="13">
        <f t="shared" si="165"/>
        <v>0</v>
      </c>
      <c r="J197" s="16">
        <f t="shared" ref="J197" si="176">J239*J$176</f>
        <v>1090</v>
      </c>
      <c r="K197" s="16">
        <f t="shared" si="165"/>
        <v>1912</v>
      </c>
      <c r="L197" s="15">
        <f t="shared" si="165"/>
        <v>735.5333333333333</v>
      </c>
      <c r="M197" s="14">
        <f t="shared" si="165"/>
        <v>452.5</v>
      </c>
      <c r="N197" s="13">
        <f t="shared" si="165"/>
        <v>2.9333333333333336</v>
      </c>
      <c r="O197" s="85"/>
    </row>
    <row r="198" spans="1:15" outlineLevel="1" x14ac:dyDescent="0.2">
      <c r="A198" s="20">
        <f t="shared" si="171"/>
        <v>3652</v>
      </c>
      <c r="B198" s="19" t="str">
        <f t="shared" si="171"/>
        <v>UH</v>
      </c>
      <c r="C198" s="55">
        <f t="shared" si="151"/>
        <v>122234.82755555554</v>
      </c>
      <c r="D198" s="15">
        <f t="shared" si="165"/>
        <v>25493.333333333336</v>
      </c>
      <c r="E198" s="14">
        <f t="shared" si="165"/>
        <v>19142.094222222222</v>
      </c>
      <c r="F198" s="14">
        <f t="shared" si="165"/>
        <v>0</v>
      </c>
      <c r="G198" s="13">
        <f t="shared" si="165"/>
        <v>0</v>
      </c>
      <c r="H198" s="15">
        <f t="shared" si="165"/>
        <v>0</v>
      </c>
      <c r="I198" s="13">
        <f t="shared" si="165"/>
        <v>0</v>
      </c>
      <c r="J198" s="16">
        <f t="shared" ref="J198" si="177">J240*J$176</f>
        <v>8913.3333333333339</v>
      </c>
      <c r="K198" s="16">
        <f t="shared" si="165"/>
        <v>26984</v>
      </c>
      <c r="L198" s="15">
        <f t="shared" si="165"/>
        <v>12923.966666666665</v>
      </c>
      <c r="M198" s="14">
        <f t="shared" si="165"/>
        <v>14225.833333333332</v>
      </c>
      <c r="N198" s="13">
        <f t="shared" si="165"/>
        <v>14552.266666666668</v>
      </c>
      <c r="O198" s="85"/>
    </row>
    <row r="199" spans="1:15" outlineLevel="1" x14ac:dyDescent="0.2">
      <c r="A199" s="20">
        <f t="shared" si="171"/>
        <v>11711</v>
      </c>
      <c r="B199" s="19" t="str">
        <f t="shared" si="171"/>
        <v>UHCL</v>
      </c>
      <c r="C199" s="55">
        <f t="shared" si="151"/>
        <v>25516.965422179586</v>
      </c>
      <c r="D199" s="15">
        <f t="shared" si="165"/>
        <v>5953.3333333333339</v>
      </c>
      <c r="E199" s="14">
        <f t="shared" si="165"/>
        <v>4335.3987555129188</v>
      </c>
      <c r="F199" s="14">
        <f t="shared" si="165"/>
        <v>0</v>
      </c>
      <c r="G199" s="13">
        <f t="shared" si="165"/>
        <v>0</v>
      </c>
      <c r="H199" s="15">
        <f t="shared" si="165"/>
        <v>0</v>
      </c>
      <c r="I199" s="13">
        <f t="shared" si="165"/>
        <v>0</v>
      </c>
      <c r="J199" s="16">
        <f t="shared" ref="J199" si="178">J241*J$176</f>
        <v>4033.333333333333</v>
      </c>
      <c r="K199" s="16">
        <f t="shared" si="165"/>
        <v>6194.666666666667</v>
      </c>
      <c r="L199" s="15">
        <f t="shared" si="165"/>
        <v>2365.2666666666664</v>
      </c>
      <c r="M199" s="14">
        <f t="shared" si="165"/>
        <v>2384.1666666666665</v>
      </c>
      <c r="N199" s="13">
        <f t="shared" si="165"/>
        <v>250.8</v>
      </c>
      <c r="O199" s="85"/>
    </row>
    <row r="200" spans="1:15" outlineLevel="1" x14ac:dyDescent="0.2">
      <c r="A200" s="20">
        <f t="shared" si="171"/>
        <v>12826</v>
      </c>
      <c r="B200" s="19" t="str">
        <f t="shared" si="171"/>
        <v>UHD</v>
      </c>
      <c r="C200" s="55">
        <f t="shared" si="151"/>
        <v>46385.270000000004</v>
      </c>
      <c r="D200" s="15">
        <f t="shared" si="165"/>
        <v>11911.666666666668</v>
      </c>
      <c r="E200" s="14">
        <f t="shared" si="165"/>
        <v>3168.503333333334</v>
      </c>
      <c r="F200" s="14">
        <f t="shared" si="165"/>
        <v>0</v>
      </c>
      <c r="G200" s="13">
        <f t="shared" si="165"/>
        <v>0</v>
      </c>
      <c r="H200" s="15">
        <f t="shared" si="165"/>
        <v>0</v>
      </c>
      <c r="I200" s="13">
        <f t="shared" si="165"/>
        <v>0</v>
      </c>
      <c r="J200" s="16">
        <f t="shared" ref="J200" si="179">J242*J$176</f>
        <v>5246.6666666666661</v>
      </c>
      <c r="K200" s="16">
        <f t="shared" si="165"/>
        <v>13448</v>
      </c>
      <c r="L200" s="15">
        <f t="shared" si="165"/>
        <v>5279.0666666666666</v>
      </c>
      <c r="M200" s="14">
        <f t="shared" si="165"/>
        <v>4670.833333333333</v>
      </c>
      <c r="N200" s="13">
        <f t="shared" si="165"/>
        <v>2660.5333333333333</v>
      </c>
      <c r="O200" s="85"/>
    </row>
    <row r="201" spans="1:15" outlineLevel="1" x14ac:dyDescent="0.2">
      <c r="A201" s="20">
        <f t="shared" si="171"/>
        <v>13231</v>
      </c>
      <c r="B201" s="19" t="str">
        <f t="shared" si="171"/>
        <v>UHV</v>
      </c>
      <c r="C201" s="55">
        <f t="shared" si="151"/>
        <v>12120.734906538693</v>
      </c>
      <c r="D201" s="15">
        <f t="shared" si="165"/>
        <v>2883.333333333333</v>
      </c>
      <c r="E201" s="14">
        <f t="shared" si="165"/>
        <v>2101.3682398720248</v>
      </c>
      <c r="F201" s="14">
        <f t="shared" si="165"/>
        <v>0</v>
      </c>
      <c r="G201" s="13">
        <f t="shared" si="165"/>
        <v>0</v>
      </c>
      <c r="H201" s="15">
        <f t="shared" si="165"/>
        <v>0</v>
      </c>
      <c r="I201" s="13">
        <f t="shared" si="165"/>
        <v>0</v>
      </c>
      <c r="J201" s="16">
        <f t="shared" ref="J201" si="180">J243*J$176</f>
        <v>2076.6666666666665</v>
      </c>
      <c r="K201" s="16">
        <f t="shared" si="165"/>
        <v>3072</v>
      </c>
      <c r="L201" s="15">
        <f t="shared" si="165"/>
        <v>1217.2</v>
      </c>
      <c r="M201" s="14">
        <f t="shared" si="165"/>
        <v>740.83333333333326</v>
      </c>
      <c r="N201" s="13">
        <f t="shared" si="165"/>
        <v>29.333333333333336</v>
      </c>
      <c r="O201" s="85"/>
    </row>
    <row r="202" spans="1:15" outlineLevel="1" x14ac:dyDescent="0.2">
      <c r="A202" s="20">
        <f t="shared" si="171"/>
        <v>3592</v>
      </c>
      <c r="B202" s="19" t="str">
        <f t="shared" si="171"/>
        <v>Midwestern</v>
      </c>
      <c r="C202" s="55">
        <f t="shared" si="151"/>
        <v>23160.518888888888</v>
      </c>
      <c r="D202" s="15">
        <f t="shared" si="165"/>
        <v>5158.3333333333339</v>
      </c>
      <c r="E202" s="14">
        <f t="shared" si="165"/>
        <v>3172.7188888888886</v>
      </c>
      <c r="F202" s="14">
        <f t="shared" si="165"/>
        <v>0</v>
      </c>
      <c r="G202" s="13">
        <f t="shared" si="165"/>
        <v>0</v>
      </c>
      <c r="H202" s="15">
        <f t="shared" si="165"/>
        <v>0</v>
      </c>
      <c r="I202" s="13">
        <f t="shared" si="165"/>
        <v>0</v>
      </c>
      <c r="J202" s="16">
        <f t="shared" ref="J202" si="181">J244*J$176</f>
        <v>1256.6666666666667</v>
      </c>
      <c r="K202" s="16">
        <f t="shared" si="165"/>
        <v>5522.666666666667</v>
      </c>
      <c r="L202" s="15">
        <f t="shared" si="165"/>
        <v>2444.6</v>
      </c>
      <c r="M202" s="14">
        <f t="shared" si="165"/>
        <v>2615</v>
      </c>
      <c r="N202" s="13">
        <f t="shared" si="165"/>
        <v>2990.5333333333333</v>
      </c>
      <c r="O202" s="85"/>
    </row>
    <row r="203" spans="1:15" outlineLevel="1" x14ac:dyDescent="0.2">
      <c r="A203" s="20">
        <f t="shared" si="171"/>
        <v>3594</v>
      </c>
      <c r="B203" s="19" t="str">
        <f t="shared" si="171"/>
        <v>UNT</v>
      </c>
      <c r="C203" s="55">
        <f t="shared" si="151"/>
        <v>138525.13888888888</v>
      </c>
      <c r="D203" s="15">
        <f t="shared" si="165"/>
        <v>30083.333333333336</v>
      </c>
      <c r="E203" s="14">
        <f t="shared" si="165"/>
        <v>24273.238888888889</v>
      </c>
      <c r="F203" s="14">
        <f t="shared" si="165"/>
        <v>0</v>
      </c>
      <c r="G203" s="13">
        <f t="shared" si="165"/>
        <v>0</v>
      </c>
      <c r="H203" s="15">
        <f t="shared" si="165"/>
        <v>0</v>
      </c>
      <c r="I203" s="13">
        <f t="shared" si="165"/>
        <v>0</v>
      </c>
      <c r="J203" s="16">
        <f t="shared" ref="J203" si="182">J245*J$176</f>
        <v>11450</v>
      </c>
      <c r="K203" s="16">
        <f t="shared" si="165"/>
        <v>30560</v>
      </c>
      <c r="L203" s="15">
        <f t="shared" si="165"/>
        <v>13369.933333333334</v>
      </c>
      <c r="M203" s="14">
        <f t="shared" si="165"/>
        <v>14105.833333333332</v>
      </c>
      <c r="N203" s="13">
        <f t="shared" si="165"/>
        <v>14682.800000000001</v>
      </c>
      <c r="O203" s="85"/>
    </row>
    <row r="204" spans="1:15" outlineLevel="1" x14ac:dyDescent="0.2">
      <c r="A204" s="27">
        <f t="shared" si="171"/>
        <v>113594</v>
      </c>
      <c r="B204" s="19" t="str">
        <f t="shared" si="171"/>
        <v>UNTD</v>
      </c>
      <c r="C204" s="55">
        <f t="shared" si="151"/>
        <v>7156.3987500000003</v>
      </c>
      <c r="D204" s="15">
        <f t="shared" ref="D204:N214" si="183">D246*D$176</f>
        <v>2017.5</v>
      </c>
      <c r="E204" s="14">
        <f t="shared" si="183"/>
        <v>1631.1487500000001</v>
      </c>
      <c r="F204" s="14">
        <f t="shared" si="183"/>
        <v>0</v>
      </c>
      <c r="G204" s="13">
        <f t="shared" si="183"/>
        <v>0</v>
      </c>
      <c r="H204" s="15">
        <f t="shared" si="183"/>
        <v>0</v>
      </c>
      <c r="I204" s="13">
        <f t="shared" si="183"/>
        <v>0</v>
      </c>
      <c r="J204" s="16">
        <f t="shared" ref="J204" si="184">J246*J$176</f>
        <v>0</v>
      </c>
      <c r="K204" s="16">
        <f t="shared" si="183"/>
        <v>2468</v>
      </c>
      <c r="L204" s="15">
        <f t="shared" si="183"/>
        <v>812.6</v>
      </c>
      <c r="M204" s="14">
        <f t="shared" si="183"/>
        <v>178.75</v>
      </c>
      <c r="N204" s="13">
        <f t="shared" si="183"/>
        <v>48.400000000000006</v>
      </c>
      <c r="O204" s="85"/>
    </row>
    <row r="205" spans="1:15" outlineLevel="1" x14ac:dyDescent="0.2">
      <c r="A205" s="20">
        <f t="shared" si="171"/>
        <v>3624</v>
      </c>
      <c r="B205" s="19" t="str">
        <f t="shared" si="171"/>
        <v>SFA</v>
      </c>
      <c r="C205" s="55">
        <f t="shared" si="151"/>
        <v>47603.523333333331</v>
      </c>
      <c r="D205" s="15">
        <f t="shared" si="183"/>
        <v>9608.3333333333339</v>
      </c>
      <c r="E205" s="14">
        <f t="shared" si="183"/>
        <v>7452.2233333333324</v>
      </c>
      <c r="F205" s="14">
        <f t="shared" si="183"/>
        <v>0</v>
      </c>
      <c r="G205" s="13">
        <f t="shared" si="183"/>
        <v>0</v>
      </c>
      <c r="H205" s="15">
        <f t="shared" si="183"/>
        <v>0</v>
      </c>
      <c r="I205" s="13">
        <f t="shared" si="183"/>
        <v>0</v>
      </c>
      <c r="J205" s="16">
        <f t="shared" ref="J205" si="185">J247*J$176</f>
        <v>2816.666666666667</v>
      </c>
      <c r="K205" s="16">
        <f t="shared" si="183"/>
        <v>11682.666666666666</v>
      </c>
      <c r="L205" s="15">
        <f t="shared" si="183"/>
        <v>4707.8666666666668</v>
      </c>
      <c r="M205" s="14">
        <f t="shared" si="183"/>
        <v>5187.5</v>
      </c>
      <c r="N205" s="13">
        <f t="shared" si="183"/>
        <v>6148.2666666666664</v>
      </c>
      <c r="O205" s="85"/>
    </row>
    <row r="206" spans="1:15" outlineLevel="1" x14ac:dyDescent="0.2">
      <c r="A206" s="20">
        <f t="shared" si="171"/>
        <v>3642</v>
      </c>
      <c r="B206" s="19" t="str">
        <f t="shared" si="171"/>
        <v>TSU</v>
      </c>
      <c r="C206" s="55">
        <f t="shared" si="151"/>
        <v>19800.06388888889</v>
      </c>
      <c r="D206" s="15">
        <f t="shared" si="183"/>
        <v>3791.666666666667</v>
      </c>
      <c r="E206" s="14">
        <f t="shared" si="183"/>
        <v>762.63055555555547</v>
      </c>
      <c r="F206" s="14">
        <f t="shared" si="183"/>
        <v>0</v>
      </c>
      <c r="G206" s="13">
        <f t="shared" si="183"/>
        <v>0</v>
      </c>
      <c r="H206" s="15">
        <f t="shared" si="183"/>
        <v>0</v>
      </c>
      <c r="I206" s="13">
        <f t="shared" si="183"/>
        <v>0</v>
      </c>
      <c r="J206" s="16">
        <f t="shared" ref="J206" si="186">J248*J$176</f>
        <v>565</v>
      </c>
      <c r="K206" s="16">
        <f t="shared" si="183"/>
        <v>5330.666666666667</v>
      </c>
      <c r="L206" s="15">
        <f t="shared" si="183"/>
        <v>2783.4666666666662</v>
      </c>
      <c r="M206" s="14">
        <f t="shared" si="183"/>
        <v>2832.5</v>
      </c>
      <c r="N206" s="13">
        <f t="shared" si="183"/>
        <v>3734.1333333333337</v>
      </c>
      <c r="O206" s="85"/>
    </row>
    <row r="207" spans="1:15" outlineLevel="1" x14ac:dyDescent="0.2">
      <c r="A207" s="20">
        <f t="shared" si="171"/>
        <v>3644</v>
      </c>
      <c r="B207" s="19" t="str">
        <f t="shared" si="171"/>
        <v>TTU</v>
      </c>
      <c r="C207" s="55">
        <f t="shared" si="151"/>
        <v>116743.74266666667</v>
      </c>
      <c r="D207" s="15">
        <f t="shared" si="183"/>
        <v>23370</v>
      </c>
      <c r="E207" s="14">
        <f t="shared" si="183"/>
        <v>23949.575999999997</v>
      </c>
      <c r="F207" s="14">
        <f t="shared" si="183"/>
        <v>0</v>
      </c>
      <c r="G207" s="13">
        <f t="shared" si="183"/>
        <v>0</v>
      </c>
      <c r="H207" s="15">
        <f t="shared" si="183"/>
        <v>0</v>
      </c>
      <c r="I207" s="13">
        <f t="shared" si="183"/>
        <v>0</v>
      </c>
      <c r="J207" s="16">
        <f t="shared" ref="J207" si="187">J249*J$176</f>
        <v>5618.3333333333339</v>
      </c>
      <c r="K207" s="16">
        <f t="shared" si="183"/>
        <v>22224</v>
      </c>
      <c r="L207" s="15">
        <f t="shared" si="183"/>
        <v>11025.066666666666</v>
      </c>
      <c r="M207" s="14">
        <f t="shared" si="183"/>
        <v>13195.833333333332</v>
      </c>
      <c r="N207" s="13">
        <f t="shared" si="183"/>
        <v>17360.933333333334</v>
      </c>
      <c r="O207" s="85"/>
    </row>
    <row r="208" spans="1:15" outlineLevel="1" x14ac:dyDescent="0.2">
      <c r="A208" s="20">
        <f t="shared" si="171"/>
        <v>3541</v>
      </c>
      <c r="B208" s="19" t="str">
        <f t="shared" si="171"/>
        <v>Angelo</v>
      </c>
      <c r="C208" s="55">
        <f t="shared" si="151"/>
        <v>22837.56688888889</v>
      </c>
      <c r="D208" s="15">
        <f t="shared" si="183"/>
        <v>4956.666666666667</v>
      </c>
      <c r="E208" s="14">
        <f t="shared" si="183"/>
        <v>2981.6002222222223</v>
      </c>
      <c r="F208" s="14">
        <f t="shared" si="183"/>
        <v>0</v>
      </c>
      <c r="G208" s="13">
        <f t="shared" si="183"/>
        <v>0</v>
      </c>
      <c r="H208" s="15">
        <f t="shared" si="183"/>
        <v>0</v>
      </c>
      <c r="I208" s="13">
        <f t="shared" si="183"/>
        <v>0</v>
      </c>
      <c r="J208" s="16">
        <f t="shared" ref="J208" si="188">J250*J$176</f>
        <v>971.66666666666674</v>
      </c>
      <c r="K208" s="16">
        <f t="shared" si="183"/>
        <v>5784</v>
      </c>
      <c r="L208" s="15">
        <f t="shared" si="183"/>
        <v>2445.7333333333336</v>
      </c>
      <c r="M208" s="14">
        <f t="shared" si="183"/>
        <v>2584.166666666667</v>
      </c>
      <c r="N208" s="13">
        <f t="shared" si="183"/>
        <v>3113.7333333333336</v>
      </c>
      <c r="O208" s="85"/>
    </row>
    <row r="209" spans="1:15" outlineLevel="1" x14ac:dyDescent="0.2">
      <c r="A209" s="20">
        <f t="shared" ref="A209:B214" si="189">A37</f>
        <v>3646</v>
      </c>
      <c r="B209" s="19" t="str">
        <f t="shared" si="189"/>
        <v>TWU</v>
      </c>
      <c r="C209" s="55">
        <f t="shared" si="151"/>
        <v>39509.427333333333</v>
      </c>
      <c r="D209" s="15">
        <f t="shared" si="183"/>
        <v>9030</v>
      </c>
      <c r="E209" s="14">
        <f t="shared" si="183"/>
        <v>6620.1940000000004</v>
      </c>
      <c r="F209" s="14">
        <f t="shared" si="183"/>
        <v>0</v>
      </c>
      <c r="G209" s="13">
        <f t="shared" si="183"/>
        <v>0</v>
      </c>
      <c r="H209" s="15">
        <f t="shared" si="183"/>
        <v>0</v>
      </c>
      <c r="I209" s="13">
        <f t="shared" si="183"/>
        <v>0</v>
      </c>
      <c r="J209" s="16">
        <f t="shared" ref="J209" si="190">J251*J$176</f>
        <v>4016.666666666667</v>
      </c>
      <c r="K209" s="16">
        <f t="shared" si="183"/>
        <v>9976</v>
      </c>
      <c r="L209" s="15">
        <f t="shared" si="183"/>
        <v>3733.2</v>
      </c>
      <c r="M209" s="14">
        <f t="shared" si="183"/>
        <v>3230.833333333333</v>
      </c>
      <c r="N209" s="13">
        <f t="shared" si="183"/>
        <v>2902.5333333333333</v>
      </c>
      <c r="O209" s="85"/>
    </row>
    <row r="210" spans="1:15" outlineLevel="1" x14ac:dyDescent="0.2">
      <c r="A210" s="20">
        <f t="shared" si="189"/>
        <v>3581</v>
      </c>
      <c r="B210" s="19" t="str">
        <f t="shared" si="189"/>
        <v>Lamar</v>
      </c>
      <c r="C210" s="55">
        <f t="shared" si="151"/>
        <v>30525.849111111114</v>
      </c>
      <c r="D210" s="15">
        <f t="shared" si="183"/>
        <v>6676.6666666666661</v>
      </c>
      <c r="E210" s="14">
        <f t="shared" si="183"/>
        <v>3274.6824444444442</v>
      </c>
      <c r="F210" s="14">
        <f t="shared" si="183"/>
        <v>0</v>
      </c>
      <c r="G210" s="13">
        <f t="shared" si="183"/>
        <v>0</v>
      </c>
      <c r="H210" s="15">
        <f t="shared" si="183"/>
        <v>0</v>
      </c>
      <c r="I210" s="13">
        <f t="shared" si="183"/>
        <v>0</v>
      </c>
      <c r="J210" s="16">
        <f t="shared" ref="J210" si="191">J252*J$176</f>
        <v>1168.3333333333333</v>
      </c>
      <c r="K210" s="16">
        <f t="shared" si="183"/>
        <v>7589.333333333333</v>
      </c>
      <c r="L210" s="15">
        <f t="shared" si="183"/>
        <v>3645.9333333333329</v>
      </c>
      <c r="M210" s="14">
        <f t="shared" si="183"/>
        <v>3722.5</v>
      </c>
      <c r="N210" s="13">
        <f t="shared" si="183"/>
        <v>4448.4000000000005</v>
      </c>
      <c r="O210" s="85"/>
    </row>
    <row r="211" spans="1:15" outlineLevel="1" x14ac:dyDescent="0.2">
      <c r="A211" s="20">
        <f t="shared" si="189"/>
        <v>3606</v>
      </c>
      <c r="B211" s="19" t="str">
        <f t="shared" si="189"/>
        <v>SHSU</v>
      </c>
      <c r="C211" s="55">
        <f t="shared" si="151"/>
        <v>73937.317777777775</v>
      </c>
      <c r="D211" s="15">
        <f t="shared" si="183"/>
        <v>15388.333333333332</v>
      </c>
      <c r="E211" s="14">
        <f t="shared" si="183"/>
        <v>12638.951111111111</v>
      </c>
      <c r="F211" s="14">
        <f t="shared" si="183"/>
        <v>0</v>
      </c>
      <c r="G211" s="13">
        <f t="shared" si="183"/>
        <v>0</v>
      </c>
      <c r="H211" s="15">
        <f t="shared" si="183"/>
        <v>0</v>
      </c>
      <c r="I211" s="13">
        <f t="shared" si="183"/>
        <v>0</v>
      </c>
      <c r="J211" s="16">
        <f t="shared" ref="J211" si="192">J253*J$176</f>
        <v>6408.3333333333339</v>
      </c>
      <c r="K211" s="16">
        <f t="shared" si="183"/>
        <v>17709.333333333332</v>
      </c>
      <c r="L211" s="15">
        <f t="shared" si="183"/>
        <v>6620.3666666666668</v>
      </c>
      <c r="M211" s="14">
        <f t="shared" si="183"/>
        <v>7413.3333333333339</v>
      </c>
      <c r="N211" s="13">
        <f t="shared" si="183"/>
        <v>7758.666666666667</v>
      </c>
      <c r="O211" s="85"/>
    </row>
    <row r="212" spans="1:15" outlineLevel="1" x14ac:dyDescent="0.2">
      <c r="A212" s="20">
        <f t="shared" si="189"/>
        <v>3615</v>
      </c>
      <c r="B212" s="19" t="str">
        <f t="shared" si="189"/>
        <v>TXST</v>
      </c>
      <c r="C212" s="55">
        <f t="shared" si="151"/>
        <v>131263.92433333333</v>
      </c>
      <c r="D212" s="15">
        <f t="shared" si="183"/>
        <v>26805</v>
      </c>
      <c r="E212" s="14">
        <f t="shared" si="183"/>
        <v>23754.591</v>
      </c>
      <c r="F212" s="14">
        <f t="shared" si="183"/>
        <v>0</v>
      </c>
      <c r="G212" s="13">
        <f t="shared" si="183"/>
        <v>0</v>
      </c>
      <c r="H212" s="15">
        <f t="shared" si="183"/>
        <v>0</v>
      </c>
      <c r="I212" s="13">
        <f t="shared" si="183"/>
        <v>0</v>
      </c>
      <c r="J212" s="16">
        <f t="shared" ref="J212" si="193">J254*J$176</f>
        <v>10058.333333333334</v>
      </c>
      <c r="K212" s="16">
        <f t="shared" si="183"/>
        <v>29402.666666666668</v>
      </c>
      <c r="L212" s="15">
        <f t="shared" si="183"/>
        <v>12699.566666666666</v>
      </c>
      <c r="M212" s="14">
        <f t="shared" si="183"/>
        <v>13947.5</v>
      </c>
      <c r="N212" s="13">
        <f t="shared" si="183"/>
        <v>14596.266666666668</v>
      </c>
      <c r="O212" s="85"/>
    </row>
    <row r="213" spans="1:15" outlineLevel="1" x14ac:dyDescent="0.2">
      <c r="A213" s="20">
        <f t="shared" si="189"/>
        <v>3625</v>
      </c>
      <c r="B213" s="19" t="str">
        <f t="shared" si="189"/>
        <v>SRSU</v>
      </c>
      <c r="C213" s="55">
        <f t="shared" si="151"/>
        <v>4439.7586666666666</v>
      </c>
      <c r="D213" s="15">
        <f t="shared" si="183"/>
        <v>946.66666666666674</v>
      </c>
      <c r="E213" s="14">
        <f t="shared" si="183"/>
        <v>398.92533333333336</v>
      </c>
      <c r="F213" s="14">
        <f t="shared" si="183"/>
        <v>0</v>
      </c>
      <c r="G213" s="13">
        <f t="shared" si="183"/>
        <v>0</v>
      </c>
      <c r="H213" s="15">
        <f t="shared" si="183"/>
        <v>0</v>
      </c>
      <c r="I213" s="13">
        <f t="shared" si="183"/>
        <v>0</v>
      </c>
      <c r="J213" s="16">
        <f t="shared" ref="J213" si="194">J255*J$176</f>
        <v>216.66666666666669</v>
      </c>
      <c r="K213" s="16">
        <f t="shared" si="183"/>
        <v>1304</v>
      </c>
      <c r="L213" s="15">
        <f t="shared" si="183"/>
        <v>510</v>
      </c>
      <c r="M213" s="14">
        <f t="shared" si="183"/>
        <v>484.16666666666663</v>
      </c>
      <c r="N213" s="13">
        <f t="shared" si="183"/>
        <v>579.33333333333337</v>
      </c>
      <c r="O213" s="85"/>
    </row>
    <row r="214" spans="1:15" outlineLevel="1" x14ac:dyDescent="0.2">
      <c r="A214" s="20">
        <f t="shared" si="189"/>
        <v>20</v>
      </c>
      <c r="B214" s="19" t="str">
        <f t="shared" si="189"/>
        <v>SRRG</v>
      </c>
      <c r="C214" s="55">
        <f t="shared" si="151"/>
        <v>3536.6285029950309</v>
      </c>
      <c r="D214" s="15">
        <f t="shared" si="183"/>
        <v>808.33333333333326</v>
      </c>
      <c r="E214" s="14">
        <f t="shared" si="183"/>
        <v>359.56183632836428</v>
      </c>
      <c r="F214" s="14">
        <f t="shared" si="183"/>
        <v>0</v>
      </c>
      <c r="G214" s="13">
        <f t="shared" si="183"/>
        <v>0</v>
      </c>
      <c r="H214" s="15">
        <f t="shared" si="183"/>
        <v>0</v>
      </c>
      <c r="I214" s="13">
        <f t="shared" si="183"/>
        <v>0</v>
      </c>
      <c r="J214" s="16">
        <f t="shared" ref="J214" si="195">J256*J$176</f>
        <v>575</v>
      </c>
      <c r="K214" s="16">
        <f t="shared" si="183"/>
        <v>1152</v>
      </c>
      <c r="L214" s="15">
        <f t="shared" si="183"/>
        <v>391</v>
      </c>
      <c r="M214" s="14">
        <f t="shared" si="183"/>
        <v>231.66666666666669</v>
      </c>
      <c r="N214" s="13">
        <f t="shared" si="183"/>
        <v>19.066666666666666</v>
      </c>
      <c r="O214" s="85"/>
    </row>
    <row r="215" spans="1:15" ht="13.5" outlineLevel="1" thickBot="1" x14ac:dyDescent="0.25">
      <c r="A215" s="12"/>
      <c r="B215" s="11" t="s">
        <v>11</v>
      </c>
      <c r="C215" s="54">
        <f t="shared" ref="C215:N215" si="196">SUM(C177:C214)</f>
        <v>1969607.0578911321</v>
      </c>
      <c r="D215" s="9">
        <f t="shared" si="196"/>
        <v>421579.16666666663</v>
      </c>
      <c r="E215" s="7">
        <f t="shared" si="196"/>
        <v>343222.64122446562</v>
      </c>
      <c r="F215" s="7">
        <f t="shared" si="196"/>
        <v>0</v>
      </c>
      <c r="G215" s="3">
        <f t="shared" si="196"/>
        <v>0</v>
      </c>
      <c r="H215" s="5">
        <f t="shared" si="196"/>
        <v>0</v>
      </c>
      <c r="I215" s="3">
        <f t="shared" si="196"/>
        <v>0</v>
      </c>
      <c r="J215" s="6">
        <f t="shared" ref="J215" si="197">SUM(J177:J214)</f>
        <v>145681.66666666666</v>
      </c>
      <c r="K215" s="6">
        <f t="shared" si="196"/>
        <v>435572.00000000006</v>
      </c>
      <c r="L215" s="5">
        <f t="shared" si="196"/>
        <v>194161.53333333333</v>
      </c>
      <c r="M215" s="4">
        <f t="shared" si="196"/>
        <v>205861.25000000003</v>
      </c>
      <c r="N215" s="3">
        <f t="shared" si="196"/>
        <v>223528.8</v>
      </c>
      <c r="O215" s="155"/>
    </row>
    <row r="216" spans="1:15" ht="13.5" thickBot="1" x14ac:dyDescent="0.25">
      <c r="A216" s="42" t="s">
        <v>29</v>
      </c>
      <c r="B216" s="42"/>
      <c r="C216" s="127"/>
      <c r="D216" s="51"/>
      <c r="E216" s="51"/>
      <c r="F216" s="53"/>
      <c r="H216" s="53"/>
      <c r="O216" s="155"/>
    </row>
    <row r="217" spans="1:15" ht="12.75" customHeight="1" outlineLevel="1" x14ac:dyDescent="0.2">
      <c r="A217" s="234" t="s">
        <v>24</v>
      </c>
      <c r="B217" s="236" t="s">
        <v>23</v>
      </c>
      <c r="C217" s="238"/>
      <c r="D217" s="240" t="s">
        <v>28</v>
      </c>
      <c r="E217" s="242" t="s">
        <v>21</v>
      </c>
      <c r="F217" s="236" t="s">
        <v>20</v>
      </c>
      <c r="G217" s="221" t="s">
        <v>19</v>
      </c>
      <c r="H217" s="223" t="s">
        <v>18</v>
      </c>
      <c r="I217" s="225" t="s">
        <v>17</v>
      </c>
      <c r="J217" s="227" t="s">
        <v>16</v>
      </c>
      <c r="K217" s="227" t="s">
        <v>16</v>
      </c>
      <c r="L217" s="229" t="s">
        <v>15</v>
      </c>
      <c r="M217" s="230"/>
      <c r="N217" s="231"/>
      <c r="O217" s="155"/>
    </row>
    <row r="218" spans="1:15" s="41" customFormat="1" ht="41.25" customHeight="1" outlineLevel="1" thickBot="1" x14ac:dyDescent="0.25">
      <c r="A218" s="273"/>
      <c r="B218" s="270"/>
      <c r="C218" s="274"/>
      <c r="D218" s="275"/>
      <c r="E218" s="276"/>
      <c r="F218" s="270"/>
      <c r="G218" s="271"/>
      <c r="H218" s="272"/>
      <c r="I218" s="265"/>
      <c r="J218" s="266"/>
      <c r="K218" s="266"/>
      <c r="L218" s="125" t="s">
        <v>14</v>
      </c>
      <c r="M218" s="126" t="s">
        <v>13</v>
      </c>
      <c r="N218" s="135" t="s">
        <v>12</v>
      </c>
      <c r="O218" s="155"/>
    </row>
    <row r="219" spans="1:15" outlineLevel="1" x14ac:dyDescent="0.2">
      <c r="A219" s="20">
        <f t="shared" ref="A219:B234" si="198">A177</f>
        <v>3656</v>
      </c>
      <c r="B219" s="19" t="str">
        <f t="shared" si="198"/>
        <v>UTA</v>
      </c>
      <c r="C219" s="38"/>
      <c r="D219" s="33">
        <f t="shared" ref="D219:N234" si="199">AVERAGE(D261,D303,D345)</f>
        <v>5018</v>
      </c>
      <c r="E219" s="118">
        <f>AVERAGE(E261,E303,E345)*D219</f>
        <v>2600.9966666666669</v>
      </c>
      <c r="F219" s="32">
        <f>D219/AVERAGE(F261,F303,F345)*100</f>
        <v>29.603788278048281</v>
      </c>
      <c r="G219" s="31">
        <f t="shared" si="199"/>
        <v>10418.553333333379</v>
      </c>
      <c r="H219" s="36">
        <f t="shared" si="199"/>
        <v>1531.3333333333333</v>
      </c>
      <c r="I219" s="35">
        <f t="shared" si="199"/>
        <v>35</v>
      </c>
      <c r="J219" s="34">
        <f t="shared" ref="J219" si="200">AVERAGE(J261,J303,J345)</f>
        <v>2191.3333333333335</v>
      </c>
      <c r="K219" s="34">
        <f t="shared" si="199"/>
        <v>3116</v>
      </c>
      <c r="L219" s="33">
        <f t="shared" si="199"/>
        <v>6836.333333333333</v>
      </c>
      <c r="M219" s="32">
        <f t="shared" si="199"/>
        <v>3833.6666666666665</v>
      </c>
      <c r="N219" s="31">
        <f t="shared" si="199"/>
        <v>1783.6666666666667</v>
      </c>
      <c r="O219" s="155"/>
    </row>
    <row r="220" spans="1:15" outlineLevel="1" x14ac:dyDescent="0.2">
      <c r="A220" s="20">
        <f t="shared" si="198"/>
        <v>3658</v>
      </c>
      <c r="B220" s="19" t="str">
        <f t="shared" si="198"/>
        <v>UT</v>
      </c>
      <c r="C220" s="18"/>
      <c r="D220" s="15">
        <f t="shared" si="199"/>
        <v>8946.3333333333339</v>
      </c>
      <c r="E220" s="116">
        <f t="shared" ref="E220:E256" si="201">AVERAGE(E262,E304,E346)*D220</f>
        <v>7416.5103333333345</v>
      </c>
      <c r="F220" s="14">
        <f t="shared" ref="F220:F256" si="202">D220/AVERAGE(F262,F304,F346)*100</f>
        <v>26.497692061124674</v>
      </c>
      <c r="G220" s="13">
        <f t="shared" si="199"/>
        <v>19398.350000000519</v>
      </c>
      <c r="H220" s="15">
        <f t="shared" si="199"/>
        <v>1876.3333333333333</v>
      </c>
      <c r="I220" s="13">
        <f t="shared" si="199"/>
        <v>66</v>
      </c>
      <c r="J220" s="16">
        <f t="shared" ref="J220" si="203">AVERAGE(J262,J304,J346)</f>
        <v>1235</v>
      </c>
      <c r="K220" s="16">
        <f t="shared" si="199"/>
        <v>3470.3333333333335</v>
      </c>
      <c r="L220" s="15">
        <f t="shared" si="199"/>
        <v>9598.3333333333339</v>
      </c>
      <c r="M220" s="14">
        <f t="shared" si="199"/>
        <v>9005.6666666666661</v>
      </c>
      <c r="N220" s="13">
        <f t="shared" si="199"/>
        <v>7040.333333333333</v>
      </c>
      <c r="O220" s="155"/>
    </row>
    <row r="221" spans="1:15" outlineLevel="1" x14ac:dyDescent="0.2">
      <c r="A221" s="20">
        <f t="shared" si="198"/>
        <v>9741</v>
      </c>
      <c r="B221" s="19" t="str">
        <f t="shared" si="198"/>
        <v>UTD</v>
      </c>
      <c r="C221" s="18"/>
      <c r="D221" s="15">
        <f t="shared" si="199"/>
        <v>2393</v>
      </c>
      <c r="E221" s="116">
        <f t="shared" si="201"/>
        <v>1682.279</v>
      </c>
      <c r="F221" s="14">
        <f t="shared" si="202"/>
        <v>26.829760516638267</v>
      </c>
      <c r="G221" s="13">
        <f t="shared" si="199"/>
        <v>5101.2033333334393</v>
      </c>
      <c r="H221" s="15">
        <f t="shared" si="199"/>
        <v>421.66666666666669</v>
      </c>
      <c r="I221" s="13">
        <f t="shared" si="199"/>
        <v>32</v>
      </c>
      <c r="J221" s="16">
        <f t="shared" ref="J221" si="204">AVERAGE(J263,J305,J347)</f>
        <v>1083</v>
      </c>
      <c r="K221" s="16">
        <f t="shared" si="199"/>
        <v>1319.6666666666667</v>
      </c>
      <c r="L221" s="15">
        <f t="shared" si="199"/>
        <v>3315</v>
      </c>
      <c r="M221" s="14">
        <f t="shared" si="199"/>
        <v>2134.3333333333335</v>
      </c>
      <c r="N221" s="13">
        <f t="shared" si="199"/>
        <v>1021.3333333333334</v>
      </c>
      <c r="O221" s="155"/>
    </row>
    <row r="222" spans="1:15" outlineLevel="1" x14ac:dyDescent="0.2">
      <c r="A222" s="20">
        <f t="shared" si="198"/>
        <v>3661</v>
      </c>
      <c r="B222" s="19" t="str">
        <f t="shared" si="198"/>
        <v>UTEP</v>
      </c>
      <c r="C222" s="18"/>
      <c r="D222" s="15">
        <f t="shared" si="199"/>
        <v>3057</v>
      </c>
      <c r="E222" s="116">
        <f t="shared" si="201"/>
        <v>1192.2299999999998</v>
      </c>
      <c r="F222" s="14">
        <f t="shared" si="202"/>
        <v>22.870894536023343</v>
      </c>
      <c r="G222" s="13">
        <f t="shared" si="199"/>
        <v>6298.0766666668133</v>
      </c>
      <c r="H222" s="15">
        <f t="shared" si="199"/>
        <v>655</v>
      </c>
      <c r="I222" s="13">
        <f t="shared" si="199"/>
        <v>90</v>
      </c>
      <c r="J222" s="16">
        <f t="shared" ref="J222" si="205">AVERAGE(J264,J306,J348)</f>
        <v>1134.6666666666667</v>
      </c>
      <c r="K222" s="16">
        <f t="shared" si="199"/>
        <v>2464.3333333333335</v>
      </c>
      <c r="L222" s="15">
        <f t="shared" si="199"/>
        <v>4362.666666666667</v>
      </c>
      <c r="M222" s="14">
        <f t="shared" si="199"/>
        <v>3358</v>
      </c>
      <c r="N222" s="13">
        <f t="shared" si="199"/>
        <v>1956</v>
      </c>
      <c r="O222" s="155"/>
    </row>
    <row r="223" spans="1:15" outlineLevel="1" x14ac:dyDescent="0.2">
      <c r="A223" s="20">
        <f t="shared" si="198"/>
        <v>3599</v>
      </c>
      <c r="B223" s="19" t="str">
        <f t="shared" si="198"/>
        <v>UTPA</v>
      </c>
      <c r="C223" s="18"/>
      <c r="D223" s="15">
        <f t="shared" si="199"/>
        <v>2580</v>
      </c>
      <c r="E223" s="116">
        <f t="shared" si="201"/>
        <v>1111.98</v>
      </c>
      <c r="F223" s="14">
        <f t="shared" si="202"/>
        <v>20.492490499497837</v>
      </c>
      <c r="G223" s="13">
        <f t="shared" si="199"/>
        <v>5134.1666666667797</v>
      </c>
      <c r="H223" s="15">
        <f t="shared" si="199"/>
        <v>520.33333333333337</v>
      </c>
      <c r="I223" s="13">
        <f t="shared" si="199"/>
        <v>28</v>
      </c>
      <c r="J223" s="16">
        <f t="shared" ref="J223" si="206">AVERAGE(J265,J307,J349)</f>
        <v>904</v>
      </c>
      <c r="K223" s="16">
        <f t="shared" si="199"/>
        <v>2338.3333333333335</v>
      </c>
      <c r="L223" s="15">
        <f t="shared" si="199"/>
        <v>4075.3333333333335</v>
      </c>
      <c r="M223" s="14">
        <f t="shared" si="199"/>
        <v>3096</v>
      </c>
      <c r="N223" s="13">
        <f t="shared" si="199"/>
        <v>1939.3333333333333</v>
      </c>
      <c r="O223" s="155"/>
    </row>
    <row r="224" spans="1:15" outlineLevel="1" x14ac:dyDescent="0.2">
      <c r="A224" s="20">
        <f t="shared" si="198"/>
        <v>30646</v>
      </c>
      <c r="B224" s="19" t="str">
        <f t="shared" si="198"/>
        <v>UTB</v>
      </c>
      <c r="C224" s="18"/>
      <c r="D224" s="15">
        <f t="shared" si="199"/>
        <v>1092</v>
      </c>
      <c r="E224" s="116">
        <f t="shared" si="201"/>
        <v>628.17092451302005</v>
      </c>
      <c r="F224" s="14">
        <f t="shared" si="202"/>
        <v>34.461236368736628</v>
      </c>
      <c r="G224" s="13">
        <f t="shared" si="199"/>
        <v>2097.7933333333553</v>
      </c>
      <c r="H224" s="15">
        <f t="shared" si="199"/>
        <v>124.33333333333333</v>
      </c>
      <c r="I224" s="13">
        <f t="shared" si="199"/>
        <v>18.333333333333332</v>
      </c>
      <c r="J224" s="16">
        <f t="shared" ref="J224" si="207">AVERAGE(J266,J308,J350)</f>
        <v>896</v>
      </c>
      <c r="K224" s="16">
        <f t="shared" si="199"/>
        <v>936.66666666666663</v>
      </c>
      <c r="L224" s="15">
        <f t="shared" si="199"/>
        <v>1326.3333333333333</v>
      </c>
      <c r="M224" s="14">
        <f t="shared" si="199"/>
        <v>556.33333333333337</v>
      </c>
      <c r="N224" s="13">
        <f t="shared" si="199"/>
        <v>100.66666666666667</v>
      </c>
      <c r="O224" s="155"/>
    </row>
    <row r="225" spans="1:15" outlineLevel="1" x14ac:dyDescent="0.2">
      <c r="A225" s="20">
        <f t="shared" si="198"/>
        <v>9930</v>
      </c>
      <c r="B225" s="19" t="str">
        <f t="shared" si="198"/>
        <v>UTPB</v>
      </c>
      <c r="C225" s="18"/>
      <c r="D225" s="15">
        <f t="shared" si="199"/>
        <v>533.33333333333337</v>
      </c>
      <c r="E225" s="116">
        <f t="shared" si="201"/>
        <v>236.8</v>
      </c>
      <c r="F225" s="14">
        <f t="shared" si="202"/>
        <v>23.125174643246009</v>
      </c>
      <c r="G225" s="13">
        <f t="shared" si="199"/>
        <v>1001.5166666666704</v>
      </c>
      <c r="H225" s="15">
        <f t="shared" si="199"/>
        <v>41.333333333333336</v>
      </c>
      <c r="I225" s="13">
        <f t="shared" si="199"/>
        <v>10</v>
      </c>
      <c r="J225" s="16">
        <f t="shared" ref="J225" si="208">AVERAGE(J267,J309,J351)</f>
        <v>248.33333333333334</v>
      </c>
      <c r="K225" s="16">
        <f t="shared" si="199"/>
        <v>399</v>
      </c>
      <c r="L225" s="15">
        <f t="shared" si="199"/>
        <v>785.66666666666663</v>
      </c>
      <c r="M225" s="14">
        <f t="shared" si="199"/>
        <v>491.66666666666669</v>
      </c>
      <c r="N225" s="13">
        <f t="shared" si="199"/>
        <v>194.33333333333334</v>
      </c>
      <c r="O225" s="155"/>
    </row>
    <row r="226" spans="1:15" outlineLevel="1" x14ac:dyDescent="0.2">
      <c r="A226" s="20">
        <f t="shared" si="198"/>
        <v>10115</v>
      </c>
      <c r="B226" s="19" t="str">
        <f t="shared" si="198"/>
        <v>UTSA</v>
      </c>
      <c r="C226" s="18"/>
      <c r="D226" s="15">
        <f t="shared" si="199"/>
        <v>4119.666666666667</v>
      </c>
      <c r="E226" s="116">
        <f t="shared" si="201"/>
        <v>1737.1261111111112</v>
      </c>
      <c r="F226" s="14">
        <f t="shared" si="202"/>
        <v>20.241034101368403</v>
      </c>
      <c r="G226" s="13">
        <f t="shared" si="199"/>
        <v>8414.213333333224</v>
      </c>
      <c r="H226" s="15">
        <f t="shared" si="199"/>
        <v>392</v>
      </c>
      <c r="I226" s="13">
        <f t="shared" si="199"/>
        <v>49.666666666666664</v>
      </c>
      <c r="J226" s="16">
        <f t="shared" ref="J226" si="209">AVERAGE(J268,J310,J352)</f>
        <v>1406.3333333333333</v>
      </c>
      <c r="K226" s="16">
        <f t="shared" si="199"/>
        <v>3123.6666666666665</v>
      </c>
      <c r="L226" s="15">
        <f t="shared" si="199"/>
        <v>6809.666666666667</v>
      </c>
      <c r="M226" s="14">
        <f t="shared" si="199"/>
        <v>4458.666666666667</v>
      </c>
      <c r="N226" s="13">
        <f t="shared" si="199"/>
        <v>2615.6666666666665</v>
      </c>
      <c r="O226" s="155"/>
    </row>
    <row r="227" spans="1:15" outlineLevel="1" x14ac:dyDescent="0.2">
      <c r="A227" s="20">
        <f t="shared" si="198"/>
        <v>11163</v>
      </c>
      <c r="B227" s="19" t="str">
        <f t="shared" si="198"/>
        <v>UTT</v>
      </c>
      <c r="C227" s="18"/>
      <c r="D227" s="15">
        <f t="shared" si="199"/>
        <v>1190</v>
      </c>
      <c r="E227" s="116">
        <f t="shared" si="201"/>
        <v>613.64333333333343</v>
      </c>
      <c r="F227" s="14">
        <f t="shared" si="202"/>
        <v>29.255740517151896</v>
      </c>
      <c r="G227" s="13">
        <f t="shared" si="199"/>
        <v>2362.6600000000103</v>
      </c>
      <c r="H227" s="15">
        <f t="shared" si="199"/>
        <v>376.66666666666669</v>
      </c>
      <c r="I227" s="13">
        <f t="shared" si="199"/>
        <v>14</v>
      </c>
      <c r="J227" s="16">
        <f t="shared" ref="J227" si="210">AVERAGE(J269,J311,J353)</f>
        <v>636.33333333333337</v>
      </c>
      <c r="K227" s="16">
        <f t="shared" si="199"/>
        <v>942.33333333333337</v>
      </c>
      <c r="L227" s="15">
        <f t="shared" si="199"/>
        <v>1436.3333333333333</v>
      </c>
      <c r="M227" s="14">
        <f t="shared" si="199"/>
        <v>890</v>
      </c>
      <c r="N227" s="13">
        <f t="shared" si="199"/>
        <v>387.33333333333331</v>
      </c>
      <c r="O227" s="155"/>
    </row>
    <row r="228" spans="1:15" outlineLevel="1" x14ac:dyDescent="0.2">
      <c r="A228" s="20">
        <f t="shared" si="198"/>
        <v>3632</v>
      </c>
      <c r="B228" s="19" t="str">
        <f t="shared" si="198"/>
        <v>TAMU</v>
      </c>
      <c r="C228" s="18"/>
      <c r="D228" s="15">
        <f t="shared" si="199"/>
        <v>8739.6666666666661</v>
      </c>
      <c r="E228" s="116">
        <f t="shared" si="201"/>
        <v>7347.1464444444427</v>
      </c>
      <c r="F228" s="14">
        <f t="shared" si="202"/>
        <v>25.241886570842681</v>
      </c>
      <c r="G228" s="13">
        <f t="shared" si="199"/>
        <v>20104.8166666668</v>
      </c>
      <c r="H228" s="15">
        <f t="shared" si="199"/>
        <v>1763</v>
      </c>
      <c r="I228" s="13">
        <f t="shared" si="199"/>
        <v>126</v>
      </c>
      <c r="J228" s="16">
        <f t="shared" ref="J228" si="211">AVERAGE(J270,J312,J354)</f>
        <v>2365.6666666666665</v>
      </c>
      <c r="K228" s="16">
        <f t="shared" si="199"/>
        <v>3724</v>
      </c>
      <c r="L228" s="15">
        <f t="shared" si="199"/>
        <v>10060.666666666666</v>
      </c>
      <c r="M228" s="14">
        <f t="shared" si="199"/>
        <v>8907.3333333333339</v>
      </c>
      <c r="N228" s="13">
        <f t="shared" si="199"/>
        <v>6897.666666666667</v>
      </c>
      <c r="O228" s="155"/>
    </row>
    <row r="229" spans="1:15" outlineLevel="1" x14ac:dyDescent="0.2">
      <c r="A229" s="20">
        <f t="shared" si="198"/>
        <v>10298</v>
      </c>
      <c r="B229" s="19" t="str">
        <f t="shared" si="198"/>
        <v>TAMUG</v>
      </c>
      <c r="C229" s="18"/>
      <c r="D229" s="15">
        <f t="shared" si="199"/>
        <v>275.33333333333331</v>
      </c>
      <c r="E229" s="116">
        <f t="shared" si="201"/>
        <v>172.72577777777778</v>
      </c>
      <c r="F229" s="14">
        <f t="shared" si="202"/>
        <v>16.399301143583227</v>
      </c>
      <c r="G229" s="13">
        <f t="shared" si="199"/>
        <v>704.02666666666448</v>
      </c>
      <c r="H229" s="15">
        <f t="shared" si="199"/>
        <v>37.333333333333336</v>
      </c>
      <c r="I229" s="13">
        <f t="shared" si="199"/>
        <v>0</v>
      </c>
      <c r="J229" s="16">
        <f t="shared" ref="J229" si="212">AVERAGE(J271,J313,J355)</f>
        <v>68</v>
      </c>
      <c r="K229" s="16">
        <f t="shared" si="199"/>
        <v>158</v>
      </c>
      <c r="L229" s="15">
        <f t="shared" si="199"/>
        <v>592.33333333333337</v>
      </c>
      <c r="M229" s="14">
        <f t="shared" si="199"/>
        <v>318</v>
      </c>
      <c r="N229" s="13">
        <f t="shared" si="199"/>
        <v>246</v>
      </c>
      <c r="O229" s="155"/>
    </row>
    <row r="230" spans="1:15" outlineLevel="1" x14ac:dyDescent="0.2">
      <c r="A230" s="20">
        <f t="shared" si="198"/>
        <v>3630</v>
      </c>
      <c r="B230" s="19" t="str">
        <f t="shared" si="198"/>
        <v>Prairie View</v>
      </c>
      <c r="C230" s="18"/>
      <c r="D230" s="15">
        <f t="shared" si="199"/>
        <v>936.33333333333337</v>
      </c>
      <c r="E230" s="116">
        <f t="shared" si="201"/>
        <v>348.00388888888887</v>
      </c>
      <c r="F230" s="14">
        <f t="shared" si="202"/>
        <v>15.823688025296873</v>
      </c>
      <c r="G230" s="13">
        <f t="shared" si="199"/>
        <v>2072.9000000000092</v>
      </c>
      <c r="H230" s="15">
        <f t="shared" si="199"/>
        <v>315.66666666666669</v>
      </c>
      <c r="I230" s="13">
        <f t="shared" si="199"/>
        <v>9.6666666666666661</v>
      </c>
      <c r="J230" s="16">
        <f t="shared" ref="J230" si="213">AVERAGE(J272,J314,J356)</f>
        <v>163</v>
      </c>
      <c r="K230" s="16">
        <f t="shared" si="199"/>
        <v>802.66666666666663</v>
      </c>
      <c r="L230" s="15">
        <f t="shared" si="199"/>
        <v>1668</v>
      </c>
      <c r="M230" s="14">
        <f t="shared" si="199"/>
        <v>1181</v>
      </c>
      <c r="N230" s="13">
        <f t="shared" si="199"/>
        <v>905.33333333333337</v>
      </c>
      <c r="O230" s="155"/>
    </row>
    <row r="231" spans="1:15" outlineLevel="1" x14ac:dyDescent="0.2">
      <c r="A231" s="20">
        <f t="shared" si="198"/>
        <v>3631</v>
      </c>
      <c r="B231" s="19" t="str">
        <f t="shared" si="198"/>
        <v>Tarleton</v>
      </c>
      <c r="C231" s="18"/>
      <c r="D231" s="15">
        <f t="shared" si="199"/>
        <v>1545.3333333333333</v>
      </c>
      <c r="E231" s="116">
        <f t="shared" si="201"/>
        <v>738.66933333333338</v>
      </c>
      <c r="F231" s="14">
        <f t="shared" si="202"/>
        <v>24.559767752325659</v>
      </c>
      <c r="G231" s="13">
        <f t="shared" si="199"/>
        <v>3122.5433333333599</v>
      </c>
      <c r="H231" s="15">
        <f t="shared" si="199"/>
        <v>203</v>
      </c>
      <c r="I231" s="13">
        <f t="shared" si="199"/>
        <v>47.666666666666664</v>
      </c>
      <c r="J231" s="16">
        <f t="shared" ref="J231" si="214">AVERAGE(J273,J315,J357)</f>
        <v>623.66666666666663</v>
      </c>
      <c r="K231" s="16">
        <f t="shared" si="199"/>
        <v>1195</v>
      </c>
      <c r="L231" s="15">
        <f t="shared" si="199"/>
        <v>2154.3333333333335</v>
      </c>
      <c r="M231" s="14">
        <f t="shared" si="199"/>
        <v>1328.6666666666667</v>
      </c>
      <c r="N231" s="13">
        <f t="shared" si="199"/>
        <v>862.66666666666663</v>
      </c>
      <c r="O231" s="155"/>
    </row>
    <row r="232" spans="1:15" outlineLevel="1" x14ac:dyDescent="0.2">
      <c r="A232" s="27">
        <f t="shared" si="198"/>
        <v>103631</v>
      </c>
      <c r="B232" s="19" t="str">
        <f t="shared" si="198"/>
        <v>TAMUCT</v>
      </c>
      <c r="C232" s="18"/>
      <c r="D232" s="15">
        <f t="shared" si="199"/>
        <v>460.33333333333331</v>
      </c>
      <c r="E232" s="116">
        <f t="shared" si="201"/>
        <v>220.03933333333333</v>
      </c>
      <c r="F232" s="14">
        <f t="shared" si="202"/>
        <v>67.587849522007247</v>
      </c>
      <c r="G232" s="13">
        <f t="shared" si="199"/>
        <v>853.61666666666588</v>
      </c>
      <c r="H232" s="15">
        <f t="shared" si="199"/>
        <v>40.666666666666664</v>
      </c>
      <c r="I232" s="13">
        <f t="shared" si="199"/>
        <v>0</v>
      </c>
      <c r="J232" s="16">
        <f t="shared" ref="J232" si="215">AVERAGE(J274,J316,J358)</f>
        <v>225</v>
      </c>
      <c r="K232" s="16">
        <f t="shared" si="199"/>
        <v>327</v>
      </c>
      <c r="L232" s="15">
        <f t="shared" si="199"/>
        <v>495</v>
      </c>
      <c r="M232" s="14">
        <f t="shared" si="199"/>
        <v>133</v>
      </c>
      <c r="N232" s="13">
        <f t="shared" si="199"/>
        <v>34</v>
      </c>
      <c r="O232" s="155"/>
    </row>
    <row r="233" spans="1:15" outlineLevel="1" x14ac:dyDescent="0.2">
      <c r="A233" s="20">
        <f t="shared" si="198"/>
        <v>11161</v>
      </c>
      <c r="B233" s="19" t="str">
        <f t="shared" si="198"/>
        <v>TAMUCC</v>
      </c>
      <c r="C233" s="18"/>
      <c r="D233" s="15">
        <f t="shared" si="199"/>
        <v>1388.3333333333333</v>
      </c>
      <c r="E233" s="116">
        <f t="shared" si="201"/>
        <v>705.27333333333331</v>
      </c>
      <c r="F233" s="14">
        <f t="shared" si="202"/>
        <v>21.376514062820775</v>
      </c>
      <c r="G233" s="13">
        <f t="shared" si="199"/>
        <v>2804.2000000000139</v>
      </c>
      <c r="H233" s="15">
        <f t="shared" si="199"/>
        <v>266.33333333333331</v>
      </c>
      <c r="I233" s="13">
        <f t="shared" si="199"/>
        <v>25.666666666666668</v>
      </c>
      <c r="J233" s="16">
        <f t="shared" ref="J233" si="216">AVERAGE(J275,J317,J359)</f>
        <v>483.66666666666669</v>
      </c>
      <c r="K233" s="16">
        <f t="shared" si="199"/>
        <v>1080</v>
      </c>
      <c r="L233" s="15">
        <f t="shared" si="199"/>
        <v>2054</v>
      </c>
      <c r="M233" s="14">
        <f t="shared" si="199"/>
        <v>1468</v>
      </c>
      <c r="N233" s="13">
        <f t="shared" si="199"/>
        <v>878.33333333333337</v>
      </c>
      <c r="O233" s="155"/>
    </row>
    <row r="234" spans="1:15" outlineLevel="1" x14ac:dyDescent="0.2">
      <c r="A234" s="20">
        <f t="shared" si="198"/>
        <v>3639</v>
      </c>
      <c r="B234" s="19" t="str">
        <f t="shared" si="198"/>
        <v>TAMUK</v>
      </c>
      <c r="C234" s="18"/>
      <c r="D234" s="15">
        <f t="shared" si="199"/>
        <v>761.66666666666663</v>
      </c>
      <c r="E234" s="116">
        <f t="shared" si="201"/>
        <v>306.44388888888892</v>
      </c>
      <c r="F234" s="14">
        <f t="shared" si="202"/>
        <v>17.879499217527385</v>
      </c>
      <c r="G234" s="13">
        <f t="shared" si="199"/>
        <v>1763.4533333333395</v>
      </c>
      <c r="H234" s="15">
        <f t="shared" si="199"/>
        <v>260</v>
      </c>
      <c r="I234" s="13">
        <f t="shared" si="199"/>
        <v>16.666666666666668</v>
      </c>
      <c r="J234" s="16">
        <f t="shared" ref="J234" si="217">AVERAGE(J276,J318,J360)</f>
        <v>255.33333333333334</v>
      </c>
      <c r="K234" s="16">
        <f t="shared" si="199"/>
        <v>648.33333333333337</v>
      </c>
      <c r="L234" s="15">
        <f t="shared" si="199"/>
        <v>1227.3333333333333</v>
      </c>
      <c r="M234" s="14">
        <f t="shared" si="199"/>
        <v>859.66666666666663</v>
      </c>
      <c r="N234" s="13">
        <f t="shared" si="199"/>
        <v>558.66666666666663</v>
      </c>
      <c r="O234" s="155"/>
    </row>
    <row r="235" spans="1:15" outlineLevel="1" x14ac:dyDescent="0.2">
      <c r="A235" s="27">
        <f t="shared" ref="A235:B250" si="218">A193</f>
        <v>103639</v>
      </c>
      <c r="B235" s="19" t="str">
        <f t="shared" si="218"/>
        <v>TAMUSA</v>
      </c>
      <c r="C235" s="18"/>
      <c r="D235" s="15">
        <f t="shared" ref="D235:N250" si="219">AVERAGE(D277,D319,D361)</f>
        <v>587.66666666666663</v>
      </c>
      <c r="E235" s="116">
        <f t="shared" si="201"/>
        <v>236.43788888888889</v>
      </c>
      <c r="F235" s="14">
        <f t="shared" si="202"/>
        <v>41.598502485370922</v>
      </c>
      <c r="G235" s="13">
        <f t="shared" si="219"/>
        <v>1026.0133333333379</v>
      </c>
      <c r="H235" s="15">
        <f t="shared" si="219"/>
        <v>5</v>
      </c>
      <c r="I235" s="13">
        <f t="shared" si="219"/>
        <v>2</v>
      </c>
      <c r="J235" s="16">
        <f t="shared" ref="J235" si="220">AVERAGE(J277,J319,J361)</f>
        <v>339.33333333333331</v>
      </c>
      <c r="K235" s="16">
        <f t="shared" si="219"/>
        <v>490.33333333333331</v>
      </c>
      <c r="L235" s="15">
        <f t="shared" si="219"/>
        <v>729.66666666666663</v>
      </c>
      <c r="M235" s="14">
        <f t="shared" si="219"/>
        <v>77.333333333333329</v>
      </c>
      <c r="N235" s="13">
        <f t="shared" si="219"/>
        <v>2.6666666666666665</v>
      </c>
      <c r="O235" s="155"/>
    </row>
    <row r="236" spans="1:15" outlineLevel="1" x14ac:dyDescent="0.2">
      <c r="A236" s="20">
        <f t="shared" si="218"/>
        <v>9651</v>
      </c>
      <c r="B236" s="19" t="str">
        <f t="shared" si="218"/>
        <v>TAMI</v>
      </c>
      <c r="C236" s="18"/>
      <c r="D236" s="15">
        <f t="shared" si="219"/>
        <v>789.66666666666663</v>
      </c>
      <c r="E236" s="116">
        <f t="shared" si="201"/>
        <v>373.77555555555551</v>
      </c>
      <c r="F236" s="14">
        <f t="shared" si="202"/>
        <v>19.326154348180779</v>
      </c>
      <c r="G236" s="13">
        <f t="shared" si="219"/>
        <v>1458.4966666666717</v>
      </c>
      <c r="H236" s="15">
        <f t="shared" si="219"/>
        <v>115.66666666666667</v>
      </c>
      <c r="I236" s="13">
        <f t="shared" si="219"/>
        <v>22.333333333333332</v>
      </c>
      <c r="J236" s="16">
        <f t="shared" ref="J236" si="221">AVERAGE(J278,J320,J362)</f>
        <v>389.66666666666669</v>
      </c>
      <c r="K236" s="16">
        <f t="shared" si="219"/>
        <v>712.66666666666663</v>
      </c>
      <c r="L236" s="15">
        <f t="shared" si="219"/>
        <v>1406.6666666666667</v>
      </c>
      <c r="M236" s="14">
        <f t="shared" si="219"/>
        <v>1015.6666666666666</v>
      </c>
      <c r="N236" s="13">
        <f t="shared" si="219"/>
        <v>473.66666666666669</v>
      </c>
      <c r="O236" s="155"/>
    </row>
    <row r="237" spans="1:15" outlineLevel="1" x14ac:dyDescent="0.2">
      <c r="A237" s="20">
        <f t="shared" si="218"/>
        <v>3665</v>
      </c>
      <c r="B237" s="19" t="str">
        <f t="shared" si="218"/>
        <v>WTAMU</v>
      </c>
      <c r="C237" s="18"/>
      <c r="D237" s="15">
        <f t="shared" si="219"/>
        <v>1255.6666666666667</v>
      </c>
      <c r="E237" s="116">
        <f t="shared" si="201"/>
        <v>591.00044444444438</v>
      </c>
      <c r="F237" s="14">
        <f t="shared" si="202"/>
        <v>23.187721854032869</v>
      </c>
      <c r="G237" s="13">
        <f t="shared" si="219"/>
        <v>2503.5766666666836</v>
      </c>
      <c r="H237" s="15">
        <f t="shared" si="219"/>
        <v>191.66666666666666</v>
      </c>
      <c r="I237" s="13">
        <f t="shared" si="219"/>
        <v>60.666666666666664</v>
      </c>
      <c r="J237" s="16">
        <f t="shared" ref="J237" si="222">AVERAGE(J279,J321,J363)</f>
        <v>438.66666666666669</v>
      </c>
      <c r="K237" s="16">
        <f t="shared" si="219"/>
        <v>889.33333333333337</v>
      </c>
      <c r="L237" s="15">
        <f t="shared" si="219"/>
        <v>1791.6666666666667</v>
      </c>
      <c r="M237" s="14">
        <f t="shared" si="219"/>
        <v>1212.6666666666667</v>
      </c>
      <c r="N237" s="13">
        <f t="shared" si="219"/>
        <v>661.33333333333337</v>
      </c>
      <c r="O237" s="155"/>
    </row>
    <row r="238" spans="1:15" outlineLevel="1" x14ac:dyDescent="0.2">
      <c r="A238" s="20">
        <f t="shared" si="218"/>
        <v>3565</v>
      </c>
      <c r="B238" s="19" t="str">
        <f t="shared" si="218"/>
        <v>TAMUC</v>
      </c>
      <c r="C238" s="18"/>
      <c r="D238" s="15">
        <f t="shared" si="219"/>
        <v>1324.3333333333333</v>
      </c>
      <c r="E238" s="116">
        <f t="shared" si="201"/>
        <v>582.70666666666659</v>
      </c>
      <c r="F238" s="14">
        <f t="shared" si="202"/>
        <v>28.19543536269185</v>
      </c>
      <c r="G238" s="13">
        <f t="shared" si="219"/>
        <v>2501.8266666666914</v>
      </c>
      <c r="H238" s="15">
        <f t="shared" si="219"/>
        <v>73</v>
      </c>
      <c r="I238" s="13">
        <f t="shared" si="219"/>
        <v>74.333333333333329</v>
      </c>
      <c r="J238" s="16">
        <f t="shared" ref="J238" si="223">AVERAGE(J280,J322,J364)</f>
        <v>753</v>
      </c>
      <c r="K238" s="16">
        <f t="shared" si="219"/>
        <v>1019.3333333333334</v>
      </c>
      <c r="L238" s="15">
        <f t="shared" si="219"/>
        <v>1893</v>
      </c>
      <c r="M238" s="14">
        <f t="shared" si="219"/>
        <v>1137.3333333333333</v>
      </c>
      <c r="N238" s="13">
        <f t="shared" si="219"/>
        <v>452.33333333333331</v>
      </c>
      <c r="O238" s="155"/>
    </row>
    <row r="239" spans="1:15" outlineLevel="1" x14ac:dyDescent="0.2">
      <c r="A239" s="20">
        <f t="shared" si="218"/>
        <v>29269</v>
      </c>
      <c r="B239" s="19" t="str">
        <f t="shared" si="218"/>
        <v>TAMUT</v>
      </c>
      <c r="C239" s="18"/>
      <c r="D239" s="15">
        <f t="shared" si="219"/>
        <v>345.66666666666669</v>
      </c>
      <c r="E239" s="116">
        <f t="shared" si="201"/>
        <v>187.3602625468375</v>
      </c>
      <c r="F239" s="14">
        <f t="shared" si="202"/>
        <v>38.766355140186917</v>
      </c>
      <c r="G239" s="13">
        <f t="shared" si="219"/>
        <v>619.90999999999826</v>
      </c>
      <c r="H239" s="15">
        <f t="shared" si="219"/>
        <v>41.666666666666664</v>
      </c>
      <c r="I239" s="13">
        <f t="shared" si="219"/>
        <v>19.333333333333332</v>
      </c>
      <c r="J239" s="16">
        <f t="shared" ref="J239" si="224">AVERAGE(J281,J323,J365)</f>
        <v>218</v>
      </c>
      <c r="K239" s="16">
        <f t="shared" si="219"/>
        <v>239</v>
      </c>
      <c r="L239" s="15">
        <f t="shared" si="219"/>
        <v>432.66666666666669</v>
      </c>
      <c r="M239" s="14">
        <f t="shared" si="219"/>
        <v>181</v>
      </c>
      <c r="N239" s="13">
        <f t="shared" si="219"/>
        <v>0.66666666666666663</v>
      </c>
      <c r="O239" s="155"/>
    </row>
    <row r="240" spans="1:15" outlineLevel="1" x14ac:dyDescent="0.2">
      <c r="A240" s="20">
        <f t="shared" si="218"/>
        <v>3652</v>
      </c>
      <c r="B240" s="19" t="str">
        <f t="shared" si="218"/>
        <v>UH</v>
      </c>
      <c r="C240" s="18"/>
      <c r="D240" s="15">
        <f t="shared" si="219"/>
        <v>5098.666666666667</v>
      </c>
      <c r="E240" s="116">
        <f t="shared" si="201"/>
        <v>2734.5848888888891</v>
      </c>
      <c r="F240" s="14">
        <f t="shared" si="202"/>
        <v>21.425049678026625</v>
      </c>
      <c r="G240" s="13">
        <f t="shared" si="219"/>
        <v>10580.246666665944</v>
      </c>
      <c r="H240" s="15">
        <f t="shared" si="219"/>
        <v>737</v>
      </c>
      <c r="I240" s="13">
        <f t="shared" si="219"/>
        <v>62.666666666666664</v>
      </c>
      <c r="J240" s="16">
        <f t="shared" ref="J240" si="225">AVERAGE(J282,J324,J366)</f>
        <v>1782.6666666666667</v>
      </c>
      <c r="K240" s="16">
        <f t="shared" si="219"/>
        <v>3373</v>
      </c>
      <c r="L240" s="15">
        <f t="shared" si="219"/>
        <v>7602.333333333333</v>
      </c>
      <c r="M240" s="14">
        <f t="shared" si="219"/>
        <v>5690.333333333333</v>
      </c>
      <c r="N240" s="13">
        <f t="shared" si="219"/>
        <v>3307.3333333333335</v>
      </c>
      <c r="O240" s="155"/>
    </row>
    <row r="241" spans="1:15" outlineLevel="1" x14ac:dyDescent="0.2">
      <c r="A241" s="20">
        <f t="shared" si="218"/>
        <v>11711</v>
      </c>
      <c r="B241" s="19" t="str">
        <f t="shared" si="218"/>
        <v>UHCL</v>
      </c>
      <c r="C241" s="18"/>
      <c r="D241" s="15">
        <f t="shared" si="219"/>
        <v>1190.6666666666667</v>
      </c>
      <c r="E241" s="116">
        <f t="shared" si="201"/>
        <v>619.34267935898833</v>
      </c>
      <c r="F241" s="14">
        <f t="shared" si="202"/>
        <v>39.693593314763234</v>
      </c>
      <c r="G241" s="13">
        <f t="shared" si="219"/>
        <v>2282.9533333333529</v>
      </c>
      <c r="H241" s="15">
        <f t="shared" si="219"/>
        <v>106.66666666666667</v>
      </c>
      <c r="I241" s="13">
        <f t="shared" si="219"/>
        <v>8.3333333333333339</v>
      </c>
      <c r="J241" s="16">
        <f t="shared" ref="J241" si="226">AVERAGE(J283,J325,J367)</f>
        <v>806.66666666666663</v>
      </c>
      <c r="K241" s="16">
        <f t="shared" si="219"/>
        <v>774.33333333333337</v>
      </c>
      <c r="L241" s="15">
        <f t="shared" si="219"/>
        <v>1391.3333333333333</v>
      </c>
      <c r="M241" s="14">
        <f t="shared" si="219"/>
        <v>953.66666666666663</v>
      </c>
      <c r="N241" s="13">
        <f t="shared" si="219"/>
        <v>57</v>
      </c>
      <c r="O241" s="155"/>
    </row>
    <row r="242" spans="1:15" outlineLevel="1" x14ac:dyDescent="0.2">
      <c r="A242" s="20">
        <f t="shared" si="218"/>
        <v>12826</v>
      </c>
      <c r="B242" s="19" t="str">
        <f t="shared" si="218"/>
        <v>UHD</v>
      </c>
      <c r="C242" s="18"/>
      <c r="D242" s="15">
        <f t="shared" si="219"/>
        <v>2382.3333333333335</v>
      </c>
      <c r="E242" s="116">
        <f t="shared" si="201"/>
        <v>452.64333333333343</v>
      </c>
      <c r="F242" s="14">
        <f t="shared" si="202"/>
        <v>29.833031863086134</v>
      </c>
      <c r="G242" s="13">
        <f t="shared" si="219"/>
        <v>4271.3166666667212</v>
      </c>
      <c r="H242" s="15">
        <f t="shared" si="219"/>
        <v>129.66666666666666</v>
      </c>
      <c r="I242" s="13">
        <f t="shared" si="219"/>
        <v>1.6666666666666667</v>
      </c>
      <c r="J242" s="16">
        <f t="shared" ref="J242" si="227">AVERAGE(J284,J326,J368)</f>
        <v>1049.3333333333333</v>
      </c>
      <c r="K242" s="16">
        <f t="shared" si="219"/>
        <v>1681</v>
      </c>
      <c r="L242" s="15">
        <f t="shared" si="219"/>
        <v>3105.3333333333335</v>
      </c>
      <c r="M242" s="14">
        <f t="shared" si="219"/>
        <v>1868.3333333333333</v>
      </c>
      <c r="N242" s="13">
        <f t="shared" si="219"/>
        <v>604.66666666666663</v>
      </c>
      <c r="O242" s="155"/>
    </row>
    <row r="243" spans="1:15" outlineLevel="1" x14ac:dyDescent="0.2">
      <c r="A243" s="20">
        <f t="shared" si="218"/>
        <v>13231</v>
      </c>
      <c r="B243" s="19" t="str">
        <f t="shared" si="218"/>
        <v>UHV</v>
      </c>
      <c r="C243" s="18"/>
      <c r="D243" s="15">
        <f t="shared" si="219"/>
        <v>576.66666666666663</v>
      </c>
      <c r="E243" s="116">
        <f t="shared" si="201"/>
        <v>300.19546283886069</v>
      </c>
      <c r="F243" s="14">
        <f t="shared" si="202"/>
        <v>40.08464889245883</v>
      </c>
      <c r="G243" s="13">
        <f t="shared" si="219"/>
        <v>1084.4800000000012</v>
      </c>
      <c r="H243" s="15">
        <f t="shared" si="219"/>
        <v>108</v>
      </c>
      <c r="I243" s="13">
        <f t="shared" si="219"/>
        <v>7.333333333333333</v>
      </c>
      <c r="J243" s="16">
        <f t="shared" ref="J243" si="228">AVERAGE(J285,J327,J369)</f>
        <v>415.33333333333331</v>
      </c>
      <c r="K243" s="16">
        <f t="shared" si="219"/>
        <v>384</v>
      </c>
      <c r="L243" s="15">
        <f t="shared" si="219"/>
        <v>716</v>
      </c>
      <c r="M243" s="14">
        <f t="shared" si="219"/>
        <v>296.33333333333331</v>
      </c>
      <c r="N243" s="13">
        <f t="shared" si="219"/>
        <v>6.666666666666667</v>
      </c>
      <c r="O243" s="155"/>
    </row>
    <row r="244" spans="1:15" outlineLevel="1" x14ac:dyDescent="0.2">
      <c r="A244" s="20">
        <f t="shared" si="218"/>
        <v>3592</v>
      </c>
      <c r="B244" s="19" t="str">
        <f t="shared" si="218"/>
        <v>Midwestern</v>
      </c>
      <c r="C244" s="18"/>
      <c r="D244" s="15">
        <f t="shared" si="219"/>
        <v>1031.6666666666667</v>
      </c>
      <c r="E244" s="116">
        <f t="shared" si="201"/>
        <v>453.24555555555554</v>
      </c>
      <c r="F244" s="14">
        <f t="shared" si="202"/>
        <v>24.122522148034601</v>
      </c>
      <c r="G244" s="13">
        <f t="shared" si="219"/>
        <v>1962.0000000000034</v>
      </c>
      <c r="H244" s="15">
        <f t="shared" si="219"/>
        <v>333.33333333333331</v>
      </c>
      <c r="I244" s="13">
        <f t="shared" si="219"/>
        <v>15</v>
      </c>
      <c r="J244" s="16">
        <f t="shared" ref="J244" si="229">AVERAGE(J286,J328,J370)</f>
        <v>251.33333333333334</v>
      </c>
      <c r="K244" s="16">
        <f t="shared" si="219"/>
        <v>690.33333333333337</v>
      </c>
      <c r="L244" s="15">
        <f t="shared" si="219"/>
        <v>1438</v>
      </c>
      <c r="M244" s="14">
        <f t="shared" si="219"/>
        <v>1046</v>
      </c>
      <c r="N244" s="13">
        <f t="shared" si="219"/>
        <v>679.66666666666663</v>
      </c>
      <c r="O244" s="155"/>
    </row>
    <row r="245" spans="1:15" outlineLevel="1" x14ac:dyDescent="0.2">
      <c r="A245" s="20">
        <f t="shared" si="218"/>
        <v>3594</v>
      </c>
      <c r="B245" s="19" t="str">
        <f t="shared" si="218"/>
        <v>UNT</v>
      </c>
      <c r="C245" s="18"/>
      <c r="D245" s="15">
        <f t="shared" si="219"/>
        <v>6016.666666666667</v>
      </c>
      <c r="E245" s="116">
        <f t="shared" si="201"/>
        <v>3467.6055555555558</v>
      </c>
      <c r="F245" s="14">
        <f t="shared" si="202"/>
        <v>25.886944566084125</v>
      </c>
      <c r="G245" s="13">
        <f t="shared" si="219"/>
        <v>11411.553333332529</v>
      </c>
      <c r="H245" s="15">
        <f t="shared" si="219"/>
        <v>336.66666666666669</v>
      </c>
      <c r="I245" s="13">
        <f t="shared" si="219"/>
        <v>43.333333333333336</v>
      </c>
      <c r="J245" s="16">
        <f t="shared" ref="J245" si="230">AVERAGE(J287,J329,J371)</f>
        <v>2290</v>
      </c>
      <c r="K245" s="16">
        <f t="shared" si="219"/>
        <v>3820</v>
      </c>
      <c r="L245" s="15">
        <f t="shared" si="219"/>
        <v>7864.666666666667</v>
      </c>
      <c r="M245" s="14">
        <f t="shared" si="219"/>
        <v>5642.333333333333</v>
      </c>
      <c r="N245" s="13">
        <f t="shared" si="219"/>
        <v>3337</v>
      </c>
      <c r="O245" s="155"/>
    </row>
    <row r="246" spans="1:15" outlineLevel="1" x14ac:dyDescent="0.2">
      <c r="A246" s="27">
        <f t="shared" si="218"/>
        <v>113594</v>
      </c>
      <c r="B246" s="19" t="str">
        <f t="shared" si="218"/>
        <v>UNTD</v>
      </c>
      <c r="C246" s="18"/>
      <c r="D246" s="15">
        <f t="shared" si="219"/>
        <v>403.5</v>
      </c>
      <c r="E246" s="116">
        <f t="shared" si="201"/>
        <v>233.02125000000001</v>
      </c>
      <c r="F246" s="14">
        <f t="shared" si="202"/>
        <v>42.647266065388948</v>
      </c>
      <c r="G246" s="13">
        <f t="shared" si="219"/>
        <v>705.85999999999717</v>
      </c>
      <c r="H246" s="15">
        <f t="shared" si="219"/>
        <v>12</v>
      </c>
      <c r="I246" s="13">
        <f t="shared" si="219"/>
        <v>0</v>
      </c>
      <c r="J246" s="16">
        <f t="shared" ref="J246" si="231">AVERAGE(J288,J330,J372)</f>
        <v>0</v>
      </c>
      <c r="K246" s="16">
        <f t="shared" si="219"/>
        <v>308.5</v>
      </c>
      <c r="L246" s="15">
        <f t="shared" si="219"/>
        <v>478</v>
      </c>
      <c r="M246" s="14">
        <f t="shared" si="219"/>
        <v>71.5</v>
      </c>
      <c r="N246" s="13">
        <f t="shared" si="219"/>
        <v>11</v>
      </c>
      <c r="O246" s="155"/>
    </row>
    <row r="247" spans="1:15" outlineLevel="1" x14ac:dyDescent="0.2">
      <c r="A247" s="20">
        <f t="shared" si="218"/>
        <v>3624</v>
      </c>
      <c r="B247" s="19" t="str">
        <f t="shared" si="218"/>
        <v>SFA</v>
      </c>
      <c r="C247" s="18"/>
      <c r="D247" s="15">
        <f t="shared" si="219"/>
        <v>1921.6666666666667</v>
      </c>
      <c r="E247" s="116">
        <f t="shared" si="201"/>
        <v>1064.6033333333332</v>
      </c>
      <c r="F247" s="14">
        <f t="shared" si="202"/>
        <v>20.257544310083915</v>
      </c>
      <c r="G247" s="13">
        <f t="shared" si="219"/>
        <v>3721.736666666669</v>
      </c>
      <c r="H247" s="15">
        <f t="shared" si="219"/>
        <v>248</v>
      </c>
      <c r="I247" s="13">
        <f t="shared" si="219"/>
        <v>44.666666666666664</v>
      </c>
      <c r="J247" s="16">
        <f t="shared" ref="J247" si="232">AVERAGE(J289,J331,J373)</f>
        <v>563.33333333333337</v>
      </c>
      <c r="K247" s="16">
        <f t="shared" si="219"/>
        <v>1460.3333333333333</v>
      </c>
      <c r="L247" s="15">
        <f t="shared" si="219"/>
        <v>2769.3333333333335</v>
      </c>
      <c r="M247" s="14">
        <f t="shared" si="219"/>
        <v>2075</v>
      </c>
      <c r="N247" s="13">
        <f t="shared" si="219"/>
        <v>1397.3333333333333</v>
      </c>
      <c r="O247" s="155"/>
    </row>
    <row r="248" spans="1:15" outlineLevel="1" x14ac:dyDescent="0.2">
      <c r="A248" s="20">
        <f t="shared" si="218"/>
        <v>3642</v>
      </c>
      <c r="B248" s="19" t="str">
        <f t="shared" si="218"/>
        <v>TSU</v>
      </c>
      <c r="C248" s="18"/>
      <c r="D248" s="15">
        <f t="shared" si="219"/>
        <v>758.33333333333337</v>
      </c>
      <c r="E248" s="116">
        <f t="shared" si="201"/>
        <v>108.94722222222221</v>
      </c>
      <c r="F248" s="14">
        <f t="shared" si="202"/>
        <v>12.933681010892716</v>
      </c>
      <c r="G248" s="13">
        <f t="shared" si="219"/>
        <v>1488.6533333333352</v>
      </c>
      <c r="H248" s="15">
        <f t="shared" si="219"/>
        <v>134.33333333333334</v>
      </c>
      <c r="I248" s="13">
        <f t="shared" si="219"/>
        <v>3</v>
      </c>
      <c r="J248" s="16">
        <f t="shared" ref="J248" si="233">AVERAGE(J290,J332,J374)</f>
        <v>113</v>
      </c>
      <c r="K248" s="16">
        <f t="shared" si="219"/>
        <v>666.33333333333337</v>
      </c>
      <c r="L248" s="15">
        <f t="shared" si="219"/>
        <v>1637.3333333333333</v>
      </c>
      <c r="M248" s="14">
        <f t="shared" si="219"/>
        <v>1133</v>
      </c>
      <c r="N248" s="13">
        <f t="shared" si="219"/>
        <v>848.66666666666663</v>
      </c>
      <c r="O248" s="155"/>
    </row>
    <row r="249" spans="1:15" outlineLevel="1" x14ac:dyDescent="0.2">
      <c r="A249" s="20">
        <f t="shared" si="218"/>
        <v>3644</v>
      </c>
      <c r="B249" s="19" t="str">
        <f t="shared" si="218"/>
        <v>TTU</v>
      </c>
      <c r="C249" s="18"/>
      <c r="D249" s="15">
        <f t="shared" si="219"/>
        <v>4674</v>
      </c>
      <c r="E249" s="116">
        <f t="shared" si="201"/>
        <v>3421.3679999999995</v>
      </c>
      <c r="F249" s="14">
        <f t="shared" si="202"/>
        <v>21.061243127033354</v>
      </c>
      <c r="G249" s="13">
        <f t="shared" si="219"/>
        <v>10128.113333332682</v>
      </c>
      <c r="H249" s="15">
        <f t="shared" si="219"/>
        <v>727.33333333333337</v>
      </c>
      <c r="I249" s="13">
        <f t="shared" si="219"/>
        <v>57.333333333333336</v>
      </c>
      <c r="J249" s="16">
        <f t="shared" ref="J249" si="234">AVERAGE(J291,J333,J375)</f>
        <v>1123.6666666666667</v>
      </c>
      <c r="K249" s="16">
        <f t="shared" si="219"/>
        <v>2778</v>
      </c>
      <c r="L249" s="15">
        <f t="shared" si="219"/>
        <v>6485.333333333333</v>
      </c>
      <c r="M249" s="14">
        <f t="shared" si="219"/>
        <v>5278.333333333333</v>
      </c>
      <c r="N249" s="13">
        <f t="shared" si="219"/>
        <v>3945.6666666666665</v>
      </c>
      <c r="O249" s="155"/>
    </row>
    <row r="250" spans="1:15" outlineLevel="1" x14ac:dyDescent="0.2">
      <c r="A250" s="20">
        <f t="shared" si="218"/>
        <v>3541</v>
      </c>
      <c r="B250" s="19" t="str">
        <f t="shared" si="218"/>
        <v>Angelo</v>
      </c>
      <c r="C250" s="18"/>
      <c r="D250" s="15">
        <f t="shared" si="219"/>
        <v>991.33333333333337</v>
      </c>
      <c r="E250" s="116">
        <f t="shared" si="201"/>
        <v>425.94288888888889</v>
      </c>
      <c r="F250" s="14">
        <f t="shared" si="202"/>
        <v>20.305700708264297</v>
      </c>
      <c r="G250" s="13">
        <f t="shared" si="219"/>
        <v>1977.3500000000051</v>
      </c>
      <c r="H250" s="15">
        <f t="shared" si="219"/>
        <v>254.33333333333334</v>
      </c>
      <c r="I250" s="13">
        <f t="shared" si="219"/>
        <v>19.333333333333332</v>
      </c>
      <c r="J250" s="16">
        <f t="shared" ref="J250" si="235">AVERAGE(J292,J334,J376)</f>
        <v>194.33333333333334</v>
      </c>
      <c r="K250" s="16">
        <f t="shared" si="219"/>
        <v>723</v>
      </c>
      <c r="L250" s="15">
        <f t="shared" si="219"/>
        <v>1438.6666666666667</v>
      </c>
      <c r="M250" s="14">
        <f t="shared" si="219"/>
        <v>1033.6666666666667</v>
      </c>
      <c r="N250" s="13">
        <f t="shared" si="219"/>
        <v>707.66666666666663</v>
      </c>
      <c r="O250" s="155"/>
    </row>
    <row r="251" spans="1:15" outlineLevel="1" x14ac:dyDescent="0.2">
      <c r="A251" s="20">
        <f t="shared" ref="A251:B256" si="236">A209</f>
        <v>3646</v>
      </c>
      <c r="B251" s="19" t="str">
        <f t="shared" si="236"/>
        <v>TWU</v>
      </c>
      <c r="C251" s="18"/>
      <c r="D251" s="15">
        <f t="shared" ref="D251:N256" si="237">AVERAGE(D293,D335,D377)</f>
        <v>1806</v>
      </c>
      <c r="E251" s="116">
        <f t="shared" si="201"/>
        <v>945.74200000000008</v>
      </c>
      <c r="F251" s="14">
        <f t="shared" si="202"/>
        <v>27.545604295039961</v>
      </c>
      <c r="G251" s="13">
        <f t="shared" si="237"/>
        <v>3452.1766666666658</v>
      </c>
      <c r="H251" s="15">
        <f t="shared" si="237"/>
        <v>569.33333333333337</v>
      </c>
      <c r="I251" s="13">
        <f t="shared" si="237"/>
        <v>31.666666666666668</v>
      </c>
      <c r="J251" s="16">
        <f t="shared" ref="J251" si="238">AVERAGE(J293,J335,J377)</f>
        <v>803.33333333333337</v>
      </c>
      <c r="K251" s="16">
        <f t="shared" si="237"/>
        <v>1247</v>
      </c>
      <c r="L251" s="15">
        <f t="shared" si="237"/>
        <v>2196</v>
      </c>
      <c r="M251" s="14">
        <f t="shared" si="237"/>
        <v>1292.3333333333333</v>
      </c>
      <c r="N251" s="13">
        <f t="shared" si="237"/>
        <v>659.66666666666663</v>
      </c>
      <c r="O251" s="155"/>
    </row>
    <row r="252" spans="1:15" outlineLevel="1" x14ac:dyDescent="0.2">
      <c r="A252" s="20">
        <f t="shared" si="236"/>
        <v>3581</v>
      </c>
      <c r="B252" s="19" t="str">
        <f t="shared" si="236"/>
        <v>Lamar</v>
      </c>
      <c r="C252" s="18"/>
      <c r="D252" s="15">
        <f t="shared" si="237"/>
        <v>1335.3333333333333</v>
      </c>
      <c r="E252" s="116">
        <f t="shared" si="201"/>
        <v>467.81177777777776</v>
      </c>
      <c r="F252" s="14">
        <f t="shared" si="202"/>
        <v>18.354929164452098</v>
      </c>
      <c r="G252" s="13">
        <f t="shared" si="237"/>
        <v>2684.9000000000165</v>
      </c>
      <c r="H252" s="15">
        <f t="shared" si="237"/>
        <v>330</v>
      </c>
      <c r="I252" s="13">
        <f t="shared" si="237"/>
        <v>17</v>
      </c>
      <c r="J252" s="16">
        <f t="shared" ref="J252" si="239">AVERAGE(J294,J336,J378)</f>
        <v>233.66666666666666</v>
      </c>
      <c r="K252" s="16">
        <f t="shared" si="237"/>
        <v>948.66666666666663</v>
      </c>
      <c r="L252" s="15">
        <f t="shared" si="237"/>
        <v>2144.6666666666665</v>
      </c>
      <c r="M252" s="14">
        <f t="shared" si="237"/>
        <v>1489</v>
      </c>
      <c r="N252" s="13">
        <f t="shared" si="237"/>
        <v>1011</v>
      </c>
      <c r="O252" s="155"/>
    </row>
    <row r="253" spans="1:15" outlineLevel="1" x14ac:dyDescent="0.2">
      <c r="A253" s="20">
        <f t="shared" si="236"/>
        <v>3606</v>
      </c>
      <c r="B253" s="19" t="str">
        <f t="shared" si="236"/>
        <v>SHSU</v>
      </c>
      <c r="C253" s="18"/>
      <c r="D253" s="15">
        <f t="shared" si="237"/>
        <v>3077.6666666666665</v>
      </c>
      <c r="E253" s="116">
        <f t="shared" si="201"/>
        <v>1805.5644444444445</v>
      </c>
      <c r="F253" s="14">
        <f t="shared" si="202"/>
        <v>24.475654239301015</v>
      </c>
      <c r="G253" s="13">
        <f t="shared" si="237"/>
        <v>5837.0766666667887</v>
      </c>
      <c r="H253" s="15">
        <f t="shared" si="237"/>
        <v>167</v>
      </c>
      <c r="I253" s="13">
        <f t="shared" si="237"/>
        <v>61</v>
      </c>
      <c r="J253" s="16">
        <f t="shared" ref="J253" si="240">AVERAGE(J295,J337,J379)</f>
        <v>1281.6666666666667</v>
      </c>
      <c r="K253" s="16">
        <f t="shared" si="237"/>
        <v>2213.6666666666665</v>
      </c>
      <c r="L253" s="15">
        <f t="shared" si="237"/>
        <v>3894.3333333333335</v>
      </c>
      <c r="M253" s="14">
        <f t="shared" si="237"/>
        <v>2965.3333333333335</v>
      </c>
      <c r="N253" s="13">
        <f t="shared" si="237"/>
        <v>1763.3333333333333</v>
      </c>
    </row>
    <row r="254" spans="1:15" outlineLevel="1" x14ac:dyDescent="0.2">
      <c r="A254" s="20">
        <f t="shared" si="236"/>
        <v>3615</v>
      </c>
      <c r="B254" s="19" t="str">
        <f t="shared" si="236"/>
        <v>TXST</v>
      </c>
      <c r="C254" s="18"/>
      <c r="D254" s="15">
        <f t="shared" si="237"/>
        <v>5361</v>
      </c>
      <c r="E254" s="116">
        <f t="shared" si="201"/>
        <v>3393.5129999999999</v>
      </c>
      <c r="F254" s="14">
        <f t="shared" si="202"/>
        <v>23.406891519786395</v>
      </c>
      <c r="G254" s="13">
        <f t="shared" si="237"/>
        <v>10437.309999999357</v>
      </c>
      <c r="H254" s="15">
        <f t="shared" si="237"/>
        <v>488.66666666666669</v>
      </c>
      <c r="I254" s="13">
        <f t="shared" si="237"/>
        <v>66.666666666666671</v>
      </c>
      <c r="J254" s="16">
        <f t="shared" ref="J254" si="241">AVERAGE(J296,J338,J380)</f>
        <v>2011.6666666666667</v>
      </c>
      <c r="K254" s="16">
        <f t="shared" si="237"/>
        <v>3675.3333333333335</v>
      </c>
      <c r="L254" s="15">
        <f t="shared" si="237"/>
        <v>7470.333333333333</v>
      </c>
      <c r="M254" s="14">
        <f t="shared" si="237"/>
        <v>5579</v>
      </c>
      <c r="N254" s="13">
        <f t="shared" si="237"/>
        <v>3317.3333333333335</v>
      </c>
    </row>
    <row r="255" spans="1:15" outlineLevel="1" x14ac:dyDescent="0.2">
      <c r="A255" s="20">
        <f t="shared" si="236"/>
        <v>3625</v>
      </c>
      <c r="B255" s="19" t="str">
        <f t="shared" si="236"/>
        <v>SRSU</v>
      </c>
      <c r="C255" s="18"/>
      <c r="D255" s="15">
        <f t="shared" si="237"/>
        <v>189.33333333333334</v>
      </c>
      <c r="E255" s="116">
        <f t="shared" si="201"/>
        <v>56.989333333333335</v>
      </c>
      <c r="F255" s="14">
        <f t="shared" si="202"/>
        <v>15.518843008324076</v>
      </c>
      <c r="G255" s="13">
        <f t="shared" si="237"/>
        <v>394.32999999999964</v>
      </c>
      <c r="H255" s="15">
        <f t="shared" si="237"/>
        <v>12.666666666666666</v>
      </c>
      <c r="I255" s="13">
        <f t="shared" si="237"/>
        <v>6.333333333333333</v>
      </c>
      <c r="J255" s="16">
        <f t="shared" ref="J255" si="242">AVERAGE(J297,J339,J381)</f>
        <v>43.333333333333336</v>
      </c>
      <c r="K255" s="16">
        <f t="shared" si="237"/>
        <v>163</v>
      </c>
      <c r="L255" s="15">
        <f t="shared" si="237"/>
        <v>300</v>
      </c>
      <c r="M255" s="14">
        <f t="shared" si="237"/>
        <v>193.66666666666666</v>
      </c>
      <c r="N255" s="13">
        <f t="shared" si="237"/>
        <v>131.66666666666666</v>
      </c>
      <c r="O255" s="156"/>
    </row>
    <row r="256" spans="1:15" outlineLevel="1" x14ac:dyDescent="0.2">
      <c r="A256" s="20">
        <f t="shared" si="236"/>
        <v>20</v>
      </c>
      <c r="B256" s="19" t="str">
        <f t="shared" si="236"/>
        <v>SRRG</v>
      </c>
      <c r="C256" s="18"/>
      <c r="D256" s="15">
        <f t="shared" si="237"/>
        <v>161.66666666666666</v>
      </c>
      <c r="E256" s="116">
        <f t="shared" si="201"/>
        <v>51.365976618337754</v>
      </c>
      <c r="F256" s="14">
        <f t="shared" si="202"/>
        <v>36.596408270033706</v>
      </c>
      <c r="G256" s="13">
        <f t="shared" si="237"/>
        <v>279.16999999999979</v>
      </c>
      <c r="H256" s="15">
        <f t="shared" si="237"/>
        <v>6.333333333333333</v>
      </c>
      <c r="I256" s="13">
        <f t="shared" si="237"/>
        <v>5.666666666666667</v>
      </c>
      <c r="J256" s="16">
        <f t="shared" ref="J256" si="243">AVERAGE(J298,J340,J382)</f>
        <v>115</v>
      </c>
      <c r="K256" s="16">
        <f t="shared" si="237"/>
        <v>144</v>
      </c>
      <c r="L256" s="15">
        <f t="shared" si="237"/>
        <v>230</v>
      </c>
      <c r="M256" s="14">
        <f t="shared" si="237"/>
        <v>92.666666666666671</v>
      </c>
      <c r="N256" s="13">
        <f t="shared" si="237"/>
        <v>4.333333333333333</v>
      </c>
    </row>
    <row r="257" spans="1:15" ht="13.5" outlineLevel="1" thickBot="1" x14ac:dyDescent="0.25">
      <c r="A257" s="12"/>
      <c r="B257" s="11" t="s">
        <v>11</v>
      </c>
      <c r="C257" s="10"/>
      <c r="D257" s="9">
        <f>SUM(D219:D256)</f>
        <v>84315.833333333314</v>
      </c>
      <c r="E257" s="117">
        <f>SUM(E219:E256)</f>
        <v>49031.80588920939</v>
      </c>
      <c r="F257" s="7">
        <f t="shared" ref="F257:N257" si="244">SUM(F219:F256)</f>
        <v>1017.4700431877567</v>
      </c>
      <c r="G257" s="3">
        <f t="shared" si="244"/>
        <v>172461.13999999844</v>
      </c>
      <c r="H257" s="5">
        <f t="shared" si="244"/>
        <v>13953.333333333332</v>
      </c>
      <c r="I257" s="3">
        <f t="shared" si="244"/>
        <v>1198.3333333333335</v>
      </c>
      <c r="J257" s="6">
        <f t="shared" ref="J257" si="245">SUM(J219:J256)</f>
        <v>29136.333333333332</v>
      </c>
      <c r="K257" s="6">
        <f t="shared" si="244"/>
        <v>54446.500000000007</v>
      </c>
      <c r="L257" s="5">
        <f t="shared" si="244"/>
        <v>114212.66666666664</v>
      </c>
      <c r="M257" s="4">
        <f t="shared" si="244"/>
        <v>82344.5</v>
      </c>
      <c r="N257" s="3">
        <f t="shared" si="244"/>
        <v>50801.999999999993</v>
      </c>
    </row>
    <row r="258" spans="1:15" ht="13.5" thickBot="1" x14ac:dyDescent="0.25">
      <c r="A258" s="42" t="s">
        <v>27</v>
      </c>
      <c r="B258" s="42"/>
      <c r="C258" s="42"/>
      <c r="D258" s="51"/>
      <c r="F258" s="51"/>
      <c r="J258" s="51"/>
      <c r="K258" s="51"/>
    </row>
    <row r="259" spans="1:15" ht="12.75" customHeight="1" outlineLevel="1" x14ac:dyDescent="0.2">
      <c r="A259" s="234" t="s">
        <v>24</v>
      </c>
      <c r="B259" s="236" t="s">
        <v>23</v>
      </c>
      <c r="C259" s="238"/>
      <c r="D259" s="240" t="s">
        <v>22</v>
      </c>
      <c r="E259" s="242" t="s">
        <v>21</v>
      </c>
      <c r="F259" s="236" t="s">
        <v>20</v>
      </c>
      <c r="G259" s="221" t="s">
        <v>19</v>
      </c>
      <c r="H259" s="223" t="s">
        <v>18</v>
      </c>
      <c r="I259" s="225" t="s">
        <v>17</v>
      </c>
      <c r="J259" s="227" t="str">
        <f>J3</f>
        <v>Under Graduate Transfer Degrees</v>
      </c>
      <c r="K259" s="227" t="s">
        <v>16</v>
      </c>
      <c r="L259" s="229" t="s">
        <v>15</v>
      </c>
      <c r="M259" s="230"/>
      <c r="N259" s="231"/>
    </row>
    <row r="260" spans="1:15" s="41" customFormat="1" ht="36" customHeight="1" outlineLevel="1" thickBot="1" x14ac:dyDescent="0.25">
      <c r="A260" s="273"/>
      <c r="B260" s="270"/>
      <c r="C260" s="274"/>
      <c r="D260" s="275"/>
      <c r="E260" s="276"/>
      <c r="F260" s="270"/>
      <c r="G260" s="271"/>
      <c r="H260" s="272"/>
      <c r="I260" s="265"/>
      <c r="J260" s="266"/>
      <c r="K260" s="266"/>
      <c r="L260" s="125" t="s">
        <v>14</v>
      </c>
      <c r="M260" s="126" t="s">
        <v>13</v>
      </c>
      <c r="N260" s="135" t="s">
        <v>12</v>
      </c>
      <c r="O260" s="154"/>
    </row>
    <row r="261" spans="1:15" outlineLevel="1" x14ac:dyDescent="0.2">
      <c r="A261" s="40">
        <f t="shared" ref="A261:B276" si="246">A219</f>
        <v>3656</v>
      </c>
      <c r="B261" s="39" t="str">
        <f t="shared" si="246"/>
        <v>UTA</v>
      </c>
      <c r="C261" s="38"/>
      <c r="D261" s="33">
        <v>5773</v>
      </c>
      <c r="E261" s="37">
        <v>0.55500000000000005</v>
      </c>
      <c r="F261" s="32">
        <v>17781.466666666667</v>
      </c>
      <c r="G261" s="48">
        <v>12087.560000000249</v>
      </c>
      <c r="H261" s="36">
        <v>2140</v>
      </c>
      <c r="I261" s="35">
        <v>43</v>
      </c>
      <c r="J261" s="34">
        <v>2471</v>
      </c>
      <c r="K261" s="34">
        <v>3528</v>
      </c>
      <c r="L261" s="50">
        <v>6893</v>
      </c>
      <c r="M261" s="49">
        <v>3962</v>
      </c>
      <c r="N261" s="48">
        <v>1894</v>
      </c>
    </row>
    <row r="262" spans="1:15" outlineLevel="1" x14ac:dyDescent="0.2">
      <c r="A262" s="20">
        <f t="shared" si="246"/>
        <v>3658</v>
      </c>
      <c r="B262" s="19" t="str">
        <f t="shared" si="246"/>
        <v>UT</v>
      </c>
      <c r="C262" s="18"/>
      <c r="D262" s="15">
        <v>8860</v>
      </c>
      <c r="E262" s="21">
        <v>0.82499999999999996</v>
      </c>
      <c r="F262" s="14">
        <v>33841.466666666667</v>
      </c>
      <c r="G262" s="28">
        <v>19542.67999999996</v>
      </c>
      <c r="H262" s="15">
        <v>1981</v>
      </c>
      <c r="I262" s="13">
        <v>83</v>
      </c>
      <c r="J262" s="16">
        <v>1223</v>
      </c>
      <c r="K262" s="16">
        <v>3501</v>
      </c>
      <c r="L262" s="30">
        <v>9260</v>
      </c>
      <c r="M262" s="29">
        <v>8373</v>
      </c>
      <c r="N262" s="28">
        <v>6348</v>
      </c>
    </row>
    <row r="263" spans="1:15" outlineLevel="1" x14ac:dyDescent="0.2">
      <c r="A263" s="20">
        <f t="shared" si="246"/>
        <v>9741</v>
      </c>
      <c r="B263" s="19" t="str">
        <f t="shared" si="246"/>
        <v>UTD</v>
      </c>
      <c r="C263" s="18"/>
      <c r="D263" s="15">
        <v>2510</v>
      </c>
      <c r="E263" s="21">
        <v>0.71900000000000008</v>
      </c>
      <c r="F263" s="14">
        <v>9826.5333333333328</v>
      </c>
      <c r="G263" s="28">
        <v>5443.8700000002518</v>
      </c>
      <c r="H263" s="15">
        <v>449</v>
      </c>
      <c r="I263" s="13">
        <v>33</v>
      </c>
      <c r="J263" s="16">
        <v>1107</v>
      </c>
      <c r="K263" s="16">
        <v>1410</v>
      </c>
      <c r="L263" s="30">
        <v>3522</v>
      </c>
      <c r="M263" s="29">
        <v>2348</v>
      </c>
      <c r="N263" s="28">
        <v>1065</v>
      </c>
    </row>
    <row r="264" spans="1:15" outlineLevel="1" x14ac:dyDescent="0.2">
      <c r="A264" s="20">
        <f t="shared" si="246"/>
        <v>3661</v>
      </c>
      <c r="B264" s="19" t="str">
        <f t="shared" si="246"/>
        <v>UTEP</v>
      </c>
      <c r="C264" s="18"/>
      <c r="D264" s="15">
        <v>3132</v>
      </c>
      <c r="E264" s="21">
        <v>0.41200000000000003</v>
      </c>
      <c r="F264" s="14">
        <v>13931.066666666668</v>
      </c>
      <c r="G264" s="28">
        <v>6456.0600000003096</v>
      </c>
      <c r="H264" s="15">
        <v>643</v>
      </c>
      <c r="I264" s="13">
        <v>86</v>
      </c>
      <c r="J264" s="16">
        <v>1212</v>
      </c>
      <c r="K264" s="16">
        <v>2590</v>
      </c>
      <c r="L264" s="30">
        <v>4400</v>
      </c>
      <c r="M264" s="29">
        <v>3304</v>
      </c>
      <c r="N264" s="28">
        <v>1986</v>
      </c>
    </row>
    <row r="265" spans="1:15" outlineLevel="1" x14ac:dyDescent="0.2">
      <c r="A265" s="20">
        <f t="shared" si="246"/>
        <v>3599</v>
      </c>
      <c r="B265" s="19" t="str">
        <f t="shared" si="246"/>
        <v>UTPA</v>
      </c>
      <c r="C265" s="18"/>
      <c r="D265" s="15">
        <v>2462</v>
      </c>
      <c r="E265" s="21">
        <v>0.44</v>
      </c>
      <c r="F265" s="14">
        <v>12698.333333333334</v>
      </c>
      <c r="G265" s="28">
        <v>5000.2800000001325</v>
      </c>
      <c r="H265" s="15">
        <v>547</v>
      </c>
      <c r="I265" s="13">
        <v>19</v>
      </c>
      <c r="J265" s="16">
        <v>876</v>
      </c>
      <c r="K265" s="16">
        <v>2247</v>
      </c>
      <c r="L265" s="30">
        <v>3730</v>
      </c>
      <c r="M265" s="29">
        <v>2862</v>
      </c>
      <c r="N265" s="28">
        <v>1896</v>
      </c>
    </row>
    <row r="266" spans="1:15" outlineLevel="1" x14ac:dyDescent="0.2">
      <c r="A266" s="20">
        <f t="shared" si="246"/>
        <v>30646</v>
      </c>
      <c r="B266" s="19" t="str">
        <f t="shared" si="246"/>
        <v>UTB</v>
      </c>
      <c r="C266" s="18"/>
      <c r="D266" s="15">
        <v>1149</v>
      </c>
      <c r="E266" s="17">
        <v>0.52783109404990403</v>
      </c>
      <c r="F266" s="14">
        <v>3400.5333333333333</v>
      </c>
      <c r="G266" s="28">
        <v>2236.3100000000127</v>
      </c>
      <c r="H266" s="15">
        <v>133</v>
      </c>
      <c r="I266" s="13">
        <v>21</v>
      </c>
      <c r="J266" s="16">
        <v>910</v>
      </c>
      <c r="K266" s="16">
        <v>978</v>
      </c>
      <c r="L266" s="30">
        <v>1243</v>
      </c>
      <c r="M266" s="29">
        <v>486</v>
      </c>
      <c r="N266" s="28">
        <v>99</v>
      </c>
    </row>
    <row r="267" spans="1:15" outlineLevel="1" x14ac:dyDescent="0.2">
      <c r="A267" s="20">
        <f t="shared" si="246"/>
        <v>9930</v>
      </c>
      <c r="B267" s="19" t="str">
        <f t="shared" si="246"/>
        <v>UTPB</v>
      </c>
      <c r="C267" s="18"/>
      <c r="D267" s="15">
        <v>546</v>
      </c>
      <c r="E267" s="21">
        <v>0.47899999999999998</v>
      </c>
      <c r="F267" s="14">
        <v>2343.2666666666669</v>
      </c>
      <c r="G267" s="28">
        <v>1054.6599999999951</v>
      </c>
      <c r="H267" s="15">
        <v>51</v>
      </c>
      <c r="I267" s="13">
        <v>7</v>
      </c>
      <c r="J267" s="16">
        <v>248</v>
      </c>
      <c r="K267" s="16">
        <v>411</v>
      </c>
      <c r="L267" s="30">
        <v>742</v>
      </c>
      <c r="M267" s="29">
        <v>535</v>
      </c>
      <c r="N267" s="28">
        <v>210</v>
      </c>
    </row>
    <row r="268" spans="1:15" outlineLevel="1" x14ac:dyDescent="0.2">
      <c r="A268" s="20">
        <f t="shared" si="246"/>
        <v>10115</v>
      </c>
      <c r="B268" s="19" t="str">
        <f t="shared" si="246"/>
        <v>UTSA</v>
      </c>
      <c r="C268" s="18"/>
      <c r="D268" s="15">
        <v>4243</v>
      </c>
      <c r="E268" s="21">
        <v>0.43099999999999999</v>
      </c>
      <c r="F268" s="14">
        <v>21066.866666666665</v>
      </c>
      <c r="G268" s="28">
        <v>8736.7000000001954</v>
      </c>
      <c r="H268" s="15">
        <v>407</v>
      </c>
      <c r="I268" s="13">
        <v>63</v>
      </c>
      <c r="J268" s="16">
        <v>1404</v>
      </c>
      <c r="K268" s="16">
        <v>3204</v>
      </c>
      <c r="L268" s="30">
        <v>6815</v>
      </c>
      <c r="M268" s="29">
        <v>4371</v>
      </c>
      <c r="N268" s="28">
        <v>2560</v>
      </c>
    </row>
    <row r="269" spans="1:15" outlineLevel="1" x14ac:dyDescent="0.2">
      <c r="A269" s="20">
        <f t="shared" si="246"/>
        <v>11163</v>
      </c>
      <c r="B269" s="19" t="str">
        <f t="shared" si="246"/>
        <v>UTT</v>
      </c>
      <c r="C269" s="18"/>
      <c r="D269" s="15">
        <v>1144</v>
      </c>
      <c r="E269" s="21">
        <v>0.51800000000000002</v>
      </c>
      <c r="F269" s="14">
        <v>4086.7333333333331</v>
      </c>
      <c r="G269" s="28">
        <v>2263.8699999999944</v>
      </c>
      <c r="H269" s="15">
        <v>392</v>
      </c>
      <c r="I269" s="13">
        <v>23</v>
      </c>
      <c r="J269" s="16">
        <v>599</v>
      </c>
      <c r="K269" s="16">
        <v>886</v>
      </c>
      <c r="L269" s="30">
        <v>1409</v>
      </c>
      <c r="M269" s="29">
        <v>844</v>
      </c>
      <c r="N269" s="28">
        <v>383</v>
      </c>
    </row>
    <row r="270" spans="1:15" outlineLevel="1" x14ac:dyDescent="0.2">
      <c r="A270" s="20">
        <f t="shared" si="246"/>
        <v>3632</v>
      </c>
      <c r="B270" s="19" t="str">
        <f t="shared" si="246"/>
        <v>TAMU</v>
      </c>
      <c r="C270" s="18"/>
      <c r="D270" s="15">
        <v>9020</v>
      </c>
      <c r="E270" s="21">
        <v>0.84200000000000008</v>
      </c>
      <c r="F270" s="14">
        <v>35116.666666666664</v>
      </c>
      <c r="G270" s="28">
        <v>21108.189999999984</v>
      </c>
      <c r="H270" s="15">
        <v>1934</v>
      </c>
      <c r="I270" s="13">
        <v>137</v>
      </c>
      <c r="J270" s="16">
        <v>2462</v>
      </c>
      <c r="K270" s="16">
        <v>3915</v>
      </c>
      <c r="L270" s="30">
        <v>10547</v>
      </c>
      <c r="M270" s="29">
        <v>8924</v>
      </c>
      <c r="N270" s="28">
        <v>6938</v>
      </c>
    </row>
    <row r="271" spans="1:15" outlineLevel="1" x14ac:dyDescent="0.2">
      <c r="A271" s="20">
        <f t="shared" si="246"/>
        <v>10298</v>
      </c>
      <c r="B271" s="19" t="str">
        <f t="shared" si="246"/>
        <v>TAMUG</v>
      </c>
      <c r="C271" s="18"/>
      <c r="D271" s="15">
        <v>314</v>
      </c>
      <c r="E271" s="21">
        <v>0.626</v>
      </c>
      <c r="F271" s="14">
        <v>1769.4666666666667</v>
      </c>
      <c r="G271" s="28">
        <v>826.3399999999923</v>
      </c>
      <c r="H271" s="15">
        <v>46</v>
      </c>
      <c r="I271" s="13">
        <v>0</v>
      </c>
      <c r="J271" s="16">
        <v>86</v>
      </c>
      <c r="K271" s="16">
        <v>186</v>
      </c>
      <c r="L271" s="30">
        <v>607</v>
      </c>
      <c r="M271" s="29">
        <v>296</v>
      </c>
      <c r="N271" s="28">
        <v>263</v>
      </c>
    </row>
    <row r="272" spans="1:15" outlineLevel="1" x14ac:dyDescent="0.2">
      <c r="A272" s="20">
        <f t="shared" si="246"/>
        <v>3630</v>
      </c>
      <c r="B272" s="19" t="str">
        <f t="shared" si="246"/>
        <v>Prairie View</v>
      </c>
      <c r="C272" s="18"/>
      <c r="D272" s="15">
        <v>1026</v>
      </c>
      <c r="E272" s="21">
        <v>0.40299999999999997</v>
      </c>
      <c r="F272" s="14">
        <v>5822.8</v>
      </c>
      <c r="G272" s="28">
        <v>2288.9700000000062</v>
      </c>
      <c r="H272" s="15">
        <v>373</v>
      </c>
      <c r="I272" s="13">
        <v>11</v>
      </c>
      <c r="J272" s="16">
        <v>183</v>
      </c>
      <c r="K272" s="16">
        <v>877</v>
      </c>
      <c r="L272" s="30">
        <v>1701</v>
      </c>
      <c r="M272" s="29">
        <v>1132</v>
      </c>
      <c r="N272" s="28">
        <v>871</v>
      </c>
    </row>
    <row r="273" spans="1:14" outlineLevel="1" x14ac:dyDescent="0.2">
      <c r="A273" s="20">
        <f t="shared" si="246"/>
        <v>3631</v>
      </c>
      <c r="B273" s="19" t="str">
        <f t="shared" si="246"/>
        <v>Tarleton</v>
      </c>
      <c r="C273" s="18"/>
      <c r="D273" s="15">
        <v>1662</v>
      </c>
      <c r="E273" s="21">
        <v>0.47600000000000003</v>
      </c>
      <c r="F273" s="14">
        <v>6766.4</v>
      </c>
      <c r="G273" s="28">
        <v>3337.2399999999966</v>
      </c>
      <c r="H273" s="15">
        <v>229</v>
      </c>
      <c r="I273" s="13">
        <v>49</v>
      </c>
      <c r="J273" s="16">
        <v>645</v>
      </c>
      <c r="K273" s="16">
        <v>1296</v>
      </c>
      <c r="L273" s="30">
        <v>2227</v>
      </c>
      <c r="M273" s="29">
        <v>1216</v>
      </c>
      <c r="N273" s="28">
        <v>845</v>
      </c>
    </row>
    <row r="274" spans="1:14" outlineLevel="1" x14ac:dyDescent="0.2">
      <c r="A274" s="27">
        <f t="shared" si="246"/>
        <v>103631</v>
      </c>
      <c r="B274" s="19" t="str">
        <f t="shared" si="246"/>
        <v>TAMUCT</v>
      </c>
      <c r="C274" s="18"/>
      <c r="D274" s="15">
        <v>469</v>
      </c>
      <c r="E274" s="21">
        <f>E273</f>
        <v>0.47600000000000003</v>
      </c>
      <c r="F274" s="14">
        <v>684.13333333333333</v>
      </c>
      <c r="G274" s="28">
        <v>882.20999999999208</v>
      </c>
      <c r="H274" s="15">
        <v>42</v>
      </c>
      <c r="I274" s="13">
        <v>0</v>
      </c>
      <c r="J274" s="16">
        <v>335</v>
      </c>
      <c r="K274" s="16">
        <v>329</v>
      </c>
      <c r="L274" s="30">
        <v>550</v>
      </c>
      <c r="M274" s="29">
        <v>119</v>
      </c>
      <c r="N274" s="28">
        <v>5</v>
      </c>
    </row>
    <row r="275" spans="1:14" outlineLevel="1" x14ac:dyDescent="0.2">
      <c r="A275" s="20">
        <f t="shared" si="246"/>
        <v>11161</v>
      </c>
      <c r="B275" s="19" t="str">
        <f t="shared" si="246"/>
        <v>TAMUCC</v>
      </c>
      <c r="C275" s="18"/>
      <c r="D275" s="15">
        <v>1515</v>
      </c>
      <c r="E275" s="21">
        <v>0.51</v>
      </c>
      <c r="F275" s="14">
        <v>6742.2</v>
      </c>
      <c r="G275" s="28">
        <v>3028.8999999999978</v>
      </c>
      <c r="H275" s="15">
        <v>310</v>
      </c>
      <c r="I275" s="13">
        <v>23</v>
      </c>
      <c r="J275" s="16">
        <v>538</v>
      </c>
      <c r="K275" s="16">
        <v>1182</v>
      </c>
      <c r="L275" s="30">
        <v>1957</v>
      </c>
      <c r="M275" s="29">
        <v>1470</v>
      </c>
      <c r="N275" s="28">
        <v>959</v>
      </c>
    </row>
    <row r="276" spans="1:14" outlineLevel="1" x14ac:dyDescent="0.2">
      <c r="A276" s="20">
        <f t="shared" si="246"/>
        <v>3639</v>
      </c>
      <c r="B276" s="19" t="str">
        <f t="shared" si="246"/>
        <v>TAMUK</v>
      </c>
      <c r="C276" s="18"/>
      <c r="D276" s="15">
        <v>855</v>
      </c>
      <c r="E276" s="21">
        <v>0.39200000000000002</v>
      </c>
      <c r="F276" s="14">
        <v>4577.5333333333338</v>
      </c>
      <c r="G276" s="28">
        <v>1952.6200000000099</v>
      </c>
      <c r="H276" s="15">
        <v>298</v>
      </c>
      <c r="I276" s="13">
        <v>19</v>
      </c>
      <c r="J276" s="16">
        <v>251</v>
      </c>
      <c r="K276" s="16">
        <v>742</v>
      </c>
      <c r="L276" s="30">
        <v>1343</v>
      </c>
      <c r="M276" s="29">
        <v>910</v>
      </c>
      <c r="N276" s="28">
        <v>571</v>
      </c>
    </row>
    <row r="277" spans="1:14" outlineLevel="1" x14ac:dyDescent="0.2">
      <c r="A277" s="27">
        <f t="shared" ref="A277:B292" si="247">A235</f>
        <v>103639</v>
      </c>
      <c r="B277" s="19" t="str">
        <f t="shared" si="247"/>
        <v>TAMUSA</v>
      </c>
      <c r="C277" s="18"/>
      <c r="D277" s="15">
        <v>647</v>
      </c>
      <c r="E277" s="21">
        <f>E276</f>
        <v>0.39200000000000002</v>
      </c>
      <c r="F277" s="14">
        <v>1673.0666666666666</v>
      </c>
      <c r="G277" s="28">
        <v>1155.5399999999984</v>
      </c>
      <c r="H277" s="15">
        <v>10</v>
      </c>
      <c r="I277" s="13">
        <v>4</v>
      </c>
      <c r="J277" s="16">
        <v>505</v>
      </c>
      <c r="K277" s="16">
        <v>549</v>
      </c>
      <c r="L277" s="30">
        <v>887</v>
      </c>
      <c r="M277" s="29">
        <v>190</v>
      </c>
      <c r="N277" s="28">
        <v>1</v>
      </c>
    </row>
    <row r="278" spans="1:14" outlineLevel="1" x14ac:dyDescent="0.2">
      <c r="A278" s="20">
        <f t="shared" si="247"/>
        <v>9651</v>
      </c>
      <c r="B278" s="19" t="str">
        <f t="shared" si="247"/>
        <v>TAMI</v>
      </c>
      <c r="C278" s="18"/>
      <c r="D278" s="15">
        <v>805</v>
      </c>
      <c r="E278" s="21">
        <v>0.45700000000000002</v>
      </c>
      <c r="F278" s="14">
        <v>4312.1333333333332</v>
      </c>
      <c r="G278" s="28">
        <v>1498.7699999999936</v>
      </c>
      <c r="H278" s="15">
        <v>142</v>
      </c>
      <c r="I278" s="13">
        <v>23</v>
      </c>
      <c r="J278" s="16">
        <v>382</v>
      </c>
      <c r="K278" s="16">
        <v>737</v>
      </c>
      <c r="L278" s="30">
        <v>1292</v>
      </c>
      <c r="M278" s="29">
        <v>1039</v>
      </c>
      <c r="N278" s="28">
        <v>488</v>
      </c>
    </row>
    <row r="279" spans="1:14" outlineLevel="1" x14ac:dyDescent="0.2">
      <c r="A279" s="20">
        <f t="shared" si="247"/>
        <v>3665</v>
      </c>
      <c r="B279" s="19" t="str">
        <f t="shared" si="247"/>
        <v>WTAMU</v>
      </c>
      <c r="C279" s="18"/>
      <c r="D279" s="15">
        <v>1253</v>
      </c>
      <c r="E279" s="21">
        <v>0.48200000000000004</v>
      </c>
      <c r="F279" s="14">
        <v>5523.2</v>
      </c>
      <c r="G279" s="28">
        <v>2523.9800000000132</v>
      </c>
      <c r="H279" s="15">
        <v>175</v>
      </c>
      <c r="I279" s="13">
        <v>60</v>
      </c>
      <c r="J279" s="16">
        <v>435</v>
      </c>
      <c r="K279" s="16">
        <v>902</v>
      </c>
      <c r="L279" s="30">
        <v>1631</v>
      </c>
      <c r="M279" s="29">
        <v>1213</v>
      </c>
      <c r="N279" s="28">
        <v>689</v>
      </c>
    </row>
    <row r="280" spans="1:14" outlineLevel="1" x14ac:dyDescent="0.2">
      <c r="A280" s="20">
        <f t="shared" si="247"/>
        <v>3565</v>
      </c>
      <c r="B280" s="19" t="str">
        <f t="shared" si="247"/>
        <v>TAMUC</v>
      </c>
      <c r="C280" s="18"/>
      <c r="D280" s="15">
        <v>1507</v>
      </c>
      <c r="E280" s="21">
        <v>0.44600000000000001</v>
      </c>
      <c r="F280" s="14">
        <v>5135.2666666666664</v>
      </c>
      <c r="G280" s="28">
        <v>2861.9500000000121</v>
      </c>
      <c r="H280" s="15">
        <v>89</v>
      </c>
      <c r="I280" s="13">
        <v>81</v>
      </c>
      <c r="J280" s="16">
        <v>851</v>
      </c>
      <c r="K280" s="16">
        <v>1172</v>
      </c>
      <c r="L280" s="30">
        <v>2056</v>
      </c>
      <c r="M280" s="29">
        <v>1174</v>
      </c>
      <c r="N280" s="28">
        <v>457</v>
      </c>
    </row>
    <row r="281" spans="1:14" outlineLevel="1" x14ac:dyDescent="0.2">
      <c r="A281" s="20">
        <f t="shared" si="247"/>
        <v>29269</v>
      </c>
      <c r="B281" s="19" t="str">
        <f t="shared" si="247"/>
        <v>TAMUT</v>
      </c>
      <c r="C281" s="18"/>
      <c r="D281" s="15">
        <v>376</v>
      </c>
      <c r="E281" s="17">
        <v>0.49242424242424243</v>
      </c>
      <c r="F281" s="14">
        <v>1101.2666666666667</v>
      </c>
      <c r="G281" s="28">
        <v>680.4399999999946</v>
      </c>
      <c r="H281" s="15">
        <v>47</v>
      </c>
      <c r="I281" s="13">
        <v>25</v>
      </c>
      <c r="J281" s="16">
        <v>222</v>
      </c>
      <c r="K281" s="16">
        <v>277</v>
      </c>
      <c r="L281" s="30">
        <v>484</v>
      </c>
      <c r="M281" s="29">
        <v>219</v>
      </c>
      <c r="N281" s="28">
        <v>1</v>
      </c>
    </row>
    <row r="282" spans="1:14" outlineLevel="1" x14ac:dyDescent="0.2">
      <c r="A282" s="20">
        <f t="shared" si="247"/>
        <v>3652</v>
      </c>
      <c r="B282" s="19" t="str">
        <f t="shared" si="247"/>
        <v>UH</v>
      </c>
      <c r="C282" s="18"/>
      <c r="D282" s="15">
        <v>5426</v>
      </c>
      <c r="E282" s="21">
        <v>0.53600000000000003</v>
      </c>
      <c r="F282" s="14">
        <v>24760.400000000001</v>
      </c>
      <c r="G282" s="28">
        <v>11378.949999999324</v>
      </c>
      <c r="H282" s="15">
        <v>835</v>
      </c>
      <c r="I282" s="13">
        <v>60</v>
      </c>
      <c r="J282" s="16">
        <v>1975</v>
      </c>
      <c r="K282" s="16">
        <v>3688</v>
      </c>
      <c r="L282" s="30">
        <v>7823</v>
      </c>
      <c r="M282" s="29">
        <v>5667</v>
      </c>
      <c r="N282" s="28">
        <v>3232</v>
      </c>
    </row>
    <row r="283" spans="1:14" outlineLevel="1" x14ac:dyDescent="0.2">
      <c r="A283" s="20">
        <f t="shared" si="247"/>
        <v>11711</v>
      </c>
      <c r="B283" s="19" t="str">
        <f t="shared" si="247"/>
        <v>UHCL</v>
      </c>
      <c r="C283" s="18"/>
      <c r="D283" s="15">
        <v>1251</v>
      </c>
      <c r="E283" s="17">
        <v>0.51671732522796354</v>
      </c>
      <c r="F283" s="14">
        <v>3079.2666666666669</v>
      </c>
      <c r="G283" s="28">
        <v>2423.7000000000025</v>
      </c>
      <c r="H283" s="15">
        <v>119</v>
      </c>
      <c r="I283" s="13">
        <v>9</v>
      </c>
      <c r="J283" s="16">
        <v>831</v>
      </c>
      <c r="K283" s="16">
        <v>839</v>
      </c>
      <c r="L283" s="30">
        <v>1391</v>
      </c>
      <c r="M283" s="29">
        <v>1014</v>
      </c>
      <c r="N283" s="28">
        <v>37</v>
      </c>
    </row>
    <row r="284" spans="1:14" outlineLevel="1" x14ac:dyDescent="0.2">
      <c r="A284" s="20">
        <f t="shared" si="247"/>
        <v>12826</v>
      </c>
      <c r="B284" s="19" t="str">
        <f t="shared" si="247"/>
        <v>UHD</v>
      </c>
      <c r="C284" s="18"/>
      <c r="D284" s="15">
        <v>2351</v>
      </c>
      <c r="E284" s="21">
        <v>0.17399999999999999</v>
      </c>
      <c r="F284" s="14">
        <v>8043.8</v>
      </c>
      <c r="G284" s="28">
        <v>4292.430000000033</v>
      </c>
      <c r="H284" s="15">
        <v>134</v>
      </c>
      <c r="I284" s="13">
        <v>3</v>
      </c>
      <c r="J284" s="16">
        <v>1034</v>
      </c>
      <c r="K284" s="16">
        <v>1694</v>
      </c>
      <c r="L284" s="30">
        <v>3011</v>
      </c>
      <c r="M284" s="29">
        <v>1820</v>
      </c>
      <c r="N284" s="28">
        <v>590</v>
      </c>
    </row>
    <row r="285" spans="1:14" outlineLevel="1" x14ac:dyDescent="0.2">
      <c r="A285" s="20">
        <f t="shared" si="247"/>
        <v>13231</v>
      </c>
      <c r="B285" s="19" t="str">
        <f t="shared" si="247"/>
        <v>UHV</v>
      </c>
      <c r="C285" s="18"/>
      <c r="D285" s="15">
        <v>619</v>
      </c>
      <c r="E285" s="17">
        <v>0.47520661157024796</v>
      </c>
      <c r="F285" s="14">
        <v>1685.8666666666666</v>
      </c>
      <c r="G285" s="28">
        <v>1187.5899999999924</v>
      </c>
      <c r="H285" s="15">
        <v>134</v>
      </c>
      <c r="I285" s="13">
        <v>9</v>
      </c>
      <c r="J285" s="16">
        <v>432</v>
      </c>
      <c r="K285" s="16">
        <v>418</v>
      </c>
      <c r="L285" s="30">
        <v>776</v>
      </c>
      <c r="M285" s="29">
        <v>334</v>
      </c>
      <c r="N285" s="28">
        <v>6</v>
      </c>
    </row>
    <row r="286" spans="1:14" outlineLevel="1" x14ac:dyDescent="0.2">
      <c r="A286" s="20">
        <f t="shared" si="247"/>
        <v>3592</v>
      </c>
      <c r="B286" s="19" t="str">
        <f t="shared" si="247"/>
        <v>Midwestern</v>
      </c>
      <c r="C286" s="18"/>
      <c r="D286" s="15">
        <v>1066</v>
      </c>
      <c r="E286" s="21">
        <v>0.46299999999999997</v>
      </c>
      <c r="F286" s="14">
        <v>4147.7333333333336</v>
      </c>
      <c r="G286" s="28">
        <v>2062.1399999999949</v>
      </c>
      <c r="H286" s="15">
        <v>358</v>
      </c>
      <c r="I286" s="13">
        <v>15</v>
      </c>
      <c r="J286" s="16">
        <v>276</v>
      </c>
      <c r="K286" s="16">
        <v>723</v>
      </c>
      <c r="L286" s="30">
        <v>1310</v>
      </c>
      <c r="M286" s="29">
        <v>979</v>
      </c>
      <c r="N286" s="28">
        <v>683</v>
      </c>
    </row>
    <row r="287" spans="1:14" outlineLevel="1" x14ac:dyDescent="0.2">
      <c r="A287" s="20">
        <f t="shared" si="247"/>
        <v>3594</v>
      </c>
      <c r="B287" s="19" t="str">
        <f t="shared" si="247"/>
        <v>UNT</v>
      </c>
      <c r="C287" s="18"/>
      <c r="D287" s="15">
        <v>5843</v>
      </c>
      <c r="E287" s="21">
        <v>0.56799999999999995</v>
      </c>
      <c r="F287" s="14">
        <v>23213.466666666667</v>
      </c>
      <c r="G287" s="28">
        <v>11338.869999999399</v>
      </c>
      <c r="H287" s="15">
        <v>368</v>
      </c>
      <c r="I287" s="13">
        <v>56</v>
      </c>
      <c r="J287" s="16">
        <v>2267</v>
      </c>
      <c r="K287" s="16">
        <v>3771</v>
      </c>
      <c r="L287" s="30">
        <v>7310</v>
      </c>
      <c r="M287" s="29">
        <v>5432</v>
      </c>
      <c r="N287" s="28">
        <v>3116</v>
      </c>
    </row>
    <row r="288" spans="1:14" outlineLevel="1" x14ac:dyDescent="0.2">
      <c r="A288" s="27">
        <f t="shared" si="247"/>
        <v>113594</v>
      </c>
      <c r="B288" s="19" t="str">
        <f t="shared" si="247"/>
        <v>UNTD</v>
      </c>
      <c r="C288" s="18"/>
      <c r="D288" s="15">
        <v>419</v>
      </c>
      <c r="E288" s="21">
        <f>E287</f>
        <v>0.56799999999999995</v>
      </c>
      <c r="F288" s="14">
        <v>983.4666666666667</v>
      </c>
      <c r="G288" s="28">
        <v>742.11999999999398</v>
      </c>
      <c r="H288" s="15">
        <v>14</v>
      </c>
      <c r="I288" s="13">
        <v>0</v>
      </c>
      <c r="J288" s="16">
        <v>0</v>
      </c>
      <c r="K288" s="16">
        <v>313</v>
      </c>
      <c r="L288" s="30">
        <v>469</v>
      </c>
      <c r="M288" s="29">
        <v>80</v>
      </c>
      <c r="N288" s="28">
        <v>4</v>
      </c>
    </row>
    <row r="289" spans="1:15" outlineLevel="1" x14ac:dyDescent="0.2">
      <c r="A289" s="20">
        <f t="shared" si="247"/>
        <v>3624</v>
      </c>
      <c r="B289" s="19" t="str">
        <f t="shared" si="247"/>
        <v>SFA</v>
      </c>
      <c r="C289" s="18"/>
      <c r="D289" s="15">
        <v>2011</v>
      </c>
      <c r="E289" s="21">
        <v>0.55299999999999994</v>
      </c>
      <c r="F289" s="14">
        <v>9507.3333333333339</v>
      </c>
      <c r="G289" s="28">
        <v>3932.9399999999569</v>
      </c>
      <c r="H289" s="15">
        <v>273</v>
      </c>
      <c r="I289" s="13">
        <v>42</v>
      </c>
      <c r="J289" s="16">
        <v>607</v>
      </c>
      <c r="K289" s="16">
        <v>1513</v>
      </c>
      <c r="L289" s="30">
        <v>2605</v>
      </c>
      <c r="M289" s="29">
        <v>2125</v>
      </c>
      <c r="N289" s="28">
        <v>1473</v>
      </c>
    </row>
    <row r="290" spans="1:15" outlineLevel="1" x14ac:dyDescent="0.2">
      <c r="A290" s="20">
        <f t="shared" si="247"/>
        <v>3642</v>
      </c>
      <c r="B290" s="19" t="str">
        <f t="shared" si="247"/>
        <v>TSU</v>
      </c>
      <c r="C290" s="18"/>
      <c r="D290" s="15">
        <v>737</v>
      </c>
      <c r="E290" s="21">
        <v>0.14099999999999999</v>
      </c>
      <c r="F290" s="14">
        <v>5767.1333333333332</v>
      </c>
      <c r="G290" s="28">
        <v>1478.8299999999929</v>
      </c>
      <c r="H290" s="15">
        <v>154</v>
      </c>
      <c r="I290" s="13">
        <v>5</v>
      </c>
      <c r="J290" s="16">
        <v>106</v>
      </c>
      <c r="K290" s="16">
        <v>641</v>
      </c>
      <c r="L290" s="30">
        <v>1349</v>
      </c>
      <c r="M290" s="29">
        <v>988</v>
      </c>
      <c r="N290" s="28">
        <v>760</v>
      </c>
    </row>
    <row r="291" spans="1:15" outlineLevel="1" x14ac:dyDescent="0.2">
      <c r="A291" s="20">
        <f t="shared" si="247"/>
        <v>3644</v>
      </c>
      <c r="B291" s="19" t="str">
        <f t="shared" si="247"/>
        <v>TTU</v>
      </c>
      <c r="C291" s="18"/>
      <c r="D291" s="15">
        <v>4941</v>
      </c>
      <c r="E291" s="21">
        <v>0.73599999999999999</v>
      </c>
      <c r="F291" s="14">
        <v>22627.599999999999</v>
      </c>
      <c r="G291" s="28">
        <v>10741.019999999262</v>
      </c>
      <c r="H291" s="15">
        <v>839</v>
      </c>
      <c r="I291" s="13">
        <v>67</v>
      </c>
      <c r="J291" s="16">
        <v>1250</v>
      </c>
      <c r="K291" s="16">
        <v>3071</v>
      </c>
      <c r="L291" s="30">
        <v>6449</v>
      </c>
      <c r="M291" s="29">
        <v>5332</v>
      </c>
      <c r="N291" s="28">
        <v>4048</v>
      </c>
    </row>
    <row r="292" spans="1:15" outlineLevel="1" x14ac:dyDescent="0.2">
      <c r="A292" s="20">
        <f t="shared" si="247"/>
        <v>3541</v>
      </c>
      <c r="B292" s="19" t="str">
        <f t="shared" si="247"/>
        <v>Angelo</v>
      </c>
      <c r="C292" s="18"/>
      <c r="D292" s="15">
        <v>1073</v>
      </c>
      <c r="E292" s="21">
        <v>0.40799999999999997</v>
      </c>
      <c r="F292" s="14">
        <v>4921.333333333333</v>
      </c>
      <c r="G292" s="28">
        <v>2141.5100000000025</v>
      </c>
      <c r="H292" s="15">
        <v>304</v>
      </c>
      <c r="I292" s="13">
        <v>19</v>
      </c>
      <c r="J292" s="16">
        <v>187</v>
      </c>
      <c r="K292" s="16">
        <v>773</v>
      </c>
      <c r="L292" s="30">
        <v>1398</v>
      </c>
      <c r="M292" s="29">
        <v>1022</v>
      </c>
      <c r="N292" s="28">
        <v>707</v>
      </c>
    </row>
    <row r="293" spans="1:15" outlineLevel="1" x14ac:dyDescent="0.2">
      <c r="A293" s="20">
        <f t="shared" ref="A293:B298" si="248">A251</f>
        <v>3646</v>
      </c>
      <c r="B293" s="19" t="str">
        <f t="shared" si="248"/>
        <v>TWU</v>
      </c>
      <c r="C293" s="18"/>
      <c r="D293" s="15">
        <v>1919</v>
      </c>
      <c r="E293" s="21">
        <v>0.54200000000000004</v>
      </c>
      <c r="F293" s="14">
        <v>6999.5333333333338</v>
      </c>
      <c r="G293" s="28">
        <v>3704.3199999999606</v>
      </c>
      <c r="H293" s="15">
        <v>571</v>
      </c>
      <c r="I293" s="13">
        <v>30</v>
      </c>
      <c r="J293" s="16">
        <v>831</v>
      </c>
      <c r="K293" s="16">
        <v>1326</v>
      </c>
      <c r="L293" s="30">
        <v>2425</v>
      </c>
      <c r="M293" s="29">
        <v>1247</v>
      </c>
      <c r="N293" s="28">
        <v>703</v>
      </c>
    </row>
    <row r="294" spans="1:15" outlineLevel="1" x14ac:dyDescent="0.2">
      <c r="A294" s="20">
        <f t="shared" si="248"/>
        <v>3581</v>
      </c>
      <c r="B294" s="19" t="str">
        <f t="shared" si="248"/>
        <v>Lamar</v>
      </c>
      <c r="C294" s="18"/>
      <c r="D294" s="15">
        <v>1380</v>
      </c>
      <c r="E294" s="21">
        <v>0.35899999999999999</v>
      </c>
      <c r="F294" s="14">
        <v>7404.4666666666662</v>
      </c>
      <c r="G294" s="28">
        <v>2721.5300000000057</v>
      </c>
      <c r="H294" s="15">
        <v>318</v>
      </c>
      <c r="I294" s="13">
        <v>18</v>
      </c>
      <c r="J294" s="16">
        <v>247</v>
      </c>
      <c r="K294" s="16">
        <v>995</v>
      </c>
      <c r="L294" s="30">
        <v>2074</v>
      </c>
      <c r="M294" s="29">
        <v>1486</v>
      </c>
      <c r="N294" s="28">
        <v>1002</v>
      </c>
    </row>
    <row r="295" spans="1:15" outlineLevel="1" x14ac:dyDescent="0.2">
      <c r="A295" s="20">
        <f t="shared" si="248"/>
        <v>3606</v>
      </c>
      <c r="B295" s="19" t="str">
        <f t="shared" si="248"/>
        <v>SHSU</v>
      </c>
      <c r="C295" s="18"/>
      <c r="D295" s="15">
        <v>2978</v>
      </c>
      <c r="E295" s="21">
        <v>0.57799999999999996</v>
      </c>
      <c r="F295" s="14">
        <v>12574.466666666667</v>
      </c>
      <c r="G295" s="28">
        <v>5694.020000000286</v>
      </c>
      <c r="H295" s="15">
        <v>172</v>
      </c>
      <c r="I295" s="13">
        <v>51</v>
      </c>
      <c r="J295" s="16">
        <v>1263</v>
      </c>
      <c r="K295" s="16">
        <v>2163</v>
      </c>
      <c r="L295" s="30">
        <v>3894</v>
      </c>
      <c r="M295" s="29">
        <v>2915</v>
      </c>
      <c r="N295" s="28">
        <v>1704</v>
      </c>
    </row>
    <row r="296" spans="1:15" outlineLevel="1" x14ac:dyDescent="0.2">
      <c r="A296" s="20">
        <f t="shared" si="248"/>
        <v>3615</v>
      </c>
      <c r="B296" s="19" t="str">
        <f t="shared" si="248"/>
        <v>TXST</v>
      </c>
      <c r="C296" s="18"/>
      <c r="D296" s="15">
        <v>5435</v>
      </c>
      <c r="E296" s="21">
        <v>0.61399999999999999</v>
      </c>
      <c r="F296" s="14">
        <v>24028</v>
      </c>
      <c r="G296" s="28">
        <v>10677.06999999951</v>
      </c>
      <c r="H296" s="15">
        <v>582</v>
      </c>
      <c r="I296" s="13">
        <v>67</v>
      </c>
      <c r="J296" s="16">
        <v>2016</v>
      </c>
      <c r="K296" s="16">
        <v>3816</v>
      </c>
      <c r="L296" s="30">
        <v>7425</v>
      </c>
      <c r="M296" s="29">
        <v>5561</v>
      </c>
      <c r="N296" s="28">
        <v>3333</v>
      </c>
    </row>
    <row r="297" spans="1:15" outlineLevel="1" x14ac:dyDescent="0.2">
      <c r="A297" s="20">
        <f t="shared" si="248"/>
        <v>3625</v>
      </c>
      <c r="B297" s="19" t="str">
        <f t="shared" si="248"/>
        <v>SRSU</v>
      </c>
      <c r="C297" s="18"/>
      <c r="D297" s="15">
        <v>191</v>
      </c>
      <c r="E297" s="21">
        <v>0.32600000000000001</v>
      </c>
      <c r="F297" s="14">
        <v>1229</v>
      </c>
      <c r="G297" s="28">
        <v>409.0499999999999</v>
      </c>
      <c r="H297" s="15">
        <v>10</v>
      </c>
      <c r="I297" s="13">
        <v>5</v>
      </c>
      <c r="J297" s="16">
        <v>43</v>
      </c>
      <c r="K297" s="16">
        <v>167</v>
      </c>
      <c r="L297" s="30">
        <v>284</v>
      </c>
      <c r="M297" s="29">
        <v>188</v>
      </c>
      <c r="N297" s="28">
        <v>144</v>
      </c>
      <c r="O297" s="156"/>
    </row>
    <row r="298" spans="1:15" outlineLevel="1" x14ac:dyDescent="0.2">
      <c r="A298" s="20">
        <f t="shared" si="248"/>
        <v>20</v>
      </c>
      <c r="B298" s="19" t="str">
        <f t="shared" si="248"/>
        <v>SRRG</v>
      </c>
      <c r="C298" s="18"/>
      <c r="D298" s="15">
        <v>154</v>
      </c>
      <c r="E298" s="17">
        <v>0.25423728813559321</v>
      </c>
      <c r="F298" s="14">
        <v>436.8</v>
      </c>
      <c r="G298" s="28">
        <v>268.06000000000023</v>
      </c>
      <c r="H298" s="15">
        <v>6</v>
      </c>
      <c r="I298" s="13">
        <v>1</v>
      </c>
      <c r="J298" s="16">
        <v>104</v>
      </c>
      <c r="K298" s="16">
        <v>138</v>
      </c>
      <c r="L298" s="30">
        <v>215</v>
      </c>
      <c r="M298" s="29">
        <v>91</v>
      </c>
      <c r="N298" s="28">
        <v>6</v>
      </c>
    </row>
    <row r="299" spans="1:15" ht="13.5" outlineLevel="1" thickBot="1" x14ac:dyDescent="0.25">
      <c r="A299" s="12"/>
      <c r="B299" s="11" t="s">
        <v>11</v>
      </c>
      <c r="C299" s="10"/>
      <c r="D299" s="9">
        <f>SUM(D261:D298)</f>
        <v>87062</v>
      </c>
      <c r="E299" s="8">
        <v>0.58700000000000008</v>
      </c>
      <c r="F299" s="7">
        <f t="shared" ref="F299:N299" si="249">SUM(F261:F298)</f>
        <v>359610.06666666665</v>
      </c>
      <c r="G299" s="3">
        <f t="shared" si="249"/>
        <v>180161.28999999876</v>
      </c>
      <c r="H299" s="5">
        <f t="shared" si="249"/>
        <v>15629</v>
      </c>
      <c r="I299" s="3">
        <f t="shared" si="249"/>
        <v>1267</v>
      </c>
      <c r="J299" s="6">
        <f t="shared" ref="J299" si="250">SUM(J261:J298)</f>
        <v>30414</v>
      </c>
      <c r="K299" s="6">
        <f t="shared" si="249"/>
        <v>56968</v>
      </c>
      <c r="L299" s="5">
        <f t="shared" si="249"/>
        <v>113504</v>
      </c>
      <c r="M299" s="4">
        <f t="shared" si="249"/>
        <v>81268</v>
      </c>
      <c r="N299" s="3">
        <f t="shared" si="249"/>
        <v>50077</v>
      </c>
    </row>
    <row r="300" spans="1:15" ht="13.5" thickBot="1" x14ac:dyDescent="0.25">
      <c r="A300" s="42" t="s">
        <v>26</v>
      </c>
      <c r="B300" s="42"/>
      <c r="C300" s="42"/>
      <c r="D300" s="42"/>
      <c r="F300" s="42"/>
      <c r="J300" s="42"/>
      <c r="K300" s="42"/>
    </row>
    <row r="301" spans="1:15" ht="12.75" customHeight="1" outlineLevel="1" x14ac:dyDescent="0.2">
      <c r="A301" s="234" t="s">
        <v>24</v>
      </c>
      <c r="B301" s="236" t="s">
        <v>23</v>
      </c>
      <c r="C301" s="238"/>
      <c r="D301" s="240" t="s">
        <v>22</v>
      </c>
      <c r="E301" s="242" t="s">
        <v>21</v>
      </c>
      <c r="F301" s="236" t="s">
        <v>20</v>
      </c>
      <c r="G301" s="221" t="s">
        <v>19</v>
      </c>
      <c r="H301" s="223" t="s">
        <v>18</v>
      </c>
      <c r="I301" s="225" t="s">
        <v>17</v>
      </c>
      <c r="J301" s="227" t="str">
        <f>J3</f>
        <v>Under Graduate Transfer Degrees</v>
      </c>
      <c r="K301" s="227" t="s">
        <v>16</v>
      </c>
      <c r="L301" s="229" t="s">
        <v>15</v>
      </c>
      <c r="M301" s="230"/>
      <c r="N301" s="231"/>
    </row>
    <row r="302" spans="1:15" s="41" customFormat="1" ht="40.5" customHeight="1" outlineLevel="1" thickBot="1" x14ac:dyDescent="0.25">
      <c r="A302" s="273"/>
      <c r="B302" s="270"/>
      <c r="C302" s="274"/>
      <c r="D302" s="275"/>
      <c r="E302" s="276"/>
      <c r="F302" s="270"/>
      <c r="G302" s="271"/>
      <c r="H302" s="272"/>
      <c r="I302" s="265"/>
      <c r="J302" s="266"/>
      <c r="K302" s="266"/>
      <c r="L302" s="125" t="s">
        <v>14</v>
      </c>
      <c r="M302" s="126" t="s">
        <v>13</v>
      </c>
      <c r="N302" s="135" t="s">
        <v>12</v>
      </c>
      <c r="O302" s="154"/>
    </row>
    <row r="303" spans="1:15" outlineLevel="1" x14ac:dyDescent="0.2">
      <c r="A303" s="40">
        <f t="shared" ref="A303:B318" si="251">A261</f>
        <v>3656</v>
      </c>
      <c r="B303" s="39" t="str">
        <f t="shared" si="251"/>
        <v>UTA</v>
      </c>
      <c r="C303" s="38"/>
      <c r="D303" s="33">
        <v>5103</v>
      </c>
      <c r="E303" s="37">
        <v>0.49299999999999999</v>
      </c>
      <c r="F303" s="32">
        <v>17372</v>
      </c>
      <c r="G303" s="31">
        <v>10527.860000000002</v>
      </c>
      <c r="H303" s="36">
        <v>1620</v>
      </c>
      <c r="I303" s="35">
        <v>26</v>
      </c>
      <c r="J303" s="34">
        <v>2286</v>
      </c>
      <c r="K303" s="34">
        <v>3158</v>
      </c>
      <c r="L303" s="33">
        <v>6986</v>
      </c>
      <c r="M303" s="32">
        <v>3903</v>
      </c>
      <c r="N303" s="31">
        <v>1733</v>
      </c>
    </row>
    <row r="304" spans="1:15" outlineLevel="1" x14ac:dyDescent="0.2">
      <c r="A304" s="20">
        <f t="shared" si="251"/>
        <v>3658</v>
      </c>
      <c r="B304" s="19" t="str">
        <f t="shared" si="251"/>
        <v>UT</v>
      </c>
      <c r="C304" s="18"/>
      <c r="D304" s="15">
        <v>9027</v>
      </c>
      <c r="E304" s="21">
        <v>0.83299999999999996</v>
      </c>
      <c r="F304" s="14">
        <v>33709.866666666669</v>
      </c>
      <c r="G304" s="13">
        <v>19422.050000001858</v>
      </c>
      <c r="H304" s="15">
        <v>1894</v>
      </c>
      <c r="I304" s="13">
        <v>60</v>
      </c>
      <c r="J304" s="16">
        <v>1291</v>
      </c>
      <c r="K304" s="16">
        <v>3475</v>
      </c>
      <c r="L304" s="15">
        <v>9939</v>
      </c>
      <c r="M304" s="14">
        <v>8895</v>
      </c>
      <c r="N304" s="13">
        <v>7485</v>
      </c>
    </row>
    <row r="305" spans="1:14" outlineLevel="1" x14ac:dyDescent="0.2">
      <c r="A305" s="20">
        <f t="shared" si="251"/>
        <v>9741</v>
      </c>
      <c r="B305" s="19" t="str">
        <f t="shared" si="251"/>
        <v>UTD</v>
      </c>
      <c r="C305" s="18"/>
      <c r="D305" s="15">
        <v>2314</v>
      </c>
      <c r="E305" s="21">
        <v>0.68299999999999994</v>
      </c>
      <c r="F305" s="14">
        <v>8822.2000000000007</v>
      </c>
      <c r="G305" s="13">
        <v>4904.1700000000228</v>
      </c>
      <c r="H305" s="15">
        <v>424</v>
      </c>
      <c r="I305" s="13">
        <v>27</v>
      </c>
      <c r="J305" s="16">
        <v>1078</v>
      </c>
      <c r="K305" s="16">
        <v>1294</v>
      </c>
      <c r="L305" s="15">
        <v>3345</v>
      </c>
      <c r="M305" s="14">
        <v>2105</v>
      </c>
      <c r="N305" s="13">
        <v>1076</v>
      </c>
    </row>
    <row r="306" spans="1:14" outlineLevel="1" x14ac:dyDescent="0.2">
      <c r="A306" s="20">
        <f t="shared" si="251"/>
        <v>3661</v>
      </c>
      <c r="B306" s="19" t="str">
        <f t="shared" si="251"/>
        <v>UTEP</v>
      </c>
      <c r="C306" s="18"/>
      <c r="D306" s="15">
        <v>3008</v>
      </c>
      <c r="E306" s="21">
        <v>0.38400000000000001</v>
      </c>
      <c r="F306" s="14">
        <v>13376</v>
      </c>
      <c r="G306" s="13">
        <v>6142.7200000000885</v>
      </c>
      <c r="H306" s="15">
        <v>613</v>
      </c>
      <c r="I306" s="13">
        <v>91</v>
      </c>
      <c r="J306" s="16">
        <v>1098</v>
      </c>
      <c r="K306" s="16">
        <v>2409</v>
      </c>
      <c r="L306" s="15">
        <v>4488</v>
      </c>
      <c r="M306" s="14">
        <v>3404</v>
      </c>
      <c r="N306" s="13">
        <v>1910</v>
      </c>
    </row>
    <row r="307" spans="1:14" outlineLevel="1" x14ac:dyDescent="0.2">
      <c r="A307" s="20">
        <f t="shared" si="251"/>
        <v>3599</v>
      </c>
      <c r="B307" s="19" t="str">
        <f t="shared" si="251"/>
        <v>UTPA</v>
      </c>
      <c r="C307" s="18"/>
      <c r="D307" s="15">
        <v>2658</v>
      </c>
      <c r="E307" s="21">
        <v>0.46399999999999997</v>
      </c>
      <c r="F307" s="14">
        <v>12499.266666666666</v>
      </c>
      <c r="G307" s="13">
        <v>5231.3300000001427</v>
      </c>
      <c r="H307" s="15">
        <v>534</v>
      </c>
      <c r="I307" s="13">
        <v>34</v>
      </c>
      <c r="J307" s="16">
        <v>885</v>
      </c>
      <c r="K307" s="16">
        <v>2427</v>
      </c>
      <c r="L307" s="15">
        <v>4142</v>
      </c>
      <c r="M307" s="14">
        <v>3290</v>
      </c>
      <c r="N307" s="13">
        <v>1998</v>
      </c>
    </row>
    <row r="308" spans="1:14" outlineLevel="1" x14ac:dyDescent="0.2">
      <c r="A308" s="20">
        <f t="shared" si="251"/>
        <v>30646</v>
      </c>
      <c r="B308" s="19" t="str">
        <f t="shared" si="251"/>
        <v>UTB</v>
      </c>
      <c r="C308" s="18"/>
      <c r="D308" s="15">
        <v>1075</v>
      </c>
      <c r="E308" s="17">
        <v>0.55124653739612184</v>
      </c>
      <c r="F308" s="14">
        <v>3116.2</v>
      </c>
      <c r="G308" s="13">
        <v>2052.0600000000218</v>
      </c>
      <c r="H308" s="15">
        <v>132</v>
      </c>
      <c r="I308" s="13">
        <v>15</v>
      </c>
      <c r="J308" s="16">
        <v>904</v>
      </c>
      <c r="K308" s="16">
        <v>916</v>
      </c>
      <c r="L308" s="15">
        <v>1359</v>
      </c>
      <c r="M308" s="14">
        <v>600</v>
      </c>
      <c r="N308" s="13">
        <v>131</v>
      </c>
    </row>
    <row r="309" spans="1:14" outlineLevel="1" x14ac:dyDescent="0.2">
      <c r="A309" s="20">
        <f t="shared" si="251"/>
        <v>9930</v>
      </c>
      <c r="B309" s="19" t="str">
        <f t="shared" si="251"/>
        <v>UTPB</v>
      </c>
      <c r="C309" s="18"/>
      <c r="D309" s="15">
        <v>541</v>
      </c>
      <c r="E309" s="21">
        <v>0.40700000000000003</v>
      </c>
      <c r="F309" s="14">
        <v>2416</v>
      </c>
      <c r="G309" s="13">
        <v>1005.1500000000051</v>
      </c>
      <c r="H309" s="15">
        <v>40</v>
      </c>
      <c r="I309" s="13">
        <v>10</v>
      </c>
      <c r="J309" s="16">
        <v>247</v>
      </c>
      <c r="K309" s="16">
        <v>407</v>
      </c>
      <c r="L309" s="15">
        <v>908</v>
      </c>
      <c r="M309" s="14">
        <v>490</v>
      </c>
      <c r="N309" s="13">
        <v>191</v>
      </c>
    </row>
    <row r="310" spans="1:14" outlineLevel="1" x14ac:dyDescent="0.2">
      <c r="A310" s="20">
        <f t="shared" si="251"/>
        <v>10115</v>
      </c>
      <c r="B310" s="19" t="str">
        <f t="shared" si="251"/>
        <v>UTSA</v>
      </c>
      <c r="C310" s="18"/>
      <c r="D310" s="15">
        <v>4148</v>
      </c>
      <c r="E310" s="21">
        <v>0.39400000000000002</v>
      </c>
      <c r="F310" s="14">
        <v>20284.733333333334</v>
      </c>
      <c r="G310" s="13">
        <v>8398.8499999997166</v>
      </c>
      <c r="H310" s="15">
        <v>394</v>
      </c>
      <c r="I310" s="13">
        <v>47</v>
      </c>
      <c r="J310" s="16">
        <v>1398</v>
      </c>
      <c r="K310" s="16">
        <v>3211</v>
      </c>
      <c r="L310" s="15">
        <v>6802</v>
      </c>
      <c r="M310" s="14">
        <v>4390</v>
      </c>
      <c r="N310" s="13">
        <v>2699</v>
      </c>
    </row>
    <row r="311" spans="1:14" outlineLevel="1" x14ac:dyDescent="0.2">
      <c r="A311" s="20">
        <f t="shared" si="251"/>
        <v>11163</v>
      </c>
      <c r="B311" s="19" t="str">
        <f t="shared" si="251"/>
        <v>UTT</v>
      </c>
      <c r="C311" s="18"/>
      <c r="D311" s="15">
        <v>1188</v>
      </c>
      <c r="E311" s="21">
        <v>0.53300000000000003</v>
      </c>
      <c r="F311" s="14">
        <v>4030.7333333333331</v>
      </c>
      <c r="G311" s="13">
        <v>2364.9800000000037</v>
      </c>
      <c r="H311" s="15">
        <v>366</v>
      </c>
      <c r="I311" s="13">
        <v>9</v>
      </c>
      <c r="J311" s="16">
        <v>634</v>
      </c>
      <c r="K311" s="16">
        <v>939</v>
      </c>
      <c r="L311" s="15">
        <v>1496</v>
      </c>
      <c r="M311" s="14">
        <v>905</v>
      </c>
      <c r="N311" s="13">
        <v>401</v>
      </c>
    </row>
    <row r="312" spans="1:14" outlineLevel="1" x14ac:dyDescent="0.2">
      <c r="A312" s="20">
        <f t="shared" si="251"/>
        <v>3632</v>
      </c>
      <c r="B312" s="19" t="str">
        <f t="shared" si="251"/>
        <v>TAMU</v>
      </c>
      <c r="C312" s="18"/>
      <c r="D312" s="15">
        <v>8748</v>
      </c>
      <c r="E312" s="21">
        <v>0.84399999999999997</v>
      </c>
      <c r="F312" s="14">
        <v>34425.133333333331</v>
      </c>
      <c r="G312" s="13">
        <v>20060.050000001262</v>
      </c>
      <c r="H312" s="15">
        <v>1775</v>
      </c>
      <c r="I312" s="13">
        <v>133</v>
      </c>
      <c r="J312" s="16">
        <v>2353</v>
      </c>
      <c r="K312" s="16">
        <v>3727</v>
      </c>
      <c r="L312" s="15">
        <v>9623</v>
      </c>
      <c r="M312" s="14">
        <v>8962</v>
      </c>
      <c r="N312" s="13">
        <v>6823</v>
      </c>
    </row>
    <row r="313" spans="1:14" outlineLevel="1" x14ac:dyDescent="0.2">
      <c r="A313" s="20">
        <f t="shared" si="251"/>
        <v>10298</v>
      </c>
      <c r="B313" s="19" t="str">
        <f t="shared" si="251"/>
        <v>TAMUG</v>
      </c>
      <c r="C313" s="18"/>
      <c r="D313" s="15">
        <v>250</v>
      </c>
      <c r="E313" s="21">
        <v>0.66400000000000003</v>
      </c>
      <c r="F313" s="14">
        <v>1668.1333333333334</v>
      </c>
      <c r="G313" s="13">
        <v>648.89999999999895</v>
      </c>
      <c r="H313" s="15">
        <v>35</v>
      </c>
      <c r="I313" s="13">
        <v>0</v>
      </c>
      <c r="J313" s="16">
        <v>58</v>
      </c>
      <c r="K313" s="16">
        <v>151</v>
      </c>
      <c r="L313" s="15">
        <v>600</v>
      </c>
      <c r="M313" s="14">
        <v>336</v>
      </c>
      <c r="N313" s="13">
        <v>234</v>
      </c>
    </row>
    <row r="314" spans="1:14" outlineLevel="1" x14ac:dyDescent="0.2">
      <c r="A314" s="20">
        <f t="shared" si="251"/>
        <v>3630</v>
      </c>
      <c r="B314" s="19" t="str">
        <f t="shared" si="251"/>
        <v>Prairie View</v>
      </c>
      <c r="C314" s="18"/>
      <c r="D314" s="15">
        <v>904</v>
      </c>
      <c r="E314" s="21">
        <v>0.37</v>
      </c>
      <c r="F314" s="46">
        <v>6088.2666666666664</v>
      </c>
      <c r="G314" s="13">
        <v>1934.240000000003</v>
      </c>
      <c r="H314" s="15">
        <v>279</v>
      </c>
      <c r="I314" s="13">
        <v>10</v>
      </c>
      <c r="J314" s="16">
        <v>161</v>
      </c>
      <c r="K314" s="16">
        <v>775</v>
      </c>
      <c r="L314" s="15">
        <v>1660</v>
      </c>
      <c r="M314" s="14">
        <v>1237</v>
      </c>
      <c r="N314" s="13">
        <v>905</v>
      </c>
    </row>
    <row r="315" spans="1:14" outlineLevel="1" x14ac:dyDescent="0.2">
      <c r="A315" s="20">
        <f t="shared" si="251"/>
        <v>3631</v>
      </c>
      <c r="B315" s="19" t="str">
        <f t="shared" si="251"/>
        <v>Tarleton</v>
      </c>
      <c r="C315" s="18"/>
      <c r="D315" s="15">
        <v>1552</v>
      </c>
      <c r="E315" s="21">
        <v>0.48299999999999998</v>
      </c>
      <c r="F315" s="46">
        <v>6264.4666666666662</v>
      </c>
      <c r="G315" s="13">
        <v>3063.9600000000341</v>
      </c>
      <c r="H315" s="15">
        <v>197</v>
      </c>
      <c r="I315" s="45">
        <v>56</v>
      </c>
      <c r="J315" s="16">
        <v>580</v>
      </c>
      <c r="K315" s="16">
        <v>1196</v>
      </c>
      <c r="L315" s="47">
        <v>2096</v>
      </c>
      <c r="M315" s="46">
        <v>1464</v>
      </c>
      <c r="N315" s="45">
        <v>840</v>
      </c>
    </row>
    <row r="316" spans="1:14" outlineLevel="1" x14ac:dyDescent="0.2">
      <c r="A316" s="27">
        <f t="shared" si="251"/>
        <v>103631</v>
      </c>
      <c r="B316" s="19" t="str">
        <f t="shared" si="251"/>
        <v>TAMUCT</v>
      </c>
      <c r="C316" s="18"/>
      <c r="D316" s="15">
        <v>462</v>
      </c>
      <c r="E316" s="21">
        <v>0.48299999999999998</v>
      </c>
      <c r="F316" s="46">
        <v>700.66666666666663</v>
      </c>
      <c r="G316" s="13">
        <v>846.68000000000006</v>
      </c>
      <c r="H316" s="15">
        <v>36</v>
      </c>
      <c r="I316" s="45">
        <v>0</v>
      </c>
      <c r="J316" s="16">
        <v>340</v>
      </c>
      <c r="K316" s="16">
        <v>330</v>
      </c>
      <c r="L316" s="47">
        <v>555</v>
      </c>
      <c r="M316" s="46">
        <v>143</v>
      </c>
      <c r="N316" s="45">
        <v>66</v>
      </c>
    </row>
    <row r="317" spans="1:14" outlineLevel="1" x14ac:dyDescent="0.2">
      <c r="A317" s="20">
        <f t="shared" si="251"/>
        <v>11161</v>
      </c>
      <c r="B317" s="19" t="str">
        <f t="shared" si="251"/>
        <v>TAMUCC</v>
      </c>
      <c r="C317" s="18"/>
      <c r="D317" s="15">
        <v>1315</v>
      </c>
      <c r="E317" s="21">
        <v>0.51100000000000001</v>
      </c>
      <c r="F317" s="46">
        <v>6609.8666666666668</v>
      </c>
      <c r="G317" s="13">
        <v>2639.1300000000101</v>
      </c>
      <c r="H317" s="15">
        <v>252</v>
      </c>
      <c r="I317" s="45">
        <v>25</v>
      </c>
      <c r="J317" s="16">
        <v>459</v>
      </c>
      <c r="K317" s="16">
        <v>1034</v>
      </c>
      <c r="L317" s="15">
        <v>2126</v>
      </c>
      <c r="M317" s="14">
        <v>1577</v>
      </c>
      <c r="N317" s="13">
        <v>864</v>
      </c>
    </row>
    <row r="318" spans="1:14" outlineLevel="1" x14ac:dyDescent="0.2">
      <c r="A318" s="20">
        <f t="shared" si="251"/>
        <v>3639</v>
      </c>
      <c r="B318" s="19" t="str">
        <f t="shared" si="251"/>
        <v>TAMUK</v>
      </c>
      <c r="C318" s="18"/>
      <c r="D318" s="15">
        <v>738</v>
      </c>
      <c r="E318" s="21">
        <v>0.39799999999999996</v>
      </c>
      <c r="F318" s="46">
        <v>4394.2</v>
      </c>
      <c r="G318" s="13">
        <v>1735.8600000000065</v>
      </c>
      <c r="H318" s="15">
        <v>246</v>
      </c>
      <c r="I318" s="45">
        <v>16</v>
      </c>
      <c r="J318" s="16">
        <v>190</v>
      </c>
      <c r="K318" s="16">
        <v>613</v>
      </c>
      <c r="L318" s="47">
        <v>1180</v>
      </c>
      <c r="M318" s="46">
        <v>879</v>
      </c>
      <c r="N318" s="45">
        <v>555</v>
      </c>
    </row>
    <row r="319" spans="1:14" outlineLevel="1" x14ac:dyDescent="0.2">
      <c r="A319" s="27">
        <f t="shared" ref="A319:B334" si="252">A277</f>
        <v>103639</v>
      </c>
      <c r="B319" s="19" t="str">
        <f t="shared" si="252"/>
        <v>TAMUSA</v>
      </c>
      <c r="C319" s="18"/>
      <c r="D319" s="15">
        <v>620</v>
      </c>
      <c r="E319" s="21">
        <v>0.39799999999999996</v>
      </c>
      <c r="F319" s="46">
        <v>1492.4</v>
      </c>
      <c r="G319" s="13">
        <v>1078.0000000000073</v>
      </c>
      <c r="H319" s="15">
        <v>1</v>
      </c>
      <c r="I319" s="45">
        <v>0</v>
      </c>
      <c r="J319" s="16">
        <v>513</v>
      </c>
      <c r="K319" s="16">
        <v>520</v>
      </c>
      <c r="L319" s="47">
        <v>995</v>
      </c>
      <c r="M319" s="46">
        <v>37</v>
      </c>
      <c r="N319" s="45">
        <v>2</v>
      </c>
    </row>
    <row r="320" spans="1:14" outlineLevel="1" x14ac:dyDescent="0.2">
      <c r="A320" s="20">
        <f t="shared" si="252"/>
        <v>9651</v>
      </c>
      <c r="B320" s="19" t="str">
        <f t="shared" si="252"/>
        <v>TAMI</v>
      </c>
      <c r="C320" s="18"/>
      <c r="D320" s="15">
        <v>766</v>
      </c>
      <c r="E320" s="21">
        <v>0.503</v>
      </c>
      <c r="F320" s="14">
        <v>4126.8</v>
      </c>
      <c r="G320" s="13">
        <v>1400.4200000000046</v>
      </c>
      <c r="H320" s="15">
        <v>120</v>
      </c>
      <c r="I320" s="13">
        <v>18</v>
      </c>
      <c r="J320" s="16">
        <v>376</v>
      </c>
      <c r="K320" s="16">
        <v>688</v>
      </c>
      <c r="L320" s="15">
        <v>1515</v>
      </c>
      <c r="M320" s="14">
        <v>1027</v>
      </c>
      <c r="N320" s="13">
        <v>486</v>
      </c>
    </row>
    <row r="321" spans="1:14" outlineLevel="1" x14ac:dyDescent="0.2">
      <c r="A321" s="20">
        <f t="shared" si="252"/>
        <v>3665</v>
      </c>
      <c r="B321" s="19" t="str">
        <f t="shared" si="252"/>
        <v>WTAMU</v>
      </c>
      <c r="C321" s="18"/>
      <c r="D321" s="15">
        <v>1294</v>
      </c>
      <c r="E321" s="21">
        <v>0.47399999999999998</v>
      </c>
      <c r="F321" s="14">
        <v>5457.666666666667</v>
      </c>
      <c r="G321" s="13">
        <v>2570.7800000000157</v>
      </c>
      <c r="H321" s="15">
        <v>184</v>
      </c>
      <c r="I321" s="13">
        <v>58</v>
      </c>
      <c r="J321" s="16">
        <v>437</v>
      </c>
      <c r="K321" s="16">
        <v>913</v>
      </c>
      <c r="L321" s="15">
        <v>1871</v>
      </c>
      <c r="M321" s="14">
        <v>1264</v>
      </c>
      <c r="N321" s="13">
        <v>664</v>
      </c>
    </row>
    <row r="322" spans="1:14" outlineLevel="1" x14ac:dyDescent="0.2">
      <c r="A322" s="20">
        <f t="shared" si="252"/>
        <v>3565</v>
      </c>
      <c r="B322" s="19" t="str">
        <f t="shared" si="252"/>
        <v>TAMUC</v>
      </c>
      <c r="C322" s="18"/>
      <c r="D322" s="15">
        <v>1313</v>
      </c>
      <c r="E322" s="21">
        <v>0.42600000000000005</v>
      </c>
      <c r="F322" s="14">
        <v>4783.5333333333338</v>
      </c>
      <c r="G322" s="13">
        <v>2463.6900000000296</v>
      </c>
      <c r="H322" s="15">
        <v>71</v>
      </c>
      <c r="I322" s="13">
        <v>77</v>
      </c>
      <c r="J322" s="16">
        <v>748</v>
      </c>
      <c r="K322" s="16">
        <v>1002</v>
      </c>
      <c r="L322" s="15">
        <v>1911</v>
      </c>
      <c r="M322" s="14">
        <v>1200</v>
      </c>
      <c r="N322" s="13">
        <v>477</v>
      </c>
    </row>
    <row r="323" spans="1:14" outlineLevel="1" x14ac:dyDescent="0.2">
      <c r="A323" s="20">
        <f t="shared" si="252"/>
        <v>29269</v>
      </c>
      <c r="B323" s="19" t="str">
        <f t="shared" si="252"/>
        <v>TAMUT</v>
      </c>
      <c r="C323" s="18"/>
      <c r="D323" s="15">
        <v>335</v>
      </c>
      <c r="E323" s="17">
        <v>0.56028368794326244</v>
      </c>
      <c r="F323" s="14">
        <v>879.13333333333333</v>
      </c>
      <c r="G323" s="13">
        <v>609.83000000000015</v>
      </c>
      <c r="H323" s="15">
        <v>48</v>
      </c>
      <c r="I323" s="13">
        <v>18</v>
      </c>
      <c r="J323" s="16">
        <v>220</v>
      </c>
      <c r="K323" s="16">
        <v>230</v>
      </c>
      <c r="L323" s="15">
        <v>411</v>
      </c>
      <c r="M323" s="14">
        <v>186</v>
      </c>
      <c r="N323" s="13">
        <v>1</v>
      </c>
    </row>
    <row r="324" spans="1:14" outlineLevel="1" x14ac:dyDescent="0.2">
      <c r="A324" s="20">
        <f t="shared" si="252"/>
        <v>3652</v>
      </c>
      <c r="B324" s="19" t="str">
        <f t="shared" si="252"/>
        <v>UH</v>
      </c>
      <c r="C324" s="18"/>
      <c r="D324" s="15">
        <v>5092</v>
      </c>
      <c r="E324" s="21">
        <v>0.54200000000000004</v>
      </c>
      <c r="F324" s="14">
        <v>23853.933333333334</v>
      </c>
      <c r="G324" s="13">
        <v>10569.339999999527</v>
      </c>
      <c r="H324" s="15">
        <v>720</v>
      </c>
      <c r="I324" s="13">
        <v>74</v>
      </c>
      <c r="J324" s="16">
        <v>1691</v>
      </c>
      <c r="K324" s="16">
        <v>3340</v>
      </c>
      <c r="L324" s="15">
        <v>7467</v>
      </c>
      <c r="M324" s="14">
        <v>5804</v>
      </c>
      <c r="N324" s="13">
        <v>3314</v>
      </c>
    </row>
    <row r="325" spans="1:14" outlineLevel="1" x14ac:dyDescent="0.2">
      <c r="A325" s="20">
        <f t="shared" si="252"/>
        <v>11711</v>
      </c>
      <c r="B325" s="19" t="str">
        <f t="shared" si="252"/>
        <v>UHCL</v>
      </c>
      <c r="C325" s="18"/>
      <c r="D325" s="15">
        <v>1197</v>
      </c>
      <c r="E325" s="17">
        <v>0.53820033955857383</v>
      </c>
      <c r="F325" s="14">
        <v>3046.8</v>
      </c>
      <c r="G325" s="13">
        <v>2293.9500000000248</v>
      </c>
      <c r="H325" s="15">
        <v>113</v>
      </c>
      <c r="I325" s="13">
        <v>8</v>
      </c>
      <c r="J325" s="16">
        <v>822</v>
      </c>
      <c r="K325" s="16">
        <v>777</v>
      </c>
      <c r="L325" s="15">
        <v>1434</v>
      </c>
      <c r="M325" s="14">
        <v>959</v>
      </c>
      <c r="N325" s="13">
        <v>53</v>
      </c>
    </row>
    <row r="326" spans="1:14" outlineLevel="1" x14ac:dyDescent="0.2">
      <c r="A326" s="20">
        <f t="shared" si="252"/>
        <v>12826</v>
      </c>
      <c r="B326" s="19" t="str">
        <f t="shared" si="252"/>
        <v>UHD</v>
      </c>
      <c r="C326" s="18"/>
      <c r="D326" s="15">
        <v>2437</v>
      </c>
      <c r="E326" s="21">
        <v>0.215</v>
      </c>
      <c r="F326" s="14">
        <v>7949.2666666666664</v>
      </c>
      <c r="G326" s="13">
        <v>4368.2100000000464</v>
      </c>
      <c r="H326" s="15">
        <v>143</v>
      </c>
      <c r="I326" s="13">
        <v>0</v>
      </c>
      <c r="J326" s="16">
        <v>1114</v>
      </c>
      <c r="K326" s="16">
        <v>1730</v>
      </c>
      <c r="L326" s="15">
        <v>3223</v>
      </c>
      <c r="M326" s="14">
        <v>1896</v>
      </c>
      <c r="N326" s="13">
        <v>618</v>
      </c>
    </row>
    <row r="327" spans="1:14" outlineLevel="1" x14ac:dyDescent="0.2">
      <c r="A327" s="20">
        <f t="shared" si="252"/>
        <v>13231</v>
      </c>
      <c r="B327" s="19" t="str">
        <f t="shared" si="252"/>
        <v>UHV</v>
      </c>
      <c r="C327" s="18"/>
      <c r="D327" s="15">
        <v>596</v>
      </c>
      <c r="E327" s="17">
        <v>0.5339366515837104</v>
      </c>
      <c r="F327" s="14">
        <v>1494.2</v>
      </c>
      <c r="G327" s="13">
        <v>1103.6999999999998</v>
      </c>
      <c r="H327" s="15">
        <v>118</v>
      </c>
      <c r="I327" s="13">
        <v>11</v>
      </c>
      <c r="J327" s="16">
        <v>433</v>
      </c>
      <c r="K327" s="16">
        <v>397</v>
      </c>
      <c r="L327" s="15">
        <v>718</v>
      </c>
      <c r="M327" s="14">
        <v>286</v>
      </c>
      <c r="N327" s="13">
        <v>6</v>
      </c>
    </row>
    <row r="328" spans="1:14" outlineLevel="1" x14ac:dyDescent="0.2">
      <c r="A328" s="20">
        <f t="shared" si="252"/>
        <v>3592</v>
      </c>
      <c r="B328" s="19" t="str">
        <f t="shared" si="252"/>
        <v>Midwestern</v>
      </c>
      <c r="C328" s="18"/>
      <c r="D328" s="15">
        <v>1027</v>
      </c>
      <c r="E328" s="21">
        <v>0.443</v>
      </c>
      <c r="F328" s="14">
        <v>4387.7333333333336</v>
      </c>
      <c r="G328" s="13">
        <v>1924.84</v>
      </c>
      <c r="H328" s="15">
        <v>340</v>
      </c>
      <c r="I328" s="13">
        <v>11</v>
      </c>
      <c r="J328" s="16">
        <v>250</v>
      </c>
      <c r="K328" s="16">
        <v>675</v>
      </c>
      <c r="L328" s="15">
        <v>1507</v>
      </c>
      <c r="M328" s="14">
        <v>1079</v>
      </c>
      <c r="N328" s="13">
        <v>734</v>
      </c>
    </row>
    <row r="329" spans="1:14" outlineLevel="1" x14ac:dyDescent="0.2">
      <c r="A329" s="20">
        <f t="shared" si="252"/>
        <v>3594</v>
      </c>
      <c r="B329" s="19" t="str">
        <f t="shared" si="252"/>
        <v>UNT</v>
      </c>
      <c r="C329" s="18"/>
      <c r="D329" s="15">
        <v>6183</v>
      </c>
      <c r="E329" s="21">
        <v>0.58700000000000008</v>
      </c>
      <c r="F329" s="14">
        <v>23168.733333333334</v>
      </c>
      <c r="G329" s="13">
        <v>11731.089999999795</v>
      </c>
      <c r="H329" s="15">
        <v>345</v>
      </c>
      <c r="I329" s="13">
        <v>47</v>
      </c>
      <c r="J329" s="16">
        <v>2356</v>
      </c>
      <c r="K329" s="16">
        <v>3942</v>
      </c>
      <c r="L329" s="15">
        <v>7957</v>
      </c>
      <c r="M329" s="14">
        <v>5891</v>
      </c>
      <c r="N329" s="13">
        <v>3310</v>
      </c>
    </row>
    <row r="330" spans="1:14" outlineLevel="1" x14ac:dyDescent="0.2">
      <c r="A330" s="27">
        <f t="shared" si="252"/>
        <v>113594</v>
      </c>
      <c r="B330" s="19" t="str">
        <f t="shared" si="252"/>
        <v>UNTD</v>
      </c>
      <c r="C330" s="18"/>
      <c r="D330" s="30">
        <v>388</v>
      </c>
      <c r="E330" s="44">
        <v>0.58700000000000008</v>
      </c>
      <c r="F330" s="29">
        <v>908.8</v>
      </c>
      <c r="G330" s="28">
        <v>669.60000000000036</v>
      </c>
      <c r="H330" s="30">
        <v>10</v>
      </c>
      <c r="I330" s="28"/>
      <c r="J330" s="43">
        <v>0</v>
      </c>
      <c r="K330" s="43">
        <v>304</v>
      </c>
      <c r="L330" s="30">
        <v>487</v>
      </c>
      <c r="M330" s="29">
        <v>63</v>
      </c>
      <c r="N330" s="28">
        <v>18</v>
      </c>
    </row>
    <row r="331" spans="1:14" outlineLevel="1" x14ac:dyDescent="0.2">
      <c r="A331" s="20">
        <f t="shared" si="252"/>
        <v>3624</v>
      </c>
      <c r="B331" s="19" t="str">
        <f t="shared" si="252"/>
        <v>SFA</v>
      </c>
      <c r="C331" s="18"/>
      <c r="D331" s="15">
        <v>1880</v>
      </c>
      <c r="E331" s="21">
        <v>0.53900000000000003</v>
      </c>
      <c r="F331" s="14">
        <v>9440.9333333333325</v>
      </c>
      <c r="G331" s="13">
        <v>3606.8600000000297</v>
      </c>
      <c r="H331" s="15">
        <v>241</v>
      </c>
      <c r="I331" s="13">
        <v>49</v>
      </c>
      <c r="J331" s="16">
        <v>545</v>
      </c>
      <c r="K331" s="16">
        <v>1446</v>
      </c>
      <c r="L331" s="15">
        <v>3040</v>
      </c>
      <c r="M331" s="14">
        <v>2166</v>
      </c>
      <c r="N331" s="13">
        <v>1402</v>
      </c>
    </row>
    <row r="332" spans="1:14" outlineLevel="1" x14ac:dyDescent="0.2">
      <c r="A332" s="20">
        <f t="shared" si="252"/>
        <v>3642</v>
      </c>
      <c r="B332" s="19" t="str">
        <f t="shared" si="252"/>
        <v>TSU</v>
      </c>
      <c r="C332" s="18"/>
      <c r="D332" s="15">
        <v>721</v>
      </c>
      <c r="E332" s="21">
        <v>0.14099999999999999</v>
      </c>
      <c r="F332" s="14">
        <v>5912.8</v>
      </c>
      <c r="G332" s="13">
        <v>1385.6100000000063</v>
      </c>
      <c r="H332" s="15">
        <v>122</v>
      </c>
      <c r="I332" s="13">
        <v>2</v>
      </c>
      <c r="J332" s="16">
        <v>109</v>
      </c>
      <c r="K332" s="16">
        <v>635</v>
      </c>
      <c r="L332" s="15">
        <v>1692</v>
      </c>
      <c r="M332" s="14">
        <v>1274</v>
      </c>
      <c r="N332" s="13">
        <v>870</v>
      </c>
    </row>
    <row r="333" spans="1:14" outlineLevel="1" x14ac:dyDescent="0.2">
      <c r="A333" s="20">
        <f t="shared" si="252"/>
        <v>3644</v>
      </c>
      <c r="B333" s="19" t="str">
        <f t="shared" si="252"/>
        <v>TTU</v>
      </c>
      <c r="C333" s="18"/>
      <c r="D333" s="15">
        <v>4605</v>
      </c>
      <c r="E333" s="21">
        <v>0.7320000000000001</v>
      </c>
      <c r="F333" s="14">
        <v>22527.466666666667</v>
      </c>
      <c r="G333" s="13">
        <v>9815.7899999997753</v>
      </c>
      <c r="H333" s="15">
        <v>687</v>
      </c>
      <c r="I333" s="13">
        <v>62</v>
      </c>
      <c r="J333" s="16">
        <v>1087</v>
      </c>
      <c r="K333" s="16">
        <v>2724</v>
      </c>
      <c r="L333" s="15">
        <v>6577</v>
      </c>
      <c r="M333" s="14">
        <v>5355</v>
      </c>
      <c r="N333" s="13">
        <v>3957</v>
      </c>
    </row>
    <row r="334" spans="1:14" outlineLevel="1" x14ac:dyDescent="0.2">
      <c r="A334" s="20">
        <f t="shared" si="252"/>
        <v>3541</v>
      </c>
      <c r="B334" s="19" t="str">
        <f t="shared" si="252"/>
        <v>Angelo</v>
      </c>
      <c r="C334" s="18"/>
      <c r="D334" s="15">
        <v>960</v>
      </c>
      <c r="E334" s="21">
        <v>0.441</v>
      </c>
      <c r="F334" s="14">
        <v>4895.666666666667</v>
      </c>
      <c r="G334" s="13">
        <v>1856.9499999999953</v>
      </c>
      <c r="H334" s="15">
        <v>242</v>
      </c>
      <c r="I334" s="13">
        <v>21</v>
      </c>
      <c r="J334" s="16">
        <v>179</v>
      </c>
      <c r="K334" s="16">
        <v>720</v>
      </c>
      <c r="L334" s="15">
        <v>1444</v>
      </c>
      <c r="M334" s="14">
        <v>1071</v>
      </c>
      <c r="N334" s="13">
        <v>708</v>
      </c>
    </row>
    <row r="335" spans="1:14" outlineLevel="1" x14ac:dyDescent="0.2">
      <c r="A335" s="20">
        <f t="shared" ref="A335:B340" si="253">A293</f>
        <v>3646</v>
      </c>
      <c r="B335" s="19" t="str">
        <f t="shared" si="253"/>
        <v>TWU</v>
      </c>
      <c r="C335" s="18"/>
      <c r="D335" s="15">
        <v>1725</v>
      </c>
      <c r="E335" s="21">
        <v>0.48399999999999999</v>
      </c>
      <c r="F335" s="14">
        <v>6598.2</v>
      </c>
      <c r="G335" s="13">
        <v>3227.0100000000139</v>
      </c>
      <c r="H335" s="15">
        <v>523</v>
      </c>
      <c r="I335" s="13">
        <v>34</v>
      </c>
      <c r="J335" s="16">
        <v>768</v>
      </c>
      <c r="K335" s="16">
        <v>1201</v>
      </c>
      <c r="L335" s="15">
        <v>2121</v>
      </c>
      <c r="M335" s="14">
        <v>1259</v>
      </c>
      <c r="N335" s="13">
        <v>608</v>
      </c>
    </row>
    <row r="336" spans="1:14" outlineLevel="1" x14ac:dyDescent="0.2">
      <c r="A336" s="20">
        <f t="shared" si="253"/>
        <v>3581</v>
      </c>
      <c r="B336" s="19" t="str">
        <f t="shared" si="253"/>
        <v>Lamar</v>
      </c>
      <c r="C336" s="18"/>
      <c r="D336" s="15">
        <v>1340</v>
      </c>
      <c r="E336" s="21">
        <v>0.35399999999999998</v>
      </c>
      <c r="F336" s="14">
        <v>7247.8</v>
      </c>
      <c r="G336" s="13">
        <v>2695.0800000000122</v>
      </c>
      <c r="H336" s="15">
        <v>358</v>
      </c>
      <c r="I336" s="13">
        <v>16</v>
      </c>
      <c r="J336" s="16">
        <v>228</v>
      </c>
      <c r="K336" s="16">
        <v>943</v>
      </c>
      <c r="L336" s="15">
        <v>2317</v>
      </c>
      <c r="M336" s="14">
        <v>1577</v>
      </c>
      <c r="N336" s="13">
        <v>1000</v>
      </c>
    </row>
    <row r="337" spans="1:16" outlineLevel="1" x14ac:dyDescent="0.2">
      <c r="A337" s="20">
        <f t="shared" si="253"/>
        <v>3606</v>
      </c>
      <c r="B337" s="19" t="str">
        <f t="shared" si="253"/>
        <v>SHSU</v>
      </c>
      <c r="C337" s="18"/>
      <c r="D337" s="15">
        <v>3013</v>
      </c>
      <c r="E337" s="21">
        <v>0.60299999999999998</v>
      </c>
      <c r="F337" s="14">
        <v>12631.666666666666</v>
      </c>
      <c r="G337" s="13">
        <v>5628.5800000000427</v>
      </c>
      <c r="H337" s="15">
        <v>166</v>
      </c>
      <c r="I337" s="13">
        <v>63</v>
      </c>
      <c r="J337" s="16">
        <v>1259</v>
      </c>
      <c r="K337" s="16">
        <v>2160</v>
      </c>
      <c r="L337" s="15">
        <v>3940</v>
      </c>
      <c r="M337" s="14">
        <v>2970</v>
      </c>
      <c r="N337" s="13">
        <v>1716</v>
      </c>
    </row>
    <row r="338" spans="1:16" outlineLevel="1" x14ac:dyDescent="0.2">
      <c r="A338" s="20">
        <f t="shared" si="253"/>
        <v>3615</v>
      </c>
      <c r="B338" s="19" t="str">
        <f t="shared" si="253"/>
        <v>TXST</v>
      </c>
      <c r="C338" s="18"/>
      <c r="D338" s="15">
        <v>5349</v>
      </c>
      <c r="E338" s="21">
        <v>0.6409999999999999</v>
      </c>
      <c r="F338" s="14">
        <v>22917.933333333334</v>
      </c>
      <c r="G338" s="13">
        <v>10250.389999999717</v>
      </c>
      <c r="H338" s="15">
        <v>445</v>
      </c>
      <c r="I338" s="13">
        <v>65</v>
      </c>
      <c r="J338" s="16">
        <v>2011</v>
      </c>
      <c r="K338" s="16">
        <v>3665</v>
      </c>
      <c r="L338" s="15">
        <v>7685</v>
      </c>
      <c r="M338" s="14">
        <v>5748</v>
      </c>
      <c r="N338" s="13">
        <v>3317</v>
      </c>
    </row>
    <row r="339" spans="1:16" outlineLevel="1" x14ac:dyDescent="0.2">
      <c r="A339" s="20">
        <f t="shared" si="253"/>
        <v>3625</v>
      </c>
      <c r="B339" s="19" t="str">
        <f t="shared" si="253"/>
        <v>SRSU</v>
      </c>
      <c r="C339" s="18"/>
      <c r="D339" s="15">
        <v>196</v>
      </c>
      <c r="E339" s="21">
        <v>0.29199999999999998</v>
      </c>
      <c r="F339" s="14">
        <v>1200.1333333333334</v>
      </c>
      <c r="G339" s="13">
        <v>405.49999999999949</v>
      </c>
      <c r="H339" s="15">
        <v>18</v>
      </c>
      <c r="I339" s="13">
        <v>4</v>
      </c>
      <c r="J339" s="16">
        <v>49</v>
      </c>
      <c r="K339" s="16">
        <v>166</v>
      </c>
      <c r="L339" s="15">
        <v>298</v>
      </c>
      <c r="M339" s="14">
        <v>217</v>
      </c>
      <c r="N339" s="13">
        <v>136</v>
      </c>
      <c r="O339" s="156"/>
    </row>
    <row r="340" spans="1:16" outlineLevel="1" x14ac:dyDescent="0.2">
      <c r="A340" s="20">
        <f t="shared" si="253"/>
        <v>20</v>
      </c>
      <c r="B340" s="19" t="str">
        <f t="shared" si="253"/>
        <v>SRRG</v>
      </c>
      <c r="C340" s="18"/>
      <c r="D340" s="15">
        <v>163</v>
      </c>
      <c r="E340" s="17">
        <v>0.33750000000000002</v>
      </c>
      <c r="F340" s="14">
        <v>472.13333333333333</v>
      </c>
      <c r="G340" s="13">
        <v>281.52999999999975</v>
      </c>
      <c r="H340" s="15">
        <v>5</v>
      </c>
      <c r="I340" s="13">
        <v>7</v>
      </c>
      <c r="J340" s="16">
        <v>117</v>
      </c>
      <c r="K340" s="16">
        <v>145</v>
      </c>
      <c r="L340" s="15">
        <v>224</v>
      </c>
      <c r="M340" s="14">
        <v>97</v>
      </c>
      <c r="N340" s="13">
        <v>2</v>
      </c>
    </row>
    <row r="341" spans="1:16" ht="13.5" outlineLevel="1" thickBot="1" x14ac:dyDescent="0.25">
      <c r="A341" s="12"/>
      <c r="B341" s="11" t="s">
        <v>11</v>
      </c>
      <c r="C341" s="10"/>
      <c r="D341" s="9">
        <f>SUM(D303:D340)</f>
        <v>84231</v>
      </c>
      <c r="E341" s="8">
        <v>0.58399999999999996</v>
      </c>
      <c r="F341" s="7">
        <f t="shared" ref="F341:N341" si="254">SUM(F303:F340)</f>
        <v>351171.46666666673</v>
      </c>
      <c r="G341" s="3">
        <f t="shared" si="254"/>
        <v>170914.74000000223</v>
      </c>
      <c r="H341" s="5">
        <f t="shared" si="254"/>
        <v>13857</v>
      </c>
      <c r="I341" s="3">
        <f t="shared" si="254"/>
        <v>1204</v>
      </c>
      <c r="J341" s="6">
        <f t="shared" ref="J341" si="255">SUM(J303:J340)</f>
        <v>29274</v>
      </c>
      <c r="K341" s="6">
        <f t="shared" si="254"/>
        <v>54385</v>
      </c>
      <c r="L341" s="5">
        <f t="shared" si="254"/>
        <v>116139</v>
      </c>
      <c r="M341" s="4">
        <f t="shared" si="254"/>
        <v>84006</v>
      </c>
      <c r="N341" s="3">
        <f t="shared" si="254"/>
        <v>51310</v>
      </c>
    </row>
    <row r="342" spans="1:16" ht="13.5" thickBot="1" x14ac:dyDescent="0.25">
      <c r="A342" s="42" t="s">
        <v>25</v>
      </c>
      <c r="B342" s="42"/>
      <c r="C342" s="42"/>
      <c r="D342" s="42"/>
      <c r="F342" s="42"/>
      <c r="J342" s="42"/>
      <c r="K342" s="42"/>
    </row>
    <row r="343" spans="1:16" ht="12.75" customHeight="1" outlineLevel="1" x14ac:dyDescent="0.2">
      <c r="A343" s="234" t="s">
        <v>24</v>
      </c>
      <c r="B343" s="236" t="s">
        <v>23</v>
      </c>
      <c r="C343" s="238"/>
      <c r="D343" s="240" t="s">
        <v>22</v>
      </c>
      <c r="E343" s="242" t="s">
        <v>21</v>
      </c>
      <c r="F343" s="236" t="s">
        <v>20</v>
      </c>
      <c r="G343" s="221" t="s">
        <v>19</v>
      </c>
      <c r="H343" s="223" t="s">
        <v>18</v>
      </c>
      <c r="I343" s="225" t="s">
        <v>17</v>
      </c>
      <c r="J343" s="227" t="str">
        <f>J3</f>
        <v>Under Graduate Transfer Degrees</v>
      </c>
      <c r="K343" s="227" t="s">
        <v>16</v>
      </c>
      <c r="L343" s="229" t="s">
        <v>15</v>
      </c>
      <c r="M343" s="230"/>
      <c r="N343" s="231"/>
    </row>
    <row r="344" spans="1:16" s="41" customFormat="1" ht="39.75" customHeight="1" outlineLevel="1" thickBot="1" x14ac:dyDescent="0.25">
      <c r="A344" s="273"/>
      <c r="B344" s="270"/>
      <c r="C344" s="274"/>
      <c r="D344" s="275"/>
      <c r="E344" s="276"/>
      <c r="F344" s="270"/>
      <c r="G344" s="271"/>
      <c r="H344" s="272"/>
      <c r="I344" s="265"/>
      <c r="J344" s="266"/>
      <c r="K344" s="266"/>
      <c r="L344" s="125" t="s">
        <v>14</v>
      </c>
      <c r="M344" s="126" t="s">
        <v>13</v>
      </c>
      <c r="N344" s="135" t="s">
        <v>12</v>
      </c>
      <c r="O344" s="154"/>
    </row>
    <row r="345" spans="1:16" outlineLevel="1" x14ac:dyDescent="0.2">
      <c r="A345" s="40">
        <f t="shared" ref="A345:B360" si="256">A303</f>
        <v>3656</v>
      </c>
      <c r="B345" s="39" t="str">
        <f t="shared" si="256"/>
        <v>UTA</v>
      </c>
      <c r="C345" s="38"/>
      <c r="D345" s="33">
        <v>4178</v>
      </c>
      <c r="E345" s="37">
        <v>0.50700000000000001</v>
      </c>
      <c r="F345" s="32">
        <v>15698.133333333333</v>
      </c>
      <c r="G345" s="31">
        <v>8640.2399999998797</v>
      </c>
      <c r="H345" s="36">
        <v>834</v>
      </c>
      <c r="I345" s="35">
        <v>36</v>
      </c>
      <c r="J345" s="34">
        <v>1817</v>
      </c>
      <c r="K345" s="34">
        <v>2662</v>
      </c>
      <c r="L345" s="33">
        <v>6630</v>
      </c>
      <c r="M345" s="32">
        <v>3636</v>
      </c>
      <c r="N345" s="31">
        <v>1724</v>
      </c>
    </row>
    <row r="346" spans="1:16" outlineLevel="1" x14ac:dyDescent="0.2">
      <c r="A346" s="20">
        <f t="shared" si="256"/>
        <v>3658</v>
      </c>
      <c r="B346" s="19" t="str">
        <f t="shared" si="256"/>
        <v>UT</v>
      </c>
      <c r="C346" s="18"/>
      <c r="D346" s="15">
        <v>8952</v>
      </c>
      <c r="E346" s="21">
        <v>0.82899999999999996</v>
      </c>
      <c r="F346" s="14">
        <v>33736.73333333333</v>
      </c>
      <c r="G346" s="13">
        <v>19230.319999999745</v>
      </c>
      <c r="H346" s="15">
        <v>1754</v>
      </c>
      <c r="I346" s="13">
        <v>55</v>
      </c>
      <c r="J346" s="16">
        <v>1191</v>
      </c>
      <c r="K346" s="16">
        <v>3435</v>
      </c>
      <c r="L346" s="15">
        <v>9596</v>
      </c>
      <c r="M346" s="14">
        <v>9749</v>
      </c>
      <c r="N346" s="13">
        <v>7288</v>
      </c>
      <c r="P346" s="2"/>
    </row>
    <row r="347" spans="1:16" outlineLevel="1" x14ac:dyDescent="0.2">
      <c r="A347" s="20">
        <f t="shared" si="256"/>
        <v>9741</v>
      </c>
      <c r="B347" s="19" t="str">
        <f t="shared" si="256"/>
        <v>UTD</v>
      </c>
      <c r="C347" s="18"/>
      <c r="D347" s="15">
        <v>2355</v>
      </c>
      <c r="E347" s="21">
        <v>0.70699999999999996</v>
      </c>
      <c r="F347" s="14">
        <v>8108.8666666666668</v>
      </c>
      <c r="G347" s="13">
        <v>4955.5700000000443</v>
      </c>
      <c r="H347" s="15">
        <v>392</v>
      </c>
      <c r="I347" s="13">
        <v>36</v>
      </c>
      <c r="J347" s="16">
        <v>1064</v>
      </c>
      <c r="K347" s="16">
        <v>1255</v>
      </c>
      <c r="L347" s="15">
        <v>3078</v>
      </c>
      <c r="M347" s="14">
        <v>1950</v>
      </c>
      <c r="N347" s="13">
        <v>923</v>
      </c>
      <c r="P347" s="2"/>
    </row>
    <row r="348" spans="1:16" outlineLevel="1" x14ac:dyDescent="0.2">
      <c r="A348" s="20">
        <f t="shared" si="256"/>
        <v>3661</v>
      </c>
      <c r="B348" s="19" t="str">
        <f t="shared" si="256"/>
        <v>UTEP</v>
      </c>
      <c r="C348" s="18"/>
      <c r="D348" s="15">
        <v>3031</v>
      </c>
      <c r="E348" s="21">
        <v>0.374</v>
      </c>
      <c r="F348" s="14">
        <v>12791.933333333332</v>
      </c>
      <c r="G348" s="13">
        <v>6295.4500000000389</v>
      </c>
      <c r="H348" s="15">
        <v>709</v>
      </c>
      <c r="I348" s="13">
        <v>93</v>
      </c>
      <c r="J348" s="16">
        <v>1094</v>
      </c>
      <c r="K348" s="16">
        <v>2394</v>
      </c>
      <c r="L348" s="15">
        <v>4200</v>
      </c>
      <c r="M348" s="14">
        <v>3366</v>
      </c>
      <c r="N348" s="13">
        <v>1972</v>
      </c>
      <c r="P348" s="2"/>
    </row>
    <row r="349" spans="1:16" outlineLevel="1" x14ac:dyDescent="0.2">
      <c r="A349" s="20">
        <f t="shared" si="256"/>
        <v>3599</v>
      </c>
      <c r="B349" s="19" t="str">
        <f t="shared" si="256"/>
        <v>UTPA</v>
      </c>
      <c r="C349" s="18"/>
      <c r="D349" s="15">
        <v>2620</v>
      </c>
      <c r="E349" s="21">
        <v>0.38900000000000001</v>
      </c>
      <c r="F349" s="14">
        <v>12572.333333333334</v>
      </c>
      <c r="G349" s="13">
        <v>5170.8900000000631</v>
      </c>
      <c r="H349" s="15">
        <v>480</v>
      </c>
      <c r="I349" s="13">
        <v>31</v>
      </c>
      <c r="J349" s="16">
        <v>951</v>
      </c>
      <c r="K349" s="16">
        <v>2341</v>
      </c>
      <c r="L349" s="15">
        <v>4354</v>
      </c>
      <c r="M349" s="14">
        <v>3136</v>
      </c>
      <c r="N349" s="13">
        <v>1924</v>
      </c>
      <c r="P349" s="2"/>
    </row>
    <row r="350" spans="1:16" outlineLevel="1" x14ac:dyDescent="0.2">
      <c r="A350" s="20">
        <f t="shared" si="256"/>
        <v>30646</v>
      </c>
      <c r="B350" s="19" t="str">
        <f t="shared" si="256"/>
        <v>UTB</v>
      </c>
      <c r="C350" s="18"/>
      <c r="D350" s="15">
        <v>1052</v>
      </c>
      <c r="E350" s="17">
        <v>0.64666666666666661</v>
      </c>
      <c r="F350" s="14">
        <v>2989.6</v>
      </c>
      <c r="G350" s="13">
        <v>2005.0100000000309</v>
      </c>
      <c r="H350" s="15">
        <v>108</v>
      </c>
      <c r="I350" s="13">
        <v>19</v>
      </c>
      <c r="J350" s="16">
        <v>874</v>
      </c>
      <c r="K350" s="16">
        <v>916</v>
      </c>
      <c r="L350" s="15">
        <v>1377</v>
      </c>
      <c r="M350" s="14">
        <v>583</v>
      </c>
      <c r="N350" s="13">
        <v>72</v>
      </c>
      <c r="P350" s="2"/>
    </row>
    <row r="351" spans="1:16" outlineLevel="1" x14ac:dyDescent="0.2">
      <c r="A351" s="20">
        <f t="shared" si="256"/>
        <v>9930</v>
      </c>
      <c r="B351" s="19" t="str">
        <f t="shared" si="256"/>
        <v>UTPB</v>
      </c>
      <c r="C351" s="18"/>
      <c r="D351" s="15">
        <v>513</v>
      </c>
      <c r="E351" s="21">
        <v>0.44600000000000001</v>
      </c>
      <c r="F351" s="14">
        <v>2159.6</v>
      </c>
      <c r="G351" s="13">
        <v>944.74000000001092</v>
      </c>
      <c r="H351" s="15">
        <v>33</v>
      </c>
      <c r="I351" s="13">
        <v>13</v>
      </c>
      <c r="J351" s="16">
        <v>250</v>
      </c>
      <c r="K351" s="16">
        <v>379</v>
      </c>
      <c r="L351" s="15">
        <v>707</v>
      </c>
      <c r="M351" s="14">
        <v>450</v>
      </c>
      <c r="N351" s="13">
        <v>182</v>
      </c>
      <c r="P351" s="2"/>
    </row>
    <row r="352" spans="1:16" outlineLevel="1" x14ac:dyDescent="0.2">
      <c r="A352" s="20">
        <f t="shared" si="256"/>
        <v>10115</v>
      </c>
      <c r="B352" s="19" t="str">
        <f t="shared" si="256"/>
        <v>UTSA</v>
      </c>
      <c r="C352" s="18"/>
      <c r="D352" s="15">
        <v>3968</v>
      </c>
      <c r="E352" s="21">
        <v>0.44</v>
      </c>
      <c r="F352" s="14">
        <v>19707.533333333333</v>
      </c>
      <c r="G352" s="13">
        <v>8107.0899999997582</v>
      </c>
      <c r="H352" s="15">
        <v>375</v>
      </c>
      <c r="I352" s="13">
        <v>39</v>
      </c>
      <c r="J352" s="16">
        <v>1417</v>
      </c>
      <c r="K352" s="16">
        <v>2956</v>
      </c>
      <c r="L352" s="15">
        <v>6812</v>
      </c>
      <c r="M352" s="14">
        <v>4615</v>
      </c>
      <c r="N352" s="13">
        <v>2588</v>
      </c>
      <c r="P352" s="2"/>
    </row>
    <row r="353" spans="1:16" outlineLevel="1" x14ac:dyDescent="0.2">
      <c r="A353" s="20">
        <f t="shared" si="256"/>
        <v>11163</v>
      </c>
      <c r="B353" s="19" t="str">
        <f t="shared" si="256"/>
        <v>UTT</v>
      </c>
      <c r="C353" s="18"/>
      <c r="D353" s="15">
        <v>1238</v>
      </c>
      <c r="E353" s="21">
        <v>0.496</v>
      </c>
      <c r="F353" s="14">
        <v>4085.2666666666669</v>
      </c>
      <c r="G353" s="13">
        <v>2459.1300000000315</v>
      </c>
      <c r="H353" s="15">
        <v>372</v>
      </c>
      <c r="I353" s="13">
        <v>10</v>
      </c>
      <c r="J353" s="16">
        <v>676</v>
      </c>
      <c r="K353" s="16">
        <v>1002</v>
      </c>
      <c r="L353" s="15">
        <v>1404</v>
      </c>
      <c r="M353" s="14">
        <v>921</v>
      </c>
      <c r="N353" s="13">
        <v>378</v>
      </c>
      <c r="P353" s="2"/>
    </row>
    <row r="354" spans="1:16" outlineLevel="1" x14ac:dyDescent="0.2">
      <c r="A354" s="20">
        <f t="shared" si="256"/>
        <v>3632</v>
      </c>
      <c r="B354" s="19" t="str">
        <f t="shared" si="256"/>
        <v>TAMU</v>
      </c>
      <c r="C354" s="18"/>
      <c r="D354" s="15">
        <v>8451</v>
      </c>
      <c r="E354" s="21">
        <v>0.83599999999999997</v>
      </c>
      <c r="F354" s="14">
        <v>34329.199999999997</v>
      </c>
      <c r="G354" s="13">
        <v>19146.209999999159</v>
      </c>
      <c r="H354" s="15">
        <v>1580</v>
      </c>
      <c r="I354" s="13">
        <v>108</v>
      </c>
      <c r="J354" s="16">
        <v>2282</v>
      </c>
      <c r="K354" s="16">
        <v>3530</v>
      </c>
      <c r="L354" s="15">
        <v>10012</v>
      </c>
      <c r="M354" s="14">
        <v>8836</v>
      </c>
      <c r="N354" s="13">
        <v>6932</v>
      </c>
      <c r="P354" s="2"/>
    </row>
    <row r="355" spans="1:16" outlineLevel="1" x14ac:dyDescent="0.2">
      <c r="A355" s="20">
        <f t="shared" si="256"/>
        <v>10298</v>
      </c>
      <c r="B355" s="19" t="str">
        <f t="shared" si="256"/>
        <v>TAMUG</v>
      </c>
      <c r="C355" s="18"/>
      <c r="D355" s="15">
        <v>262</v>
      </c>
      <c r="E355" s="21">
        <v>0.59199999999999997</v>
      </c>
      <c r="F355" s="14">
        <v>1599.2</v>
      </c>
      <c r="G355" s="13">
        <v>636.84000000000231</v>
      </c>
      <c r="H355" s="15">
        <v>31</v>
      </c>
      <c r="I355" s="13">
        <v>0</v>
      </c>
      <c r="J355" s="16">
        <v>60</v>
      </c>
      <c r="K355" s="16">
        <v>137</v>
      </c>
      <c r="L355" s="15">
        <v>570</v>
      </c>
      <c r="M355" s="14">
        <v>322</v>
      </c>
      <c r="N355" s="13">
        <v>241</v>
      </c>
      <c r="P355" s="2"/>
    </row>
    <row r="356" spans="1:16" outlineLevel="1" x14ac:dyDescent="0.2">
      <c r="A356" s="20">
        <f t="shared" si="256"/>
        <v>3630</v>
      </c>
      <c r="B356" s="19" t="str">
        <f t="shared" si="256"/>
        <v>Prairie View</v>
      </c>
      <c r="C356" s="18"/>
      <c r="D356" s="15">
        <v>879</v>
      </c>
      <c r="E356" s="21">
        <v>0.34200000000000003</v>
      </c>
      <c r="F356" s="14">
        <v>5840.8</v>
      </c>
      <c r="G356" s="13">
        <v>1995.4900000000189</v>
      </c>
      <c r="H356" s="15">
        <v>295</v>
      </c>
      <c r="I356" s="13">
        <v>8</v>
      </c>
      <c r="J356" s="16">
        <v>145</v>
      </c>
      <c r="K356" s="16">
        <v>756</v>
      </c>
      <c r="L356" s="15">
        <v>1643</v>
      </c>
      <c r="M356" s="14">
        <v>1174</v>
      </c>
      <c r="N356" s="13">
        <v>940</v>
      </c>
      <c r="P356" s="2"/>
    </row>
    <row r="357" spans="1:16" outlineLevel="1" x14ac:dyDescent="0.2">
      <c r="A357" s="20">
        <f t="shared" si="256"/>
        <v>3631</v>
      </c>
      <c r="B357" s="19" t="str">
        <f t="shared" si="256"/>
        <v>Tarleton</v>
      </c>
      <c r="C357" s="18"/>
      <c r="D357" s="15">
        <v>1422</v>
      </c>
      <c r="E357" s="21">
        <v>0.47499999999999998</v>
      </c>
      <c r="F357" s="14">
        <v>5845.5333333333338</v>
      </c>
      <c r="G357" s="13">
        <v>2966.430000000048</v>
      </c>
      <c r="H357" s="15">
        <v>183</v>
      </c>
      <c r="I357" s="13">
        <v>38</v>
      </c>
      <c r="J357" s="16">
        <v>646</v>
      </c>
      <c r="K357" s="16">
        <v>1093</v>
      </c>
      <c r="L357" s="15">
        <v>2140</v>
      </c>
      <c r="M357" s="14">
        <v>1306</v>
      </c>
      <c r="N357" s="13">
        <v>903</v>
      </c>
      <c r="P357" s="2"/>
    </row>
    <row r="358" spans="1:16" outlineLevel="1" x14ac:dyDescent="0.2">
      <c r="A358" s="27">
        <f t="shared" si="256"/>
        <v>103631</v>
      </c>
      <c r="B358" s="19" t="str">
        <f t="shared" si="256"/>
        <v>TAMUCT</v>
      </c>
      <c r="C358" s="18"/>
      <c r="D358" s="15">
        <v>450</v>
      </c>
      <c r="E358" s="21">
        <v>0.47499999999999998</v>
      </c>
      <c r="F358" s="14">
        <v>658.4666666666667</v>
      </c>
      <c r="G358" s="13">
        <v>831.96000000000549</v>
      </c>
      <c r="H358" s="15">
        <v>44</v>
      </c>
      <c r="I358" s="13"/>
      <c r="J358" s="16">
        <v>0</v>
      </c>
      <c r="K358" s="16">
        <v>322</v>
      </c>
      <c r="L358" s="15">
        <v>380</v>
      </c>
      <c r="M358" s="14">
        <v>137</v>
      </c>
      <c r="N358" s="13">
        <v>31</v>
      </c>
      <c r="P358" s="2"/>
    </row>
    <row r="359" spans="1:16" outlineLevel="1" x14ac:dyDescent="0.2">
      <c r="A359" s="20">
        <f t="shared" si="256"/>
        <v>11161</v>
      </c>
      <c r="B359" s="19" t="str">
        <f t="shared" si="256"/>
        <v>TAMUCC</v>
      </c>
      <c r="C359" s="18"/>
      <c r="D359" s="15">
        <v>1335</v>
      </c>
      <c r="E359" s="21">
        <v>0.503</v>
      </c>
      <c r="F359" s="14">
        <v>6131.9333333333334</v>
      </c>
      <c r="G359" s="13">
        <v>2744.5700000000347</v>
      </c>
      <c r="H359" s="15">
        <v>237</v>
      </c>
      <c r="I359" s="13">
        <v>29</v>
      </c>
      <c r="J359" s="16">
        <v>454</v>
      </c>
      <c r="K359" s="16">
        <v>1024</v>
      </c>
      <c r="L359" s="15">
        <v>2079</v>
      </c>
      <c r="M359" s="14">
        <v>1357</v>
      </c>
      <c r="N359" s="13">
        <v>812</v>
      </c>
      <c r="P359" s="2"/>
    </row>
    <row r="360" spans="1:16" outlineLevel="1" x14ac:dyDescent="0.2">
      <c r="A360" s="20">
        <f t="shared" si="256"/>
        <v>3639</v>
      </c>
      <c r="B360" s="19" t="str">
        <f t="shared" si="256"/>
        <v>TAMUK</v>
      </c>
      <c r="C360" s="18"/>
      <c r="D360" s="15">
        <v>692</v>
      </c>
      <c r="E360" s="21">
        <v>0.41699999999999998</v>
      </c>
      <c r="F360" s="14">
        <v>3808.2666666666669</v>
      </c>
      <c r="G360" s="13">
        <v>1601.8800000000022</v>
      </c>
      <c r="H360" s="15">
        <v>236</v>
      </c>
      <c r="I360" s="13">
        <v>15</v>
      </c>
      <c r="J360" s="16">
        <v>325</v>
      </c>
      <c r="K360" s="16">
        <v>590</v>
      </c>
      <c r="L360" s="15">
        <v>1159</v>
      </c>
      <c r="M360" s="14">
        <v>790</v>
      </c>
      <c r="N360" s="13">
        <v>550</v>
      </c>
      <c r="P360" s="2"/>
    </row>
    <row r="361" spans="1:16" outlineLevel="1" x14ac:dyDescent="0.2">
      <c r="A361" s="27">
        <f t="shared" ref="A361:B376" si="257">A319</f>
        <v>103639</v>
      </c>
      <c r="B361" s="19" t="str">
        <f t="shared" si="257"/>
        <v>TAMUSA</v>
      </c>
      <c r="C361" s="18"/>
      <c r="D361" s="15">
        <v>496</v>
      </c>
      <c r="E361" s="21">
        <v>0.41699999999999998</v>
      </c>
      <c r="F361" s="14">
        <v>1072.6666666666667</v>
      </c>
      <c r="G361" s="13">
        <v>844.50000000000807</v>
      </c>
      <c r="H361" s="15">
        <v>4</v>
      </c>
      <c r="I361" s="13"/>
      <c r="J361" s="16">
        <v>0</v>
      </c>
      <c r="K361" s="16">
        <v>402</v>
      </c>
      <c r="L361" s="15">
        <v>307</v>
      </c>
      <c r="M361" s="14">
        <v>5</v>
      </c>
      <c r="N361" s="13">
        <v>5</v>
      </c>
      <c r="P361" s="2"/>
    </row>
    <row r="362" spans="1:16" outlineLevel="1" x14ac:dyDescent="0.2">
      <c r="A362" s="20">
        <f t="shared" si="257"/>
        <v>9651</v>
      </c>
      <c r="B362" s="19" t="str">
        <f t="shared" si="257"/>
        <v>TAMI</v>
      </c>
      <c r="C362" s="18"/>
      <c r="D362" s="15">
        <v>798</v>
      </c>
      <c r="E362" s="21">
        <v>0.46</v>
      </c>
      <c r="F362" s="14">
        <v>3819.0666666666666</v>
      </c>
      <c r="G362" s="13">
        <v>1476.3000000000168</v>
      </c>
      <c r="H362" s="15">
        <v>85</v>
      </c>
      <c r="I362" s="13">
        <v>26</v>
      </c>
      <c r="J362" s="16">
        <v>411</v>
      </c>
      <c r="K362" s="16">
        <v>713</v>
      </c>
      <c r="L362" s="15">
        <v>1413</v>
      </c>
      <c r="M362" s="14">
        <v>981</v>
      </c>
      <c r="N362" s="13">
        <v>447</v>
      </c>
      <c r="P362" s="2"/>
    </row>
    <row r="363" spans="1:16" outlineLevel="1" x14ac:dyDescent="0.2">
      <c r="A363" s="20">
        <f t="shared" si="257"/>
        <v>3665</v>
      </c>
      <c r="B363" s="19" t="str">
        <f t="shared" si="257"/>
        <v>WTAMU</v>
      </c>
      <c r="C363" s="18"/>
      <c r="D363" s="15">
        <v>1220</v>
      </c>
      <c r="E363" s="21">
        <v>0.45600000000000002</v>
      </c>
      <c r="F363" s="14">
        <v>5264.8</v>
      </c>
      <c r="G363" s="13">
        <v>2415.9700000000216</v>
      </c>
      <c r="H363" s="15">
        <v>216</v>
      </c>
      <c r="I363" s="13">
        <v>64</v>
      </c>
      <c r="J363" s="16">
        <v>444</v>
      </c>
      <c r="K363" s="16">
        <v>853</v>
      </c>
      <c r="L363" s="15">
        <v>1873</v>
      </c>
      <c r="M363" s="14">
        <v>1161</v>
      </c>
      <c r="N363" s="13">
        <v>631</v>
      </c>
      <c r="P363" s="2"/>
    </row>
    <row r="364" spans="1:16" outlineLevel="1" x14ac:dyDescent="0.2">
      <c r="A364" s="20">
        <f t="shared" si="257"/>
        <v>3565</v>
      </c>
      <c r="B364" s="19" t="str">
        <f t="shared" si="257"/>
        <v>TAMUC</v>
      </c>
      <c r="C364" s="18"/>
      <c r="D364" s="15">
        <v>1153</v>
      </c>
      <c r="E364" s="21">
        <v>0.44800000000000001</v>
      </c>
      <c r="F364" s="14">
        <v>4172.1333333333332</v>
      </c>
      <c r="G364" s="13">
        <v>2179.8400000000324</v>
      </c>
      <c r="H364" s="15">
        <v>59</v>
      </c>
      <c r="I364" s="13">
        <v>65</v>
      </c>
      <c r="J364" s="16">
        <v>660</v>
      </c>
      <c r="K364" s="16">
        <v>884</v>
      </c>
      <c r="L364" s="15">
        <v>1712</v>
      </c>
      <c r="M364" s="14">
        <v>1038</v>
      </c>
      <c r="N364" s="13">
        <v>423</v>
      </c>
      <c r="P364" s="2"/>
    </row>
    <row r="365" spans="1:16" outlineLevel="1" x14ac:dyDescent="0.2">
      <c r="A365" s="20">
        <f t="shared" si="257"/>
        <v>29269</v>
      </c>
      <c r="B365" s="19" t="str">
        <f t="shared" si="257"/>
        <v>TAMUT</v>
      </c>
      <c r="C365" s="18"/>
      <c r="D365" s="15">
        <v>326</v>
      </c>
      <c r="E365" s="17">
        <v>0.57336956521739135</v>
      </c>
      <c r="F365" s="14">
        <v>694.6</v>
      </c>
      <c r="G365" s="13">
        <v>569.46</v>
      </c>
      <c r="H365" s="15">
        <v>30</v>
      </c>
      <c r="I365" s="13">
        <v>15</v>
      </c>
      <c r="J365" s="16">
        <v>212</v>
      </c>
      <c r="K365" s="16">
        <v>210</v>
      </c>
      <c r="L365" s="15">
        <v>403</v>
      </c>
      <c r="M365" s="14">
        <v>138</v>
      </c>
      <c r="N365" s="13">
        <v>0</v>
      </c>
      <c r="P365" s="2"/>
    </row>
    <row r="366" spans="1:16" outlineLevel="1" x14ac:dyDescent="0.2">
      <c r="A366" s="20">
        <f t="shared" si="257"/>
        <v>3652</v>
      </c>
      <c r="B366" s="19" t="str">
        <f t="shared" si="257"/>
        <v>UH</v>
      </c>
      <c r="C366" s="18"/>
      <c r="D366" s="15">
        <v>4778</v>
      </c>
      <c r="E366" s="21">
        <v>0.53100000000000003</v>
      </c>
      <c r="F366" s="14">
        <v>22778.733333333334</v>
      </c>
      <c r="G366" s="13">
        <v>9792.4499999989821</v>
      </c>
      <c r="H366" s="15">
        <v>656</v>
      </c>
      <c r="I366" s="13">
        <v>54</v>
      </c>
      <c r="J366" s="16">
        <v>1682</v>
      </c>
      <c r="K366" s="16">
        <v>3091</v>
      </c>
      <c r="L366" s="15">
        <v>7517</v>
      </c>
      <c r="M366" s="14">
        <v>5600</v>
      </c>
      <c r="N366" s="13">
        <v>3376</v>
      </c>
      <c r="P366" s="2"/>
    </row>
    <row r="367" spans="1:16" outlineLevel="1" x14ac:dyDescent="0.2">
      <c r="A367" s="20">
        <f t="shared" si="257"/>
        <v>11711</v>
      </c>
      <c r="B367" s="19" t="str">
        <f t="shared" si="257"/>
        <v>UHCL</v>
      </c>
      <c r="C367" s="18"/>
      <c r="D367" s="15">
        <v>1124</v>
      </c>
      <c r="E367" s="17">
        <v>0.50557620817843862</v>
      </c>
      <c r="F367" s="14">
        <v>2872.8666666666668</v>
      </c>
      <c r="G367" s="13">
        <v>2131.2100000000323</v>
      </c>
      <c r="H367" s="15">
        <v>88</v>
      </c>
      <c r="I367" s="13">
        <v>8</v>
      </c>
      <c r="J367" s="16">
        <v>767</v>
      </c>
      <c r="K367" s="16">
        <v>707</v>
      </c>
      <c r="L367" s="15">
        <v>1349</v>
      </c>
      <c r="M367" s="14">
        <v>888</v>
      </c>
      <c r="N367" s="13">
        <v>81</v>
      </c>
      <c r="P367" s="2"/>
    </row>
    <row r="368" spans="1:16" outlineLevel="1" x14ac:dyDescent="0.2">
      <c r="A368" s="20">
        <f t="shared" si="257"/>
        <v>12826</v>
      </c>
      <c r="B368" s="19" t="str">
        <f t="shared" si="257"/>
        <v>UHD</v>
      </c>
      <c r="C368" s="18"/>
      <c r="D368" s="15">
        <v>2359</v>
      </c>
      <c r="E368" s="21">
        <v>0.18099999999999999</v>
      </c>
      <c r="F368" s="14">
        <v>7963.6</v>
      </c>
      <c r="G368" s="13">
        <v>4153.3100000000841</v>
      </c>
      <c r="H368" s="15">
        <v>112</v>
      </c>
      <c r="I368" s="13">
        <v>2</v>
      </c>
      <c r="J368" s="16">
        <v>1000</v>
      </c>
      <c r="K368" s="16">
        <v>1619</v>
      </c>
      <c r="L368" s="15">
        <v>3082</v>
      </c>
      <c r="M368" s="14">
        <v>1889</v>
      </c>
      <c r="N368" s="13">
        <v>606</v>
      </c>
      <c r="P368" s="2"/>
    </row>
    <row r="369" spans="1:16" outlineLevel="1" x14ac:dyDescent="0.2">
      <c r="A369" s="20">
        <f t="shared" si="257"/>
        <v>13231</v>
      </c>
      <c r="B369" s="19" t="str">
        <f t="shared" si="257"/>
        <v>UHV</v>
      </c>
      <c r="C369" s="18"/>
      <c r="D369" s="15">
        <v>515</v>
      </c>
      <c r="E369" s="17">
        <v>0.55256723716381417</v>
      </c>
      <c r="F369" s="14">
        <v>1135.8</v>
      </c>
      <c r="G369" s="13">
        <v>962.15000000001089</v>
      </c>
      <c r="H369" s="15">
        <v>72</v>
      </c>
      <c r="I369" s="13">
        <v>2</v>
      </c>
      <c r="J369" s="16">
        <v>381</v>
      </c>
      <c r="K369" s="16">
        <v>337</v>
      </c>
      <c r="L369" s="15">
        <v>654</v>
      </c>
      <c r="M369" s="14">
        <v>269</v>
      </c>
      <c r="N369" s="13">
        <v>8</v>
      </c>
      <c r="P369" s="2"/>
    </row>
    <row r="370" spans="1:16" outlineLevel="1" x14ac:dyDescent="0.2">
      <c r="A370" s="20">
        <f t="shared" si="257"/>
        <v>3592</v>
      </c>
      <c r="B370" s="19" t="str">
        <f t="shared" si="257"/>
        <v>Midwestern</v>
      </c>
      <c r="C370" s="18"/>
      <c r="D370" s="15">
        <v>1002</v>
      </c>
      <c r="E370" s="21">
        <v>0.41199999999999998</v>
      </c>
      <c r="F370" s="14">
        <v>4294.8666666666668</v>
      </c>
      <c r="G370" s="13">
        <v>1899.0200000000148</v>
      </c>
      <c r="H370" s="15">
        <v>302</v>
      </c>
      <c r="I370" s="13">
        <v>19</v>
      </c>
      <c r="J370" s="16">
        <v>228</v>
      </c>
      <c r="K370" s="16">
        <v>673</v>
      </c>
      <c r="L370" s="15">
        <v>1497</v>
      </c>
      <c r="M370" s="14">
        <v>1080</v>
      </c>
      <c r="N370" s="13">
        <v>622</v>
      </c>
      <c r="P370" s="2"/>
    </row>
    <row r="371" spans="1:16" outlineLevel="1" x14ac:dyDescent="0.2">
      <c r="A371" s="20">
        <f t="shared" si="257"/>
        <v>3594</v>
      </c>
      <c r="B371" s="19" t="str">
        <f t="shared" si="257"/>
        <v>UNT</v>
      </c>
      <c r="C371" s="18"/>
      <c r="D371" s="15">
        <v>6024</v>
      </c>
      <c r="E371" s="21">
        <v>0.57399999999999995</v>
      </c>
      <c r="F371" s="14">
        <f>22506.0666666667+838</f>
        <v>23344.066666666698</v>
      </c>
      <c r="G371" s="13">
        <v>11164.699999998398</v>
      </c>
      <c r="H371" s="15">
        <v>297</v>
      </c>
      <c r="I371" s="13">
        <v>27</v>
      </c>
      <c r="J371" s="16">
        <v>2247</v>
      </c>
      <c r="K371" s="16">
        <v>3747</v>
      </c>
      <c r="L371" s="30">
        <v>8327</v>
      </c>
      <c r="M371" s="29">
        <v>5604</v>
      </c>
      <c r="N371" s="28">
        <v>3585</v>
      </c>
      <c r="P371" s="2"/>
    </row>
    <row r="372" spans="1:16" outlineLevel="1" x14ac:dyDescent="0.2">
      <c r="A372" s="27">
        <f t="shared" si="257"/>
        <v>113594</v>
      </c>
      <c r="B372" s="19" t="str">
        <f t="shared" si="257"/>
        <v>UNTD</v>
      </c>
      <c r="C372" s="18"/>
      <c r="D372" s="24"/>
      <c r="E372" s="26"/>
      <c r="F372" s="23"/>
      <c r="G372" s="22"/>
      <c r="H372" s="24"/>
      <c r="I372" s="22"/>
      <c r="J372" s="25">
        <v>0</v>
      </c>
      <c r="K372" s="25"/>
      <c r="L372" s="24"/>
      <c r="M372" s="23"/>
      <c r="N372" s="22"/>
      <c r="P372" s="2"/>
    </row>
    <row r="373" spans="1:16" outlineLevel="1" x14ac:dyDescent="0.2">
      <c r="A373" s="20">
        <f t="shared" si="257"/>
        <v>3624</v>
      </c>
      <c r="B373" s="19" t="str">
        <f t="shared" si="257"/>
        <v>SFA</v>
      </c>
      <c r="C373" s="18"/>
      <c r="D373" s="15">
        <v>1874</v>
      </c>
      <c r="E373" s="21">
        <v>0.56999999999999995</v>
      </c>
      <c r="F373" s="14">
        <v>9510.2666666666664</v>
      </c>
      <c r="G373" s="13">
        <v>3625.4100000000203</v>
      </c>
      <c r="H373" s="15">
        <v>230</v>
      </c>
      <c r="I373" s="13">
        <v>43</v>
      </c>
      <c r="J373" s="16">
        <v>538</v>
      </c>
      <c r="K373" s="16">
        <v>1422</v>
      </c>
      <c r="L373" s="15">
        <v>2663</v>
      </c>
      <c r="M373" s="14">
        <v>1934</v>
      </c>
      <c r="N373" s="13">
        <v>1317</v>
      </c>
      <c r="P373" s="2"/>
    </row>
    <row r="374" spans="1:16" outlineLevel="1" x14ac:dyDescent="0.2">
      <c r="A374" s="20">
        <f t="shared" si="257"/>
        <v>3642</v>
      </c>
      <c r="B374" s="19" t="str">
        <f t="shared" si="257"/>
        <v>TSU</v>
      </c>
      <c r="C374" s="18"/>
      <c r="D374" s="15">
        <v>817</v>
      </c>
      <c r="E374" s="21">
        <v>0.14899999999999999</v>
      </c>
      <c r="F374" s="14">
        <v>5909.8</v>
      </c>
      <c r="G374" s="13">
        <v>1601.5200000000066</v>
      </c>
      <c r="H374" s="15">
        <v>127</v>
      </c>
      <c r="I374" s="13">
        <v>2</v>
      </c>
      <c r="J374" s="16">
        <v>124</v>
      </c>
      <c r="K374" s="16">
        <v>723</v>
      </c>
      <c r="L374" s="15">
        <v>1871</v>
      </c>
      <c r="M374" s="14">
        <v>1137</v>
      </c>
      <c r="N374" s="13">
        <v>916</v>
      </c>
      <c r="P374" s="2"/>
    </row>
    <row r="375" spans="1:16" outlineLevel="1" x14ac:dyDescent="0.2">
      <c r="A375" s="20">
        <f t="shared" si="257"/>
        <v>3644</v>
      </c>
      <c r="B375" s="19" t="str">
        <f t="shared" si="257"/>
        <v>TTU</v>
      </c>
      <c r="C375" s="18"/>
      <c r="D375" s="15">
        <v>4476</v>
      </c>
      <c r="E375" s="21">
        <v>0.72799999999999998</v>
      </c>
      <c r="F375" s="14">
        <v>21422.2</v>
      </c>
      <c r="G375" s="13">
        <v>9827.5299999990111</v>
      </c>
      <c r="H375" s="15">
        <v>656</v>
      </c>
      <c r="I375" s="13">
        <v>43</v>
      </c>
      <c r="J375" s="16">
        <v>1034</v>
      </c>
      <c r="K375" s="16">
        <v>2539</v>
      </c>
      <c r="L375" s="15">
        <v>6430</v>
      </c>
      <c r="M375" s="14">
        <v>5148</v>
      </c>
      <c r="N375" s="13">
        <v>3832</v>
      </c>
      <c r="P375" s="2"/>
    </row>
    <row r="376" spans="1:16" outlineLevel="1" x14ac:dyDescent="0.2">
      <c r="A376" s="20">
        <f t="shared" si="257"/>
        <v>3541</v>
      </c>
      <c r="B376" s="19" t="str">
        <f t="shared" si="257"/>
        <v>Angelo</v>
      </c>
      <c r="C376" s="18"/>
      <c r="D376" s="15">
        <v>941</v>
      </c>
      <c r="E376" s="21">
        <v>0.44</v>
      </c>
      <c r="F376" s="14">
        <v>4829.1333333333332</v>
      </c>
      <c r="G376" s="13">
        <v>1933.5900000000179</v>
      </c>
      <c r="H376" s="15">
        <v>217</v>
      </c>
      <c r="I376" s="13">
        <v>18</v>
      </c>
      <c r="J376" s="16">
        <v>217</v>
      </c>
      <c r="K376" s="16">
        <v>676</v>
      </c>
      <c r="L376" s="15">
        <v>1474</v>
      </c>
      <c r="M376" s="14">
        <v>1008</v>
      </c>
      <c r="N376" s="13">
        <v>708</v>
      </c>
      <c r="P376" s="2"/>
    </row>
    <row r="377" spans="1:16" outlineLevel="1" x14ac:dyDescent="0.2">
      <c r="A377" s="20">
        <f t="shared" ref="A377:B382" si="258">A335</f>
        <v>3646</v>
      </c>
      <c r="B377" s="19" t="str">
        <f t="shared" si="258"/>
        <v>TWU</v>
      </c>
      <c r="C377" s="18"/>
      <c r="D377" s="15">
        <v>1774</v>
      </c>
      <c r="E377" s="21">
        <v>0.54500000000000004</v>
      </c>
      <c r="F377" s="14">
        <v>6071.4666666666662</v>
      </c>
      <c r="G377" s="13">
        <v>3425.2000000000221</v>
      </c>
      <c r="H377" s="15">
        <v>614</v>
      </c>
      <c r="I377" s="13">
        <v>31</v>
      </c>
      <c r="J377" s="16">
        <v>811</v>
      </c>
      <c r="K377" s="16">
        <v>1214</v>
      </c>
      <c r="L377" s="15">
        <v>2042</v>
      </c>
      <c r="M377" s="14">
        <v>1371</v>
      </c>
      <c r="N377" s="13">
        <v>668</v>
      </c>
      <c r="P377" s="2"/>
    </row>
    <row r="378" spans="1:16" outlineLevel="1" x14ac:dyDescent="0.2">
      <c r="A378" s="20">
        <f t="shared" si="258"/>
        <v>3581</v>
      </c>
      <c r="B378" s="19" t="str">
        <f t="shared" si="258"/>
        <v>Lamar</v>
      </c>
      <c r="C378" s="18"/>
      <c r="D378" s="15">
        <v>1286</v>
      </c>
      <c r="E378" s="21">
        <v>0.33800000000000002</v>
      </c>
      <c r="F378" s="14">
        <v>7172.9333333333334</v>
      </c>
      <c r="G378" s="13">
        <v>2638.0900000000311</v>
      </c>
      <c r="H378" s="15">
        <v>314</v>
      </c>
      <c r="I378" s="13">
        <v>17</v>
      </c>
      <c r="J378" s="16">
        <v>226</v>
      </c>
      <c r="K378" s="16">
        <v>908</v>
      </c>
      <c r="L378" s="15">
        <v>2043</v>
      </c>
      <c r="M378" s="14">
        <v>1404</v>
      </c>
      <c r="N378" s="13">
        <v>1031</v>
      </c>
      <c r="P378" s="2"/>
    </row>
    <row r="379" spans="1:16" outlineLevel="1" x14ac:dyDescent="0.2">
      <c r="A379" s="20">
        <f t="shared" si="258"/>
        <v>3606</v>
      </c>
      <c r="B379" s="19" t="str">
        <f t="shared" si="258"/>
        <v>SHSU</v>
      </c>
      <c r="C379" s="18"/>
      <c r="D379" s="15">
        <v>3242</v>
      </c>
      <c r="E379" s="21">
        <v>0.57899999999999996</v>
      </c>
      <c r="F379" s="14">
        <v>12517.066666666668</v>
      </c>
      <c r="G379" s="13">
        <v>6188.6300000000374</v>
      </c>
      <c r="H379" s="15">
        <v>163</v>
      </c>
      <c r="I379" s="13">
        <v>69</v>
      </c>
      <c r="J379" s="16">
        <v>1323</v>
      </c>
      <c r="K379" s="16">
        <v>2318</v>
      </c>
      <c r="L379" s="15">
        <v>3849</v>
      </c>
      <c r="M379" s="14">
        <v>3011</v>
      </c>
      <c r="N379" s="13">
        <v>1870</v>
      </c>
      <c r="P379" s="2"/>
    </row>
    <row r="380" spans="1:16" outlineLevel="1" x14ac:dyDescent="0.2">
      <c r="A380" s="20">
        <f t="shared" si="258"/>
        <v>3615</v>
      </c>
      <c r="B380" s="19" t="str">
        <f t="shared" si="258"/>
        <v>TXST</v>
      </c>
      <c r="C380" s="18"/>
      <c r="D380" s="15">
        <v>5299</v>
      </c>
      <c r="E380" s="21">
        <v>0.64400000000000002</v>
      </c>
      <c r="F380" s="14">
        <v>21764.6</v>
      </c>
      <c r="G380" s="13">
        <v>10384.469999998846</v>
      </c>
      <c r="H380" s="15">
        <v>439</v>
      </c>
      <c r="I380" s="13">
        <v>68</v>
      </c>
      <c r="J380" s="16">
        <v>2008</v>
      </c>
      <c r="K380" s="16">
        <v>3545</v>
      </c>
      <c r="L380" s="15">
        <v>7301</v>
      </c>
      <c r="M380" s="14">
        <v>5428</v>
      </c>
      <c r="N380" s="13">
        <v>3302</v>
      </c>
      <c r="P380" s="2"/>
    </row>
    <row r="381" spans="1:16" outlineLevel="1" x14ac:dyDescent="0.2">
      <c r="A381" s="20">
        <f t="shared" si="258"/>
        <v>3625</v>
      </c>
      <c r="B381" s="19" t="str">
        <f t="shared" si="258"/>
        <v>SRSU</v>
      </c>
      <c r="C381" s="18"/>
      <c r="D381" s="15">
        <v>181</v>
      </c>
      <c r="E381" s="21">
        <v>0.28499999999999998</v>
      </c>
      <c r="F381" s="14">
        <v>1230.9333333333334</v>
      </c>
      <c r="G381" s="13">
        <v>368.43999999999954</v>
      </c>
      <c r="H381" s="15">
        <v>10</v>
      </c>
      <c r="I381" s="13">
        <v>10</v>
      </c>
      <c r="J381" s="16">
        <v>38</v>
      </c>
      <c r="K381" s="16">
        <v>156</v>
      </c>
      <c r="L381" s="15">
        <v>318</v>
      </c>
      <c r="M381" s="14">
        <v>176</v>
      </c>
      <c r="N381" s="13">
        <v>115</v>
      </c>
      <c r="P381" s="2"/>
    </row>
    <row r="382" spans="1:16" outlineLevel="1" x14ac:dyDescent="0.2">
      <c r="A382" s="20">
        <f t="shared" si="258"/>
        <v>20</v>
      </c>
      <c r="B382" s="19" t="str">
        <f t="shared" si="258"/>
        <v>SRRG</v>
      </c>
      <c r="C382" s="18"/>
      <c r="D382" s="15">
        <v>168</v>
      </c>
      <c r="E382" s="17">
        <v>0.36144578313253012</v>
      </c>
      <c r="F382" s="14">
        <v>416.33333333333331</v>
      </c>
      <c r="G382" s="13">
        <v>287.9199999999995</v>
      </c>
      <c r="H382" s="15">
        <v>8</v>
      </c>
      <c r="I382" s="13">
        <v>9</v>
      </c>
      <c r="J382" s="16">
        <v>124</v>
      </c>
      <c r="K382" s="16">
        <v>149</v>
      </c>
      <c r="L382" s="15">
        <v>251</v>
      </c>
      <c r="M382" s="14">
        <v>90</v>
      </c>
      <c r="N382" s="13">
        <v>5</v>
      </c>
      <c r="P382" s="2"/>
    </row>
    <row r="383" spans="1:16" ht="13.5" outlineLevel="1" thickBot="1" x14ac:dyDescent="0.25">
      <c r="A383" s="12"/>
      <c r="B383" s="11" t="s">
        <v>11</v>
      </c>
      <c r="C383" s="10"/>
      <c r="D383" s="9">
        <f>SUM(D345:D382)</f>
        <v>81251</v>
      </c>
      <c r="E383" s="8">
        <v>0.56799999999999995</v>
      </c>
      <c r="F383" s="7">
        <f t="shared" ref="F383:N383" si="259">SUM(F345:F382)</f>
        <v>338321.33333333337</v>
      </c>
      <c r="G383" s="3">
        <f t="shared" si="259"/>
        <v>165601.52999999447</v>
      </c>
      <c r="H383" s="5">
        <f t="shared" si="259"/>
        <v>12362</v>
      </c>
      <c r="I383" s="3">
        <f t="shared" si="259"/>
        <v>1122</v>
      </c>
      <c r="J383" s="6">
        <f t="shared" ref="J383" si="260">SUM(J345:J382)</f>
        <v>27721</v>
      </c>
      <c r="K383" s="6">
        <f t="shared" si="259"/>
        <v>51678</v>
      </c>
      <c r="L383" s="5">
        <f t="shared" si="259"/>
        <v>112517</v>
      </c>
      <c r="M383" s="4">
        <f t="shared" si="259"/>
        <v>81688</v>
      </c>
      <c r="N383" s="3">
        <f t="shared" si="259"/>
        <v>51008</v>
      </c>
      <c r="P383" s="2"/>
    </row>
    <row r="384" spans="1:16" x14ac:dyDescent="0.2">
      <c r="P384" s="2"/>
    </row>
    <row r="386" spans="1:1" x14ac:dyDescent="0.2">
      <c r="A386" s="1" t="s">
        <v>10</v>
      </c>
    </row>
    <row r="387" spans="1:1" x14ac:dyDescent="0.2">
      <c r="A387" s="1" t="s">
        <v>9</v>
      </c>
    </row>
    <row r="388" spans="1:1" x14ac:dyDescent="0.2">
      <c r="A388" s="1" t="s">
        <v>8</v>
      </c>
    </row>
    <row r="389" spans="1:1" x14ac:dyDescent="0.2">
      <c r="A389" s="1" t="s">
        <v>7</v>
      </c>
    </row>
    <row r="390" spans="1:1" x14ac:dyDescent="0.2">
      <c r="A390" s="1" t="s">
        <v>6</v>
      </c>
    </row>
    <row r="391" spans="1:1" x14ac:dyDescent="0.2">
      <c r="A391" s="1" t="s">
        <v>5</v>
      </c>
    </row>
    <row r="392" spans="1:1" x14ac:dyDescent="0.2">
      <c r="A392" s="1" t="s">
        <v>4</v>
      </c>
    </row>
    <row r="393" spans="1:1" x14ac:dyDescent="0.2">
      <c r="A393" s="1" t="s">
        <v>3</v>
      </c>
    </row>
    <row r="394" spans="1:1" x14ac:dyDescent="0.2">
      <c r="A394" s="1" t="s">
        <v>2</v>
      </c>
    </row>
    <row r="395" spans="1:1" x14ac:dyDescent="0.2">
      <c r="A395" s="1" t="s">
        <v>1</v>
      </c>
    </row>
    <row r="396" spans="1:1" x14ac:dyDescent="0.2">
      <c r="A396" s="1" t="s">
        <v>0</v>
      </c>
    </row>
  </sheetData>
  <mergeCells count="99">
    <mergeCell ref="A1:N1"/>
    <mergeCell ref="A3:A4"/>
    <mergeCell ref="B3:B4"/>
    <mergeCell ref="C3:C4"/>
    <mergeCell ref="D3:G3"/>
    <mergeCell ref="H3:H4"/>
    <mergeCell ref="I3:I4"/>
    <mergeCell ref="K3:K4"/>
    <mergeCell ref="L3:N3"/>
    <mergeCell ref="J3:J4"/>
    <mergeCell ref="P3:R3"/>
    <mergeCell ref="A46:A47"/>
    <mergeCell ref="B46:B47"/>
    <mergeCell ref="C46:C47"/>
    <mergeCell ref="D46:G46"/>
    <mergeCell ref="H46:H47"/>
    <mergeCell ref="I46:I47"/>
    <mergeCell ref="K46:K47"/>
    <mergeCell ref="L46:N46"/>
    <mergeCell ref="O46:O47"/>
    <mergeCell ref="K88:K89"/>
    <mergeCell ref="L88:N88"/>
    <mergeCell ref="O88:O89"/>
    <mergeCell ref="A129:A130"/>
    <mergeCell ref="B129:B130"/>
    <mergeCell ref="C129:C130"/>
    <mergeCell ref="D129:G129"/>
    <mergeCell ref="H129:H130"/>
    <mergeCell ref="I129:I130"/>
    <mergeCell ref="K129:K130"/>
    <mergeCell ref="A88:A89"/>
    <mergeCell ref="B88:B89"/>
    <mergeCell ref="C88:C89"/>
    <mergeCell ref="D88:G88"/>
    <mergeCell ref="H88:H89"/>
    <mergeCell ref="I88:I89"/>
    <mergeCell ref="L129:N129"/>
    <mergeCell ref="A174:A175"/>
    <mergeCell ref="B174:B175"/>
    <mergeCell ref="C174:C175"/>
    <mergeCell ref="D174:G174"/>
    <mergeCell ref="H174:H175"/>
    <mergeCell ref="I174:I175"/>
    <mergeCell ref="K174:K175"/>
    <mergeCell ref="L174:N174"/>
    <mergeCell ref="O174:O175"/>
    <mergeCell ref="A176:C176"/>
    <mergeCell ref="A217:A218"/>
    <mergeCell ref="B217:B218"/>
    <mergeCell ref="C217:C218"/>
    <mergeCell ref="D217:D218"/>
    <mergeCell ref="E217:E218"/>
    <mergeCell ref="F217:F218"/>
    <mergeCell ref="G217:G218"/>
    <mergeCell ref="H217:H218"/>
    <mergeCell ref="I217:I218"/>
    <mergeCell ref="K217:K218"/>
    <mergeCell ref="L217:N217"/>
    <mergeCell ref="A259:A260"/>
    <mergeCell ref="B259:B260"/>
    <mergeCell ref="C259:C260"/>
    <mergeCell ref="D259:D260"/>
    <mergeCell ref="E259:E260"/>
    <mergeCell ref="F259:F260"/>
    <mergeCell ref="G259:G260"/>
    <mergeCell ref="H259:H260"/>
    <mergeCell ref="I259:I260"/>
    <mergeCell ref="K259:K260"/>
    <mergeCell ref="L259:N259"/>
    <mergeCell ref="A301:A302"/>
    <mergeCell ref="B301:B302"/>
    <mergeCell ref="C301:C302"/>
    <mergeCell ref="D301:D302"/>
    <mergeCell ref="E301:E302"/>
    <mergeCell ref="F301:F302"/>
    <mergeCell ref="A343:A344"/>
    <mergeCell ref="B343:B344"/>
    <mergeCell ref="C343:C344"/>
    <mergeCell ref="D343:D344"/>
    <mergeCell ref="E343:E344"/>
    <mergeCell ref="L343:N343"/>
    <mergeCell ref="G301:G302"/>
    <mergeCell ref="H301:H302"/>
    <mergeCell ref="I301:I302"/>
    <mergeCell ref="K301:K302"/>
    <mergeCell ref="L301:N301"/>
    <mergeCell ref="F343:F344"/>
    <mergeCell ref="G343:G344"/>
    <mergeCell ref="H343:H344"/>
    <mergeCell ref="I343:I344"/>
    <mergeCell ref="K343:K344"/>
    <mergeCell ref="J301:J302"/>
    <mergeCell ref="J343:J344"/>
    <mergeCell ref="J46:J47"/>
    <mergeCell ref="J88:J89"/>
    <mergeCell ref="J129:J130"/>
    <mergeCell ref="J174:J175"/>
    <mergeCell ref="J217:J218"/>
    <mergeCell ref="J259:J260"/>
  </mergeCells>
  <conditionalFormatting sqref="D128:I128 K128:N128">
    <cfRule type="colorScale" priority="20">
      <colorScale>
        <cfvo type="min"/>
        <cfvo type="max"/>
        <color theme="6" tint="0.79998168889431442"/>
        <color theme="6" tint="-0.499984740745262"/>
      </colorScale>
    </cfRule>
  </conditionalFormatting>
  <conditionalFormatting sqref="D90:I127 K90:N127">
    <cfRule type="cellIs" dxfId="17" priority="11" operator="equal">
      <formula>$D$171</formula>
    </cfRule>
    <cfRule type="cellIs" dxfId="16" priority="12" operator="equal">
      <formula>$E$171</formula>
    </cfRule>
    <cfRule type="cellIs" dxfId="15" priority="13" operator="equal">
      <formula>$F$171</formula>
    </cfRule>
    <cfRule type="cellIs" dxfId="14" priority="14" operator="equal">
      <formula>$G$171</formula>
    </cfRule>
    <cfRule type="cellIs" dxfId="13" priority="15" operator="equal">
      <formula>$H$171</formula>
    </cfRule>
    <cfRule type="cellIs" dxfId="12" priority="16" operator="equal">
      <formula>$I$171</formula>
    </cfRule>
    <cfRule type="cellIs" dxfId="11" priority="17" operator="equal">
      <formula>$K$171</formula>
    </cfRule>
    <cfRule type="cellIs" dxfId="10" priority="18" operator="equal">
      <formula>$L$171</formula>
    </cfRule>
    <cfRule type="cellIs" dxfId="9" priority="19" operator="equal">
      <formula>$M$171</formula>
    </cfRule>
  </conditionalFormatting>
  <conditionalFormatting sqref="J128">
    <cfRule type="colorScale" priority="10">
      <colorScale>
        <cfvo type="min"/>
        <cfvo type="max"/>
        <color theme="6" tint="0.79998168889431442"/>
        <color theme="6" tint="-0.499984740745262"/>
      </colorScale>
    </cfRule>
  </conditionalFormatting>
  <conditionalFormatting sqref="J90:J127">
    <cfRule type="cellIs" dxfId="8" priority="1" operator="equal">
      <formula>$D$171</formula>
    </cfRule>
    <cfRule type="cellIs" dxfId="7" priority="2" operator="equal">
      <formula>$E$171</formula>
    </cfRule>
    <cfRule type="cellIs" dxfId="6" priority="3" operator="equal">
      <formula>$F$171</formula>
    </cfRule>
    <cfRule type="cellIs" dxfId="5" priority="4" operator="equal">
      <formula>$G$171</formula>
    </cfRule>
    <cfRule type="cellIs" dxfId="4" priority="5" operator="equal">
      <formula>$H$171</formula>
    </cfRule>
    <cfRule type="cellIs" dxfId="3" priority="6" operator="equal">
      <formula>$I$171</formula>
    </cfRule>
    <cfRule type="cellIs" dxfId="2" priority="7" operator="equal">
      <formula>$K$171</formula>
    </cfRule>
    <cfRule type="cellIs" dxfId="1" priority="8" operator="equal">
      <formula>$L$171</formula>
    </cfRule>
    <cfRule type="cellIs" dxfId="0" priority="9" operator="equal">
      <formula>$M$171</formula>
    </cfRule>
  </conditionalFormatting>
  <pageMargins left="0.25" right="0.25" top="0.5" bottom="0.2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vt:i4>
      </vt:variant>
    </vt:vector>
  </HeadingPairs>
  <TitlesOfParts>
    <vt:vector size="12" baseType="lpstr">
      <vt:lpstr>Option 12</vt:lpstr>
      <vt:lpstr>Option 13</vt:lpstr>
      <vt:lpstr>Option 14</vt:lpstr>
      <vt:lpstr>Option 15</vt:lpstr>
      <vt:lpstr>Option 16</vt:lpstr>
      <vt:lpstr>Option 17</vt:lpstr>
      <vt:lpstr>Option 18</vt:lpstr>
      <vt:lpstr>Option 19</vt:lpstr>
      <vt:lpstr>'Option 12'!Print_Area</vt:lpstr>
      <vt:lpstr>'Option 13'!Print_Area</vt:lpstr>
      <vt:lpstr>'Option 18'!Print_Area</vt:lpstr>
      <vt:lpstr>'Option 19'!Print_Area</vt:lpstr>
    </vt:vector>
  </TitlesOfParts>
  <Company>THECB</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Turcotte</dc:creator>
  <cp:lastModifiedBy>Paul Turcotte</cp:lastModifiedBy>
  <cp:lastPrinted>2013-12-04T18:10:58Z</cp:lastPrinted>
  <dcterms:created xsi:type="dcterms:W3CDTF">2013-07-25T15:22:00Z</dcterms:created>
  <dcterms:modified xsi:type="dcterms:W3CDTF">2014-01-21T15:52:28Z</dcterms:modified>
</cp:coreProperties>
</file>