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30" windowWidth="22995" windowHeight="12330"/>
  </bookViews>
  <sheets>
    <sheet name="Camp Card Log" sheetId="1" r:id="rId1"/>
  </sheets>
  <calcPr calcId="145621"/>
</workbook>
</file>

<file path=xl/calcChain.xml><?xml version="1.0" encoding="utf-8"?>
<calcChain xmlns="http://schemas.openxmlformats.org/spreadsheetml/2006/main">
  <c r="O32" i="1" l="1"/>
  <c r="M8" i="1" s="1"/>
  <c r="Q8" i="1" s="1"/>
  <c r="P32" i="1"/>
  <c r="N32" i="1"/>
  <c r="L32" i="1"/>
  <c r="K32" i="1"/>
  <c r="I32" i="1"/>
  <c r="H32" i="1"/>
  <c r="F32" i="1"/>
  <c r="E32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11" i="1"/>
  <c r="G8" i="1"/>
  <c r="A12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</calcChain>
</file>

<file path=xl/comments1.xml><?xml version="1.0" encoding="utf-8"?>
<comments xmlns="http://schemas.openxmlformats.org/spreadsheetml/2006/main">
  <authors>
    <author>Authorized User</author>
  </authors>
  <commentList>
    <comment ref="C10" authorId="0">
      <text>
        <r>
          <rPr>
            <b/>
            <sz val="9"/>
            <color indexed="81"/>
            <rFont val="Tahoma"/>
            <charset val="1"/>
          </rPr>
          <t xml:space="preserve">N = </t>
        </r>
        <r>
          <rPr>
            <sz val="9"/>
            <color indexed="81"/>
            <rFont val="Tahoma"/>
            <family val="2"/>
          </rPr>
          <t xml:space="preserve">North version of card
</t>
        </r>
        <r>
          <rPr>
            <b/>
            <sz val="9"/>
            <color indexed="81"/>
            <rFont val="Tahoma"/>
            <family val="2"/>
          </rPr>
          <t xml:space="preserve">S = </t>
        </r>
        <r>
          <rPr>
            <sz val="9"/>
            <color indexed="81"/>
            <rFont val="Tahoma"/>
            <family val="2"/>
          </rPr>
          <t>South version of card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O10" authorId="0">
      <text>
        <r>
          <rPr>
            <sz val="9"/>
            <color indexed="81"/>
            <rFont val="Tahoma"/>
            <family val="2"/>
          </rPr>
          <t xml:space="preserve">Sum of # Cards checked out minus # Cards returned
</t>
        </r>
      </text>
    </comment>
    <comment ref="P10" authorId="0">
      <text>
        <r>
          <rPr>
            <sz val="9"/>
            <color indexed="81"/>
            <rFont val="Tahoma"/>
            <family val="2"/>
          </rPr>
          <t xml:space="preserve">Total Cards Sold x $5
</t>
        </r>
      </text>
    </comment>
  </commentList>
</comments>
</file>

<file path=xl/sharedStrings.xml><?xml version="1.0" encoding="utf-8"?>
<sst xmlns="http://schemas.openxmlformats.org/spreadsheetml/2006/main" count="25" uniqueCount="22">
  <si>
    <t>Unit Type/#:</t>
  </si>
  <si>
    <t>e-mail: _____________________________________ Phone: _____________________</t>
  </si>
  <si>
    <t>Scout Name</t>
  </si>
  <si>
    <t>Totals:</t>
  </si>
  <si>
    <t>2014 Council Camp Card Sale</t>
  </si>
  <si>
    <t>Camp Card Key Contact: __________________________________________________</t>
  </si>
  <si>
    <t>Card Value</t>
  </si>
  <si>
    <t>$ Owed</t>
  </si>
  <si>
    <t>Unit Camp Card Tracking Log</t>
  </si>
  <si>
    <t>Date, # Cards Checked out</t>
  </si>
  <si>
    <t>Date, # Cards Returned</t>
  </si>
  <si>
    <r>
      <t xml:space="preserve">Card Value
</t>
    </r>
    <r>
      <rPr>
        <b/>
        <sz val="8"/>
        <color theme="1"/>
        <rFont val="Calibri"/>
        <family val="2"/>
        <scheme val="minor"/>
      </rPr>
      <t>(cumulative)</t>
    </r>
  </si>
  <si>
    <t>$ Turned in</t>
  </si>
  <si>
    <t>Total Cards Sold</t>
  </si>
  <si>
    <t>Cards checked out by unit:</t>
  </si>
  <si>
    <t>+</t>
  </si>
  <si>
    <t>Total:</t>
  </si>
  <si>
    <r>
      <rPr>
        <b/>
        <sz val="9"/>
        <color theme="1"/>
        <rFont val="Calibri"/>
        <family val="2"/>
        <scheme val="minor"/>
      </rPr>
      <t>N</t>
    </r>
    <r>
      <rPr>
        <sz val="9"/>
        <color theme="1"/>
        <rFont val="Calibri"/>
        <family val="2"/>
        <scheme val="minor"/>
      </rPr>
      <t>orth:</t>
    </r>
  </si>
  <si>
    <r>
      <rPr>
        <b/>
        <sz val="9"/>
        <color theme="1"/>
        <rFont val="Calibri"/>
        <family val="2"/>
        <scheme val="minor"/>
      </rPr>
      <t>S</t>
    </r>
    <r>
      <rPr>
        <sz val="9"/>
        <color theme="1"/>
        <rFont val="Calibri"/>
        <family val="2"/>
        <scheme val="minor"/>
      </rPr>
      <t>outh:</t>
    </r>
  </si>
  <si>
    <r>
      <t xml:space="preserve">N </t>
    </r>
    <r>
      <rPr>
        <sz val="12"/>
        <color theme="1"/>
        <rFont val="Calibri"/>
        <family val="2"/>
        <scheme val="minor"/>
      </rPr>
      <t>or</t>
    </r>
    <r>
      <rPr>
        <b/>
        <sz val="12"/>
        <color theme="1"/>
        <rFont val="Calibri"/>
        <family val="2"/>
        <scheme val="minor"/>
      </rPr>
      <t xml:space="preserve"> S</t>
    </r>
  </si>
  <si>
    <t xml:space="preserve">$ owed the Council: </t>
  </si>
  <si>
    <t xml:space="preserve"># cards to return to Council: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</si>
</sst>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6" formatCode="m/d;@"/>
    <numFmt numFmtId="167" formatCode="&quot;$&quot;#,##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4" fillId="0" borderId="0" xfId="0" applyFont="1" applyAlignment="1">
      <alignment horizontal="right"/>
    </xf>
    <xf numFmtId="0" fontId="4" fillId="0" borderId="0" xfId="0" applyFont="1"/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Alignment="1">
      <alignment horizontal="right"/>
    </xf>
    <xf numFmtId="1" fontId="5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4" fillId="0" borderId="0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/>
    <xf numFmtId="1" fontId="5" fillId="2" borderId="1" xfId="0" applyNumberFormat="1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0" borderId="2" xfId="0" applyFont="1" applyBorder="1"/>
    <xf numFmtId="0" fontId="4" fillId="0" borderId="2" xfId="0" applyFont="1" applyBorder="1"/>
    <xf numFmtId="0" fontId="1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right"/>
    </xf>
    <xf numFmtId="0" fontId="4" fillId="0" borderId="8" xfId="0" applyFont="1" applyBorder="1"/>
    <xf numFmtId="0" fontId="7" fillId="0" borderId="0" xfId="0" applyFont="1" applyAlignment="1">
      <alignment horizontal="center"/>
    </xf>
    <xf numFmtId="0" fontId="4" fillId="0" borderId="1" xfId="0" applyFont="1" applyBorder="1" applyAlignment="1"/>
    <xf numFmtId="0" fontId="4" fillId="0" borderId="0" xfId="0" applyFont="1" applyAlignment="1">
      <alignment horizontal="center" vertical="center"/>
    </xf>
    <xf numFmtId="0" fontId="5" fillId="0" borderId="2" xfId="0" applyFont="1" applyBorder="1" applyAlignment="1">
      <alignment textRotation="90"/>
    </xf>
    <xf numFmtId="0" fontId="5" fillId="0" borderId="0" xfId="0" applyFont="1" applyAlignment="1"/>
    <xf numFmtId="0" fontId="0" fillId="0" borderId="0" xfId="0" applyAlignment="1">
      <alignment horizontal="right"/>
    </xf>
    <xf numFmtId="1" fontId="0" fillId="0" borderId="1" xfId="0" applyNumberForma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164" fontId="0" fillId="0" borderId="1" xfId="0" applyNumberFormat="1" applyBorder="1"/>
    <xf numFmtId="166" fontId="4" fillId="0" borderId="7" xfId="0" applyNumberFormat="1" applyFont="1" applyBorder="1"/>
    <xf numFmtId="166" fontId="4" fillId="0" borderId="3" xfId="0" applyNumberFormat="1" applyFont="1" applyBorder="1" applyAlignment="1">
      <alignment horizontal="center"/>
    </xf>
    <xf numFmtId="166" fontId="4" fillId="0" borderId="7" xfId="0" applyNumberFormat="1" applyFont="1" applyBorder="1" applyAlignment="1">
      <alignment horizontal="center"/>
    </xf>
    <xf numFmtId="167" fontId="4" fillId="0" borderId="6" xfId="0" applyNumberFormat="1" applyFont="1" applyBorder="1" applyAlignment="1">
      <alignment horizontal="center"/>
    </xf>
    <xf numFmtId="167" fontId="4" fillId="0" borderId="2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2"/>
  <sheetViews>
    <sheetView tabSelected="1" zoomScaleNormal="100" workbookViewId="0">
      <selection activeCell="B26" sqref="B26"/>
    </sheetView>
  </sheetViews>
  <sheetFormatPr defaultRowHeight="15" x14ac:dyDescent="0.25"/>
  <cols>
    <col min="1" max="1" width="3.5703125" customWidth="1"/>
    <col min="2" max="2" width="25.7109375" customWidth="1"/>
    <col min="3" max="3" width="3.7109375" customWidth="1"/>
    <col min="4" max="4" width="8.7109375" customWidth="1"/>
    <col min="5" max="5" width="5.7109375" customWidth="1"/>
    <col min="6" max="7" width="8.7109375" customWidth="1"/>
    <col min="8" max="8" width="5.7109375" customWidth="1"/>
    <col min="9" max="9" width="9.7109375" customWidth="1"/>
    <col min="10" max="10" width="8.7109375" customWidth="1"/>
    <col min="11" max="11" width="5.7109375" customWidth="1"/>
    <col min="12" max="12" width="9.7109375" customWidth="1"/>
    <col min="13" max="13" width="8.7109375" customWidth="1"/>
    <col min="14" max="14" width="5.7109375" customWidth="1"/>
    <col min="15" max="17" width="7.7109375" customWidth="1"/>
  </cols>
  <sheetData>
    <row r="1" spans="1:17" ht="28.5" x14ac:dyDescent="0.45">
      <c r="A1" s="28" t="s">
        <v>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</row>
    <row r="2" spans="1:17" ht="18.75" x14ac:dyDescent="0.3">
      <c r="A2" s="29" t="s">
        <v>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</row>
    <row r="3" spans="1:17" ht="9" customHeight="1" x14ac:dyDescent="0.25"/>
    <row r="4" spans="1:17" ht="15.75" x14ac:dyDescent="0.25">
      <c r="A4" s="30" t="s">
        <v>0</v>
      </c>
      <c r="B4" s="30"/>
      <c r="C4" s="1"/>
      <c r="D4" s="19"/>
      <c r="E4" s="20"/>
      <c r="F4" s="20"/>
      <c r="G4" s="8"/>
      <c r="H4" s="34" t="s">
        <v>5</v>
      </c>
      <c r="I4" s="34"/>
      <c r="J4" s="34"/>
      <c r="K4" s="34"/>
      <c r="L4" s="34"/>
      <c r="M4" s="34"/>
      <c r="N4" s="34"/>
      <c r="O4" s="34"/>
      <c r="P4" s="34"/>
    </row>
    <row r="5" spans="1:17" ht="9" customHeight="1" x14ac:dyDescent="0.25"/>
    <row r="6" spans="1:17" ht="18.75" customHeight="1" x14ac:dyDescent="0.25">
      <c r="A6" s="11"/>
      <c r="B6" s="11"/>
      <c r="C6" s="11"/>
      <c r="D6" s="11" t="s">
        <v>1</v>
      </c>
      <c r="E6" s="11"/>
      <c r="F6" s="11"/>
      <c r="G6" s="11"/>
      <c r="H6" s="11"/>
      <c r="I6" s="11"/>
    </row>
    <row r="7" spans="1:17" ht="15" customHeight="1" x14ac:dyDescent="0.25">
      <c r="A7" s="11"/>
      <c r="B7" s="11"/>
      <c r="C7" s="11"/>
      <c r="D7" s="21" t="s">
        <v>17</v>
      </c>
      <c r="E7" s="11"/>
      <c r="F7" s="21" t="s">
        <v>18</v>
      </c>
      <c r="G7" s="21" t="s">
        <v>16</v>
      </c>
      <c r="H7" s="11"/>
      <c r="I7" s="11"/>
    </row>
    <row r="8" spans="1:17" ht="18.75" customHeight="1" x14ac:dyDescent="0.25">
      <c r="A8" s="11"/>
      <c r="B8" s="25" t="s">
        <v>14</v>
      </c>
      <c r="C8" s="11"/>
      <c r="D8" s="22"/>
      <c r="E8" s="23" t="s">
        <v>15</v>
      </c>
      <c r="F8" s="22"/>
      <c r="G8" s="22">
        <f>D8+F8</f>
        <v>0</v>
      </c>
      <c r="H8" s="11"/>
      <c r="I8" s="11"/>
      <c r="L8" s="26" t="s">
        <v>21</v>
      </c>
      <c r="M8" s="27">
        <f>G8-O32</f>
        <v>0</v>
      </c>
      <c r="P8" s="26" t="s">
        <v>20</v>
      </c>
      <c r="Q8" s="35">
        <f>2.5*(G8-M8)</f>
        <v>0</v>
      </c>
    </row>
    <row r="9" spans="1:17" ht="9" customHeight="1" x14ac:dyDescent="0.25"/>
    <row r="10" spans="1:17" ht="45.75" customHeight="1" x14ac:dyDescent="0.25">
      <c r="A10" s="2"/>
      <c r="B10" s="16" t="s">
        <v>2</v>
      </c>
      <c r="C10" s="24" t="s">
        <v>19</v>
      </c>
      <c r="D10" s="31" t="s">
        <v>9</v>
      </c>
      <c r="E10" s="32"/>
      <c r="F10" s="18" t="s">
        <v>6</v>
      </c>
      <c r="G10" s="33" t="s">
        <v>9</v>
      </c>
      <c r="H10" s="32"/>
      <c r="I10" s="9" t="s">
        <v>11</v>
      </c>
      <c r="J10" s="31" t="s">
        <v>9</v>
      </c>
      <c r="K10" s="32"/>
      <c r="L10" s="18" t="s">
        <v>11</v>
      </c>
      <c r="M10" s="33" t="s">
        <v>10</v>
      </c>
      <c r="N10" s="32"/>
      <c r="O10" s="10" t="s">
        <v>13</v>
      </c>
      <c r="P10" s="7" t="s">
        <v>7</v>
      </c>
      <c r="Q10" s="14" t="s">
        <v>12</v>
      </c>
    </row>
    <row r="11" spans="1:17" ht="18" customHeight="1" x14ac:dyDescent="0.25">
      <c r="A11" s="2">
        <v>1</v>
      </c>
      <c r="B11" s="17"/>
      <c r="C11" s="17"/>
      <c r="D11" s="36"/>
      <c r="E11" s="3"/>
      <c r="F11" s="39">
        <f>E11*5</f>
        <v>0</v>
      </c>
      <c r="G11" s="37"/>
      <c r="H11" s="4"/>
      <c r="I11" s="40">
        <f>F11+5*H11</f>
        <v>0</v>
      </c>
      <c r="J11" s="38"/>
      <c r="K11" s="4"/>
      <c r="L11" s="39">
        <f>I11+5*K11</f>
        <v>0</v>
      </c>
      <c r="M11" s="37"/>
      <c r="N11" s="4"/>
      <c r="O11" s="3">
        <f>E11+H11+K11-N11</f>
        <v>0</v>
      </c>
      <c r="P11" s="41">
        <f>5*O11</f>
        <v>0</v>
      </c>
      <c r="Q11" s="15"/>
    </row>
    <row r="12" spans="1:17" ht="18" customHeight="1" x14ac:dyDescent="0.25">
      <c r="A12" s="2">
        <f>A11+1</f>
        <v>2</v>
      </c>
      <c r="B12" s="17"/>
      <c r="C12" s="17"/>
      <c r="D12" s="36"/>
      <c r="E12" s="3"/>
      <c r="F12" s="39">
        <f t="shared" ref="F12:F30" si="0">E12*5</f>
        <v>0</v>
      </c>
      <c r="G12" s="37"/>
      <c r="H12" s="4"/>
      <c r="I12" s="40">
        <f t="shared" ref="I12:I30" si="1">F12+5*H12</f>
        <v>0</v>
      </c>
      <c r="J12" s="38"/>
      <c r="K12" s="4"/>
      <c r="L12" s="39">
        <f t="shared" ref="L12:L30" si="2">I12+5*K12</f>
        <v>0</v>
      </c>
      <c r="M12" s="37"/>
      <c r="N12" s="4"/>
      <c r="O12" s="3">
        <f t="shared" ref="O12:O30" si="3">E12+H12+K12-N12</f>
        <v>0</v>
      </c>
      <c r="P12" s="41">
        <f t="shared" ref="P12:P30" si="4">5*O12</f>
        <v>0</v>
      </c>
      <c r="Q12" s="15"/>
    </row>
    <row r="13" spans="1:17" ht="18" customHeight="1" x14ac:dyDescent="0.25">
      <c r="A13" s="2">
        <f t="shared" ref="A13:A30" si="5">A12+1</f>
        <v>3</v>
      </c>
      <c r="B13" s="17"/>
      <c r="C13" s="17"/>
      <c r="D13" s="36"/>
      <c r="E13" s="3"/>
      <c r="F13" s="39">
        <f t="shared" si="0"/>
        <v>0</v>
      </c>
      <c r="G13" s="37"/>
      <c r="H13" s="4"/>
      <c r="I13" s="40">
        <f t="shared" si="1"/>
        <v>0</v>
      </c>
      <c r="J13" s="38"/>
      <c r="K13" s="4"/>
      <c r="L13" s="39">
        <f t="shared" si="2"/>
        <v>0</v>
      </c>
      <c r="M13" s="37"/>
      <c r="N13" s="4"/>
      <c r="O13" s="3">
        <f t="shared" si="3"/>
        <v>0</v>
      </c>
      <c r="P13" s="41">
        <f t="shared" si="4"/>
        <v>0</v>
      </c>
      <c r="Q13" s="15"/>
    </row>
    <row r="14" spans="1:17" ht="18" customHeight="1" x14ac:dyDescent="0.25">
      <c r="A14" s="2">
        <f t="shared" si="5"/>
        <v>4</v>
      </c>
      <c r="B14" s="17"/>
      <c r="C14" s="17"/>
      <c r="D14" s="36"/>
      <c r="E14" s="3"/>
      <c r="F14" s="39">
        <f t="shared" si="0"/>
        <v>0</v>
      </c>
      <c r="G14" s="37"/>
      <c r="H14" s="4"/>
      <c r="I14" s="40">
        <f t="shared" si="1"/>
        <v>0</v>
      </c>
      <c r="J14" s="38"/>
      <c r="K14" s="4"/>
      <c r="L14" s="39">
        <f t="shared" si="2"/>
        <v>0</v>
      </c>
      <c r="M14" s="37"/>
      <c r="N14" s="4"/>
      <c r="O14" s="3">
        <f t="shared" si="3"/>
        <v>0</v>
      </c>
      <c r="P14" s="41">
        <f t="shared" si="4"/>
        <v>0</v>
      </c>
      <c r="Q14" s="15"/>
    </row>
    <row r="15" spans="1:17" ht="18" customHeight="1" x14ac:dyDescent="0.25">
      <c r="A15" s="2">
        <f t="shared" si="5"/>
        <v>5</v>
      </c>
      <c r="B15" s="17"/>
      <c r="C15" s="17"/>
      <c r="D15" s="36"/>
      <c r="E15" s="3"/>
      <c r="F15" s="39">
        <f t="shared" si="0"/>
        <v>0</v>
      </c>
      <c r="G15" s="37"/>
      <c r="H15" s="4"/>
      <c r="I15" s="40">
        <f t="shared" si="1"/>
        <v>0</v>
      </c>
      <c r="J15" s="38"/>
      <c r="K15" s="4"/>
      <c r="L15" s="39">
        <f t="shared" si="2"/>
        <v>0</v>
      </c>
      <c r="M15" s="37"/>
      <c r="N15" s="4"/>
      <c r="O15" s="3">
        <f t="shared" si="3"/>
        <v>0</v>
      </c>
      <c r="P15" s="41">
        <f t="shared" si="4"/>
        <v>0</v>
      </c>
      <c r="Q15" s="15"/>
    </row>
    <row r="16" spans="1:17" ht="18" customHeight="1" x14ac:dyDescent="0.25">
      <c r="A16" s="2">
        <f t="shared" si="5"/>
        <v>6</v>
      </c>
      <c r="B16" s="17"/>
      <c r="C16" s="17"/>
      <c r="D16" s="36"/>
      <c r="E16" s="3"/>
      <c r="F16" s="39">
        <f t="shared" si="0"/>
        <v>0</v>
      </c>
      <c r="G16" s="37"/>
      <c r="H16" s="4"/>
      <c r="I16" s="40">
        <f t="shared" si="1"/>
        <v>0</v>
      </c>
      <c r="J16" s="38"/>
      <c r="K16" s="4"/>
      <c r="L16" s="39">
        <f t="shared" si="2"/>
        <v>0</v>
      </c>
      <c r="M16" s="37"/>
      <c r="N16" s="4"/>
      <c r="O16" s="3">
        <f t="shared" si="3"/>
        <v>0</v>
      </c>
      <c r="P16" s="41">
        <f t="shared" si="4"/>
        <v>0</v>
      </c>
      <c r="Q16" s="15"/>
    </row>
    <row r="17" spans="1:17" ht="18" customHeight="1" x14ac:dyDescent="0.25">
      <c r="A17" s="2">
        <f t="shared" si="5"/>
        <v>7</v>
      </c>
      <c r="B17" s="17"/>
      <c r="C17" s="17"/>
      <c r="D17" s="36"/>
      <c r="E17" s="3"/>
      <c r="F17" s="39">
        <f t="shared" si="0"/>
        <v>0</v>
      </c>
      <c r="G17" s="37"/>
      <c r="H17" s="4"/>
      <c r="I17" s="40">
        <f t="shared" si="1"/>
        <v>0</v>
      </c>
      <c r="J17" s="38"/>
      <c r="K17" s="4"/>
      <c r="L17" s="39">
        <f t="shared" si="2"/>
        <v>0</v>
      </c>
      <c r="M17" s="37"/>
      <c r="N17" s="4"/>
      <c r="O17" s="3">
        <f t="shared" si="3"/>
        <v>0</v>
      </c>
      <c r="P17" s="41">
        <f t="shared" si="4"/>
        <v>0</v>
      </c>
      <c r="Q17" s="15"/>
    </row>
    <row r="18" spans="1:17" ht="18" customHeight="1" x14ac:dyDescent="0.25">
      <c r="A18" s="2">
        <f t="shared" si="5"/>
        <v>8</v>
      </c>
      <c r="B18" s="17"/>
      <c r="C18" s="17"/>
      <c r="D18" s="36"/>
      <c r="E18" s="3"/>
      <c r="F18" s="39">
        <f t="shared" si="0"/>
        <v>0</v>
      </c>
      <c r="G18" s="37"/>
      <c r="H18" s="4"/>
      <c r="I18" s="40">
        <f t="shared" si="1"/>
        <v>0</v>
      </c>
      <c r="J18" s="38"/>
      <c r="K18" s="4"/>
      <c r="L18" s="39">
        <f t="shared" si="2"/>
        <v>0</v>
      </c>
      <c r="M18" s="37"/>
      <c r="N18" s="4"/>
      <c r="O18" s="3">
        <f t="shared" si="3"/>
        <v>0</v>
      </c>
      <c r="P18" s="41">
        <f t="shared" si="4"/>
        <v>0</v>
      </c>
      <c r="Q18" s="15"/>
    </row>
    <row r="19" spans="1:17" ht="18" customHeight="1" x14ac:dyDescent="0.25">
      <c r="A19" s="2">
        <f t="shared" si="5"/>
        <v>9</v>
      </c>
      <c r="B19" s="17"/>
      <c r="C19" s="17"/>
      <c r="D19" s="36"/>
      <c r="E19" s="3"/>
      <c r="F19" s="39">
        <f t="shared" si="0"/>
        <v>0</v>
      </c>
      <c r="G19" s="37"/>
      <c r="H19" s="4"/>
      <c r="I19" s="40">
        <f t="shared" si="1"/>
        <v>0</v>
      </c>
      <c r="J19" s="38"/>
      <c r="K19" s="4"/>
      <c r="L19" s="39">
        <f t="shared" si="2"/>
        <v>0</v>
      </c>
      <c r="M19" s="37"/>
      <c r="N19" s="4"/>
      <c r="O19" s="3">
        <f t="shared" si="3"/>
        <v>0</v>
      </c>
      <c r="P19" s="41">
        <f t="shared" si="4"/>
        <v>0</v>
      </c>
      <c r="Q19" s="15"/>
    </row>
    <row r="20" spans="1:17" ht="18" customHeight="1" x14ac:dyDescent="0.25">
      <c r="A20" s="2">
        <f t="shared" si="5"/>
        <v>10</v>
      </c>
      <c r="B20" s="17"/>
      <c r="C20" s="17"/>
      <c r="D20" s="36"/>
      <c r="E20" s="3"/>
      <c r="F20" s="39">
        <f t="shared" si="0"/>
        <v>0</v>
      </c>
      <c r="G20" s="37"/>
      <c r="H20" s="4"/>
      <c r="I20" s="40">
        <f t="shared" si="1"/>
        <v>0</v>
      </c>
      <c r="J20" s="38"/>
      <c r="K20" s="4"/>
      <c r="L20" s="39">
        <f t="shared" si="2"/>
        <v>0</v>
      </c>
      <c r="M20" s="37"/>
      <c r="N20" s="4"/>
      <c r="O20" s="3">
        <f t="shared" si="3"/>
        <v>0</v>
      </c>
      <c r="P20" s="41">
        <f t="shared" si="4"/>
        <v>0</v>
      </c>
      <c r="Q20" s="15"/>
    </row>
    <row r="21" spans="1:17" ht="18" customHeight="1" x14ac:dyDescent="0.25">
      <c r="A21" s="2">
        <f t="shared" si="5"/>
        <v>11</v>
      </c>
      <c r="B21" s="17"/>
      <c r="C21" s="17"/>
      <c r="D21" s="36"/>
      <c r="E21" s="3"/>
      <c r="F21" s="39">
        <f t="shared" si="0"/>
        <v>0</v>
      </c>
      <c r="G21" s="37"/>
      <c r="H21" s="4"/>
      <c r="I21" s="40">
        <f t="shared" si="1"/>
        <v>0</v>
      </c>
      <c r="J21" s="38"/>
      <c r="K21" s="4"/>
      <c r="L21" s="39">
        <f t="shared" si="2"/>
        <v>0</v>
      </c>
      <c r="M21" s="37"/>
      <c r="N21" s="4"/>
      <c r="O21" s="3">
        <f t="shared" si="3"/>
        <v>0</v>
      </c>
      <c r="P21" s="41">
        <f t="shared" si="4"/>
        <v>0</v>
      </c>
      <c r="Q21" s="15"/>
    </row>
    <row r="22" spans="1:17" ht="18" customHeight="1" x14ac:dyDescent="0.25">
      <c r="A22" s="2">
        <f t="shared" si="5"/>
        <v>12</v>
      </c>
      <c r="B22" s="17"/>
      <c r="C22" s="17"/>
      <c r="D22" s="36"/>
      <c r="E22" s="3"/>
      <c r="F22" s="39">
        <f t="shared" si="0"/>
        <v>0</v>
      </c>
      <c r="G22" s="37"/>
      <c r="H22" s="4"/>
      <c r="I22" s="40">
        <f t="shared" si="1"/>
        <v>0</v>
      </c>
      <c r="J22" s="38"/>
      <c r="K22" s="4"/>
      <c r="L22" s="39">
        <f t="shared" si="2"/>
        <v>0</v>
      </c>
      <c r="M22" s="37"/>
      <c r="N22" s="4"/>
      <c r="O22" s="3">
        <f t="shared" si="3"/>
        <v>0</v>
      </c>
      <c r="P22" s="41">
        <f t="shared" si="4"/>
        <v>0</v>
      </c>
      <c r="Q22" s="15"/>
    </row>
    <row r="23" spans="1:17" ht="18" customHeight="1" x14ac:dyDescent="0.25">
      <c r="A23" s="2">
        <f t="shared" si="5"/>
        <v>13</v>
      </c>
      <c r="B23" s="17"/>
      <c r="C23" s="17"/>
      <c r="D23" s="36"/>
      <c r="E23" s="3"/>
      <c r="F23" s="39">
        <f t="shared" si="0"/>
        <v>0</v>
      </c>
      <c r="G23" s="37"/>
      <c r="H23" s="4"/>
      <c r="I23" s="40">
        <f t="shared" si="1"/>
        <v>0</v>
      </c>
      <c r="J23" s="38"/>
      <c r="K23" s="4"/>
      <c r="L23" s="39">
        <f t="shared" si="2"/>
        <v>0</v>
      </c>
      <c r="M23" s="37"/>
      <c r="N23" s="4"/>
      <c r="O23" s="3">
        <f t="shared" si="3"/>
        <v>0</v>
      </c>
      <c r="P23" s="41">
        <f t="shared" si="4"/>
        <v>0</v>
      </c>
      <c r="Q23" s="15"/>
    </row>
    <row r="24" spans="1:17" ht="18" customHeight="1" x14ac:dyDescent="0.25">
      <c r="A24" s="2">
        <f t="shared" si="5"/>
        <v>14</v>
      </c>
      <c r="B24" s="17"/>
      <c r="C24" s="17"/>
      <c r="D24" s="36"/>
      <c r="E24" s="3"/>
      <c r="F24" s="39">
        <f t="shared" si="0"/>
        <v>0</v>
      </c>
      <c r="G24" s="37"/>
      <c r="H24" s="4"/>
      <c r="I24" s="40">
        <f t="shared" si="1"/>
        <v>0</v>
      </c>
      <c r="J24" s="38"/>
      <c r="K24" s="4"/>
      <c r="L24" s="39">
        <f t="shared" si="2"/>
        <v>0</v>
      </c>
      <c r="M24" s="37"/>
      <c r="N24" s="4"/>
      <c r="O24" s="3">
        <f t="shared" si="3"/>
        <v>0</v>
      </c>
      <c r="P24" s="41">
        <f t="shared" si="4"/>
        <v>0</v>
      </c>
      <c r="Q24" s="15"/>
    </row>
    <row r="25" spans="1:17" ht="18" customHeight="1" x14ac:dyDescent="0.25">
      <c r="A25" s="2">
        <f t="shared" si="5"/>
        <v>15</v>
      </c>
      <c r="B25" s="17"/>
      <c r="C25" s="17"/>
      <c r="D25" s="36"/>
      <c r="E25" s="3"/>
      <c r="F25" s="39">
        <f t="shared" si="0"/>
        <v>0</v>
      </c>
      <c r="G25" s="37"/>
      <c r="H25" s="4"/>
      <c r="I25" s="40">
        <f t="shared" si="1"/>
        <v>0</v>
      </c>
      <c r="J25" s="38"/>
      <c r="K25" s="4"/>
      <c r="L25" s="39">
        <f t="shared" si="2"/>
        <v>0</v>
      </c>
      <c r="M25" s="37"/>
      <c r="N25" s="4"/>
      <c r="O25" s="3">
        <f t="shared" si="3"/>
        <v>0</v>
      </c>
      <c r="P25" s="41">
        <f t="shared" si="4"/>
        <v>0</v>
      </c>
      <c r="Q25" s="15"/>
    </row>
    <row r="26" spans="1:17" ht="18" customHeight="1" x14ac:dyDescent="0.25">
      <c r="A26" s="2">
        <f t="shared" si="5"/>
        <v>16</v>
      </c>
      <c r="B26" s="17"/>
      <c r="C26" s="17"/>
      <c r="D26" s="36"/>
      <c r="E26" s="3"/>
      <c r="F26" s="39">
        <f t="shared" si="0"/>
        <v>0</v>
      </c>
      <c r="G26" s="37"/>
      <c r="H26" s="4"/>
      <c r="I26" s="40">
        <f t="shared" si="1"/>
        <v>0</v>
      </c>
      <c r="J26" s="38"/>
      <c r="K26" s="4"/>
      <c r="L26" s="39">
        <f t="shared" si="2"/>
        <v>0</v>
      </c>
      <c r="M26" s="37"/>
      <c r="N26" s="4"/>
      <c r="O26" s="3">
        <f t="shared" si="3"/>
        <v>0</v>
      </c>
      <c r="P26" s="41">
        <f t="shared" si="4"/>
        <v>0</v>
      </c>
      <c r="Q26" s="15"/>
    </row>
    <row r="27" spans="1:17" ht="18" customHeight="1" x14ac:dyDescent="0.25">
      <c r="A27" s="2">
        <f t="shared" si="5"/>
        <v>17</v>
      </c>
      <c r="B27" s="17"/>
      <c r="C27" s="17"/>
      <c r="D27" s="36"/>
      <c r="E27" s="3"/>
      <c r="F27" s="39">
        <f t="shared" si="0"/>
        <v>0</v>
      </c>
      <c r="G27" s="37"/>
      <c r="H27" s="4"/>
      <c r="I27" s="40">
        <f t="shared" si="1"/>
        <v>0</v>
      </c>
      <c r="J27" s="38"/>
      <c r="K27" s="4"/>
      <c r="L27" s="39">
        <f t="shared" si="2"/>
        <v>0</v>
      </c>
      <c r="M27" s="37"/>
      <c r="N27" s="4"/>
      <c r="O27" s="3">
        <f t="shared" si="3"/>
        <v>0</v>
      </c>
      <c r="P27" s="41">
        <f t="shared" si="4"/>
        <v>0</v>
      </c>
      <c r="Q27" s="15"/>
    </row>
    <row r="28" spans="1:17" ht="18" customHeight="1" x14ac:dyDescent="0.25">
      <c r="A28" s="2">
        <f t="shared" si="5"/>
        <v>18</v>
      </c>
      <c r="B28" s="17"/>
      <c r="C28" s="17"/>
      <c r="D28" s="36"/>
      <c r="E28" s="3"/>
      <c r="F28" s="39">
        <f t="shared" si="0"/>
        <v>0</v>
      </c>
      <c r="G28" s="37"/>
      <c r="H28" s="4"/>
      <c r="I28" s="40">
        <f t="shared" si="1"/>
        <v>0</v>
      </c>
      <c r="J28" s="38"/>
      <c r="K28" s="4"/>
      <c r="L28" s="39">
        <f t="shared" si="2"/>
        <v>0</v>
      </c>
      <c r="M28" s="37"/>
      <c r="N28" s="4"/>
      <c r="O28" s="3">
        <f t="shared" si="3"/>
        <v>0</v>
      </c>
      <c r="P28" s="41">
        <f t="shared" si="4"/>
        <v>0</v>
      </c>
      <c r="Q28" s="15"/>
    </row>
    <row r="29" spans="1:17" ht="18" customHeight="1" x14ac:dyDescent="0.25">
      <c r="A29" s="2">
        <f t="shared" si="5"/>
        <v>19</v>
      </c>
      <c r="B29" s="17"/>
      <c r="C29" s="17"/>
      <c r="D29" s="36"/>
      <c r="E29" s="3"/>
      <c r="F29" s="39">
        <f t="shared" si="0"/>
        <v>0</v>
      </c>
      <c r="G29" s="37"/>
      <c r="H29" s="4"/>
      <c r="I29" s="40">
        <f t="shared" si="1"/>
        <v>0</v>
      </c>
      <c r="J29" s="38"/>
      <c r="K29" s="4"/>
      <c r="L29" s="39">
        <f t="shared" si="2"/>
        <v>0</v>
      </c>
      <c r="M29" s="37"/>
      <c r="N29" s="4"/>
      <c r="O29" s="3">
        <f t="shared" si="3"/>
        <v>0</v>
      </c>
      <c r="P29" s="41">
        <f t="shared" si="4"/>
        <v>0</v>
      </c>
      <c r="Q29" s="15"/>
    </row>
    <row r="30" spans="1:17" ht="18" customHeight="1" x14ac:dyDescent="0.25">
      <c r="A30" s="2">
        <f t="shared" si="5"/>
        <v>20</v>
      </c>
      <c r="B30" s="17"/>
      <c r="C30" s="17"/>
      <c r="D30" s="36"/>
      <c r="E30" s="3"/>
      <c r="F30" s="39">
        <f t="shared" si="0"/>
        <v>0</v>
      </c>
      <c r="G30" s="37"/>
      <c r="H30" s="4"/>
      <c r="I30" s="40">
        <f t="shared" si="1"/>
        <v>0</v>
      </c>
      <c r="J30" s="38"/>
      <c r="K30" s="4"/>
      <c r="L30" s="39">
        <f t="shared" si="2"/>
        <v>0</v>
      </c>
      <c r="M30" s="37"/>
      <c r="N30" s="4"/>
      <c r="O30" s="3">
        <f t="shared" si="3"/>
        <v>0</v>
      </c>
      <c r="P30" s="41">
        <f t="shared" si="4"/>
        <v>0</v>
      </c>
      <c r="Q30" s="15"/>
    </row>
    <row r="31" spans="1:17" ht="9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7" ht="15.75" x14ac:dyDescent="0.25">
      <c r="A32" s="2"/>
      <c r="B32" s="5" t="s">
        <v>3</v>
      </c>
      <c r="C32" s="5"/>
      <c r="D32" s="5"/>
      <c r="E32" s="6">
        <f>SUM(E11:E30)</f>
        <v>0</v>
      </c>
      <c r="F32" s="42">
        <f>SUM(F11:F30)</f>
        <v>0</v>
      </c>
      <c r="G32" s="12"/>
      <c r="H32" s="6">
        <f>SUM(H11:H30)</f>
        <v>0</v>
      </c>
      <c r="I32" s="42">
        <f>SUM(I11:I30)</f>
        <v>0</v>
      </c>
      <c r="J32" s="13"/>
      <c r="K32" s="6">
        <f>SUM(K11:K30)</f>
        <v>0</v>
      </c>
      <c r="L32" s="42">
        <f>SUM(L11:L30)</f>
        <v>0</v>
      </c>
      <c r="M32" s="13"/>
      <c r="N32" s="6">
        <f>SUM(N11:N30)</f>
        <v>0</v>
      </c>
      <c r="O32" s="6">
        <f t="shared" ref="O32:P32" si="6">SUM(O11:O30)</f>
        <v>0</v>
      </c>
      <c r="P32" s="42">
        <f t="shared" si="6"/>
        <v>0</v>
      </c>
      <c r="Q32" s="15"/>
    </row>
  </sheetData>
  <mergeCells count="8">
    <mergeCell ref="A1:Q1"/>
    <mergeCell ref="A2:Q2"/>
    <mergeCell ref="A4:B4"/>
    <mergeCell ref="D10:E10"/>
    <mergeCell ref="G10:H10"/>
    <mergeCell ref="J10:K10"/>
    <mergeCell ref="M10:N10"/>
    <mergeCell ref="H4:P4"/>
  </mergeCells>
  <pageMargins left="0.25" right="0.25" top="0.75" bottom="0.75" header="0.3" footer="0.3"/>
  <pageSetup scale="9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 Card Log</vt:lpstr>
    </vt:vector>
  </TitlesOfParts>
  <Company>BSA-GYC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Authorized User</dc:creator>
  <cp:lastModifiedBy>Authorized User</cp:lastModifiedBy>
  <cp:lastPrinted>2014-02-07T00:54:27Z</cp:lastPrinted>
  <dcterms:created xsi:type="dcterms:W3CDTF">2013-05-15T17:52:52Z</dcterms:created>
  <dcterms:modified xsi:type="dcterms:W3CDTF">2014-02-10T17:07:50Z</dcterms:modified>
</cp:coreProperties>
</file>