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SV-Kranzzahlen 2012" sheetId="1" r:id="rId4"/>
    <sheet name="Worksheet 1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<sst xmlns="http://schemas.openxmlformats.org/spreadsheetml/2006/main" uniqueCount="805">
  <si>
    <t>Name Vorname, Wohnort</t>
  </si>
  <si>
    <t>TV</t>
  </si>
  <si>
    <t>Knt/Gau</t>
  </si>
  <si>
    <t>Anzahl Kränze</t>
  </si>
  <si>
    <t>Datenbank Schwingen 2012, "ESV-Kranzzahlen"</t>
  </si>
  <si>
    <t>alle</t>
  </si>
  <si>
    <t>Eid.</t>
  </si>
  <si>
    <t>Berg</t>
  </si>
  <si>
    <t>Abderhalden Urs, Stein SG</t>
  </si>
  <si>
    <t>NOSV</t>
  </si>
  <si>
    <t>St. Gallen</t>
  </si>
  <si>
    <t>AP-KT 6 a    GR-KT 5 d    SG-KT 3 b    ZH-KT 7 c</t>
  </si>
  <si>
    <t>Ackermann Remo, Steg im Tösstal</t>
  </si>
  <si>
    <t>Zürich</t>
  </si>
  <si>
    <t>ZH-KT 7 d</t>
  </si>
  <si>
    <t>Aeschbacher Matthias, Heimisbach</t>
  </si>
  <si>
    <t>BKSV</t>
  </si>
  <si>
    <t>Emmental</t>
  </si>
  <si>
    <t>EM-BE 7 b    MI-BE 4 a    OA-BE 5 j</t>
  </si>
  <si>
    <t>Anderegg Simon, Unterbach BE</t>
  </si>
  <si>
    <t>Oberland</t>
  </si>
  <si>
    <t>Brüni 6 a    Säntis 6 a    Weiss 4 -    BE 3 a    EM-BE 8 a    VS-KT 2 -    JU-BE 7 a    NW 2 -    OB-BE 3 a</t>
  </si>
  <si>
    <t>Arnold Alois, Allenwinden</t>
  </si>
  <si>
    <t>ISV</t>
  </si>
  <si>
    <t>Zug</t>
  </si>
  <si>
    <t>SZ-KT 7 a</t>
  </si>
  <si>
    <t>Arnold Michael, Allenwinden</t>
  </si>
  <si>
    <t>ZG-KT 6 a</t>
  </si>
  <si>
    <t>Arnold Stefan, Attinghausen</t>
  </si>
  <si>
    <t>Uri</t>
  </si>
  <si>
    <t>UR-KT 3 f</t>
  </si>
  <si>
    <t>Arnold Thomas, Buttisholz</t>
  </si>
  <si>
    <t>Luzern</t>
  </si>
  <si>
    <t>IS 5 f    LU-KT 4 d    ON-KT 4 d</t>
  </si>
  <si>
    <t>Bäbler Dominik, Jonschwil</t>
  </si>
  <si>
    <t>SH-KT 5 c</t>
  </si>
  <si>
    <t>Bäbler Sandro, Jonschwil</t>
  </si>
  <si>
    <t>SH-KT 4 a</t>
  </si>
  <si>
    <t>Bachmann Roger, Wolhusen</t>
  </si>
  <si>
    <t>LU-KT 4 a</t>
  </si>
  <si>
    <t>Bader Andreas, Mümliswil</t>
  </si>
  <si>
    <t>NWSV</t>
  </si>
  <si>
    <t>Solothurn</t>
  </si>
  <si>
    <t>BS-KT 8 c</t>
  </si>
  <si>
    <t>Banz Ueli, Hasle LU</t>
  </si>
  <si>
    <t>BS-KT 3 -    Rigi 3 -    IS 4 a    LU-KT 4 b    ON-KT 4 a</t>
  </si>
  <si>
    <t>Barmettler Peter, Ennetbürgen</t>
  </si>
  <si>
    <t>Ob-/Nidwalden</t>
  </si>
  <si>
    <t>ON-KT 6 e</t>
  </si>
  <si>
    <t>Barras David, La Roche FR</t>
  </si>
  <si>
    <t>SWSV</t>
  </si>
  <si>
    <t>Fribourgeoise</t>
  </si>
  <si>
    <t>FR-KT 2 -</t>
  </si>
  <si>
    <t>Battaglia Stefan, Feldis/Veulden</t>
  </si>
  <si>
    <t>Graubünden</t>
  </si>
  <si>
    <t>GL-KT 7 d</t>
  </si>
  <si>
    <t>Battaglia Ursin, Tumegl/Tomils</t>
  </si>
  <si>
    <t>TG-KT 8 b</t>
  </si>
  <si>
    <t>Beglinger Florian, Filzbach</t>
  </si>
  <si>
    <t>Glarus</t>
  </si>
  <si>
    <t>GR-KT 6 c    GL-KT 5 a</t>
  </si>
  <si>
    <t>Bernet Jonas, Willisau</t>
  </si>
  <si>
    <t>LU-KT 6 b</t>
  </si>
  <si>
    <t>Berset Julien, Courtaman</t>
  </si>
  <si>
    <t>FR-KT 5 d    NE-KT 7 -</t>
  </si>
  <si>
    <t>Betschart Benj, Bertschikon (Gossau ZH)</t>
  </si>
  <si>
    <t>GL-KT 6 b</t>
  </si>
  <si>
    <t>Betschart Rainer, Walchwil</t>
  </si>
  <si>
    <t>SZ-KT 9 b    ZG-KT 5 a</t>
  </si>
  <si>
    <t>Betschart Remo, Walchwil</t>
  </si>
  <si>
    <t>IS 5 b    ZG-KT 8 e</t>
  </si>
  <si>
    <t>Betschart Thorsten, Rothenthurm</t>
  </si>
  <si>
    <t>Schwyz</t>
  </si>
  <si>
    <t>Schwa 3 a    Stoos 5 b    IS 6 a    NW 6 g    SZ-KT 6 e    UR-KT 3 a    ZG-KT 6 e</t>
  </si>
  <si>
    <t>Bickel Stefan, Hochfelden</t>
  </si>
  <si>
    <t>ZH-KT 3 -</t>
  </si>
  <si>
    <t>Bieri Christoph, Untersiggenthal</t>
  </si>
  <si>
    <t>Aargau</t>
  </si>
  <si>
    <t>AG-KT 1 -    BL-KT 1 -    BS-KT 4 b    Brüni 5 e    BE 7 d    NW 1 -    SO-KT 4 -</t>
  </si>
  <si>
    <t>Bieri Marcel, Edlibach</t>
  </si>
  <si>
    <t>SZ-KT 6 a</t>
  </si>
  <si>
    <t>Blatter Lorenz, Feldbrunnen</t>
  </si>
  <si>
    <t>BS-KT 6 b    SO-KT 6 -</t>
  </si>
  <si>
    <t>Blatter Samuel, Matten b. Interlaken</t>
  </si>
  <si>
    <t>EM-BE 7 c    OB-BE 3 d    SE-BE 8 a</t>
  </si>
  <si>
    <t>Bless Michael, Gais</t>
  </si>
  <si>
    <t>Appenzell</t>
  </si>
  <si>
    <t>AP-KT 2 a    Rigi 4 -    GL-KT 3 d    NO 2 a    SH-KT 3 b    SE-BE 7 c    TG-KT 8 e</t>
  </si>
  <si>
    <t>Bloch Dominik, Vinelz</t>
  </si>
  <si>
    <t>Seeland</t>
  </si>
  <si>
    <t>JU-BE 6 h    OA-BE 5 h    SE-BE 7 g</t>
  </si>
  <si>
    <t>Bohner Simon, Rumisberg</t>
  </si>
  <si>
    <t>Oberaargau</t>
  </si>
  <si>
    <t>BL-KT 4 b    BE 3 b    MI-BE 2 b    OA-BE 3 e</t>
  </si>
  <si>
    <t>Borcard Johann, Grandvillard</t>
  </si>
  <si>
    <t>FR-KT 7 b</t>
  </si>
  <si>
    <t>Born Stefan, Balsthal</t>
  </si>
  <si>
    <t>SO-KT 7 -</t>
  </si>
  <si>
    <t>Bösch Daniel, Sirnach</t>
  </si>
  <si>
    <t>Rigi 2 -    Säntis 3 c    Stoos 5 a    BE 8 b    GR-KT 2 -    GL-KT 1 -    NO 1 b    SG-KT 1 -    TG-KT 2 b</t>
  </si>
  <si>
    <t>Brand Christian, Metzerlen</t>
  </si>
  <si>
    <t>Baselland</t>
  </si>
  <si>
    <t>BL-KT 8 c</t>
  </si>
  <si>
    <t>Brand Simon, Ried b. Kerzers</t>
  </si>
  <si>
    <t>FR-KT 5 e</t>
  </si>
  <si>
    <t>Brasey Cédric, Cugy FR</t>
  </si>
  <si>
    <t>FR-KT 3 a    NE-KT 8 d    VS-KT 6 a    SW 5 d</t>
  </si>
  <si>
    <t>Britschgi Melk, Alpnach Dorf</t>
  </si>
  <si>
    <t>ON-KT 4 e    SZ-KT 5 a</t>
  </si>
  <si>
    <t>Brodard Augustin, La Roche FR</t>
  </si>
  <si>
    <t>FR-KT 3 b    VS-KT 6 c    SW 5 e</t>
  </si>
  <si>
    <t>Brodard Simon, La Roche FR</t>
  </si>
  <si>
    <t>FR-KT 7 d    NE-KT 8 a</t>
  </si>
  <si>
    <t>Brügger Stefan, Maladers</t>
  </si>
  <si>
    <t>AP-KT 8 a</t>
  </si>
  <si>
    <t>Brun Jonas, Entlebuch</t>
  </si>
  <si>
    <t>LU-KT 7 e</t>
  </si>
  <si>
    <t>Bühler Ernst, Amriswil</t>
  </si>
  <si>
    <t>Thurgau</t>
  </si>
  <si>
    <t>NO 7 f    SG-KT 9 b</t>
  </si>
  <si>
    <t>Bühler Hannes, Amriswil</t>
  </si>
  <si>
    <t>TG-KT 5 b</t>
  </si>
  <si>
    <t>Bühler Peter, Weesen</t>
  </si>
  <si>
    <t>NO 8 a    SG-KT 7 a</t>
  </si>
  <si>
    <t>Burkhalter Stefan, Homburg</t>
  </si>
  <si>
    <t>NO 6 b</t>
  </si>
  <si>
    <t>Büsser Andy, Ottoberg</t>
  </si>
  <si>
    <t>GL-KT 3 a    NO 7 g</t>
  </si>
  <si>
    <t>Büsser Reto, Niederwil SG</t>
  </si>
  <si>
    <t>NO 7 a    TG-KT 8 c</t>
  </si>
  <si>
    <t>Chaperon Frédéric, Châtel-St-Denis</t>
  </si>
  <si>
    <t>FR-KT 5 f</t>
  </si>
  <si>
    <t>Clopath Beat, Bonaduz</t>
  </si>
  <si>
    <t>AP-KT 1 -    Rigi 8 f    GR-KT 6 e    GL-KT 3 b    LU-KT 4 c    NO 6 e    NW 5 -    TG-KT 4 b</t>
  </si>
  <si>
    <t>Clopath Marco, Tamins</t>
  </si>
  <si>
    <t>GL-KT 3 e</t>
  </si>
  <si>
    <t>Coray Beda, Altstätten SG</t>
  </si>
  <si>
    <t>SG-KT 8 a</t>
  </si>
  <si>
    <t>Cropt Harald, Ollon VD</t>
  </si>
  <si>
    <t>Vaudoise</t>
  </si>
  <si>
    <t>VD-KT 6 a</t>
  </si>
  <si>
    <t>Derron Cédric, Sugiez</t>
  </si>
  <si>
    <t>FR-KT 5 g    VS-KT 6 d</t>
  </si>
  <si>
    <t>Dick Christian, Alchenstorf</t>
  </si>
  <si>
    <t>BL-KT 2 b    Schwa 3 b    Weiss 3 b    BE 6 b    OA-BE 5 b    OB-BE 6 a    SE-BE 7 h    SW 6 a</t>
  </si>
  <si>
    <t>Diener Anton, Küssnacht am Rigi</t>
  </si>
  <si>
    <t>ON-KT 3 a    SZ-KT 5 b</t>
  </si>
  <si>
    <t>Dind Samuel, Echallens</t>
  </si>
  <si>
    <t>FR-KT 7 a    NE-KT 4 -    VS-KT 7 c    VD-KT 2 b</t>
  </si>
  <si>
    <t>Dober Adrian, Rain</t>
  </si>
  <si>
    <t>LU-KT 6 c</t>
  </si>
  <si>
    <t>Dober Bruno, Wolfhausen</t>
  </si>
  <si>
    <t>IS 9 b    SZ-KT 4 a</t>
  </si>
  <si>
    <t>Droxler Jonathan, Les Brenets</t>
  </si>
  <si>
    <t>Neuchâteloise</t>
  </si>
  <si>
    <t>NE-KT 3 -</t>
  </si>
  <si>
    <t>Egli David, Steinhuserberg</t>
  </si>
  <si>
    <t>LU-KT 5 d</t>
  </si>
  <si>
    <t>Elmer Christian, Elm</t>
  </si>
  <si>
    <t>GL-KT 5 b</t>
  </si>
  <si>
    <t>Elsener Adrian, Menzingen</t>
  </si>
  <si>
    <t>ZG-KT 6 b</t>
  </si>
  <si>
    <t>Elsener Peter, Menzingen</t>
  </si>
  <si>
    <t>SZ-KT 7 c    ZG-KT 5 c</t>
  </si>
  <si>
    <t>Erb Roger, Metzerlen</t>
  </si>
  <si>
    <t>BL-KT 5 -    NW 5 b</t>
  </si>
  <si>
    <t>Ettlin Thomas, Kerns</t>
  </si>
  <si>
    <t>ON-KT 6 a</t>
  </si>
  <si>
    <t>Eugster Ruedi, Quarten</t>
  </si>
  <si>
    <t>GR-KT 3 a    NO 6 f    SG-KT 7 b    ZH-KT 8 a</t>
  </si>
  <si>
    <t>Fäh David, Schübelbach</t>
  </si>
  <si>
    <t>SG-KT 10 b</t>
  </si>
  <si>
    <t>Fankhauser Beat, Hasle LU</t>
  </si>
  <si>
    <t>LU-KT 7 f</t>
  </si>
  <si>
    <t>Fankhauser Erich, Hasle LU</t>
  </si>
  <si>
    <t>Schwa 2 b    LU-KT 6 e    ON-KT 3 b</t>
  </si>
  <si>
    <t>Fankhauser Hans-Jakob, Mirchel</t>
  </si>
  <si>
    <t>SE-BE 8 b</t>
  </si>
  <si>
    <t>Fankhauser Kurt, Trubschachen</t>
  </si>
  <si>
    <t>EM-BE 7 a    JU-BE 6 d    ON-KT 3 c    OB-BE 4 a</t>
  </si>
  <si>
    <t>Fankhauser Marco, Hasle LU</t>
  </si>
  <si>
    <t>LU-KT 5 e</t>
  </si>
  <si>
    <t>Fankhauser Reto, Hasle LU</t>
  </si>
  <si>
    <t>LU-KT 7 a</t>
  </si>
  <si>
    <t>Fässler Andreas, Appenzell</t>
  </si>
  <si>
    <t>AP-KT 3 b    NO 7 b    SH-KT 4 c</t>
  </si>
  <si>
    <t>Fejzaj Naim, Wolfhalden</t>
  </si>
  <si>
    <t>AP-KT 5 c</t>
  </si>
  <si>
    <t>Fischer Thomas, Muri AG</t>
  </si>
  <si>
    <t>AG-KT 6 c</t>
  </si>
  <si>
    <t>Flühmann Michel, Ersigen</t>
  </si>
  <si>
    <t>OA-BE 4 a</t>
  </si>
  <si>
    <t>Föhn Franz, Rothenthurm</t>
  </si>
  <si>
    <t>Schwa 4 d    IS 4 b    SZ-KT 5 c    UR-KT 5 b    ZG-KT 2 -</t>
  </si>
  <si>
    <t>Forrer Arnold, Stein SG</t>
  </si>
  <si>
    <t>Säntis 5 a    Stoos 1 -    BE 8 c    GR-KT 1 -    NO 5 a    SG-KT 3 a    TG-KT 1 -    ZH-KT 1 -</t>
  </si>
  <si>
    <t>Forster Adrian, Küssnacht am Rigi</t>
  </si>
  <si>
    <t>ZG-KT 9 -</t>
  </si>
  <si>
    <t>Freund Romeo, Bärschwil</t>
  </si>
  <si>
    <t>NW 5 c    ZG-KT 8 a</t>
  </si>
  <si>
    <t>Gäggeler Adrian, Walkringen</t>
  </si>
  <si>
    <t>EM-BE 6 a</t>
  </si>
  <si>
    <t>Gasser Stefan, Alpnach Dorf</t>
  </si>
  <si>
    <t>Schwa 2 c    IS 6 c    LU-KT 5 f    ON-KT 3 f</t>
  </si>
  <si>
    <t>Gassmann Fabian, Flüeli-Ranft</t>
  </si>
  <si>
    <t>IS 6 b    UR-KT 6 b</t>
  </si>
  <si>
    <t>Gehrig Damian, Wasen im Emmental</t>
  </si>
  <si>
    <t>BE 7 a</t>
  </si>
  <si>
    <t>Geisser Lars, Mörschwil</t>
  </si>
  <si>
    <t>SG-KT 10 c</t>
  </si>
  <si>
    <t>Gerber Christian, Röthenbach im Emmental</t>
  </si>
  <si>
    <t>EM-BE 6 h    OA-BE 5 g    OB-BE 3 b</t>
  </si>
  <si>
    <t>Giger Emil, Valzeina</t>
  </si>
  <si>
    <t>TG-KT 6 a</t>
  </si>
  <si>
    <t>Giroud Jonathan, Charrat</t>
  </si>
  <si>
    <t>Valaisanne</t>
  </si>
  <si>
    <t>FR-KT 6 a    NE-KT 5 b    VS-KT 6 e    SW 6 b</t>
  </si>
  <si>
    <t>Gisler Bruno, Bürglen UR</t>
  </si>
  <si>
    <t>ON-KT 6 b</t>
  </si>
  <si>
    <t>Gisler Bruno, Wolfisberg BE</t>
  </si>
  <si>
    <t>AG-KT 3 -    BL-KT 1 b    BS-KT 4 c    Brüni 5 a    Stoos 3 -    BE 5 c    NW 3 -    OB-BE 4 b    SO-KT 2 -</t>
  </si>
  <si>
    <t>Gisler Simon I, Schattdorf</t>
  </si>
  <si>
    <t>UR-KT 6 c</t>
  </si>
  <si>
    <t>Gisler Stefan, Altdorf UR</t>
  </si>
  <si>
    <t>ON-KT 6 d</t>
  </si>
  <si>
    <t>Glarner Matthias, Meiringen</t>
  </si>
  <si>
    <t>Brüni 3 a    Weiss 2 -    BE 5 a    EM-BE 2 a    IS 8 b    MI-BE 2 a    OA-BE 5 a    OB-BE 2 b</t>
  </si>
  <si>
    <t>Glaus Martin, Schänis</t>
  </si>
  <si>
    <t>GL-KT 5 c    NO 7 h    SZ-KT 7 b    SG-KT 9 e    TG-KT 2 c</t>
  </si>
  <si>
    <t>Glauser Thomas, Châtonnaye</t>
  </si>
  <si>
    <t>VD-KT 6 d</t>
  </si>
  <si>
    <t>Gloggner Hansjörg, Ruswil</t>
  </si>
  <si>
    <t>IS 9 a    LU-KT 6 d</t>
  </si>
  <si>
    <t>Gloggner Philipp, Ruswil</t>
  </si>
  <si>
    <t>Schwa 3 c    IS 5 g    LU-KT 1 -</t>
  </si>
  <si>
    <t>Gloggner Reto, Ruswil</t>
  </si>
  <si>
    <t>LU-KT 5 a</t>
  </si>
  <si>
    <t>Gnägi Florian, Aarberg</t>
  </si>
  <si>
    <t>BL-KT 5 b    Säntis 5 b    BE 5 b    JU-BE 2 a    MI-BE 2 c    OA-BE 3 a    SE-BE 1 a</t>
  </si>
  <si>
    <t>Götte Urban, Stein SG</t>
  </si>
  <si>
    <t>Stoos 7 a    GR-KT 4 b    GL-KT 3 c    NO 7 k    NW 6 b    SH-KT 2 a</t>
  </si>
  <si>
    <t>Gottofrey Marc, Echallens</t>
  </si>
  <si>
    <t>FR-KT 5 a    VS-KT 7 a</t>
  </si>
  <si>
    <t>Grab Martin, Rothenthurm</t>
  </si>
  <si>
    <t>Schwa 1 -    Stoos 4 -    IS 3 -    OA-BE 3 d    SZ-KT 1 -    SW 4 c    ZG-KT 6 f</t>
  </si>
  <si>
    <t>Graber Alfred, Biglen</t>
  </si>
  <si>
    <t>Mittelland</t>
  </si>
  <si>
    <t>MI-BE 4 b</t>
  </si>
  <si>
    <t>Graber Bruno, Stettlen</t>
  </si>
  <si>
    <t>MI-BE 4 g</t>
  </si>
  <si>
    <t>Graber Willy, Bolligen</t>
  </si>
  <si>
    <t>BS-KT 1 -    Brüni 3 b    Säntis 6 b    Schwa 4 a    BE 4 a    EM-BE 5 c    MI-BE 2 d    OB-BE 2 a    SE-BE 7 d</t>
  </si>
  <si>
    <t>Gschwind Michael, Hofstetten SO</t>
  </si>
  <si>
    <t>AG-KT 6 -    BL-KT 3 -    BS-KT 2 -    Weiss 2 d    NW 5 e    SO-KT 4 c    SW 5 a</t>
  </si>
  <si>
    <t>Guisolan Marc, Frasses</t>
  </si>
  <si>
    <t>FR-KT 6 b    NE-KT 6 -    VS-KT 6 f</t>
  </si>
  <si>
    <t>Gurtner Pascal, Schaffhausen</t>
  </si>
  <si>
    <t>Schaffhausen</t>
  </si>
  <si>
    <t>Säntis 4 c    GR-KT 3 b    MI-BE 3 e    NO 7 i    SH-KT 1 -    SG-KT 9 f    TG-KT 6 b</t>
  </si>
  <si>
    <t>Gwerder Andreas, Hütten</t>
  </si>
  <si>
    <t>AP-KT 6 b    GR-KT 7 -    SZ-KT 9 c    ZH-KT 7 f</t>
  </si>
  <si>
    <t>Gwerder Christian, Oberarth</t>
  </si>
  <si>
    <t>SZ-KT 9 i</t>
  </si>
  <si>
    <t>Gwerder Guido, Illgau</t>
  </si>
  <si>
    <t>IS 5 c    LU-KT 5 g    SZ-KT 2 -</t>
  </si>
  <si>
    <t>Habegger Heinz, Fankhaus (Trub)</t>
  </si>
  <si>
    <t>BE 8 a    GR-KT 4 c    EM-BE 6 i    JU-BE 8 b    MI-BE 5 d    OB-BE 4 h</t>
  </si>
  <si>
    <t>Haenni Stéphane, Mézières VD</t>
  </si>
  <si>
    <t>FR-KT 7 e    VS-KT 4 -    VD-KT 9 b    SW 5 b</t>
  </si>
  <si>
    <t>Halter Markus, Stalden (Sarnen)</t>
  </si>
  <si>
    <t>UR-KT 3 g</t>
  </si>
  <si>
    <t>Hasler Florian, Schübelbach</t>
  </si>
  <si>
    <t>IS 8 a    SZ-KT 9 d    ZG-KT 7 a</t>
  </si>
  <si>
    <t>Hauri Urs, Oberbipp</t>
  </si>
  <si>
    <t>BL-KT 6 -    JU-BE 6 c    SO-KT 6 b</t>
  </si>
  <si>
    <t>Heinzer Stefan, Muotathal</t>
  </si>
  <si>
    <t>ZG-KT 7 b</t>
  </si>
  <si>
    <t>Henzer Andreas, Schönenbuch</t>
  </si>
  <si>
    <t>AG-KT 6 d    BL-KT 6 c    SO-KT 5 -</t>
  </si>
  <si>
    <t>Henzer Michael, Basel</t>
  </si>
  <si>
    <t>NW 5 d    SO-KT 5 b</t>
  </si>
  <si>
    <t>Hersche Martin, Appenzell</t>
  </si>
  <si>
    <t>AP-KT 5 d    GL-KT 6 c    NO 8 e</t>
  </si>
  <si>
    <t>Hirt Pascal, Tschiertschen</t>
  </si>
  <si>
    <t>AP-KT 7 d    GR-KT 5 a    NO 7 j</t>
  </si>
  <si>
    <t>Hochholdinger Roman, Felsberg</t>
  </si>
  <si>
    <t>AP-KT 6 c    Rigi 5 -    GR-KT 4 d    GL-KT 2 -</t>
  </si>
  <si>
    <t>Höfliger Andreas, Feusisberg</t>
  </si>
  <si>
    <t>SZ-KT 8 e    ZG-KT 6 k</t>
  </si>
  <si>
    <t>Holdener Reto, Schänis</t>
  </si>
  <si>
    <t>GL-KT 7 a    NO 7 c</t>
  </si>
  <si>
    <t>Holenstein Christian, Stein SG</t>
  </si>
  <si>
    <t>SG-KT 8 b</t>
  </si>
  <si>
    <t>Horner Peter, Glarus</t>
  </si>
  <si>
    <t>GL-KT 7 b    SH-KT 5 d    ZH-KT 7 e</t>
  </si>
  <si>
    <t>Hosang Claudio, Cham</t>
  </si>
  <si>
    <t>SG-KT 10 d</t>
  </si>
  <si>
    <t>Huber Cedric, Pratteln</t>
  </si>
  <si>
    <t>BL-KT 4 -    NW 5 f    SO-KT 7 c</t>
  </si>
  <si>
    <t>Huber Pascal, Altstätten SG</t>
  </si>
  <si>
    <t>SG-KT 9 c</t>
  </si>
  <si>
    <t>Hurschler Thomas, Grafenort</t>
  </si>
  <si>
    <t>ON-KT 3 d</t>
  </si>
  <si>
    <t>Imboden Roger, Geiss</t>
  </si>
  <si>
    <t>LU-KT 7 g    ON-KT 4 f</t>
  </si>
  <si>
    <t>Imfeld Peter, Lungern</t>
  </si>
  <si>
    <t>Brüni 6 b    IS 4 c    NO 2 b    ON-KT 2 -    UR-KT 3 h</t>
  </si>
  <si>
    <t>Imhof Andi, Attinghausen</t>
  </si>
  <si>
    <t>Säntis 4 b    IS 5 a    NW 6 c    ON-KT 4 b    SZ-KT 8 a    UR-KT 3 i</t>
  </si>
  <si>
    <t>Inauen Daniel, Appenzell</t>
  </si>
  <si>
    <t>AP-KT 7 b</t>
  </si>
  <si>
    <t>Inauen Franz, Appenzell</t>
  </si>
  <si>
    <t>AP-KT 7 e</t>
  </si>
  <si>
    <t>Inderbitzin Kaspar, Arth</t>
  </si>
  <si>
    <t>IS 9 c    SZ-KT 6 b</t>
  </si>
  <si>
    <t>Indergand Armin, Erstfeld</t>
  </si>
  <si>
    <t>ON-KT 3 g    UR-KT 4 b</t>
  </si>
  <si>
    <t>Isler David, Diemtigen</t>
  </si>
  <si>
    <t>JU-BE 7 b</t>
  </si>
  <si>
    <t>Jampen Simon, Mühledorf BE</t>
  </si>
  <si>
    <t>BE 8 e    EM-BE 5 d    JU-BE 6 g</t>
  </si>
  <si>
    <t>Jauch Michael, Schattdorf</t>
  </si>
  <si>
    <t>IS 8 g    UR-KT 4 c</t>
  </si>
  <si>
    <t>Jollien Romain, Martigny</t>
  </si>
  <si>
    <t>VS-KT 8 -</t>
  </si>
  <si>
    <t>Jud Pirmin, Goldingen</t>
  </si>
  <si>
    <t>SG-KT 10 i</t>
  </si>
  <si>
    <t>Kälin Konrad, Egg SZ</t>
  </si>
  <si>
    <t>SZ-KT 9 e    ZG-KT 6 g</t>
  </si>
  <si>
    <t>Kälin Roland, Schönenberg ZH</t>
  </si>
  <si>
    <t>OA-BE 5 e    SZ-KT 6 c</t>
  </si>
  <si>
    <t>Kamer Hanspeter, Benken SG</t>
  </si>
  <si>
    <t>SG-KT 9 g</t>
  </si>
  <si>
    <t>Kamer Ueli, Tiefencastel</t>
  </si>
  <si>
    <t>GR-KT 6 a    SG-KT 8 c</t>
  </si>
  <si>
    <t>Kammermann Thomas, Zürich</t>
  </si>
  <si>
    <t>ZH-KT 7 a</t>
  </si>
  <si>
    <t>Kämpf Alexander, Thun</t>
  </si>
  <si>
    <t>MI-BE 5 e    OB-BE 2 e    SE-BE 6 a</t>
  </si>
  <si>
    <t>Kämpf Bernhard, Sigriswil</t>
  </si>
  <si>
    <t>BS-KT 6 c    BE 8 d    JU-BE 4 b    MI-BE 4 c    OB-BE 4 e    SE-BE 7 a</t>
  </si>
  <si>
    <t>Kämpf Simon, Sigriswil</t>
  </si>
  <si>
    <t>EM-BE 9 a    MI-BE 2 e</t>
  </si>
  <si>
    <t>Kappeler Niklaus, Reutigen</t>
  </si>
  <si>
    <t>EM-BE 6 b</t>
  </si>
  <si>
    <t>Käser Remo, Alchenstorf</t>
  </si>
  <si>
    <t>EM-BE 5 a</t>
  </si>
  <si>
    <t>Kempf Elias, Altdorf UR</t>
  </si>
  <si>
    <t>UR-KT 3 b</t>
  </si>
  <si>
    <t>Kid Simon, Weesen</t>
  </si>
  <si>
    <t>NO 7 d    SG-KT 8 d</t>
  </si>
  <si>
    <t>Kindlimann Andreas, Steg im Tösstal</t>
  </si>
  <si>
    <t>AP-KT 5 a    NO 6 a</t>
  </si>
  <si>
    <t>Kindlimann Fabian, Wald ZH</t>
  </si>
  <si>
    <t>Rigi 8 a    GL-KT 4 b    NO 8 b    SH-KT 4 b    ZH-KT 4 a</t>
  </si>
  <si>
    <t>Kläy Jean-Philippe, Tramelan</t>
  </si>
  <si>
    <t>Berner-Jura</t>
  </si>
  <si>
    <t>Weiss 4 e    FR-KT 6 c    OB-BE 4 d</t>
  </si>
  <si>
    <t>Knechtle Martin, Ganterschwil</t>
  </si>
  <si>
    <t>SG-KT 9 h</t>
  </si>
  <si>
    <t>Knöpfel Hansueli, Hundwil</t>
  </si>
  <si>
    <t>TG-KT 8 d</t>
  </si>
  <si>
    <t>Koch Martin, Schlierbach</t>
  </si>
  <si>
    <t>Säntis 4 d    Stoos 2 a    IS 7 g    LU-KT 3 a    SZ-KT 6 d</t>
  </si>
  <si>
    <t>Kocher Remo, Hofstetten SO</t>
  </si>
  <si>
    <t>AG-KT 9 b    BL-KT 7 -</t>
  </si>
  <si>
    <t>Kohler Fredi, Pfäfers</t>
  </si>
  <si>
    <t>GR-KT 6 f    SH-KT 7 a    SG-KT 10 e    TG-KT 6 c</t>
  </si>
  <si>
    <t>Koller Markus, Siebnen</t>
  </si>
  <si>
    <t>GL-KT 4 a    IS 7 c    ZG-KT 6 h</t>
  </si>
  <si>
    <t>Korrodi Paul, Schönenberg ZH</t>
  </si>
  <si>
    <t>ZH-KT 8 b</t>
  </si>
  <si>
    <t>Krähenbühl Roland, Matzingen</t>
  </si>
  <si>
    <t>NO 6 g    TG-KT 6 e</t>
  </si>
  <si>
    <t>Krähenbühl Tobias, Frauenfeld</t>
  </si>
  <si>
    <t>AP-KT 5 e    SG-KT 4 -    TG-KT 5 c    ZH-KT 6 f</t>
  </si>
  <si>
    <t>Kramer Lukas, Schlatt</t>
  </si>
  <si>
    <t>AG-KT 8 b</t>
  </si>
  <si>
    <t>Kropf Marcel, Mümliswil</t>
  </si>
  <si>
    <t>BS-KT 6 d    NW 6 h    OA-BE 5 f</t>
  </si>
  <si>
    <t>Kropf Rolf, Brünisried</t>
  </si>
  <si>
    <t>FR-KT 5 b    VD-KT 5 -</t>
  </si>
  <si>
    <t>Kropf Thomas, Willadingen</t>
  </si>
  <si>
    <t>OA-BE 5 i</t>
  </si>
  <si>
    <t>Kündig Edi, Ibach</t>
  </si>
  <si>
    <t>AG-KT 8 c    Rigi 8 c    IS 7 h    SZ-KT 7 d    ZG-KT 6 i</t>
  </si>
  <si>
    <t>Kuster Marcel, Urnäsch</t>
  </si>
  <si>
    <t>AP-KT 3 a    Säntis 6 c    SH-KT 3 a    SE-BE 9 a    TG-KT 8 a</t>
  </si>
  <si>
    <t>Küttel Pirmin, Vitznau</t>
  </si>
  <si>
    <t>IS 9 f    SZ-KT 4 d</t>
  </si>
  <si>
    <t>Laimbacher Adrian, Steinerberg</t>
  </si>
  <si>
    <t>AG-KT 2 -    Brüni 3 c    Rigi 1 a    BE 3 c    IS 1 -    SZ-KT 3 -    ZG-KT 5 b</t>
  </si>
  <si>
    <t>Langensand Stefan, Alpnach Dorf</t>
  </si>
  <si>
    <t>ON-KT 5 a    UR-KT 3 j</t>
  </si>
  <si>
    <t>Lauener Thomas, Reichenbach im Kandertal</t>
  </si>
  <si>
    <t>JU-BE 7 c    OA-BE 5 d    OB-BE 3 e</t>
  </si>
  <si>
    <t>Lerch Jimmy, Crans-près-Céligny</t>
  </si>
  <si>
    <t>VD-KT 6 b</t>
  </si>
  <si>
    <t>Leuenberger Michael, Röthenbach im Emmental</t>
  </si>
  <si>
    <t>JU-BE 6 f    OB-BE 4 i</t>
  </si>
  <si>
    <t>Leuppi Samir, Winterthur</t>
  </si>
  <si>
    <t>SH-KT 5 a</t>
  </si>
  <si>
    <t>Liaudat Rudy, Châtel-St-Denis</t>
  </si>
  <si>
    <t>VS-KT 9 a</t>
  </si>
  <si>
    <t>Löw Christophe, Itingen</t>
  </si>
  <si>
    <t>AG-KT 8 -    BL-KT 5 d</t>
  </si>
  <si>
    <t>Luginbühl Hanspeter, Aeschiried</t>
  </si>
  <si>
    <t>BS-KT 4 -    Brüni 7 -    Weiss 2 b    BE 6 c    EM-BE 5 b    OB-BE 3 c    SE-BE 7 b</t>
  </si>
  <si>
    <t>Luginbühl Simon, Alchenstorf</t>
  </si>
  <si>
    <t>EM-BE 6 j    OA-BE 2 c</t>
  </si>
  <si>
    <t>Lüönd Andreas, Ingenbohl</t>
  </si>
  <si>
    <t>IS 9 d</t>
  </si>
  <si>
    <t>Mahrer Jürg, Hellikon</t>
  </si>
  <si>
    <t>AG-KT 6 b    SO-KT 7 b</t>
  </si>
  <si>
    <t>Manser Bruno, Weissbad</t>
  </si>
  <si>
    <t>AP-KT 7 c</t>
  </si>
  <si>
    <t>Marti Fabian, Schwarzenberg LU</t>
  </si>
  <si>
    <t>LU-KT 4 h</t>
  </si>
  <si>
    <t>Mathis Marcel, Büren NW</t>
  </si>
  <si>
    <t>Brüni 5 c    Rigi 7 a    Schwa 4 b    IS 8 c    ON-KT 1 a    SZ-KT 9 f    UR-KT 3 c</t>
  </si>
  <si>
    <t>Matthey Michael, Nyon</t>
  </si>
  <si>
    <t>FR-KT 6 d    VD-KT 3 -    SH-KT 2 b    SW 5 f</t>
  </si>
  <si>
    <t>Maurer Reto, Oberwil im Simmental</t>
  </si>
  <si>
    <t>BE 5 d    JU-BE 3 b    MI-BE 3 b    OA-BE 2 b    SE-BE 2 a</t>
  </si>
  <si>
    <t>Meuter Adrian, Vinelz</t>
  </si>
  <si>
    <t>BE 6 d    EM-BE 6 c    SE-BE 9 b    ZH-KT 6 c</t>
  </si>
  <si>
    <t>Meyer Reto, Dagmersellen</t>
  </si>
  <si>
    <t>EM-BE 9 b</t>
  </si>
  <si>
    <t>Michel Jonas, Schafhausen im Emmental</t>
  </si>
  <si>
    <t>OB-BE 4 j</t>
  </si>
  <si>
    <t>Morgenthaler Pascal, Burgdorf</t>
  </si>
  <si>
    <t>OA-BE 3 c</t>
  </si>
  <si>
    <t>Moser Michael, Aeschlen b. Oberdiessbach</t>
  </si>
  <si>
    <t>EM-BE 6 d</t>
  </si>
  <si>
    <t>Muff Armin, Hellbühl</t>
  </si>
  <si>
    <t>UR-KT 5 c</t>
  </si>
  <si>
    <t>Müller Alain, Willisau</t>
  </si>
  <si>
    <t>IS 7 i    LU-KT 6 f    ON-KT 4 c</t>
  </si>
  <si>
    <t>Müller Bruno, Unterägeri</t>
  </si>
  <si>
    <t>IS 5 d    SZ-KT 9 g    ZG-KT 6 j</t>
  </si>
  <si>
    <t>Müller Toni, Wolhusen</t>
  </si>
  <si>
    <t>LU-KT 4 e</t>
  </si>
  <si>
    <t>Müllestein Mike, Steinerberg</t>
  </si>
  <si>
    <t>Rigi 8 d    IS 8 d    SZ-KT 4 e    ZG-KT 6 c</t>
  </si>
  <si>
    <t>Murer Andy, Seedorf UR</t>
  </si>
  <si>
    <t>ON-KT 5 d</t>
  </si>
  <si>
    <t>Näf Bruno, Hemberg</t>
  </si>
  <si>
    <t>SG-KT 9 d</t>
  </si>
  <si>
    <t>Näf Pius, Kradolf</t>
  </si>
  <si>
    <t>ZH-KT 6 d</t>
  </si>
  <si>
    <t>Näf Willi, Hemberg</t>
  </si>
  <si>
    <t>SH-KT 7 b</t>
  </si>
  <si>
    <t>Niederberger Jakob, Dallenwil</t>
  </si>
  <si>
    <t>ON-KT 5 g    UR-KT 5 d</t>
  </si>
  <si>
    <t>Niederberger Joel, Plaffeien</t>
  </si>
  <si>
    <t>FR-KT 7 f    NE-KT 5 a    VS-KT 3 -    SW 6 c</t>
  </si>
  <si>
    <t>Nietlispach Pascal, Hünenberg See</t>
  </si>
  <si>
    <t>IS 9 e    ON-KT 5 e    SZ-KT 5 e    ZG-KT 7 c</t>
  </si>
  <si>
    <t>Nigg Lukas, Winterthur</t>
  </si>
  <si>
    <t>GR-KT 5 b    ZH-KT 4 b</t>
  </si>
  <si>
    <t>Notz Beni, Güttingen</t>
  </si>
  <si>
    <t>NO 6 c    SG-KT 8 e    SW 3 a    TG-KT 5 d    ZH-KT 5 c</t>
  </si>
  <si>
    <t>Notz Hans, Güttingen</t>
  </si>
  <si>
    <t>AP-KT 8 b    TG-KT 7 c</t>
  </si>
  <si>
    <t>Nötzli Bruno, Pfäffikon SZ</t>
  </si>
  <si>
    <t>Rigi 6 -    Stoos 6 -    GL-KT 7 c    IS 8 e    ZG-KT 4 -</t>
  </si>
  <si>
    <t>Nydegger Michael, Oberschrot</t>
  </si>
  <si>
    <t>Weiss 4 c    FR-KT 1 a    NE-KT 1 -    VS-KT 1 -    VD-KT 4 -    NW 6 d</t>
  </si>
  <si>
    <t>Odermatt Christian, Ennetmoos</t>
  </si>
  <si>
    <t>ON-KT 6 c    UR-KT 6 d</t>
  </si>
  <si>
    <t>Odermatt Christoph, Bauma</t>
  </si>
  <si>
    <t>ZH-KT 6 e</t>
  </si>
  <si>
    <t>Odermatt Silvan, Alpnachstad</t>
  </si>
  <si>
    <t>OB-BE 5 b</t>
  </si>
  <si>
    <t>Oertig Adrian, Goldingen</t>
  </si>
  <si>
    <t>GR-KT 5 c    SH-KT 5 b    SG-KT 8 f</t>
  </si>
  <si>
    <t>Oester Thomas, Adelboden</t>
  </si>
  <si>
    <t>AP-KT 6 d    JU-BE 6 e    SE-BE 7 e</t>
  </si>
  <si>
    <t>Ott Pascal, Mühlrüti</t>
  </si>
  <si>
    <t>SG-KT 10 f</t>
  </si>
  <si>
    <t>Pasche Bernard, Carrouge VD</t>
  </si>
  <si>
    <t>VS-KT 9 b    VD-KT 6 e    SW 4 b</t>
  </si>
  <si>
    <t>Pellet Michael, Giffers</t>
  </si>
  <si>
    <t>NE-KT 8 b    VS-KT 6 b    VD-KT 7 a</t>
  </si>
  <si>
    <t>Peng Mike, Malix</t>
  </si>
  <si>
    <t>GR-KT 6 d</t>
  </si>
  <si>
    <t>Philipp Edi, Untervaz</t>
  </si>
  <si>
    <t>AP-KT 5 b    GL-KT 5 d    LU-KT 2 b    NO 4 -</t>
  </si>
  <si>
    <t>Philipp Ruedi, Schattdorf</t>
  </si>
  <si>
    <t>UR-KT 5 e</t>
  </si>
  <si>
    <t>Piemontesi Pascal, Aubonne</t>
  </si>
  <si>
    <t>FR-KT 5 c    VS-KT 9 c    VD-KT 9 a</t>
  </si>
  <si>
    <t>Portmann Josef, Wiggen</t>
  </si>
  <si>
    <t>LU-KT 5 b    ON-KT 4 g</t>
  </si>
  <si>
    <t>Quartenoud Maxim, Sonceboz-Sombeval</t>
  </si>
  <si>
    <t>OB-BE 5 c</t>
  </si>
  <si>
    <t>Räbmatter Patrick, Uerkheim</t>
  </si>
  <si>
    <t>AG-KT 5 -    BL-KT 6 d    NW 6 e</t>
  </si>
  <si>
    <t>Reimann Thomas, Meiringen</t>
  </si>
  <si>
    <t>VS-KT 5 -    OA-BE 5 c</t>
  </si>
  <si>
    <t>Reusser Philipp, Aeschlen b. Oberdiessbach</t>
  </si>
  <si>
    <t>JU-BE 7 d</t>
  </si>
  <si>
    <t>Reust Markus, Gurzelen</t>
  </si>
  <si>
    <t>JU-BE 8 a    MI-BE 5 a</t>
  </si>
  <si>
    <t>Rhyner Michael, Flawil</t>
  </si>
  <si>
    <t>GL-KT 6 d    SG-KT 10 a</t>
  </si>
  <si>
    <t>Riget Tobias, Schänis</t>
  </si>
  <si>
    <t>GR-KT 4 e    NO 8 c    SG-KT 5 -</t>
  </si>
  <si>
    <t>Ritter Stefan, Bonaduz</t>
  </si>
  <si>
    <t>AP-KT 8 c</t>
  </si>
  <si>
    <t>Roch Vincent, Constantine</t>
  </si>
  <si>
    <t>FR-KT 7 c    SH-KT 5 e</t>
  </si>
  <si>
    <t>Rohrer Christian, Giswil</t>
  </si>
  <si>
    <t>SG-KT 10 g</t>
  </si>
  <si>
    <t>Rohrer Ivan, Sachseln</t>
  </si>
  <si>
    <t>UR-KT 3 d</t>
  </si>
  <si>
    <t>Rohrer Marco, Sachseln</t>
  </si>
  <si>
    <t>Rigi 8 b    ON-KT 5 b    UR-KT 5 a</t>
  </si>
  <si>
    <t>Rolli Martin, Niedermuhlern</t>
  </si>
  <si>
    <t>JU-BE 8 c    MI-BE 3 a    OA-BE 6 a</t>
  </si>
  <si>
    <t>Roth Dominik, Biberist</t>
  </si>
  <si>
    <t>SE-BE 7 i</t>
  </si>
  <si>
    <t>Roth Jakob, Krummenau</t>
  </si>
  <si>
    <t>Rigi 7 b    GR-KT 6 b    IS 7 f    NO 8 d    SG-KT 2 -    TG-KT 2 a    ZH-KT 6 a</t>
  </si>
  <si>
    <t>Roth Lukas, Bischofszell</t>
  </si>
  <si>
    <t>TG-KT 6 d</t>
  </si>
  <si>
    <t>Roth Philipp, Biberist</t>
  </si>
  <si>
    <t>MI-BE 5 b</t>
  </si>
  <si>
    <t>Roth Philipp, Bischofszell</t>
  </si>
  <si>
    <t>TG-KT 7 a</t>
  </si>
  <si>
    <t>Röthlisberger Simon, Leimiswil</t>
  </si>
  <si>
    <t>JU-BE 6 b    MI-BE 3 c    OA-BE 4 d    OB-BE 5 a</t>
  </si>
  <si>
    <t>Rychen Roger, Mollis</t>
  </si>
  <si>
    <t>GL-KT 5 e    SH-KT 4 d    ZH-KT 6 g</t>
  </si>
  <si>
    <t>Salzmann Beat, Signau</t>
  </si>
  <si>
    <t>Brüni 5 d    Weiss 4 d    BE 8 f    EM-BE 6 e    OA-BE 3 f    SE-BE 8 c</t>
  </si>
  <si>
    <t>Salzmann Simon, Bolligen</t>
  </si>
  <si>
    <t>MI-BE 4 h</t>
  </si>
  <si>
    <t>Schafer Claudio, Brünisried</t>
  </si>
  <si>
    <t>VD-KT 7 b</t>
  </si>
  <si>
    <t>Schärli Lukas, Werthenstein</t>
  </si>
  <si>
    <t>LU-KT 7 b</t>
  </si>
  <si>
    <t>Schelbert René, Muotathal</t>
  </si>
  <si>
    <t>SZ-KT 8 b</t>
  </si>
  <si>
    <t>Schenk Patrick, Wasen im Emmental</t>
  </si>
  <si>
    <t>EM-BE 6 k    SE-BE 7 f</t>
  </si>
  <si>
    <t>Schenkel Adrian, Kirchdorf BE</t>
  </si>
  <si>
    <t>BE 5 e    MI-BE 3 d    OA-BE 6 d    SE-BE 5 a</t>
  </si>
  <si>
    <t>Scherer Adrian, Schachen LU</t>
  </si>
  <si>
    <t>ON-KT 5 f</t>
  </si>
  <si>
    <t>Scherer Christian, St. Gallen</t>
  </si>
  <si>
    <t>SG-KT 9 i</t>
  </si>
  <si>
    <t>Scherrer Johann, Zwingen</t>
  </si>
  <si>
    <t>SO-KT 7 d</t>
  </si>
  <si>
    <t>Scheuber Lutz, Büren NW</t>
  </si>
  <si>
    <t>Schwa 4 c    LU-KT 5 h    UR-KT 2 -</t>
  </si>
  <si>
    <t>Schillig Willi, Adligenswil</t>
  </si>
  <si>
    <t>Brüni 6 c</t>
  </si>
  <si>
    <t>Schläpfer Markus, Niederbüren</t>
  </si>
  <si>
    <t>AP-KT 4 -    SG-KT 6 -</t>
  </si>
  <si>
    <t>Schmid David, Wittnau</t>
  </si>
  <si>
    <t>AG-KT 4 -    BL-KT 5 c    BS-KT 8 -</t>
  </si>
  <si>
    <t>Schmid Reto, Frutigen</t>
  </si>
  <si>
    <t>EM-BE 6 f    MI-BE 3 f    OA-BE 4 c</t>
  </si>
  <si>
    <t>Schneider Dominic, Friltschen</t>
  </si>
  <si>
    <t>NO 6 d</t>
  </si>
  <si>
    <t>Schneider Mario, Friltschen</t>
  </si>
  <si>
    <t>AP-KT 6 f    NO 7 e    SG-KT 9 j    TG-KT 5 a    ZH-KT 5 a</t>
  </si>
  <si>
    <t>Schnider Markus, Escholzmatt</t>
  </si>
  <si>
    <t>LU-KT 6 a</t>
  </si>
  <si>
    <t>Schnurrenberger Roman, Sternenberg</t>
  </si>
  <si>
    <t>ZH-KT 6 b</t>
  </si>
  <si>
    <t>Schuler Alex, Rothenthurm</t>
  </si>
  <si>
    <t>OA-BE 6 b    SZ-KT 7 e    ZG-KT 8 c</t>
  </si>
  <si>
    <t>Schuler Christian, Rothenthurm</t>
  </si>
  <si>
    <t>Brüni 5 b    Schwa 2 a    Stoos 2 b    IS 2 -    SZ-KT 4 b    SW 2 -</t>
  </si>
  <si>
    <t>Schuler Philipp, Rothenthurm</t>
  </si>
  <si>
    <t>OA-BE 3 b    SZ-KT 6 f</t>
  </si>
  <si>
    <t>Schurtenberger Sven, Nottwil</t>
  </si>
  <si>
    <t>IS 6 d</t>
  </si>
  <si>
    <t>Schütz Urs, Reichenbach im Kandertal</t>
  </si>
  <si>
    <t>AP-KT 7 a    OB-BE 4 f</t>
  </si>
  <si>
    <t>Sempach Matthias, Alchenstorf</t>
  </si>
  <si>
    <t>Brüni 2 a    Säntis 3 a    Weiss 1 -    BE 1 a    EM-BE 3 a    VD-KT 1 -    NO 1 a    OA-BE 2 a    OB-BE 1 a</t>
  </si>
  <si>
    <t>Sempach Stefan, Koppigen</t>
  </si>
  <si>
    <t>EM-BE 9 e    OB-BE 5 d</t>
  </si>
  <si>
    <t>Sempach Thomas, Heimenschwand</t>
  </si>
  <si>
    <t>Brüni 4 a    Schwa 4 e    Weiss 3 -    BE 7 b    EM-BE 4 a    JU-BE 5 a    MI-BE 4 d    OB-BE 3 f    SW 3 b</t>
  </si>
  <si>
    <t>Siegenthaler Matthias, Fankhaus (Trub)</t>
  </si>
  <si>
    <t>Brüni 4 b    Säntis 4 a    Schwa 5 -    BE 6 a    GR-KT 4 a    IS 8 h    MI-BE 4 i    OB-BE 2 d</t>
  </si>
  <si>
    <t>Signer Emil, St. Peterzell</t>
  </si>
  <si>
    <t>AP-KT 6 e    SH-KT 6 -    SG-KT 9 a</t>
  </si>
  <si>
    <t>Sommer Roman, Wasen im Emmental</t>
  </si>
  <si>
    <t>EM-BE 9 c</t>
  </si>
  <si>
    <t>Sonnay Thomas, Les Tavernes</t>
  </si>
  <si>
    <t>VS-KT 7 b</t>
  </si>
  <si>
    <t>Sprecher Sandro, Bonaduz</t>
  </si>
  <si>
    <t>GL-KT 6 a</t>
  </si>
  <si>
    <t>Stadelmann René, Romoos</t>
  </si>
  <si>
    <t>LU-KT 4 f</t>
  </si>
  <si>
    <t>Stadelmann Ruedi, Daiwil</t>
  </si>
  <si>
    <t>IS 7 a    LU-KT 2 a    SZ-KT 4 c</t>
  </si>
  <si>
    <t>Stalder Remo, Mümliswil</t>
  </si>
  <si>
    <t>AG-KT 7 b    BS-KT 8 b    Weiss 4 b    JU-BE 8 d    SO-KT 1 -</t>
  </si>
  <si>
    <t>Staub Maël, Sonceboz-Sombeval</t>
  </si>
  <si>
    <t>FR-KT 4 -    JU-BE 6 a</t>
  </si>
  <si>
    <t>Steinauer Adrian, Willerzell</t>
  </si>
  <si>
    <t>ZG-KT 8 d</t>
  </si>
  <si>
    <t>Steiner Michael, Amlikon-Bissegg</t>
  </si>
  <si>
    <t>AP-KT 8 d    TG-KT 3 -    ZH-KT 7 b</t>
  </si>
  <si>
    <t>Steinmann Kevin, Villmergen</t>
  </si>
  <si>
    <t>NW 5 g</t>
  </si>
  <si>
    <t>Steinmann Yves, Villmergen</t>
  </si>
  <si>
    <t>AG-KT 9 c</t>
  </si>
  <si>
    <t>Stocker Thomas, Obermumpf</t>
  </si>
  <si>
    <t>NW 6 i</t>
  </si>
  <si>
    <t>Stöckli Stefan, Wolhusen</t>
  </si>
  <si>
    <t>LU-KT 7 c</t>
  </si>
  <si>
    <t>Stucki Christian, Lyss</t>
  </si>
  <si>
    <t>Brüni 1 -    Säntis 3 b    Weiss 2 c    BE 2 a    EM-BE 4 b    JU-BE 1 a    NO 3 -    OA-BE 1 a    SE-BE 3 a    ZH-KT 5 b</t>
  </si>
  <si>
    <t>Stucki Markus, Dürnten</t>
  </si>
  <si>
    <t>SH-KT 7 c    ZH-KT 2 -</t>
  </si>
  <si>
    <t>Stüdeli Thomas, Bellach</t>
  </si>
  <si>
    <t>AG-KT 6 e    BL-KT 8 -    BS-KT 6 e    NW 6 j    SO-KT 5 d</t>
  </si>
  <si>
    <t>Studer Benno, Schüpfheim</t>
  </si>
  <si>
    <t>LU-KT 3 b</t>
  </si>
  <si>
    <t>Studinger Mathias, Suhr</t>
  </si>
  <si>
    <t>NW 6 k</t>
  </si>
  <si>
    <t>Studinger Stephan, Däniken SO</t>
  </si>
  <si>
    <t>NW 6 l</t>
  </si>
  <si>
    <t>Süess Gerry, Busswil TG</t>
  </si>
  <si>
    <t>SH-KT 3 c    TG-KT 4 a</t>
  </si>
  <si>
    <t>Suppiger Martin, Willisau</t>
  </si>
  <si>
    <t>LU-KT 5 c    ON-KT 5 c</t>
  </si>
  <si>
    <t>Suppiger René, Sursee</t>
  </si>
  <si>
    <t>LU-KT 4 g    UR-KT 5 f</t>
  </si>
  <si>
    <t>Suppiger Werner, Willisau</t>
  </si>
  <si>
    <t>IS 7 d    LU-KT 7 d    ZG-KT 6 d</t>
  </si>
  <si>
    <t>Suter David, Sattel</t>
  </si>
  <si>
    <t>SZ-KT 9 a</t>
  </si>
  <si>
    <t>Thürig Guido, Rickenbach LU</t>
  </si>
  <si>
    <t>AG-KT 7 -    BL-KT 2 -    BS-KT 5 b    Stoos 5 c    Weiss 2 e    NW 6 m    SO-KT 4 b    SW 1 -</t>
  </si>
  <si>
    <t>Thürig Mario, Möriken AG</t>
  </si>
  <si>
    <t>BS-KT 7 -    Stoos 7 c    IS 8 f    NW 4 -    SO-KT 3 -</t>
  </si>
  <si>
    <t>Tschachtli Stefan, Kerzers</t>
  </si>
  <si>
    <t>NE-KT 8 c    VD-KT 6 c    SH-KT 5 f</t>
  </si>
  <si>
    <t>Tschanz Richard, Fahrni b. Thun</t>
  </si>
  <si>
    <t>EM-BE 8 b    OB-BE 5 e</t>
  </si>
  <si>
    <t>Übersax Remo, Niederbipp</t>
  </si>
  <si>
    <t>SO-KT 7 e</t>
  </si>
  <si>
    <t>Ulrich Andreas, Gersau</t>
  </si>
  <si>
    <t>BS-KT 6 -    Rigi 1 b    Säntis 2 -    Stoos 7 b    IS 7 e    NO 5 b    SZ-KT 4 f    UR-KT 3 e    ZG-KT 1 -</t>
  </si>
  <si>
    <t>Ulrich Florian, Steinen</t>
  </si>
  <si>
    <t>SZ-KT 8 c    ZG-KT 6 l</t>
  </si>
  <si>
    <t>Urfer Simon, Gerzensee</t>
  </si>
  <si>
    <t>MI-BE 4 e</t>
  </si>
  <si>
    <t>Vestner Roman, Speicher</t>
  </si>
  <si>
    <t>ZH-KT 5 d</t>
  </si>
  <si>
    <t>Vieira Tiago, Biberstein</t>
  </si>
  <si>
    <t>AG-KT 9 e    NW 6 f</t>
  </si>
  <si>
    <t>Vieux Sylvain, Val-d'Illiez</t>
  </si>
  <si>
    <t>VS-KT 9 d</t>
  </si>
  <si>
    <t>Villiger Cyrill, Lauerz</t>
  </si>
  <si>
    <t>SZ-KT 5 d</t>
  </si>
  <si>
    <t>Vögeli Sven, Gächlingen</t>
  </si>
  <si>
    <t>SG-KT 9 k    TG-KT 7 b</t>
  </si>
  <si>
    <t>von Ah Benji, Giswil</t>
  </si>
  <si>
    <t>UR-KT 1 -</t>
  </si>
  <si>
    <t>von Arx Christian, Büsserach</t>
  </si>
  <si>
    <t>BS-KT 8 d</t>
  </si>
  <si>
    <t>Vonlaufen Alexander, Beckenried</t>
  </si>
  <si>
    <t>ON-KT 1 b</t>
  </si>
  <si>
    <t>Vonlaufen Lukas, Beckenried</t>
  </si>
  <si>
    <t>UR-KT 6 a</t>
  </si>
  <si>
    <t>Waldner Patrick, Büren SO</t>
  </si>
  <si>
    <t>AG-KT 9 -    BL-KT 6 b    NW 5 h</t>
  </si>
  <si>
    <t>Wälti Christoph, Boll</t>
  </si>
  <si>
    <t>JU-BE 4 a    MI-BE 4 f</t>
  </si>
  <si>
    <t>Wampfler Beat, Oey</t>
  </si>
  <si>
    <t>OA-BE 6 c    OB-BE 6 b    SE-BE 8 d    SO-KT 7 f</t>
  </si>
  <si>
    <t>Wanner Roman, Beggingen</t>
  </si>
  <si>
    <t>SG-KT 9 l</t>
  </si>
  <si>
    <t>Waser Dominik, Rotkreuz</t>
  </si>
  <si>
    <t>ZG-KT 8 f</t>
  </si>
  <si>
    <t>Weiss Roman, Zwillikon</t>
  </si>
  <si>
    <t>ZG-KT 8 b</t>
  </si>
  <si>
    <t>Wenger Kilian, Thun</t>
  </si>
  <si>
    <t>MI-BE 1 a    SE-BE 4 a    SO-KT 5 c</t>
  </si>
  <si>
    <t>Weyermann Florian, Lotzwil</t>
  </si>
  <si>
    <t>OA-BE 4 b</t>
  </si>
  <si>
    <t>Wickli Beat, Ennetbühl</t>
  </si>
  <si>
    <t>SG-KT 8 g</t>
  </si>
  <si>
    <t>Wiederkehr Simon, Nassen</t>
  </si>
  <si>
    <t>SG-KT 10 h</t>
  </si>
  <si>
    <t>Wiedmer Mathias, Fankhaus (Trub)</t>
  </si>
  <si>
    <t>Schwa 4 g    BE 5 f    EM-BE 6 g</t>
  </si>
  <si>
    <t>Wilhelm Hannes, Safenwil</t>
  </si>
  <si>
    <t>BL-KT 8 b</t>
  </si>
  <si>
    <t>Wüthrich Niklaus, Schangnau</t>
  </si>
  <si>
    <t>BE 7 c    MI-BE 5 c</t>
  </si>
  <si>
    <t>Wyler Roman, Remetschwil</t>
  </si>
  <si>
    <t>AG-KT 9 d    BS-KT 8 e</t>
  </si>
  <si>
    <t>Wyrsch Marco, Attinghausen</t>
  </si>
  <si>
    <t>LU-KT 7 h    UR-KT 5 g</t>
  </si>
  <si>
    <t>Wyss Kilian, Schüpbach</t>
  </si>
  <si>
    <t>EM-BE 9 f    OB-BE 2 c</t>
  </si>
  <si>
    <t>Zaugg Thomas, Schangnau</t>
  </si>
  <si>
    <t>Brüni 2 b    Säntis 1 -    Weiss 3 c    BE 4 b    EM-BE 1 a    JU-BE 3 a    ON-KT 3 h    OA-BE 1 b</t>
  </si>
  <si>
    <t>Zbinden Reto, Mittelhäusern</t>
  </si>
  <si>
    <t>OB-BE 4 g</t>
  </si>
  <si>
    <t>Zbinden Stefan, Oberschrot</t>
  </si>
  <si>
    <t>Schwa 4 f    Weiss 3 d    FR-KT 1 b    NE-KT 2 -    VD-KT 2 a    IS 7 b    SW 4 a</t>
  </si>
  <si>
    <t>Zimmermann Martin, Cham</t>
  </si>
  <si>
    <t>SZ-KT 8 d    ZG-KT 3 -</t>
  </si>
  <si>
    <t>Zimmermann Martin, Ennetbürgen</t>
  </si>
  <si>
    <t>Rigi 8 e    IS 5 e    ON-KT 3 e    SZ-KT 9 h    UR-KT 4 a</t>
  </si>
  <si>
    <t>Zindel Thomas, Günsberg</t>
  </si>
  <si>
    <t>AG-KT 7 c    BS-KT 5 -    NW 6 -    OB-BE 4 c    SO-KT 3 b</t>
  </si>
  <si>
    <t>Zosso Remo, Kerzers</t>
  </si>
  <si>
    <t>SW 5 c</t>
  </si>
  <si>
    <t>Zürcher Kurt, Eggiwil</t>
  </si>
  <si>
    <t>EM-BE 9 d    MI-BE 3 g</t>
  </si>
  <si>
    <t>Zwahlen Oliver, Sangernboden</t>
  </si>
  <si>
    <t>VD-KT 8 -</t>
  </si>
  <si>
    <t>Zwyssig Raphael, Gais</t>
  </si>
  <si>
    <t>AP-KT 2 b    GL-KT 3 f    NO 6 h    SE-BE 7 j    TG-KT 5 e</t>
  </si>
  <si>
    <t>Legende Schwingenfest</t>
  </si>
  <si>
    <t>AG-KT</t>
  </si>
  <si>
    <t>Aargauer Kantonalschwingfest</t>
  </si>
  <si>
    <t>AP-KT</t>
  </si>
  <si>
    <t>Appenzeller Kantonalschwingfest</t>
  </si>
  <si>
    <t>BL-KT</t>
  </si>
  <si>
    <t>Basellandschaftliches Kantonalschwingfest</t>
  </si>
  <si>
    <t>BS-KT</t>
  </si>
  <si>
    <t>Baselstädtisches Kantonalschwingfest</t>
  </si>
  <si>
    <t>Brüni</t>
  </si>
  <si>
    <t>Bergschwinget Brünig</t>
  </si>
  <si>
    <t>Rigi</t>
  </si>
  <si>
    <t>Bergschwinget Rigi</t>
  </si>
  <si>
    <t>Säntis</t>
  </si>
  <si>
    <t>Bergschwinget Schwägalp</t>
  </si>
  <si>
    <t>Schwa</t>
  </si>
  <si>
    <t>Bergschwinget Schwarzsee</t>
  </si>
  <si>
    <t>Stoos</t>
  </si>
  <si>
    <t>Bergschwinget Stoos</t>
  </si>
  <si>
    <t>Weiss</t>
  </si>
  <si>
    <t>Bergschwinget Weissenstein</t>
  </si>
  <si>
    <t>BE</t>
  </si>
  <si>
    <t>Bernisch-kantonales Schwingfest</t>
  </si>
  <si>
    <t>GR-KT</t>
  </si>
  <si>
    <t>Bündner-Glarner Kantonalschwingfest</t>
  </si>
  <si>
    <t>E</t>
  </si>
  <si>
    <t>Eidgenössisches Schwingfest</t>
  </si>
  <si>
    <t>EM-BE</t>
  </si>
  <si>
    <t>Emmentalisches Schwingfest</t>
  </si>
  <si>
    <t>FR-KT</t>
  </si>
  <si>
    <t>Féte Cantonale Fribourg</t>
  </si>
  <si>
    <t>GE-KT</t>
  </si>
  <si>
    <t>Féte Cantonale Genevoise</t>
  </si>
  <si>
    <t>NE-KT</t>
  </si>
  <si>
    <t>Féte Cantonale Neuchâteloise</t>
  </si>
  <si>
    <t>VS-KT</t>
  </si>
  <si>
    <t>Féte Cantonale Valaisanne</t>
  </si>
  <si>
    <t>VD-KT</t>
  </si>
  <si>
    <t>Féte Cantonale Vaudoise</t>
  </si>
  <si>
    <t>GL-KT</t>
  </si>
  <si>
    <t>Glarner-Bündner Kantonalschwingfest</t>
  </si>
  <si>
    <t>IS</t>
  </si>
  <si>
    <t>Innerschweizerisches Schwingfest</t>
  </si>
  <si>
    <t>JU-BE</t>
  </si>
  <si>
    <t>Jurassisches Schwingfest</t>
  </si>
  <si>
    <t>LU-KT</t>
  </si>
  <si>
    <t>Luzerner Kantonalschwingfest</t>
  </si>
  <si>
    <t>MI-BE</t>
  </si>
  <si>
    <t>Mittelländisches Schwingfest</t>
  </si>
  <si>
    <t>NO</t>
  </si>
  <si>
    <t>Nordostschweizer Schwingfest</t>
  </si>
  <si>
    <t>NW</t>
  </si>
  <si>
    <t>Nordwestschweizerisches Schwingfest</t>
  </si>
  <si>
    <t>ON-KT</t>
  </si>
  <si>
    <t>Ob- und Nidwaldner Kantonalschwingfest</t>
  </si>
  <si>
    <t>OA-BE</t>
  </si>
  <si>
    <t>Oberaargauisches Schwingfest</t>
  </si>
  <si>
    <t>OB-BE</t>
  </si>
  <si>
    <t>Oberländisches Schwingfest</t>
  </si>
  <si>
    <t>SH-KT</t>
  </si>
  <si>
    <t>Schaffhauser Kantonalschwingfest</t>
  </si>
  <si>
    <t>SZ-KT</t>
  </si>
  <si>
    <t>Schwyzer Kantonalschwingfest</t>
  </si>
  <si>
    <t>SE-BE</t>
  </si>
  <si>
    <t>Seeländisches Schwingfest</t>
  </si>
  <si>
    <t>SO-KT</t>
  </si>
  <si>
    <t>Solothurner Kantonalschwingfest</t>
  </si>
  <si>
    <t>SG-KT</t>
  </si>
  <si>
    <t>St. Galler Kantonalschwingfest</t>
  </si>
  <si>
    <t>SW</t>
  </si>
  <si>
    <t>Südwestschweizerisches Schwingfest</t>
  </si>
  <si>
    <t>TG-KT</t>
  </si>
  <si>
    <t>Thurgauer Kantonalschwingfest</t>
  </si>
  <si>
    <t>UR-KT</t>
  </si>
  <si>
    <t>Urner Kantonalschwingfest</t>
  </si>
  <si>
    <t>ZG-KT</t>
  </si>
  <si>
    <t>Zuger Kantonalschwingfest</t>
  </si>
  <si>
    <t>ZH-KT</t>
  </si>
  <si>
    <t>Zürcher Kantonalschwingfest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</si>
</sst>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5"/>
  <sheetViews>
    <sheetView tabSelected="1" workbookViewId="0" showGridLines="true" showRowColHeaders="1">
      <selection activeCell="I356" sqref="I356"/>
    </sheetView>
  </sheetViews>
  <sheetFormatPr defaultRowHeight="14.4" outlineLevelRow="0" outlineLevelCol="0"/>
  <cols>
    <col min="1" max="1" width="25" customWidth="true" style="0"/>
    <col min="2" max="2" width="6" customWidth="true" style="0"/>
    <col min="3" max="3" width="13" customWidth="true" style="0"/>
    <col min="4" max="4" width="6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1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/>
      <c r="F1"/>
      <c r="G1"/>
      <c r="H1"/>
      <c r="K1" s="1" t="s">
        <v>4</v>
      </c>
    </row>
    <row r="2" spans="1:11">
      <c r="D2" s="2" t="s">
        <v>5</v>
      </c>
      <c r="E2" s="2" t="s">
        <v>6</v>
      </c>
      <c r="F2" s="2" t="s">
        <v>1</v>
      </c>
      <c r="G2" s="2" t="s">
        <v>7</v>
      </c>
      <c r="H2" s="2" t="s">
        <v>2</v>
      </c>
      <c r="I2" s="2">
        <v>2012</v>
      </c>
    </row>
    <row r="3" spans="1:11">
      <c r="A3" t="s">
        <v>8</v>
      </c>
      <c r="B3" t="s">
        <v>9</v>
      </c>
      <c r="C3" t="s">
        <v>10</v>
      </c>
      <c r="D3">
        <f>SUM(E3:H3)</f>
        <v>34</v>
      </c>
      <c r="E3">
        <v>0</v>
      </c>
      <c r="F3">
        <v>4</v>
      </c>
      <c r="G3">
        <v>2</v>
      </c>
      <c r="H3">
        <v>28</v>
      </c>
      <c r="I3">
        <v>4</v>
      </c>
      <c r="K3" t="s">
        <v>11</v>
      </c>
    </row>
    <row r="4" spans="1:11">
      <c r="A4" t="s">
        <v>12</v>
      </c>
      <c r="B4" t="s">
        <v>9</v>
      </c>
      <c r="C4" t="s">
        <v>13</v>
      </c>
      <c r="D4">
        <f>SUM(E4:H4)</f>
        <v>1</v>
      </c>
      <c r="E4">
        <v>0</v>
      </c>
      <c r="F4">
        <v>0</v>
      </c>
      <c r="G4">
        <v>0</v>
      </c>
      <c r="H4">
        <v>1</v>
      </c>
      <c r="I4">
        <v>1</v>
      </c>
      <c r="K4" t="s">
        <v>14</v>
      </c>
    </row>
    <row r="5" spans="1:11">
      <c r="A5" t="s">
        <v>15</v>
      </c>
      <c r="B5" t="s">
        <v>16</v>
      </c>
      <c r="C5" t="s">
        <v>17</v>
      </c>
      <c r="D5">
        <f>SUM(E5:H5)</f>
        <v>4</v>
      </c>
      <c r="E5">
        <v>0</v>
      </c>
      <c r="F5">
        <v>0</v>
      </c>
      <c r="G5">
        <v>0</v>
      </c>
      <c r="H5">
        <v>4</v>
      </c>
      <c r="I5">
        <v>3</v>
      </c>
      <c r="K5" t="s">
        <v>18</v>
      </c>
    </row>
    <row r="6" spans="1:11">
      <c r="A6" t="s">
        <v>19</v>
      </c>
      <c r="B6" t="s">
        <v>16</v>
      </c>
      <c r="C6" t="s">
        <v>20</v>
      </c>
      <c r="D6">
        <f>SUM(E6:H6)</f>
        <v>57</v>
      </c>
      <c r="E6">
        <v>1</v>
      </c>
      <c r="F6">
        <v>10</v>
      </c>
      <c r="G6">
        <v>14</v>
      </c>
      <c r="H6">
        <v>32</v>
      </c>
      <c r="I6">
        <v>9</v>
      </c>
      <c r="K6" t="s">
        <v>21</v>
      </c>
    </row>
    <row r="7" spans="1:11">
      <c r="A7" t="s">
        <v>22</v>
      </c>
      <c r="B7" t="s">
        <v>23</v>
      </c>
      <c r="C7" t="s">
        <v>24</v>
      </c>
      <c r="D7">
        <f>SUM(E7:H7)</f>
        <v>7</v>
      </c>
      <c r="E7">
        <v>0</v>
      </c>
      <c r="F7">
        <v>0</v>
      </c>
      <c r="G7">
        <v>0</v>
      </c>
      <c r="H7">
        <v>7</v>
      </c>
      <c r="I7">
        <v>1</v>
      </c>
      <c r="K7" t="s">
        <v>25</v>
      </c>
    </row>
    <row r="8" spans="1:11">
      <c r="A8" t="s">
        <v>26</v>
      </c>
      <c r="B8" t="s">
        <v>23</v>
      </c>
      <c r="C8" t="s">
        <v>24</v>
      </c>
      <c r="D8">
        <f>SUM(E8:H8)</f>
        <v>2</v>
      </c>
      <c r="E8">
        <v>0</v>
      </c>
      <c r="F8">
        <v>0</v>
      </c>
      <c r="G8">
        <v>0</v>
      </c>
      <c r="H8">
        <v>2</v>
      </c>
      <c r="I8">
        <v>1</v>
      </c>
      <c r="K8" t="s">
        <v>27</v>
      </c>
    </row>
    <row r="9" spans="1:11">
      <c r="A9" t="s">
        <v>28</v>
      </c>
      <c r="B9" t="s">
        <v>23</v>
      </c>
      <c r="C9" t="s">
        <v>29</v>
      </c>
      <c r="D9">
        <f>SUM(E9:H9)</f>
        <v>9</v>
      </c>
      <c r="E9">
        <v>0</v>
      </c>
      <c r="F9">
        <v>1</v>
      </c>
      <c r="G9">
        <v>0</v>
      </c>
      <c r="H9">
        <v>8</v>
      </c>
      <c r="I9">
        <v>1</v>
      </c>
      <c r="K9" t="s">
        <v>30</v>
      </c>
    </row>
    <row r="10" spans="1:11">
      <c r="A10" t="s">
        <v>31</v>
      </c>
      <c r="B10" t="s">
        <v>23</v>
      </c>
      <c r="C10" t="s">
        <v>32</v>
      </c>
      <c r="D10">
        <f>SUM(E10:H10)</f>
        <v>65</v>
      </c>
      <c r="E10">
        <v>3</v>
      </c>
      <c r="F10">
        <v>14</v>
      </c>
      <c r="G10">
        <v>23</v>
      </c>
      <c r="H10">
        <v>25</v>
      </c>
      <c r="I10">
        <v>3</v>
      </c>
      <c r="K10" t="s">
        <v>33</v>
      </c>
    </row>
    <row r="11" spans="1:11">
      <c r="A11" t="s">
        <v>34</v>
      </c>
      <c r="B11" t="s">
        <v>9</v>
      </c>
      <c r="C11" t="s">
        <v>10</v>
      </c>
      <c r="D11">
        <f>SUM(E11:H11)</f>
        <v>1</v>
      </c>
      <c r="E11">
        <v>0</v>
      </c>
      <c r="F11">
        <v>0</v>
      </c>
      <c r="G11">
        <v>0</v>
      </c>
      <c r="H11">
        <v>1</v>
      </c>
      <c r="I11">
        <v>1</v>
      </c>
      <c r="K11" t="s">
        <v>35</v>
      </c>
    </row>
    <row r="12" spans="1:11">
      <c r="A12" t="s">
        <v>36</v>
      </c>
      <c r="B12" t="s">
        <v>9</v>
      </c>
      <c r="C12" t="s">
        <v>10</v>
      </c>
      <c r="D12">
        <f>SUM(E12:H12)</f>
        <v>1</v>
      </c>
      <c r="E12">
        <v>0</v>
      </c>
      <c r="F12">
        <v>0</v>
      </c>
      <c r="G12">
        <v>0</v>
      </c>
      <c r="H12">
        <v>1</v>
      </c>
      <c r="I12">
        <v>1</v>
      </c>
      <c r="K12" t="s">
        <v>37</v>
      </c>
    </row>
    <row r="13" spans="1:11">
      <c r="A13" t="s">
        <v>38</v>
      </c>
      <c r="B13" t="s">
        <v>23</v>
      </c>
      <c r="C13" t="s">
        <v>32</v>
      </c>
      <c r="D13">
        <f>SUM(E13:H13)</f>
        <v>1</v>
      </c>
      <c r="E13">
        <v>0</v>
      </c>
      <c r="F13">
        <v>0</v>
      </c>
      <c r="G13">
        <v>0</v>
      </c>
      <c r="H13">
        <v>1</v>
      </c>
      <c r="I13">
        <v>1</v>
      </c>
      <c r="K13" t="s">
        <v>39</v>
      </c>
    </row>
    <row r="14" spans="1:11">
      <c r="A14" t="s">
        <v>40</v>
      </c>
      <c r="B14" t="s">
        <v>41</v>
      </c>
      <c r="C14" t="s">
        <v>42</v>
      </c>
      <c r="D14">
        <f>SUM(E14:H14)</f>
        <v>8</v>
      </c>
      <c r="E14">
        <v>0</v>
      </c>
      <c r="F14">
        <v>0</v>
      </c>
      <c r="G14">
        <v>0</v>
      </c>
      <c r="H14">
        <v>8</v>
      </c>
      <c r="I14">
        <v>1</v>
      </c>
      <c r="K14" t="s">
        <v>43</v>
      </c>
    </row>
    <row r="15" spans="1:11">
      <c r="A15" t="s">
        <v>44</v>
      </c>
      <c r="B15" t="s">
        <v>23</v>
      </c>
      <c r="C15" t="s">
        <v>32</v>
      </c>
      <c r="D15">
        <f>SUM(E15:H15)</f>
        <v>46</v>
      </c>
      <c r="E15">
        <v>2</v>
      </c>
      <c r="F15">
        <v>10</v>
      </c>
      <c r="G15">
        <v>7</v>
      </c>
      <c r="H15">
        <v>27</v>
      </c>
      <c r="I15">
        <v>5</v>
      </c>
      <c r="K15" t="s">
        <v>45</v>
      </c>
    </row>
    <row r="16" spans="1:11">
      <c r="A16" t="s">
        <v>46</v>
      </c>
      <c r="B16" t="s">
        <v>23</v>
      </c>
      <c r="C16" t="s">
        <v>47</v>
      </c>
      <c r="D16">
        <f>SUM(E16:H16)</f>
        <v>1</v>
      </c>
      <c r="E16">
        <v>0</v>
      </c>
      <c r="F16">
        <v>0</v>
      </c>
      <c r="G16">
        <v>0</v>
      </c>
      <c r="H16">
        <v>1</v>
      </c>
      <c r="I16">
        <v>1</v>
      </c>
      <c r="K16" t="s">
        <v>48</v>
      </c>
    </row>
    <row r="17" spans="1:11">
      <c r="A17" t="s">
        <v>49</v>
      </c>
      <c r="B17" t="s">
        <v>50</v>
      </c>
      <c r="C17" t="s">
        <v>51</v>
      </c>
      <c r="D17">
        <f>SUM(E17:H17)</f>
        <v>1</v>
      </c>
      <c r="E17">
        <v>0</v>
      </c>
      <c r="F17">
        <v>0</v>
      </c>
      <c r="G17">
        <v>0</v>
      </c>
      <c r="H17">
        <v>1</v>
      </c>
      <c r="I17">
        <v>1</v>
      </c>
      <c r="K17" t="s">
        <v>52</v>
      </c>
    </row>
    <row r="18" spans="1:11">
      <c r="A18" t="s">
        <v>53</v>
      </c>
      <c r="B18" t="s">
        <v>9</v>
      </c>
      <c r="C18" t="s">
        <v>54</v>
      </c>
      <c r="D18">
        <f>SUM(E18:H18)</f>
        <v>3</v>
      </c>
      <c r="E18">
        <v>0</v>
      </c>
      <c r="F18">
        <v>0</v>
      </c>
      <c r="G18">
        <v>0</v>
      </c>
      <c r="H18">
        <v>3</v>
      </c>
      <c r="I18">
        <v>1</v>
      </c>
      <c r="K18" t="s">
        <v>55</v>
      </c>
    </row>
    <row r="19" spans="1:11">
      <c r="A19" t="s">
        <v>56</v>
      </c>
      <c r="B19" t="s">
        <v>9</v>
      </c>
      <c r="C19" t="s">
        <v>54</v>
      </c>
      <c r="D19">
        <f>SUM(E19:H19)</f>
        <v>17</v>
      </c>
      <c r="E19">
        <v>0</v>
      </c>
      <c r="F19">
        <v>1</v>
      </c>
      <c r="G19">
        <v>1</v>
      </c>
      <c r="H19">
        <v>15</v>
      </c>
      <c r="I19">
        <v>1</v>
      </c>
      <c r="K19" t="s">
        <v>57</v>
      </c>
    </row>
    <row r="20" spans="1:11">
      <c r="A20" t="s">
        <v>58</v>
      </c>
      <c r="B20" t="s">
        <v>9</v>
      </c>
      <c r="C20" t="s">
        <v>59</v>
      </c>
      <c r="D20">
        <f>SUM(E20:H20)</f>
        <v>14</v>
      </c>
      <c r="E20">
        <v>0</v>
      </c>
      <c r="F20">
        <v>0</v>
      </c>
      <c r="G20">
        <v>0</v>
      </c>
      <c r="H20">
        <v>14</v>
      </c>
      <c r="I20">
        <v>2</v>
      </c>
      <c r="K20" t="s">
        <v>60</v>
      </c>
    </row>
    <row r="21" spans="1:11">
      <c r="A21" t="s">
        <v>61</v>
      </c>
      <c r="B21" t="s">
        <v>23</v>
      </c>
      <c r="C21" t="s">
        <v>32</v>
      </c>
      <c r="D21">
        <f>SUM(E21:H21)</f>
        <v>5</v>
      </c>
      <c r="E21">
        <v>0</v>
      </c>
      <c r="F21">
        <v>1</v>
      </c>
      <c r="G21">
        <v>0</v>
      </c>
      <c r="H21">
        <v>4</v>
      </c>
      <c r="I21">
        <v>1</v>
      </c>
      <c r="K21" t="s">
        <v>62</v>
      </c>
    </row>
    <row r="22" spans="1:11">
      <c r="A22" t="s">
        <v>63</v>
      </c>
      <c r="B22" t="s">
        <v>50</v>
      </c>
      <c r="C22" t="s">
        <v>51</v>
      </c>
      <c r="D22">
        <f>SUM(E22:H22)</f>
        <v>4</v>
      </c>
      <c r="E22">
        <v>0</v>
      </c>
      <c r="F22">
        <v>0</v>
      </c>
      <c r="G22">
        <v>0</v>
      </c>
      <c r="H22">
        <v>4</v>
      </c>
      <c r="I22">
        <v>2</v>
      </c>
      <c r="K22" t="s">
        <v>64</v>
      </c>
    </row>
    <row r="23" spans="1:11">
      <c r="A23" t="s">
        <v>65</v>
      </c>
      <c r="B23" t="s">
        <v>9</v>
      </c>
      <c r="C23" t="s">
        <v>13</v>
      </c>
      <c r="D23">
        <f>SUM(E23:H23)</f>
        <v>1</v>
      </c>
      <c r="E23">
        <v>0</v>
      </c>
      <c r="F23">
        <v>0</v>
      </c>
      <c r="G23">
        <v>0</v>
      </c>
      <c r="H23">
        <v>1</v>
      </c>
      <c r="I23">
        <v>1</v>
      </c>
      <c r="K23" t="s">
        <v>66</v>
      </c>
    </row>
    <row r="24" spans="1:11">
      <c r="A24" t="s">
        <v>67</v>
      </c>
      <c r="B24" t="s">
        <v>23</v>
      </c>
      <c r="C24" t="s">
        <v>24</v>
      </c>
      <c r="D24">
        <f>SUM(E24:H24)</f>
        <v>16</v>
      </c>
      <c r="E24">
        <v>0</v>
      </c>
      <c r="F24">
        <v>2</v>
      </c>
      <c r="G24">
        <v>0</v>
      </c>
      <c r="H24">
        <v>14</v>
      </c>
      <c r="I24">
        <v>2</v>
      </c>
      <c r="K24" t="s">
        <v>68</v>
      </c>
    </row>
    <row r="25" spans="1:11">
      <c r="A25" t="s">
        <v>69</v>
      </c>
      <c r="B25" t="s">
        <v>23</v>
      </c>
      <c r="C25" t="s">
        <v>24</v>
      </c>
      <c r="D25">
        <f>SUM(E25:H25)</f>
        <v>5</v>
      </c>
      <c r="E25">
        <v>0</v>
      </c>
      <c r="F25">
        <v>1</v>
      </c>
      <c r="G25">
        <v>0</v>
      </c>
      <c r="H25">
        <v>4</v>
      </c>
      <c r="I25">
        <v>2</v>
      </c>
      <c r="K25" t="s">
        <v>70</v>
      </c>
    </row>
    <row r="26" spans="1:11">
      <c r="A26" t="s">
        <v>71</v>
      </c>
      <c r="B26" t="s">
        <v>23</v>
      </c>
      <c r="C26" t="s">
        <v>72</v>
      </c>
      <c r="D26">
        <f>SUM(E26:H26)</f>
        <v>19</v>
      </c>
      <c r="E26">
        <v>0</v>
      </c>
      <c r="F26">
        <v>6</v>
      </c>
      <c r="G26">
        <v>2</v>
      </c>
      <c r="H26">
        <v>11</v>
      </c>
      <c r="I26">
        <v>7</v>
      </c>
      <c r="K26" t="s">
        <v>73</v>
      </c>
    </row>
    <row r="27" spans="1:11">
      <c r="A27" t="s">
        <v>74</v>
      </c>
      <c r="B27" t="s">
        <v>9</v>
      </c>
      <c r="C27" t="s">
        <v>13</v>
      </c>
      <c r="D27">
        <f>SUM(E27:H27)</f>
        <v>1</v>
      </c>
      <c r="E27">
        <v>0</v>
      </c>
      <c r="F27">
        <v>0</v>
      </c>
      <c r="G27">
        <v>0</v>
      </c>
      <c r="H27">
        <v>1</v>
      </c>
      <c r="I27">
        <v>1</v>
      </c>
      <c r="K27" t="s">
        <v>75</v>
      </c>
    </row>
    <row r="28" spans="1:11">
      <c r="A28" t="s">
        <v>76</v>
      </c>
      <c r="B28" t="s">
        <v>41</v>
      </c>
      <c r="C28" t="s">
        <v>77</v>
      </c>
      <c r="D28">
        <f>SUM(E28:H28)</f>
        <v>59</v>
      </c>
      <c r="E28">
        <v>2</v>
      </c>
      <c r="F28">
        <v>12</v>
      </c>
      <c r="G28">
        <v>10</v>
      </c>
      <c r="H28">
        <v>35</v>
      </c>
      <c r="I28">
        <v>7</v>
      </c>
      <c r="K28" t="s">
        <v>78</v>
      </c>
    </row>
    <row r="29" spans="1:11">
      <c r="A29" t="s">
        <v>79</v>
      </c>
      <c r="B29" t="s">
        <v>23</v>
      </c>
      <c r="C29" t="s">
        <v>24</v>
      </c>
      <c r="D29">
        <f>SUM(E29:H29)</f>
        <v>1</v>
      </c>
      <c r="E29">
        <v>0</v>
      </c>
      <c r="F29">
        <v>0</v>
      </c>
      <c r="G29">
        <v>0</v>
      </c>
      <c r="H29">
        <v>1</v>
      </c>
      <c r="I29">
        <v>1</v>
      </c>
      <c r="K29" t="s">
        <v>80</v>
      </c>
    </row>
    <row r="30" spans="1:11">
      <c r="A30" t="s">
        <v>81</v>
      </c>
      <c r="B30" t="s">
        <v>41</v>
      </c>
      <c r="C30" t="s">
        <v>42</v>
      </c>
      <c r="D30">
        <f>SUM(E30:H30)</f>
        <v>6</v>
      </c>
      <c r="E30">
        <v>0</v>
      </c>
      <c r="F30">
        <v>0</v>
      </c>
      <c r="G30">
        <v>0</v>
      </c>
      <c r="H30">
        <v>6</v>
      </c>
      <c r="I30">
        <v>2</v>
      </c>
      <c r="K30" t="s">
        <v>82</v>
      </c>
    </row>
    <row r="31" spans="1:11">
      <c r="A31" t="s">
        <v>83</v>
      </c>
      <c r="B31" t="s">
        <v>16</v>
      </c>
      <c r="C31" t="s">
        <v>20</v>
      </c>
      <c r="D31">
        <f>SUM(E31:H31)</f>
        <v>9</v>
      </c>
      <c r="E31">
        <v>0</v>
      </c>
      <c r="F31">
        <v>0</v>
      </c>
      <c r="G31">
        <v>0</v>
      </c>
      <c r="H31">
        <v>9</v>
      </c>
      <c r="I31">
        <v>3</v>
      </c>
      <c r="K31" t="s">
        <v>84</v>
      </c>
    </row>
    <row r="32" spans="1:11">
      <c r="A32" t="s">
        <v>85</v>
      </c>
      <c r="B32" t="s">
        <v>9</v>
      </c>
      <c r="C32" t="s">
        <v>86</v>
      </c>
      <c r="D32">
        <f>SUM(E32:H32)</f>
        <v>45</v>
      </c>
      <c r="E32">
        <v>1</v>
      </c>
      <c r="F32">
        <v>7</v>
      </c>
      <c r="G32">
        <v>8</v>
      </c>
      <c r="H32">
        <v>29</v>
      </c>
      <c r="I32">
        <v>7</v>
      </c>
      <c r="K32" t="s">
        <v>87</v>
      </c>
    </row>
    <row r="33" spans="1:11">
      <c r="A33" t="s">
        <v>88</v>
      </c>
      <c r="B33" t="s">
        <v>16</v>
      </c>
      <c r="C33" t="s">
        <v>89</v>
      </c>
      <c r="D33">
        <f>SUM(E33:H33)</f>
        <v>15</v>
      </c>
      <c r="E33">
        <v>0</v>
      </c>
      <c r="F33">
        <v>1</v>
      </c>
      <c r="G33">
        <v>1</v>
      </c>
      <c r="H33">
        <v>13</v>
      </c>
      <c r="I33">
        <v>3</v>
      </c>
      <c r="K33" t="s">
        <v>90</v>
      </c>
    </row>
    <row r="34" spans="1:11">
      <c r="A34" t="s">
        <v>91</v>
      </c>
      <c r="B34" t="s">
        <v>16</v>
      </c>
      <c r="C34" t="s">
        <v>92</v>
      </c>
      <c r="D34">
        <f>SUM(E34:H34)</f>
        <v>23</v>
      </c>
      <c r="E34">
        <v>0</v>
      </c>
      <c r="F34">
        <v>2</v>
      </c>
      <c r="G34">
        <v>1</v>
      </c>
      <c r="H34">
        <v>20</v>
      </c>
      <c r="I34">
        <v>4</v>
      </c>
      <c r="K34" t="s">
        <v>93</v>
      </c>
    </row>
    <row r="35" spans="1:11">
      <c r="A35" t="s">
        <v>94</v>
      </c>
      <c r="B35" t="s">
        <v>50</v>
      </c>
      <c r="C35" t="s">
        <v>51</v>
      </c>
      <c r="D35">
        <f>SUM(E35:H35)</f>
        <v>1</v>
      </c>
      <c r="E35">
        <v>0</v>
      </c>
      <c r="F35">
        <v>0</v>
      </c>
      <c r="G35">
        <v>0</v>
      </c>
      <c r="H35">
        <v>1</v>
      </c>
      <c r="I35">
        <v>1</v>
      </c>
      <c r="K35" t="s">
        <v>95</v>
      </c>
    </row>
    <row r="36" spans="1:11">
      <c r="A36" t="s">
        <v>96</v>
      </c>
      <c r="B36" t="s">
        <v>41</v>
      </c>
      <c r="C36" t="s">
        <v>42</v>
      </c>
      <c r="D36">
        <f>SUM(E36:H36)</f>
        <v>1</v>
      </c>
      <c r="E36">
        <v>0</v>
      </c>
      <c r="F36">
        <v>0</v>
      </c>
      <c r="G36">
        <v>0</v>
      </c>
      <c r="H36">
        <v>1</v>
      </c>
      <c r="I36">
        <v>1</v>
      </c>
      <c r="K36" t="s">
        <v>97</v>
      </c>
    </row>
    <row r="37" spans="1:11">
      <c r="A37" t="s">
        <v>98</v>
      </c>
      <c r="B37" t="s">
        <v>9</v>
      </c>
      <c r="C37" t="s">
        <v>10</v>
      </c>
      <c r="D37">
        <f>SUM(E37:H37)</f>
        <v>54</v>
      </c>
      <c r="E37">
        <v>1</v>
      </c>
      <c r="F37">
        <v>13</v>
      </c>
      <c r="G37">
        <v>13</v>
      </c>
      <c r="H37">
        <v>27</v>
      </c>
      <c r="I37">
        <v>9</v>
      </c>
      <c r="K37" t="s">
        <v>99</v>
      </c>
    </row>
    <row r="38" spans="1:11">
      <c r="A38" t="s">
        <v>100</v>
      </c>
      <c r="B38" t="s">
        <v>41</v>
      </c>
      <c r="C38" t="s">
        <v>101</v>
      </c>
      <c r="D38">
        <f>SUM(E38:H38)</f>
        <v>1</v>
      </c>
      <c r="E38">
        <v>0</v>
      </c>
      <c r="F38">
        <v>0</v>
      </c>
      <c r="G38">
        <v>0</v>
      </c>
      <c r="H38">
        <v>1</v>
      </c>
      <c r="I38">
        <v>1</v>
      </c>
      <c r="K38" t="s">
        <v>102</v>
      </c>
    </row>
    <row r="39" spans="1:11">
      <c r="A39" t="s">
        <v>103</v>
      </c>
      <c r="B39" t="s">
        <v>50</v>
      </c>
      <c r="C39" t="s">
        <v>51</v>
      </c>
      <c r="D39">
        <f>SUM(E39:H39)</f>
        <v>4</v>
      </c>
      <c r="E39">
        <v>0</v>
      </c>
      <c r="F39">
        <v>0</v>
      </c>
      <c r="G39">
        <v>0</v>
      </c>
      <c r="H39">
        <v>4</v>
      </c>
      <c r="I39">
        <v>1</v>
      </c>
      <c r="K39" t="s">
        <v>104</v>
      </c>
    </row>
    <row r="40" spans="1:11">
      <c r="A40" t="s">
        <v>105</v>
      </c>
      <c r="B40" t="s">
        <v>50</v>
      </c>
      <c r="C40" t="s">
        <v>51</v>
      </c>
      <c r="D40">
        <f>SUM(E40:H40)</f>
        <v>15</v>
      </c>
      <c r="E40">
        <v>0</v>
      </c>
      <c r="F40">
        <v>3</v>
      </c>
      <c r="G40">
        <v>0</v>
      </c>
      <c r="H40">
        <v>12</v>
      </c>
      <c r="I40">
        <v>4</v>
      </c>
      <c r="K40" t="s">
        <v>106</v>
      </c>
    </row>
    <row r="41" spans="1:11">
      <c r="A41" t="s">
        <v>107</v>
      </c>
      <c r="B41" t="s">
        <v>23</v>
      </c>
      <c r="C41" t="s">
        <v>47</v>
      </c>
      <c r="D41">
        <f>SUM(E41:H41)</f>
        <v>27</v>
      </c>
      <c r="E41">
        <v>0</v>
      </c>
      <c r="F41">
        <v>3</v>
      </c>
      <c r="G41">
        <v>2</v>
      </c>
      <c r="H41">
        <v>22</v>
      </c>
      <c r="I41">
        <v>2</v>
      </c>
      <c r="K41" t="s">
        <v>108</v>
      </c>
    </row>
    <row r="42" spans="1:11">
      <c r="A42" t="s">
        <v>109</v>
      </c>
      <c r="B42" t="s">
        <v>50</v>
      </c>
      <c r="C42" t="s">
        <v>51</v>
      </c>
      <c r="D42">
        <f>SUM(E42:H42)</f>
        <v>3</v>
      </c>
      <c r="E42">
        <v>0</v>
      </c>
      <c r="F42">
        <v>1</v>
      </c>
      <c r="G42">
        <v>0</v>
      </c>
      <c r="H42">
        <v>2</v>
      </c>
      <c r="I42">
        <v>3</v>
      </c>
      <c r="K42" t="s">
        <v>110</v>
      </c>
    </row>
    <row r="43" spans="1:11">
      <c r="A43" t="s">
        <v>111</v>
      </c>
      <c r="B43" t="s">
        <v>50</v>
      </c>
      <c r="C43" t="s">
        <v>51</v>
      </c>
      <c r="D43">
        <f>SUM(E43:H43)</f>
        <v>6</v>
      </c>
      <c r="E43">
        <v>0</v>
      </c>
      <c r="F43">
        <v>2</v>
      </c>
      <c r="G43">
        <v>0</v>
      </c>
      <c r="H43">
        <v>4</v>
      </c>
      <c r="I43">
        <v>2</v>
      </c>
      <c r="K43" t="s">
        <v>112</v>
      </c>
    </row>
    <row r="44" spans="1:11">
      <c r="A44" t="s">
        <v>113</v>
      </c>
      <c r="B44" t="s">
        <v>9</v>
      </c>
      <c r="C44" t="s">
        <v>54</v>
      </c>
      <c r="D44">
        <f>SUM(E44:H44)</f>
        <v>1</v>
      </c>
      <c r="E44">
        <v>0</v>
      </c>
      <c r="F44">
        <v>0</v>
      </c>
      <c r="G44">
        <v>0</v>
      </c>
      <c r="H44">
        <v>1</v>
      </c>
      <c r="I44">
        <v>1</v>
      </c>
      <c r="K44" t="s">
        <v>114</v>
      </c>
    </row>
    <row r="45" spans="1:11">
      <c r="A45" t="s">
        <v>115</v>
      </c>
      <c r="B45" t="s">
        <v>23</v>
      </c>
      <c r="C45" t="s">
        <v>32</v>
      </c>
      <c r="D45">
        <f>SUM(E45:H45)</f>
        <v>2</v>
      </c>
      <c r="E45">
        <v>0</v>
      </c>
      <c r="F45">
        <v>0</v>
      </c>
      <c r="G45">
        <v>0</v>
      </c>
      <c r="H45">
        <v>2</v>
      </c>
      <c r="I45">
        <v>1</v>
      </c>
      <c r="K45" t="s">
        <v>116</v>
      </c>
    </row>
    <row r="46" spans="1:11">
      <c r="A46" t="s">
        <v>117</v>
      </c>
      <c r="B46" t="s">
        <v>9</v>
      </c>
      <c r="C46" t="s">
        <v>118</v>
      </c>
      <c r="D46">
        <f>SUM(E46:H46)</f>
        <v>9</v>
      </c>
      <c r="E46">
        <v>0</v>
      </c>
      <c r="F46">
        <v>1</v>
      </c>
      <c r="G46">
        <v>0</v>
      </c>
      <c r="H46">
        <v>8</v>
      </c>
      <c r="I46">
        <v>2</v>
      </c>
      <c r="K46" t="s">
        <v>119</v>
      </c>
    </row>
    <row r="47" spans="1:11">
      <c r="A47" t="s">
        <v>120</v>
      </c>
      <c r="B47" t="s">
        <v>9</v>
      </c>
      <c r="C47" t="s">
        <v>118</v>
      </c>
      <c r="D47">
        <f>SUM(E47:H47)</f>
        <v>3</v>
      </c>
      <c r="E47">
        <v>0</v>
      </c>
      <c r="F47">
        <v>0</v>
      </c>
      <c r="G47">
        <v>0</v>
      </c>
      <c r="H47">
        <v>3</v>
      </c>
      <c r="I47">
        <v>1</v>
      </c>
      <c r="K47" t="s">
        <v>121</v>
      </c>
    </row>
    <row r="48" spans="1:11">
      <c r="A48" t="s">
        <v>122</v>
      </c>
      <c r="B48" t="s">
        <v>9</v>
      </c>
      <c r="C48" t="s">
        <v>10</v>
      </c>
      <c r="D48">
        <f>SUM(E48:H48)</f>
        <v>47</v>
      </c>
      <c r="E48">
        <v>0</v>
      </c>
      <c r="F48">
        <v>6</v>
      </c>
      <c r="G48">
        <v>4</v>
      </c>
      <c r="H48">
        <v>37</v>
      </c>
      <c r="I48">
        <v>2</v>
      </c>
      <c r="K48" t="s">
        <v>123</v>
      </c>
    </row>
    <row r="49" spans="1:11">
      <c r="A49" t="s">
        <v>124</v>
      </c>
      <c r="B49" t="s">
        <v>9</v>
      </c>
      <c r="C49" t="s">
        <v>118</v>
      </c>
      <c r="D49">
        <f>SUM(E49:H49)</f>
        <v>78</v>
      </c>
      <c r="E49">
        <v>2</v>
      </c>
      <c r="F49">
        <v>19</v>
      </c>
      <c r="G49">
        <v>12</v>
      </c>
      <c r="H49">
        <v>45</v>
      </c>
      <c r="I49">
        <v>1</v>
      </c>
      <c r="K49" t="s">
        <v>125</v>
      </c>
    </row>
    <row r="50" spans="1:11">
      <c r="A50" t="s">
        <v>126</v>
      </c>
      <c r="B50" t="s">
        <v>9</v>
      </c>
      <c r="C50" t="s">
        <v>10</v>
      </c>
      <c r="D50">
        <f>SUM(E50:H50)</f>
        <v>65</v>
      </c>
      <c r="E50">
        <v>2</v>
      </c>
      <c r="F50">
        <v>14</v>
      </c>
      <c r="G50">
        <v>11</v>
      </c>
      <c r="H50">
        <v>38</v>
      </c>
      <c r="I50">
        <v>2</v>
      </c>
      <c r="K50" t="s">
        <v>127</v>
      </c>
    </row>
    <row r="51" spans="1:11">
      <c r="A51" t="s">
        <v>128</v>
      </c>
      <c r="B51" t="s">
        <v>9</v>
      </c>
      <c r="C51" t="s">
        <v>10</v>
      </c>
      <c r="D51">
        <f>SUM(E51:H51)</f>
        <v>5</v>
      </c>
      <c r="E51">
        <v>0</v>
      </c>
      <c r="F51">
        <v>1</v>
      </c>
      <c r="G51">
        <v>0</v>
      </c>
      <c r="H51">
        <v>4</v>
      </c>
      <c r="I51">
        <v>2</v>
      </c>
      <c r="K51" t="s">
        <v>129</v>
      </c>
    </row>
    <row r="52" spans="1:11">
      <c r="A52" t="s">
        <v>130</v>
      </c>
      <c r="B52" t="s">
        <v>50</v>
      </c>
      <c r="C52" t="s">
        <v>51</v>
      </c>
      <c r="D52">
        <f>SUM(E52:H52)</f>
        <v>3</v>
      </c>
      <c r="E52">
        <v>0</v>
      </c>
      <c r="F52">
        <v>0</v>
      </c>
      <c r="G52">
        <v>0</v>
      </c>
      <c r="H52">
        <v>3</v>
      </c>
      <c r="I52">
        <v>1</v>
      </c>
      <c r="K52" t="s">
        <v>131</v>
      </c>
    </row>
    <row r="53" spans="1:11">
      <c r="A53" t="s">
        <v>132</v>
      </c>
      <c r="B53" t="s">
        <v>9</v>
      </c>
      <c r="C53" t="s">
        <v>54</v>
      </c>
      <c r="D53">
        <f>SUM(E53:H53)</f>
        <v>47</v>
      </c>
      <c r="E53">
        <v>1</v>
      </c>
      <c r="F53">
        <v>9</v>
      </c>
      <c r="G53">
        <v>4</v>
      </c>
      <c r="H53">
        <v>33</v>
      </c>
      <c r="I53">
        <v>8</v>
      </c>
      <c r="K53" t="s">
        <v>133</v>
      </c>
    </row>
    <row r="54" spans="1:11">
      <c r="A54" t="s">
        <v>134</v>
      </c>
      <c r="B54" t="s">
        <v>9</v>
      </c>
      <c r="C54" t="s">
        <v>54</v>
      </c>
      <c r="D54">
        <f>SUM(E54:H54)</f>
        <v>12</v>
      </c>
      <c r="E54">
        <v>0</v>
      </c>
      <c r="F54">
        <v>1</v>
      </c>
      <c r="G54">
        <v>0</v>
      </c>
      <c r="H54">
        <v>11</v>
      </c>
      <c r="I54">
        <v>1</v>
      </c>
      <c r="K54" t="s">
        <v>135</v>
      </c>
    </row>
    <row r="55" spans="1:11">
      <c r="A55" t="s">
        <v>136</v>
      </c>
      <c r="B55" t="s">
        <v>9</v>
      </c>
      <c r="C55" t="s">
        <v>10</v>
      </c>
      <c r="D55">
        <f>SUM(E55:H55)</f>
        <v>3</v>
      </c>
      <c r="E55">
        <v>0</v>
      </c>
      <c r="F55">
        <v>0</v>
      </c>
      <c r="G55">
        <v>0</v>
      </c>
      <c r="H55">
        <v>3</v>
      </c>
      <c r="I55">
        <v>1</v>
      </c>
      <c r="K55" t="s">
        <v>137</v>
      </c>
    </row>
    <row r="56" spans="1:11">
      <c r="A56" t="s">
        <v>138</v>
      </c>
      <c r="B56" t="s">
        <v>50</v>
      </c>
      <c r="C56" t="s">
        <v>139</v>
      </c>
      <c r="D56">
        <f>SUM(E56:H56)</f>
        <v>14</v>
      </c>
      <c r="E56">
        <v>0</v>
      </c>
      <c r="F56">
        <v>4</v>
      </c>
      <c r="G56">
        <v>0</v>
      </c>
      <c r="H56">
        <v>10</v>
      </c>
      <c r="I56">
        <v>1</v>
      </c>
      <c r="K56" t="s">
        <v>140</v>
      </c>
    </row>
    <row r="57" spans="1:11">
      <c r="A57" t="s">
        <v>141</v>
      </c>
      <c r="B57" t="s">
        <v>50</v>
      </c>
      <c r="C57" t="s">
        <v>51</v>
      </c>
      <c r="D57">
        <f>SUM(E57:H57)</f>
        <v>2</v>
      </c>
      <c r="E57">
        <v>0</v>
      </c>
      <c r="F57">
        <v>0</v>
      </c>
      <c r="G57">
        <v>0</v>
      </c>
      <c r="H57">
        <v>2</v>
      </c>
      <c r="I57">
        <v>2</v>
      </c>
      <c r="K57" t="s">
        <v>142</v>
      </c>
    </row>
    <row r="58" spans="1:11">
      <c r="A58" t="s">
        <v>143</v>
      </c>
      <c r="B58" t="s">
        <v>16</v>
      </c>
      <c r="C58" t="s">
        <v>89</v>
      </c>
      <c r="D58">
        <f>SUM(E58:H58)</f>
        <v>94</v>
      </c>
      <c r="E58">
        <v>2</v>
      </c>
      <c r="F58">
        <v>15</v>
      </c>
      <c r="G58">
        <v>17</v>
      </c>
      <c r="H58">
        <v>60</v>
      </c>
      <c r="I58">
        <v>8</v>
      </c>
      <c r="K58" t="s">
        <v>144</v>
      </c>
    </row>
    <row r="59" spans="1:11">
      <c r="A59" t="s">
        <v>145</v>
      </c>
      <c r="B59" t="s">
        <v>23</v>
      </c>
      <c r="C59" t="s">
        <v>72</v>
      </c>
      <c r="D59">
        <f>SUM(E59:H59)</f>
        <v>21</v>
      </c>
      <c r="E59">
        <v>0</v>
      </c>
      <c r="F59">
        <v>4</v>
      </c>
      <c r="G59">
        <v>2</v>
      </c>
      <c r="H59">
        <v>15</v>
      </c>
      <c r="I59">
        <v>2</v>
      </c>
      <c r="K59" t="s">
        <v>146</v>
      </c>
    </row>
    <row r="60" spans="1:11">
      <c r="A60" t="s">
        <v>147</v>
      </c>
      <c r="B60" t="s">
        <v>50</v>
      </c>
      <c r="C60" t="s">
        <v>139</v>
      </c>
      <c r="D60">
        <f>SUM(E60:H60)</f>
        <v>8</v>
      </c>
      <c r="E60">
        <v>0</v>
      </c>
      <c r="F60">
        <v>0</v>
      </c>
      <c r="G60">
        <v>0</v>
      </c>
      <c r="H60">
        <v>8</v>
      </c>
      <c r="I60">
        <v>4</v>
      </c>
      <c r="K60" t="s">
        <v>148</v>
      </c>
    </row>
    <row r="61" spans="1:11">
      <c r="A61" t="s">
        <v>149</v>
      </c>
      <c r="B61" t="s">
        <v>23</v>
      </c>
      <c r="C61" t="s">
        <v>32</v>
      </c>
      <c r="D61">
        <f>SUM(E61:H61)</f>
        <v>4</v>
      </c>
      <c r="E61">
        <v>0</v>
      </c>
      <c r="F61">
        <v>0</v>
      </c>
      <c r="G61">
        <v>0</v>
      </c>
      <c r="H61">
        <v>4</v>
      </c>
      <c r="I61">
        <v>1</v>
      </c>
      <c r="K61" t="s">
        <v>150</v>
      </c>
    </row>
    <row r="62" spans="1:11">
      <c r="A62" t="s">
        <v>151</v>
      </c>
      <c r="B62" t="s">
        <v>23</v>
      </c>
      <c r="C62" t="s">
        <v>72</v>
      </c>
      <c r="D62">
        <f>SUM(E62:H62)</f>
        <v>40</v>
      </c>
      <c r="E62">
        <v>2</v>
      </c>
      <c r="F62">
        <v>6</v>
      </c>
      <c r="G62">
        <v>8</v>
      </c>
      <c r="H62">
        <v>24</v>
      </c>
      <c r="I62">
        <v>2</v>
      </c>
      <c r="K62" t="s">
        <v>152</v>
      </c>
    </row>
    <row r="63" spans="1:11">
      <c r="A63" t="s">
        <v>153</v>
      </c>
      <c r="B63" t="s">
        <v>50</v>
      </c>
      <c r="C63" t="s">
        <v>154</v>
      </c>
      <c r="D63">
        <f>SUM(E63:H63)</f>
        <v>5</v>
      </c>
      <c r="E63">
        <v>0</v>
      </c>
      <c r="F63">
        <v>0</v>
      </c>
      <c r="G63">
        <v>0</v>
      </c>
      <c r="H63">
        <v>5</v>
      </c>
      <c r="I63">
        <v>1</v>
      </c>
      <c r="K63" t="s">
        <v>155</v>
      </c>
    </row>
    <row r="64" spans="1:11">
      <c r="A64" t="s">
        <v>156</v>
      </c>
      <c r="B64" t="s">
        <v>23</v>
      </c>
      <c r="C64" t="s">
        <v>32</v>
      </c>
      <c r="D64">
        <f>SUM(E64:H64)</f>
        <v>1</v>
      </c>
      <c r="E64">
        <v>0</v>
      </c>
      <c r="F64">
        <v>0</v>
      </c>
      <c r="G64">
        <v>0</v>
      </c>
      <c r="H64">
        <v>1</v>
      </c>
      <c r="I64">
        <v>1</v>
      </c>
      <c r="K64" t="s">
        <v>157</v>
      </c>
    </row>
    <row r="65" spans="1:11">
      <c r="A65" t="s">
        <v>158</v>
      </c>
      <c r="B65" t="s">
        <v>9</v>
      </c>
      <c r="C65" t="s">
        <v>59</v>
      </c>
      <c r="D65">
        <f>SUM(E65:H65)</f>
        <v>12</v>
      </c>
      <c r="E65">
        <v>0</v>
      </c>
      <c r="F65">
        <v>0</v>
      </c>
      <c r="G65">
        <v>0</v>
      </c>
      <c r="H65">
        <v>12</v>
      </c>
      <c r="I65">
        <v>1</v>
      </c>
      <c r="K65" t="s">
        <v>159</v>
      </c>
    </row>
    <row r="66" spans="1:11">
      <c r="A66" t="s">
        <v>160</v>
      </c>
      <c r="B66" t="s">
        <v>23</v>
      </c>
      <c r="C66" t="s">
        <v>24</v>
      </c>
      <c r="D66">
        <f>SUM(E66:H66)</f>
        <v>1</v>
      </c>
      <c r="E66">
        <v>0</v>
      </c>
      <c r="F66">
        <v>0</v>
      </c>
      <c r="G66">
        <v>0</v>
      </c>
      <c r="H66">
        <v>1</v>
      </c>
      <c r="I66">
        <v>1</v>
      </c>
      <c r="K66" t="s">
        <v>161</v>
      </c>
    </row>
    <row r="67" spans="1:11">
      <c r="A67" t="s">
        <v>162</v>
      </c>
      <c r="B67" t="s">
        <v>23</v>
      </c>
      <c r="C67" t="s">
        <v>24</v>
      </c>
      <c r="D67">
        <f>SUM(E67:H67)</f>
        <v>4</v>
      </c>
      <c r="E67">
        <v>0</v>
      </c>
      <c r="F67">
        <v>1</v>
      </c>
      <c r="G67">
        <v>0</v>
      </c>
      <c r="H67">
        <v>3</v>
      </c>
      <c r="I67">
        <v>2</v>
      </c>
      <c r="K67" t="s">
        <v>163</v>
      </c>
    </row>
    <row r="68" spans="1:11">
      <c r="A68" t="s">
        <v>164</v>
      </c>
      <c r="B68" t="s">
        <v>41</v>
      </c>
      <c r="C68" t="s">
        <v>101</v>
      </c>
      <c r="D68">
        <f>SUM(E68:H68)</f>
        <v>5</v>
      </c>
      <c r="E68">
        <v>0</v>
      </c>
      <c r="F68">
        <v>2</v>
      </c>
      <c r="G68">
        <v>0</v>
      </c>
      <c r="H68">
        <v>3</v>
      </c>
      <c r="I68">
        <v>2</v>
      </c>
      <c r="K68" t="s">
        <v>165</v>
      </c>
    </row>
    <row r="69" spans="1:11">
      <c r="A69" t="s">
        <v>166</v>
      </c>
      <c r="B69" t="s">
        <v>23</v>
      </c>
      <c r="C69" t="s">
        <v>47</v>
      </c>
      <c r="D69">
        <f>SUM(E69:H69)</f>
        <v>22</v>
      </c>
      <c r="E69">
        <v>0</v>
      </c>
      <c r="F69">
        <v>2</v>
      </c>
      <c r="G69">
        <v>0</v>
      </c>
      <c r="H69">
        <v>20</v>
      </c>
      <c r="I69">
        <v>1</v>
      </c>
      <c r="K69" t="s">
        <v>167</v>
      </c>
    </row>
    <row r="70" spans="1:11">
      <c r="A70" t="s">
        <v>168</v>
      </c>
      <c r="B70" t="s">
        <v>9</v>
      </c>
      <c r="C70" t="s">
        <v>10</v>
      </c>
      <c r="D70">
        <f>SUM(E70:H70)</f>
        <v>29</v>
      </c>
      <c r="E70">
        <v>0</v>
      </c>
      <c r="F70">
        <v>6</v>
      </c>
      <c r="G70">
        <v>0</v>
      </c>
      <c r="H70">
        <v>23</v>
      </c>
      <c r="I70">
        <v>4</v>
      </c>
      <c r="K70" t="s">
        <v>169</v>
      </c>
    </row>
    <row r="71" spans="1:11">
      <c r="A71" t="s">
        <v>170</v>
      </c>
      <c r="B71" t="s">
        <v>9</v>
      </c>
      <c r="C71" t="s">
        <v>10</v>
      </c>
      <c r="D71">
        <f>SUM(E71:H71)</f>
        <v>6</v>
      </c>
      <c r="E71">
        <v>0</v>
      </c>
      <c r="F71">
        <v>0</v>
      </c>
      <c r="G71">
        <v>0</v>
      </c>
      <c r="H71">
        <v>6</v>
      </c>
      <c r="I71">
        <v>1</v>
      </c>
      <c r="K71" t="s">
        <v>171</v>
      </c>
    </row>
    <row r="72" spans="1:11">
      <c r="A72" t="s">
        <v>172</v>
      </c>
      <c r="B72" t="s">
        <v>23</v>
      </c>
      <c r="C72" t="s">
        <v>32</v>
      </c>
      <c r="D72">
        <f>SUM(E72:H72)</f>
        <v>1</v>
      </c>
      <c r="E72">
        <v>0</v>
      </c>
      <c r="F72">
        <v>0</v>
      </c>
      <c r="G72">
        <v>0</v>
      </c>
      <c r="H72">
        <v>1</v>
      </c>
      <c r="I72">
        <v>1</v>
      </c>
      <c r="K72" t="s">
        <v>173</v>
      </c>
    </row>
    <row r="73" spans="1:11">
      <c r="A73" t="s">
        <v>174</v>
      </c>
      <c r="B73" t="s">
        <v>23</v>
      </c>
      <c r="C73" t="s">
        <v>32</v>
      </c>
      <c r="D73">
        <f>SUM(E73:H73)</f>
        <v>8</v>
      </c>
      <c r="E73">
        <v>0</v>
      </c>
      <c r="F73">
        <v>2</v>
      </c>
      <c r="G73">
        <v>1</v>
      </c>
      <c r="H73">
        <v>5</v>
      </c>
      <c r="I73">
        <v>3</v>
      </c>
      <c r="K73" t="s">
        <v>175</v>
      </c>
    </row>
    <row r="74" spans="1:11">
      <c r="A74" t="s">
        <v>176</v>
      </c>
      <c r="B74" t="s">
        <v>16</v>
      </c>
      <c r="C74" t="s">
        <v>17</v>
      </c>
      <c r="D74">
        <f>SUM(E74:H74)</f>
        <v>1</v>
      </c>
      <c r="E74">
        <v>0</v>
      </c>
      <c r="F74">
        <v>0</v>
      </c>
      <c r="G74">
        <v>0</v>
      </c>
      <c r="H74">
        <v>1</v>
      </c>
      <c r="I74">
        <v>1</v>
      </c>
      <c r="K74" t="s">
        <v>177</v>
      </c>
    </row>
    <row r="75" spans="1:11">
      <c r="A75" t="s">
        <v>178</v>
      </c>
      <c r="B75" t="s">
        <v>16</v>
      </c>
      <c r="C75" t="s">
        <v>17</v>
      </c>
      <c r="D75">
        <f>SUM(E75:H75)</f>
        <v>11</v>
      </c>
      <c r="E75">
        <v>0</v>
      </c>
      <c r="F75">
        <v>1</v>
      </c>
      <c r="G75">
        <v>0</v>
      </c>
      <c r="H75">
        <v>10</v>
      </c>
      <c r="I75">
        <v>4</v>
      </c>
      <c r="K75" t="s">
        <v>179</v>
      </c>
    </row>
    <row r="76" spans="1:11">
      <c r="A76" t="s">
        <v>180</v>
      </c>
      <c r="B76" t="s">
        <v>23</v>
      </c>
      <c r="C76" t="s">
        <v>32</v>
      </c>
      <c r="D76">
        <f>SUM(E76:H76)</f>
        <v>1</v>
      </c>
      <c r="E76">
        <v>0</v>
      </c>
      <c r="F76">
        <v>0</v>
      </c>
      <c r="G76">
        <v>0</v>
      </c>
      <c r="H76">
        <v>1</v>
      </c>
      <c r="I76">
        <v>1</v>
      </c>
      <c r="K76" t="s">
        <v>181</v>
      </c>
    </row>
    <row r="77" spans="1:11">
      <c r="A77" t="s">
        <v>182</v>
      </c>
      <c r="B77" t="s">
        <v>23</v>
      </c>
      <c r="C77" t="s">
        <v>32</v>
      </c>
      <c r="D77">
        <f>SUM(E77:H77)</f>
        <v>1</v>
      </c>
      <c r="E77">
        <v>0</v>
      </c>
      <c r="F77">
        <v>0</v>
      </c>
      <c r="G77">
        <v>0</v>
      </c>
      <c r="H77">
        <v>1</v>
      </c>
      <c r="I77">
        <v>1</v>
      </c>
      <c r="K77" t="s">
        <v>183</v>
      </c>
    </row>
    <row r="78" spans="1:11">
      <c r="A78" t="s">
        <v>184</v>
      </c>
      <c r="B78" t="s">
        <v>9</v>
      </c>
      <c r="C78" t="s">
        <v>86</v>
      </c>
      <c r="D78">
        <f>SUM(E78:H78)</f>
        <v>26</v>
      </c>
      <c r="E78">
        <v>0</v>
      </c>
      <c r="F78">
        <v>4</v>
      </c>
      <c r="G78">
        <v>0</v>
      </c>
      <c r="H78">
        <v>22</v>
      </c>
      <c r="I78">
        <v>3</v>
      </c>
      <c r="K78" t="s">
        <v>185</v>
      </c>
    </row>
    <row r="79" spans="1:11">
      <c r="A79" t="s">
        <v>186</v>
      </c>
      <c r="B79" t="s">
        <v>9</v>
      </c>
      <c r="C79" t="s">
        <v>86</v>
      </c>
      <c r="D79">
        <f>SUM(E79:H79)</f>
        <v>1</v>
      </c>
      <c r="E79">
        <v>0</v>
      </c>
      <c r="F79">
        <v>0</v>
      </c>
      <c r="G79">
        <v>0</v>
      </c>
      <c r="H79">
        <v>1</v>
      </c>
      <c r="I79">
        <v>1</v>
      </c>
      <c r="K79" t="s">
        <v>187</v>
      </c>
    </row>
    <row r="80" spans="1:11">
      <c r="A80" t="s">
        <v>188</v>
      </c>
      <c r="B80" t="s">
        <v>41</v>
      </c>
      <c r="C80" t="s">
        <v>77</v>
      </c>
      <c r="D80">
        <f>SUM(E80:H80)</f>
        <v>3</v>
      </c>
      <c r="E80">
        <v>0</v>
      </c>
      <c r="F80">
        <v>0</v>
      </c>
      <c r="G80">
        <v>0</v>
      </c>
      <c r="H80">
        <v>3</v>
      </c>
      <c r="I80">
        <v>1</v>
      </c>
      <c r="K80" t="s">
        <v>189</v>
      </c>
    </row>
    <row r="81" spans="1:11">
      <c r="A81" t="s">
        <v>190</v>
      </c>
      <c r="B81" t="s">
        <v>16</v>
      </c>
      <c r="C81" t="s">
        <v>92</v>
      </c>
      <c r="D81">
        <f>SUM(E81:H81)</f>
        <v>1</v>
      </c>
      <c r="E81">
        <v>0</v>
      </c>
      <c r="F81">
        <v>0</v>
      </c>
      <c r="G81">
        <v>0</v>
      </c>
      <c r="H81">
        <v>1</v>
      </c>
      <c r="I81">
        <v>1</v>
      </c>
      <c r="K81" t="s">
        <v>191</v>
      </c>
    </row>
    <row r="82" spans="1:11">
      <c r="A82" t="s">
        <v>192</v>
      </c>
      <c r="B82" t="s">
        <v>23</v>
      </c>
      <c r="C82" t="s">
        <v>24</v>
      </c>
      <c r="D82">
        <f>SUM(E82:H82)</f>
        <v>25</v>
      </c>
      <c r="E82">
        <v>0</v>
      </c>
      <c r="F82">
        <v>2</v>
      </c>
      <c r="G82">
        <v>3</v>
      </c>
      <c r="H82">
        <v>20</v>
      </c>
      <c r="I82">
        <v>5</v>
      </c>
      <c r="K82" t="s">
        <v>193</v>
      </c>
    </row>
    <row r="83" spans="1:11">
      <c r="A83" t="s">
        <v>194</v>
      </c>
      <c r="B83" t="s">
        <v>9</v>
      </c>
      <c r="C83" t="s">
        <v>10</v>
      </c>
      <c r="D83">
        <f>SUM(E83:H83)</f>
        <v>110</v>
      </c>
      <c r="E83">
        <v>5</v>
      </c>
      <c r="F83">
        <v>23</v>
      </c>
      <c r="G83">
        <v>26</v>
      </c>
      <c r="H83">
        <v>56</v>
      </c>
      <c r="I83">
        <v>8</v>
      </c>
      <c r="K83" t="s">
        <v>195</v>
      </c>
    </row>
    <row r="84" spans="1:11">
      <c r="A84" t="s">
        <v>196</v>
      </c>
      <c r="B84" t="s">
        <v>23</v>
      </c>
      <c r="C84" t="s">
        <v>72</v>
      </c>
      <c r="D84">
        <f>SUM(E84:H84)</f>
        <v>13</v>
      </c>
      <c r="E84">
        <v>0</v>
      </c>
      <c r="F84">
        <v>3</v>
      </c>
      <c r="G84">
        <v>0</v>
      </c>
      <c r="H84">
        <v>10</v>
      </c>
      <c r="I84">
        <v>1</v>
      </c>
      <c r="K84" t="s">
        <v>197</v>
      </c>
    </row>
    <row r="85" spans="1:11">
      <c r="A85" t="s">
        <v>198</v>
      </c>
      <c r="B85" t="s">
        <v>41</v>
      </c>
      <c r="C85" t="s">
        <v>42</v>
      </c>
      <c r="D85">
        <f>SUM(E85:H85)</f>
        <v>2</v>
      </c>
      <c r="E85">
        <v>0</v>
      </c>
      <c r="F85">
        <v>1</v>
      </c>
      <c r="G85">
        <v>0</v>
      </c>
      <c r="H85">
        <v>1</v>
      </c>
      <c r="I85">
        <v>2</v>
      </c>
      <c r="K85" t="s">
        <v>199</v>
      </c>
    </row>
    <row r="86" spans="1:11">
      <c r="A86" t="s">
        <v>200</v>
      </c>
      <c r="B86" t="s">
        <v>16</v>
      </c>
      <c r="C86" t="s">
        <v>17</v>
      </c>
      <c r="D86">
        <f>SUM(E86:H86)</f>
        <v>1</v>
      </c>
      <c r="E86">
        <v>0</v>
      </c>
      <c r="F86">
        <v>0</v>
      </c>
      <c r="G86">
        <v>0</v>
      </c>
      <c r="H86">
        <v>1</v>
      </c>
      <c r="I86">
        <v>1</v>
      </c>
      <c r="K86" t="s">
        <v>201</v>
      </c>
    </row>
    <row r="87" spans="1:11">
      <c r="A87" t="s">
        <v>202</v>
      </c>
      <c r="B87" t="s">
        <v>23</v>
      </c>
      <c r="C87" t="s">
        <v>47</v>
      </c>
      <c r="D87">
        <f>SUM(E87:H87)</f>
        <v>19</v>
      </c>
      <c r="E87">
        <v>0</v>
      </c>
      <c r="F87">
        <v>2</v>
      </c>
      <c r="G87">
        <v>2</v>
      </c>
      <c r="H87">
        <v>15</v>
      </c>
      <c r="I87">
        <v>4</v>
      </c>
      <c r="K87" t="s">
        <v>203</v>
      </c>
    </row>
    <row r="88" spans="1:11">
      <c r="A88" t="s">
        <v>204</v>
      </c>
      <c r="B88" t="s">
        <v>23</v>
      </c>
      <c r="C88" t="s">
        <v>47</v>
      </c>
      <c r="D88">
        <f>SUM(E88:H88)</f>
        <v>7</v>
      </c>
      <c r="E88">
        <v>0</v>
      </c>
      <c r="F88">
        <v>1</v>
      </c>
      <c r="G88">
        <v>0</v>
      </c>
      <c r="H88">
        <v>6</v>
      </c>
      <c r="I88">
        <v>2</v>
      </c>
      <c r="K88" t="s">
        <v>205</v>
      </c>
    </row>
    <row r="89" spans="1:11">
      <c r="A89" t="s">
        <v>206</v>
      </c>
      <c r="B89" t="s">
        <v>16</v>
      </c>
      <c r="C89" t="s">
        <v>17</v>
      </c>
      <c r="D89">
        <f>SUM(E89:H89)</f>
        <v>2</v>
      </c>
      <c r="E89">
        <v>0</v>
      </c>
      <c r="F89">
        <v>1</v>
      </c>
      <c r="G89">
        <v>0</v>
      </c>
      <c r="H89">
        <v>1</v>
      </c>
      <c r="I89">
        <v>1</v>
      </c>
      <c r="K89" t="s">
        <v>207</v>
      </c>
    </row>
    <row r="90" spans="1:11">
      <c r="A90" t="s">
        <v>208</v>
      </c>
      <c r="B90" t="s">
        <v>9</v>
      </c>
      <c r="C90" t="s">
        <v>10</v>
      </c>
      <c r="D90">
        <f>SUM(E90:H90)</f>
        <v>2</v>
      </c>
      <c r="E90">
        <v>0</v>
      </c>
      <c r="F90">
        <v>0</v>
      </c>
      <c r="G90">
        <v>0</v>
      </c>
      <c r="H90">
        <v>2</v>
      </c>
      <c r="I90">
        <v>1</v>
      </c>
      <c r="K90" t="s">
        <v>209</v>
      </c>
    </row>
    <row r="91" spans="1:11">
      <c r="A91" t="s">
        <v>210</v>
      </c>
      <c r="B91" t="s">
        <v>16</v>
      </c>
      <c r="C91" t="s">
        <v>17</v>
      </c>
      <c r="D91">
        <f>SUM(E91:H91)</f>
        <v>13</v>
      </c>
      <c r="E91">
        <v>0</v>
      </c>
      <c r="F91">
        <v>0</v>
      </c>
      <c r="G91">
        <v>2</v>
      </c>
      <c r="H91">
        <v>11</v>
      </c>
      <c r="I91">
        <v>3</v>
      </c>
      <c r="K91" t="s">
        <v>211</v>
      </c>
    </row>
    <row r="92" spans="1:11">
      <c r="A92" t="s">
        <v>212</v>
      </c>
      <c r="B92" t="s">
        <v>9</v>
      </c>
      <c r="C92" t="s">
        <v>54</v>
      </c>
      <c r="D92">
        <f>SUM(E92:H92)</f>
        <v>14</v>
      </c>
      <c r="E92">
        <v>0</v>
      </c>
      <c r="F92">
        <v>1</v>
      </c>
      <c r="G92">
        <v>0</v>
      </c>
      <c r="H92">
        <v>13</v>
      </c>
      <c r="I92">
        <v>1</v>
      </c>
      <c r="K92" t="s">
        <v>213</v>
      </c>
    </row>
    <row r="93" spans="1:11">
      <c r="A93" t="s">
        <v>214</v>
      </c>
      <c r="B93" t="s">
        <v>50</v>
      </c>
      <c r="C93" t="s">
        <v>215</v>
      </c>
      <c r="D93">
        <f>SUM(E93:H93)</f>
        <v>12</v>
      </c>
      <c r="E93">
        <v>0</v>
      </c>
      <c r="F93">
        <v>2</v>
      </c>
      <c r="G93">
        <v>0</v>
      </c>
      <c r="H93">
        <v>10</v>
      </c>
      <c r="I93">
        <v>4</v>
      </c>
      <c r="K93" t="s">
        <v>216</v>
      </c>
    </row>
    <row r="94" spans="1:11">
      <c r="A94" t="s">
        <v>217</v>
      </c>
      <c r="B94" t="s">
        <v>23</v>
      </c>
      <c r="C94" t="s">
        <v>29</v>
      </c>
      <c r="D94">
        <f>SUM(E94:H94)</f>
        <v>6</v>
      </c>
      <c r="E94">
        <v>0</v>
      </c>
      <c r="F94">
        <v>0</v>
      </c>
      <c r="G94">
        <v>0</v>
      </c>
      <c r="H94">
        <v>6</v>
      </c>
      <c r="I94">
        <v>1</v>
      </c>
      <c r="K94" t="s">
        <v>218</v>
      </c>
    </row>
    <row r="95" spans="1:11">
      <c r="A95" t="s">
        <v>219</v>
      </c>
      <c r="B95" t="s">
        <v>41</v>
      </c>
      <c r="C95" t="s">
        <v>42</v>
      </c>
      <c r="D95">
        <f>SUM(E95:H95)</f>
        <v>85</v>
      </c>
      <c r="E95">
        <v>2</v>
      </c>
      <c r="F95">
        <v>15</v>
      </c>
      <c r="G95">
        <v>20</v>
      </c>
      <c r="H95">
        <v>48</v>
      </c>
      <c r="I95">
        <v>9</v>
      </c>
      <c r="K95" t="s">
        <v>220</v>
      </c>
    </row>
    <row r="96" spans="1:11">
      <c r="A96" t="s">
        <v>221</v>
      </c>
      <c r="B96" t="s">
        <v>23</v>
      </c>
      <c r="C96" t="s">
        <v>29</v>
      </c>
      <c r="D96">
        <f>SUM(E96:H96)</f>
        <v>1</v>
      </c>
      <c r="E96">
        <v>0</v>
      </c>
      <c r="F96">
        <v>0</v>
      </c>
      <c r="G96">
        <v>0</v>
      </c>
      <c r="H96">
        <v>1</v>
      </c>
      <c r="I96">
        <v>1</v>
      </c>
      <c r="K96" t="s">
        <v>222</v>
      </c>
    </row>
    <row r="97" spans="1:11">
      <c r="A97" t="s">
        <v>223</v>
      </c>
      <c r="B97" t="s">
        <v>23</v>
      </c>
      <c r="C97" t="s">
        <v>29</v>
      </c>
      <c r="D97">
        <f>SUM(E97:H97)</f>
        <v>28</v>
      </c>
      <c r="E97">
        <v>0</v>
      </c>
      <c r="F97">
        <v>4</v>
      </c>
      <c r="G97">
        <v>2</v>
      </c>
      <c r="H97">
        <v>22</v>
      </c>
      <c r="I97">
        <v>1</v>
      </c>
      <c r="K97" t="s">
        <v>224</v>
      </c>
    </row>
    <row r="98" spans="1:11">
      <c r="A98" t="s">
        <v>225</v>
      </c>
      <c r="B98" t="s">
        <v>16</v>
      </c>
      <c r="C98" t="s">
        <v>20</v>
      </c>
      <c r="D98">
        <f>SUM(E98:H98)</f>
        <v>72</v>
      </c>
      <c r="E98">
        <v>2</v>
      </c>
      <c r="F98">
        <v>13</v>
      </c>
      <c r="G98">
        <v>16</v>
      </c>
      <c r="H98">
        <v>41</v>
      </c>
      <c r="I98">
        <v>8</v>
      </c>
      <c r="K98" t="s">
        <v>226</v>
      </c>
    </row>
    <row r="99" spans="1:11">
      <c r="A99" t="s">
        <v>227</v>
      </c>
      <c r="B99" t="s">
        <v>9</v>
      </c>
      <c r="C99" t="s">
        <v>10</v>
      </c>
      <c r="D99">
        <f>SUM(E99:H99)</f>
        <v>64</v>
      </c>
      <c r="E99">
        <v>1</v>
      </c>
      <c r="F99">
        <v>13</v>
      </c>
      <c r="G99">
        <v>8</v>
      </c>
      <c r="H99">
        <v>42</v>
      </c>
      <c r="I99">
        <v>5</v>
      </c>
      <c r="K99" t="s">
        <v>228</v>
      </c>
    </row>
    <row r="100" spans="1:11">
      <c r="A100" t="s">
        <v>229</v>
      </c>
      <c r="B100" t="s">
        <v>50</v>
      </c>
      <c r="C100" t="s">
        <v>51</v>
      </c>
      <c r="D100">
        <f>SUM(E100:H100)</f>
        <v>2</v>
      </c>
      <c r="E100">
        <v>0</v>
      </c>
      <c r="F100">
        <v>0</v>
      </c>
      <c r="G100">
        <v>0</v>
      </c>
      <c r="H100">
        <v>2</v>
      </c>
      <c r="I100">
        <v>1</v>
      </c>
      <c r="K100" t="s">
        <v>230</v>
      </c>
    </row>
    <row r="101" spans="1:11">
      <c r="A101" t="s">
        <v>231</v>
      </c>
      <c r="B101" t="s">
        <v>23</v>
      </c>
      <c r="C101" t="s">
        <v>32</v>
      </c>
      <c r="D101">
        <f>SUM(E101:H101)</f>
        <v>5</v>
      </c>
      <c r="E101">
        <v>0</v>
      </c>
      <c r="F101">
        <v>1</v>
      </c>
      <c r="G101">
        <v>0</v>
      </c>
      <c r="H101">
        <v>4</v>
      </c>
      <c r="I101">
        <v>2</v>
      </c>
      <c r="K101" t="s">
        <v>232</v>
      </c>
    </row>
    <row r="102" spans="1:11">
      <c r="A102" t="s">
        <v>233</v>
      </c>
      <c r="B102" t="s">
        <v>23</v>
      </c>
      <c r="C102" t="s">
        <v>32</v>
      </c>
      <c r="D102">
        <f>SUM(E102:H102)</f>
        <v>12</v>
      </c>
      <c r="E102">
        <v>0</v>
      </c>
      <c r="F102">
        <v>3</v>
      </c>
      <c r="G102">
        <v>2</v>
      </c>
      <c r="H102">
        <v>7</v>
      </c>
      <c r="I102">
        <v>3</v>
      </c>
      <c r="K102" t="s">
        <v>234</v>
      </c>
    </row>
    <row r="103" spans="1:11">
      <c r="A103" t="s">
        <v>235</v>
      </c>
      <c r="B103" t="s">
        <v>23</v>
      </c>
      <c r="C103" t="s">
        <v>32</v>
      </c>
      <c r="D103">
        <f>SUM(E103:H103)</f>
        <v>6</v>
      </c>
      <c r="E103">
        <v>0</v>
      </c>
      <c r="F103">
        <v>2</v>
      </c>
      <c r="G103">
        <v>0</v>
      </c>
      <c r="H103">
        <v>4</v>
      </c>
      <c r="I103">
        <v>1</v>
      </c>
      <c r="K103" t="s">
        <v>236</v>
      </c>
    </row>
    <row r="104" spans="1:11">
      <c r="A104" t="s">
        <v>237</v>
      </c>
      <c r="B104" t="s">
        <v>16</v>
      </c>
      <c r="C104" t="s">
        <v>89</v>
      </c>
      <c r="D104">
        <f>SUM(E104:H104)</f>
        <v>42</v>
      </c>
      <c r="E104">
        <v>0</v>
      </c>
      <c r="F104">
        <v>8</v>
      </c>
      <c r="G104">
        <v>7</v>
      </c>
      <c r="H104">
        <v>27</v>
      </c>
      <c r="I104">
        <v>7</v>
      </c>
      <c r="K104" t="s">
        <v>238</v>
      </c>
    </row>
    <row r="105" spans="1:11">
      <c r="A105" t="s">
        <v>239</v>
      </c>
      <c r="B105" t="s">
        <v>9</v>
      </c>
      <c r="C105" t="s">
        <v>10</v>
      </c>
      <c r="D105">
        <f>SUM(E105:H105)</f>
        <v>71</v>
      </c>
      <c r="E105">
        <v>2</v>
      </c>
      <c r="F105">
        <v>14</v>
      </c>
      <c r="G105">
        <v>14</v>
      </c>
      <c r="H105">
        <v>41</v>
      </c>
      <c r="I105">
        <v>6</v>
      </c>
      <c r="K105" t="s">
        <v>240</v>
      </c>
    </row>
    <row r="106" spans="1:11">
      <c r="A106" t="s">
        <v>241</v>
      </c>
      <c r="B106" t="s">
        <v>50</v>
      </c>
      <c r="C106" t="s">
        <v>139</v>
      </c>
      <c r="D106">
        <f>SUM(E106:H106)</f>
        <v>2</v>
      </c>
      <c r="E106">
        <v>0</v>
      </c>
      <c r="F106">
        <v>0</v>
      </c>
      <c r="G106">
        <v>0</v>
      </c>
      <c r="H106">
        <v>2</v>
      </c>
      <c r="I106">
        <v>2</v>
      </c>
      <c r="K106" t="s">
        <v>242</v>
      </c>
    </row>
    <row r="107" spans="1:11">
      <c r="A107" t="s">
        <v>243</v>
      </c>
      <c r="B107" t="s">
        <v>23</v>
      </c>
      <c r="C107" t="s">
        <v>72</v>
      </c>
      <c r="D107">
        <f>SUM(E107:H107)</f>
        <v>111</v>
      </c>
      <c r="E107">
        <v>5</v>
      </c>
      <c r="F107">
        <v>23</v>
      </c>
      <c r="G107">
        <v>39</v>
      </c>
      <c r="H107">
        <v>44</v>
      </c>
      <c r="I107">
        <v>7</v>
      </c>
      <c r="K107" t="s">
        <v>244</v>
      </c>
    </row>
    <row r="108" spans="1:11">
      <c r="A108" t="s">
        <v>245</v>
      </c>
      <c r="B108" t="s">
        <v>16</v>
      </c>
      <c r="C108" t="s">
        <v>246</v>
      </c>
      <c r="D108">
        <f>SUM(E108:H108)</f>
        <v>2</v>
      </c>
      <c r="E108">
        <v>0</v>
      </c>
      <c r="F108">
        <v>0</v>
      </c>
      <c r="G108">
        <v>0</v>
      </c>
      <c r="H108">
        <v>2</v>
      </c>
      <c r="I108">
        <v>1</v>
      </c>
      <c r="K108" t="s">
        <v>247</v>
      </c>
    </row>
    <row r="109" spans="1:11">
      <c r="A109" t="s">
        <v>248</v>
      </c>
      <c r="B109" t="s">
        <v>16</v>
      </c>
      <c r="C109" t="s">
        <v>246</v>
      </c>
      <c r="D109">
        <f>SUM(E109:H109)</f>
        <v>4</v>
      </c>
      <c r="E109">
        <v>0</v>
      </c>
      <c r="F109">
        <v>1</v>
      </c>
      <c r="G109">
        <v>0</v>
      </c>
      <c r="H109">
        <v>3</v>
      </c>
      <c r="I109">
        <v>1</v>
      </c>
      <c r="K109" t="s">
        <v>249</v>
      </c>
    </row>
    <row r="110" spans="1:11">
      <c r="A110" t="s">
        <v>250</v>
      </c>
      <c r="B110" t="s">
        <v>16</v>
      </c>
      <c r="C110" t="s">
        <v>246</v>
      </c>
      <c r="D110">
        <f>SUM(E110:H110)</f>
        <v>67</v>
      </c>
      <c r="E110">
        <v>2</v>
      </c>
      <c r="F110">
        <v>11</v>
      </c>
      <c r="G110">
        <v>12</v>
      </c>
      <c r="H110">
        <v>42</v>
      </c>
      <c r="I110">
        <v>9</v>
      </c>
      <c r="K110" t="s">
        <v>251</v>
      </c>
    </row>
    <row r="111" spans="1:11">
      <c r="A111" t="s">
        <v>252</v>
      </c>
      <c r="B111" t="s">
        <v>41</v>
      </c>
      <c r="C111" t="s">
        <v>101</v>
      </c>
      <c r="D111">
        <f>SUM(E111:H111)</f>
        <v>33</v>
      </c>
      <c r="E111">
        <v>0</v>
      </c>
      <c r="F111">
        <v>8</v>
      </c>
      <c r="G111">
        <v>3</v>
      </c>
      <c r="H111">
        <v>22</v>
      </c>
      <c r="I111">
        <v>7</v>
      </c>
      <c r="K111" t="s">
        <v>253</v>
      </c>
    </row>
    <row r="112" spans="1:11">
      <c r="A112" t="s">
        <v>254</v>
      </c>
      <c r="B112" t="s">
        <v>50</v>
      </c>
      <c r="C112" t="s">
        <v>51</v>
      </c>
      <c r="D112">
        <f>SUM(E112:H112)</f>
        <v>4</v>
      </c>
      <c r="E112">
        <v>0</v>
      </c>
      <c r="F112">
        <v>0</v>
      </c>
      <c r="G112">
        <v>0</v>
      </c>
      <c r="H112">
        <v>4</v>
      </c>
      <c r="I112">
        <v>3</v>
      </c>
      <c r="K112" t="s">
        <v>255</v>
      </c>
    </row>
    <row r="113" spans="1:11">
      <c r="A113" t="s">
        <v>256</v>
      </c>
      <c r="B113" t="s">
        <v>9</v>
      </c>
      <c r="C113" t="s">
        <v>257</v>
      </c>
      <c r="D113">
        <f>SUM(E113:H113)</f>
        <v>25</v>
      </c>
      <c r="E113">
        <v>0</v>
      </c>
      <c r="F113">
        <v>4</v>
      </c>
      <c r="G113">
        <v>2</v>
      </c>
      <c r="H113">
        <v>19</v>
      </c>
      <c r="I113">
        <v>7</v>
      </c>
      <c r="K113" t="s">
        <v>258</v>
      </c>
    </row>
    <row r="114" spans="1:11">
      <c r="A114" t="s">
        <v>259</v>
      </c>
      <c r="B114" t="s">
        <v>9</v>
      </c>
      <c r="C114" t="s">
        <v>13</v>
      </c>
      <c r="D114">
        <f>SUM(E114:H114)</f>
        <v>18</v>
      </c>
      <c r="E114">
        <v>0</v>
      </c>
      <c r="F114">
        <v>3</v>
      </c>
      <c r="G114">
        <v>0</v>
      </c>
      <c r="H114">
        <v>15</v>
      </c>
      <c r="I114">
        <v>4</v>
      </c>
      <c r="K114" t="s">
        <v>260</v>
      </c>
    </row>
    <row r="115" spans="1:11">
      <c r="A115" t="s">
        <v>261</v>
      </c>
      <c r="B115" t="s">
        <v>23</v>
      </c>
      <c r="C115" t="s">
        <v>72</v>
      </c>
      <c r="D115">
        <f>SUM(E115:H115)</f>
        <v>9</v>
      </c>
      <c r="E115">
        <v>0</v>
      </c>
      <c r="F115">
        <v>0</v>
      </c>
      <c r="G115">
        <v>1</v>
      </c>
      <c r="H115">
        <v>8</v>
      </c>
      <c r="I115">
        <v>1</v>
      </c>
      <c r="K115" t="s">
        <v>262</v>
      </c>
    </row>
    <row r="116" spans="1:11">
      <c r="A116" t="s">
        <v>263</v>
      </c>
      <c r="B116" t="s">
        <v>23</v>
      </c>
      <c r="C116" t="s">
        <v>72</v>
      </c>
      <c r="D116">
        <f>SUM(E116:H116)</f>
        <v>14</v>
      </c>
      <c r="E116">
        <v>0</v>
      </c>
      <c r="F116">
        <v>4</v>
      </c>
      <c r="G116">
        <v>1</v>
      </c>
      <c r="H116">
        <v>9</v>
      </c>
      <c r="I116">
        <v>3</v>
      </c>
      <c r="K116" t="s">
        <v>264</v>
      </c>
    </row>
    <row r="117" spans="1:11">
      <c r="A117" t="s">
        <v>265</v>
      </c>
      <c r="B117" t="s">
        <v>16</v>
      </c>
      <c r="C117" t="s">
        <v>17</v>
      </c>
      <c r="D117">
        <f>SUM(E117:H117)</f>
        <v>20</v>
      </c>
      <c r="E117">
        <v>0</v>
      </c>
      <c r="F117">
        <v>2</v>
      </c>
      <c r="G117">
        <v>1</v>
      </c>
      <c r="H117">
        <v>17</v>
      </c>
      <c r="I117">
        <v>6</v>
      </c>
      <c r="K117" t="s">
        <v>266</v>
      </c>
    </row>
    <row r="118" spans="1:11">
      <c r="A118" t="s">
        <v>267</v>
      </c>
      <c r="B118" t="s">
        <v>50</v>
      </c>
      <c r="C118" t="s">
        <v>139</v>
      </c>
      <c r="D118">
        <f>SUM(E118:H118)</f>
        <v>8</v>
      </c>
      <c r="E118">
        <v>0</v>
      </c>
      <c r="F118">
        <v>1</v>
      </c>
      <c r="G118">
        <v>0</v>
      </c>
      <c r="H118">
        <v>7</v>
      </c>
      <c r="I118">
        <v>4</v>
      </c>
      <c r="K118" t="s">
        <v>268</v>
      </c>
    </row>
    <row r="119" spans="1:11">
      <c r="A119" t="s">
        <v>269</v>
      </c>
      <c r="B119" t="s">
        <v>23</v>
      </c>
      <c r="C119" t="s">
        <v>47</v>
      </c>
      <c r="D119">
        <f>SUM(E119:H119)</f>
        <v>3</v>
      </c>
      <c r="E119">
        <v>0</v>
      </c>
      <c r="F119">
        <v>0</v>
      </c>
      <c r="G119">
        <v>0</v>
      </c>
      <c r="H119">
        <v>3</v>
      </c>
      <c r="I119">
        <v>1</v>
      </c>
      <c r="K119" t="s">
        <v>270</v>
      </c>
    </row>
    <row r="120" spans="1:11">
      <c r="A120" t="s">
        <v>271</v>
      </c>
      <c r="B120" t="s">
        <v>23</v>
      </c>
      <c r="C120" t="s">
        <v>72</v>
      </c>
      <c r="D120">
        <f>SUM(E120:H120)</f>
        <v>14</v>
      </c>
      <c r="E120">
        <v>0</v>
      </c>
      <c r="F120">
        <v>4</v>
      </c>
      <c r="G120">
        <v>0</v>
      </c>
      <c r="H120">
        <v>10</v>
      </c>
      <c r="I120">
        <v>3</v>
      </c>
      <c r="K120" t="s">
        <v>272</v>
      </c>
    </row>
    <row r="121" spans="1:11">
      <c r="A121" t="s">
        <v>273</v>
      </c>
      <c r="B121" t="s">
        <v>41</v>
      </c>
      <c r="C121" t="s">
        <v>42</v>
      </c>
      <c r="D121">
        <f>SUM(E121:H121)</f>
        <v>5</v>
      </c>
      <c r="E121">
        <v>0</v>
      </c>
      <c r="F121">
        <v>0</v>
      </c>
      <c r="G121">
        <v>0</v>
      </c>
      <c r="H121">
        <v>5</v>
      </c>
      <c r="I121">
        <v>3</v>
      </c>
      <c r="K121" t="s">
        <v>274</v>
      </c>
    </row>
    <row r="122" spans="1:11">
      <c r="A122" t="s">
        <v>275</v>
      </c>
      <c r="B122" t="s">
        <v>23</v>
      </c>
      <c r="C122" t="s">
        <v>72</v>
      </c>
      <c r="D122">
        <f>SUM(E122:H122)</f>
        <v>2</v>
      </c>
      <c r="E122">
        <v>0</v>
      </c>
      <c r="F122">
        <v>0</v>
      </c>
      <c r="G122">
        <v>0</v>
      </c>
      <c r="H122">
        <v>2</v>
      </c>
      <c r="I122">
        <v>1</v>
      </c>
      <c r="K122" t="s">
        <v>276</v>
      </c>
    </row>
    <row r="123" spans="1:11">
      <c r="A123" t="s">
        <v>277</v>
      </c>
      <c r="B123" t="s">
        <v>41</v>
      </c>
      <c r="C123" t="s">
        <v>101</v>
      </c>
      <c r="D123">
        <f>SUM(E123:H123)</f>
        <v>58</v>
      </c>
      <c r="E123">
        <v>0</v>
      </c>
      <c r="F123">
        <v>11</v>
      </c>
      <c r="G123">
        <v>2</v>
      </c>
      <c r="H123">
        <v>45</v>
      </c>
      <c r="I123">
        <v>3</v>
      </c>
      <c r="K123" t="s">
        <v>278</v>
      </c>
    </row>
    <row r="124" spans="1:11">
      <c r="A124" t="s">
        <v>279</v>
      </c>
      <c r="B124" t="s">
        <v>41</v>
      </c>
      <c r="C124" t="s">
        <v>101</v>
      </c>
      <c r="D124">
        <f>SUM(E124:H124)</f>
        <v>11</v>
      </c>
      <c r="E124">
        <v>0</v>
      </c>
      <c r="F124">
        <v>3</v>
      </c>
      <c r="G124">
        <v>0</v>
      </c>
      <c r="H124">
        <v>8</v>
      </c>
      <c r="I124">
        <v>2</v>
      </c>
      <c r="K124" t="s">
        <v>280</v>
      </c>
    </row>
    <row r="125" spans="1:11">
      <c r="A125" t="s">
        <v>281</v>
      </c>
      <c r="B125" t="s">
        <v>9</v>
      </c>
      <c r="C125" t="s">
        <v>86</v>
      </c>
      <c r="D125">
        <f>SUM(E125:H125)</f>
        <v>9</v>
      </c>
      <c r="E125">
        <v>0</v>
      </c>
      <c r="F125">
        <v>1</v>
      </c>
      <c r="G125">
        <v>0</v>
      </c>
      <c r="H125">
        <v>8</v>
      </c>
      <c r="I125">
        <v>3</v>
      </c>
      <c r="K125" t="s">
        <v>282</v>
      </c>
    </row>
    <row r="126" spans="1:11">
      <c r="A126" t="s">
        <v>283</v>
      </c>
      <c r="B126" t="s">
        <v>9</v>
      </c>
      <c r="C126" t="s">
        <v>54</v>
      </c>
      <c r="D126">
        <f>SUM(E126:H126)</f>
        <v>11</v>
      </c>
      <c r="E126">
        <v>0</v>
      </c>
      <c r="F126">
        <v>1</v>
      </c>
      <c r="G126">
        <v>0</v>
      </c>
      <c r="H126">
        <v>10</v>
      </c>
      <c r="I126">
        <v>3</v>
      </c>
      <c r="K126" t="s">
        <v>284</v>
      </c>
    </row>
    <row r="127" spans="1:11">
      <c r="A127" t="s">
        <v>285</v>
      </c>
      <c r="B127" t="s">
        <v>9</v>
      </c>
      <c r="C127" t="s">
        <v>54</v>
      </c>
      <c r="D127">
        <f>SUM(E127:H127)</f>
        <v>26</v>
      </c>
      <c r="E127">
        <v>0</v>
      </c>
      <c r="F127">
        <v>0</v>
      </c>
      <c r="G127">
        <v>1</v>
      </c>
      <c r="H127">
        <v>25</v>
      </c>
      <c r="I127">
        <v>4</v>
      </c>
      <c r="K127" t="s">
        <v>286</v>
      </c>
    </row>
    <row r="128" spans="1:11">
      <c r="A128" t="s">
        <v>287</v>
      </c>
      <c r="B128" t="s">
        <v>23</v>
      </c>
      <c r="C128" t="s">
        <v>72</v>
      </c>
      <c r="D128">
        <f>SUM(E128:H128)</f>
        <v>3</v>
      </c>
      <c r="E128">
        <v>0</v>
      </c>
      <c r="F128">
        <v>0</v>
      </c>
      <c r="G128">
        <v>0</v>
      </c>
      <c r="H128">
        <v>3</v>
      </c>
      <c r="I128">
        <v>2</v>
      </c>
      <c r="K128" t="s">
        <v>288</v>
      </c>
    </row>
    <row r="129" spans="1:11">
      <c r="A129" t="s">
        <v>289</v>
      </c>
      <c r="B129" t="s">
        <v>9</v>
      </c>
      <c r="C129" t="s">
        <v>10</v>
      </c>
      <c r="D129">
        <f>SUM(E129:H129)</f>
        <v>26</v>
      </c>
      <c r="E129">
        <v>0</v>
      </c>
      <c r="F129">
        <v>4</v>
      </c>
      <c r="G129">
        <v>1</v>
      </c>
      <c r="H129">
        <v>21</v>
      </c>
      <c r="I129">
        <v>2</v>
      </c>
      <c r="K129" t="s">
        <v>290</v>
      </c>
    </row>
    <row r="130" spans="1:11">
      <c r="A130" t="s">
        <v>291</v>
      </c>
      <c r="B130" t="s">
        <v>9</v>
      </c>
      <c r="C130" t="s">
        <v>10</v>
      </c>
      <c r="D130">
        <f>SUM(E130:H130)</f>
        <v>2</v>
      </c>
      <c r="E130">
        <v>0</v>
      </c>
      <c r="F130">
        <v>0</v>
      </c>
      <c r="G130">
        <v>0</v>
      </c>
      <c r="H130">
        <v>2</v>
      </c>
      <c r="I130">
        <v>1</v>
      </c>
      <c r="K130" t="s">
        <v>292</v>
      </c>
    </row>
    <row r="131" spans="1:11">
      <c r="A131" t="s">
        <v>293</v>
      </c>
      <c r="B131" t="s">
        <v>9</v>
      </c>
      <c r="C131" t="s">
        <v>59</v>
      </c>
      <c r="D131">
        <f>SUM(E131:H131)</f>
        <v>11</v>
      </c>
      <c r="E131">
        <v>0</v>
      </c>
      <c r="F131">
        <v>0</v>
      </c>
      <c r="G131">
        <v>0</v>
      </c>
      <c r="H131">
        <v>11</v>
      </c>
      <c r="I131">
        <v>3</v>
      </c>
      <c r="K131" t="s">
        <v>294</v>
      </c>
    </row>
    <row r="132" spans="1:11">
      <c r="A132" t="s">
        <v>295</v>
      </c>
      <c r="B132" t="s">
        <v>9</v>
      </c>
      <c r="C132" t="s">
        <v>10</v>
      </c>
      <c r="D132">
        <f>SUM(E132:H132)</f>
        <v>5</v>
      </c>
      <c r="E132">
        <v>0</v>
      </c>
      <c r="F132">
        <v>0</v>
      </c>
      <c r="G132">
        <v>0</v>
      </c>
      <c r="H132">
        <v>5</v>
      </c>
      <c r="I132">
        <v>1</v>
      </c>
      <c r="K132" t="s">
        <v>296</v>
      </c>
    </row>
    <row r="133" spans="1:11">
      <c r="A133" t="s">
        <v>297</v>
      </c>
      <c r="B133" t="s">
        <v>41</v>
      </c>
      <c r="C133" t="s">
        <v>101</v>
      </c>
      <c r="D133">
        <f>SUM(E133:H133)</f>
        <v>21</v>
      </c>
      <c r="E133">
        <v>0</v>
      </c>
      <c r="F133">
        <v>4</v>
      </c>
      <c r="G133">
        <v>0</v>
      </c>
      <c r="H133">
        <v>17</v>
      </c>
      <c r="I133">
        <v>3</v>
      </c>
      <c r="K133" t="s">
        <v>298</v>
      </c>
    </row>
    <row r="134" spans="1:11">
      <c r="A134" t="s">
        <v>299</v>
      </c>
      <c r="B134" t="s">
        <v>9</v>
      </c>
      <c r="C134" t="s">
        <v>10</v>
      </c>
      <c r="D134">
        <f>SUM(E134:H134)</f>
        <v>4</v>
      </c>
      <c r="E134">
        <v>0</v>
      </c>
      <c r="F134">
        <v>0</v>
      </c>
      <c r="G134">
        <v>0</v>
      </c>
      <c r="H134">
        <v>4</v>
      </c>
      <c r="I134">
        <v>1</v>
      </c>
      <c r="K134" t="s">
        <v>300</v>
      </c>
    </row>
    <row r="135" spans="1:11">
      <c r="A135" t="s">
        <v>301</v>
      </c>
      <c r="B135" t="s">
        <v>23</v>
      </c>
      <c r="C135" t="s">
        <v>47</v>
      </c>
      <c r="D135">
        <f>SUM(E135:H135)</f>
        <v>8</v>
      </c>
      <c r="E135">
        <v>0</v>
      </c>
      <c r="F135">
        <v>1</v>
      </c>
      <c r="G135">
        <v>1</v>
      </c>
      <c r="H135">
        <v>6</v>
      </c>
      <c r="I135">
        <v>1</v>
      </c>
      <c r="K135" t="s">
        <v>302</v>
      </c>
    </row>
    <row r="136" spans="1:11">
      <c r="A136" t="s">
        <v>303</v>
      </c>
      <c r="B136" t="s">
        <v>23</v>
      </c>
      <c r="C136" t="s">
        <v>32</v>
      </c>
      <c r="D136">
        <f>SUM(E136:H136)</f>
        <v>8</v>
      </c>
      <c r="E136">
        <v>0</v>
      </c>
      <c r="F136">
        <v>0</v>
      </c>
      <c r="G136">
        <v>0</v>
      </c>
      <c r="H136">
        <v>8</v>
      </c>
      <c r="I136">
        <v>2</v>
      </c>
      <c r="K136" t="s">
        <v>304</v>
      </c>
    </row>
    <row r="137" spans="1:11">
      <c r="A137" t="s">
        <v>305</v>
      </c>
      <c r="B137" t="s">
        <v>23</v>
      </c>
      <c r="C137" t="s">
        <v>47</v>
      </c>
      <c r="D137">
        <f>SUM(E137:H137)</f>
        <v>68</v>
      </c>
      <c r="E137">
        <v>1</v>
      </c>
      <c r="F137">
        <v>13</v>
      </c>
      <c r="G137">
        <v>19</v>
      </c>
      <c r="H137">
        <v>35</v>
      </c>
      <c r="I137">
        <v>5</v>
      </c>
      <c r="K137" t="s">
        <v>306</v>
      </c>
    </row>
    <row r="138" spans="1:11">
      <c r="A138" t="s">
        <v>307</v>
      </c>
      <c r="B138" t="s">
        <v>23</v>
      </c>
      <c r="C138" t="s">
        <v>29</v>
      </c>
      <c r="D138">
        <f>SUM(E138:H138)</f>
        <v>34</v>
      </c>
      <c r="E138">
        <v>1</v>
      </c>
      <c r="F138">
        <v>7</v>
      </c>
      <c r="G138">
        <v>2</v>
      </c>
      <c r="H138">
        <v>24</v>
      </c>
      <c r="I138">
        <v>6</v>
      </c>
      <c r="K138" t="s">
        <v>308</v>
      </c>
    </row>
    <row r="139" spans="1:11">
      <c r="A139" t="s">
        <v>309</v>
      </c>
      <c r="B139" t="s">
        <v>9</v>
      </c>
      <c r="C139" t="s">
        <v>86</v>
      </c>
      <c r="D139">
        <f>SUM(E139:H139)</f>
        <v>4</v>
      </c>
      <c r="E139">
        <v>0</v>
      </c>
      <c r="F139">
        <v>0</v>
      </c>
      <c r="G139">
        <v>0</v>
      </c>
      <c r="H139">
        <v>4</v>
      </c>
      <c r="I139">
        <v>1</v>
      </c>
      <c r="K139" t="s">
        <v>310</v>
      </c>
    </row>
    <row r="140" spans="1:11">
      <c r="A140" t="s">
        <v>311</v>
      </c>
      <c r="B140" t="s">
        <v>9</v>
      </c>
      <c r="C140" t="s">
        <v>86</v>
      </c>
      <c r="D140">
        <f>SUM(E140:H140)</f>
        <v>2</v>
      </c>
      <c r="E140">
        <v>0</v>
      </c>
      <c r="F140">
        <v>0</v>
      </c>
      <c r="G140">
        <v>0</v>
      </c>
      <c r="H140">
        <v>2</v>
      </c>
      <c r="I140">
        <v>1</v>
      </c>
      <c r="K140" t="s">
        <v>312</v>
      </c>
    </row>
    <row r="141" spans="1:11">
      <c r="A141" t="s">
        <v>313</v>
      </c>
      <c r="B141" t="s">
        <v>23</v>
      </c>
      <c r="C141" t="s">
        <v>72</v>
      </c>
      <c r="D141">
        <f>SUM(E141:H141)</f>
        <v>12</v>
      </c>
      <c r="E141">
        <v>0</v>
      </c>
      <c r="F141">
        <v>1</v>
      </c>
      <c r="G141">
        <v>0</v>
      </c>
      <c r="H141">
        <v>11</v>
      </c>
      <c r="I141">
        <v>2</v>
      </c>
      <c r="K141" t="s">
        <v>314</v>
      </c>
    </row>
    <row r="142" spans="1:11">
      <c r="A142" t="s">
        <v>315</v>
      </c>
      <c r="B142" t="s">
        <v>23</v>
      </c>
      <c r="C142" t="s">
        <v>29</v>
      </c>
      <c r="D142">
        <f>SUM(E142:H142)</f>
        <v>3</v>
      </c>
      <c r="E142">
        <v>0</v>
      </c>
      <c r="F142">
        <v>0</v>
      </c>
      <c r="G142">
        <v>0</v>
      </c>
      <c r="H142">
        <v>3</v>
      </c>
      <c r="I142">
        <v>2</v>
      </c>
      <c r="K142" t="s">
        <v>316</v>
      </c>
    </row>
    <row r="143" spans="1:11">
      <c r="A143" t="s">
        <v>317</v>
      </c>
      <c r="B143" t="s">
        <v>16</v>
      </c>
      <c r="C143" t="s">
        <v>20</v>
      </c>
      <c r="D143">
        <f>SUM(E143:H143)</f>
        <v>3</v>
      </c>
      <c r="E143">
        <v>0</v>
      </c>
      <c r="F143">
        <v>0</v>
      </c>
      <c r="G143">
        <v>0</v>
      </c>
      <c r="H143">
        <v>3</v>
      </c>
      <c r="I143">
        <v>1</v>
      </c>
      <c r="K143" t="s">
        <v>318</v>
      </c>
    </row>
    <row r="144" spans="1:11">
      <c r="A144" t="s">
        <v>319</v>
      </c>
      <c r="B144" t="s">
        <v>16</v>
      </c>
      <c r="C144" t="s">
        <v>246</v>
      </c>
      <c r="D144">
        <f>SUM(E144:H144)</f>
        <v>6</v>
      </c>
      <c r="E144">
        <v>0</v>
      </c>
      <c r="F144">
        <v>1</v>
      </c>
      <c r="G144">
        <v>0</v>
      </c>
      <c r="H144">
        <v>5</v>
      </c>
      <c r="I144">
        <v>3</v>
      </c>
      <c r="K144" t="s">
        <v>320</v>
      </c>
    </row>
    <row r="145" spans="1:11">
      <c r="A145" t="s">
        <v>321</v>
      </c>
      <c r="B145" t="s">
        <v>23</v>
      </c>
      <c r="C145" t="s">
        <v>29</v>
      </c>
      <c r="D145">
        <f>SUM(E145:H145)</f>
        <v>4</v>
      </c>
      <c r="E145">
        <v>0</v>
      </c>
      <c r="F145">
        <v>1</v>
      </c>
      <c r="G145">
        <v>0</v>
      </c>
      <c r="H145">
        <v>3</v>
      </c>
      <c r="I145">
        <v>2</v>
      </c>
      <c r="K145" t="s">
        <v>322</v>
      </c>
    </row>
    <row r="146" spans="1:11">
      <c r="A146" t="s">
        <v>323</v>
      </c>
      <c r="B146" t="s">
        <v>50</v>
      </c>
      <c r="C146" t="s">
        <v>215</v>
      </c>
      <c r="D146">
        <f>SUM(E146:H146)</f>
        <v>1</v>
      </c>
      <c r="E146">
        <v>0</v>
      </c>
      <c r="F146">
        <v>0</v>
      </c>
      <c r="G146">
        <v>0</v>
      </c>
      <c r="H146">
        <v>1</v>
      </c>
      <c r="I146">
        <v>1</v>
      </c>
      <c r="K146" t="s">
        <v>324</v>
      </c>
    </row>
    <row r="147" spans="1:11">
      <c r="A147" t="s">
        <v>325</v>
      </c>
      <c r="B147" t="s">
        <v>9</v>
      </c>
      <c r="C147" t="s">
        <v>10</v>
      </c>
      <c r="D147">
        <f>SUM(E147:H147)</f>
        <v>1</v>
      </c>
      <c r="E147">
        <v>0</v>
      </c>
      <c r="F147">
        <v>0</v>
      </c>
      <c r="G147">
        <v>0</v>
      </c>
      <c r="H147">
        <v>1</v>
      </c>
      <c r="I147">
        <v>1</v>
      </c>
      <c r="K147" t="s">
        <v>326</v>
      </c>
    </row>
    <row r="148" spans="1:11">
      <c r="A148" t="s">
        <v>327</v>
      </c>
      <c r="B148" t="s">
        <v>23</v>
      </c>
      <c r="C148" t="s">
        <v>72</v>
      </c>
      <c r="D148">
        <f>SUM(E148:H148)</f>
        <v>5</v>
      </c>
      <c r="E148">
        <v>0</v>
      </c>
      <c r="F148">
        <v>2</v>
      </c>
      <c r="G148">
        <v>0</v>
      </c>
      <c r="H148">
        <v>3</v>
      </c>
      <c r="I148">
        <v>2</v>
      </c>
      <c r="K148" t="s">
        <v>328</v>
      </c>
    </row>
    <row r="149" spans="1:11">
      <c r="A149" t="s">
        <v>329</v>
      </c>
      <c r="B149" t="s">
        <v>23</v>
      </c>
      <c r="C149" t="s">
        <v>72</v>
      </c>
      <c r="D149">
        <f>SUM(E149:H149)</f>
        <v>7</v>
      </c>
      <c r="E149">
        <v>0</v>
      </c>
      <c r="F149">
        <v>1</v>
      </c>
      <c r="G149">
        <v>0</v>
      </c>
      <c r="H149">
        <v>6</v>
      </c>
      <c r="I149">
        <v>2</v>
      </c>
      <c r="K149" t="s">
        <v>330</v>
      </c>
    </row>
    <row r="150" spans="1:11">
      <c r="A150" t="s">
        <v>331</v>
      </c>
      <c r="B150" t="s">
        <v>9</v>
      </c>
      <c r="C150" t="s">
        <v>10</v>
      </c>
      <c r="D150">
        <f>SUM(E150:H150)</f>
        <v>2</v>
      </c>
      <c r="E150">
        <v>0</v>
      </c>
      <c r="F150">
        <v>0</v>
      </c>
      <c r="G150">
        <v>0</v>
      </c>
      <c r="H150">
        <v>2</v>
      </c>
      <c r="I150">
        <v>1</v>
      </c>
      <c r="K150" t="s">
        <v>332</v>
      </c>
    </row>
    <row r="151" spans="1:11">
      <c r="A151" t="s">
        <v>333</v>
      </c>
      <c r="B151" t="s">
        <v>9</v>
      </c>
      <c r="C151" t="s">
        <v>10</v>
      </c>
      <c r="D151">
        <f>SUM(E151:H151)</f>
        <v>3</v>
      </c>
      <c r="E151">
        <v>0</v>
      </c>
      <c r="F151">
        <v>0</v>
      </c>
      <c r="G151">
        <v>0</v>
      </c>
      <c r="H151">
        <v>3</v>
      </c>
      <c r="I151">
        <v>2</v>
      </c>
      <c r="K151" t="s">
        <v>334</v>
      </c>
    </row>
    <row r="152" spans="1:11">
      <c r="A152" t="s">
        <v>335</v>
      </c>
      <c r="B152" t="s">
        <v>9</v>
      </c>
      <c r="C152" t="s">
        <v>13</v>
      </c>
      <c r="D152">
        <f>SUM(E152:H152)</f>
        <v>2</v>
      </c>
      <c r="E152">
        <v>0</v>
      </c>
      <c r="F152">
        <v>0</v>
      </c>
      <c r="G152">
        <v>0</v>
      </c>
      <c r="H152">
        <v>2</v>
      </c>
      <c r="I152">
        <v>1</v>
      </c>
      <c r="K152" t="s">
        <v>336</v>
      </c>
    </row>
    <row r="153" spans="1:11">
      <c r="A153" t="s">
        <v>337</v>
      </c>
      <c r="B153" t="s">
        <v>16</v>
      </c>
      <c r="C153" t="s">
        <v>20</v>
      </c>
      <c r="D153">
        <f>SUM(E153:H153)</f>
        <v>19</v>
      </c>
      <c r="E153">
        <v>0</v>
      </c>
      <c r="F153">
        <v>2</v>
      </c>
      <c r="G153">
        <v>1</v>
      </c>
      <c r="H153">
        <v>16</v>
      </c>
      <c r="I153">
        <v>3</v>
      </c>
      <c r="K153" t="s">
        <v>338</v>
      </c>
    </row>
    <row r="154" spans="1:11">
      <c r="A154" t="s">
        <v>339</v>
      </c>
      <c r="B154" t="s">
        <v>16</v>
      </c>
      <c r="C154" t="s">
        <v>20</v>
      </c>
      <c r="D154">
        <f>SUM(E154:H154)</f>
        <v>28</v>
      </c>
      <c r="E154">
        <v>0</v>
      </c>
      <c r="F154">
        <v>4</v>
      </c>
      <c r="G154">
        <v>1</v>
      </c>
      <c r="H154">
        <v>23</v>
      </c>
      <c r="I154">
        <v>6</v>
      </c>
      <c r="K154" t="s">
        <v>340</v>
      </c>
    </row>
    <row r="155" spans="1:11">
      <c r="A155" t="s">
        <v>341</v>
      </c>
      <c r="B155" t="s">
        <v>16</v>
      </c>
      <c r="C155" t="s">
        <v>20</v>
      </c>
      <c r="D155">
        <f>SUM(E155:H155)</f>
        <v>10</v>
      </c>
      <c r="E155">
        <v>0</v>
      </c>
      <c r="F155">
        <v>2</v>
      </c>
      <c r="G155">
        <v>0</v>
      </c>
      <c r="H155">
        <v>8</v>
      </c>
      <c r="I155">
        <v>2</v>
      </c>
      <c r="K155" t="s">
        <v>342</v>
      </c>
    </row>
    <row r="156" spans="1:11">
      <c r="A156" t="s">
        <v>343</v>
      </c>
      <c r="B156" t="s">
        <v>16</v>
      </c>
      <c r="C156" t="s">
        <v>20</v>
      </c>
      <c r="D156">
        <f>SUM(E156:H156)</f>
        <v>1</v>
      </c>
      <c r="E156">
        <v>0</v>
      </c>
      <c r="F156">
        <v>0</v>
      </c>
      <c r="G156">
        <v>0</v>
      </c>
      <c r="H156">
        <v>1</v>
      </c>
      <c r="I156">
        <v>1</v>
      </c>
      <c r="K156" t="s">
        <v>344</v>
      </c>
    </row>
    <row r="157" spans="1:11">
      <c r="A157" t="s">
        <v>345</v>
      </c>
      <c r="B157" t="s">
        <v>16</v>
      </c>
      <c r="C157" t="s">
        <v>92</v>
      </c>
      <c r="D157">
        <f>SUM(E157:H157)</f>
        <v>1</v>
      </c>
      <c r="E157">
        <v>0</v>
      </c>
      <c r="F157">
        <v>0</v>
      </c>
      <c r="G157">
        <v>0</v>
      </c>
      <c r="H157">
        <v>1</v>
      </c>
      <c r="I157">
        <v>1</v>
      </c>
      <c r="K157" t="s">
        <v>346</v>
      </c>
    </row>
    <row r="158" spans="1:11">
      <c r="A158" t="s">
        <v>347</v>
      </c>
      <c r="B158" t="s">
        <v>23</v>
      </c>
      <c r="C158" t="s">
        <v>29</v>
      </c>
      <c r="D158">
        <f>SUM(E158:H158)</f>
        <v>8</v>
      </c>
      <c r="E158">
        <v>0</v>
      </c>
      <c r="F158">
        <v>1</v>
      </c>
      <c r="G158">
        <v>0</v>
      </c>
      <c r="H158">
        <v>7</v>
      </c>
      <c r="I158">
        <v>1</v>
      </c>
      <c r="K158" t="s">
        <v>348</v>
      </c>
    </row>
    <row r="159" spans="1:11">
      <c r="A159" t="s">
        <v>349</v>
      </c>
      <c r="B159" t="s">
        <v>9</v>
      </c>
      <c r="C159" t="s">
        <v>10</v>
      </c>
      <c r="D159">
        <f>SUM(E159:H159)</f>
        <v>4</v>
      </c>
      <c r="E159">
        <v>0</v>
      </c>
      <c r="F159">
        <v>2</v>
      </c>
      <c r="G159">
        <v>0</v>
      </c>
      <c r="H159">
        <v>2</v>
      </c>
      <c r="I159">
        <v>2</v>
      </c>
      <c r="K159" t="s">
        <v>350</v>
      </c>
    </row>
    <row r="160" spans="1:11">
      <c r="A160" t="s">
        <v>351</v>
      </c>
      <c r="B160" t="s">
        <v>9</v>
      </c>
      <c r="C160" t="s">
        <v>13</v>
      </c>
      <c r="D160">
        <f>SUM(E160:H160)</f>
        <v>13</v>
      </c>
      <c r="E160">
        <v>0</v>
      </c>
      <c r="F160">
        <v>1</v>
      </c>
      <c r="G160">
        <v>0</v>
      </c>
      <c r="H160">
        <v>12</v>
      </c>
      <c r="I160">
        <v>2</v>
      </c>
      <c r="K160" t="s">
        <v>352</v>
      </c>
    </row>
    <row r="161" spans="1:11">
      <c r="A161" t="s">
        <v>353</v>
      </c>
      <c r="B161" t="s">
        <v>9</v>
      </c>
      <c r="C161" t="s">
        <v>13</v>
      </c>
      <c r="D161">
        <f>SUM(E161:H161)</f>
        <v>22</v>
      </c>
      <c r="E161">
        <v>0</v>
      </c>
      <c r="F161">
        <v>2</v>
      </c>
      <c r="G161">
        <v>2</v>
      </c>
      <c r="H161">
        <v>18</v>
      </c>
      <c r="I161">
        <v>5</v>
      </c>
      <c r="K161" t="s">
        <v>354</v>
      </c>
    </row>
    <row r="162" spans="1:11">
      <c r="A162" t="s">
        <v>355</v>
      </c>
      <c r="B162" t="s">
        <v>16</v>
      </c>
      <c r="C162" t="s">
        <v>356</v>
      </c>
      <c r="D162">
        <f>SUM(E162:H162)</f>
        <v>24</v>
      </c>
      <c r="E162">
        <v>0</v>
      </c>
      <c r="F162">
        <v>1</v>
      </c>
      <c r="G162">
        <v>2</v>
      </c>
      <c r="H162">
        <v>21</v>
      </c>
      <c r="I162">
        <v>3</v>
      </c>
      <c r="K162" t="s">
        <v>357</v>
      </c>
    </row>
    <row r="163" spans="1:11">
      <c r="A163" t="s">
        <v>358</v>
      </c>
      <c r="B163" t="s">
        <v>9</v>
      </c>
      <c r="C163" t="s">
        <v>10</v>
      </c>
      <c r="D163">
        <f>SUM(E163:H163)</f>
        <v>9</v>
      </c>
      <c r="E163">
        <v>0</v>
      </c>
      <c r="F163">
        <v>1</v>
      </c>
      <c r="G163">
        <v>0</v>
      </c>
      <c r="H163">
        <v>8</v>
      </c>
      <c r="I163">
        <v>1</v>
      </c>
      <c r="K163" t="s">
        <v>359</v>
      </c>
    </row>
    <row r="164" spans="1:11">
      <c r="A164" t="s">
        <v>360</v>
      </c>
      <c r="B164" t="s">
        <v>9</v>
      </c>
      <c r="C164" t="s">
        <v>86</v>
      </c>
      <c r="D164">
        <f>SUM(E164:H164)</f>
        <v>7</v>
      </c>
      <c r="E164">
        <v>0</v>
      </c>
      <c r="F164">
        <v>0</v>
      </c>
      <c r="G164">
        <v>0</v>
      </c>
      <c r="H164">
        <v>7</v>
      </c>
      <c r="I164">
        <v>1</v>
      </c>
      <c r="K164" t="s">
        <v>361</v>
      </c>
    </row>
    <row r="165" spans="1:11">
      <c r="A165" t="s">
        <v>362</v>
      </c>
      <c r="B165" t="s">
        <v>23</v>
      </c>
      <c r="C165" t="s">
        <v>32</v>
      </c>
      <c r="D165">
        <f>SUM(E165:H165)</f>
        <v>47</v>
      </c>
      <c r="E165">
        <v>2</v>
      </c>
      <c r="F165">
        <v>7</v>
      </c>
      <c r="G165">
        <v>15</v>
      </c>
      <c r="H165">
        <v>23</v>
      </c>
      <c r="I165">
        <v>5</v>
      </c>
      <c r="K165" t="s">
        <v>363</v>
      </c>
    </row>
    <row r="166" spans="1:11">
      <c r="A166" t="s">
        <v>364</v>
      </c>
      <c r="B166" t="s">
        <v>41</v>
      </c>
      <c r="C166" t="s">
        <v>101</v>
      </c>
      <c r="D166">
        <f>SUM(E166:H166)</f>
        <v>4</v>
      </c>
      <c r="E166">
        <v>0</v>
      </c>
      <c r="F166">
        <v>1</v>
      </c>
      <c r="G166">
        <v>0</v>
      </c>
      <c r="H166">
        <v>3</v>
      </c>
      <c r="I166">
        <v>2</v>
      </c>
      <c r="K166" t="s">
        <v>365</v>
      </c>
    </row>
    <row r="167" spans="1:11">
      <c r="A167" t="s">
        <v>366</v>
      </c>
      <c r="B167" t="s">
        <v>9</v>
      </c>
      <c r="C167" t="s">
        <v>10</v>
      </c>
      <c r="D167">
        <f>SUM(E167:H167)</f>
        <v>14</v>
      </c>
      <c r="E167">
        <v>0</v>
      </c>
      <c r="F167">
        <v>2</v>
      </c>
      <c r="G167">
        <v>0</v>
      </c>
      <c r="H167">
        <v>12</v>
      </c>
      <c r="I167">
        <v>4</v>
      </c>
      <c r="K167" t="s">
        <v>367</v>
      </c>
    </row>
    <row r="168" spans="1:11">
      <c r="A168" t="s">
        <v>368</v>
      </c>
      <c r="B168" t="s">
        <v>23</v>
      </c>
      <c r="C168" t="s">
        <v>72</v>
      </c>
      <c r="D168">
        <f>SUM(E168:H168)</f>
        <v>25</v>
      </c>
      <c r="E168">
        <v>0</v>
      </c>
      <c r="F168">
        <v>6</v>
      </c>
      <c r="G168">
        <v>3</v>
      </c>
      <c r="H168">
        <v>16</v>
      </c>
      <c r="I168">
        <v>3</v>
      </c>
      <c r="K168" t="s">
        <v>369</v>
      </c>
    </row>
    <row r="169" spans="1:11">
      <c r="A169" t="s">
        <v>370</v>
      </c>
      <c r="B169" t="s">
        <v>9</v>
      </c>
      <c r="C169" t="s">
        <v>13</v>
      </c>
      <c r="D169">
        <f>SUM(E169:H169)</f>
        <v>2</v>
      </c>
      <c r="E169">
        <v>0</v>
      </c>
      <c r="F169">
        <v>0</v>
      </c>
      <c r="G169">
        <v>0</v>
      </c>
      <c r="H169">
        <v>2</v>
      </c>
      <c r="I169">
        <v>1</v>
      </c>
      <c r="K169" t="s">
        <v>371</v>
      </c>
    </row>
    <row r="170" spans="1:11">
      <c r="A170" t="s">
        <v>372</v>
      </c>
      <c r="B170" t="s">
        <v>9</v>
      </c>
      <c r="C170" t="s">
        <v>118</v>
      </c>
      <c r="D170">
        <f>SUM(E170:H170)</f>
        <v>26</v>
      </c>
      <c r="E170">
        <v>0</v>
      </c>
      <c r="F170">
        <v>5</v>
      </c>
      <c r="G170">
        <v>1</v>
      </c>
      <c r="H170">
        <v>20</v>
      </c>
      <c r="I170">
        <v>2</v>
      </c>
      <c r="K170" t="s">
        <v>373</v>
      </c>
    </row>
    <row r="171" spans="1:11">
      <c r="A171" t="s">
        <v>374</v>
      </c>
      <c r="B171" t="s">
        <v>9</v>
      </c>
      <c r="C171" t="s">
        <v>118</v>
      </c>
      <c r="D171">
        <f>SUM(E171:H171)</f>
        <v>18</v>
      </c>
      <c r="E171">
        <v>0</v>
      </c>
      <c r="F171">
        <v>2</v>
      </c>
      <c r="G171">
        <v>0</v>
      </c>
      <c r="H171">
        <v>16</v>
      </c>
      <c r="I171">
        <v>4</v>
      </c>
      <c r="K171" t="s">
        <v>375</v>
      </c>
    </row>
    <row r="172" spans="1:11">
      <c r="A172" t="s">
        <v>376</v>
      </c>
      <c r="B172" t="s">
        <v>41</v>
      </c>
      <c r="C172" t="s">
        <v>77</v>
      </c>
      <c r="D172">
        <f>SUM(E172:H172)</f>
        <v>1</v>
      </c>
      <c r="E172">
        <v>0</v>
      </c>
      <c r="F172">
        <v>0</v>
      </c>
      <c r="G172">
        <v>0</v>
      </c>
      <c r="H172">
        <v>1</v>
      </c>
      <c r="I172">
        <v>1</v>
      </c>
      <c r="K172" t="s">
        <v>377</v>
      </c>
    </row>
    <row r="173" spans="1:11">
      <c r="A173" t="s">
        <v>378</v>
      </c>
      <c r="B173" t="s">
        <v>41</v>
      </c>
      <c r="C173" t="s">
        <v>42</v>
      </c>
      <c r="D173">
        <f>SUM(E173:H173)</f>
        <v>19</v>
      </c>
      <c r="E173">
        <v>0</v>
      </c>
      <c r="F173">
        <v>4</v>
      </c>
      <c r="G173">
        <v>1</v>
      </c>
      <c r="H173">
        <v>14</v>
      </c>
      <c r="I173">
        <v>3</v>
      </c>
      <c r="K173" t="s">
        <v>379</v>
      </c>
    </row>
    <row r="174" spans="1:11">
      <c r="A174" t="s">
        <v>380</v>
      </c>
      <c r="B174" t="s">
        <v>50</v>
      </c>
      <c r="C174" t="s">
        <v>51</v>
      </c>
      <c r="D174">
        <f>SUM(E174:H174)</f>
        <v>12</v>
      </c>
      <c r="E174">
        <v>0</v>
      </c>
      <c r="F174">
        <v>1</v>
      </c>
      <c r="G174">
        <v>0</v>
      </c>
      <c r="H174">
        <v>11</v>
      </c>
      <c r="I174">
        <v>2</v>
      </c>
      <c r="K174" t="s">
        <v>381</v>
      </c>
    </row>
    <row r="175" spans="1:11">
      <c r="A175" t="s">
        <v>382</v>
      </c>
      <c r="B175" t="s">
        <v>16</v>
      </c>
      <c r="C175" t="s">
        <v>92</v>
      </c>
      <c r="D175">
        <f>SUM(E175:H175)</f>
        <v>4</v>
      </c>
      <c r="E175">
        <v>0</v>
      </c>
      <c r="F175">
        <v>0</v>
      </c>
      <c r="G175">
        <v>0</v>
      </c>
      <c r="H175">
        <v>4</v>
      </c>
      <c r="I175">
        <v>1</v>
      </c>
      <c r="K175" t="s">
        <v>383</v>
      </c>
    </row>
    <row r="176" spans="1:11">
      <c r="A176" t="s">
        <v>384</v>
      </c>
      <c r="B176" t="s">
        <v>23</v>
      </c>
      <c r="C176" t="s">
        <v>72</v>
      </c>
      <c r="D176">
        <f>SUM(E176:H176)</f>
        <v>76</v>
      </c>
      <c r="E176">
        <v>1</v>
      </c>
      <c r="F176">
        <v>18</v>
      </c>
      <c r="G176">
        <v>21</v>
      </c>
      <c r="H176">
        <v>36</v>
      </c>
      <c r="I176">
        <v>5</v>
      </c>
      <c r="K176" t="s">
        <v>385</v>
      </c>
    </row>
    <row r="177" spans="1:11">
      <c r="A177" t="s">
        <v>386</v>
      </c>
      <c r="B177" t="s">
        <v>9</v>
      </c>
      <c r="C177" t="s">
        <v>86</v>
      </c>
      <c r="D177">
        <f>SUM(E177:H177)</f>
        <v>25</v>
      </c>
      <c r="E177">
        <v>0</v>
      </c>
      <c r="F177">
        <v>5</v>
      </c>
      <c r="G177">
        <v>2</v>
      </c>
      <c r="H177">
        <v>18</v>
      </c>
      <c r="I177">
        <v>5</v>
      </c>
      <c r="K177" t="s">
        <v>387</v>
      </c>
    </row>
    <row r="178" spans="1:11">
      <c r="A178" t="s">
        <v>388</v>
      </c>
      <c r="B178" t="s">
        <v>23</v>
      </c>
      <c r="C178" t="s">
        <v>72</v>
      </c>
      <c r="D178">
        <f>SUM(E178:H178)</f>
        <v>3</v>
      </c>
      <c r="E178">
        <v>0</v>
      </c>
      <c r="F178">
        <v>1</v>
      </c>
      <c r="G178">
        <v>0</v>
      </c>
      <c r="H178">
        <v>2</v>
      </c>
      <c r="I178">
        <v>2</v>
      </c>
      <c r="K178" t="s">
        <v>389</v>
      </c>
    </row>
    <row r="179" spans="1:11">
      <c r="A179" t="s">
        <v>390</v>
      </c>
      <c r="B179" t="s">
        <v>23</v>
      </c>
      <c r="C179" t="s">
        <v>72</v>
      </c>
      <c r="D179">
        <f>SUM(E179:H179)</f>
        <v>83</v>
      </c>
      <c r="E179">
        <v>4</v>
      </c>
      <c r="F179">
        <v>19</v>
      </c>
      <c r="G179">
        <v>27</v>
      </c>
      <c r="H179">
        <v>33</v>
      </c>
      <c r="I179">
        <v>7</v>
      </c>
      <c r="K179" t="s">
        <v>391</v>
      </c>
    </row>
    <row r="180" spans="1:11">
      <c r="A180" t="s">
        <v>392</v>
      </c>
      <c r="B180" t="s">
        <v>23</v>
      </c>
      <c r="C180" t="s">
        <v>47</v>
      </c>
      <c r="D180">
        <f>SUM(E180:H180)</f>
        <v>5</v>
      </c>
      <c r="E180">
        <v>0</v>
      </c>
      <c r="F180">
        <v>0</v>
      </c>
      <c r="G180">
        <v>0</v>
      </c>
      <c r="H180">
        <v>5</v>
      </c>
      <c r="I180">
        <v>2</v>
      </c>
      <c r="K180" t="s">
        <v>393</v>
      </c>
    </row>
    <row r="181" spans="1:11">
      <c r="A181" t="s">
        <v>394</v>
      </c>
      <c r="B181" t="s">
        <v>16</v>
      </c>
      <c r="C181" t="s">
        <v>20</v>
      </c>
      <c r="D181">
        <f>SUM(E181:H181)</f>
        <v>17</v>
      </c>
      <c r="E181">
        <v>0</v>
      </c>
      <c r="F181">
        <v>0</v>
      </c>
      <c r="G181">
        <v>0</v>
      </c>
      <c r="H181">
        <v>17</v>
      </c>
      <c r="I181">
        <v>3</v>
      </c>
      <c r="K181" t="s">
        <v>395</v>
      </c>
    </row>
    <row r="182" spans="1:11">
      <c r="A182" t="s">
        <v>396</v>
      </c>
      <c r="B182" t="s">
        <v>50</v>
      </c>
      <c r="C182" t="s">
        <v>139</v>
      </c>
      <c r="D182">
        <f>SUM(E182:H182)</f>
        <v>1</v>
      </c>
      <c r="E182">
        <v>0</v>
      </c>
      <c r="F182">
        <v>0</v>
      </c>
      <c r="G182">
        <v>0</v>
      </c>
      <c r="H182">
        <v>1</v>
      </c>
      <c r="I182">
        <v>1</v>
      </c>
      <c r="K182" t="s">
        <v>397</v>
      </c>
    </row>
    <row r="183" spans="1:11">
      <c r="A183" t="s">
        <v>398</v>
      </c>
      <c r="B183" t="s">
        <v>16</v>
      </c>
      <c r="C183" t="s">
        <v>17</v>
      </c>
      <c r="D183">
        <f>SUM(E183:H183)</f>
        <v>4</v>
      </c>
      <c r="E183">
        <v>0</v>
      </c>
      <c r="F183">
        <v>0</v>
      </c>
      <c r="G183">
        <v>0</v>
      </c>
      <c r="H183">
        <v>4</v>
      </c>
      <c r="I183">
        <v>2</v>
      </c>
      <c r="K183" t="s">
        <v>399</v>
      </c>
    </row>
    <row r="184" spans="1:11">
      <c r="A184" t="s">
        <v>400</v>
      </c>
      <c r="B184" t="s">
        <v>9</v>
      </c>
      <c r="C184" t="s">
        <v>13</v>
      </c>
      <c r="D184">
        <f>SUM(E184:H184)</f>
        <v>3</v>
      </c>
      <c r="E184">
        <v>0</v>
      </c>
      <c r="F184">
        <v>0</v>
      </c>
      <c r="G184">
        <v>0</v>
      </c>
      <c r="H184">
        <v>3</v>
      </c>
      <c r="I184">
        <v>1</v>
      </c>
      <c r="K184" t="s">
        <v>401</v>
      </c>
    </row>
    <row r="185" spans="1:11">
      <c r="A185" t="s">
        <v>402</v>
      </c>
      <c r="B185" t="s">
        <v>50</v>
      </c>
      <c r="C185" t="s">
        <v>51</v>
      </c>
      <c r="D185">
        <f>SUM(E185:H185)</f>
        <v>4</v>
      </c>
      <c r="E185">
        <v>0</v>
      </c>
      <c r="F185">
        <v>0</v>
      </c>
      <c r="G185">
        <v>0</v>
      </c>
      <c r="H185">
        <v>4</v>
      </c>
      <c r="I185">
        <v>1</v>
      </c>
      <c r="K185" t="s">
        <v>403</v>
      </c>
    </row>
    <row r="186" spans="1:11">
      <c r="A186" t="s">
        <v>404</v>
      </c>
      <c r="B186" t="s">
        <v>41</v>
      </c>
      <c r="C186" t="s">
        <v>101</v>
      </c>
      <c r="D186">
        <f>SUM(E186:H186)</f>
        <v>14</v>
      </c>
      <c r="E186">
        <v>0</v>
      </c>
      <c r="F186">
        <v>3</v>
      </c>
      <c r="G186">
        <v>0</v>
      </c>
      <c r="H186">
        <v>11</v>
      </c>
      <c r="I186">
        <v>2</v>
      </c>
      <c r="K186" t="s">
        <v>405</v>
      </c>
    </row>
    <row r="187" spans="1:11">
      <c r="A187" t="s">
        <v>406</v>
      </c>
      <c r="B187" t="s">
        <v>16</v>
      </c>
      <c r="C187" t="s">
        <v>20</v>
      </c>
      <c r="D187">
        <f>SUM(E187:H187)</f>
        <v>30</v>
      </c>
      <c r="E187">
        <v>0</v>
      </c>
      <c r="F187">
        <v>6</v>
      </c>
      <c r="G187">
        <v>4</v>
      </c>
      <c r="H187">
        <v>20</v>
      </c>
      <c r="I187">
        <v>7</v>
      </c>
      <c r="K187" t="s">
        <v>407</v>
      </c>
    </row>
    <row r="188" spans="1:11">
      <c r="A188" t="s">
        <v>408</v>
      </c>
      <c r="B188" t="s">
        <v>16</v>
      </c>
      <c r="C188" t="s">
        <v>92</v>
      </c>
      <c r="D188">
        <f>SUM(E188:H188)</f>
        <v>21</v>
      </c>
      <c r="E188">
        <v>0</v>
      </c>
      <c r="F188">
        <v>1</v>
      </c>
      <c r="G188">
        <v>2</v>
      </c>
      <c r="H188">
        <v>18</v>
      </c>
      <c r="I188">
        <v>2</v>
      </c>
      <c r="K188" t="s">
        <v>409</v>
      </c>
    </row>
    <row r="189" spans="1:11">
      <c r="A189" t="s">
        <v>410</v>
      </c>
      <c r="B189" t="s">
        <v>23</v>
      </c>
      <c r="C189" t="s">
        <v>72</v>
      </c>
      <c r="D189">
        <f>SUM(E189:H189)</f>
        <v>4</v>
      </c>
      <c r="E189">
        <v>0</v>
      </c>
      <c r="F189">
        <v>2</v>
      </c>
      <c r="G189">
        <v>1</v>
      </c>
      <c r="H189">
        <v>1</v>
      </c>
      <c r="I189">
        <v>1</v>
      </c>
      <c r="K189" t="s">
        <v>411</v>
      </c>
    </row>
    <row r="190" spans="1:11">
      <c r="A190" t="s">
        <v>412</v>
      </c>
      <c r="B190" t="s">
        <v>41</v>
      </c>
      <c r="C190" t="s">
        <v>77</v>
      </c>
      <c r="D190">
        <f>SUM(E190:H190)</f>
        <v>28</v>
      </c>
      <c r="E190">
        <v>0</v>
      </c>
      <c r="F190">
        <v>7</v>
      </c>
      <c r="G190">
        <v>1</v>
      </c>
      <c r="H190">
        <v>20</v>
      </c>
      <c r="I190">
        <v>2</v>
      </c>
      <c r="K190" t="s">
        <v>413</v>
      </c>
    </row>
    <row r="191" spans="1:11">
      <c r="A191" t="s">
        <v>414</v>
      </c>
      <c r="B191" t="s">
        <v>9</v>
      </c>
      <c r="C191" t="s">
        <v>86</v>
      </c>
      <c r="D191">
        <f>SUM(E191:H191)</f>
        <v>8</v>
      </c>
      <c r="E191">
        <v>0</v>
      </c>
      <c r="F191">
        <v>0</v>
      </c>
      <c r="G191">
        <v>0</v>
      </c>
      <c r="H191">
        <v>8</v>
      </c>
      <c r="I191">
        <v>1</v>
      </c>
      <c r="K191" t="s">
        <v>415</v>
      </c>
    </row>
    <row r="192" spans="1:11">
      <c r="A192" t="s">
        <v>416</v>
      </c>
      <c r="B192" t="s">
        <v>23</v>
      </c>
      <c r="C192" t="s">
        <v>32</v>
      </c>
      <c r="D192">
        <f>SUM(E192:H192)</f>
        <v>4</v>
      </c>
      <c r="E192">
        <v>0</v>
      </c>
      <c r="F192">
        <v>0</v>
      </c>
      <c r="G192">
        <v>0</v>
      </c>
      <c r="H192">
        <v>4</v>
      </c>
      <c r="I192">
        <v>1</v>
      </c>
      <c r="K192" t="s">
        <v>417</v>
      </c>
    </row>
    <row r="193" spans="1:11">
      <c r="A193" t="s">
        <v>418</v>
      </c>
      <c r="B193" t="s">
        <v>23</v>
      </c>
      <c r="C193" t="s">
        <v>47</v>
      </c>
      <c r="D193">
        <f>SUM(E193:H193)</f>
        <v>25</v>
      </c>
      <c r="E193">
        <v>0</v>
      </c>
      <c r="F193">
        <v>3</v>
      </c>
      <c r="G193">
        <v>9</v>
      </c>
      <c r="H193">
        <v>13</v>
      </c>
      <c r="I193">
        <v>7</v>
      </c>
      <c r="K193" t="s">
        <v>419</v>
      </c>
    </row>
    <row r="194" spans="1:11">
      <c r="A194" t="s">
        <v>420</v>
      </c>
      <c r="B194" t="s">
        <v>50</v>
      </c>
      <c r="C194" t="s">
        <v>139</v>
      </c>
      <c r="D194">
        <f>SUM(E194:H194)</f>
        <v>11</v>
      </c>
      <c r="E194">
        <v>0</v>
      </c>
      <c r="F194">
        <v>1</v>
      </c>
      <c r="G194">
        <v>0</v>
      </c>
      <c r="H194">
        <v>10</v>
      </c>
      <c r="I194">
        <v>4</v>
      </c>
      <c r="K194" t="s">
        <v>421</v>
      </c>
    </row>
    <row r="195" spans="1:11">
      <c r="A195" t="s">
        <v>422</v>
      </c>
      <c r="B195" t="s">
        <v>16</v>
      </c>
      <c r="C195" t="s">
        <v>246</v>
      </c>
      <c r="D195">
        <f>SUM(E195:H195)</f>
        <v>60</v>
      </c>
      <c r="E195">
        <v>2</v>
      </c>
      <c r="F195">
        <v>11</v>
      </c>
      <c r="G195">
        <v>12</v>
      </c>
      <c r="H195">
        <v>35</v>
      </c>
      <c r="I195">
        <v>5</v>
      </c>
      <c r="K195" t="s">
        <v>423</v>
      </c>
    </row>
    <row r="196" spans="1:11">
      <c r="A196" t="s">
        <v>424</v>
      </c>
      <c r="B196" t="s">
        <v>16</v>
      </c>
      <c r="C196" t="s">
        <v>89</v>
      </c>
      <c r="D196">
        <f>SUM(E196:H196)</f>
        <v>14</v>
      </c>
      <c r="E196">
        <v>0</v>
      </c>
      <c r="F196">
        <v>1</v>
      </c>
      <c r="G196">
        <v>0</v>
      </c>
      <c r="H196">
        <v>13</v>
      </c>
      <c r="I196">
        <v>4</v>
      </c>
      <c r="K196" t="s">
        <v>425</v>
      </c>
    </row>
    <row r="197" spans="1:11">
      <c r="A197" t="s">
        <v>426</v>
      </c>
      <c r="B197" t="s">
        <v>16</v>
      </c>
      <c r="C197" t="s">
        <v>92</v>
      </c>
      <c r="D197">
        <f>SUM(E197:H197)</f>
        <v>1</v>
      </c>
      <c r="E197">
        <v>0</v>
      </c>
      <c r="F197">
        <v>0</v>
      </c>
      <c r="G197">
        <v>0</v>
      </c>
      <c r="H197">
        <v>1</v>
      </c>
      <c r="I197">
        <v>1</v>
      </c>
      <c r="K197" t="s">
        <v>427</v>
      </c>
    </row>
    <row r="198" spans="1:11">
      <c r="A198" t="s">
        <v>428</v>
      </c>
      <c r="B198" t="s">
        <v>16</v>
      </c>
      <c r="C198" t="s">
        <v>17</v>
      </c>
      <c r="D198">
        <f>SUM(E198:H198)</f>
        <v>2</v>
      </c>
      <c r="E198">
        <v>0</v>
      </c>
      <c r="F198">
        <v>0</v>
      </c>
      <c r="G198">
        <v>0</v>
      </c>
      <c r="H198">
        <v>2</v>
      </c>
      <c r="I198">
        <v>1</v>
      </c>
      <c r="K198" t="s">
        <v>429</v>
      </c>
    </row>
    <row r="199" spans="1:11">
      <c r="A199" t="s">
        <v>430</v>
      </c>
      <c r="B199" t="s">
        <v>16</v>
      </c>
      <c r="C199" t="s">
        <v>92</v>
      </c>
      <c r="D199">
        <f>SUM(E199:H199)</f>
        <v>1</v>
      </c>
      <c r="E199">
        <v>0</v>
      </c>
      <c r="F199">
        <v>0</v>
      </c>
      <c r="G199">
        <v>0</v>
      </c>
      <c r="H199">
        <v>1</v>
      </c>
      <c r="I199">
        <v>1</v>
      </c>
      <c r="K199" t="s">
        <v>431</v>
      </c>
    </row>
    <row r="200" spans="1:11">
      <c r="A200" t="s">
        <v>432</v>
      </c>
      <c r="B200" t="s">
        <v>16</v>
      </c>
      <c r="C200" t="s">
        <v>17</v>
      </c>
      <c r="D200">
        <f>SUM(E200:H200)</f>
        <v>3</v>
      </c>
      <c r="E200">
        <v>0</v>
      </c>
      <c r="F200">
        <v>0</v>
      </c>
      <c r="G200">
        <v>0</v>
      </c>
      <c r="H200">
        <v>3</v>
      </c>
      <c r="I200">
        <v>1</v>
      </c>
      <c r="K200" t="s">
        <v>433</v>
      </c>
    </row>
    <row r="201" spans="1:11">
      <c r="A201" t="s">
        <v>434</v>
      </c>
      <c r="B201" t="s">
        <v>23</v>
      </c>
      <c r="C201" t="s">
        <v>32</v>
      </c>
      <c r="D201">
        <f>SUM(E201:H201)</f>
        <v>7</v>
      </c>
      <c r="E201">
        <v>0</v>
      </c>
      <c r="F201">
        <v>2</v>
      </c>
      <c r="G201">
        <v>0</v>
      </c>
      <c r="H201">
        <v>5</v>
      </c>
      <c r="I201">
        <v>1</v>
      </c>
      <c r="K201" t="s">
        <v>435</v>
      </c>
    </row>
    <row r="202" spans="1:11">
      <c r="A202" t="s">
        <v>436</v>
      </c>
      <c r="B202" t="s">
        <v>23</v>
      </c>
      <c r="C202" t="s">
        <v>32</v>
      </c>
      <c r="D202">
        <f>SUM(E202:H202)</f>
        <v>27</v>
      </c>
      <c r="E202">
        <v>1</v>
      </c>
      <c r="F202">
        <v>6</v>
      </c>
      <c r="G202">
        <v>2</v>
      </c>
      <c r="H202">
        <v>18</v>
      </c>
      <c r="I202">
        <v>3</v>
      </c>
      <c r="K202" t="s">
        <v>437</v>
      </c>
    </row>
    <row r="203" spans="1:11">
      <c r="A203" t="s">
        <v>438</v>
      </c>
      <c r="B203" t="s">
        <v>23</v>
      </c>
      <c r="C203" t="s">
        <v>24</v>
      </c>
      <c r="D203">
        <f>SUM(E203:H203)</f>
        <v>61</v>
      </c>
      <c r="E203">
        <v>2</v>
      </c>
      <c r="F203">
        <v>14</v>
      </c>
      <c r="G203">
        <v>10</v>
      </c>
      <c r="H203">
        <v>35</v>
      </c>
      <c r="I203">
        <v>3</v>
      </c>
      <c r="K203" t="s">
        <v>439</v>
      </c>
    </row>
    <row r="204" spans="1:11">
      <c r="A204" t="s">
        <v>440</v>
      </c>
      <c r="B204" t="s">
        <v>23</v>
      </c>
      <c r="C204" t="s">
        <v>32</v>
      </c>
      <c r="D204">
        <f>SUM(E204:H204)</f>
        <v>3</v>
      </c>
      <c r="E204">
        <v>0</v>
      </c>
      <c r="F204">
        <v>0</v>
      </c>
      <c r="G204">
        <v>0</v>
      </c>
      <c r="H204">
        <v>3</v>
      </c>
      <c r="I204">
        <v>1</v>
      </c>
      <c r="K204" t="s">
        <v>441</v>
      </c>
    </row>
    <row r="205" spans="1:11">
      <c r="A205" t="s">
        <v>442</v>
      </c>
      <c r="B205" t="s">
        <v>23</v>
      </c>
      <c r="C205" t="s">
        <v>72</v>
      </c>
      <c r="D205">
        <f>SUM(E205:H205)</f>
        <v>9</v>
      </c>
      <c r="E205">
        <v>0</v>
      </c>
      <c r="F205">
        <v>2</v>
      </c>
      <c r="G205">
        <v>1</v>
      </c>
      <c r="H205">
        <v>6</v>
      </c>
      <c r="I205">
        <v>4</v>
      </c>
      <c r="K205" t="s">
        <v>443</v>
      </c>
    </row>
    <row r="206" spans="1:11">
      <c r="A206" t="s">
        <v>444</v>
      </c>
      <c r="B206" t="s">
        <v>23</v>
      </c>
      <c r="C206" t="s">
        <v>29</v>
      </c>
      <c r="D206">
        <f>SUM(E206:H206)</f>
        <v>3</v>
      </c>
      <c r="E206">
        <v>0</v>
      </c>
      <c r="F206">
        <v>0</v>
      </c>
      <c r="G206">
        <v>0</v>
      </c>
      <c r="H206">
        <v>3</v>
      </c>
      <c r="I206">
        <v>1</v>
      </c>
      <c r="K206" t="s">
        <v>445</v>
      </c>
    </row>
    <row r="207" spans="1:11">
      <c r="A207" t="s">
        <v>446</v>
      </c>
      <c r="B207" t="s">
        <v>9</v>
      </c>
      <c r="C207" t="s">
        <v>10</v>
      </c>
      <c r="D207">
        <f>SUM(E207:H207)</f>
        <v>1</v>
      </c>
      <c r="E207">
        <v>0</v>
      </c>
      <c r="F207">
        <v>0</v>
      </c>
      <c r="G207">
        <v>0</v>
      </c>
      <c r="H207">
        <v>1</v>
      </c>
      <c r="I207">
        <v>1</v>
      </c>
      <c r="K207" t="s">
        <v>447</v>
      </c>
    </row>
    <row r="208" spans="1:11">
      <c r="A208" t="s">
        <v>448</v>
      </c>
      <c r="B208" t="s">
        <v>9</v>
      </c>
      <c r="C208" t="s">
        <v>118</v>
      </c>
      <c r="D208">
        <f>SUM(E208:H208)</f>
        <v>3</v>
      </c>
      <c r="E208">
        <v>0</v>
      </c>
      <c r="F208">
        <v>0</v>
      </c>
      <c r="G208">
        <v>0</v>
      </c>
      <c r="H208">
        <v>3</v>
      </c>
      <c r="I208">
        <v>1</v>
      </c>
      <c r="K208" t="s">
        <v>449</v>
      </c>
    </row>
    <row r="209" spans="1:11">
      <c r="A209" t="s">
        <v>450</v>
      </c>
      <c r="B209" t="s">
        <v>9</v>
      </c>
      <c r="C209" t="s">
        <v>10</v>
      </c>
      <c r="D209">
        <f>SUM(E209:H209)</f>
        <v>3</v>
      </c>
      <c r="E209">
        <v>0</v>
      </c>
      <c r="F209">
        <v>0</v>
      </c>
      <c r="G209">
        <v>0</v>
      </c>
      <c r="H209">
        <v>3</v>
      </c>
      <c r="I209">
        <v>1</v>
      </c>
      <c r="K209" t="s">
        <v>451</v>
      </c>
    </row>
    <row r="210" spans="1:11">
      <c r="A210" t="s">
        <v>452</v>
      </c>
      <c r="B210" t="s">
        <v>23</v>
      </c>
      <c r="C210" t="s">
        <v>47</v>
      </c>
      <c r="D210">
        <f>SUM(E210:H210)</f>
        <v>7</v>
      </c>
      <c r="E210">
        <v>0</v>
      </c>
      <c r="F210">
        <v>1</v>
      </c>
      <c r="G210">
        <v>0</v>
      </c>
      <c r="H210">
        <v>6</v>
      </c>
      <c r="I210">
        <v>2</v>
      </c>
      <c r="K210" t="s">
        <v>453</v>
      </c>
    </row>
    <row r="211" spans="1:11">
      <c r="A211" t="s">
        <v>454</v>
      </c>
      <c r="B211" t="s">
        <v>50</v>
      </c>
      <c r="C211" t="s">
        <v>51</v>
      </c>
      <c r="D211">
        <f>SUM(E211:H211)</f>
        <v>21</v>
      </c>
      <c r="E211">
        <v>0</v>
      </c>
      <c r="F211">
        <v>5</v>
      </c>
      <c r="G211">
        <v>1</v>
      </c>
      <c r="H211">
        <v>15</v>
      </c>
      <c r="I211">
        <v>4</v>
      </c>
      <c r="K211" t="s">
        <v>455</v>
      </c>
    </row>
    <row r="212" spans="1:11">
      <c r="A212" t="s">
        <v>456</v>
      </c>
      <c r="B212" t="s">
        <v>23</v>
      </c>
      <c r="C212" t="s">
        <v>24</v>
      </c>
      <c r="D212">
        <f>SUM(E212:H212)</f>
        <v>8</v>
      </c>
      <c r="E212">
        <v>0</v>
      </c>
      <c r="F212">
        <v>1</v>
      </c>
      <c r="G212">
        <v>0</v>
      </c>
      <c r="H212">
        <v>7</v>
      </c>
      <c r="I212">
        <v>4</v>
      </c>
      <c r="K212" t="s">
        <v>457</v>
      </c>
    </row>
    <row r="213" spans="1:11">
      <c r="A213" t="s">
        <v>458</v>
      </c>
      <c r="B213" t="s">
        <v>9</v>
      </c>
      <c r="C213" t="s">
        <v>13</v>
      </c>
      <c r="D213">
        <f>SUM(E213:H213)</f>
        <v>7</v>
      </c>
      <c r="E213">
        <v>0</v>
      </c>
      <c r="F213">
        <v>0</v>
      </c>
      <c r="G213">
        <v>0</v>
      </c>
      <c r="H213">
        <v>7</v>
      </c>
      <c r="I213">
        <v>2</v>
      </c>
      <c r="K213" t="s">
        <v>459</v>
      </c>
    </row>
    <row r="214" spans="1:11">
      <c r="A214" t="s">
        <v>460</v>
      </c>
      <c r="B214" t="s">
        <v>9</v>
      </c>
      <c r="C214" t="s">
        <v>118</v>
      </c>
      <c r="D214">
        <f>SUM(E214:H214)</f>
        <v>33</v>
      </c>
      <c r="E214">
        <v>1</v>
      </c>
      <c r="F214">
        <v>5</v>
      </c>
      <c r="G214">
        <v>2</v>
      </c>
      <c r="H214">
        <v>25</v>
      </c>
      <c r="I214">
        <v>5</v>
      </c>
      <c r="K214" t="s">
        <v>461</v>
      </c>
    </row>
    <row r="215" spans="1:11">
      <c r="A215" t="s">
        <v>462</v>
      </c>
      <c r="B215" t="s">
        <v>9</v>
      </c>
      <c r="C215" t="s">
        <v>118</v>
      </c>
      <c r="D215">
        <f>SUM(E215:H215)</f>
        <v>5</v>
      </c>
      <c r="E215">
        <v>0</v>
      </c>
      <c r="F215">
        <v>0</v>
      </c>
      <c r="G215">
        <v>0</v>
      </c>
      <c r="H215">
        <v>5</v>
      </c>
      <c r="I215">
        <v>2</v>
      </c>
      <c r="K215" t="s">
        <v>463</v>
      </c>
    </row>
    <row r="216" spans="1:11">
      <c r="A216" t="s">
        <v>464</v>
      </c>
      <c r="B216" t="s">
        <v>23</v>
      </c>
      <c r="C216" t="s">
        <v>72</v>
      </c>
      <c r="D216">
        <f>SUM(E216:H216)</f>
        <v>11</v>
      </c>
      <c r="E216">
        <v>0</v>
      </c>
      <c r="F216">
        <v>2</v>
      </c>
      <c r="G216">
        <v>2</v>
      </c>
      <c r="H216">
        <v>7</v>
      </c>
      <c r="I216">
        <v>5</v>
      </c>
      <c r="K216" t="s">
        <v>465</v>
      </c>
    </row>
    <row r="217" spans="1:11">
      <c r="A217" t="s">
        <v>466</v>
      </c>
      <c r="B217" t="s">
        <v>50</v>
      </c>
      <c r="C217" t="s">
        <v>51</v>
      </c>
      <c r="D217">
        <f>SUM(E217:H217)</f>
        <v>34</v>
      </c>
      <c r="E217">
        <v>1</v>
      </c>
      <c r="F217">
        <v>9</v>
      </c>
      <c r="G217">
        <v>2</v>
      </c>
      <c r="H217">
        <v>22</v>
      </c>
      <c r="I217">
        <v>6</v>
      </c>
      <c r="K217" t="s">
        <v>467</v>
      </c>
    </row>
    <row r="218" spans="1:11">
      <c r="A218" t="s">
        <v>468</v>
      </c>
      <c r="B218" t="s">
        <v>23</v>
      </c>
      <c r="C218" t="s">
        <v>47</v>
      </c>
      <c r="D218">
        <f>SUM(E218:H218)</f>
        <v>2</v>
      </c>
      <c r="E218">
        <v>0</v>
      </c>
      <c r="F218">
        <v>0</v>
      </c>
      <c r="G218">
        <v>0</v>
      </c>
      <c r="H218">
        <v>2</v>
      </c>
      <c r="I218">
        <v>2</v>
      </c>
      <c r="K218" t="s">
        <v>469</v>
      </c>
    </row>
    <row r="219" spans="1:11">
      <c r="A219" t="s">
        <v>470</v>
      </c>
      <c r="B219" t="s">
        <v>9</v>
      </c>
      <c r="C219" t="s">
        <v>13</v>
      </c>
      <c r="D219">
        <f>SUM(E219:H219)</f>
        <v>1</v>
      </c>
      <c r="E219">
        <v>0</v>
      </c>
      <c r="F219">
        <v>0</v>
      </c>
      <c r="G219">
        <v>0</v>
      </c>
      <c r="H219">
        <v>1</v>
      </c>
      <c r="I219">
        <v>1</v>
      </c>
      <c r="K219" t="s">
        <v>471</v>
      </c>
    </row>
    <row r="220" spans="1:11">
      <c r="A220" t="s">
        <v>472</v>
      </c>
      <c r="B220" t="s">
        <v>23</v>
      </c>
      <c r="C220" t="s">
        <v>47</v>
      </c>
      <c r="D220">
        <f>SUM(E220:H220)</f>
        <v>4</v>
      </c>
      <c r="E220">
        <v>0</v>
      </c>
      <c r="F220">
        <v>0</v>
      </c>
      <c r="G220">
        <v>0</v>
      </c>
      <c r="H220">
        <v>4</v>
      </c>
      <c r="I220">
        <v>1</v>
      </c>
      <c r="K220" t="s">
        <v>473</v>
      </c>
    </row>
    <row r="221" spans="1:11">
      <c r="A221" t="s">
        <v>474</v>
      </c>
      <c r="B221" t="s">
        <v>9</v>
      </c>
      <c r="C221" t="s">
        <v>10</v>
      </c>
      <c r="D221">
        <f>SUM(E221:H221)</f>
        <v>30</v>
      </c>
      <c r="E221">
        <v>0</v>
      </c>
      <c r="F221">
        <v>3</v>
      </c>
      <c r="G221">
        <v>0</v>
      </c>
      <c r="H221">
        <v>27</v>
      </c>
      <c r="I221">
        <v>3</v>
      </c>
      <c r="K221" t="s">
        <v>475</v>
      </c>
    </row>
    <row r="222" spans="1:11">
      <c r="A222" t="s">
        <v>476</v>
      </c>
      <c r="B222" t="s">
        <v>16</v>
      </c>
      <c r="C222" t="s">
        <v>20</v>
      </c>
      <c r="D222">
        <f>SUM(E222:H222)</f>
        <v>10</v>
      </c>
      <c r="E222">
        <v>0</v>
      </c>
      <c r="F222">
        <v>0</v>
      </c>
      <c r="G222">
        <v>0</v>
      </c>
      <c r="H222">
        <v>10</v>
      </c>
      <c r="I222">
        <v>3</v>
      </c>
      <c r="K222" t="s">
        <v>477</v>
      </c>
    </row>
    <row r="223" spans="1:11">
      <c r="A223" t="s">
        <v>478</v>
      </c>
      <c r="B223" t="s">
        <v>9</v>
      </c>
      <c r="C223" t="s">
        <v>10</v>
      </c>
      <c r="D223">
        <f>SUM(E223:H223)</f>
        <v>2</v>
      </c>
      <c r="E223">
        <v>0</v>
      </c>
      <c r="F223">
        <v>0</v>
      </c>
      <c r="G223">
        <v>0</v>
      </c>
      <c r="H223">
        <v>2</v>
      </c>
      <c r="I223">
        <v>1</v>
      </c>
      <c r="K223" t="s">
        <v>479</v>
      </c>
    </row>
    <row r="224" spans="1:11">
      <c r="A224" t="s">
        <v>480</v>
      </c>
      <c r="B224" t="s">
        <v>50</v>
      </c>
      <c r="C224" t="s">
        <v>139</v>
      </c>
      <c r="D224">
        <f>SUM(E224:H224)</f>
        <v>19</v>
      </c>
      <c r="E224">
        <v>0</v>
      </c>
      <c r="F224">
        <v>5</v>
      </c>
      <c r="G224">
        <v>0</v>
      </c>
      <c r="H224">
        <v>14</v>
      </c>
      <c r="I224">
        <v>3</v>
      </c>
      <c r="K224" t="s">
        <v>481</v>
      </c>
    </row>
    <row r="225" spans="1:11">
      <c r="A225" t="s">
        <v>482</v>
      </c>
      <c r="B225" t="s">
        <v>50</v>
      </c>
      <c r="C225" t="s">
        <v>51</v>
      </c>
      <c r="D225">
        <f>SUM(E225:H225)</f>
        <v>25</v>
      </c>
      <c r="E225">
        <v>0</v>
      </c>
      <c r="F225">
        <v>5</v>
      </c>
      <c r="G225">
        <v>0</v>
      </c>
      <c r="H225">
        <v>20</v>
      </c>
      <c r="I225">
        <v>3</v>
      </c>
      <c r="K225" t="s">
        <v>483</v>
      </c>
    </row>
    <row r="226" spans="1:11">
      <c r="A226" t="s">
        <v>484</v>
      </c>
      <c r="B226" t="s">
        <v>9</v>
      </c>
      <c r="C226" t="s">
        <v>54</v>
      </c>
      <c r="D226">
        <f>SUM(E226:H226)</f>
        <v>15</v>
      </c>
      <c r="E226">
        <v>1</v>
      </c>
      <c r="F226">
        <v>0</v>
      </c>
      <c r="G226">
        <v>0</v>
      </c>
      <c r="H226">
        <v>14</v>
      </c>
      <c r="I226">
        <v>1</v>
      </c>
      <c r="K226" t="s">
        <v>485</v>
      </c>
    </row>
    <row r="227" spans="1:11">
      <c r="A227" t="s">
        <v>486</v>
      </c>
      <c r="B227" t="s">
        <v>9</v>
      </c>
      <c r="C227" t="s">
        <v>54</v>
      </c>
      <c r="D227">
        <f>SUM(E227:H227)</f>
        <v>75</v>
      </c>
      <c r="E227">
        <v>3</v>
      </c>
      <c r="F227">
        <v>16</v>
      </c>
      <c r="G227">
        <v>12</v>
      </c>
      <c r="H227">
        <v>44</v>
      </c>
      <c r="I227">
        <v>4</v>
      </c>
      <c r="K227" t="s">
        <v>487</v>
      </c>
    </row>
    <row r="228" spans="1:11">
      <c r="A228" t="s">
        <v>488</v>
      </c>
      <c r="B228" t="s">
        <v>23</v>
      </c>
      <c r="C228" t="s">
        <v>29</v>
      </c>
      <c r="D228">
        <f>SUM(E228:H228)</f>
        <v>5</v>
      </c>
      <c r="E228">
        <v>0</v>
      </c>
      <c r="F228">
        <v>0</v>
      </c>
      <c r="G228">
        <v>0</v>
      </c>
      <c r="H228">
        <v>5</v>
      </c>
      <c r="I228">
        <v>1</v>
      </c>
      <c r="K228" t="s">
        <v>489</v>
      </c>
    </row>
    <row r="229" spans="1:11">
      <c r="A229" t="s">
        <v>490</v>
      </c>
      <c r="B229" t="s">
        <v>50</v>
      </c>
      <c r="C229" t="s">
        <v>139</v>
      </c>
      <c r="D229">
        <f>SUM(E229:H229)</f>
        <v>8</v>
      </c>
      <c r="E229">
        <v>0</v>
      </c>
      <c r="F229">
        <v>1</v>
      </c>
      <c r="G229">
        <v>0</v>
      </c>
      <c r="H229">
        <v>7</v>
      </c>
      <c r="I229">
        <v>3</v>
      </c>
      <c r="K229" t="s">
        <v>491</v>
      </c>
    </row>
    <row r="230" spans="1:11">
      <c r="A230" t="s">
        <v>492</v>
      </c>
      <c r="B230" t="s">
        <v>23</v>
      </c>
      <c r="C230" t="s">
        <v>32</v>
      </c>
      <c r="D230">
        <f>SUM(E230:H230)</f>
        <v>4</v>
      </c>
      <c r="E230">
        <v>0</v>
      </c>
      <c r="F230">
        <v>0</v>
      </c>
      <c r="G230">
        <v>0</v>
      </c>
      <c r="H230">
        <v>4</v>
      </c>
      <c r="I230">
        <v>2</v>
      </c>
      <c r="K230" t="s">
        <v>493</v>
      </c>
    </row>
    <row r="231" spans="1:11">
      <c r="A231" t="s">
        <v>494</v>
      </c>
      <c r="B231" t="s">
        <v>16</v>
      </c>
      <c r="C231" t="s">
        <v>356</v>
      </c>
      <c r="D231">
        <f>SUM(E231:H231)</f>
        <v>1</v>
      </c>
      <c r="E231">
        <v>0</v>
      </c>
      <c r="F231">
        <v>0</v>
      </c>
      <c r="G231">
        <v>0</v>
      </c>
      <c r="H231">
        <v>1</v>
      </c>
      <c r="I231">
        <v>1</v>
      </c>
      <c r="K231" t="s">
        <v>495</v>
      </c>
    </row>
    <row r="232" spans="1:11">
      <c r="A232" t="s">
        <v>496</v>
      </c>
      <c r="B232" t="s">
        <v>41</v>
      </c>
      <c r="C232" t="s">
        <v>77</v>
      </c>
      <c r="D232">
        <f>SUM(E232:H232)</f>
        <v>5</v>
      </c>
      <c r="E232">
        <v>0</v>
      </c>
      <c r="F232">
        <v>2</v>
      </c>
      <c r="G232">
        <v>0</v>
      </c>
      <c r="H232">
        <v>3</v>
      </c>
      <c r="I232">
        <v>3</v>
      </c>
      <c r="K232" t="s">
        <v>497</v>
      </c>
    </row>
    <row r="233" spans="1:11">
      <c r="A233" t="s">
        <v>498</v>
      </c>
      <c r="B233" t="s">
        <v>16</v>
      </c>
      <c r="C233" t="s">
        <v>20</v>
      </c>
      <c r="D233">
        <f>SUM(E233:H233)</f>
        <v>2</v>
      </c>
      <c r="E233">
        <v>0</v>
      </c>
      <c r="F233">
        <v>0</v>
      </c>
      <c r="G233">
        <v>0</v>
      </c>
      <c r="H233">
        <v>2</v>
      </c>
      <c r="I233">
        <v>2</v>
      </c>
      <c r="K233" t="s">
        <v>499</v>
      </c>
    </row>
    <row r="234" spans="1:11">
      <c r="A234" t="s">
        <v>500</v>
      </c>
      <c r="B234" t="s">
        <v>16</v>
      </c>
      <c r="C234" t="s">
        <v>17</v>
      </c>
      <c r="D234">
        <f>SUM(E234:H234)</f>
        <v>1</v>
      </c>
      <c r="E234">
        <v>0</v>
      </c>
      <c r="F234">
        <v>0</v>
      </c>
      <c r="G234">
        <v>0</v>
      </c>
      <c r="H234">
        <v>1</v>
      </c>
      <c r="I234">
        <v>1</v>
      </c>
      <c r="K234" t="s">
        <v>501</v>
      </c>
    </row>
    <row r="235" spans="1:11">
      <c r="A235" t="s">
        <v>502</v>
      </c>
      <c r="B235" t="s">
        <v>16</v>
      </c>
      <c r="C235" t="s">
        <v>246</v>
      </c>
      <c r="D235">
        <f>SUM(E235:H235)</f>
        <v>2</v>
      </c>
      <c r="E235">
        <v>0</v>
      </c>
      <c r="F235">
        <v>0</v>
      </c>
      <c r="G235">
        <v>0</v>
      </c>
      <c r="H235">
        <v>2</v>
      </c>
      <c r="I235">
        <v>2</v>
      </c>
      <c r="K235" t="s">
        <v>503</v>
      </c>
    </row>
    <row r="236" spans="1:11">
      <c r="A236" t="s">
        <v>504</v>
      </c>
      <c r="B236" t="s">
        <v>9</v>
      </c>
      <c r="C236" t="s">
        <v>10</v>
      </c>
      <c r="D236">
        <f>SUM(E236:H236)</f>
        <v>21</v>
      </c>
      <c r="E236">
        <v>0</v>
      </c>
      <c r="F236">
        <v>3</v>
      </c>
      <c r="G236">
        <v>0</v>
      </c>
      <c r="H236">
        <v>18</v>
      </c>
      <c r="I236">
        <v>2</v>
      </c>
      <c r="K236" t="s">
        <v>505</v>
      </c>
    </row>
    <row r="237" spans="1:11">
      <c r="A237" t="s">
        <v>506</v>
      </c>
      <c r="B237" t="s">
        <v>9</v>
      </c>
      <c r="C237" t="s">
        <v>10</v>
      </c>
      <c r="D237">
        <f>SUM(E237:H237)</f>
        <v>8</v>
      </c>
      <c r="E237">
        <v>0</v>
      </c>
      <c r="F237">
        <v>2</v>
      </c>
      <c r="G237">
        <v>0</v>
      </c>
      <c r="H237">
        <v>6</v>
      </c>
      <c r="I237">
        <v>3</v>
      </c>
      <c r="K237" t="s">
        <v>507</v>
      </c>
    </row>
    <row r="238" spans="1:11">
      <c r="A238" t="s">
        <v>508</v>
      </c>
      <c r="B238" t="s">
        <v>9</v>
      </c>
      <c r="C238" t="s">
        <v>54</v>
      </c>
      <c r="D238">
        <f>SUM(E238:H238)</f>
        <v>2</v>
      </c>
      <c r="E238">
        <v>0</v>
      </c>
      <c r="F238">
        <v>0</v>
      </c>
      <c r="G238">
        <v>0</v>
      </c>
      <c r="H238">
        <v>2</v>
      </c>
      <c r="I238">
        <v>1</v>
      </c>
      <c r="K238" t="s">
        <v>509</v>
      </c>
    </row>
    <row r="239" spans="1:11">
      <c r="A239" t="s">
        <v>510</v>
      </c>
      <c r="B239" t="s">
        <v>50</v>
      </c>
      <c r="C239" t="s">
        <v>51</v>
      </c>
      <c r="D239">
        <f>SUM(E239:H239)</f>
        <v>2</v>
      </c>
      <c r="E239">
        <v>0</v>
      </c>
      <c r="F239">
        <v>0</v>
      </c>
      <c r="G239">
        <v>0</v>
      </c>
      <c r="H239">
        <v>2</v>
      </c>
      <c r="I239">
        <v>2</v>
      </c>
      <c r="K239" t="s">
        <v>511</v>
      </c>
    </row>
    <row r="240" spans="1:11">
      <c r="A240" t="s">
        <v>512</v>
      </c>
      <c r="B240" t="s">
        <v>23</v>
      </c>
      <c r="C240" t="s">
        <v>47</v>
      </c>
      <c r="D240">
        <f>SUM(E240:H240)</f>
        <v>2</v>
      </c>
      <c r="E240">
        <v>0</v>
      </c>
      <c r="F240">
        <v>0</v>
      </c>
      <c r="G240">
        <v>0</v>
      </c>
      <c r="H240">
        <v>2</v>
      </c>
      <c r="I240">
        <v>1</v>
      </c>
      <c r="K240" t="s">
        <v>513</v>
      </c>
    </row>
    <row r="241" spans="1:11">
      <c r="A241" t="s">
        <v>514</v>
      </c>
      <c r="B241" t="s">
        <v>23</v>
      </c>
      <c r="C241" t="s">
        <v>47</v>
      </c>
      <c r="D241">
        <f>SUM(E241:H241)</f>
        <v>4</v>
      </c>
      <c r="E241">
        <v>0</v>
      </c>
      <c r="F241">
        <v>0</v>
      </c>
      <c r="G241">
        <v>0</v>
      </c>
      <c r="H241">
        <v>4</v>
      </c>
      <c r="I241">
        <v>1</v>
      </c>
      <c r="K241" t="s">
        <v>515</v>
      </c>
    </row>
    <row r="242" spans="1:11">
      <c r="A242" t="s">
        <v>516</v>
      </c>
      <c r="B242" t="s">
        <v>23</v>
      </c>
      <c r="C242" t="s">
        <v>47</v>
      </c>
      <c r="D242">
        <f>SUM(E242:H242)</f>
        <v>7</v>
      </c>
      <c r="E242">
        <v>0</v>
      </c>
      <c r="F242">
        <v>0</v>
      </c>
      <c r="G242">
        <v>1</v>
      </c>
      <c r="H242">
        <v>6</v>
      </c>
      <c r="I242">
        <v>3</v>
      </c>
      <c r="K242" t="s">
        <v>517</v>
      </c>
    </row>
    <row r="243" spans="1:11">
      <c r="A243" t="s">
        <v>518</v>
      </c>
      <c r="B243" t="s">
        <v>16</v>
      </c>
      <c r="C243" t="s">
        <v>246</v>
      </c>
      <c r="D243">
        <f>SUM(E243:H243)</f>
        <v>4</v>
      </c>
      <c r="E243">
        <v>0</v>
      </c>
      <c r="F243">
        <v>0</v>
      </c>
      <c r="G243">
        <v>0</v>
      </c>
      <c r="H243">
        <v>4</v>
      </c>
      <c r="I243">
        <v>3</v>
      </c>
      <c r="K243" t="s">
        <v>519</v>
      </c>
    </row>
    <row r="244" spans="1:11">
      <c r="A244" t="s">
        <v>520</v>
      </c>
      <c r="B244" t="s">
        <v>16</v>
      </c>
      <c r="C244" t="s">
        <v>89</v>
      </c>
      <c r="D244">
        <f>SUM(E244:H244)</f>
        <v>1</v>
      </c>
      <c r="E244">
        <v>0</v>
      </c>
      <c r="F244">
        <v>0</v>
      </c>
      <c r="G244">
        <v>0</v>
      </c>
      <c r="H244">
        <v>1</v>
      </c>
      <c r="I244">
        <v>1</v>
      </c>
      <c r="K244" t="s">
        <v>521</v>
      </c>
    </row>
    <row r="245" spans="1:11">
      <c r="A245" t="s">
        <v>522</v>
      </c>
      <c r="B245" t="s">
        <v>9</v>
      </c>
      <c r="C245" t="s">
        <v>10</v>
      </c>
      <c r="D245">
        <f>SUM(E245:H245)</f>
        <v>79</v>
      </c>
      <c r="E245">
        <v>1</v>
      </c>
      <c r="F245">
        <v>17</v>
      </c>
      <c r="G245">
        <v>13</v>
      </c>
      <c r="H245">
        <v>48</v>
      </c>
      <c r="I245">
        <v>7</v>
      </c>
      <c r="K245" t="s">
        <v>523</v>
      </c>
    </row>
    <row r="246" spans="1:11">
      <c r="A246" t="s">
        <v>524</v>
      </c>
      <c r="B246" t="s">
        <v>9</v>
      </c>
      <c r="C246" t="s">
        <v>118</v>
      </c>
      <c r="D246">
        <f>SUM(E246:H246)</f>
        <v>2</v>
      </c>
      <c r="E246">
        <v>0</v>
      </c>
      <c r="F246">
        <v>0</v>
      </c>
      <c r="G246">
        <v>0</v>
      </c>
      <c r="H246">
        <v>2</v>
      </c>
      <c r="I246">
        <v>1</v>
      </c>
      <c r="K246" t="s">
        <v>525</v>
      </c>
    </row>
    <row r="247" spans="1:11">
      <c r="A247" t="s">
        <v>526</v>
      </c>
      <c r="B247" t="s">
        <v>16</v>
      </c>
      <c r="C247" t="s">
        <v>89</v>
      </c>
      <c r="D247">
        <f>SUM(E247:H247)</f>
        <v>1</v>
      </c>
      <c r="E247">
        <v>0</v>
      </c>
      <c r="F247">
        <v>0</v>
      </c>
      <c r="G247">
        <v>0</v>
      </c>
      <c r="H247">
        <v>1</v>
      </c>
      <c r="I247">
        <v>1</v>
      </c>
      <c r="K247" t="s">
        <v>527</v>
      </c>
    </row>
    <row r="248" spans="1:11">
      <c r="A248" t="s">
        <v>528</v>
      </c>
      <c r="B248" t="s">
        <v>9</v>
      </c>
      <c r="C248" t="s">
        <v>118</v>
      </c>
      <c r="D248">
        <f>SUM(E248:H248)</f>
        <v>1</v>
      </c>
      <c r="E248">
        <v>0</v>
      </c>
      <c r="F248">
        <v>0</v>
      </c>
      <c r="G248">
        <v>0</v>
      </c>
      <c r="H248">
        <v>1</v>
      </c>
      <c r="I248">
        <v>1</v>
      </c>
      <c r="K248" t="s">
        <v>529</v>
      </c>
    </row>
    <row r="249" spans="1:11">
      <c r="A249" t="s">
        <v>530</v>
      </c>
      <c r="B249" t="s">
        <v>16</v>
      </c>
      <c r="C249" t="s">
        <v>92</v>
      </c>
      <c r="D249">
        <f>SUM(E249:H249)</f>
        <v>6</v>
      </c>
      <c r="E249">
        <v>0</v>
      </c>
      <c r="F249">
        <v>0</v>
      </c>
      <c r="G249">
        <v>0</v>
      </c>
      <c r="H249">
        <v>6</v>
      </c>
      <c r="I249">
        <v>4</v>
      </c>
      <c r="K249" t="s">
        <v>531</v>
      </c>
    </row>
    <row r="250" spans="1:11">
      <c r="A250" t="s">
        <v>532</v>
      </c>
      <c r="B250" t="s">
        <v>9</v>
      </c>
      <c r="C250" t="s">
        <v>59</v>
      </c>
      <c r="D250">
        <f>SUM(E250:H250)</f>
        <v>4</v>
      </c>
      <c r="E250">
        <v>0</v>
      </c>
      <c r="F250">
        <v>0</v>
      </c>
      <c r="G250">
        <v>0</v>
      </c>
      <c r="H250">
        <v>4</v>
      </c>
      <c r="I250">
        <v>3</v>
      </c>
      <c r="K250" t="s">
        <v>533</v>
      </c>
    </row>
    <row r="251" spans="1:11">
      <c r="A251" t="s">
        <v>534</v>
      </c>
      <c r="B251" t="s">
        <v>16</v>
      </c>
      <c r="C251" t="s">
        <v>17</v>
      </c>
      <c r="D251">
        <f>SUM(E251:H251)</f>
        <v>20</v>
      </c>
      <c r="E251">
        <v>0</v>
      </c>
      <c r="F251">
        <v>3</v>
      </c>
      <c r="G251">
        <v>4</v>
      </c>
      <c r="H251">
        <v>13</v>
      </c>
      <c r="I251">
        <v>6</v>
      </c>
      <c r="K251" t="s">
        <v>535</v>
      </c>
    </row>
    <row r="252" spans="1:11">
      <c r="A252" t="s">
        <v>536</v>
      </c>
      <c r="B252" t="s">
        <v>16</v>
      </c>
      <c r="C252" t="s">
        <v>246</v>
      </c>
      <c r="D252">
        <f>SUM(E252:H252)</f>
        <v>1</v>
      </c>
      <c r="E252">
        <v>0</v>
      </c>
      <c r="F252">
        <v>0</v>
      </c>
      <c r="G252">
        <v>0</v>
      </c>
      <c r="H252">
        <v>1</v>
      </c>
      <c r="I252">
        <v>1</v>
      </c>
      <c r="K252" t="s">
        <v>537</v>
      </c>
    </row>
    <row r="253" spans="1:11">
      <c r="A253" t="s">
        <v>538</v>
      </c>
      <c r="B253" t="s">
        <v>50</v>
      </c>
      <c r="C253" t="s">
        <v>51</v>
      </c>
      <c r="D253">
        <f>SUM(E253:H253)</f>
        <v>1</v>
      </c>
      <c r="E253">
        <v>0</v>
      </c>
      <c r="F253">
        <v>0</v>
      </c>
      <c r="G253">
        <v>0</v>
      </c>
      <c r="H253">
        <v>1</v>
      </c>
      <c r="I253">
        <v>1</v>
      </c>
      <c r="K253" t="s">
        <v>539</v>
      </c>
    </row>
    <row r="254" spans="1:11">
      <c r="A254" t="s">
        <v>540</v>
      </c>
      <c r="B254" t="s">
        <v>23</v>
      </c>
      <c r="C254" t="s">
        <v>32</v>
      </c>
      <c r="D254">
        <f>SUM(E254:H254)</f>
        <v>7</v>
      </c>
      <c r="E254">
        <v>0</v>
      </c>
      <c r="F254">
        <v>1</v>
      </c>
      <c r="G254">
        <v>0</v>
      </c>
      <c r="H254">
        <v>6</v>
      </c>
      <c r="I254">
        <v>1</v>
      </c>
      <c r="K254" t="s">
        <v>541</v>
      </c>
    </row>
    <row r="255" spans="1:11">
      <c r="A255" t="s">
        <v>542</v>
      </c>
      <c r="B255" t="s">
        <v>23</v>
      </c>
      <c r="C255" t="s">
        <v>72</v>
      </c>
      <c r="D255">
        <f>SUM(E255:H255)</f>
        <v>1</v>
      </c>
      <c r="E255">
        <v>0</v>
      </c>
      <c r="F255">
        <v>0</v>
      </c>
      <c r="G255">
        <v>0</v>
      </c>
      <c r="H255">
        <v>1</v>
      </c>
      <c r="I255">
        <v>1</v>
      </c>
      <c r="K255" t="s">
        <v>543</v>
      </c>
    </row>
    <row r="256" spans="1:11">
      <c r="A256" t="s">
        <v>544</v>
      </c>
      <c r="B256" t="s">
        <v>16</v>
      </c>
      <c r="C256" t="s">
        <v>17</v>
      </c>
      <c r="D256">
        <f>SUM(E256:H256)</f>
        <v>4</v>
      </c>
      <c r="E256">
        <v>0</v>
      </c>
      <c r="F256">
        <v>0</v>
      </c>
      <c r="G256">
        <v>0</v>
      </c>
      <c r="H256">
        <v>4</v>
      </c>
      <c r="I256">
        <v>2</v>
      </c>
      <c r="K256" t="s">
        <v>545</v>
      </c>
    </row>
    <row r="257" spans="1:11">
      <c r="A257" t="s">
        <v>546</v>
      </c>
      <c r="B257" t="s">
        <v>16</v>
      </c>
      <c r="C257" t="s">
        <v>246</v>
      </c>
      <c r="D257">
        <f>SUM(E257:H257)</f>
        <v>30</v>
      </c>
      <c r="E257">
        <v>0</v>
      </c>
      <c r="F257">
        <v>7</v>
      </c>
      <c r="G257">
        <v>2</v>
      </c>
      <c r="H257">
        <v>21</v>
      </c>
      <c r="I257">
        <v>4</v>
      </c>
      <c r="K257" t="s">
        <v>547</v>
      </c>
    </row>
    <row r="258" spans="1:11">
      <c r="A258" t="s">
        <v>548</v>
      </c>
      <c r="B258" t="s">
        <v>23</v>
      </c>
      <c r="C258" t="s">
        <v>32</v>
      </c>
      <c r="D258">
        <f>SUM(E258:H258)</f>
        <v>1</v>
      </c>
      <c r="E258">
        <v>0</v>
      </c>
      <c r="F258">
        <v>0</v>
      </c>
      <c r="G258">
        <v>0</v>
      </c>
      <c r="H258">
        <v>1</v>
      </c>
      <c r="I258">
        <v>1</v>
      </c>
      <c r="K258" t="s">
        <v>549</v>
      </c>
    </row>
    <row r="259" spans="1:11">
      <c r="A259" t="s">
        <v>550</v>
      </c>
      <c r="B259" t="s">
        <v>9</v>
      </c>
      <c r="C259" t="s">
        <v>10</v>
      </c>
      <c r="D259">
        <f>SUM(E259:H259)</f>
        <v>1</v>
      </c>
      <c r="E259">
        <v>0</v>
      </c>
      <c r="F259">
        <v>0</v>
      </c>
      <c r="G259">
        <v>0</v>
      </c>
      <c r="H259">
        <v>1</v>
      </c>
      <c r="I259">
        <v>1</v>
      </c>
      <c r="K259" t="s">
        <v>551</v>
      </c>
    </row>
    <row r="260" spans="1:11">
      <c r="A260" t="s">
        <v>552</v>
      </c>
      <c r="B260" t="s">
        <v>41</v>
      </c>
      <c r="C260" t="s">
        <v>42</v>
      </c>
      <c r="D260">
        <f>SUM(E260:H260)</f>
        <v>3</v>
      </c>
      <c r="E260">
        <v>0</v>
      </c>
      <c r="F260">
        <v>1</v>
      </c>
      <c r="G260">
        <v>0</v>
      </c>
      <c r="H260">
        <v>2</v>
      </c>
      <c r="I260">
        <v>1</v>
      </c>
      <c r="K260" t="s">
        <v>553</v>
      </c>
    </row>
    <row r="261" spans="1:11">
      <c r="A261" t="s">
        <v>554</v>
      </c>
      <c r="B261" t="s">
        <v>23</v>
      </c>
      <c r="C261" t="s">
        <v>47</v>
      </c>
      <c r="D261">
        <f>SUM(E261:H261)</f>
        <v>11</v>
      </c>
      <c r="E261">
        <v>0</v>
      </c>
      <c r="F261">
        <v>2</v>
      </c>
      <c r="G261">
        <v>2</v>
      </c>
      <c r="H261">
        <v>7</v>
      </c>
      <c r="I261">
        <v>3</v>
      </c>
      <c r="K261" t="s">
        <v>555</v>
      </c>
    </row>
    <row r="262" spans="1:11">
      <c r="A262" t="s">
        <v>556</v>
      </c>
      <c r="B262" t="s">
        <v>23</v>
      </c>
      <c r="C262" t="s">
        <v>24</v>
      </c>
      <c r="D262">
        <f>SUM(E262:H262)</f>
        <v>17</v>
      </c>
      <c r="E262">
        <v>0</v>
      </c>
      <c r="F262">
        <v>4</v>
      </c>
      <c r="G262">
        <v>1</v>
      </c>
      <c r="H262">
        <v>12</v>
      </c>
      <c r="I262">
        <v>1</v>
      </c>
      <c r="K262" t="s">
        <v>557</v>
      </c>
    </row>
    <row r="263" spans="1:11">
      <c r="A263" t="s">
        <v>558</v>
      </c>
      <c r="B263" t="s">
        <v>9</v>
      </c>
      <c r="C263" t="s">
        <v>86</v>
      </c>
      <c r="D263">
        <f>SUM(E263:H263)</f>
        <v>15</v>
      </c>
      <c r="E263">
        <v>0</v>
      </c>
      <c r="F263">
        <v>1</v>
      </c>
      <c r="G263">
        <v>1</v>
      </c>
      <c r="H263">
        <v>13</v>
      </c>
      <c r="I263">
        <v>2</v>
      </c>
      <c r="K263" t="s">
        <v>559</v>
      </c>
    </row>
    <row r="264" spans="1:11">
      <c r="A264" t="s">
        <v>560</v>
      </c>
      <c r="B264" t="s">
        <v>41</v>
      </c>
      <c r="C264" t="s">
        <v>77</v>
      </c>
      <c r="D264">
        <f>SUM(E264:H264)</f>
        <v>5</v>
      </c>
      <c r="E264">
        <v>0</v>
      </c>
      <c r="F264">
        <v>0</v>
      </c>
      <c r="G264">
        <v>0</v>
      </c>
      <c r="H264">
        <v>5</v>
      </c>
      <c r="I264">
        <v>3</v>
      </c>
      <c r="K264" t="s">
        <v>561</v>
      </c>
    </row>
    <row r="265" spans="1:11">
      <c r="A265" t="s">
        <v>562</v>
      </c>
      <c r="B265" t="s">
        <v>16</v>
      </c>
      <c r="C265" t="s">
        <v>20</v>
      </c>
      <c r="D265">
        <f>SUM(E265:H265)</f>
        <v>38</v>
      </c>
      <c r="E265">
        <v>0</v>
      </c>
      <c r="F265">
        <v>0</v>
      </c>
      <c r="G265">
        <v>4</v>
      </c>
      <c r="H265">
        <v>34</v>
      </c>
      <c r="I265">
        <v>3</v>
      </c>
      <c r="K265" t="s">
        <v>563</v>
      </c>
    </row>
    <row r="266" spans="1:11">
      <c r="A266" t="s">
        <v>564</v>
      </c>
      <c r="B266" t="s">
        <v>9</v>
      </c>
      <c r="C266" t="s">
        <v>118</v>
      </c>
      <c r="D266">
        <f>SUM(E266:H266)</f>
        <v>2</v>
      </c>
      <c r="E266">
        <v>0</v>
      </c>
      <c r="F266">
        <v>1</v>
      </c>
      <c r="G266">
        <v>0</v>
      </c>
      <c r="H266">
        <v>1</v>
      </c>
      <c r="I266">
        <v>1</v>
      </c>
      <c r="K266" t="s">
        <v>565</v>
      </c>
    </row>
    <row r="267" spans="1:11">
      <c r="A267" t="s">
        <v>566</v>
      </c>
      <c r="B267" t="s">
        <v>9</v>
      </c>
      <c r="C267" t="s">
        <v>118</v>
      </c>
      <c r="D267">
        <f>SUM(E267:H267)</f>
        <v>10</v>
      </c>
      <c r="E267">
        <v>0</v>
      </c>
      <c r="F267">
        <v>2</v>
      </c>
      <c r="G267">
        <v>0</v>
      </c>
      <c r="H267">
        <v>8</v>
      </c>
      <c r="I267">
        <v>5</v>
      </c>
      <c r="K267" t="s">
        <v>567</v>
      </c>
    </row>
    <row r="268" spans="1:11">
      <c r="A268" t="s">
        <v>568</v>
      </c>
      <c r="B268" t="s">
        <v>23</v>
      </c>
      <c r="C268" t="s">
        <v>32</v>
      </c>
      <c r="D268">
        <f>SUM(E268:H268)</f>
        <v>1</v>
      </c>
      <c r="E268">
        <v>0</v>
      </c>
      <c r="F268">
        <v>0</v>
      </c>
      <c r="G268">
        <v>0</v>
      </c>
      <c r="H268">
        <v>1</v>
      </c>
      <c r="I268">
        <v>1</v>
      </c>
      <c r="K268" t="s">
        <v>569</v>
      </c>
    </row>
    <row r="269" spans="1:11">
      <c r="A269" t="s">
        <v>570</v>
      </c>
      <c r="B269" t="s">
        <v>9</v>
      </c>
      <c r="C269" t="s">
        <v>13</v>
      </c>
      <c r="D269">
        <f>SUM(E269:H269)</f>
        <v>1</v>
      </c>
      <c r="E269">
        <v>0</v>
      </c>
      <c r="F269">
        <v>0</v>
      </c>
      <c r="G269">
        <v>0</v>
      </c>
      <c r="H269">
        <v>1</v>
      </c>
      <c r="I269">
        <v>1</v>
      </c>
      <c r="K269" t="s">
        <v>571</v>
      </c>
    </row>
    <row r="270" spans="1:11">
      <c r="A270" t="s">
        <v>572</v>
      </c>
      <c r="B270" t="s">
        <v>23</v>
      </c>
      <c r="C270" t="s">
        <v>72</v>
      </c>
      <c r="D270">
        <f>SUM(E270:H270)</f>
        <v>6</v>
      </c>
      <c r="E270">
        <v>0</v>
      </c>
      <c r="F270">
        <v>0</v>
      </c>
      <c r="G270">
        <v>0</v>
      </c>
      <c r="H270">
        <v>6</v>
      </c>
      <c r="I270">
        <v>3</v>
      </c>
      <c r="K270" t="s">
        <v>573</v>
      </c>
    </row>
    <row r="271" spans="1:11">
      <c r="A271" t="s">
        <v>574</v>
      </c>
      <c r="B271" t="s">
        <v>23</v>
      </c>
      <c r="C271" t="s">
        <v>72</v>
      </c>
      <c r="D271">
        <f>SUM(E271:H271)</f>
        <v>50</v>
      </c>
      <c r="E271">
        <v>2</v>
      </c>
      <c r="F271">
        <v>10</v>
      </c>
      <c r="G271">
        <v>16</v>
      </c>
      <c r="H271">
        <v>22</v>
      </c>
      <c r="I271">
        <v>6</v>
      </c>
      <c r="K271" t="s">
        <v>575</v>
      </c>
    </row>
    <row r="272" spans="1:11">
      <c r="A272" t="s">
        <v>576</v>
      </c>
      <c r="B272" t="s">
        <v>23</v>
      </c>
      <c r="C272" t="s">
        <v>72</v>
      </c>
      <c r="D272">
        <f>SUM(E272:H272)</f>
        <v>29</v>
      </c>
      <c r="E272">
        <v>0</v>
      </c>
      <c r="F272">
        <v>4</v>
      </c>
      <c r="G272">
        <v>5</v>
      </c>
      <c r="H272">
        <v>20</v>
      </c>
      <c r="I272">
        <v>2</v>
      </c>
      <c r="K272" t="s">
        <v>577</v>
      </c>
    </row>
    <row r="273" spans="1:11">
      <c r="A273" t="s">
        <v>578</v>
      </c>
      <c r="B273" t="s">
        <v>23</v>
      </c>
      <c r="C273" t="s">
        <v>32</v>
      </c>
      <c r="D273">
        <f>SUM(E273:H273)</f>
        <v>4</v>
      </c>
      <c r="E273">
        <v>0</v>
      </c>
      <c r="F273">
        <v>2</v>
      </c>
      <c r="G273">
        <v>0</v>
      </c>
      <c r="H273">
        <v>2</v>
      </c>
      <c r="I273">
        <v>1</v>
      </c>
      <c r="K273" t="s">
        <v>579</v>
      </c>
    </row>
    <row r="274" spans="1:11">
      <c r="A274" t="s">
        <v>580</v>
      </c>
      <c r="B274" t="s">
        <v>16</v>
      </c>
      <c r="C274" t="s">
        <v>20</v>
      </c>
      <c r="D274">
        <f>SUM(E274:H274)</f>
        <v>6</v>
      </c>
      <c r="E274">
        <v>0</v>
      </c>
      <c r="F274">
        <v>1</v>
      </c>
      <c r="G274">
        <v>0</v>
      </c>
      <c r="H274">
        <v>5</v>
      </c>
      <c r="I274">
        <v>2</v>
      </c>
      <c r="K274" t="s">
        <v>581</v>
      </c>
    </row>
    <row r="275" spans="1:11">
      <c r="A275" t="s">
        <v>582</v>
      </c>
      <c r="B275" t="s">
        <v>16</v>
      </c>
      <c r="C275" t="s">
        <v>92</v>
      </c>
      <c r="D275">
        <f>SUM(E275:H275)</f>
        <v>71</v>
      </c>
      <c r="E275">
        <v>2</v>
      </c>
      <c r="F275">
        <v>12</v>
      </c>
      <c r="G275">
        <v>18</v>
      </c>
      <c r="H275">
        <v>39</v>
      </c>
      <c r="I275">
        <v>9</v>
      </c>
      <c r="K275" t="s">
        <v>583</v>
      </c>
    </row>
    <row r="276" spans="1:11">
      <c r="A276" t="s">
        <v>584</v>
      </c>
      <c r="B276" t="s">
        <v>16</v>
      </c>
      <c r="C276" t="s">
        <v>92</v>
      </c>
      <c r="D276">
        <f>SUM(E276:H276)</f>
        <v>19</v>
      </c>
      <c r="E276">
        <v>0</v>
      </c>
      <c r="F276">
        <v>1</v>
      </c>
      <c r="G276">
        <v>1</v>
      </c>
      <c r="H276">
        <v>17</v>
      </c>
      <c r="I276">
        <v>2</v>
      </c>
      <c r="K276" t="s">
        <v>585</v>
      </c>
    </row>
    <row r="277" spans="1:11">
      <c r="A277" t="s">
        <v>586</v>
      </c>
      <c r="B277" t="s">
        <v>16</v>
      </c>
      <c r="C277" t="s">
        <v>17</v>
      </c>
      <c r="D277">
        <f>SUM(E277:H277)</f>
        <v>49</v>
      </c>
      <c r="E277">
        <v>2</v>
      </c>
      <c r="F277">
        <v>9</v>
      </c>
      <c r="G277">
        <v>10</v>
      </c>
      <c r="H277">
        <v>28</v>
      </c>
      <c r="I277">
        <v>9</v>
      </c>
      <c r="K277" t="s">
        <v>587</v>
      </c>
    </row>
    <row r="278" spans="1:11">
      <c r="A278" t="s">
        <v>588</v>
      </c>
      <c r="B278" t="s">
        <v>16</v>
      </c>
      <c r="C278" t="s">
        <v>17</v>
      </c>
      <c r="D278">
        <f>SUM(E278:H278)</f>
        <v>58</v>
      </c>
      <c r="E278">
        <v>1</v>
      </c>
      <c r="F278">
        <v>12</v>
      </c>
      <c r="G278">
        <v>12</v>
      </c>
      <c r="H278">
        <v>33</v>
      </c>
      <c r="I278">
        <v>8</v>
      </c>
      <c r="K278" t="s">
        <v>589</v>
      </c>
    </row>
    <row r="279" spans="1:11">
      <c r="A279" t="s">
        <v>590</v>
      </c>
      <c r="B279" t="s">
        <v>9</v>
      </c>
      <c r="C279" t="s">
        <v>86</v>
      </c>
      <c r="D279">
        <f>SUM(E279:H279)</f>
        <v>30</v>
      </c>
      <c r="E279">
        <v>0</v>
      </c>
      <c r="F279">
        <v>7</v>
      </c>
      <c r="G279">
        <v>1</v>
      </c>
      <c r="H279">
        <v>22</v>
      </c>
      <c r="I279">
        <v>3</v>
      </c>
      <c r="K279" t="s">
        <v>591</v>
      </c>
    </row>
    <row r="280" spans="1:11">
      <c r="A280" t="s">
        <v>592</v>
      </c>
      <c r="B280" t="s">
        <v>16</v>
      </c>
      <c r="C280" t="s">
        <v>17</v>
      </c>
      <c r="D280">
        <f>SUM(E280:H280)</f>
        <v>1</v>
      </c>
      <c r="E280">
        <v>0</v>
      </c>
      <c r="F280">
        <v>0</v>
      </c>
      <c r="G280">
        <v>0</v>
      </c>
      <c r="H280">
        <v>1</v>
      </c>
      <c r="I280">
        <v>1</v>
      </c>
      <c r="K280" t="s">
        <v>593</v>
      </c>
    </row>
    <row r="281" spans="1:11">
      <c r="A281" t="s">
        <v>594</v>
      </c>
      <c r="B281" t="s">
        <v>50</v>
      </c>
      <c r="C281" t="s">
        <v>139</v>
      </c>
      <c r="D281">
        <f>SUM(E281:H281)</f>
        <v>5</v>
      </c>
      <c r="E281">
        <v>0</v>
      </c>
      <c r="F281">
        <v>1</v>
      </c>
      <c r="G281">
        <v>0</v>
      </c>
      <c r="H281">
        <v>4</v>
      </c>
      <c r="I281">
        <v>1</v>
      </c>
      <c r="K281" t="s">
        <v>595</v>
      </c>
    </row>
    <row r="282" spans="1:11">
      <c r="A282" t="s">
        <v>596</v>
      </c>
      <c r="B282" t="s">
        <v>9</v>
      </c>
      <c r="C282" t="s">
        <v>54</v>
      </c>
      <c r="D282">
        <f>SUM(E282:H282)</f>
        <v>2</v>
      </c>
      <c r="E282">
        <v>0</v>
      </c>
      <c r="F282">
        <v>0</v>
      </c>
      <c r="G282">
        <v>0</v>
      </c>
      <c r="H282">
        <v>2</v>
      </c>
      <c r="I282">
        <v>1</v>
      </c>
      <c r="K282" t="s">
        <v>597</v>
      </c>
    </row>
    <row r="283" spans="1:11">
      <c r="A283" t="s">
        <v>598</v>
      </c>
      <c r="B283" t="s">
        <v>23</v>
      </c>
      <c r="C283" t="s">
        <v>32</v>
      </c>
      <c r="D283">
        <f>SUM(E283:H283)</f>
        <v>27</v>
      </c>
      <c r="E283">
        <v>1</v>
      </c>
      <c r="F283">
        <v>4</v>
      </c>
      <c r="G283">
        <v>1</v>
      </c>
      <c r="H283">
        <v>21</v>
      </c>
      <c r="I283">
        <v>1</v>
      </c>
      <c r="K283" t="s">
        <v>599</v>
      </c>
    </row>
    <row r="284" spans="1:11">
      <c r="A284" t="s">
        <v>600</v>
      </c>
      <c r="B284" t="s">
        <v>23</v>
      </c>
      <c r="C284" t="s">
        <v>32</v>
      </c>
      <c r="D284">
        <f>SUM(E284:H284)</f>
        <v>23</v>
      </c>
      <c r="E284">
        <v>1</v>
      </c>
      <c r="F284">
        <v>4</v>
      </c>
      <c r="G284">
        <v>0</v>
      </c>
      <c r="H284">
        <v>18</v>
      </c>
      <c r="I284">
        <v>3</v>
      </c>
      <c r="K284" t="s">
        <v>601</v>
      </c>
    </row>
    <row r="285" spans="1:11">
      <c r="A285" t="s">
        <v>602</v>
      </c>
      <c r="B285" t="s">
        <v>41</v>
      </c>
      <c r="C285" t="s">
        <v>42</v>
      </c>
      <c r="D285">
        <f>SUM(E285:H285)</f>
        <v>27</v>
      </c>
      <c r="E285">
        <v>0</v>
      </c>
      <c r="F285">
        <v>4</v>
      </c>
      <c r="G285">
        <v>2</v>
      </c>
      <c r="H285">
        <v>21</v>
      </c>
      <c r="I285">
        <v>5</v>
      </c>
      <c r="K285" t="s">
        <v>603</v>
      </c>
    </row>
    <row r="286" spans="1:11">
      <c r="A286" t="s">
        <v>604</v>
      </c>
      <c r="B286" t="s">
        <v>16</v>
      </c>
      <c r="C286" t="s">
        <v>356</v>
      </c>
      <c r="D286">
        <f>SUM(E286:H286)</f>
        <v>8</v>
      </c>
      <c r="E286">
        <v>0</v>
      </c>
      <c r="F286">
        <v>0</v>
      </c>
      <c r="G286">
        <v>0</v>
      </c>
      <c r="H286">
        <v>8</v>
      </c>
      <c r="I286">
        <v>2</v>
      </c>
      <c r="K286" t="s">
        <v>605</v>
      </c>
    </row>
    <row r="287" spans="1:11">
      <c r="A287" t="s">
        <v>606</v>
      </c>
      <c r="B287" t="s">
        <v>23</v>
      </c>
      <c r="C287" t="s">
        <v>72</v>
      </c>
      <c r="D287">
        <f>SUM(E287:H287)</f>
        <v>4</v>
      </c>
      <c r="E287">
        <v>0</v>
      </c>
      <c r="F287">
        <v>1</v>
      </c>
      <c r="G287">
        <v>0</v>
      </c>
      <c r="H287">
        <v>3</v>
      </c>
      <c r="I287">
        <v>1</v>
      </c>
      <c r="K287" t="s">
        <v>607</v>
      </c>
    </row>
    <row r="288" spans="1:11">
      <c r="A288" t="s">
        <v>608</v>
      </c>
      <c r="B288" t="s">
        <v>9</v>
      </c>
      <c r="C288" t="s">
        <v>118</v>
      </c>
      <c r="D288">
        <f>SUM(E288:H288)</f>
        <v>5</v>
      </c>
      <c r="E288">
        <v>0</v>
      </c>
      <c r="F288">
        <v>0</v>
      </c>
      <c r="G288">
        <v>0</v>
      </c>
      <c r="H288">
        <v>5</v>
      </c>
      <c r="I288">
        <v>3</v>
      </c>
      <c r="K288" t="s">
        <v>609</v>
      </c>
    </row>
    <row r="289" spans="1:11">
      <c r="A289" t="s">
        <v>610</v>
      </c>
      <c r="B289" t="s">
        <v>41</v>
      </c>
      <c r="C289" t="s">
        <v>77</v>
      </c>
      <c r="D289">
        <f>SUM(E289:H289)</f>
        <v>1</v>
      </c>
      <c r="E289">
        <v>0</v>
      </c>
      <c r="F289">
        <v>1</v>
      </c>
      <c r="G289">
        <v>0</v>
      </c>
      <c r="H289">
        <v>0</v>
      </c>
      <c r="I289">
        <v>1</v>
      </c>
      <c r="K289" t="s">
        <v>611</v>
      </c>
    </row>
    <row r="290" spans="1:11">
      <c r="A290" t="s">
        <v>612</v>
      </c>
      <c r="B290" t="s">
        <v>41</v>
      </c>
      <c r="C290" t="s">
        <v>77</v>
      </c>
      <c r="D290">
        <f>SUM(E290:H290)</f>
        <v>1</v>
      </c>
      <c r="E290">
        <v>0</v>
      </c>
      <c r="F290">
        <v>0</v>
      </c>
      <c r="G290">
        <v>0</v>
      </c>
      <c r="H290">
        <v>1</v>
      </c>
      <c r="I290">
        <v>1</v>
      </c>
      <c r="K290" t="s">
        <v>613</v>
      </c>
    </row>
    <row r="291" spans="1:11">
      <c r="A291" t="s">
        <v>614</v>
      </c>
      <c r="B291" t="s">
        <v>41</v>
      </c>
      <c r="C291" t="s">
        <v>77</v>
      </c>
      <c r="D291">
        <f>SUM(E291:H291)</f>
        <v>9</v>
      </c>
      <c r="E291">
        <v>0</v>
      </c>
      <c r="F291">
        <v>2</v>
      </c>
      <c r="G291">
        <v>0</v>
      </c>
      <c r="H291">
        <v>7</v>
      </c>
      <c r="I291">
        <v>1</v>
      </c>
      <c r="K291" t="s">
        <v>615</v>
      </c>
    </row>
    <row r="292" spans="1:11">
      <c r="A292" t="s">
        <v>616</v>
      </c>
      <c r="B292" t="s">
        <v>23</v>
      </c>
      <c r="C292" t="s">
        <v>32</v>
      </c>
      <c r="D292">
        <f>SUM(E292:H292)</f>
        <v>2</v>
      </c>
      <c r="E292">
        <v>0</v>
      </c>
      <c r="F292">
        <v>0</v>
      </c>
      <c r="G292">
        <v>0</v>
      </c>
      <c r="H292">
        <v>2</v>
      </c>
      <c r="I292">
        <v>1</v>
      </c>
      <c r="K292" t="s">
        <v>617</v>
      </c>
    </row>
    <row r="293" spans="1:11">
      <c r="A293" t="s">
        <v>618</v>
      </c>
      <c r="B293" t="s">
        <v>16</v>
      </c>
      <c r="C293" t="s">
        <v>89</v>
      </c>
      <c r="D293">
        <f>SUM(E293:H293)</f>
        <v>78</v>
      </c>
      <c r="E293">
        <v>3</v>
      </c>
      <c r="F293">
        <v>12</v>
      </c>
      <c r="G293">
        <v>20</v>
      </c>
      <c r="H293">
        <v>43</v>
      </c>
      <c r="I293">
        <v>10</v>
      </c>
      <c r="K293" t="s">
        <v>619</v>
      </c>
    </row>
    <row r="294" spans="1:11">
      <c r="A294" t="s">
        <v>620</v>
      </c>
      <c r="B294" t="s">
        <v>9</v>
      </c>
      <c r="C294" t="s">
        <v>13</v>
      </c>
      <c r="D294">
        <f>SUM(E294:H294)</f>
        <v>3</v>
      </c>
      <c r="E294">
        <v>0</v>
      </c>
      <c r="F294">
        <v>0</v>
      </c>
      <c r="G294">
        <v>0</v>
      </c>
      <c r="H294">
        <v>3</v>
      </c>
      <c r="I294">
        <v>2</v>
      </c>
      <c r="K294" t="s">
        <v>621</v>
      </c>
    </row>
    <row r="295" spans="1:11">
      <c r="A295" t="s">
        <v>622</v>
      </c>
      <c r="B295" t="s">
        <v>41</v>
      </c>
      <c r="C295" t="s">
        <v>42</v>
      </c>
      <c r="D295">
        <f>SUM(E295:H295)</f>
        <v>22</v>
      </c>
      <c r="E295">
        <v>0</v>
      </c>
      <c r="F295">
        <v>2</v>
      </c>
      <c r="G295">
        <v>2</v>
      </c>
      <c r="H295">
        <v>18</v>
      </c>
      <c r="I295">
        <v>5</v>
      </c>
      <c r="K295" t="s">
        <v>623</v>
      </c>
    </row>
    <row r="296" spans="1:11">
      <c r="A296" t="s">
        <v>624</v>
      </c>
      <c r="B296" t="s">
        <v>23</v>
      </c>
      <c r="C296" t="s">
        <v>32</v>
      </c>
      <c r="D296">
        <f>SUM(E296:H296)</f>
        <v>42</v>
      </c>
      <c r="E296">
        <v>1</v>
      </c>
      <c r="F296">
        <v>10</v>
      </c>
      <c r="G296">
        <v>13</v>
      </c>
      <c r="H296">
        <v>18</v>
      </c>
      <c r="I296">
        <v>1</v>
      </c>
      <c r="K296" t="s">
        <v>625</v>
      </c>
    </row>
    <row r="297" spans="1:11">
      <c r="A297" t="s">
        <v>626</v>
      </c>
      <c r="B297" t="s">
        <v>41</v>
      </c>
      <c r="C297" t="s">
        <v>77</v>
      </c>
      <c r="D297">
        <f>SUM(E297:H297)</f>
        <v>16</v>
      </c>
      <c r="E297">
        <v>0</v>
      </c>
      <c r="F297">
        <v>3</v>
      </c>
      <c r="G297">
        <v>0</v>
      </c>
      <c r="H297">
        <v>13</v>
      </c>
      <c r="I297">
        <v>1</v>
      </c>
      <c r="K297" t="s">
        <v>627</v>
      </c>
    </row>
    <row r="298" spans="1:11">
      <c r="A298" t="s">
        <v>628</v>
      </c>
      <c r="B298" t="s">
        <v>41</v>
      </c>
      <c r="C298" t="s">
        <v>77</v>
      </c>
      <c r="D298">
        <f>SUM(E298:H298)</f>
        <v>15</v>
      </c>
      <c r="E298">
        <v>0</v>
      </c>
      <c r="F298">
        <v>4</v>
      </c>
      <c r="G298">
        <v>0</v>
      </c>
      <c r="H298">
        <v>11</v>
      </c>
      <c r="I298">
        <v>1</v>
      </c>
      <c r="K298" t="s">
        <v>629</v>
      </c>
    </row>
    <row r="299" spans="1:11">
      <c r="A299" t="s">
        <v>630</v>
      </c>
      <c r="B299" t="s">
        <v>9</v>
      </c>
      <c r="C299" t="s">
        <v>10</v>
      </c>
      <c r="D299">
        <f>SUM(E299:H299)</f>
        <v>3</v>
      </c>
      <c r="E299">
        <v>0</v>
      </c>
      <c r="F299">
        <v>0</v>
      </c>
      <c r="G299">
        <v>0</v>
      </c>
      <c r="H299">
        <v>3</v>
      </c>
      <c r="I299">
        <v>2</v>
      </c>
      <c r="K299" t="s">
        <v>631</v>
      </c>
    </row>
    <row r="300" spans="1:11">
      <c r="A300" t="s">
        <v>632</v>
      </c>
      <c r="B300" t="s">
        <v>23</v>
      </c>
      <c r="C300" t="s">
        <v>32</v>
      </c>
      <c r="D300">
        <f>SUM(E300:H300)</f>
        <v>4</v>
      </c>
      <c r="E300">
        <v>0</v>
      </c>
      <c r="F300">
        <v>0</v>
      </c>
      <c r="G300">
        <v>0</v>
      </c>
      <c r="H300">
        <v>4</v>
      </c>
      <c r="I300">
        <v>2</v>
      </c>
      <c r="K300" t="s">
        <v>633</v>
      </c>
    </row>
    <row r="301" spans="1:11">
      <c r="A301" t="s">
        <v>634</v>
      </c>
      <c r="B301" t="s">
        <v>23</v>
      </c>
      <c r="C301" t="s">
        <v>32</v>
      </c>
      <c r="D301">
        <f>SUM(E301:H301)</f>
        <v>5</v>
      </c>
      <c r="E301">
        <v>0</v>
      </c>
      <c r="F301">
        <v>0</v>
      </c>
      <c r="G301">
        <v>0</v>
      </c>
      <c r="H301">
        <v>5</v>
      </c>
      <c r="I301">
        <v>2</v>
      </c>
      <c r="K301" t="s">
        <v>635</v>
      </c>
    </row>
    <row r="302" spans="1:11">
      <c r="A302" t="s">
        <v>636</v>
      </c>
      <c r="B302" t="s">
        <v>23</v>
      </c>
      <c r="C302" t="s">
        <v>32</v>
      </c>
      <c r="D302">
        <f>SUM(E302:H302)</f>
        <v>8</v>
      </c>
      <c r="E302">
        <v>0</v>
      </c>
      <c r="F302">
        <v>2</v>
      </c>
      <c r="G302">
        <v>0</v>
      </c>
      <c r="H302">
        <v>6</v>
      </c>
      <c r="I302">
        <v>3</v>
      </c>
      <c r="K302" t="s">
        <v>637</v>
      </c>
    </row>
    <row r="303" spans="1:11">
      <c r="A303" t="s">
        <v>638</v>
      </c>
      <c r="B303" t="s">
        <v>23</v>
      </c>
      <c r="C303" t="s">
        <v>72</v>
      </c>
      <c r="D303">
        <f>SUM(E303:H303)</f>
        <v>3</v>
      </c>
      <c r="E303">
        <v>0</v>
      </c>
      <c r="F303">
        <v>1</v>
      </c>
      <c r="G303">
        <v>0</v>
      </c>
      <c r="H303">
        <v>2</v>
      </c>
      <c r="I303">
        <v>1</v>
      </c>
      <c r="K303" t="s">
        <v>639</v>
      </c>
    </row>
    <row r="304" spans="1:11">
      <c r="A304" t="s">
        <v>640</v>
      </c>
      <c r="B304" t="s">
        <v>41</v>
      </c>
      <c r="C304" t="s">
        <v>77</v>
      </c>
      <c r="D304">
        <f>SUM(E304:H304)</f>
        <v>70</v>
      </c>
      <c r="E304">
        <v>1</v>
      </c>
      <c r="F304">
        <v>14</v>
      </c>
      <c r="G304">
        <v>11</v>
      </c>
      <c r="H304">
        <v>44</v>
      </c>
      <c r="I304">
        <v>8</v>
      </c>
      <c r="K304" t="s">
        <v>641</v>
      </c>
    </row>
    <row r="305" spans="1:11">
      <c r="A305" t="s">
        <v>642</v>
      </c>
      <c r="B305" t="s">
        <v>41</v>
      </c>
      <c r="C305" t="s">
        <v>77</v>
      </c>
      <c r="D305">
        <f>SUM(E305:H305)</f>
        <v>72</v>
      </c>
      <c r="E305">
        <v>3</v>
      </c>
      <c r="F305">
        <v>17</v>
      </c>
      <c r="G305">
        <v>19</v>
      </c>
      <c r="H305">
        <v>33</v>
      </c>
      <c r="I305">
        <v>5</v>
      </c>
      <c r="K305" t="s">
        <v>643</v>
      </c>
    </row>
    <row r="306" spans="1:11">
      <c r="A306" t="s">
        <v>644</v>
      </c>
      <c r="B306" t="s">
        <v>50</v>
      </c>
      <c r="C306" t="s">
        <v>51</v>
      </c>
      <c r="D306">
        <f>SUM(E306:H306)</f>
        <v>21</v>
      </c>
      <c r="E306">
        <v>0</v>
      </c>
      <c r="F306">
        <v>3</v>
      </c>
      <c r="G306">
        <v>0</v>
      </c>
      <c r="H306">
        <v>18</v>
      </c>
      <c r="I306">
        <v>3</v>
      </c>
      <c r="K306" t="s">
        <v>645</v>
      </c>
    </row>
    <row r="307" spans="1:11">
      <c r="A307" t="s">
        <v>646</v>
      </c>
      <c r="B307" t="s">
        <v>16</v>
      </c>
      <c r="C307" t="s">
        <v>20</v>
      </c>
      <c r="D307">
        <f>SUM(E307:H307)</f>
        <v>6</v>
      </c>
      <c r="E307">
        <v>0</v>
      </c>
      <c r="F307">
        <v>0</v>
      </c>
      <c r="G307">
        <v>0</v>
      </c>
      <c r="H307">
        <v>6</v>
      </c>
      <c r="I307">
        <v>2</v>
      </c>
      <c r="K307" t="s">
        <v>647</v>
      </c>
    </row>
    <row r="308" spans="1:11">
      <c r="A308" t="s">
        <v>648</v>
      </c>
      <c r="B308" t="s">
        <v>41</v>
      </c>
      <c r="C308" t="s">
        <v>42</v>
      </c>
      <c r="D308">
        <f>SUM(E308:H308)</f>
        <v>2</v>
      </c>
      <c r="E308">
        <v>0</v>
      </c>
      <c r="F308">
        <v>1</v>
      </c>
      <c r="G308">
        <v>0</v>
      </c>
      <c r="H308">
        <v>1</v>
      </c>
      <c r="I308">
        <v>1</v>
      </c>
      <c r="K308" t="s">
        <v>649</v>
      </c>
    </row>
    <row r="309" spans="1:11">
      <c r="A309" t="s">
        <v>650</v>
      </c>
      <c r="B309" t="s">
        <v>23</v>
      </c>
      <c r="C309" t="s">
        <v>72</v>
      </c>
      <c r="D309">
        <f>SUM(E309:H309)</f>
        <v>43</v>
      </c>
      <c r="E309">
        <v>2</v>
      </c>
      <c r="F309">
        <v>8</v>
      </c>
      <c r="G309">
        <v>13</v>
      </c>
      <c r="H309">
        <v>20</v>
      </c>
      <c r="I309">
        <v>9</v>
      </c>
      <c r="K309" t="s">
        <v>651</v>
      </c>
    </row>
    <row r="310" spans="1:11">
      <c r="A310" t="s">
        <v>652</v>
      </c>
      <c r="B310" t="s">
        <v>23</v>
      </c>
      <c r="C310" t="s">
        <v>24</v>
      </c>
      <c r="D310">
        <f>SUM(E310:H310)</f>
        <v>3</v>
      </c>
      <c r="E310">
        <v>0</v>
      </c>
      <c r="F310">
        <v>0</v>
      </c>
      <c r="G310">
        <v>0</v>
      </c>
      <c r="H310">
        <v>3</v>
      </c>
      <c r="I310">
        <v>2</v>
      </c>
      <c r="K310" t="s">
        <v>653</v>
      </c>
    </row>
    <row r="311" spans="1:11">
      <c r="A311" t="s">
        <v>654</v>
      </c>
      <c r="B311" t="s">
        <v>16</v>
      </c>
      <c r="C311" t="s">
        <v>246</v>
      </c>
      <c r="D311">
        <f>SUM(E311:H311)</f>
        <v>1</v>
      </c>
      <c r="E311">
        <v>0</v>
      </c>
      <c r="F311">
        <v>0</v>
      </c>
      <c r="G311">
        <v>0</v>
      </c>
      <c r="H311">
        <v>1</v>
      </c>
      <c r="I311">
        <v>1</v>
      </c>
      <c r="K311" t="s">
        <v>655</v>
      </c>
    </row>
    <row r="312" spans="1:11">
      <c r="A312" t="s">
        <v>656</v>
      </c>
      <c r="B312" t="s">
        <v>9</v>
      </c>
      <c r="C312" t="s">
        <v>10</v>
      </c>
      <c r="D312">
        <f>SUM(E312:H312)</f>
        <v>6</v>
      </c>
      <c r="E312">
        <v>0</v>
      </c>
      <c r="F312">
        <v>0</v>
      </c>
      <c r="G312">
        <v>0</v>
      </c>
      <c r="H312">
        <v>6</v>
      </c>
      <c r="I312">
        <v>1</v>
      </c>
      <c r="K312" t="s">
        <v>657</v>
      </c>
    </row>
    <row r="313" spans="1:11">
      <c r="A313" t="s">
        <v>658</v>
      </c>
      <c r="B313" t="s">
        <v>41</v>
      </c>
      <c r="C313" t="s">
        <v>77</v>
      </c>
      <c r="D313">
        <f>SUM(E313:H313)</f>
        <v>5</v>
      </c>
      <c r="E313">
        <v>0</v>
      </c>
      <c r="F313">
        <v>1</v>
      </c>
      <c r="G313">
        <v>0</v>
      </c>
      <c r="H313">
        <v>4</v>
      </c>
      <c r="I313">
        <v>2</v>
      </c>
      <c r="K313" t="s">
        <v>659</v>
      </c>
    </row>
    <row r="314" spans="1:11">
      <c r="A314" t="s">
        <v>660</v>
      </c>
      <c r="B314" t="s">
        <v>50</v>
      </c>
      <c r="C314" t="s">
        <v>215</v>
      </c>
      <c r="D314">
        <f>SUM(E314:H314)</f>
        <v>1</v>
      </c>
      <c r="E314">
        <v>0</v>
      </c>
      <c r="F314">
        <v>0</v>
      </c>
      <c r="G314">
        <v>0</v>
      </c>
      <c r="H314">
        <v>1</v>
      </c>
      <c r="I314">
        <v>1</v>
      </c>
      <c r="K314" t="s">
        <v>661</v>
      </c>
    </row>
    <row r="315" spans="1:11">
      <c r="A315" t="s">
        <v>662</v>
      </c>
      <c r="B315" t="s">
        <v>23</v>
      </c>
      <c r="C315" t="s">
        <v>72</v>
      </c>
      <c r="D315">
        <f>SUM(E315:H315)</f>
        <v>1</v>
      </c>
      <c r="E315">
        <v>0</v>
      </c>
      <c r="F315">
        <v>0</v>
      </c>
      <c r="G315">
        <v>0</v>
      </c>
      <c r="H315">
        <v>1</v>
      </c>
      <c r="I315">
        <v>1</v>
      </c>
      <c r="K315" t="s">
        <v>663</v>
      </c>
    </row>
    <row r="316" spans="1:11">
      <c r="A316" t="s">
        <v>664</v>
      </c>
      <c r="B316" t="s">
        <v>9</v>
      </c>
      <c r="C316" t="s">
        <v>257</v>
      </c>
      <c r="D316">
        <f>SUM(E316:H316)</f>
        <v>15</v>
      </c>
      <c r="E316">
        <v>0</v>
      </c>
      <c r="F316">
        <v>0</v>
      </c>
      <c r="G316">
        <v>0</v>
      </c>
      <c r="H316">
        <v>15</v>
      </c>
      <c r="I316">
        <v>2</v>
      </c>
      <c r="K316" t="s">
        <v>665</v>
      </c>
    </row>
    <row r="317" spans="1:11">
      <c r="A317" t="s">
        <v>666</v>
      </c>
      <c r="B317" t="s">
        <v>23</v>
      </c>
      <c r="C317" t="s">
        <v>47</v>
      </c>
      <c r="D317">
        <f>SUM(E317:H317)</f>
        <v>34</v>
      </c>
      <c r="E317">
        <v>2</v>
      </c>
      <c r="F317">
        <v>7</v>
      </c>
      <c r="G317">
        <v>9</v>
      </c>
      <c r="H317">
        <v>16</v>
      </c>
      <c r="I317">
        <v>1</v>
      </c>
      <c r="K317" t="s">
        <v>667</v>
      </c>
    </row>
    <row r="318" spans="1:11">
      <c r="A318" t="s">
        <v>668</v>
      </c>
      <c r="B318" t="s">
        <v>41</v>
      </c>
      <c r="C318" t="s">
        <v>42</v>
      </c>
      <c r="D318">
        <f>SUM(E318:H318)</f>
        <v>1</v>
      </c>
      <c r="E318">
        <v>0</v>
      </c>
      <c r="F318">
        <v>0</v>
      </c>
      <c r="G318">
        <v>0</v>
      </c>
      <c r="H318">
        <v>1</v>
      </c>
      <c r="I318">
        <v>1</v>
      </c>
      <c r="K318" t="s">
        <v>669</v>
      </c>
    </row>
    <row r="319" spans="1:11">
      <c r="A319" t="s">
        <v>670</v>
      </c>
      <c r="B319" t="s">
        <v>23</v>
      </c>
      <c r="C319" t="s">
        <v>47</v>
      </c>
      <c r="D319">
        <f>SUM(E319:H319)</f>
        <v>14</v>
      </c>
      <c r="E319">
        <v>0</v>
      </c>
      <c r="F319">
        <v>2</v>
      </c>
      <c r="G319">
        <v>2</v>
      </c>
      <c r="H319">
        <v>10</v>
      </c>
      <c r="I319">
        <v>1</v>
      </c>
      <c r="K319" t="s">
        <v>671</v>
      </c>
    </row>
    <row r="320" spans="1:11">
      <c r="A320" t="s">
        <v>672</v>
      </c>
      <c r="B320" t="s">
        <v>23</v>
      </c>
      <c r="C320" t="s">
        <v>47</v>
      </c>
      <c r="D320">
        <f>SUM(E320:H320)</f>
        <v>3</v>
      </c>
      <c r="E320">
        <v>0</v>
      </c>
      <c r="F320">
        <v>0</v>
      </c>
      <c r="G320">
        <v>0</v>
      </c>
      <c r="H320">
        <v>3</v>
      </c>
      <c r="I320">
        <v>1</v>
      </c>
      <c r="K320" t="s">
        <v>673</v>
      </c>
    </row>
    <row r="321" spans="1:11">
      <c r="A321" t="s">
        <v>674</v>
      </c>
      <c r="B321" t="s">
        <v>41</v>
      </c>
      <c r="C321" t="s">
        <v>101</v>
      </c>
      <c r="D321">
        <f>SUM(E321:H321)</f>
        <v>9</v>
      </c>
      <c r="E321">
        <v>0</v>
      </c>
      <c r="F321">
        <v>1</v>
      </c>
      <c r="G321">
        <v>0</v>
      </c>
      <c r="H321">
        <v>8</v>
      </c>
      <c r="I321">
        <v>3</v>
      </c>
      <c r="K321" t="s">
        <v>675</v>
      </c>
    </row>
    <row r="322" spans="1:11">
      <c r="A322" t="s">
        <v>676</v>
      </c>
      <c r="B322" t="s">
        <v>16</v>
      </c>
      <c r="C322" t="s">
        <v>17</v>
      </c>
      <c r="D322">
        <f>SUM(E322:H322)</f>
        <v>10</v>
      </c>
      <c r="E322">
        <v>0</v>
      </c>
      <c r="F322">
        <v>0</v>
      </c>
      <c r="G322">
        <v>0</v>
      </c>
      <c r="H322">
        <v>10</v>
      </c>
      <c r="I322">
        <v>2</v>
      </c>
      <c r="K322" t="s">
        <v>677</v>
      </c>
    </row>
    <row r="323" spans="1:11">
      <c r="A323" t="s">
        <v>678</v>
      </c>
      <c r="B323" t="s">
        <v>16</v>
      </c>
      <c r="C323" t="s">
        <v>20</v>
      </c>
      <c r="D323">
        <f>SUM(E323:H323)</f>
        <v>15</v>
      </c>
      <c r="E323">
        <v>1</v>
      </c>
      <c r="F323">
        <v>2</v>
      </c>
      <c r="G323">
        <v>1</v>
      </c>
      <c r="H323">
        <v>11</v>
      </c>
      <c r="I323">
        <v>4</v>
      </c>
      <c r="K323" t="s">
        <v>679</v>
      </c>
    </row>
    <row r="324" spans="1:11">
      <c r="A324" t="s">
        <v>680</v>
      </c>
      <c r="B324" t="s">
        <v>9</v>
      </c>
      <c r="C324" t="s">
        <v>257</v>
      </c>
      <c r="D324">
        <f>SUM(E324:H324)</f>
        <v>7</v>
      </c>
      <c r="E324">
        <v>0</v>
      </c>
      <c r="F324">
        <v>0</v>
      </c>
      <c r="G324">
        <v>0</v>
      </c>
      <c r="H324">
        <v>7</v>
      </c>
      <c r="I324">
        <v>1</v>
      </c>
      <c r="K324" t="s">
        <v>681</v>
      </c>
    </row>
    <row r="325" spans="1:11">
      <c r="A325" t="s">
        <v>682</v>
      </c>
      <c r="B325" t="s">
        <v>23</v>
      </c>
      <c r="C325" t="s">
        <v>24</v>
      </c>
      <c r="D325">
        <f>SUM(E325:H325)</f>
        <v>1</v>
      </c>
      <c r="E325">
        <v>0</v>
      </c>
      <c r="F325">
        <v>0</v>
      </c>
      <c r="G325">
        <v>0</v>
      </c>
      <c r="H325">
        <v>1</v>
      </c>
      <c r="I325">
        <v>1</v>
      </c>
      <c r="K325" t="s">
        <v>683</v>
      </c>
    </row>
    <row r="326" spans="1:11">
      <c r="A326" t="s">
        <v>684</v>
      </c>
      <c r="B326" t="s">
        <v>23</v>
      </c>
      <c r="C326" t="s">
        <v>24</v>
      </c>
      <c r="D326">
        <f>SUM(E326:H326)</f>
        <v>4</v>
      </c>
      <c r="E326">
        <v>0</v>
      </c>
      <c r="F326">
        <v>0</v>
      </c>
      <c r="G326">
        <v>0</v>
      </c>
      <c r="H326">
        <v>4</v>
      </c>
      <c r="I326">
        <v>1</v>
      </c>
      <c r="K326" t="s">
        <v>685</v>
      </c>
    </row>
    <row r="327" spans="1:11">
      <c r="A327" t="s">
        <v>686</v>
      </c>
      <c r="B327" t="s">
        <v>16</v>
      </c>
      <c r="C327" t="s">
        <v>20</v>
      </c>
      <c r="D327">
        <f>SUM(E327:H327)</f>
        <v>33</v>
      </c>
      <c r="E327">
        <v>1</v>
      </c>
      <c r="F327">
        <v>6</v>
      </c>
      <c r="G327">
        <v>6</v>
      </c>
      <c r="H327">
        <v>20</v>
      </c>
      <c r="I327">
        <v>3</v>
      </c>
      <c r="K327" t="s">
        <v>687</v>
      </c>
    </row>
    <row r="328" spans="1:11">
      <c r="A328" t="s">
        <v>688</v>
      </c>
      <c r="B328" t="s">
        <v>16</v>
      </c>
      <c r="C328" t="s">
        <v>92</v>
      </c>
      <c r="D328">
        <f>SUM(E328:H328)</f>
        <v>3</v>
      </c>
      <c r="E328">
        <v>0</v>
      </c>
      <c r="F328">
        <v>0</v>
      </c>
      <c r="G328">
        <v>0</v>
      </c>
      <c r="H328">
        <v>3</v>
      </c>
      <c r="I328">
        <v>1</v>
      </c>
      <c r="K328" t="s">
        <v>689</v>
      </c>
    </row>
    <row r="329" spans="1:11">
      <c r="A329" t="s">
        <v>690</v>
      </c>
      <c r="B329" t="s">
        <v>9</v>
      </c>
      <c r="C329" t="s">
        <v>10</v>
      </c>
      <c r="D329">
        <f>SUM(E329:H329)</f>
        <v>2</v>
      </c>
      <c r="E329">
        <v>0</v>
      </c>
      <c r="F329">
        <v>0</v>
      </c>
      <c r="G329">
        <v>0</v>
      </c>
      <c r="H329">
        <v>2</v>
      </c>
      <c r="I329">
        <v>1</v>
      </c>
      <c r="K329" t="s">
        <v>691</v>
      </c>
    </row>
    <row r="330" spans="1:11">
      <c r="A330" t="s">
        <v>692</v>
      </c>
      <c r="B330" t="s">
        <v>9</v>
      </c>
      <c r="C330" t="s">
        <v>10</v>
      </c>
      <c r="D330">
        <f>SUM(E330:H330)</f>
        <v>4</v>
      </c>
      <c r="E330">
        <v>0</v>
      </c>
      <c r="F330">
        <v>0</v>
      </c>
      <c r="G330">
        <v>0</v>
      </c>
      <c r="H330">
        <v>4</v>
      </c>
      <c r="I330">
        <v>1</v>
      </c>
      <c r="K330" t="s">
        <v>693</v>
      </c>
    </row>
    <row r="331" spans="1:11">
      <c r="A331" t="s">
        <v>694</v>
      </c>
      <c r="B331" t="s">
        <v>16</v>
      </c>
      <c r="C331" t="s">
        <v>17</v>
      </c>
      <c r="D331">
        <f>SUM(E331:H331)</f>
        <v>11</v>
      </c>
      <c r="E331">
        <v>0</v>
      </c>
      <c r="F331">
        <v>1</v>
      </c>
      <c r="G331">
        <v>2</v>
      </c>
      <c r="H331">
        <v>8</v>
      </c>
      <c r="I331">
        <v>3</v>
      </c>
      <c r="K331" t="s">
        <v>695</v>
      </c>
    </row>
    <row r="332" spans="1:11">
      <c r="A332" t="s">
        <v>696</v>
      </c>
      <c r="B332" t="s">
        <v>41</v>
      </c>
      <c r="C332" t="s">
        <v>77</v>
      </c>
      <c r="D332">
        <f>SUM(E332:H332)</f>
        <v>2</v>
      </c>
      <c r="E332">
        <v>0</v>
      </c>
      <c r="F332">
        <v>0</v>
      </c>
      <c r="G332">
        <v>0</v>
      </c>
      <c r="H332">
        <v>2</v>
      </c>
      <c r="I332">
        <v>1</v>
      </c>
      <c r="K332" t="s">
        <v>697</v>
      </c>
    </row>
    <row r="333" spans="1:11">
      <c r="A333" t="s">
        <v>698</v>
      </c>
      <c r="B333" t="s">
        <v>16</v>
      </c>
      <c r="C333" t="s">
        <v>17</v>
      </c>
      <c r="D333">
        <f>SUM(E333:H333)</f>
        <v>6</v>
      </c>
      <c r="E333">
        <v>0</v>
      </c>
      <c r="F333">
        <v>1</v>
      </c>
      <c r="G333">
        <v>0</v>
      </c>
      <c r="H333">
        <v>5</v>
      </c>
      <c r="I333">
        <v>2</v>
      </c>
      <c r="K333" t="s">
        <v>699</v>
      </c>
    </row>
    <row r="334" spans="1:11">
      <c r="A334" t="s">
        <v>700</v>
      </c>
      <c r="B334" t="s">
        <v>41</v>
      </c>
      <c r="C334" t="s">
        <v>77</v>
      </c>
      <c r="D334">
        <f>SUM(E334:H334)</f>
        <v>5</v>
      </c>
      <c r="E334">
        <v>0</v>
      </c>
      <c r="F334">
        <v>1</v>
      </c>
      <c r="G334">
        <v>0</v>
      </c>
      <c r="H334">
        <v>4</v>
      </c>
      <c r="I334">
        <v>2</v>
      </c>
      <c r="K334" t="s">
        <v>701</v>
      </c>
    </row>
    <row r="335" spans="1:11">
      <c r="A335" t="s">
        <v>702</v>
      </c>
      <c r="B335" t="s">
        <v>23</v>
      </c>
      <c r="C335" t="s">
        <v>29</v>
      </c>
      <c r="D335">
        <f>SUM(E335:H335)</f>
        <v>3</v>
      </c>
      <c r="E335">
        <v>0</v>
      </c>
      <c r="F335">
        <v>0</v>
      </c>
      <c r="G335">
        <v>0</v>
      </c>
      <c r="H335">
        <v>3</v>
      </c>
      <c r="I335">
        <v>2</v>
      </c>
      <c r="K335" t="s">
        <v>703</v>
      </c>
    </row>
    <row r="336" spans="1:11">
      <c r="A336" t="s">
        <v>704</v>
      </c>
      <c r="B336" t="s">
        <v>16</v>
      </c>
      <c r="C336" t="s">
        <v>17</v>
      </c>
      <c r="D336">
        <f>SUM(E336:H336)</f>
        <v>5</v>
      </c>
      <c r="E336">
        <v>0</v>
      </c>
      <c r="F336">
        <v>1</v>
      </c>
      <c r="G336">
        <v>0</v>
      </c>
      <c r="H336">
        <v>4</v>
      </c>
      <c r="I336">
        <v>2</v>
      </c>
      <c r="K336" t="s">
        <v>705</v>
      </c>
    </row>
    <row r="337" spans="1:11">
      <c r="A337" t="s">
        <v>706</v>
      </c>
      <c r="B337" t="s">
        <v>16</v>
      </c>
      <c r="C337" t="s">
        <v>17</v>
      </c>
      <c r="D337">
        <f>SUM(E337:H337)</f>
        <v>85</v>
      </c>
      <c r="E337">
        <v>2</v>
      </c>
      <c r="F337">
        <v>14</v>
      </c>
      <c r="G337">
        <v>16</v>
      </c>
      <c r="H337">
        <v>53</v>
      </c>
      <c r="I337">
        <v>8</v>
      </c>
      <c r="K337" t="s">
        <v>707</v>
      </c>
    </row>
    <row r="338" spans="1:11">
      <c r="A338" t="s">
        <v>708</v>
      </c>
      <c r="B338" t="s">
        <v>16</v>
      </c>
      <c r="C338" t="s">
        <v>246</v>
      </c>
      <c r="D338">
        <f>SUM(E338:H338)</f>
        <v>1</v>
      </c>
      <c r="E338">
        <v>0</v>
      </c>
      <c r="F338">
        <v>0</v>
      </c>
      <c r="G338">
        <v>0</v>
      </c>
      <c r="H338">
        <v>1</v>
      </c>
      <c r="I338">
        <v>1</v>
      </c>
      <c r="K338" t="s">
        <v>709</v>
      </c>
    </row>
    <row r="339" spans="1:11">
      <c r="A339" t="s">
        <v>710</v>
      </c>
      <c r="B339" t="s">
        <v>50</v>
      </c>
      <c r="C339" t="s">
        <v>51</v>
      </c>
      <c r="D339">
        <f>SUM(E339:H339)</f>
        <v>105</v>
      </c>
      <c r="E339">
        <v>4</v>
      </c>
      <c r="F339">
        <v>21</v>
      </c>
      <c r="G339">
        <v>16</v>
      </c>
      <c r="H339">
        <v>64</v>
      </c>
      <c r="I339">
        <v>7</v>
      </c>
      <c r="K339" t="s">
        <v>711</v>
      </c>
    </row>
    <row r="340" spans="1:11">
      <c r="A340" t="s">
        <v>712</v>
      </c>
      <c r="B340" t="s">
        <v>23</v>
      </c>
      <c r="C340" t="s">
        <v>24</v>
      </c>
      <c r="D340">
        <f>SUM(E340:H340)</f>
        <v>6</v>
      </c>
      <c r="E340">
        <v>0</v>
      </c>
      <c r="F340">
        <v>0</v>
      </c>
      <c r="G340">
        <v>0</v>
      </c>
      <c r="H340">
        <v>6</v>
      </c>
      <c r="I340">
        <v>2</v>
      </c>
      <c r="K340" t="s">
        <v>713</v>
      </c>
    </row>
    <row r="341" spans="1:11">
      <c r="A341" t="s">
        <v>714</v>
      </c>
      <c r="B341" t="s">
        <v>23</v>
      </c>
      <c r="C341" t="s">
        <v>47</v>
      </c>
      <c r="D341">
        <f>SUM(E341:H341)</f>
        <v>11</v>
      </c>
      <c r="E341">
        <v>0</v>
      </c>
      <c r="F341">
        <v>2</v>
      </c>
      <c r="G341">
        <v>1</v>
      </c>
      <c r="H341">
        <v>8</v>
      </c>
      <c r="I341">
        <v>5</v>
      </c>
      <c r="K341" t="s">
        <v>715</v>
      </c>
    </row>
    <row r="342" spans="1:11">
      <c r="A342" t="s">
        <v>716</v>
      </c>
      <c r="B342" t="s">
        <v>41</v>
      </c>
      <c r="C342" t="s">
        <v>42</v>
      </c>
      <c r="D342">
        <f>SUM(E342:H342)</f>
        <v>72</v>
      </c>
      <c r="E342">
        <v>3</v>
      </c>
      <c r="F342">
        <v>17</v>
      </c>
      <c r="G342">
        <v>9</v>
      </c>
      <c r="H342">
        <v>43</v>
      </c>
      <c r="I342">
        <v>5</v>
      </c>
      <c r="K342" t="s">
        <v>717</v>
      </c>
    </row>
    <row r="343" spans="1:11">
      <c r="A343" t="s">
        <v>718</v>
      </c>
      <c r="B343" t="s">
        <v>50</v>
      </c>
      <c r="C343" t="s">
        <v>51</v>
      </c>
      <c r="D343">
        <f>SUM(E343:H343)</f>
        <v>3</v>
      </c>
      <c r="E343">
        <v>0</v>
      </c>
      <c r="F343">
        <v>1</v>
      </c>
      <c r="G343">
        <v>0</v>
      </c>
      <c r="H343">
        <v>2</v>
      </c>
      <c r="I343">
        <v>1</v>
      </c>
      <c r="K343" t="s">
        <v>719</v>
      </c>
    </row>
    <row r="344" spans="1:11">
      <c r="A344" t="s">
        <v>720</v>
      </c>
      <c r="B344" t="s">
        <v>16</v>
      </c>
      <c r="C344" t="s">
        <v>17</v>
      </c>
      <c r="D344">
        <f>SUM(E344:H344)</f>
        <v>2</v>
      </c>
      <c r="E344">
        <v>0</v>
      </c>
      <c r="F344">
        <v>0</v>
      </c>
      <c r="G344">
        <v>0</v>
      </c>
      <c r="H344">
        <v>2</v>
      </c>
      <c r="I344">
        <v>2</v>
      </c>
      <c r="K344" t="s">
        <v>721</v>
      </c>
    </row>
    <row r="345" spans="1:11">
      <c r="A345" t="s">
        <v>722</v>
      </c>
      <c r="B345" t="s">
        <v>50</v>
      </c>
      <c r="C345" t="s">
        <v>51</v>
      </c>
      <c r="D345">
        <f>SUM(E345:H345)</f>
        <v>5</v>
      </c>
      <c r="E345">
        <v>0</v>
      </c>
      <c r="F345">
        <v>0</v>
      </c>
      <c r="G345">
        <v>0</v>
      </c>
      <c r="H345">
        <v>5</v>
      </c>
      <c r="I345">
        <v>1</v>
      </c>
      <c r="K345" t="s">
        <v>723</v>
      </c>
    </row>
    <row r="346" spans="1:11">
      <c r="A346" t="s">
        <v>724</v>
      </c>
      <c r="B346" t="s">
        <v>9</v>
      </c>
      <c r="C346" t="s">
        <v>86</v>
      </c>
      <c r="D346">
        <f>SUM(E346:H346)</f>
        <v>18</v>
      </c>
      <c r="E346">
        <v>0</v>
      </c>
      <c r="F346">
        <v>2</v>
      </c>
      <c r="G346">
        <v>0</v>
      </c>
      <c r="H346">
        <v>16</v>
      </c>
      <c r="I346">
        <v>5</v>
      </c>
      <c r="K346" t="s">
        <v>725</v>
      </c>
    </row>
    <row r="349" spans="1:11">
      <c r="A349" t="s">
        <v>16</v>
      </c>
      <c r="D349">
        <f>SUM(E349:H349)</f>
        <v>1276</v>
      </c>
      <c r="E349">
        <f>SUMIF(B3:B346,"BKSV",E3:E346)</f>
        <v>21</v>
      </c>
      <c r="F349">
        <f>SUMIF(B3:B346,"BKSV",F3:F346)</f>
        <v>176</v>
      </c>
      <c r="G349">
        <f>SUMIF(B3:B346,"BKSV",G3:G346)</f>
        <v>189</v>
      </c>
      <c r="H349">
        <f>SUMIF(B3:B346,"BKSV",H3:H346)</f>
        <v>890</v>
      </c>
    </row>
    <row r="350" spans="1:11">
      <c r="A350" t="s">
        <v>23</v>
      </c>
      <c r="D350">
        <f>SUM(E350:H350)</f>
        <v>1549</v>
      </c>
      <c r="E350">
        <f>SUMIF(B3:B346,"ISV",E3:E346)</f>
        <v>33</v>
      </c>
      <c r="F350">
        <f>SUMIF(B3:B346,"ISV",F3:F346)</f>
        <v>277</v>
      </c>
      <c r="G350">
        <f>SUMIF(B3:B346,"ISV",G3:G346)</f>
        <v>272</v>
      </c>
      <c r="H350">
        <f>SUMIF(B3:B346,"ISV",H3:H346)</f>
        <v>967</v>
      </c>
    </row>
    <row r="351" spans="1:11">
      <c r="A351" t="s">
        <v>9</v>
      </c>
      <c r="D351">
        <f>SUM(E351:H351)</f>
        <v>1495</v>
      </c>
      <c r="E351">
        <f>SUMIF(B3:B346,"NOSV",E3:E346)</f>
        <v>21</v>
      </c>
      <c r="F351">
        <f>SUMIF(B3:B346,"NOSV",F3:F346)</f>
        <v>229</v>
      </c>
      <c r="G351">
        <f>SUMIF(B3:B346,"NOSV",G3:G346)</f>
        <v>141</v>
      </c>
      <c r="H351">
        <f>SUMIF(B3:B346,"NOSV",H3:H346)</f>
        <v>1104</v>
      </c>
    </row>
    <row r="352" spans="1:11">
      <c r="A352" t="s">
        <v>41</v>
      </c>
      <c r="D352">
        <f>SUM(E352:H352)</f>
        <v>706</v>
      </c>
      <c r="E352">
        <f>SUMIF(B3:B346,"NWSV",E3:E346)</f>
        <v>11</v>
      </c>
      <c r="F352">
        <f>SUMIF(B3:B346,"NWSV",F3:F346)</f>
        <v>142</v>
      </c>
      <c r="G352">
        <f>SUMIF(B3:B346,"NWSV",G3:G346)</f>
        <v>80</v>
      </c>
      <c r="H352">
        <f>SUMIF(B3:B346,"NWSV",H3:H346)</f>
        <v>473</v>
      </c>
    </row>
    <row r="353" spans="1:11">
      <c r="A353" t="s">
        <v>50</v>
      </c>
      <c r="D353">
        <f>SUM(E353:H353)</f>
        <v>373</v>
      </c>
      <c r="E353">
        <f>SUMIF(B3:B346,"SWSV",E3:E346)</f>
        <v>5</v>
      </c>
      <c r="F353">
        <f>SUMIF(B3:B346,"SWSV",F3:F346)</f>
        <v>66</v>
      </c>
      <c r="G353">
        <f>SUMIF(B3:B346,"SWSV",G3:G346)</f>
        <v>19</v>
      </c>
      <c r="H353">
        <f>SUMIF(B3:B346,"SWSV",H3:H346)</f>
        <v>283</v>
      </c>
    </row>
    <row r="356" spans="1:11">
      <c r="I356" s="1" t="s">
        <v>726</v>
      </c>
    </row>
    <row r="357" spans="1:11">
      <c r="I357" t="s">
        <v>727</v>
      </c>
      <c r="K357" t="s">
        <v>728</v>
      </c>
    </row>
    <row r="358" spans="1:11">
      <c r="I358" t="s">
        <v>729</v>
      </c>
      <c r="K358" t="s">
        <v>730</v>
      </c>
    </row>
    <row r="359" spans="1:11">
      <c r="I359" t="s">
        <v>731</v>
      </c>
      <c r="K359" t="s">
        <v>732</v>
      </c>
    </row>
    <row r="360" spans="1:11">
      <c r="I360" t="s">
        <v>733</v>
      </c>
      <c r="K360" t="s">
        <v>734</v>
      </c>
    </row>
    <row r="361" spans="1:11">
      <c r="I361" t="s">
        <v>735</v>
      </c>
      <c r="K361" t="s">
        <v>736</v>
      </c>
    </row>
    <row r="362" spans="1:11">
      <c r="I362" t="s">
        <v>737</v>
      </c>
      <c r="K362" t="s">
        <v>738</v>
      </c>
    </row>
    <row r="363" spans="1:11">
      <c r="I363" t="s">
        <v>739</v>
      </c>
      <c r="K363" t="s">
        <v>740</v>
      </c>
    </row>
    <row r="364" spans="1:11">
      <c r="I364" t="s">
        <v>741</v>
      </c>
      <c r="K364" t="s">
        <v>742</v>
      </c>
    </row>
    <row r="365" spans="1:11">
      <c r="I365" t="s">
        <v>743</v>
      </c>
      <c r="K365" t="s">
        <v>744</v>
      </c>
    </row>
    <row r="366" spans="1:11">
      <c r="I366" t="s">
        <v>745</v>
      </c>
      <c r="K366" t="s">
        <v>746</v>
      </c>
    </row>
    <row r="367" spans="1:11">
      <c r="I367" t="s">
        <v>747</v>
      </c>
      <c r="K367" t="s">
        <v>748</v>
      </c>
    </row>
    <row r="368" spans="1:11">
      <c r="I368" t="s">
        <v>749</v>
      </c>
      <c r="K368" t="s">
        <v>750</v>
      </c>
    </row>
    <row r="369" spans="1:11">
      <c r="I369" t="s">
        <v>751</v>
      </c>
      <c r="K369" t="s">
        <v>752</v>
      </c>
    </row>
    <row r="370" spans="1:11">
      <c r="I370" t="s">
        <v>753</v>
      </c>
      <c r="K370" t="s">
        <v>754</v>
      </c>
    </row>
    <row r="371" spans="1:11">
      <c r="I371" t="s">
        <v>755</v>
      </c>
      <c r="K371" t="s">
        <v>756</v>
      </c>
    </row>
    <row r="372" spans="1:11">
      <c r="I372" t="s">
        <v>757</v>
      </c>
      <c r="K372" t="s">
        <v>758</v>
      </c>
    </row>
    <row r="373" spans="1:11">
      <c r="I373" t="s">
        <v>759</v>
      </c>
      <c r="K373" t="s">
        <v>760</v>
      </c>
    </row>
    <row r="374" spans="1:11">
      <c r="I374" t="s">
        <v>761</v>
      </c>
      <c r="K374" t="s">
        <v>762</v>
      </c>
    </row>
    <row r="375" spans="1:11">
      <c r="I375" t="s">
        <v>763</v>
      </c>
      <c r="K375" t="s">
        <v>764</v>
      </c>
    </row>
    <row r="376" spans="1:11">
      <c r="I376" t="s">
        <v>765</v>
      </c>
      <c r="K376" t="s">
        <v>766</v>
      </c>
    </row>
    <row r="377" spans="1:11">
      <c r="I377" t="s">
        <v>767</v>
      </c>
      <c r="K377" t="s">
        <v>768</v>
      </c>
    </row>
    <row r="378" spans="1:11">
      <c r="I378" t="s">
        <v>769</v>
      </c>
      <c r="K378" t="s">
        <v>770</v>
      </c>
    </row>
    <row r="379" spans="1:11">
      <c r="I379" t="s">
        <v>771</v>
      </c>
      <c r="K379" t="s">
        <v>772</v>
      </c>
    </row>
    <row r="380" spans="1:11">
      <c r="I380" t="s">
        <v>773</v>
      </c>
      <c r="K380" t="s">
        <v>774</v>
      </c>
    </row>
    <row r="381" spans="1:11">
      <c r="I381" t="s">
        <v>775</v>
      </c>
      <c r="K381" t="s">
        <v>776</v>
      </c>
    </row>
    <row r="382" spans="1:11">
      <c r="I382" t="s">
        <v>777</v>
      </c>
      <c r="K382" t="s">
        <v>778</v>
      </c>
    </row>
    <row r="383" spans="1:11">
      <c r="I383" t="s">
        <v>779</v>
      </c>
      <c r="K383" t="s">
        <v>780</v>
      </c>
    </row>
    <row r="384" spans="1:11">
      <c r="I384" t="s">
        <v>781</v>
      </c>
      <c r="K384" t="s">
        <v>782</v>
      </c>
    </row>
    <row r="385" spans="1:11">
      <c r="I385" t="s">
        <v>783</v>
      </c>
      <c r="K385" t="s">
        <v>784</v>
      </c>
    </row>
    <row r="386" spans="1:11">
      <c r="I386" t="s">
        <v>785</v>
      </c>
      <c r="K386" t="s">
        <v>786</v>
      </c>
    </row>
    <row r="387" spans="1:11">
      <c r="I387" t="s">
        <v>787</v>
      </c>
      <c r="K387" t="s">
        <v>788</v>
      </c>
    </row>
    <row r="388" spans="1:11">
      <c r="I388" t="s">
        <v>789</v>
      </c>
      <c r="K388" t="s">
        <v>790</v>
      </c>
    </row>
    <row r="389" spans="1:11">
      <c r="I389" t="s">
        <v>791</v>
      </c>
      <c r="K389" t="s">
        <v>792</v>
      </c>
    </row>
    <row r="390" spans="1:11">
      <c r="I390" t="s">
        <v>793</v>
      </c>
      <c r="K390" t="s">
        <v>794</v>
      </c>
    </row>
    <row r="391" spans="1:11">
      <c r="I391" t="s">
        <v>795</v>
      </c>
      <c r="K391" t="s">
        <v>796</v>
      </c>
    </row>
    <row r="392" spans="1:11">
      <c r="I392" t="s">
        <v>797</v>
      </c>
      <c r="K392" t="s">
        <v>798</v>
      </c>
    </row>
    <row r="393" spans="1:11">
      <c r="I393" t="s">
        <v>799</v>
      </c>
      <c r="K393" t="s">
        <v>800</v>
      </c>
    </row>
    <row r="394" spans="1:11">
      <c r="I394" t="s">
        <v>801</v>
      </c>
      <c r="K394" t="s">
        <v>802</v>
      </c>
    </row>
    <row r="395" spans="1:11">
      <c r="I395" t="s">
        <v>803</v>
      </c>
      <c r="K395" t="s">
        <v>804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H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&amp;LEidg. Schwingerverband: Kranzzahlen 2012</oddHeader>
    <oddFooter>&amp;L23.05.2013&amp;R&amp;P/&amp;N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ESV-Kranzzahlen 2012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Unknown Creator</cp:lastModifiedBy>
  <dcterms:created xsi:type="dcterms:W3CDTF">2013-05-23T04:24:28+02:00</dcterms:created>
  <dcterms:modified xsi:type="dcterms:W3CDTF">2013-05-23T04:24:28+02:00</dcterms:modified>
  <dc:title>ESV-Kranzzahlen 2012</dc:title>
  <dc:description/>
  <dc:subject/>
  <cp:keywords/>
  <cp:category/>
</cp:coreProperties>
</file>