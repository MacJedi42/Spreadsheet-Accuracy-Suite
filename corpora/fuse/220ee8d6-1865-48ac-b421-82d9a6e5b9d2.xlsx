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4592" yWindow="1068" windowWidth="33636" windowHeight="11280" tabRatio="694"/>
  </bookViews>
  <sheets>
    <sheet name="SFY 2014 Budget From 20131028" sheetId="32" r:id="rId1"/>
    <sheet name="20131011 CPSUD by Region" sheetId="27" state="hidden" r:id="rId2"/>
    <sheet name="20131011 MHC by Region" sheetId="28" state="hidden" r:id="rId3"/>
    <sheet name="SFY 2014 Budget From 20131011" sheetId="29" state="hidden" r:id="rId4"/>
    <sheet name="20130930 CPSUD by Region" sheetId="24" state="hidden" r:id="rId5"/>
    <sheet name="20130930 MHC by Region" sheetId="25" state="hidden" r:id="rId6"/>
    <sheet name="SFY 2014 Budget From 20130930" sheetId="26" state="hidden" r:id="rId7"/>
    <sheet name="20130913 CPSUD by Region" sheetId="20" state="hidden" r:id="rId8"/>
    <sheet name="20130913 MHC by Region" sheetId="21" state="hidden" r:id="rId9"/>
    <sheet name="SFY 2014 Budget From 20130913" sheetId="22" state="hidden" r:id="rId10"/>
    <sheet name="20130830 CPSUD by Region" sheetId="15" state="hidden" r:id="rId11"/>
    <sheet name="20130830 MHC by Region" sheetId="14" state="hidden" r:id="rId12"/>
    <sheet name="SFY 2014 Budget From 20130903" sheetId="13" state="hidden" r:id="rId13"/>
    <sheet name="SFY 2014 Reg 7 Budget For BP" sheetId="17" state="hidden" r:id="rId14"/>
    <sheet name="SFY 2014 Reg 6 Budget For BP" sheetId="19" state="hidden" r:id="rId15"/>
    <sheet name="20130816 CPSUD by Region" sheetId="12" state="hidden" r:id="rId16"/>
    <sheet name="20130816 MHC by Region" sheetId="11" state="hidden" r:id="rId17"/>
    <sheet name="SFY 2014 Budget From 20130816" sheetId="10" state="hidden" r:id="rId18"/>
    <sheet name="20130805 CPSUD by Region" sheetId="9" state="hidden" r:id="rId19"/>
    <sheet name="20130805 MHC by Region" sheetId="8" state="hidden" r:id="rId20"/>
    <sheet name="SFY 2014 Budget From 20130805" sheetId="7" state="hidden" r:id="rId21"/>
    <sheet name="20130722 CPSUD by Region" sheetId="5" state="hidden" r:id="rId22"/>
    <sheet name="20130722 MHC by Region" sheetId="6" state="hidden" r:id="rId23"/>
    <sheet name="SFY 2014 Budget From 20130724" sheetId="4" state="hidden" r:id="rId24"/>
    <sheet name="SFY 2014 Budget tmplt src" sheetId="1" state="hidden" r:id="rId25"/>
    <sheet name="SFY 2014 Budget From 6242013Old" sheetId="2" state="hidden" r:id="rId26"/>
  </sheets>
  <definedNames>
    <definedName name="_xlnm.Print_Area" localSheetId="21">'20130722 CPSUD by Region'!$B$2:$O$20</definedName>
    <definedName name="_xlnm.Print_Area" localSheetId="22">'20130722 MHC by Region'!$B$2:$O$20</definedName>
    <definedName name="_xlnm.Print_Area" localSheetId="18">'20130805 CPSUD by Region'!$B$2:$O$20</definedName>
    <definedName name="_xlnm.Print_Area" localSheetId="19">'20130805 MHC by Region'!$B$2:$O$20</definedName>
    <definedName name="_xlnm.Print_Area" localSheetId="15">'20130816 CPSUD by Region'!$B$2:$O$20</definedName>
    <definedName name="_xlnm.Print_Area" localSheetId="16">'20130816 MHC by Region'!$B$2:$O$20</definedName>
    <definedName name="_xlnm.Print_Area" localSheetId="10">'20130830 CPSUD by Region'!$B$2:$O$20</definedName>
    <definedName name="_xlnm.Print_Area" localSheetId="11">'20130830 MHC by Region'!$B$2:$O$20</definedName>
    <definedName name="_xlnm.Print_Area" localSheetId="7">'20130913 CPSUD by Region'!$B$2:$O$20</definedName>
    <definedName name="_xlnm.Print_Area" localSheetId="8">'20130913 MHC by Region'!$B$2:$O$20</definedName>
    <definedName name="_xlnm.Print_Area" localSheetId="4">'20130930 CPSUD by Region'!$B$2:$O$20</definedName>
    <definedName name="_xlnm.Print_Area" localSheetId="5">'20130930 MHC by Region'!$B$2:$O$20</definedName>
    <definedName name="_xlnm.Print_Area" localSheetId="1">'20131011 CPSUD by Region'!$B$2:$O$20</definedName>
    <definedName name="_xlnm.Print_Area" localSheetId="2">'20131011 MHC by Region'!$B$2:$O$20</definedName>
    <definedName name="_xlnm.Print_Area" localSheetId="23">'SFY 2014 Budget From 20130724'!$A$2:$K$64</definedName>
    <definedName name="_xlnm.Print_Area" localSheetId="20">'SFY 2014 Budget From 20130805'!$A$2:$K$64</definedName>
    <definedName name="_xlnm.Print_Area" localSheetId="17">'SFY 2014 Budget From 20130816'!$A$2:$K$64</definedName>
    <definedName name="_xlnm.Print_Area" localSheetId="12">'SFY 2014 Budget From 20130903'!$A$2:$K$64</definedName>
    <definedName name="_xlnm.Print_Area" localSheetId="9">'SFY 2014 Budget From 20130913'!$A$2:$K$64</definedName>
    <definedName name="_xlnm.Print_Area" localSheetId="6">'SFY 2014 Budget From 20130930'!$A$2:$K$64</definedName>
    <definedName name="_xlnm.Print_Area" localSheetId="3">'SFY 2014 Budget From 20131011'!$A$2:$K$66</definedName>
    <definedName name="_xlnm.Print_Area" localSheetId="0">'SFY 2014 Budget From 20131028'!$A$2:$K$66</definedName>
    <definedName name="_xlnm.Print_Area" localSheetId="25">'SFY 2014 Budget From 6242013Old'!$A$2:$K$64</definedName>
    <definedName name="_xlnm.Print_Area" localSheetId="24">'SFY 2014 Budget tmplt src'!$A$2:$K$64</definedName>
    <definedName name="_xlnm.Print_Area" localSheetId="14">'SFY 2014 Reg 6 Budget For BP'!$A$2:$I$64</definedName>
    <definedName name="_xlnm.Print_Area" localSheetId="13">'SFY 2014 Reg 7 Budget For BP'!$A$2:$K$64</definedName>
  </definedNames>
  <calcPr calcId="145621"/>
</workbook>
</file>

<file path=xl/calcChain.xml><?xml version="1.0" encoding="utf-8"?>
<calcChain xmlns="http://schemas.openxmlformats.org/spreadsheetml/2006/main">
  <c r="H52" i="32" l="1"/>
  <c r="E32" i="32"/>
  <c r="C32" i="32"/>
  <c r="G58" i="32" l="1"/>
  <c r="R145" i="32" l="1"/>
  <c r="G71" i="32"/>
  <c r="F71" i="32"/>
  <c r="E71" i="32"/>
  <c r="D71" i="32"/>
  <c r="C71" i="32"/>
  <c r="B71" i="32"/>
  <c r="G62" i="32"/>
  <c r="F56" i="32"/>
  <c r="E56" i="32"/>
  <c r="H56" i="32" s="1"/>
  <c r="B56" i="32"/>
  <c r="C54" i="32"/>
  <c r="E54" i="32" s="1"/>
  <c r="B54" i="32"/>
  <c r="C51" i="32"/>
  <c r="B51" i="32"/>
  <c r="B52" i="32" s="1"/>
  <c r="C49" i="32"/>
  <c r="B49" i="32"/>
  <c r="F48" i="32"/>
  <c r="F49" i="32" s="1"/>
  <c r="E48" i="32"/>
  <c r="E47" i="32"/>
  <c r="C44" i="32"/>
  <c r="B44" i="32"/>
  <c r="C43" i="32"/>
  <c r="E43" i="32" s="1"/>
  <c r="B43" i="32"/>
  <c r="C40" i="32"/>
  <c r="E40" i="32" s="1"/>
  <c r="F40" i="32" s="1"/>
  <c r="F41" i="32" s="1"/>
  <c r="B40" i="32"/>
  <c r="C39" i="32"/>
  <c r="E39" i="32" s="1"/>
  <c r="B39" i="32"/>
  <c r="C36" i="32"/>
  <c r="B36" i="32"/>
  <c r="C35" i="32"/>
  <c r="E35" i="32" s="1"/>
  <c r="B35" i="32"/>
  <c r="F32" i="32"/>
  <c r="F33" i="32" s="1"/>
  <c r="B32" i="32"/>
  <c r="V31" i="32"/>
  <c r="U31" i="32"/>
  <c r="C31" i="32"/>
  <c r="E31" i="32" s="1"/>
  <c r="B31" i="32"/>
  <c r="B33" i="32" s="1"/>
  <c r="V30" i="32"/>
  <c r="U30" i="32"/>
  <c r="V29" i="32"/>
  <c r="U29" i="32"/>
  <c r="V28" i="32"/>
  <c r="U28" i="32"/>
  <c r="C28" i="32"/>
  <c r="B28" i="32"/>
  <c r="V27" i="32"/>
  <c r="U27" i="32"/>
  <c r="C27" i="32"/>
  <c r="E27" i="32" s="1"/>
  <c r="B27" i="32"/>
  <c r="V26" i="32"/>
  <c r="U26" i="32"/>
  <c r="V25" i="32"/>
  <c r="U25" i="32"/>
  <c r="V24" i="32"/>
  <c r="U24" i="32"/>
  <c r="C24" i="32"/>
  <c r="E24" i="32" s="1"/>
  <c r="F24" i="32" s="1"/>
  <c r="F25" i="32" s="1"/>
  <c r="B24" i="32"/>
  <c r="V23" i="32"/>
  <c r="U23" i="32"/>
  <c r="C23" i="32"/>
  <c r="C25" i="32" s="1"/>
  <c r="B23" i="32"/>
  <c r="V22" i="32"/>
  <c r="U22" i="32"/>
  <c r="V21" i="32"/>
  <c r="U21" i="32"/>
  <c r="V20" i="32"/>
  <c r="U20" i="32"/>
  <c r="C20" i="32"/>
  <c r="E20" i="32" s="1"/>
  <c r="F20" i="32" s="1"/>
  <c r="F21" i="32" s="1"/>
  <c r="B20" i="32"/>
  <c r="B21" i="32" s="1"/>
  <c r="V19" i="32"/>
  <c r="U19" i="32"/>
  <c r="E19" i="32"/>
  <c r="V18" i="32"/>
  <c r="U18" i="32"/>
  <c r="V17" i="32"/>
  <c r="U17" i="32"/>
  <c r="C16" i="32"/>
  <c r="E16" i="32" s="1"/>
  <c r="F16" i="32" s="1"/>
  <c r="F17" i="32" s="1"/>
  <c r="B16" i="32"/>
  <c r="V15" i="32"/>
  <c r="U15" i="32"/>
  <c r="C15" i="32"/>
  <c r="E15" i="32" s="1"/>
  <c r="B15" i="32"/>
  <c r="V14" i="32"/>
  <c r="U14" i="32"/>
  <c r="V13" i="32"/>
  <c r="U13" i="32"/>
  <c r="V12" i="32"/>
  <c r="U12" i="32"/>
  <c r="C12" i="32"/>
  <c r="B12" i="32"/>
  <c r="V11" i="32"/>
  <c r="U11" i="32"/>
  <c r="C11" i="32"/>
  <c r="E11" i="32" s="1"/>
  <c r="F11" i="32" s="1"/>
  <c r="B11" i="32"/>
  <c r="V10" i="32"/>
  <c r="U10" i="32"/>
  <c r="C10" i="32"/>
  <c r="B10" i="32"/>
  <c r="V9" i="32"/>
  <c r="U9" i="32"/>
  <c r="C9" i="32"/>
  <c r="E9" i="32" s="1"/>
  <c r="F9" i="32" s="1"/>
  <c r="B9" i="32"/>
  <c r="V8" i="32"/>
  <c r="U8" i="32"/>
  <c r="C8" i="32"/>
  <c r="B8" i="32"/>
  <c r="V7" i="32"/>
  <c r="U7" i="32"/>
  <c r="C7" i="32"/>
  <c r="E7" i="32" s="1"/>
  <c r="F7" i="32" s="1"/>
  <c r="B7" i="32"/>
  <c r="V6" i="32"/>
  <c r="U6" i="32"/>
  <c r="C6" i="32"/>
  <c r="B6" i="32"/>
  <c r="B13" i="32" s="1"/>
  <c r="M4" i="32"/>
  <c r="M5" i="32" s="1"/>
  <c r="H3" i="32" s="1"/>
  <c r="J49" i="32" l="1"/>
  <c r="K49" i="32" s="1"/>
  <c r="C52" i="32"/>
  <c r="E51" i="32"/>
  <c r="E33" i="32"/>
  <c r="H33" i="32" s="1"/>
  <c r="J33" i="32" s="1"/>
  <c r="K33" i="32" s="1"/>
  <c r="E21" i="32"/>
  <c r="H21" i="32" s="1"/>
  <c r="J21" i="32" s="1"/>
  <c r="K21" i="32" s="1"/>
  <c r="E23" i="32"/>
  <c r="E25" i="32" s="1"/>
  <c r="H25" i="32" s="1"/>
  <c r="C21" i="32"/>
  <c r="B37" i="32"/>
  <c r="B41" i="32"/>
  <c r="B25" i="32"/>
  <c r="E41" i="32"/>
  <c r="H41" i="32" s="1"/>
  <c r="J41" i="32" s="1"/>
  <c r="K41" i="32" s="1"/>
  <c r="C17" i="32"/>
  <c r="B45" i="32"/>
  <c r="E52" i="32"/>
  <c r="J52" i="32" s="1"/>
  <c r="K52" i="32" s="1"/>
  <c r="E49" i="32"/>
  <c r="H49" i="32" s="1"/>
  <c r="C29" i="32"/>
  <c r="B17" i="32"/>
  <c r="B62" i="32" s="1"/>
  <c r="B29" i="32"/>
  <c r="C13" i="32"/>
  <c r="E6" i="32"/>
  <c r="F6" i="32" s="1"/>
  <c r="E17" i="32"/>
  <c r="H17" i="32" s="1"/>
  <c r="E8" i="32"/>
  <c r="F8" i="32" s="1"/>
  <c r="E10" i="32"/>
  <c r="F10" i="32" s="1"/>
  <c r="J60" i="32"/>
  <c r="K60" i="32" s="1"/>
  <c r="C37" i="32"/>
  <c r="C45" i="32"/>
  <c r="E12" i="32"/>
  <c r="F12" i="32" s="1"/>
  <c r="E28" i="32"/>
  <c r="E29" i="32" s="1"/>
  <c r="H29" i="32" s="1"/>
  <c r="E36" i="32"/>
  <c r="F36" i="32" s="1"/>
  <c r="F37" i="32" s="1"/>
  <c r="E44" i="32"/>
  <c r="E45" i="32" s="1"/>
  <c r="H45" i="32" s="1"/>
  <c r="C33" i="32"/>
  <c r="C41" i="32"/>
  <c r="G58" i="29"/>
  <c r="G62" i="29"/>
  <c r="F62" i="29"/>
  <c r="F60" i="29"/>
  <c r="E58" i="29"/>
  <c r="C62" i="29"/>
  <c r="B62" i="29"/>
  <c r="H56" i="29"/>
  <c r="F56" i="29"/>
  <c r="E56" i="29"/>
  <c r="B56" i="29"/>
  <c r="J45" i="32" l="1"/>
  <c r="K45" i="32" s="1"/>
  <c r="J29" i="32"/>
  <c r="K29" i="32" s="1"/>
  <c r="J25" i="32"/>
  <c r="K25" i="32" s="1"/>
  <c r="J17" i="32"/>
  <c r="K17" i="32" s="1"/>
  <c r="F51" i="32"/>
  <c r="F52" i="32" s="1"/>
  <c r="E37" i="32"/>
  <c r="H37" i="32" s="1"/>
  <c r="F28" i="32"/>
  <c r="F29" i="32" s="1"/>
  <c r="F44" i="32"/>
  <c r="F45" i="32" s="1"/>
  <c r="E13" i="32"/>
  <c r="F13" i="32"/>
  <c r="C62" i="32"/>
  <c r="H62" i="32" s="1"/>
  <c r="J62" i="32" s="1"/>
  <c r="K62" i="32" s="1"/>
  <c r="U6" i="29"/>
  <c r="R145" i="29"/>
  <c r="G71" i="29"/>
  <c r="F71" i="29"/>
  <c r="E71" i="29"/>
  <c r="D71" i="29"/>
  <c r="C71" i="29"/>
  <c r="B71" i="29"/>
  <c r="C54" i="29"/>
  <c r="E54" i="29" s="1"/>
  <c r="B54" i="29"/>
  <c r="C51" i="29"/>
  <c r="E51" i="29" s="1"/>
  <c r="E52" i="29" s="1"/>
  <c r="B51" i="29"/>
  <c r="B52" i="29" s="1"/>
  <c r="C49" i="29"/>
  <c r="B49" i="29"/>
  <c r="E48" i="29"/>
  <c r="F48" i="29" s="1"/>
  <c r="F49" i="29" s="1"/>
  <c r="E47" i="29"/>
  <c r="C44" i="29"/>
  <c r="E44" i="29" s="1"/>
  <c r="F44" i="29" s="1"/>
  <c r="F45" i="29" s="1"/>
  <c r="B44" i="29"/>
  <c r="C43" i="29"/>
  <c r="B43" i="29"/>
  <c r="C40" i="29"/>
  <c r="B40" i="29"/>
  <c r="C39" i="29"/>
  <c r="E39" i="29" s="1"/>
  <c r="B39" i="29"/>
  <c r="C36" i="29"/>
  <c r="E36" i="29" s="1"/>
  <c r="F36" i="29" s="1"/>
  <c r="F37" i="29" s="1"/>
  <c r="B36" i="29"/>
  <c r="C35" i="29"/>
  <c r="B35" i="29"/>
  <c r="C32" i="29"/>
  <c r="E32" i="29" s="1"/>
  <c r="B32" i="29"/>
  <c r="V31" i="29"/>
  <c r="U31" i="29"/>
  <c r="C31" i="29"/>
  <c r="C33" i="29" s="1"/>
  <c r="B31" i="29"/>
  <c r="V30" i="29"/>
  <c r="U30" i="29"/>
  <c r="V29" i="29"/>
  <c r="U29" i="29"/>
  <c r="V28" i="29"/>
  <c r="U28" i="29"/>
  <c r="C28" i="29"/>
  <c r="E28" i="29" s="1"/>
  <c r="F28" i="29" s="1"/>
  <c r="F29" i="29" s="1"/>
  <c r="B28" i="29"/>
  <c r="V27" i="29"/>
  <c r="U27" i="29"/>
  <c r="C27" i="29"/>
  <c r="E27" i="29" s="1"/>
  <c r="B27" i="29"/>
  <c r="V26" i="29"/>
  <c r="U26" i="29"/>
  <c r="V25" i="29"/>
  <c r="U25" i="29"/>
  <c r="V24" i="29"/>
  <c r="U24" i="29"/>
  <c r="C24" i="29"/>
  <c r="B24" i="29"/>
  <c r="V23" i="29"/>
  <c r="U23" i="29"/>
  <c r="C23" i="29"/>
  <c r="C25" i="29" s="1"/>
  <c r="B23" i="29"/>
  <c r="B25" i="29" s="1"/>
  <c r="V22" i="29"/>
  <c r="U22" i="29"/>
  <c r="V21" i="29"/>
  <c r="U21" i="29"/>
  <c r="V20" i="29"/>
  <c r="U20" i="29"/>
  <c r="C20" i="29"/>
  <c r="C21" i="29" s="1"/>
  <c r="B20" i="29"/>
  <c r="B21" i="29" s="1"/>
  <c r="V19" i="29"/>
  <c r="U19" i="29"/>
  <c r="E19" i="29"/>
  <c r="V18" i="29"/>
  <c r="U18" i="29"/>
  <c r="V17" i="29"/>
  <c r="U17" i="29"/>
  <c r="V16" i="29"/>
  <c r="U16" i="29"/>
  <c r="C16" i="29"/>
  <c r="B16" i="29"/>
  <c r="V15" i="29"/>
  <c r="U15" i="29"/>
  <c r="C15" i="29"/>
  <c r="C17" i="29" s="1"/>
  <c r="B15" i="29"/>
  <c r="B17" i="29" s="1"/>
  <c r="V14" i="29"/>
  <c r="U14" i="29"/>
  <c r="V13" i="29"/>
  <c r="U13" i="29"/>
  <c r="V12" i="29"/>
  <c r="U12" i="29"/>
  <c r="C12" i="29"/>
  <c r="E12" i="29" s="1"/>
  <c r="F12" i="29" s="1"/>
  <c r="B12" i="29"/>
  <c r="V11" i="29"/>
  <c r="U11" i="29"/>
  <c r="C11" i="29"/>
  <c r="E11" i="29" s="1"/>
  <c r="B11" i="29"/>
  <c r="V10" i="29"/>
  <c r="U10" i="29"/>
  <c r="C10" i="29"/>
  <c r="E10" i="29" s="1"/>
  <c r="F10" i="29" s="1"/>
  <c r="B10" i="29"/>
  <c r="V9" i="29"/>
  <c r="U9" i="29"/>
  <c r="C9" i="29"/>
  <c r="B9" i="29"/>
  <c r="V8" i="29"/>
  <c r="U8" i="29"/>
  <c r="C8" i="29"/>
  <c r="E8" i="29" s="1"/>
  <c r="F8" i="29" s="1"/>
  <c r="B8" i="29"/>
  <c r="V7" i="29"/>
  <c r="U7" i="29"/>
  <c r="C7" i="29"/>
  <c r="E7" i="29" s="1"/>
  <c r="B7" i="29"/>
  <c r="V6" i="29"/>
  <c r="C6" i="29"/>
  <c r="E6" i="29" s="1"/>
  <c r="B6" i="29"/>
  <c r="M4" i="29"/>
  <c r="M5" i="29" s="1"/>
  <c r="H3" i="29" s="1"/>
  <c r="J34" i="28"/>
  <c r="I34" i="28"/>
  <c r="H34" i="28"/>
  <c r="G34" i="28"/>
  <c r="F34" i="28"/>
  <c r="E34" i="28"/>
  <c r="D34" i="28"/>
  <c r="C34" i="28"/>
  <c r="K25" i="28"/>
  <c r="K24" i="28"/>
  <c r="J23" i="28"/>
  <c r="Q20" i="28"/>
  <c r="G19" i="28"/>
  <c r="H19" i="28" s="1"/>
  <c r="G18" i="28"/>
  <c r="H18" i="28" s="1"/>
  <c r="G17" i="28"/>
  <c r="H17" i="28" s="1"/>
  <c r="G16" i="28"/>
  <c r="H16" i="28" s="1"/>
  <c r="G15" i="28"/>
  <c r="G14" i="28"/>
  <c r="H14" i="28" s="1"/>
  <c r="G13" i="28"/>
  <c r="H13" i="28" s="1"/>
  <c r="G12" i="28"/>
  <c r="H12" i="28" s="1"/>
  <c r="G11" i="28"/>
  <c r="H11" i="28" s="1"/>
  <c r="G10" i="28"/>
  <c r="H10" i="28" s="1"/>
  <c r="H9" i="28"/>
  <c r="G9" i="28"/>
  <c r="G8" i="28"/>
  <c r="H8" i="28" s="1"/>
  <c r="G7" i="28"/>
  <c r="H6" i="28"/>
  <c r="G6" i="28"/>
  <c r="Q4" i="28"/>
  <c r="Q5" i="28" s="1"/>
  <c r="L3" i="28" s="1"/>
  <c r="J34" i="27"/>
  <c r="I34" i="27"/>
  <c r="H34" i="27"/>
  <c r="G34" i="27"/>
  <c r="F34" i="27"/>
  <c r="E34" i="27"/>
  <c r="D34" i="27"/>
  <c r="C34" i="27"/>
  <c r="K25" i="27"/>
  <c r="K24" i="27"/>
  <c r="J23" i="27"/>
  <c r="Q20" i="27"/>
  <c r="G19" i="27"/>
  <c r="H19" i="27" s="1"/>
  <c r="G18" i="27"/>
  <c r="H18" i="27" s="1"/>
  <c r="G17" i="27"/>
  <c r="G16" i="27"/>
  <c r="H16" i="27" s="1"/>
  <c r="G15" i="27"/>
  <c r="H15" i="27" s="1"/>
  <c r="G14" i="27"/>
  <c r="H14" i="27" s="1"/>
  <c r="G13" i="27"/>
  <c r="H13" i="27" s="1"/>
  <c r="G12" i="27"/>
  <c r="H12" i="27" s="1"/>
  <c r="G11" i="27"/>
  <c r="H11" i="27" s="1"/>
  <c r="G10" i="27"/>
  <c r="H10" i="27" s="1"/>
  <c r="G9" i="27"/>
  <c r="H9" i="27" s="1"/>
  <c r="G8" i="27"/>
  <c r="H8" i="27" s="1"/>
  <c r="H7" i="27"/>
  <c r="G7" i="27"/>
  <c r="G6" i="27"/>
  <c r="H6" i="27" s="1"/>
  <c r="Q4" i="27"/>
  <c r="Q5" i="27" s="1"/>
  <c r="L3" i="27" s="1"/>
  <c r="K37" i="32" l="1"/>
  <c r="J37" i="32"/>
  <c r="F60" i="32"/>
  <c r="E58" i="32"/>
  <c r="H13" i="32"/>
  <c r="J13" i="32" s="1"/>
  <c r="K13" i="32" s="1"/>
  <c r="L14" i="27"/>
  <c r="L12" i="28"/>
  <c r="G20" i="28"/>
  <c r="F20" i="28" s="1"/>
  <c r="B41" i="29"/>
  <c r="B45" i="29"/>
  <c r="C45" i="29"/>
  <c r="B13" i="29"/>
  <c r="E24" i="29"/>
  <c r="F24" i="29" s="1"/>
  <c r="F25" i="29" s="1"/>
  <c r="B29" i="29"/>
  <c r="E9" i="29"/>
  <c r="E13" i="29" s="1"/>
  <c r="H13" i="29" s="1"/>
  <c r="J13" i="29" s="1"/>
  <c r="K13" i="29" s="1"/>
  <c r="E16" i="29"/>
  <c r="F16" i="29" s="1"/>
  <c r="F17" i="29" s="1"/>
  <c r="E29" i="29"/>
  <c r="H29" i="29" s="1"/>
  <c r="J29" i="29" s="1"/>
  <c r="K29" i="29" s="1"/>
  <c r="B33" i="29"/>
  <c r="C37" i="29"/>
  <c r="E40" i="29"/>
  <c r="F40" i="29" s="1"/>
  <c r="F41" i="29" s="1"/>
  <c r="F7" i="29"/>
  <c r="F11" i="29"/>
  <c r="E20" i="29"/>
  <c r="E21" i="29" s="1"/>
  <c r="H21" i="29" s="1"/>
  <c r="F32" i="29"/>
  <c r="F33" i="29" s="1"/>
  <c r="B37" i="29"/>
  <c r="N12" i="28"/>
  <c r="O12" i="28" s="1"/>
  <c r="N14" i="27"/>
  <c r="O14" i="27" s="1"/>
  <c r="J52" i="29"/>
  <c r="K52" i="29" s="1"/>
  <c r="J60" i="29"/>
  <c r="K60" i="29" s="1"/>
  <c r="L18" i="27"/>
  <c r="N18" i="27" s="1"/>
  <c r="O18" i="27" s="1"/>
  <c r="G20" i="27"/>
  <c r="H7" i="28"/>
  <c r="L6" i="28"/>
  <c r="N6" i="28" s="1"/>
  <c r="O6" i="28" s="1"/>
  <c r="L16" i="28"/>
  <c r="N16" i="28" s="1"/>
  <c r="O16" i="28" s="1"/>
  <c r="L18" i="28"/>
  <c r="N18" i="28" s="1"/>
  <c r="O18" i="28" s="1"/>
  <c r="G23" i="28"/>
  <c r="L23" i="28" s="1"/>
  <c r="N23" i="28" s="1"/>
  <c r="O23" i="28" s="1"/>
  <c r="L6" i="27"/>
  <c r="N6" i="27" s="1"/>
  <c r="O6" i="27" s="1"/>
  <c r="L8" i="27"/>
  <c r="N8" i="27" s="1"/>
  <c r="O8" i="27" s="1"/>
  <c r="H17" i="27"/>
  <c r="H20" i="27" s="1"/>
  <c r="L16" i="27"/>
  <c r="N16" i="27" s="1"/>
  <c r="O16" i="27" s="1"/>
  <c r="L8" i="28"/>
  <c r="N8" i="28" s="1"/>
  <c r="O8" i="28" s="1"/>
  <c r="L10" i="28"/>
  <c r="N10" i="28" s="1"/>
  <c r="O10" i="28" s="1"/>
  <c r="H15" i="28"/>
  <c r="L14" i="28"/>
  <c r="N14" i="28" s="1"/>
  <c r="O14" i="28" s="1"/>
  <c r="F51" i="29"/>
  <c r="F52" i="29" s="1"/>
  <c r="F6" i="29"/>
  <c r="C13" i="29"/>
  <c r="E15" i="29"/>
  <c r="E23" i="29"/>
  <c r="C29" i="29"/>
  <c r="E31" i="29"/>
  <c r="E33" i="29" s="1"/>
  <c r="H33" i="29" s="1"/>
  <c r="J33" i="29" s="1"/>
  <c r="K33" i="29" s="1"/>
  <c r="E35" i="29"/>
  <c r="E37" i="29" s="1"/>
  <c r="H37" i="29" s="1"/>
  <c r="J37" i="29" s="1"/>
  <c r="K37" i="29" s="1"/>
  <c r="C41" i="29"/>
  <c r="E43" i="29"/>
  <c r="E45" i="29" s="1"/>
  <c r="H45" i="29" s="1"/>
  <c r="J45" i="29" s="1"/>
  <c r="K45" i="29" s="1"/>
  <c r="E49" i="29"/>
  <c r="H49" i="29" s="1"/>
  <c r="C52" i="29"/>
  <c r="R143" i="26"/>
  <c r="G69" i="26"/>
  <c r="F69" i="26"/>
  <c r="E69" i="26"/>
  <c r="D69" i="26"/>
  <c r="C69" i="26"/>
  <c r="B69" i="26"/>
  <c r="G56" i="26"/>
  <c r="C54" i="26"/>
  <c r="E54" i="26" s="1"/>
  <c r="B54" i="26"/>
  <c r="C51" i="26"/>
  <c r="C52" i="26" s="1"/>
  <c r="B51" i="26"/>
  <c r="B52" i="26" s="1"/>
  <c r="C49" i="26"/>
  <c r="B49" i="26"/>
  <c r="E48" i="26"/>
  <c r="E47" i="26"/>
  <c r="C44" i="26"/>
  <c r="B44" i="26"/>
  <c r="C43" i="26"/>
  <c r="E43" i="26" s="1"/>
  <c r="B43" i="26"/>
  <c r="B45" i="26" s="1"/>
  <c r="C40" i="26"/>
  <c r="E40" i="26" s="1"/>
  <c r="F40" i="26" s="1"/>
  <c r="F41" i="26" s="1"/>
  <c r="B40" i="26"/>
  <c r="C39" i="26"/>
  <c r="C41" i="26" s="1"/>
  <c r="B39" i="26"/>
  <c r="C36" i="26"/>
  <c r="B36" i="26"/>
  <c r="C35" i="26"/>
  <c r="E35" i="26" s="1"/>
  <c r="B35" i="26"/>
  <c r="C32" i="26"/>
  <c r="B32" i="26"/>
  <c r="V31" i="26"/>
  <c r="U31" i="26"/>
  <c r="C31" i="26"/>
  <c r="C33" i="26" s="1"/>
  <c r="B31" i="26"/>
  <c r="B33" i="26" s="1"/>
  <c r="V30" i="26"/>
  <c r="U30" i="26"/>
  <c r="V29" i="26"/>
  <c r="U29" i="26"/>
  <c r="V28" i="26"/>
  <c r="U28" i="26"/>
  <c r="C28" i="26"/>
  <c r="B28" i="26"/>
  <c r="V27" i="26"/>
  <c r="U27" i="26"/>
  <c r="C27" i="26"/>
  <c r="E27" i="26" s="1"/>
  <c r="B27" i="26"/>
  <c r="V26" i="26"/>
  <c r="U26" i="26"/>
  <c r="V25" i="26"/>
  <c r="U25" i="26"/>
  <c r="V24" i="26"/>
  <c r="U24" i="26"/>
  <c r="C24" i="26"/>
  <c r="E24" i="26" s="1"/>
  <c r="F24" i="26" s="1"/>
  <c r="F25" i="26" s="1"/>
  <c r="B24" i="26"/>
  <c r="V23" i="26"/>
  <c r="U23" i="26"/>
  <c r="C23" i="26"/>
  <c r="E23" i="26" s="1"/>
  <c r="B23" i="26"/>
  <c r="B25" i="26" s="1"/>
  <c r="V22" i="26"/>
  <c r="U22" i="26"/>
  <c r="V21" i="26"/>
  <c r="U21" i="26"/>
  <c r="V20" i="26"/>
  <c r="U20" i="26"/>
  <c r="C20" i="26"/>
  <c r="C21" i="26" s="1"/>
  <c r="B20" i="26"/>
  <c r="B21" i="26" s="1"/>
  <c r="V19" i="26"/>
  <c r="U19" i="26"/>
  <c r="E19" i="26"/>
  <c r="V18" i="26"/>
  <c r="U18" i="26"/>
  <c r="V17" i="26"/>
  <c r="U17" i="26"/>
  <c r="V16" i="26"/>
  <c r="U16" i="26"/>
  <c r="E16" i="26"/>
  <c r="F16" i="26" s="1"/>
  <c r="F17" i="26" s="1"/>
  <c r="C16" i="26"/>
  <c r="B16" i="26"/>
  <c r="V15" i="26"/>
  <c r="U15" i="26"/>
  <c r="C15" i="26"/>
  <c r="E15" i="26" s="1"/>
  <c r="B15" i="26"/>
  <c r="B17" i="26" s="1"/>
  <c r="V14" i="26"/>
  <c r="U14" i="26"/>
  <c r="V13" i="26"/>
  <c r="U13" i="26"/>
  <c r="V12" i="26"/>
  <c r="U12" i="26"/>
  <c r="C12" i="26"/>
  <c r="E12" i="26" s="1"/>
  <c r="B12" i="26"/>
  <c r="V11" i="26"/>
  <c r="U11" i="26"/>
  <c r="C11" i="26"/>
  <c r="B11" i="26"/>
  <c r="V10" i="26"/>
  <c r="U10" i="26"/>
  <c r="C10" i="26"/>
  <c r="B10" i="26"/>
  <c r="V9" i="26"/>
  <c r="U9" i="26"/>
  <c r="C9" i="26"/>
  <c r="E9" i="26" s="1"/>
  <c r="F9" i="26" s="1"/>
  <c r="B9" i="26"/>
  <c r="V8" i="26"/>
  <c r="U8" i="26"/>
  <c r="C8" i="26"/>
  <c r="E8" i="26" s="1"/>
  <c r="B8" i="26"/>
  <c r="V7" i="26"/>
  <c r="U7" i="26"/>
  <c r="C7" i="26"/>
  <c r="E7" i="26" s="1"/>
  <c r="F7" i="26" s="1"/>
  <c r="B7" i="26"/>
  <c r="V6" i="26"/>
  <c r="U6" i="26"/>
  <c r="C6" i="26"/>
  <c r="E6" i="26" s="1"/>
  <c r="B6" i="26"/>
  <c r="M4" i="26"/>
  <c r="M5" i="26" s="1"/>
  <c r="H3" i="26"/>
  <c r="J34" i="25"/>
  <c r="I34" i="25"/>
  <c r="H34" i="25"/>
  <c r="G34" i="25"/>
  <c r="F34" i="25"/>
  <c r="E34" i="25"/>
  <c r="D34" i="25"/>
  <c r="C34" i="25"/>
  <c r="K25" i="25"/>
  <c r="K24" i="25"/>
  <c r="J23" i="25"/>
  <c r="Q20" i="25"/>
  <c r="G19" i="25"/>
  <c r="G18" i="25"/>
  <c r="H18" i="25" s="1"/>
  <c r="G17" i="25"/>
  <c r="G16" i="25"/>
  <c r="H16" i="25" s="1"/>
  <c r="G15" i="25"/>
  <c r="H15" i="25" s="1"/>
  <c r="G14" i="25"/>
  <c r="G13" i="25"/>
  <c r="H13" i="25" s="1"/>
  <c r="G12" i="25"/>
  <c r="H12" i="25" s="1"/>
  <c r="G11" i="25"/>
  <c r="G10" i="25"/>
  <c r="H10" i="25" s="1"/>
  <c r="G9" i="25"/>
  <c r="H9" i="25" s="1"/>
  <c r="G8" i="25"/>
  <c r="G7" i="25"/>
  <c r="H7" i="25" s="1"/>
  <c r="G6" i="25"/>
  <c r="H6" i="25" s="1"/>
  <c r="Q4" i="25"/>
  <c r="Q5" i="25" s="1"/>
  <c r="L3" i="25" s="1"/>
  <c r="J34" i="24"/>
  <c r="I34" i="24"/>
  <c r="H34" i="24"/>
  <c r="G34" i="24"/>
  <c r="F34" i="24"/>
  <c r="E34" i="24"/>
  <c r="D34" i="24"/>
  <c r="C34" i="24"/>
  <c r="K25" i="24"/>
  <c r="K24" i="24"/>
  <c r="J23" i="24"/>
  <c r="Q20" i="24"/>
  <c r="G19" i="24"/>
  <c r="H19" i="24" s="1"/>
  <c r="G18" i="24"/>
  <c r="G17" i="24"/>
  <c r="H17" i="24" s="1"/>
  <c r="G16" i="24"/>
  <c r="H16" i="24" s="1"/>
  <c r="G15" i="24"/>
  <c r="H15" i="24" s="1"/>
  <c r="G14" i="24"/>
  <c r="H14" i="24" s="1"/>
  <c r="G13" i="24"/>
  <c r="H13" i="24" s="1"/>
  <c r="G12" i="24"/>
  <c r="H12" i="24" s="1"/>
  <c r="G11" i="24"/>
  <c r="H11" i="24" s="1"/>
  <c r="G10" i="24"/>
  <c r="H10" i="24" s="1"/>
  <c r="G9" i="24"/>
  <c r="G8" i="24"/>
  <c r="H8" i="24" s="1"/>
  <c r="G7" i="24"/>
  <c r="H7" i="24" s="1"/>
  <c r="G6" i="24"/>
  <c r="L6" i="24" s="1"/>
  <c r="Q4" i="24"/>
  <c r="Q5" i="24" s="1"/>
  <c r="L3" i="24" s="1"/>
  <c r="F62" i="32" l="1"/>
  <c r="H58" i="32"/>
  <c r="J58" i="32" s="1"/>
  <c r="K58" i="32" s="1"/>
  <c r="L20" i="28"/>
  <c r="N20" i="28" s="1"/>
  <c r="O20" i="28" s="1"/>
  <c r="F20" i="29"/>
  <c r="F21" i="29" s="1"/>
  <c r="E25" i="29"/>
  <c r="H25" i="29" s="1"/>
  <c r="J25" i="29" s="1"/>
  <c r="K25" i="29" s="1"/>
  <c r="E41" i="29"/>
  <c r="H41" i="29" s="1"/>
  <c r="J41" i="29" s="1"/>
  <c r="K41" i="29" s="1"/>
  <c r="H62" i="29"/>
  <c r="J62" i="29" s="1"/>
  <c r="K62" i="29" s="1"/>
  <c r="F9" i="29"/>
  <c r="F13" i="29" s="1"/>
  <c r="E17" i="29"/>
  <c r="H17" i="29" s="1"/>
  <c r="J17" i="29" s="1"/>
  <c r="K17" i="29" s="1"/>
  <c r="L24" i="27"/>
  <c r="N24" i="27" s="1"/>
  <c r="O24" i="27" s="1"/>
  <c r="H24" i="27"/>
  <c r="H20" i="28"/>
  <c r="F20" i="27"/>
  <c r="D25" i="27"/>
  <c r="L20" i="27"/>
  <c r="N20" i="27" s="1"/>
  <c r="O20" i="27" s="1"/>
  <c r="G23" i="27"/>
  <c r="L23" i="27" s="1"/>
  <c r="N23" i="27" s="1"/>
  <c r="O23" i="27" s="1"/>
  <c r="G20" i="24"/>
  <c r="F20" i="24" s="1"/>
  <c r="L18" i="24"/>
  <c r="H6" i="24"/>
  <c r="L16" i="24"/>
  <c r="H18" i="24"/>
  <c r="N16" i="24"/>
  <c r="O16" i="24" s="1"/>
  <c r="L18" i="25"/>
  <c r="N18" i="25" s="1"/>
  <c r="O18" i="25" s="1"/>
  <c r="L16" i="25"/>
  <c r="N16" i="25" s="1"/>
  <c r="O16" i="25" s="1"/>
  <c r="L8" i="25"/>
  <c r="N8" i="25" s="1"/>
  <c r="O8" i="25" s="1"/>
  <c r="L12" i="25"/>
  <c r="N12" i="25" s="1"/>
  <c r="O12" i="25" s="1"/>
  <c r="H8" i="25"/>
  <c r="H17" i="25"/>
  <c r="L10" i="25"/>
  <c r="L14" i="25"/>
  <c r="N14" i="25" s="1"/>
  <c r="O14" i="25" s="1"/>
  <c r="E51" i="26"/>
  <c r="E52" i="26" s="1"/>
  <c r="C17" i="26"/>
  <c r="B13" i="26"/>
  <c r="C25" i="26"/>
  <c r="E32" i="26"/>
  <c r="F32" i="26" s="1"/>
  <c r="F33" i="26" s="1"/>
  <c r="E11" i="26"/>
  <c r="F11" i="26" s="1"/>
  <c r="E20" i="26"/>
  <c r="E21" i="26" s="1"/>
  <c r="H21" i="26" s="1"/>
  <c r="B41" i="26"/>
  <c r="E49" i="26"/>
  <c r="H49" i="26" s="1"/>
  <c r="B29" i="26"/>
  <c r="B37" i="26"/>
  <c r="C37" i="26"/>
  <c r="F48" i="26"/>
  <c r="F49" i="26" s="1"/>
  <c r="E25" i="26"/>
  <c r="H25" i="26" s="1"/>
  <c r="J25" i="26" s="1"/>
  <c r="K25" i="26" s="1"/>
  <c r="N10" i="25"/>
  <c r="O10" i="25" s="1"/>
  <c r="N6" i="24"/>
  <c r="O6" i="24" s="1"/>
  <c r="G23" i="24"/>
  <c r="L23" i="24" s="1"/>
  <c r="N23" i="24" s="1"/>
  <c r="O23" i="24" s="1"/>
  <c r="H9" i="24"/>
  <c r="H20" i="24" s="1"/>
  <c r="L14" i="24"/>
  <c r="N14" i="24" s="1"/>
  <c r="O14" i="24" s="1"/>
  <c r="H19" i="25"/>
  <c r="E37" i="26"/>
  <c r="H37" i="26" s="1"/>
  <c r="J37" i="26" s="1"/>
  <c r="K37" i="26" s="1"/>
  <c r="E44" i="26"/>
  <c r="E45" i="26" s="1"/>
  <c r="H45" i="26" s="1"/>
  <c r="J45" i="26" s="1"/>
  <c r="K45" i="26" s="1"/>
  <c r="L8" i="24"/>
  <c r="N8" i="24" s="1"/>
  <c r="O8" i="24" s="1"/>
  <c r="G20" i="25"/>
  <c r="L6" i="25"/>
  <c r="N6" i="25" s="1"/>
  <c r="O6" i="25" s="1"/>
  <c r="H11" i="25"/>
  <c r="H14" i="25"/>
  <c r="F8" i="26"/>
  <c r="E10" i="26"/>
  <c r="E17" i="26"/>
  <c r="H17" i="26" s="1"/>
  <c r="J17" i="26" s="1"/>
  <c r="K17" i="26" s="1"/>
  <c r="C29" i="26"/>
  <c r="E39" i="26"/>
  <c r="E41" i="26" s="1"/>
  <c r="H41" i="26" s="1"/>
  <c r="J41" i="26" s="1"/>
  <c r="K41" i="26" s="1"/>
  <c r="F51" i="26"/>
  <c r="F52" i="26" s="1"/>
  <c r="G60" i="26"/>
  <c r="J52" i="26"/>
  <c r="K52" i="26" s="1"/>
  <c r="J58" i="26"/>
  <c r="K58" i="26" s="1"/>
  <c r="F12" i="26"/>
  <c r="N18" i="24"/>
  <c r="O18" i="24" s="1"/>
  <c r="C13" i="26"/>
  <c r="F6" i="26"/>
  <c r="E28" i="26"/>
  <c r="E29" i="26" s="1"/>
  <c r="H29" i="26" s="1"/>
  <c r="J29" i="26" s="1"/>
  <c r="K29" i="26" s="1"/>
  <c r="F36" i="26"/>
  <c r="F37" i="26" s="1"/>
  <c r="E36" i="26"/>
  <c r="C45" i="26"/>
  <c r="E31" i="26"/>
  <c r="E33" i="26" s="1"/>
  <c r="H33" i="26" s="1"/>
  <c r="J33" i="26" s="1"/>
  <c r="K33" i="26" s="1"/>
  <c r="R143" i="22"/>
  <c r="G69" i="22"/>
  <c r="F69" i="22"/>
  <c r="E69" i="22"/>
  <c r="D69" i="22"/>
  <c r="C69" i="22"/>
  <c r="B69" i="22"/>
  <c r="G60" i="22"/>
  <c r="G56" i="22"/>
  <c r="E54" i="22"/>
  <c r="C54" i="22"/>
  <c r="B54" i="22"/>
  <c r="C51" i="22"/>
  <c r="E51" i="22" s="1"/>
  <c r="E52" i="22" s="1"/>
  <c r="B51" i="22"/>
  <c r="B52" i="22" s="1"/>
  <c r="C49" i="22"/>
  <c r="B49" i="22"/>
  <c r="E48" i="22"/>
  <c r="F48" i="22" s="1"/>
  <c r="F49" i="22" s="1"/>
  <c r="E47" i="22"/>
  <c r="E49" i="22" s="1"/>
  <c r="H49" i="22" s="1"/>
  <c r="C44" i="22"/>
  <c r="C45" i="22" s="1"/>
  <c r="B44" i="22"/>
  <c r="B45" i="22" s="1"/>
  <c r="E43" i="22"/>
  <c r="C43" i="22"/>
  <c r="B43" i="22"/>
  <c r="C40" i="22"/>
  <c r="C41" i="22" s="1"/>
  <c r="B40" i="22"/>
  <c r="C39" i="22"/>
  <c r="E39" i="22" s="1"/>
  <c r="B39" i="22"/>
  <c r="B41" i="22" s="1"/>
  <c r="C36" i="22"/>
  <c r="C37" i="22" s="1"/>
  <c r="B36" i="22"/>
  <c r="C35" i="22"/>
  <c r="E35" i="22" s="1"/>
  <c r="B35" i="22"/>
  <c r="C32" i="22"/>
  <c r="B32" i="22"/>
  <c r="V31" i="22"/>
  <c r="U31" i="22"/>
  <c r="C31" i="22"/>
  <c r="E31" i="22" s="1"/>
  <c r="B31" i="22"/>
  <c r="B33" i="22" s="1"/>
  <c r="V30" i="22"/>
  <c r="U30" i="22"/>
  <c r="V29" i="22"/>
  <c r="U29" i="22"/>
  <c r="C29" i="22"/>
  <c r="V28" i="22"/>
  <c r="U28" i="22"/>
  <c r="C28" i="22"/>
  <c r="E28" i="22" s="1"/>
  <c r="F28" i="22" s="1"/>
  <c r="F29" i="22" s="1"/>
  <c r="B28" i="22"/>
  <c r="V27" i="22"/>
  <c r="U27" i="22"/>
  <c r="C27" i="22"/>
  <c r="E27" i="22" s="1"/>
  <c r="E29" i="22" s="1"/>
  <c r="H29" i="22" s="1"/>
  <c r="B27" i="22"/>
  <c r="B29" i="22" s="1"/>
  <c r="V26" i="22"/>
  <c r="U26" i="22"/>
  <c r="V25" i="22"/>
  <c r="U25" i="22"/>
  <c r="V24" i="22"/>
  <c r="U24" i="22"/>
  <c r="C24" i="22"/>
  <c r="B24" i="22"/>
  <c r="V23" i="22"/>
  <c r="U23" i="22"/>
  <c r="E23" i="22"/>
  <c r="C23" i="22"/>
  <c r="B23" i="22"/>
  <c r="B25" i="22" s="1"/>
  <c r="V22" i="22"/>
  <c r="U22" i="22"/>
  <c r="V21" i="22"/>
  <c r="U21" i="22"/>
  <c r="V20" i="22"/>
  <c r="U20" i="22"/>
  <c r="C20" i="22"/>
  <c r="B20" i="22"/>
  <c r="B21" i="22" s="1"/>
  <c r="V19" i="22"/>
  <c r="U19" i="22"/>
  <c r="E19" i="22"/>
  <c r="V18" i="22"/>
  <c r="U18" i="22"/>
  <c r="V17" i="22"/>
  <c r="U17" i="22"/>
  <c r="V16" i="22"/>
  <c r="U16" i="22"/>
  <c r="C16" i="22"/>
  <c r="B16" i="22"/>
  <c r="V15" i="22"/>
  <c r="U15" i="22"/>
  <c r="C15" i="22"/>
  <c r="E15" i="22" s="1"/>
  <c r="B15" i="22"/>
  <c r="B17" i="22" s="1"/>
  <c r="V14" i="22"/>
  <c r="U14" i="22"/>
  <c r="V13" i="22"/>
  <c r="U13" i="22"/>
  <c r="V12" i="22"/>
  <c r="U12" i="22"/>
  <c r="C12" i="22"/>
  <c r="E12" i="22" s="1"/>
  <c r="F12" i="22" s="1"/>
  <c r="B12" i="22"/>
  <c r="V11" i="22"/>
  <c r="U11" i="22"/>
  <c r="C11" i="22"/>
  <c r="B11" i="22"/>
  <c r="V10" i="22"/>
  <c r="U10" i="22"/>
  <c r="C10" i="22"/>
  <c r="E10" i="22" s="1"/>
  <c r="B10" i="22"/>
  <c r="V9" i="22"/>
  <c r="U9" i="22"/>
  <c r="C9" i="22"/>
  <c r="B9" i="22"/>
  <c r="V8" i="22"/>
  <c r="U8" i="22"/>
  <c r="C8" i="22"/>
  <c r="E8" i="22" s="1"/>
  <c r="F8" i="22" s="1"/>
  <c r="B8" i="22"/>
  <c r="V7" i="22"/>
  <c r="U7" i="22"/>
  <c r="C7" i="22"/>
  <c r="B7" i="22"/>
  <c r="V6" i="22"/>
  <c r="U6" i="22"/>
  <c r="C6" i="22"/>
  <c r="E6" i="22" s="1"/>
  <c r="B6" i="22"/>
  <c r="M4" i="22"/>
  <c r="M5" i="22" s="1"/>
  <c r="H3" i="22" s="1"/>
  <c r="J34" i="21"/>
  <c r="I34" i="21"/>
  <c r="H34" i="21"/>
  <c r="G34" i="21"/>
  <c r="F34" i="21"/>
  <c r="E34" i="21"/>
  <c r="D34" i="21"/>
  <c r="C34" i="21"/>
  <c r="K25" i="21"/>
  <c r="K24" i="21"/>
  <c r="J23" i="21"/>
  <c r="Q20" i="21"/>
  <c r="G19" i="21"/>
  <c r="H19" i="21" s="1"/>
  <c r="G18" i="21"/>
  <c r="G17" i="21"/>
  <c r="H17" i="21" s="1"/>
  <c r="G16" i="21"/>
  <c r="H16" i="21" s="1"/>
  <c r="H15" i="21"/>
  <c r="G15" i="21"/>
  <c r="G14" i="21"/>
  <c r="H14" i="21" s="1"/>
  <c r="G13" i="21"/>
  <c r="G12" i="21"/>
  <c r="H12" i="21" s="1"/>
  <c r="G11" i="21"/>
  <c r="H11" i="21" s="1"/>
  <c r="G10" i="21"/>
  <c r="G9" i="21"/>
  <c r="H9" i="21" s="1"/>
  <c r="G8" i="21"/>
  <c r="H8" i="21" s="1"/>
  <c r="G7" i="21"/>
  <c r="H7" i="21" s="1"/>
  <c r="G6" i="21"/>
  <c r="H6" i="21" s="1"/>
  <c r="Q4" i="21"/>
  <c r="Q5" i="21" s="1"/>
  <c r="L3" i="21" s="1"/>
  <c r="J34" i="20"/>
  <c r="I34" i="20"/>
  <c r="H34" i="20"/>
  <c r="G34" i="20"/>
  <c r="F34" i="20"/>
  <c r="E34" i="20"/>
  <c r="D34" i="20"/>
  <c r="C34" i="20"/>
  <c r="K25" i="20"/>
  <c r="K24" i="20"/>
  <c r="J23" i="20"/>
  <c r="Q20" i="20"/>
  <c r="G19" i="20"/>
  <c r="H19" i="20" s="1"/>
  <c r="G18" i="20"/>
  <c r="G17" i="20"/>
  <c r="H17" i="20" s="1"/>
  <c r="G16" i="20"/>
  <c r="H16" i="20" s="1"/>
  <c r="G15" i="20"/>
  <c r="H15" i="20" s="1"/>
  <c r="G14" i="20"/>
  <c r="L14" i="20" s="1"/>
  <c r="G13" i="20"/>
  <c r="H13" i="20" s="1"/>
  <c r="G12" i="20"/>
  <c r="H12" i="20" s="1"/>
  <c r="G11" i="20"/>
  <c r="H11" i="20" s="1"/>
  <c r="G10" i="20"/>
  <c r="H10" i="20" s="1"/>
  <c r="G9" i="20"/>
  <c r="H9" i="20" s="1"/>
  <c r="G8" i="20"/>
  <c r="G7" i="20"/>
  <c r="H7" i="20" s="1"/>
  <c r="G6" i="20"/>
  <c r="Q4" i="20"/>
  <c r="Q5" i="20" s="1"/>
  <c r="L3" i="20" s="1"/>
  <c r="D46" i="27" l="1"/>
  <c r="L25" i="27"/>
  <c r="N25" i="27" s="1"/>
  <c r="O25" i="27" s="1"/>
  <c r="H24" i="28"/>
  <c r="L24" i="28"/>
  <c r="N24" i="28" s="1"/>
  <c r="O24" i="28" s="1"/>
  <c r="D25" i="28"/>
  <c r="L20" i="24"/>
  <c r="N20" i="24" s="1"/>
  <c r="O20" i="24" s="1"/>
  <c r="H20" i="25"/>
  <c r="H24" i="25" s="1"/>
  <c r="E13" i="26"/>
  <c r="E56" i="26" s="1"/>
  <c r="B60" i="26"/>
  <c r="C60" i="26"/>
  <c r="H60" i="26" s="1"/>
  <c r="J60" i="26" s="1"/>
  <c r="K60" i="26" s="1"/>
  <c r="F20" i="26"/>
  <c r="F21" i="26" s="1"/>
  <c r="F10" i="26"/>
  <c r="F13" i="26" s="1"/>
  <c r="H13" i="26"/>
  <c r="J13" i="26" s="1"/>
  <c r="K13" i="26" s="1"/>
  <c r="H24" i="24"/>
  <c r="L24" i="24"/>
  <c r="N24" i="24" s="1"/>
  <c r="O24" i="24" s="1"/>
  <c r="D25" i="24"/>
  <c r="F44" i="26"/>
  <c r="F45" i="26" s="1"/>
  <c r="F28" i="26"/>
  <c r="F29" i="26" s="1"/>
  <c r="G23" i="25"/>
  <c r="L23" i="25" s="1"/>
  <c r="N23" i="25" s="1"/>
  <c r="O23" i="25" s="1"/>
  <c r="F20" i="25"/>
  <c r="L20" i="25"/>
  <c r="N20" i="25" s="1"/>
  <c r="O20" i="25" s="1"/>
  <c r="H14" i="20"/>
  <c r="L16" i="20"/>
  <c r="N16" i="20" s="1"/>
  <c r="O16" i="20" s="1"/>
  <c r="L14" i="21"/>
  <c r="N14" i="21" s="1"/>
  <c r="O14" i="21" s="1"/>
  <c r="L6" i="21"/>
  <c r="N6" i="21" s="1"/>
  <c r="O6" i="21" s="1"/>
  <c r="J58" i="22"/>
  <c r="K58" i="22" s="1"/>
  <c r="J52" i="22"/>
  <c r="K52" i="22" s="1"/>
  <c r="J29" i="22"/>
  <c r="K29" i="22" s="1"/>
  <c r="F10" i="22"/>
  <c r="B13" i="22"/>
  <c r="B37" i="22"/>
  <c r="E11" i="22"/>
  <c r="F11" i="22" s="1"/>
  <c r="C13" i="22"/>
  <c r="C17" i="22"/>
  <c r="E16" i="22"/>
  <c r="E17" i="22" s="1"/>
  <c r="H17" i="22" s="1"/>
  <c r="J17" i="22" s="1"/>
  <c r="K17" i="22" s="1"/>
  <c r="C25" i="22"/>
  <c r="E24" i="22"/>
  <c r="E25" i="22" s="1"/>
  <c r="H25" i="22" s="1"/>
  <c r="J25" i="22" s="1"/>
  <c r="K25" i="22" s="1"/>
  <c r="L8" i="20"/>
  <c r="N8" i="20" s="1"/>
  <c r="O8" i="20" s="1"/>
  <c r="N14" i="20"/>
  <c r="O14" i="20" s="1"/>
  <c r="H18" i="20"/>
  <c r="L18" i="20"/>
  <c r="N18" i="20" s="1"/>
  <c r="O18" i="20" s="1"/>
  <c r="L10" i="21"/>
  <c r="N10" i="21" s="1"/>
  <c r="O10" i="21" s="1"/>
  <c r="H10" i="21"/>
  <c r="G20" i="21"/>
  <c r="E21" i="22"/>
  <c r="H21" i="22" s="1"/>
  <c r="C21" i="22"/>
  <c r="F20" i="22"/>
  <c r="F21" i="22" s="1"/>
  <c r="E20" i="22"/>
  <c r="H8" i="20"/>
  <c r="H13" i="21"/>
  <c r="L12" i="21"/>
  <c r="N12" i="21" s="1"/>
  <c r="O12" i="21" s="1"/>
  <c r="L18" i="21"/>
  <c r="N18" i="21" s="1"/>
  <c r="O18" i="21" s="1"/>
  <c r="H18" i="21"/>
  <c r="F6" i="22"/>
  <c r="E7" i="22"/>
  <c r="E32" i="22"/>
  <c r="F32" i="22" s="1"/>
  <c r="F33" i="22" s="1"/>
  <c r="E9" i="22"/>
  <c r="F9" i="22" s="1"/>
  <c r="C33" i="22"/>
  <c r="E40" i="22"/>
  <c r="E41" i="22" s="1"/>
  <c r="H41" i="22" s="1"/>
  <c r="J41" i="22" s="1"/>
  <c r="K41" i="22" s="1"/>
  <c r="B60" i="22"/>
  <c r="H6" i="20"/>
  <c r="H20" i="20" s="1"/>
  <c r="L6" i="20"/>
  <c r="N6" i="20" s="1"/>
  <c r="O6" i="20" s="1"/>
  <c r="G20" i="20"/>
  <c r="L8" i="21"/>
  <c r="N8" i="21" s="1"/>
  <c r="O8" i="21" s="1"/>
  <c r="L16" i="21"/>
  <c r="N16" i="21" s="1"/>
  <c r="O16" i="21" s="1"/>
  <c r="E36" i="22"/>
  <c r="F36" i="22" s="1"/>
  <c r="F37" i="22" s="1"/>
  <c r="E44" i="22"/>
  <c r="F44" i="22" s="1"/>
  <c r="F45" i="22" s="1"/>
  <c r="F51" i="22"/>
  <c r="F52" i="22" s="1"/>
  <c r="C52" i="22"/>
  <c r="F3" i="19"/>
  <c r="H13" i="19" s="1"/>
  <c r="I13" i="19" s="1"/>
  <c r="K4" i="19"/>
  <c r="K5" i="19"/>
  <c r="B6" i="19"/>
  <c r="B13" i="19" s="1"/>
  <c r="C6" i="19"/>
  <c r="E6" i="19" s="1"/>
  <c r="E13" i="19" s="1"/>
  <c r="S6" i="19"/>
  <c r="T6" i="19"/>
  <c r="B7" i="19"/>
  <c r="C7" i="19"/>
  <c r="E7" i="19"/>
  <c r="F7" i="19" s="1"/>
  <c r="S7" i="19"/>
  <c r="T7" i="19"/>
  <c r="B8" i="19"/>
  <c r="C8" i="19"/>
  <c r="E8" i="19" s="1"/>
  <c r="S8" i="19"/>
  <c r="T8" i="19"/>
  <c r="B9" i="19"/>
  <c r="C9" i="19"/>
  <c r="E9" i="19"/>
  <c r="F9" i="19" s="1"/>
  <c r="S9" i="19"/>
  <c r="T9" i="19"/>
  <c r="B10" i="19"/>
  <c r="C10" i="19"/>
  <c r="E10" i="19" s="1"/>
  <c r="S10" i="19"/>
  <c r="T10" i="19"/>
  <c r="B11" i="19"/>
  <c r="C11" i="19"/>
  <c r="E11" i="19"/>
  <c r="F11" i="19" s="1"/>
  <c r="S11" i="19"/>
  <c r="T11" i="19"/>
  <c r="B12" i="19"/>
  <c r="C12" i="19"/>
  <c r="E12" i="19" s="1"/>
  <c r="S12" i="19"/>
  <c r="T12" i="19"/>
  <c r="S13" i="19"/>
  <c r="T13" i="19"/>
  <c r="S14" i="19"/>
  <c r="T14" i="19"/>
  <c r="B15" i="19"/>
  <c r="B17" i="19" s="1"/>
  <c r="C15" i="19"/>
  <c r="E15" i="19" s="1"/>
  <c r="E17" i="19" s="1"/>
  <c r="S15" i="19"/>
  <c r="T15" i="19"/>
  <c r="B16" i="19"/>
  <c r="C16" i="19"/>
  <c r="E16" i="19"/>
  <c r="F16" i="19"/>
  <c r="F17" i="19" s="1"/>
  <c r="S16" i="19"/>
  <c r="T16" i="19"/>
  <c r="C17" i="19"/>
  <c r="H17" i="19"/>
  <c r="I17" i="19"/>
  <c r="S17" i="19"/>
  <c r="T17" i="19"/>
  <c r="S18" i="19"/>
  <c r="T18" i="19"/>
  <c r="E19" i="19"/>
  <c r="S19" i="19"/>
  <c r="T19" i="19"/>
  <c r="B20" i="19"/>
  <c r="B21" i="19" s="1"/>
  <c r="C20" i="19"/>
  <c r="E20" i="19" s="1"/>
  <c r="E21" i="19" s="1"/>
  <c r="S20" i="19"/>
  <c r="T20" i="19"/>
  <c r="S21" i="19"/>
  <c r="T21" i="19"/>
  <c r="S22" i="19"/>
  <c r="T22" i="19"/>
  <c r="B23" i="19"/>
  <c r="C23" i="19"/>
  <c r="C25" i="19" s="1"/>
  <c r="E23" i="19"/>
  <c r="S23" i="19"/>
  <c r="T23" i="19"/>
  <c r="B24" i="19"/>
  <c r="C24" i="19"/>
  <c r="E24" i="19" s="1"/>
  <c r="S24" i="19"/>
  <c r="T24" i="19"/>
  <c r="B25" i="19"/>
  <c r="H25" i="19"/>
  <c r="I25" i="19" s="1"/>
  <c r="S25" i="19"/>
  <c r="T25" i="19"/>
  <c r="S26" i="19"/>
  <c r="T26" i="19"/>
  <c r="B27" i="19"/>
  <c r="B29" i="19" s="1"/>
  <c r="C27" i="19"/>
  <c r="E27" i="19" s="1"/>
  <c r="S27" i="19"/>
  <c r="T27" i="19"/>
  <c r="B28" i="19"/>
  <c r="C28" i="19"/>
  <c r="E28" i="19" s="1"/>
  <c r="S28" i="19"/>
  <c r="T28" i="19"/>
  <c r="S29" i="19"/>
  <c r="T29" i="19"/>
  <c r="S30" i="19"/>
  <c r="T30" i="19"/>
  <c r="B31" i="19"/>
  <c r="B33" i="19" s="1"/>
  <c r="C31" i="19"/>
  <c r="E31" i="19" s="1"/>
  <c r="E33" i="19" s="1"/>
  <c r="S31" i="19"/>
  <c r="T31" i="19"/>
  <c r="B32" i="19"/>
  <c r="C32" i="19"/>
  <c r="E32" i="19"/>
  <c r="F32" i="19"/>
  <c r="F33" i="19"/>
  <c r="H33" i="19"/>
  <c r="I33" i="19" s="1"/>
  <c r="B35" i="19"/>
  <c r="B37" i="19" s="1"/>
  <c r="C35" i="19"/>
  <c r="E35" i="19" s="1"/>
  <c r="E37" i="19" s="1"/>
  <c r="B36" i="19"/>
  <c r="C36" i="19"/>
  <c r="E36" i="19"/>
  <c r="F36" i="19" s="1"/>
  <c r="F37" i="19" s="1"/>
  <c r="B39" i="19"/>
  <c r="B41" i="19" s="1"/>
  <c r="C39" i="19"/>
  <c r="E39" i="19" s="1"/>
  <c r="B40" i="19"/>
  <c r="C40" i="19"/>
  <c r="E40" i="19" s="1"/>
  <c r="C41" i="19"/>
  <c r="H41" i="19"/>
  <c r="I41" i="19"/>
  <c r="B43" i="19"/>
  <c r="C43" i="19"/>
  <c r="E43" i="19"/>
  <c r="B44" i="19"/>
  <c r="C44" i="19"/>
  <c r="E44" i="19" s="1"/>
  <c r="B45" i="19"/>
  <c r="C45" i="19"/>
  <c r="H45" i="19"/>
  <c r="I45" i="19" s="1"/>
  <c r="E47" i="19"/>
  <c r="E48" i="19"/>
  <c r="F48" i="19"/>
  <c r="B49" i="19"/>
  <c r="C49" i="19"/>
  <c r="E49" i="19"/>
  <c r="F49" i="19"/>
  <c r="B51" i="19"/>
  <c r="C51" i="19"/>
  <c r="E51" i="19"/>
  <c r="F51" i="19"/>
  <c r="F52" i="19" s="1"/>
  <c r="B52" i="19"/>
  <c r="C52" i="19"/>
  <c r="E52" i="19"/>
  <c r="H52" i="19"/>
  <c r="I52" i="19" s="1"/>
  <c r="B54" i="19"/>
  <c r="C54" i="19"/>
  <c r="E54" i="19" s="1"/>
  <c r="H56" i="19"/>
  <c r="I56" i="19"/>
  <c r="H60" i="19"/>
  <c r="I60" i="19"/>
  <c r="B69" i="19"/>
  <c r="C69" i="19"/>
  <c r="D69" i="19"/>
  <c r="E69" i="19"/>
  <c r="F69" i="19"/>
  <c r="P143" i="19"/>
  <c r="M4" i="17"/>
  <c r="M5" i="17" s="1"/>
  <c r="H3" i="17" s="1"/>
  <c r="B6" i="17"/>
  <c r="C6" i="17"/>
  <c r="F6" i="17" s="1"/>
  <c r="F13" i="17" s="1"/>
  <c r="E6" i="17"/>
  <c r="U6" i="17"/>
  <c r="V6" i="17"/>
  <c r="B7" i="17"/>
  <c r="C7" i="17"/>
  <c r="E7" i="17" s="1"/>
  <c r="F7" i="17" s="1"/>
  <c r="U7" i="17"/>
  <c r="V7" i="17"/>
  <c r="B8" i="17"/>
  <c r="C8" i="17"/>
  <c r="F8" i="17" s="1"/>
  <c r="E8" i="17"/>
  <c r="U8" i="17"/>
  <c r="V8" i="17"/>
  <c r="B9" i="17"/>
  <c r="C9" i="17"/>
  <c r="E9" i="17" s="1"/>
  <c r="F9" i="17" s="1"/>
  <c r="U9" i="17"/>
  <c r="V9" i="17"/>
  <c r="B10" i="17"/>
  <c r="C10" i="17"/>
  <c r="F10" i="17" s="1"/>
  <c r="E10" i="17"/>
  <c r="U10" i="17"/>
  <c r="V10" i="17"/>
  <c r="B11" i="17"/>
  <c r="C11" i="17"/>
  <c r="E11" i="17" s="1"/>
  <c r="F11" i="17" s="1"/>
  <c r="U11" i="17"/>
  <c r="V11" i="17"/>
  <c r="B12" i="17"/>
  <c r="C12" i="17"/>
  <c r="F12" i="17" s="1"/>
  <c r="E12" i="17"/>
  <c r="U12" i="17"/>
  <c r="V12" i="17"/>
  <c r="B13" i="17"/>
  <c r="U13" i="17"/>
  <c r="V13" i="17"/>
  <c r="U14" i="17"/>
  <c r="V14" i="17"/>
  <c r="B15" i="17"/>
  <c r="B17" i="17" s="1"/>
  <c r="C15" i="17"/>
  <c r="E15" i="17" s="1"/>
  <c r="U15" i="17"/>
  <c r="V15" i="17"/>
  <c r="B16" i="17"/>
  <c r="C16" i="17"/>
  <c r="E16" i="17" s="1"/>
  <c r="F16" i="17" s="1"/>
  <c r="F17" i="17" s="1"/>
  <c r="U16" i="17"/>
  <c r="V16" i="17"/>
  <c r="U17" i="17"/>
  <c r="V17" i="17"/>
  <c r="U18" i="17"/>
  <c r="V18" i="17"/>
  <c r="E19" i="17"/>
  <c r="U19" i="17"/>
  <c r="V19" i="17"/>
  <c r="B20" i="17"/>
  <c r="B21" i="17" s="1"/>
  <c r="C20" i="17"/>
  <c r="E20" i="17" s="1"/>
  <c r="U20" i="17"/>
  <c r="V20" i="17"/>
  <c r="C21" i="17"/>
  <c r="U21" i="17"/>
  <c r="V21" i="17"/>
  <c r="U22" i="17"/>
  <c r="V22" i="17"/>
  <c r="B23" i="17"/>
  <c r="B25" i="17" s="1"/>
  <c r="C23" i="17"/>
  <c r="E23" i="17" s="1"/>
  <c r="U23" i="17"/>
  <c r="V23" i="17"/>
  <c r="B24" i="17"/>
  <c r="C24" i="17"/>
  <c r="E24" i="17" s="1"/>
  <c r="F24" i="17" s="1"/>
  <c r="F25" i="17" s="1"/>
  <c r="U24" i="17"/>
  <c r="V24" i="17"/>
  <c r="U25" i="17"/>
  <c r="V25" i="17"/>
  <c r="U26" i="17"/>
  <c r="V26" i="17"/>
  <c r="B27" i="17"/>
  <c r="C27" i="17"/>
  <c r="E27" i="17"/>
  <c r="E29" i="17" s="1"/>
  <c r="H29" i="17" s="1"/>
  <c r="J29" i="17" s="1"/>
  <c r="K29" i="17" s="1"/>
  <c r="U27" i="17"/>
  <c r="V27" i="17"/>
  <c r="B28" i="17"/>
  <c r="C28" i="17"/>
  <c r="F28" i="17" s="1"/>
  <c r="F29" i="17" s="1"/>
  <c r="E28" i="17"/>
  <c r="U28" i="17"/>
  <c r="V28" i="17"/>
  <c r="B29" i="17"/>
  <c r="U29" i="17"/>
  <c r="V29" i="17"/>
  <c r="U30" i="17"/>
  <c r="V30" i="17"/>
  <c r="B31" i="17"/>
  <c r="C31" i="17"/>
  <c r="E31" i="17" s="1"/>
  <c r="U31" i="17"/>
  <c r="V31" i="17"/>
  <c r="B32" i="17"/>
  <c r="C32" i="17"/>
  <c r="E32" i="17" s="1"/>
  <c r="F32" i="17" s="1"/>
  <c r="F33" i="17" s="1"/>
  <c r="B33" i="17"/>
  <c r="B35" i="17"/>
  <c r="B37" i="17" s="1"/>
  <c r="C35" i="17"/>
  <c r="E35" i="17" s="1"/>
  <c r="E37" i="17" s="1"/>
  <c r="H37" i="17" s="1"/>
  <c r="J37" i="17" s="1"/>
  <c r="K37" i="17" s="1"/>
  <c r="B36" i="17"/>
  <c r="C36" i="17"/>
  <c r="F36" i="17" s="1"/>
  <c r="F37" i="17" s="1"/>
  <c r="E36" i="17"/>
  <c r="B39" i="17"/>
  <c r="C39" i="17"/>
  <c r="E39" i="17"/>
  <c r="B40" i="17"/>
  <c r="C40" i="17"/>
  <c r="E40" i="17" s="1"/>
  <c r="F40" i="17" s="1"/>
  <c r="F41" i="17" s="1"/>
  <c r="B41" i="17"/>
  <c r="C41" i="17"/>
  <c r="B43" i="17"/>
  <c r="B45" i="17" s="1"/>
  <c r="C43" i="17"/>
  <c r="E43" i="17" s="1"/>
  <c r="E45" i="17" s="1"/>
  <c r="H45" i="17" s="1"/>
  <c r="J45" i="17" s="1"/>
  <c r="K45" i="17" s="1"/>
  <c r="B44" i="17"/>
  <c r="C44" i="17"/>
  <c r="F44" i="17" s="1"/>
  <c r="F45" i="17" s="1"/>
  <c r="E44" i="17"/>
  <c r="E47" i="17"/>
  <c r="E49" i="17" s="1"/>
  <c r="H49" i="17" s="1"/>
  <c r="E48" i="17"/>
  <c r="F48" i="17"/>
  <c r="F49" i="17" s="1"/>
  <c r="B49" i="17"/>
  <c r="C49" i="17"/>
  <c r="B51" i="17"/>
  <c r="C51" i="17"/>
  <c r="E51" i="17"/>
  <c r="E52" i="17" s="1"/>
  <c r="F51" i="17"/>
  <c r="F52" i="17" s="1"/>
  <c r="B52" i="17"/>
  <c r="C52" i="17"/>
  <c r="B54" i="17"/>
  <c r="C54" i="17"/>
  <c r="E54" i="17" s="1"/>
  <c r="G56" i="17"/>
  <c r="G60" i="17" s="1"/>
  <c r="B69" i="17"/>
  <c r="C69" i="17"/>
  <c r="D69" i="17"/>
  <c r="E69" i="17"/>
  <c r="F69" i="17"/>
  <c r="G69" i="17"/>
  <c r="R143" i="17"/>
  <c r="H58" i="29" l="1"/>
  <c r="J58" i="29" s="1"/>
  <c r="K58" i="29" s="1"/>
  <c r="D46" i="28"/>
  <c r="L25" i="28"/>
  <c r="N25" i="28" s="1"/>
  <c r="O25" i="28" s="1"/>
  <c r="L24" i="25"/>
  <c r="N24" i="25" s="1"/>
  <c r="O24" i="25" s="1"/>
  <c r="D25" i="25"/>
  <c r="D46" i="25" s="1"/>
  <c r="F58" i="26"/>
  <c r="F60" i="26"/>
  <c r="H56" i="26"/>
  <c r="J56" i="26" s="1"/>
  <c r="K56" i="26" s="1"/>
  <c r="L25" i="24"/>
  <c r="N25" i="24" s="1"/>
  <c r="O25" i="24" s="1"/>
  <c r="D46" i="24"/>
  <c r="D25" i="20"/>
  <c r="H20" i="21"/>
  <c r="L24" i="21" s="1"/>
  <c r="N24" i="21" s="1"/>
  <c r="O24" i="21" s="1"/>
  <c r="E45" i="22"/>
  <c r="H45" i="22" s="1"/>
  <c r="J45" i="22" s="1"/>
  <c r="K45" i="22" s="1"/>
  <c r="E13" i="22"/>
  <c r="E33" i="22"/>
  <c r="H33" i="22" s="1"/>
  <c r="J33" i="22" s="1"/>
  <c r="K33" i="22" s="1"/>
  <c r="H13" i="22"/>
  <c r="J13" i="22" s="1"/>
  <c r="K13" i="22" s="1"/>
  <c r="L24" i="20"/>
  <c r="N24" i="20" s="1"/>
  <c r="O24" i="20" s="1"/>
  <c r="H24" i="20"/>
  <c r="G23" i="21"/>
  <c r="L23" i="21" s="1"/>
  <c r="N23" i="21" s="1"/>
  <c r="O23" i="21" s="1"/>
  <c r="L20" i="21"/>
  <c r="N20" i="21" s="1"/>
  <c r="O20" i="21" s="1"/>
  <c r="F20" i="21"/>
  <c r="F24" i="22"/>
  <c r="F25" i="22" s="1"/>
  <c r="F16" i="22"/>
  <c r="F17" i="22" s="1"/>
  <c r="G23" i="20"/>
  <c r="L23" i="20" s="1"/>
  <c r="N23" i="20" s="1"/>
  <c r="O23" i="20" s="1"/>
  <c r="L20" i="20"/>
  <c r="N20" i="20" s="1"/>
  <c r="O20" i="20" s="1"/>
  <c r="F20" i="20"/>
  <c r="F40" i="22"/>
  <c r="F41" i="22" s="1"/>
  <c r="F7" i="22"/>
  <c r="F13" i="22" s="1"/>
  <c r="E37" i="22"/>
  <c r="H37" i="22" s="1"/>
  <c r="J37" i="22" s="1"/>
  <c r="K37" i="22" s="1"/>
  <c r="C60" i="22"/>
  <c r="H60" i="22" s="1"/>
  <c r="J60" i="22" s="1"/>
  <c r="K60" i="22" s="1"/>
  <c r="E25" i="19"/>
  <c r="E56" i="19" s="1"/>
  <c r="F60" i="19" s="1"/>
  <c r="B60" i="19"/>
  <c r="E29" i="19"/>
  <c r="E45" i="19"/>
  <c r="E41" i="19"/>
  <c r="F44" i="19"/>
  <c r="F45" i="19" s="1"/>
  <c r="C37" i="19"/>
  <c r="C29" i="19"/>
  <c r="F28" i="19"/>
  <c r="F29" i="19" s="1"/>
  <c r="C21" i="19"/>
  <c r="F20" i="19"/>
  <c r="F21" i="19" s="1"/>
  <c r="C13" i="19"/>
  <c r="F12" i="19"/>
  <c r="F10" i="19"/>
  <c r="F8" i="19"/>
  <c r="F6" i="19"/>
  <c r="F13" i="19" s="1"/>
  <c r="F58" i="19" s="1"/>
  <c r="H58" i="19"/>
  <c r="I58" i="19" s="1"/>
  <c r="F40" i="19"/>
  <c r="F41" i="19" s="1"/>
  <c r="H37" i="19"/>
  <c r="I37" i="19" s="1"/>
  <c r="C33" i="19"/>
  <c r="H29" i="19"/>
  <c r="I29" i="19" s="1"/>
  <c r="F24" i="19"/>
  <c r="F25" i="19" s="1"/>
  <c r="E33" i="17"/>
  <c r="H33" i="17" s="1"/>
  <c r="J33" i="17" s="1"/>
  <c r="K33" i="17" s="1"/>
  <c r="F20" i="17"/>
  <c r="F21" i="17" s="1"/>
  <c r="F58" i="17" s="1"/>
  <c r="E21" i="17"/>
  <c r="H21" i="17" s="1"/>
  <c r="B60" i="17"/>
  <c r="J52" i="17"/>
  <c r="K52" i="17" s="1"/>
  <c r="J58" i="17"/>
  <c r="K58" i="17" s="1"/>
  <c r="E41" i="17"/>
  <c r="H41" i="17" s="1"/>
  <c r="J41" i="17" s="1"/>
  <c r="K41" i="17" s="1"/>
  <c r="E25" i="17"/>
  <c r="H25" i="17" s="1"/>
  <c r="J25" i="17" s="1"/>
  <c r="K25" i="17" s="1"/>
  <c r="E17" i="17"/>
  <c r="H17" i="17" s="1"/>
  <c r="J17" i="17" s="1"/>
  <c r="K17" i="17" s="1"/>
  <c r="E13" i="17"/>
  <c r="C25" i="17"/>
  <c r="C17" i="17"/>
  <c r="C45" i="17"/>
  <c r="C37" i="17"/>
  <c r="C33" i="17"/>
  <c r="C29" i="17"/>
  <c r="C13" i="17"/>
  <c r="J34" i="15"/>
  <c r="I34" i="15"/>
  <c r="H34" i="15"/>
  <c r="G34" i="15"/>
  <c r="F34" i="15"/>
  <c r="E34" i="15"/>
  <c r="D34" i="15"/>
  <c r="C34" i="15"/>
  <c r="K25" i="15"/>
  <c r="K24" i="15"/>
  <c r="J23" i="15"/>
  <c r="Q20" i="15"/>
  <c r="G19" i="15"/>
  <c r="G18" i="15"/>
  <c r="H18" i="15" s="1"/>
  <c r="G17" i="15"/>
  <c r="H17" i="15" s="1"/>
  <c r="G16" i="15"/>
  <c r="H16" i="15" s="1"/>
  <c r="G15" i="15"/>
  <c r="H15" i="15" s="1"/>
  <c r="G14" i="15"/>
  <c r="L14" i="15" s="1"/>
  <c r="G13" i="15"/>
  <c r="H13" i="15" s="1"/>
  <c r="G12" i="15"/>
  <c r="H12" i="15" s="1"/>
  <c r="G11" i="15"/>
  <c r="H11" i="15" s="1"/>
  <c r="G10" i="15"/>
  <c r="H10" i="15" s="1"/>
  <c r="G9" i="15"/>
  <c r="H9" i="15" s="1"/>
  <c r="G8" i="15"/>
  <c r="G7" i="15"/>
  <c r="H7" i="15" s="1"/>
  <c r="L6" i="15"/>
  <c r="G6" i="15"/>
  <c r="H6" i="15" s="1"/>
  <c r="Q4" i="15"/>
  <c r="Q5" i="15" s="1"/>
  <c r="L3" i="15" s="1"/>
  <c r="L25" i="14"/>
  <c r="J34" i="14"/>
  <c r="I34" i="14"/>
  <c r="H34" i="14"/>
  <c r="G34" i="14"/>
  <c r="F34" i="14"/>
  <c r="E34" i="14"/>
  <c r="D34" i="14"/>
  <c r="C34" i="14"/>
  <c r="K25" i="14"/>
  <c r="K24" i="14"/>
  <c r="J23" i="14"/>
  <c r="Q20" i="14"/>
  <c r="G19" i="14"/>
  <c r="H19" i="14" s="1"/>
  <c r="G18" i="14"/>
  <c r="H18" i="14" s="1"/>
  <c r="G17" i="14"/>
  <c r="H17" i="14" s="1"/>
  <c r="G16" i="14"/>
  <c r="H16" i="14" s="1"/>
  <c r="G15" i="14"/>
  <c r="H15" i="14" s="1"/>
  <c r="G14" i="14"/>
  <c r="H14" i="14" s="1"/>
  <c r="G13" i="14"/>
  <c r="H13" i="14" s="1"/>
  <c r="G12" i="14"/>
  <c r="G11" i="14"/>
  <c r="H11" i="14" s="1"/>
  <c r="G10" i="14"/>
  <c r="L10" i="14" s="1"/>
  <c r="G9" i="14"/>
  <c r="H9" i="14" s="1"/>
  <c r="G8" i="14"/>
  <c r="H8" i="14" s="1"/>
  <c r="G7" i="14"/>
  <c r="G6" i="14"/>
  <c r="H6" i="14" s="1"/>
  <c r="Q4" i="14"/>
  <c r="Q5" i="14" s="1"/>
  <c r="L3" i="14" s="1"/>
  <c r="R143" i="13"/>
  <c r="G69" i="13"/>
  <c r="F69" i="13"/>
  <c r="E69" i="13"/>
  <c r="D69" i="13"/>
  <c r="C69" i="13"/>
  <c r="B69" i="13"/>
  <c r="G56" i="13"/>
  <c r="G60" i="13" s="1"/>
  <c r="E54" i="13"/>
  <c r="C54" i="13"/>
  <c r="B54" i="13"/>
  <c r="C51" i="13"/>
  <c r="B51" i="13"/>
  <c r="B52" i="13" s="1"/>
  <c r="C49" i="13"/>
  <c r="B49" i="13"/>
  <c r="E48" i="13"/>
  <c r="E49" i="13" s="1"/>
  <c r="H49" i="13" s="1"/>
  <c r="E47" i="13"/>
  <c r="C44" i="13"/>
  <c r="B44" i="13"/>
  <c r="B45" i="13" s="1"/>
  <c r="E43" i="13"/>
  <c r="C43" i="13"/>
  <c r="B43" i="13"/>
  <c r="C40" i="13"/>
  <c r="E40" i="13" s="1"/>
  <c r="F40" i="13" s="1"/>
  <c r="F41" i="13" s="1"/>
  <c r="B40" i="13"/>
  <c r="C39" i="13"/>
  <c r="B39" i="13"/>
  <c r="B41" i="13" s="1"/>
  <c r="C36" i="13"/>
  <c r="B36" i="13"/>
  <c r="C35" i="13"/>
  <c r="E35" i="13" s="1"/>
  <c r="B35" i="13"/>
  <c r="E32" i="13"/>
  <c r="F32" i="13" s="1"/>
  <c r="F33" i="13" s="1"/>
  <c r="C32" i="13"/>
  <c r="B32" i="13"/>
  <c r="V31" i="13"/>
  <c r="U31" i="13"/>
  <c r="C31" i="13"/>
  <c r="E31" i="13" s="1"/>
  <c r="B31" i="13"/>
  <c r="B33" i="13" s="1"/>
  <c r="V30" i="13"/>
  <c r="U30" i="13"/>
  <c r="V29" i="13"/>
  <c r="U29" i="13"/>
  <c r="V28" i="13"/>
  <c r="U28" i="13"/>
  <c r="C28" i="13"/>
  <c r="B28" i="13"/>
  <c r="V27" i="13"/>
  <c r="U27" i="13"/>
  <c r="C27" i="13"/>
  <c r="C29" i="13" s="1"/>
  <c r="B27" i="13"/>
  <c r="B29" i="13" s="1"/>
  <c r="V26" i="13"/>
  <c r="U26" i="13"/>
  <c r="V25" i="13"/>
  <c r="U25" i="13"/>
  <c r="C25" i="13"/>
  <c r="V24" i="13"/>
  <c r="U24" i="13"/>
  <c r="E24" i="13"/>
  <c r="F24" i="13" s="1"/>
  <c r="F25" i="13" s="1"/>
  <c r="C24" i="13"/>
  <c r="B24" i="13"/>
  <c r="V23" i="13"/>
  <c r="U23" i="13"/>
  <c r="C23" i="13"/>
  <c r="E23" i="13" s="1"/>
  <c r="E25" i="13" s="1"/>
  <c r="H25" i="13" s="1"/>
  <c r="B23" i="13"/>
  <c r="B25" i="13" s="1"/>
  <c r="V22" i="13"/>
  <c r="U22" i="13"/>
  <c r="V21" i="13"/>
  <c r="U21" i="13"/>
  <c r="C21" i="13"/>
  <c r="V20" i="13"/>
  <c r="U20" i="13"/>
  <c r="E20" i="13"/>
  <c r="F20" i="13" s="1"/>
  <c r="F21" i="13" s="1"/>
  <c r="C20" i="13"/>
  <c r="B20" i="13"/>
  <c r="B21" i="13" s="1"/>
  <c r="V19" i="13"/>
  <c r="U19" i="13"/>
  <c r="E19" i="13"/>
  <c r="V18" i="13"/>
  <c r="U18" i="13"/>
  <c r="V17" i="13"/>
  <c r="U17" i="13"/>
  <c r="B17" i="13"/>
  <c r="V16" i="13"/>
  <c r="U16" i="13"/>
  <c r="C16" i="13"/>
  <c r="E16" i="13" s="1"/>
  <c r="F16" i="13" s="1"/>
  <c r="F17" i="13" s="1"/>
  <c r="B16" i="13"/>
  <c r="V15" i="13"/>
  <c r="U15" i="13"/>
  <c r="E15" i="13"/>
  <c r="C15" i="13"/>
  <c r="C17" i="13" s="1"/>
  <c r="B15" i="13"/>
  <c r="V14" i="13"/>
  <c r="U14" i="13"/>
  <c r="V13" i="13"/>
  <c r="U13" i="13"/>
  <c r="V12" i="13"/>
  <c r="U12" i="13"/>
  <c r="C12" i="13"/>
  <c r="B12" i="13"/>
  <c r="V11" i="13"/>
  <c r="U11" i="13"/>
  <c r="E11" i="13"/>
  <c r="F11" i="13" s="1"/>
  <c r="C11" i="13"/>
  <c r="B11" i="13"/>
  <c r="V10" i="13"/>
  <c r="U10" i="13"/>
  <c r="C10" i="13"/>
  <c r="B10" i="13"/>
  <c r="V9" i="13"/>
  <c r="U9" i="13"/>
  <c r="C9" i="13"/>
  <c r="E9" i="13" s="1"/>
  <c r="F9" i="13" s="1"/>
  <c r="B9" i="13"/>
  <c r="V8" i="13"/>
  <c r="U8" i="13"/>
  <c r="C8" i="13"/>
  <c r="B8" i="13"/>
  <c r="V7" i="13"/>
  <c r="U7" i="13"/>
  <c r="C7" i="13"/>
  <c r="E7" i="13" s="1"/>
  <c r="F7" i="13" s="1"/>
  <c r="B7" i="13"/>
  <c r="V6" i="13"/>
  <c r="U6" i="13"/>
  <c r="C6" i="13"/>
  <c r="C13" i="13" s="1"/>
  <c r="B6" i="13"/>
  <c r="M4" i="13"/>
  <c r="M5" i="13" s="1"/>
  <c r="H3" i="13" s="1"/>
  <c r="J52" i="13" s="1"/>
  <c r="K52" i="13" s="1"/>
  <c r="L25" i="25" l="1"/>
  <c r="N25" i="25" s="1"/>
  <c r="O25" i="25" s="1"/>
  <c r="H24" i="21"/>
  <c r="D25" i="21"/>
  <c r="D46" i="21" s="1"/>
  <c r="E56" i="22"/>
  <c r="D46" i="20"/>
  <c r="L25" i="20"/>
  <c r="N25" i="20" s="1"/>
  <c r="O25" i="20" s="1"/>
  <c r="F58" i="22"/>
  <c r="H56" i="22"/>
  <c r="J56" i="22" s="1"/>
  <c r="K56" i="22" s="1"/>
  <c r="C60" i="19"/>
  <c r="H13" i="17"/>
  <c r="J13" i="17" s="1"/>
  <c r="K13" i="17" s="1"/>
  <c r="E56" i="17"/>
  <c r="C60" i="17"/>
  <c r="H60" i="17" s="1"/>
  <c r="J60" i="17" s="1"/>
  <c r="K60" i="17" s="1"/>
  <c r="L18" i="15"/>
  <c r="H19" i="15"/>
  <c r="L8" i="15"/>
  <c r="N8" i="15"/>
  <c r="O8" i="15" s="1"/>
  <c r="N18" i="15"/>
  <c r="O18" i="15" s="1"/>
  <c r="N6" i="15"/>
  <c r="O6" i="15" s="1"/>
  <c r="N14" i="15"/>
  <c r="O14" i="15" s="1"/>
  <c r="H14" i="15"/>
  <c r="L16" i="15"/>
  <c r="N16" i="15" s="1"/>
  <c r="O16" i="15" s="1"/>
  <c r="H8" i="15"/>
  <c r="G20" i="15"/>
  <c r="L12" i="14"/>
  <c r="L16" i="14"/>
  <c r="L8" i="14"/>
  <c r="N8" i="14" s="1"/>
  <c r="O8" i="14" s="1"/>
  <c r="G20" i="14"/>
  <c r="F20" i="14" s="1"/>
  <c r="N10" i="14"/>
  <c r="O10" i="14" s="1"/>
  <c r="N16" i="14"/>
  <c r="O16" i="14" s="1"/>
  <c r="N12" i="14"/>
  <c r="O12" i="14" s="1"/>
  <c r="L6" i="14"/>
  <c r="N6" i="14" s="1"/>
  <c r="O6" i="14" s="1"/>
  <c r="H7" i="14"/>
  <c r="H12" i="14"/>
  <c r="L14" i="14"/>
  <c r="N14" i="14" s="1"/>
  <c r="O14" i="14" s="1"/>
  <c r="H10" i="14"/>
  <c r="L18" i="14"/>
  <c r="N18" i="14" s="1"/>
  <c r="O18" i="14" s="1"/>
  <c r="J25" i="13"/>
  <c r="K25" i="13" s="1"/>
  <c r="E17" i="13"/>
  <c r="H17" i="13" s="1"/>
  <c r="J17" i="13" s="1"/>
  <c r="K17" i="13" s="1"/>
  <c r="E21" i="13"/>
  <c r="H21" i="13" s="1"/>
  <c r="C33" i="13"/>
  <c r="C41" i="13"/>
  <c r="B13" i="13"/>
  <c r="B60" i="13" s="1"/>
  <c r="B37" i="13"/>
  <c r="F51" i="13"/>
  <c r="F52" i="13" s="1"/>
  <c r="F8" i="13"/>
  <c r="C52" i="13"/>
  <c r="E27" i="13"/>
  <c r="C45" i="13"/>
  <c r="F48" i="13"/>
  <c r="F49" i="13" s="1"/>
  <c r="E51" i="13"/>
  <c r="E52" i="13" s="1"/>
  <c r="E6" i="13"/>
  <c r="F6" i="13" s="1"/>
  <c r="E8" i="13"/>
  <c r="E10" i="13"/>
  <c r="F10" i="13" s="1"/>
  <c r="E12" i="13"/>
  <c r="F12" i="13" s="1"/>
  <c r="E28" i="13"/>
  <c r="F28" i="13" s="1"/>
  <c r="F29" i="13" s="1"/>
  <c r="E36" i="13"/>
  <c r="E37" i="13" s="1"/>
  <c r="H37" i="13" s="1"/>
  <c r="J37" i="13" s="1"/>
  <c r="K37" i="13" s="1"/>
  <c r="E44" i="13"/>
  <c r="F44" i="13" s="1"/>
  <c r="F45" i="13" s="1"/>
  <c r="J58" i="13"/>
  <c r="K58" i="13" s="1"/>
  <c r="E33" i="13"/>
  <c r="H33" i="13" s="1"/>
  <c r="J33" i="13" s="1"/>
  <c r="K33" i="13" s="1"/>
  <c r="C37" i="13"/>
  <c r="C60" i="13" s="1"/>
  <c r="H60" i="13" s="1"/>
  <c r="J60" i="13" s="1"/>
  <c r="K60" i="13" s="1"/>
  <c r="E39" i="13"/>
  <c r="E41" i="13" s="1"/>
  <c r="H41" i="13" s="1"/>
  <c r="J41" i="13" s="1"/>
  <c r="K41" i="13" s="1"/>
  <c r="L20" i="11"/>
  <c r="L25" i="21" l="1"/>
  <c r="N25" i="21" s="1"/>
  <c r="O25" i="21" s="1"/>
  <c r="F60" i="22"/>
  <c r="H56" i="17"/>
  <c r="J56" i="17" s="1"/>
  <c r="K56" i="17" s="1"/>
  <c r="F60" i="17"/>
  <c r="H20" i="15"/>
  <c r="L24" i="15" s="1"/>
  <c r="N24" i="15" s="1"/>
  <c r="O24" i="15" s="1"/>
  <c r="F20" i="15"/>
  <c r="G23" i="15"/>
  <c r="L23" i="15" s="1"/>
  <c r="N23" i="15" s="1"/>
  <c r="O23" i="15" s="1"/>
  <c r="L20" i="15"/>
  <c r="N20" i="15" s="1"/>
  <c r="O20" i="15" s="1"/>
  <c r="L20" i="14"/>
  <c r="N20" i="14" s="1"/>
  <c r="O20" i="14" s="1"/>
  <c r="G23" i="14"/>
  <c r="L23" i="14" s="1"/>
  <c r="N23" i="14" s="1"/>
  <c r="O23" i="14" s="1"/>
  <c r="H20" i="14"/>
  <c r="L24" i="14" s="1"/>
  <c r="N24" i="14" s="1"/>
  <c r="O24" i="14" s="1"/>
  <c r="F36" i="13"/>
  <c r="F37" i="13" s="1"/>
  <c r="E45" i="13"/>
  <c r="H45" i="13" s="1"/>
  <c r="J45" i="13" s="1"/>
  <c r="K45" i="13" s="1"/>
  <c r="F13" i="13"/>
  <c r="E13" i="13"/>
  <c r="E29" i="13"/>
  <c r="H29" i="13" s="1"/>
  <c r="J29" i="13" s="1"/>
  <c r="K29" i="13" s="1"/>
  <c r="L20" i="12"/>
  <c r="L25" i="12"/>
  <c r="J23" i="12"/>
  <c r="D25" i="15" l="1"/>
  <c r="L25" i="15" s="1"/>
  <c r="N25" i="15" s="1"/>
  <c r="O25" i="15" s="1"/>
  <c r="H24" i="15"/>
  <c r="D46" i="15"/>
  <c r="D25" i="14"/>
  <c r="D46" i="14" s="1"/>
  <c r="H24" i="14"/>
  <c r="F58" i="13"/>
  <c r="E56" i="13"/>
  <c r="H13" i="13"/>
  <c r="J13" i="13" s="1"/>
  <c r="K13" i="13" s="1"/>
  <c r="J34" i="12"/>
  <c r="I34" i="12"/>
  <c r="H34" i="12"/>
  <c r="G34" i="12"/>
  <c r="F34" i="12"/>
  <c r="E34" i="12"/>
  <c r="D34" i="12"/>
  <c r="C34" i="12"/>
  <c r="K24" i="12"/>
  <c r="Q20" i="12"/>
  <c r="K25" i="12"/>
  <c r="G19" i="12"/>
  <c r="H19" i="12" s="1"/>
  <c r="G18" i="12"/>
  <c r="G17" i="12"/>
  <c r="H17" i="12" s="1"/>
  <c r="G16" i="12"/>
  <c r="H16" i="12" s="1"/>
  <c r="G15" i="12"/>
  <c r="H15" i="12" s="1"/>
  <c r="G14" i="12"/>
  <c r="H14" i="12" s="1"/>
  <c r="G13" i="12"/>
  <c r="H13" i="12" s="1"/>
  <c r="G12" i="12"/>
  <c r="H12" i="12" s="1"/>
  <c r="G11" i="12"/>
  <c r="H11" i="12" s="1"/>
  <c r="G10" i="12"/>
  <c r="H10" i="12" s="1"/>
  <c r="G9" i="12"/>
  <c r="H9" i="12" s="1"/>
  <c r="G8" i="12"/>
  <c r="L8" i="12" s="1"/>
  <c r="G7" i="12"/>
  <c r="H7" i="12" s="1"/>
  <c r="G6" i="12"/>
  <c r="Q4" i="12"/>
  <c r="Q5" i="12" s="1"/>
  <c r="L3" i="12" s="1"/>
  <c r="J34" i="11"/>
  <c r="I34" i="11"/>
  <c r="H34" i="11"/>
  <c r="G34" i="11"/>
  <c r="F34" i="11"/>
  <c r="E34" i="11"/>
  <c r="D34" i="11"/>
  <c r="C34" i="11"/>
  <c r="K24" i="11"/>
  <c r="Q20" i="11"/>
  <c r="J23" i="11"/>
  <c r="G19" i="11"/>
  <c r="H19" i="11" s="1"/>
  <c r="G18" i="11"/>
  <c r="H18" i="11" s="1"/>
  <c r="G17" i="11"/>
  <c r="H17" i="11" s="1"/>
  <c r="G16" i="11"/>
  <c r="H16" i="11" s="1"/>
  <c r="G15" i="11"/>
  <c r="H15" i="11" s="1"/>
  <c r="G14" i="11"/>
  <c r="G13" i="11"/>
  <c r="H13" i="11" s="1"/>
  <c r="G12" i="11"/>
  <c r="G11" i="11"/>
  <c r="H11" i="11" s="1"/>
  <c r="G10" i="11"/>
  <c r="H10" i="11" s="1"/>
  <c r="G9" i="11"/>
  <c r="H9" i="11" s="1"/>
  <c r="G8" i="11"/>
  <c r="H8" i="11" s="1"/>
  <c r="G7" i="11"/>
  <c r="H7" i="11" s="1"/>
  <c r="G6" i="11"/>
  <c r="Q4" i="11"/>
  <c r="Q5" i="11" s="1"/>
  <c r="L3" i="11" s="1"/>
  <c r="M4" i="10"/>
  <c r="M5" i="10"/>
  <c r="R143" i="10"/>
  <c r="G69" i="10"/>
  <c r="F69" i="10"/>
  <c r="E69" i="10"/>
  <c r="D69" i="10"/>
  <c r="C69" i="10"/>
  <c r="B69" i="10"/>
  <c r="G56" i="10"/>
  <c r="G60" i="10" s="1"/>
  <c r="C54" i="10"/>
  <c r="E54" i="10" s="1"/>
  <c r="B54" i="10"/>
  <c r="C51" i="10"/>
  <c r="C52" i="10" s="1"/>
  <c r="B51" i="10"/>
  <c r="B52" i="10" s="1"/>
  <c r="C49" i="10"/>
  <c r="B49" i="10"/>
  <c r="F48" i="10"/>
  <c r="F49" i="10" s="1"/>
  <c r="E48" i="10"/>
  <c r="E47" i="10"/>
  <c r="E49" i="10" s="1"/>
  <c r="H49" i="10" s="1"/>
  <c r="C44" i="10"/>
  <c r="B44" i="10"/>
  <c r="C43" i="10"/>
  <c r="B43" i="10"/>
  <c r="B45" i="10" s="1"/>
  <c r="C40" i="10"/>
  <c r="E40" i="10" s="1"/>
  <c r="F40" i="10" s="1"/>
  <c r="F41" i="10" s="1"/>
  <c r="B40" i="10"/>
  <c r="C39" i="10"/>
  <c r="E39" i="10" s="1"/>
  <c r="B39" i="10"/>
  <c r="C36" i="10"/>
  <c r="B36" i="10"/>
  <c r="C35" i="10"/>
  <c r="C37" i="10" s="1"/>
  <c r="B35" i="10"/>
  <c r="C32" i="10"/>
  <c r="E32" i="10" s="1"/>
  <c r="F32" i="10" s="1"/>
  <c r="F33" i="10" s="1"/>
  <c r="B32" i="10"/>
  <c r="V31" i="10"/>
  <c r="U31" i="10"/>
  <c r="C31" i="10"/>
  <c r="C33" i="10" s="1"/>
  <c r="B31" i="10"/>
  <c r="V30" i="10"/>
  <c r="U30" i="10"/>
  <c r="V29" i="10"/>
  <c r="U29" i="10"/>
  <c r="V28" i="10"/>
  <c r="U28" i="10"/>
  <c r="C28" i="10"/>
  <c r="B28" i="10"/>
  <c r="B29" i="10" s="1"/>
  <c r="V27" i="10"/>
  <c r="U27" i="10"/>
  <c r="C27" i="10"/>
  <c r="E27" i="10" s="1"/>
  <c r="B27" i="10"/>
  <c r="V26" i="10"/>
  <c r="U26" i="10"/>
  <c r="V25" i="10"/>
  <c r="U25" i="10"/>
  <c r="V24" i="10"/>
  <c r="U24" i="10"/>
  <c r="C24" i="10"/>
  <c r="E24" i="10" s="1"/>
  <c r="F24" i="10" s="1"/>
  <c r="F25" i="10" s="1"/>
  <c r="B24" i="10"/>
  <c r="V23" i="10"/>
  <c r="U23" i="10"/>
  <c r="C23" i="10"/>
  <c r="C25" i="10" s="1"/>
  <c r="B23" i="10"/>
  <c r="B25" i="10" s="1"/>
  <c r="V22" i="10"/>
  <c r="U22" i="10"/>
  <c r="V21" i="10"/>
  <c r="U21" i="10"/>
  <c r="V20" i="10"/>
  <c r="U20" i="10"/>
  <c r="C20" i="10"/>
  <c r="E20" i="10" s="1"/>
  <c r="B20" i="10"/>
  <c r="B21" i="10" s="1"/>
  <c r="V19" i="10"/>
  <c r="U19" i="10"/>
  <c r="E19" i="10"/>
  <c r="V18" i="10"/>
  <c r="U18" i="10"/>
  <c r="V17" i="10"/>
  <c r="U17" i="10"/>
  <c r="V16" i="10"/>
  <c r="U16" i="10"/>
  <c r="C16" i="10"/>
  <c r="E16" i="10" s="1"/>
  <c r="F16" i="10" s="1"/>
  <c r="F17" i="10" s="1"/>
  <c r="B16" i="10"/>
  <c r="V15" i="10"/>
  <c r="U15" i="10"/>
  <c r="C15" i="10"/>
  <c r="C17" i="10" s="1"/>
  <c r="B15" i="10"/>
  <c r="B17" i="10" s="1"/>
  <c r="V14" i="10"/>
  <c r="U14" i="10"/>
  <c r="V13" i="10"/>
  <c r="U13" i="10"/>
  <c r="V12" i="10"/>
  <c r="U12" i="10"/>
  <c r="C12" i="10"/>
  <c r="B12" i="10"/>
  <c r="V11" i="10"/>
  <c r="U11" i="10"/>
  <c r="C11" i="10"/>
  <c r="E11" i="10" s="1"/>
  <c r="F11" i="10" s="1"/>
  <c r="B11" i="10"/>
  <c r="V10" i="10"/>
  <c r="U10" i="10"/>
  <c r="C10" i="10"/>
  <c r="B10" i="10"/>
  <c r="V9" i="10"/>
  <c r="U9" i="10"/>
  <c r="C9" i="10"/>
  <c r="E9" i="10" s="1"/>
  <c r="F9" i="10" s="1"/>
  <c r="B9" i="10"/>
  <c r="V8" i="10"/>
  <c r="U8" i="10"/>
  <c r="C8" i="10"/>
  <c r="B8" i="10"/>
  <c r="V7" i="10"/>
  <c r="U7" i="10"/>
  <c r="C7" i="10"/>
  <c r="E7" i="10" s="1"/>
  <c r="F7" i="10" s="1"/>
  <c r="B7" i="10"/>
  <c r="V6" i="10"/>
  <c r="U6" i="10"/>
  <c r="E6" i="10"/>
  <c r="C6" i="10"/>
  <c r="B6" i="10"/>
  <c r="H3" i="10"/>
  <c r="N25" i="14" l="1"/>
  <c r="O25" i="14" s="1"/>
  <c r="F60" i="13"/>
  <c r="H56" i="13"/>
  <c r="J56" i="13" s="1"/>
  <c r="K56" i="13" s="1"/>
  <c r="L16" i="12"/>
  <c r="N16" i="12" s="1"/>
  <c r="O16" i="12" s="1"/>
  <c r="L6" i="12"/>
  <c r="L18" i="12"/>
  <c r="N18" i="12" s="1"/>
  <c r="O18" i="12" s="1"/>
  <c r="N6" i="12"/>
  <c r="O6" i="12" s="1"/>
  <c r="N8" i="12"/>
  <c r="O8" i="12" s="1"/>
  <c r="H8" i="12"/>
  <c r="L14" i="12"/>
  <c r="N14" i="12" s="1"/>
  <c r="O14" i="12" s="1"/>
  <c r="G20" i="12"/>
  <c r="H6" i="12"/>
  <c r="H18" i="12"/>
  <c r="L14" i="11"/>
  <c r="N14" i="11" s="1"/>
  <c r="O14" i="11" s="1"/>
  <c r="L18" i="11"/>
  <c r="N18" i="11" s="1"/>
  <c r="O18" i="11" s="1"/>
  <c r="L12" i="11"/>
  <c r="N12" i="11" s="1"/>
  <c r="O12" i="11" s="1"/>
  <c r="L10" i="11"/>
  <c r="N10" i="11" s="1"/>
  <c r="O10" i="11" s="1"/>
  <c r="G20" i="11"/>
  <c r="F20" i="11" s="1"/>
  <c r="K25" i="11"/>
  <c r="H6" i="11"/>
  <c r="L8" i="11"/>
  <c r="N8" i="11" s="1"/>
  <c r="O8" i="11" s="1"/>
  <c r="H14" i="11"/>
  <c r="L16" i="11"/>
  <c r="N16" i="11" s="1"/>
  <c r="O16" i="11" s="1"/>
  <c r="L6" i="11"/>
  <c r="N6" i="11" s="1"/>
  <c r="O6" i="11" s="1"/>
  <c r="H12" i="11"/>
  <c r="C29" i="10"/>
  <c r="C21" i="10"/>
  <c r="E8" i="10"/>
  <c r="F8" i="10" s="1"/>
  <c r="E28" i="10"/>
  <c r="F28" i="10" s="1"/>
  <c r="F29" i="10" s="1"/>
  <c r="B33" i="10"/>
  <c r="E44" i="10"/>
  <c r="F44" i="10" s="1"/>
  <c r="F45" i="10" s="1"/>
  <c r="E51" i="10"/>
  <c r="E52" i="10" s="1"/>
  <c r="E10" i="10"/>
  <c r="F10" i="10" s="1"/>
  <c r="C45" i="10"/>
  <c r="F51" i="10"/>
  <c r="F52" i="10" s="1"/>
  <c r="C13" i="10"/>
  <c r="B13" i="10"/>
  <c r="E12" i="10"/>
  <c r="F12" i="10" s="1"/>
  <c r="B37" i="10"/>
  <c r="E36" i="10"/>
  <c r="F36" i="10" s="1"/>
  <c r="F37" i="10" s="1"/>
  <c r="B41" i="10"/>
  <c r="J52" i="10"/>
  <c r="K52" i="10" s="1"/>
  <c r="J58" i="10"/>
  <c r="K58" i="10" s="1"/>
  <c r="F20" i="10"/>
  <c r="F21" i="10" s="1"/>
  <c r="E21" i="10"/>
  <c r="H21" i="10" s="1"/>
  <c r="E41" i="10"/>
  <c r="H41" i="10" s="1"/>
  <c r="J41" i="10" s="1"/>
  <c r="K41" i="10" s="1"/>
  <c r="F6" i="10"/>
  <c r="E15" i="10"/>
  <c r="E17" i="10" s="1"/>
  <c r="H17" i="10" s="1"/>
  <c r="J17" i="10" s="1"/>
  <c r="K17" i="10" s="1"/>
  <c r="E23" i="10"/>
  <c r="E25" i="10" s="1"/>
  <c r="H25" i="10" s="1"/>
  <c r="J25" i="10" s="1"/>
  <c r="K25" i="10" s="1"/>
  <c r="E31" i="10"/>
  <c r="E33" i="10" s="1"/>
  <c r="H33" i="10" s="1"/>
  <c r="J33" i="10" s="1"/>
  <c r="K33" i="10" s="1"/>
  <c r="E35" i="10"/>
  <c r="C41" i="10"/>
  <c r="E43" i="10"/>
  <c r="J34" i="9"/>
  <c r="I34" i="9"/>
  <c r="H34" i="9"/>
  <c r="G34" i="9"/>
  <c r="F34" i="9"/>
  <c r="E34" i="9"/>
  <c r="D34" i="9"/>
  <c r="C34" i="9"/>
  <c r="K24" i="9"/>
  <c r="J23" i="9"/>
  <c r="Q20" i="9"/>
  <c r="J20" i="9"/>
  <c r="K25" i="9" s="1"/>
  <c r="G19" i="9"/>
  <c r="H19" i="9" s="1"/>
  <c r="G18" i="9"/>
  <c r="G17" i="9"/>
  <c r="H17" i="9" s="1"/>
  <c r="G16" i="9"/>
  <c r="H16" i="9" s="1"/>
  <c r="G15" i="9"/>
  <c r="H15" i="9" s="1"/>
  <c r="G14" i="9"/>
  <c r="H14" i="9" s="1"/>
  <c r="G13" i="9"/>
  <c r="H13" i="9" s="1"/>
  <c r="H12" i="9"/>
  <c r="G12" i="9"/>
  <c r="G11" i="9"/>
  <c r="H11" i="9" s="1"/>
  <c r="H10" i="9"/>
  <c r="G10" i="9"/>
  <c r="G9" i="9"/>
  <c r="H9" i="9" s="1"/>
  <c r="G8" i="9"/>
  <c r="L8" i="9" s="1"/>
  <c r="G7" i="9"/>
  <c r="H7" i="9" s="1"/>
  <c r="G6" i="9"/>
  <c r="Q4" i="9"/>
  <c r="Q5" i="9" s="1"/>
  <c r="L3" i="9" s="1"/>
  <c r="J34" i="8"/>
  <c r="I34" i="8"/>
  <c r="H34" i="8"/>
  <c r="G34" i="8"/>
  <c r="F34" i="8"/>
  <c r="E34" i="8"/>
  <c r="D34" i="8"/>
  <c r="C34" i="8"/>
  <c r="K24" i="8"/>
  <c r="Q20" i="8"/>
  <c r="J20" i="8"/>
  <c r="J23" i="8" s="1"/>
  <c r="G19" i="8"/>
  <c r="H19" i="8" s="1"/>
  <c r="G18" i="8"/>
  <c r="H18" i="8" s="1"/>
  <c r="G17" i="8"/>
  <c r="H17" i="8" s="1"/>
  <c r="G16" i="8"/>
  <c r="G15" i="8"/>
  <c r="H15" i="8" s="1"/>
  <c r="G14" i="8"/>
  <c r="G13" i="8"/>
  <c r="H13" i="8" s="1"/>
  <c r="G12" i="8"/>
  <c r="H12" i="8" s="1"/>
  <c r="G11" i="8"/>
  <c r="H11" i="8" s="1"/>
  <c r="G10" i="8"/>
  <c r="H10" i="8" s="1"/>
  <c r="G9" i="8"/>
  <c r="H9" i="8" s="1"/>
  <c r="G8" i="8"/>
  <c r="H8" i="8" s="1"/>
  <c r="G7" i="8"/>
  <c r="H7" i="8" s="1"/>
  <c r="G6" i="8"/>
  <c r="Q4" i="8"/>
  <c r="Q5" i="8" s="1"/>
  <c r="L3" i="8" s="1"/>
  <c r="R143" i="7"/>
  <c r="G69" i="7"/>
  <c r="F69" i="7"/>
  <c r="E69" i="7"/>
  <c r="D69" i="7"/>
  <c r="C69" i="7"/>
  <c r="B69" i="7"/>
  <c r="G56" i="7"/>
  <c r="G60" i="7" s="1"/>
  <c r="C54" i="7"/>
  <c r="E54" i="7" s="1"/>
  <c r="B54" i="7"/>
  <c r="C51" i="7"/>
  <c r="C52" i="7" s="1"/>
  <c r="B51" i="7"/>
  <c r="B52" i="7" s="1"/>
  <c r="C49" i="7"/>
  <c r="B49" i="7"/>
  <c r="E48" i="7"/>
  <c r="F48" i="7" s="1"/>
  <c r="F49" i="7" s="1"/>
  <c r="E47" i="7"/>
  <c r="C44" i="7"/>
  <c r="B44" i="7"/>
  <c r="C43" i="7"/>
  <c r="E43" i="7" s="1"/>
  <c r="B43" i="7"/>
  <c r="C40" i="7"/>
  <c r="E40" i="7" s="1"/>
  <c r="F40" i="7" s="1"/>
  <c r="F41" i="7" s="1"/>
  <c r="B40" i="7"/>
  <c r="C39" i="7"/>
  <c r="E39" i="7" s="1"/>
  <c r="B39" i="7"/>
  <c r="C36" i="7"/>
  <c r="B36" i="7"/>
  <c r="C35" i="7"/>
  <c r="E35" i="7" s="1"/>
  <c r="B35" i="7"/>
  <c r="C32" i="7"/>
  <c r="E32" i="7" s="1"/>
  <c r="F32" i="7" s="1"/>
  <c r="F33" i="7" s="1"/>
  <c r="B32" i="7"/>
  <c r="V31" i="7"/>
  <c r="U31" i="7"/>
  <c r="C31" i="7"/>
  <c r="E31" i="7" s="1"/>
  <c r="E33" i="7" s="1"/>
  <c r="H33" i="7" s="1"/>
  <c r="B31" i="7"/>
  <c r="V30" i="7"/>
  <c r="U30" i="7"/>
  <c r="V29" i="7"/>
  <c r="U29" i="7"/>
  <c r="V28" i="7"/>
  <c r="U28" i="7"/>
  <c r="C28" i="7"/>
  <c r="B28" i="7"/>
  <c r="V27" i="7"/>
  <c r="U27" i="7"/>
  <c r="C27" i="7"/>
  <c r="E27" i="7" s="1"/>
  <c r="B27" i="7"/>
  <c r="V26" i="7"/>
  <c r="U26" i="7"/>
  <c r="V25" i="7"/>
  <c r="U25" i="7"/>
  <c r="V24" i="7"/>
  <c r="U24" i="7"/>
  <c r="C24" i="7"/>
  <c r="E24" i="7" s="1"/>
  <c r="F24" i="7" s="1"/>
  <c r="F25" i="7" s="1"/>
  <c r="B24" i="7"/>
  <c r="V23" i="7"/>
  <c r="U23" i="7"/>
  <c r="C23" i="7"/>
  <c r="E23" i="7" s="1"/>
  <c r="E25" i="7" s="1"/>
  <c r="H25" i="7" s="1"/>
  <c r="B23" i="7"/>
  <c r="B25" i="7" s="1"/>
  <c r="V22" i="7"/>
  <c r="U22" i="7"/>
  <c r="V21" i="7"/>
  <c r="U21" i="7"/>
  <c r="V20" i="7"/>
  <c r="U20" i="7"/>
  <c r="C20" i="7"/>
  <c r="E20" i="7" s="1"/>
  <c r="F20" i="7" s="1"/>
  <c r="F21" i="7" s="1"/>
  <c r="B20" i="7"/>
  <c r="B21" i="7" s="1"/>
  <c r="V19" i="7"/>
  <c r="U19" i="7"/>
  <c r="E19" i="7"/>
  <c r="E21" i="7" s="1"/>
  <c r="H21" i="7" s="1"/>
  <c r="V18" i="7"/>
  <c r="U18" i="7"/>
  <c r="V17" i="7"/>
  <c r="U17" i="7"/>
  <c r="V16" i="7"/>
  <c r="U16" i="7"/>
  <c r="C16" i="7"/>
  <c r="E16" i="7" s="1"/>
  <c r="F16" i="7" s="1"/>
  <c r="F17" i="7" s="1"/>
  <c r="B16" i="7"/>
  <c r="V15" i="7"/>
  <c r="U15" i="7"/>
  <c r="C15" i="7"/>
  <c r="C17" i="7" s="1"/>
  <c r="B15" i="7"/>
  <c r="V14" i="7"/>
  <c r="U14" i="7"/>
  <c r="V13" i="7"/>
  <c r="U13" i="7"/>
  <c r="V12" i="7"/>
  <c r="U12" i="7"/>
  <c r="C12" i="7"/>
  <c r="B12" i="7"/>
  <c r="V11" i="7"/>
  <c r="U11" i="7"/>
  <c r="C11" i="7"/>
  <c r="E11" i="7" s="1"/>
  <c r="F11" i="7" s="1"/>
  <c r="B11" i="7"/>
  <c r="V10" i="7"/>
  <c r="U10" i="7"/>
  <c r="C10" i="7"/>
  <c r="B10" i="7"/>
  <c r="V9" i="7"/>
  <c r="U9" i="7"/>
  <c r="C9" i="7"/>
  <c r="E9" i="7" s="1"/>
  <c r="F9" i="7" s="1"/>
  <c r="B9" i="7"/>
  <c r="V8" i="7"/>
  <c r="U8" i="7"/>
  <c r="C8" i="7"/>
  <c r="B8" i="7"/>
  <c r="V7" i="7"/>
  <c r="U7" i="7"/>
  <c r="C7" i="7"/>
  <c r="E7" i="7" s="1"/>
  <c r="F7" i="7" s="1"/>
  <c r="B7" i="7"/>
  <c r="V6" i="7"/>
  <c r="U6" i="7"/>
  <c r="C6" i="7"/>
  <c r="C13" i="7" s="1"/>
  <c r="B6" i="7"/>
  <c r="B13" i="7" s="1"/>
  <c r="M4" i="7"/>
  <c r="M5" i="7" s="1"/>
  <c r="H3" i="7" s="1"/>
  <c r="J52" i="7" s="1"/>
  <c r="K52" i="7" s="1"/>
  <c r="H20" i="12" l="1"/>
  <c r="D25" i="12" s="1"/>
  <c r="N20" i="12"/>
  <c r="O20" i="12" s="1"/>
  <c r="G23" i="12"/>
  <c r="L23" i="12" s="1"/>
  <c r="N23" i="12" s="1"/>
  <c r="O23" i="12" s="1"/>
  <c r="F20" i="12"/>
  <c r="G23" i="11"/>
  <c r="L23" i="11" s="1"/>
  <c r="N23" i="11" s="1"/>
  <c r="O23" i="11" s="1"/>
  <c r="N20" i="11"/>
  <c r="O20" i="11" s="1"/>
  <c r="H20" i="11"/>
  <c r="L24" i="11" s="1"/>
  <c r="N24" i="11" s="1"/>
  <c r="O24" i="11" s="1"/>
  <c r="E45" i="10"/>
  <c r="H45" i="10" s="1"/>
  <c r="J45" i="10" s="1"/>
  <c r="K45" i="10" s="1"/>
  <c r="B60" i="10"/>
  <c r="C60" i="10"/>
  <c r="H60" i="10" s="1"/>
  <c r="J60" i="10" s="1"/>
  <c r="K60" i="10" s="1"/>
  <c r="E29" i="10"/>
  <c r="H29" i="10" s="1"/>
  <c r="J29" i="10" s="1"/>
  <c r="K29" i="10" s="1"/>
  <c r="F13" i="10"/>
  <c r="F58" i="10" s="1"/>
  <c r="E13" i="10"/>
  <c r="H13" i="10" s="1"/>
  <c r="J13" i="10" s="1"/>
  <c r="K13" i="10" s="1"/>
  <c r="E37" i="10"/>
  <c r="H37" i="10" s="1"/>
  <c r="J37" i="10" s="1"/>
  <c r="K37" i="10" s="1"/>
  <c r="L18" i="9"/>
  <c r="N18" i="9" s="1"/>
  <c r="O18" i="9" s="1"/>
  <c r="N8" i="9"/>
  <c r="O8" i="9" s="1"/>
  <c r="L16" i="9"/>
  <c r="N16" i="9" s="1"/>
  <c r="O16" i="9" s="1"/>
  <c r="L6" i="9"/>
  <c r="N6" i="9"/>
  <c r="O6" i="9" s="1"/>
  <c r="H8" i="9"/>
  <c r="L14" i="9"/>
  <c r="N14" i="9" s="1"/>
  <c r="O14" i="9" s="1"/>
  <c r="G20" i="9"/>
  <c r="H6" i="9"/>
  <c r="H18" i="9"/>
  <c r="L16" i="8"/>
  <c r="N16" i="8" s="1"/>
  <c r="O16" i="8" s="1"/>
  <c r="L14" i="8"/>
  <c r="N14" i="8" s="1"/>
  <c r="O14" i="8" s="1"/>
  <c r="G20" i="8"/>
  <c r="G23" i="8" s="1"/>
  <c r="L23" i="8" s="1"/>
  <c r="N23" i="8" s="1"/>
  <c r="O23" i="8" s="1"/>
  <c r="L12" i="8"/>
  <c r="N12" i="8" s="1"/>
  <c r="O12" i="8" s="1"/>
  <c r="L10" i="8"/>
  <c r="N10" i="8" s="1"/>
  <c r="O10" i="8" s="1"/>
  <c r="H16" i="8"/>
  <c r="L18" i="8"/>
  <c r="N18" i="8" s="1"/>
  <c r="O18" i="8" s="1"/>
  <c r="H6" i="8"/>
  <c r="L8" i="8"/>
  <c r="N8" i="8" s="1"/>
  <c r="O8" i="8" s="1"/>
  <c r="H14" i="8"/>
  <c r="K25" i="8"/>
  <c r="L6" i="8"/>
  <c r="N6" i="8" s="1"/>
  <c r="O6" i="8" s="1"/>
  <c r="J33" i="7"/>
  <c r="K33" i="7" s="1"/>
  <c r="E15" i="7"/>
  <c r="E17" i="7" s="1"/>
  <c r="H17" i="7" s="1"/>
  <c r="J17" i="7" s="1"/>
  <c r="K17" i="7" s="1"/>
  <c r="E51" i="7"/>
  <c r="F51" i="7" s="1"/>
  <c r="F52" i="7" s="1"/>
  <c r="B41" i="7"/>
  <c r="B45" i="7"/>
  <c r="E49" i="7"/>
  <c r="H49" i="7" s="1"/>
  <c r="C29" i="7"/>
  <c r="J25" i="7"/>
  <c r="K25" i="7" s="1"/>
  <c r="C25" i="7"/>
  <c r="B17" i="7"/>
  <c r="B29" i="7"/>
  <c r="B37" i="7"/>
  <c r="C21" i="7"/>
  <c r="B33" i="7"/>
  <c r="E41" i="7"/>
  <c r="H41" i="7" s="1"/>
  <c r="J41" i="7" s="1"/>
  <c r="K41" i="7" s="1"/>
  <c r="C37" i="7"/>
  <c r="C45" i="7"/>
  <c r="E6" i="7"/>
  <c r="E8" i="7"/>
  <c r="F8" i="7" s="1"/>
  <c r="E10" i="7"/>
  <c r="F10" i="7" s="1"/>
  <c r="E12" i="7"/>
  <c r="F12" i="7" s="1"/>
  <c r="E28" i="7"/>
  <c r="E29" i="7" s="1"/>
  <c r="H29" i="7" s="1"/>
  <c r="J29" i="7" s="1"/>
  <c r="K29" i="7" s="1"/>
  <c r="E36" i="7"/>
  <c r="F36" i="7" s="1"/>
  <c r="F37" i="7" s="1"/>
  <c r="E44" i="7"/>
  <c r="F44" i="7" s="1"/>
  <c r="F45" i="7" s="1"/>
  <c r="J58" i="7"/>
  <c r="K58" i="7" s="1"/>
  <c r="F28" i="7"/>
  <c r="F29" i="7" s="1"/>
  <c r="C33" i="7"/>
  <c r="C41" i="7"/>
  <c r="Q4" i="5"/>
  <c r="Q5" i="5" s="1"/>
  <c r="L3" i="5" s="1"/>
  <c r="Q4" i="6"/>
  <c r="Q5" i="6" s="1"/>
  <c r="L3" i="6" s="1"/>
  <c r="G6" i="6"/>
  <c r="H6" i="6" s="1"/>
  <c r="G7" i="6"/>
  <c r="H7" i="6" s="1"/>
  <c r="G8" i="6"/>
  <c r="H8" i="6" s="1"/>
  <c r="G9" i="6"/>
  <c r="H9" i="6" s="1"/>
  <c r="G10" i="6"/>
  <c r="H10" i="6" s="1"/>
  <c r="G11" i="6"/>
  <c r="H11" i="6"/>
  <c r="G12" i="6"/>
  <c r="H12" i="6" s="1"/>
  <c r="G13" i="6"/>
  <c r="H13" i="6" s="1"/>
  <c r="G14" i="6"/>
  <c r="H14" i="6"/>
  <c r="G15" i="6"/>
  <c r="H15" i="6" s="1"/>
  <c r="G16" i="6"/>
  <c r="H16" i="6" s="1"/>
  <c r="G17" i="6"/>
  <c r="H17" i="6" s="1"/>
  <c r="G18" i="6"/>
  <c r="G19" i="6"/>
  <c r="H19" i="6"/>
  <c r="J20" i="6"/>
  <c r="J23" i="6" s="1"/>
  <c r="Q20" i="6"/>
  <c r="K24" i="6"/>
  <c r="C34" i="6"/>
  <c r="D34" i="6"/>
  <c r="E34" i="6"/>
  <c r="F34" i="6"/>
  <c r="G34" i="6"/>
  <c r="H34" i="6"/>
  <c r="I34" i="6"/>
  <c r="J34" i="6"/>
  <c r="G6" i="5"/>
  <c r="H6" i="5"/>
  <c r="G7" i="5"/>
  <c r="H7" i="5" s="1"/>
  <c r="G8" i="5"/>
  <c r="H8" i="5"/>
  <c r="G9" i="5"/>
  <c r="H9" i="5"/>
  <c r="G10" i="5"/>
  <c r="H10" i="5" s="1"/>
  <c r="G11" i="5"/>
  <c r="H11" i="5" s="1"/>
  <c r="G12" i="5"/>
  <c r="H12" i="5" s="1"/>
  <c r="G13" i="5"/>
  <c r="H13" i="5" s="1"/>
  <c r="G14" i="5"/>
  <c r="H14" i="5" s="1"/>
  <c r="G15" i="5"/>
  <c r="H15" i="5"/>
  <c r="G16" i="5"/>
  <c r="H16" i="5" s="1"/>
  <c r="G17" i="5"/>
  <c r="H17" i="5" s="1"/>
  <c r="G18" i="5"/>
  <c r="H18" i="5" s="1"/>
  <c r="G19" i="5"/>
  <c r="H19" i="5"/>
  <c r="J20" i="5"/>
  <c r="K25" i="5" s="1"/>
  <c r="Q20" i="5"/>
  <c r="K24" i="5"/>
  <c r="C34" i="5"/>
  <c r="D34" i="5"/>
  <c r="E34" i="5"/>
  <c r="F34" i="5"/>
  <c r="G34" i="5"/>
  <c r="H34" i="5"/>
  <c r="I34" i="5"/>
  <c r="J34" i="5"/>
  <c r="D46" i="12" l="1"/>
  <c r="N25" i="12"/>
  <c r="O25" i="12" s="1"/>
  <c r="L24" i="12"/>
  <c r="N24" i="12" s="1"/>
  <c r="O24" i="12" s="1"/>
  <c r="H24" i="12"/>
  <c r="D25" i="11"/>
  <c r="D46" i="11" s="1"/>
  <c r="H24" i="11"/>
  <c r="E56" i="10"/>
  <c r="F60" i="10"/>
  <c r="H56" i="10"/>
  <c r="J56" i="10" s="1"/>
  <c r="K56" i="10" s="1"/>
  <c r="H20" i="9"/>
  <c r="G23" i="9"/>
  <c r="L23" i="9" s="1"/>
  <c r="N23" i="9" s="1"/>
  <c r="O23" i="9" s="1"/>
  <c r="L20" i="9"/>
  <c r="N20" i="9" s="1"/>
  <c r="O20" i="9" s="1"/>
  <c r="F20" i="9"/>
  <c r="H20" i="8"/>
  <c r="H24" i="8" s="1"/>
  <c r="F20" i="8"/>
  <c r="L20" i="8"/>
  <c r="N20" i="8" s="1"/>
  <c r="O20" i="8" s="1"/>
  <c r="E52" i="7"/>
  <c r="E37" i="7"/>
  <c r="H37" i="7" s="1"/>
  <c r="J37" i="7" s="1"/>
  <c r="K37" i="7" s="1"/>
  <c r="B60" i="7"/>
  <c r="C60" i="7"/>
  <c r="H60" i="7" s="1"/>
  <c r="J60" i="7" s="1"/>
  <c r="K60" i="7" s="1"/>
  <c r="E13" i="7"/>
  <c r="E45" i="7"/>
  <c r="H45" i="7" s="1"/>
  <c r="J45" i="7" s="1"/>
  <c r="K45" i="7" s="1"/>
  <c r="F6" i="7"/>
  <c r="F13" i="7" s="1"/>
  <c r="F58" i="7" s="1"/>
  <c r="L18" i="6"/>
  <c r="N18" i="6" s="1"/>
  <c r="O18" i="6" s="1"/>
  <c r="L10" i="6"/>
  <c r="N10" i="6" s="1"/>
  <c r="O10" i="6" s="1"/>
  <c r="H18" i="6"/>
  <c r="K25" i="6"/>
  <c r="L16" i="6"/>
  <c r="N16" i="6" s="1"/>
  <c r="O16" i="6" s="1"/>
  <c r="L14" i="6"/>
  <c r="N14" i="6" s="1"/>
  <c r="O14" i="6" s="1"/>
  <c r="L8" i="6"/>
  <c r="N8" i="6" s="1"/>
  <c r="O8" i="6" s="1"/>
  <c r="H20" i="6"/>
  <c r="L24" i="6" s="1"/>
  <c r="N24" i="6" s="1"/>
  <c r="O24" i="6" s="1"/>
  <c r="L6" i="6"/>
  <c r="N6" i="6" s="1"/>
  <c r="O6" i="6" s="1"/>
  <c r="L6" i="5"/>
  <c r="N6" i="5" s="1"/>
  <c r="O6" i="5" s="1"/>
  <c r="L8" i="5"/>
  <c r="L18" i="5"/>
  <c r="N18" i="5" s="1"/>
  <c r="O18" i="5" s="1"/>
  <c r="L20" i="5"/>
  <c r="N20" i="5" s="1"/>
  <c r="O20" i="5" s="1"/>
  <c r="L16" i="5"/>
  <c r="N16" i="5" s="1"/>
  <c r="O16" i="5" s="1"/>
  <c r="G20" i="5"/>
  <c r="N8" i="5"/>
  <c r="O8" i="5" s="1"/>
  <c r="L12" i="6"/>
  <c r="N12" i="6" s="1"/>
  <c r="O12" i="6" s="1"/>
  <c r="G20" i="6"/>
  <c r="H20" i="5"/>
  <c r="F20" i="5"/>
  <c r="G23" i="5"/>
  <c r="J23" i="5"/>
  <c r="L23" i="5" s="1"/>
  <c r="N23" i="5" s="1"/>
  <c r="O23" i="5" s="1"/>
  <c r="L14" i="5"/>
  <c r="N14" i="5" s="1"/>
  <c r="O14" i="5" s="1"/>
  <c r="L25" i="11" l="1"/>
  <c r="N25" i="11" s="1"/>
  <c r="O25" i="11" s="1"/>
  <c r="L24" i="9"/>
  <c r="N24" i="9" s="1"/>
  <c r="O24" i="9" s="1"/>
  <c r="H24" i="9"/>
  <c r="D25" i="9"/>
  <c r="D25" i="8"/>
  <c r="D46" i="8" s="1"/>
  <c r="L24" i="8"/>
  <c r="N24" i="8" s="1"/>
  <c r="O24" i="8" s="1"/>
  <c r="E56" i="7"/>
  <c r="H13" i="7"/>
  <c r="J13" i="7" s="1"/>
  <c r="K13" i="7" s="1"/>
  <c r="H24" i="6"/>
  <c r="F20" i="6"/>
  <c r="D25" i="6"/>
  <c r="L20" i="6"/>
  <c r="N20" i="6" s="1"/>
  <c r="O20" i="6" s="1"/>
  <c r="G23" i="6"/>
  <c r="L23" i="6" s="1"/>
  <c r="N23" i="6" s="1"/>
  <c r="O23" i="6" s="1"/>
  <c r="H24" i="5"/>
  <c r="L24" i="5"/>
  <c r="N24" i="5" s="1"/>
  <c r="O24" i="5" s="1"/>
  <c r="D25" i="5"/>
  <c r="D46" i="9" l="1"/>
  <c r="L25" i="9"/>
  <c r="N25" i="9" s="1"/>
  <c r="O25" i="9" s="1"/>
  <c r="L25" i="8"/>
  <c r="N25" i="8" s="1"/>
  <c r="O25" i="8" s="1"/>
  <c r="F60" i="7"/>
  <c r="H56" i="7"/>
  <c r="J56" i="7" s="1"/>
  <c r="K56" i="7" s="1"/>
  <c r="D46" i="6"/>
  <c r="L25" i="6"/>
  <c r="N25" i="6" s="1"/>
  <c r="O25" i="6" s="1"/>
  <c r="D46" i="5"/>
  <c r="L25" i="5"/>
  <c r="N25" i="5" s="1"/>
  <c r="O25" i="5" s="1"/>
  <c r="U26" i="4" l="1"/>
  <c r="U13" i="4"/>
  <c r="U6" i="4"/>
  <c r="B60" i="4" l="1"/>
  <c r="B54" i="4"/>
  <c r="B52" i="4"/>
  <c r="U7" i="4" l="1"/>
  <c r="V7" i="4"/>
  <c r="U8" i="4"/>
  <c r="V8" i="4"/>
  <c r="U9" i="4"/>
  <c r="V9" i="4"/>
  <c r="U10" i="4"/>
  <c r="V10" i="4"/>
  <c r="U11" i="4"/>
  <c r="V11" i="4"/>
  <c r="U12" i="4"/>
  <c r="V12" i="4"/>
  <c r="V13" i="4"/>
  <c r="U14" i="4"/>
  <c r="V14" i="4"/>
  <c r="U15" i="4"/>
  <c r="V15" i="4"/>
  <c r="U16" i="4"/>
  <c r="V16" i="4"/>
  <c r="U17" i="4"/>
  <c r="V17" i="4"/>
  <c r="U18" i="4"/>
  <c r="V18" i="4"/>
  <c r="U19" i="4"/>
  <c r="V19" i="4"/>
  <c r="U20" i="4"/>
  <c r="V20" i="4"/>
  <c r="U21" i="4"/>
  <c r="V21" i="4"/>
  <c r="U22" i="4"/>
  <c r="V22" i="4"/>
  <c r="U23" i="4"/>
  <c r="V23" i="4"/>
  <c r="U24" i="4"/>
  <c r="V24" i="4"/>
  <c r="U25" i="4"/>
  <c r="V25" i="4"/>
  <c r="V26" i="4"/>
  <c r="U27" i="4"/>
  <c r="V27" i="4"/>
  <c r="U28" i="4"/>
  <c r="V28" i="4"/>
  <c r="U29" i="4"/>
  <c r="V29" i="4"/>
  <c r="U30" i="4"/>
  <c r="V30" i="4"/>
  <c r="U31" i="4"/>
  <c r="V31" i="4"/>
  <c r="R143" i="4"/>
  <c r="G69" i="4"/>
  <c r="F69" i="4"/>
  <c r="E69" i="4"/>
  <c r="D69" i="4"/>
  <c r="C69" i="4"/>
  <c r="B69" i="4"/>
  <c r="G56" i="4"/>
  <c r="G60" i="4" s="1"/>
  <c r="C54" i="4"/>
  <c r="E54" i="4" s="1"/>
  <c r="C51" i="4"/>
  <c r="E51" i="4" s="1"/>
  <c r="B51" i="4"/>
  <c r="C49" i="4"/>
  <c r="B49" i="4"/>
  <c r="E48" i="4"/>
  <c r="F48" i="4" s="1"/>
  <c r="F49" i="4" s="1"/>
  <c r="E47" i="4"/>
  <c r="C44" i="4"/>
  <c r="E44" i="4" s="1"/>
  <c r="F44" i="4" s="1"/>
  <c r="F45" i="4" s="1"/>
  <c r="B44" i="4"/>
  <c r="C43" i="4"/>
  <c r="B43" i="4"/>
  <c r="C40" i="4"/>
  <c r="B40" i="4"/>
  <c r="C39" i="4"/>
  <c r="E39" i="4" s="1"/>
  <c r="B39" i="4"/>
  <c r="C36" i="4"/>
  <c r="E36" i="4" s="1"/>
  <c r="F36" i="4" s="1"/>
  <c r="F37" i="4" s="1"/>
  <c r="B36" i="4"/>
  <c r="C35" i="4"/>
  <c r="B35" i="4"/>
  <c r="C32" i="4"/>
  <c r="B32" i="4"/>
  <c r="C31" i="4"/>
  <c r="E31" i="4" s="1"/>
  <c r="B31" i="4"/>
  <c r="C28" i="4"/>
  <c r="E28" i="4" s="1"/>
  <c r="B28" i="4"/>
  <c r="C27" i="4"/>
  <c r="B27" i="4"/>
  <c r="C24" i="4"/>
  <c r="E24" i="4" s="1"/>
  <c r="F24" i="4" s="1"/>
  <c r="F25" i="4" s="1"/>
  <c r="B24" i="4"/>
  <c r="C23" i="4"/>
  <c r="E23" i="4" s="1"/>
  <c r="B23" i="4"/>
  <c r="C20" i="4"/>
  <c r="C21" i="4" s="1"/>
  <c r="B20" i="4"/>
  <c r="B21" i="4" s="1"/>
  <c r="E19" i="4"/>
  <c r="C16" i="4"/>
  <c r="E16" i="4" s="1"/>
  <c r="F16" i="4" s="1"/>
  <c r="F17" i="4" s="1"/>
  <c r="B16" i="4"/>
  <c r="C15" i="4"/>
  <c r="E15" i="4" s="1"/>
  <c r="B15" i="4"/>
  <c r="C12" i="4"/>
  <c r="B12" i="4"/>
  <c r="C11" i="4"/>
  <c r="E11" i="4" s="1"/>
  <c r="F11" i="4" s="1"/>
  <c r="B11" i="4"/>
  <c r="C10" i="4"/>
  <c r="B10" i="4"/>
  <c r="C9" i="4"/>
  <c r="E9" i="4" s="1"/>
  <c r="F9" i="4" s="1"/>
  <c r="B9" i="4"/>
  <c r="C8" i="4"/>
  <c r="B8" i="4"/>
  <c r="C7" i="4"/>
  <c r="E7" i="4" s="1"/>
  <c r="F7" i="4" s="1"/>
  <c r="B7" i="4"/>
  <c r="V6" i="4"/>
  <c r="C6" i="4"/>
  <c r="B6" i="4"/>
  <c r="M4" i="4"/>
  <c r="M5" i="4" s="1"/>
  <c r="H3" i="4" s="1"/>
  <c r="B17" i="4" l="1"/>
  <c r="C29" i="4"/>
  <c r="C37" i="4"/>
  <c r="C45" i="4"/>
  <c r="B25" i="4"/>
  <c r="C13" i="4"/>
  <c r="B41" i="4"/>
  <c r="B45" i="4"/>
  <c r="B13" i="4"/>
  <c r="E8" i="4"/>
  <c r="F8" i="4" s="1"/>
  <c r="E12" i="4"/>
  <c r="F12" i="4" s="1"/>
  <c r="E17" i="4"/>
  <c r="H17" i="4" s="1"/>
  <c r="J17" i="4" s="1"/>
  <c r="K17" i="4" s="1"/>
  <c r="E25" i="4"/>
  <c r="H25" i="4" s="1"/>
  <c r="J25" i="4" s="1"/>
  <c r="K25" i="4" s="1"/>
  <c r="B33" i="4"/>
  <c r="E40" i="4"/>
  <c r="F40" i="4" s="1"/>
  <c r="F41" i="4" s="1"/>
  <c r="B29" i="4"/>
  <c r="B37" i="4"/>
  <c r="E6" i="4"/>
  <c r="F6" i="4" s="1"/>
  <c r="E10" i="4"/>
  <c r="F10" i="4" s="1"/>
  <c r="E20" i="4"/>
  <c r="E21" i="4" s="1"/>
  <c r="H21" i="4" s="1"/>
  <c r="F28" i="4"/>
  <c r="F29" i="4" s="1"/>
  <c r="E32" i="4"/>
  <c r="E33" i="4" s="1"/>
  <c r="H33" i="4" s="1"/>
  <c r="J33" i="4" s="1"/>
  <c r="K33" i="4" s="1"/>
  <c r="J52" i="4"/>
  <c r="K52" i="4" s="1"/>
  <c r="J58" i="4"/>
  <c r="K58" i="4" s="1"/>
  <c r="E52" i="4"/>
  <c r="F51" i="4"/>
  <c r="F52" i="4" s="1"/>
  <c r="C17" i="4"/>
  <c r="C25" i="4"/>
  <c r="E27" i="4"/>
  <c r="E29" i="4" s="1"/>
  <c r="H29" i="4" s="1"/>
  <c r="J29" i="4" s="1"/>
  <c r="K29" i="4" s="1"/>
  <c r="C33" i="4"/>
  <c r="E35" i="4"/>
  <c r="E37" i="4" s="1"/>
  <c r="H37" i="4" s="1"/>
  <c r="J37" i="4" s="1"/>
  <c r="K37" i="4" s="1"/>
  <c r="C41" i="4"/>
  <c r="E43" i="4"/>
  <c r="E45" i="4" s="1"/>
  <c r="H45" i="4" s="1"/>
  <c r="J45" i="4" s="1"/>
  <c r="K45" i="4" s="1"/>
  <c r="E49" i="4"/>
  <c r="H49" i="4" s="1"/>
  <c r="C52" i="4"/>
  <c r="E41" i="4" l="1"/>
  <c r="H41" i="4" s="1"/>
  <c r="J41" i="4" s="1"/>
  <c r="K41" i="4" s="1"/>
  <c r="C60" i="4"/>
  <c r="H60" i="4" s="1"/>
  <c r="J60" i="4" s="1"/>
  <c r="K60" i="4" s="1"/>
  <c r="F20" i="4"/>
  <c r="F21" i="4" s="1"/>
  <c r="F32" i="4"/>
  <c r="F33" i="4" s="1"/>
  <c r="F13" i="4"/>
  <c r="E13" i="4"/>
  <c r="H13" i="4" s="1"/>
  <c r="J13" i="4" s="1"/>
  <c r="K13" i="4" s="1"/>
  <c r="F58" i="2"/>
  <c r="E56" i="2"/>
  <c r="F60" i="1"/>
  <c r="F58" i="4" l="1"/>
  <c r="E56" i="4"/>
  <c r="H56" i="4" s="1"/>
  <c r="J56" i="4" s="1"/>
  <c r="K56" i="4" s="1"/>
  <c r="R143" i="2"/>
  <c r="G69" i="2"/>
  <c r="F69" i="2"/>
  <c r="E69" i="2"/>
  <c r="D69" i="2"/>
  <c r="C69" i="2"/>
  <c r="B69" i="2"/>
  <c r="M56" i="2"/>
  <c r="M58" i="2" s="1"/>
  <c r="M60" i="2" s="1"/>
  <c r="G56" i="2"/>
  <c r="G60" i="2" s="1"/>
  <c r="E54" i="2"/>
  <c r="C52" i="2"/>
  <c r="B52" i="2"/>
  <c r="E51" i="2"/>
  <c r="E52" i="2" s="1"/>
  <c r="C49" i="2"/>
  <c r="B49" i="2"/>
  <c r="E48" i="2"/>
  <c r="F48" i="2" s="1"/>
  <c r="F49" i="2" s="1"/>
  <c r="E47" i="2"/>
  <c r="C45" i="2"/>
  <c r="B45" i="2"/>
  <c r="E44" i="2"/>
  <c r="F44" i="2" s="1"/>
  <c r="F45" i="2" s="1"/>
  <c r="E43" i="2"/>
  <c r="C41" i="2"/>
  <c r="B41" i="2"/>
  <c r="E40" i="2"/>
  <c r="F40" i="2" s="1"/>
  <c r="F41" i="2" s="1"/>
  <c r="E39" i="2"/>
  <c r="C37" i="2"/>
  <c r="B37" i="2"/>
  <c r="E36" i="2"/>
  <c r="F36" i="2" s="1"/>
  <c r="F37" i="2" s="1"/>
  <c r="E35" i="2"/>
  <c r="E37" i="2" s="1"/>
  <c r="H37" i="2" s="1"/>
  <c r="J37" i="2" s="1"/>
  <c r="K37" i="2" s="1"/>
  <c r="C33" i="2"/>
  <c r="B33" i="2"/>
  <c r="E32" i="2"/>
  <c r="F32" i="2" s="1"/>
  <c r="F33" i="2" s="1"/>
  <c r="E31" i="2"/>
  <c r="C29" i="2"/>
  <c r="B29" i="2"/>
  <c r="E28" i="2"/>
  <c r="F28" i="2" s="1"/>
  <c r="F29" i="2" s="1"/>
  <c r="E27" i="2"/>
  <c r="E29" i="2" s="1"/>
  <c r="H29" i="2" s="1"/>
  <c r="J29" i="2" s="1"/>
  <c r="K29" i="2" s="1"/>
  <c r="C25" i="2"/>
  <c r="B25" i="2"/>
  <c r="E24" i="2"/>
  <c r="F24" i="2" s="1"/>
  <c r="F25" i="2" s="1"/>
  <c r="E23" i="2"/>
  <c r="C21" i="2"/>
  <c r="B21" i="2"/>
  <c r="E20" i="2"/>
  <c r="F20" i="2" s="1"/>
  <c r="F21" i="2" s="1"/>
  <c r="E19" i="2"/>
  <c r="C17" i="2"/>
  <c r="B17" i="2"/>
  <c r="E16" i="2"/>
  <c r="F16" i="2" s="1"/>
  <c r="F17" i="2" s="1"/>
  <c r="E15" i="2"/>
  <c r="C13" i="2"/>
  <c r="B13" i="2"/>
  <c r="E12" i="2"/>
  <c r="F12" i="2" s="1"/>
  <c r="E11" i="2"/>
  <c r="F11" i="2" s="1"/>
  <c r="E10" i="2"/>
  <c r="F10" i="2" s="1"/>
  <c r="E9" i="2"/>
  <c r="F9" i="2" s="1"/>
  <c r="E8" i="2"/>
  <c r="F8" i="2" s="1"/>
  <c r="E7" i="2"/>
  <c r="F7" i="2" s="1"/>
  <c r="E6" i="2"/>
  <c r="M4" i="2"/>
  <c r="M5" i="2" s="1"/>
  <c r="H3" i="2" s="1"/>
  <c r="G56" i="1"/>
  <c r="G60" i="1" s="1"/>
  <c r="F60" i="4" l="1"/>
  <c r="E45" i="2"/>
  <c r="H45" i="2" s="1"/>
  <c r="J45" i="2" s="1"/>
  <c r="K45" i="2" s="1"/>
  <c r="E17" i="2"/>
  <c r="H17" i="2" s="1"/>
  <c r="J17" i="2" s="1"/>
  <c r="K17" i="2" s="1"/>
  <c r="F51" i="2"/>
  <c r="F52" i="2" s="1"/>
  <c r="B60" i="2"/>
  <c r="C60" i="2"/>
  <c r="H60" i="2" s="1"/>
  <c r="J60" i="2" s="1"/>
  <c r="K60" i="2" s="1"/>
  <c r="J58" i="2"/>
  <c r="K58" i="2" s="1"/>
  <c r="J52" i="2"/>
  <c r="K52" i="2" s="1"/>
  <c r="F6" i="2"/>
  <c r="F13" i="2" s="1"/>
  <c r="E13" i="2"/>
  <c r="E21" i="2"/>
  <c r="H21" i="2" s="1"/>
  <c r="E25" i="2"/>
  <c r="H25" i="2" s="1"/>
  <c r="J25" i="2" s="1"/>
  <c r="K25" i="2" s="1"/>
  <c r="E33" i="2"/>
  <c r="H33" i="2" s="1"/>
  <c r="J33" i="2" s="1"/>
  <c r="K33" i="2" s="1"/>
  <c r="E41" i="2"/>
  <c r="H41" i="2" s="1"/>
  <c r="J41" i="2" s="1"/>
  <c r="K41" i="2" s="1"/>
  <c r="E49" i="2"/>
  <c r="H49" i="2" s="1"/>
  <c r="H13" i="2" l="1"/>
  <c r="J13" i="2" s="1"/>
  <c r="K13" i="2" s="1"/>
  <c r="C52" i="1"/>
  <c r="C49" i="1"/>
  <c r="B49" i="1"/>
  <c r="E48" i="1"/>
  <c r="F48" i="1" s="1"/>
  <c r="F49" i="1" s="1"/>
  <c r="E47" i="1"/>
  <c r="E49" i="1"/>
  <c r="H49" i="1" s="1"/>
  <c r="G69" i="1"/>
  <c r="F69" i="1"/>
  <c r="E69" i="1"/>
  <c r="D69" i="1"/>
  <c r="C69" i="1"/>
  <c r="B69" i="1"/>
  <c r="M56" i="1"/>
  <c r="E54" i="1"/>
  <c r="B52" i="1"/>
  <c r="E51" i="1"/>
  <c r="F51" i="1" s="1"/>
  <c r="F52" i="1" s="1"/>
  <c r="C45" i="1"/>
  <c r="B45" i="1"/>
  <c r="E44" i="1"/>
  <c r="F44" i="1" s="1"/>
  <c r="F45" i="1" s="1"/>
  <c r="E43" i="1"/>
  <c r="C41" i="1"/>
  <c r="B41" i="1"/>
  <c r="E40" i="1"/>
  <c r="F40" i="1"/>
  <c r="F41" i="1" s="1"/>
  <c r="R143" i="1"/>
  <c r="E39" i="1"/>
  <c r="E41" i="1" s="1"/>
  <c r="H41" i="1" s="1"/>
  <c r="C37" i="1"/>
  <c r="B37" i="1"/>
  <c r="E36" i="1"/>
  <c r="F36" i="1" s="1"/>
  <c r="F37" i="1" s="1"/>
  <c r="E35" i="1"/>
  <c r="E37" i="1" s="1"/>
  <c r="H37" i="1" s="1"/>
  <c r="C33" i="1"/>
  <c r="B33" i="1"/>
  <c r="E32" i="1"/>
  <c r="F32" i="1"/>
  <c r="F33" i="1" s="1"/>
  <c r="E31" i="1"/>
  <c r="C29" i="1"/>
  <c r="B29" i="1"/>
  <c r="E28" i="1"/>
  <c r="F28" i="1" s="1"/>
  <c r="F29" i="1" s="1"/>
  <c r="E27" i="1"/>
  <c r="C25" i="1"/>
  <c r="B25" i="1"/>
  <c r="E24" i="1"/>
  <c r="F24" i="1" s="1"/>
  <c r="F25" i="1" s="1"/>
  <c r="E23" i="1"/>
  <c r="C21" i="1"/>
  <c r="B21" i="1"/>
  <c r="E20" i="1"/>
  <c r="F20" i="1" s="1"/>
  <c r="F21" i="1" s="1"/>
  <c r="E19" i="1"/>
  <c r="C17" i="1"/>
  <c r="B17" i="1"/>
  <c r="E16" i="1"/>
  <c r="F16" i="1" s="1"/>
  <c r="F17" i="1" s="1"/>
  <c r="E15" i="1"/>
  <c r="C13" i="1"/>
  <c r="B13" i="1"/>
  <c r="E12" i="1"/>
  <c r="F12" i="1" s="1"/>
  <c r="E11" i="1"/>
  <c r="F11" i="1"/>
  <c r="E10" i="1"/>
  <c r="F10" i="1" s="1"/>
  <c r="E9" i="1"/>
  <c r="F9" i="1" s="1"/>
  <c r="E8" i="1"/>
  <c r="F8" i="1" s="1"/>
  <c r="E7" i="1"/>
  <c r="F7" i="1" s="1"/>
  <c r="E6" i="1"/>
  <c r="F6" i="1" s="1"/>
  <c r="M4" i="1"/>
  <c r="M5" i="1" s="1"/>
  <c r="H3" i="1" s="1"/>
  <c r="B60" i="1" l="1"/>
  <c r="C60" i="1"/>
  <c r="H60" i="1" s="1"/>
  <c r="J60" i="1" s="1"/>
  <c r="K60" i="1" s="1"/>
  <c r="F60" i="2"/>
  <c r="H56" i="2"/>
  <c r="J56" i="2" s="1"/>
  <c r="K56" i="2" s="1"/>
  <c r="E33" i="1"/>
  <c r="H33" i="1" s="1"/>
  <c r="J33" i="1" s="1"/>
  <c r="K33" i="1" s="1"/>
  <c r="E29" i="1"/>
  <c r="H29" i="1" s="1"/>
  <c r="J29" i="1" s="1"/>
  <c r="K29" i="1" s="1"/>
  <c r="E52" i="1"/>
  <c r="E45" i="1"/>
  <c r="H45" i="1" s="1"/>
  <c r="E21" i="1"/>
  <c r="H21" i="1" s="1"/>
  <c r="E17" i="1"/>
  <c r="H17" i="1" s="1"/>
  <c r="J17" i="1" s="1"/>
  <c r="K17" i="1" s="1"/>
  <c r="F13" i="1"/>
  <c r="F58" i="1" s="1"/>
  <c r="M58" i="1"/>
  <c r="M60" i="1" s="1"/>
  <c r="E13" i="1"/>
  <c r="H13" i="1" s="1"/>
  <c r="J13" i="1" s="1"/>
  <c r="E25" i="1"/>
  <c r="H25" i="1" s="1"/>
  <c r="J25" i="1" s="1"/>
  <c r="K25" i="1" s="1"/>
  <c r="J45" i="1"/>
  <c r="K45" i="1" s="1"/>
  <c r="J52" i="1"/>
  <c r="K52" i="1" s="1"/>
  <c r="J41" i="1"/>
  <c r="K41" i="1" s="1"/>
  <c r="J58" i="1"/>
  <c r="K58" i="1" s="1"/>
  <c r="J37" i="1"/>
  <c r="K37" i="1" s="1"/>
  <c r="E56" i="1" l="1"/>
  <c r="H56" i="1" l="1"/>
  <c r="J56" i="1" s="1"/>
  <c r="K56" i="1" s="1"/>
  <c r="K13" i="1"/>
</calcChain>
</file>

<file path=xl/sharedStrings.xml><?xml version="1.0" encoding="utf-8"?>
<sst xmlns="http://schemas.openxmlformats.org/spreadsheetml/2006/main" count="3483" uniqueCount="146">
  <si>
    <t>Collapse</t>
  </si>
  <si>
    <t>Claims 
Report*</t>
  </si>
  <si>
    <t>% of Year Complete</t>
  </si>
  <si>
    <t>Insurer</t>
  </si>
  <si>
    <t>Client Count 
(YTD)</t>
  </si>
  <si>
    <t>Sum of Paid 
Plus Incentive</t>
  </si>
  <si>
    <t>%  of Non-Medicaid</t>
  </si>
  <si>
    <t>Non-Medicaid Total</t>
  </si>
  <si>
    <t>Medicaid Total</t>
  </si>
  <si>
    <t>Budget</t>
  </si>
  <si>
    <t>Projected EOY Total GF Spending</t>
  </si>
  <si>
    <t>Amount Over (Under) GF Budget</t>
  </si>
  <si>
    <t>Row Labels</t>
  </si>
  <si>
    <t>Count of Sum of Paid Plus Incentive</t>
  </si>
  <si>
    <t>Sum of Sum of Paid Plus Incentive</t>
  </si>
  <si>
    <t xml:space="preserve">DHW - IDHW - ATR-III - Administrative             </t>
  </si>
  <si>
    <t xml:space="preserve">DHW - IDHW - ATR-III Adolescent Benefit           </t>
  </si>
  <si>
    <t>DHW - IDHW - ATR-III Adolescent Benefit - Medicaid</t>
  </si>
  <si>
    <t xml:space="preserve">DHW - IDHW - ATR-III Military Benefit             </t>
  </si>
  <si>
    <t xml:space="preserve">DHW - IDHW - ATR-III Military Benefit - Medicaid  </t>
  </si>
  <si>
    <t xml:space="preserve">DHW - IDHW - ATR-III Misdemeanor                  </t>
  </si>
  <si>
    <t xml:space="preserve">DHW - IDHW - ATR-III Misdemeanor - Medicaid       </t>
  </si>
  <si>
    <t>ATR Total</t>
  </si>
  <si>
    <t xml:space="preserve">Adult                              </t>
  </si>
  <si>
    <t xml:space="preserve">DHW - IDHW - Adult                                </t>
  </si>
  <si>
    <t xml:space="preserve">Adult-Medicaid                    </t>
  </si>
  <si>
    <t>Adult Total</t>
  </si>
  <si>
    <t>Adolescent</t>
  </si>
  <si>
    <t xml:space="preserve">Adolescent-Medicaid                 </t>
  </si>
  <si>
    <t>Adolescent Total</t>
  </si>
  <si>
    <t xml:space="preserve">CP-SUD         </t>
  </si>
  <si>
    <t xml:space="preserve">DHW - IDHW - CP/SUD - Medicaid                    </t>
  </si>
  <si>
    <t xml:space="preserve">CP-SUD - Medicaid                    </t>
  </si>
  <si>
    <t>CP-SUD Total</t>
  </si>
  <si>
    <t xml:space="preserve">DV Court </t>
  </si>
  <si>
    <t>DV Court- Medicaid</t>
  </si>
  <si>
    <t>DV Court Misdemeanant Total</t>
  </si>
  <si>
    <t xml:space="preserve">IVDU                                 </t>
  </si>
  <si>
    <t xml:space="preserve">DHW - IDHW - IVDU                                 </t>
  </si>
  <si>
    <t xml:space="preserve">IVDU - Medicaid                      </t>
  </si>
  <si>
    <t xml:space="preserve">DHW - IDHW - IVDU - Medicaid                      </t>
  </si>
  <si>
    <t>IVDU Total</t>
  </si>
  <si>
    <t xml:space="preserve">PWWC                                 </t>
  </si>
  <si>
    <t xml:space="preserve">DHW - IDHW - PWWC                                 </t>
  </si>
  <si>
    <t xml:space="preserve">PWWC - Medicaid                      </t>
  </si>
  <si>
    <t xml:space="preserve">DHW - IDHW - PWWC - Medicaid                      </t>
  </si>
  <si>
    <t>PWWC Total</t>
  </si>
  <si>
    <t xml:space="preserve">State Hospital </t>
  </si>
  <si>
    <t xml:space="preserve">DHW - IDHW - State Hospital                       </t>
  </si>
  <si>
    <t xml:space="preserve">State Hospital - Medicaid            </t>
  </si>
  <si>
    <t xml:space="preserve">DHW - IDHW - State Hospital - Medicaid            </t>
  </si>
  <si>
    <t>State Hospital Total</t>
  </si>
  <si>
    <t xml:space="preserve">Mental Health Court                   </t>
  </si>
  <si>
    <t xml:space="preserve">DHW - PSC - Mental Health Court                   </t>
  </si>
  <si>
    <t xml:space="preserve">Mental Health Court - Medicaid        </t>
  </si>
  <si>
    <t xml:space="preserve">DHW - PSC - Mental Health Court - Medicaid        </t>
  </si>
  <si>
    <t>Mental Health Court Total</t>
  </si>
  <si>
    <t xml:space="preserve">Medicaid Only                        </t>
  </si>
  <si>
    <t xml:space="preserve">DHW - IDHW - Medicaid Only                        </t>
  </si>
  <si>
    <t>Medicaid Only Total</t>
  </si>
  <si>
    <t xml:space="preserve">DHW - IDHW - Unknown / Ineligible                 </t>
  </si>
  <si>
    <t>Grand Total</t>
  </si>
  <si>
    <t>Revised Adult</t>
  </si>
  <si>
    <t>GF</t>
  </si>
  <si>
    <t>Medicaid</t>
  </si>
  <si>
    <t>GF Plus Medicaid</t>
  </si>
  <si>
    <t xml:space="preserve">Misdemeanant PSC                   </t>
  </si>
  <si>
    <t xml:space="preserve">Misdemeanant PSC - Medicaid        </t>
  </si>
  <si>
    <t>Misdemeanant PSC Total</t>
  </si>
  <si>
    <t>% of Budget</t>
  </si>
  <si>
    <t>DHW Expenditures as of 7/15/2013</t>
  </si>
  <si>
    <t xml:space="preserve">DHW - IDHW - Adolescent - Medicaid                </t>
  </si>
  <si>
    <t xml:space="preserve">DHW - IDHW - CP/SUD                               </t>
  </si>
  <si>
    <t xml:space="preserve">DHW - IDHW - DV Court Misdemeanant                </t>
  </si>
  <si>
    <t xml:space="preserve">DHW - IDHW - DV Court Misdemeanant - Medicaid     </t>
  </si>
  <si>
    <t>Unknown / Ineligible / Reserve</t>
  </si>
  <si>
    <t xml:space="preserve">DHW - IDHW - Adult - Medicaid                     </t>
  </si>
  <si>
    <t>Paste Claims PT Here</t>
  </si>
  <si>
    <t>Rection Table</t>
  </si>
  <si>
    <t>Paste Reduction Table Here- If it matches</t>
  </si>
  <si>
    <t xml:space="preserve">DHW - IDHW - Child Protection Drug Court          </t>
  </si>
  <si>
    <t>DHW Expenditures as of 7/19/2013</t>
  </si>
  <si>
    <t>Percentage</t>
  </si>
  <si>
    <t xml:space="preserve">    # of Clients </t>
  </si>
  <si>
    <t>Amount</t>
  </si>
  <si>
    <t>Total:</t>
  </si>
  <si>
    <t xml:space="preserve">Region </t>
  </si>
  <si>
    <t xml:space="preserve">State Hospital                       </t>
  </si>
  <si>
    <t>Original</t>
  </si>
  <si>
    <t>.</t>
  </si>
  <si>
    <t xml:space="preserve">                         CP/SUD - Medicaid        </t>
  </si>
  <si>
    <t xml:space="preserve">Region 7,    CP/SUD              </t>
  </si>
  <si>
    <t xml:space="preserve">                         CP/SUD - Medicaid             </t>
  </si>
  <si>
    <t xml:space="preserve">Region 6,    CP/SUD                </t>
  </si>
  <si>
    <t xml:space="preserve">                         CP/SUD - Medicaid           </t>
  </si>
  <si>
    <t xml:space="preserve">Region 5,    CP/SUD                   </t>
  </si>
  <si>
    <t xml:space="preserve">                         CP/SUD - Medicaid         </t>
  </si>
  <si>
    <t xml:space="preserve">Region 4,    CP/SUD                  </t>
  </si>
  <si>
    <t xml:space="preserve">Region 3,    CP/SUD                   </t>
  </si>
  <si>
    <t xml:space="preserve">Region 2,   CP/SUD               </t>
  </si>
  <si>
    <t xml:space="preserve">Region 1,    CP/SUD              </t>
  </si>
  <si>
    <t>Client Address Region</t>
  </si>
  <si>
    <t>% of GF Budget</t>
  </si>
  <si>
    <t>Med Budget</t>
  </si>
  <si>
    <t>GF Budget</t>
  </si>
  <si>
    <t>Med</t>
  </si>
  <si>
    <t>% GF</t>
  </si>
  <si>
    <t>Note: Percent of year complete on this tab is based on the number of the days of the fiscal year (329) included in the Claims Report used as the source for this table.</t>
  </si>
  <si>
    <t xml:space="preserve">                         Mental Health Court - Medicaid        </t>
  </si>
  <si>
    <t xml:space="preserve">Region 7,    Mental Health Court                   </t>
  </si>
  <si>
    <t xml:space="preserve">Region 6,    Mental Health Court                   </t>
  </si>
  <si>
    <t xml:space="preserve">Region 5,    Mental Health Court                   </t>
  </si>
  <si>
    <t xml:space="preserve">Region 4,    Mental Health Court                   </t>
  </si>
  <si>
    <t xml:space="preserve">Region 3,    Mental Health Court                   </t>
  </si>
  <si>
    <t xml:space="preserve">Region 2,    Mental Health Court                   </t>
  </si>
  <si>
    <t xml:space="preserve">Region 1,    Mental Health Court                   </t>
  </si>
  <si>
    <t>V:\BPA Invoices New\2014\20140719\Claims Reports\DHW SR056_SFY13_7-6-12 - 7-18-13_Claims Report_20130719.xlsx</t>
  </si>
  <si>
    <t>Mental Health Court Expenditures as of 7/19/2013</t>
  </si>
  <si>
    <t>CP SUD Expenditures as of 7/19/2013</t>
  </si>
  <si>
    <t>DHW Expenditures as of 8/3/2013</t>
  </si>
  <si>
    <t>V:\BPA Invoices New\2014\20140802\Claims Reports\DHW SR056_SFY13_1-1-13 - 9-30-13_Claims Report_20130802.xlsx</t>
  </si>
  <si>
    <t>Mental Health Court Expenditures as of 8/3/2013</t>
  </si>
  <si>
    <t>CP SUD Expenditures as of 8/5/2013</t>
  </si>
  <si>
    <t>DHW Expenditures as of 8/16/2013</t>
  </si>
  <si>
    <t>V:\BPA Invoices New\2014\20140816\Claims Reports\DHW SR056_SFY14_6-7-13 - 8-15-13_Claims Report_20130816(2).xlsx</t>
  </si>
  <si>
    <t>Mental Health Court Expenditures as of 8/16/2013</t>
  </si>
  <si>
    <t>CP SUD Expenditures as of 8/16/2013</t>
  </si>
  <si>
    <t>DHW Expenditures as of 8/30/2013</t>
  </si>
  <si>
    <t>V:\BPA Invoices New\2014\20140830\Claims Reports\DHW SR056_SFY14_6-7-13 - 8-29-13_Claims Report_20130830.xlsx</t>
  </si>
  <si>
    <t>CP SUD Expenditures as of 8/30/2013</t>
  </si>
  <si>
    <t>Region 7</t>
  </si>
  <si>
    <t>Region 6</t>
  </si>
  <si>
    <t>DHW Expenditures as of 9/13/2013</t>
  </si>
  <si>
    <t>V:\BPA Invoices New\2014\20130913\Claims Reports\DHW SR056_SFY14_6-7-13 - 9-12-13_Claims Report_20130913.xlsx</t>
  </si>
  <si>
    <t>CP SUD Expenditures as of 9/13/2013</t>
  </si>
  <si>
    <t>Mental Health Court Expenditures as of 9/13/2013</t>
  </si>
  <si>
    <t>DHW Expenditures as of 9/30/2013</t>
  </si>
  <si>
    <t>Mental Health Court Expenditures as of 9/30/2013</t>
  </si>
  <si>
    <t>CP SUD Expenditures as of 9/30/2013</t>
  </si>
  <si>
    <t>V:\BPA Invoices New\2014\20130927\Claims Reports\DHW SR056_SFY14_6-7-13 - 9-26-13_Claims Report_20130927.xlsx</t>
  </si>
  <si>
    <t>DHW Expenditures as of 10/11/2013</t>
  </si>
  <si>
    <t>Mental Health Court Expenditures as of 10/11/2013</t>
  </si>
  <si>
    <t>CP SUD Expenditures as of 10/11/2013</t>
  </si>
  <si>
    <t>V:\BPA Invoices New\2014\20131011\Claims Reports\DHW SR056_SFY14_6-7-13 - 10-10-13_Claims Report_20131011.xlsx</t>
  </si>
  <si>
    <t xml:space="preserve">Direct Client Treatment Delivery Services </t>
  </si>
  <si>
    <t>DHW Expenditures as of 11/8/2013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</si>
</sst>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s>
  <fonts count="9" x14ac:knownFonts="1">
    <font>
      <sz val="11"/>
      <color theme="1"/>
      <name val="Calibri"/>
      <family val="2"/>
      <scheme val="minor"/>
    </font>
    <font>
      <sz val="11"/>
      <color theme="1"/>
      <name val="Calibri"/>
      <family val="2"/>
      <scheme val="minor"/>
    </font>
    <font>
      <u/>
      <sz val="11"/>
      <color theme="10"/>
      <name val="Calibri"/>
      <family val="2"/>
    </font>
    <font>
      <b/>
      <sz val="11"/>
      <color theme="1"/>
      <name val="Calibri"/>
      <family val="2"/>
      <scheme val="minor"/>
    </font>
    <font>
      <b/>
      <sz val="14"/>
      <color theme="1"/>
      <name val="Calibri"/>
      <family val="2"/>
      <scheme val="minor"/>
    </font>
    <font>
      <b/>
      <sz val="11"/>
      <name val="Calibri"/>
      <family val="2"/>
      <scheme val="minor"/>
    </font>
    <font>
      <b/>
      <sz val="11"/>
      <color rgb="FF000000"/>
      <name val="Calibri"/>
      <family val="2"/>
    </font>
    <font>
      <sz val="11"/>
      <color rgb="FF000000"/>
      <name val="Calibri"/>
      <family val="2"/>
    </font>
    <font>
      <sz val="11"/>
      <color rgb="FF000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2F2F2"/>
        <bgColor indexed="64"/>
      </patternFill>
    </fill>
  </fills>
  <borders count="68">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thin">
        <color indexed="64"/>
      </bottom>
      <diagonal/>
    </border>
    <border>
      <left/>
      <right/>
      <top style="thin">
        <color theme="4" tint="0.39997558519241921"/>
      </top>
      <bottom/>
      <diagonal/>
    </border>
    <border>
      <left/>
      <right style="medium">
        <color rgb="FF000000"/>
      </right>
      <top style="medium">
        <color indexed="64"/>
      </top>
      <bottom style="medium">
        <color indexed="64"/>
      </bottom>
      <diagonal/>
    </border>
    <border>
      <left/>
      <right style="medium">
        <color rgb="FF000000"/>
      </right>
      <top/>
      <bottom/>
      <diagonal/>
    </border>
    <border>
      <left/>
      <right style="medium">
        <color rgb="FF000000"/>
      </right>
      <top style="medium">
        <color indexed="64"/>
      </top>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alignment vertical="top"/>
      <protection locked="0"/>
    </xf>
    <xf numFmtId="9" fontId="1" fillId="0" borderId="0" applyFont="0" applyFill="0" applyBorder="0" applyAlignment="0" applyProtection="0"/>
  </cellStyleXfs>
  <cellXfs count="371">
    <xf numFmtId="0" fontId="0" fillId="0" borderId="0" xfId="0"/>
    <xf numFmtId="44" fontId="1" fillId="0" borderId="0" xfId="2" applyFont="1"/>
    <xf numFmtId="0" fontId="0" fillId="0" borderId="1" xfId="0" applyBorder="1"/>
    <xf numFmtId="0" fontId="0" fillId="0" borderId="2" xfId="0" applyBorder="1"/>
    <xf numFmtId="44" fontId="3" fillId="0" borderId="3" xfId="2" applyFont="1" applyBorder="1" applyAlignment="1">
      <alignment horizontal="center" wrapText="1"/>
    </xf>
    <xf numFmtId="0" fontId="3" fillId="0" borderId="4" xfId="0" applyFont="1" applyBorder="1" applyAlignment="1">
      <alignment horizontal="center" wrapText="1"/>
    </xf>
    <xf numFmtId="0" fontId="3" fillId="0" borderId="0" xfId="0" applyFont="1" applyBorder="1" applyAlignment="1">
      <alignment horizontal="center" wrapText="1"/>
    </xf>
    <xf numFmtId="14" fontId="0" fillId="2" borderId="5" xfId="0" applyNumberFormat="1" applyFill="1" applyBorder="1" applyAlignment="1">
      <alignment horizontal="center"/>
    </xf>
    <xf numFmtId="0" fontId="0" fillId="0" borderId="0" xfId="0" applyBorder="1"/>
    <xf numFmtId="0" fontId="0" fillId="3" borderId="0" xfId="0" applyFill="1" applyBorder="1"/>
    <xf numFmtId="0" fontId="4" fillId="0" borderId="6" xfId="0" applyFont="1" applyBorder="1"/>
    <xf numFmtId="0" fontId="4" fillId="0" borderId="0" xfId="0" applyFont="1" applyBorder="1"/>
    <xf numFmtId="14" fontId="3" fillId="0" borderId="7" xfId="0" applyNumberFormat="1" applyFont="1" applyBorder="1" applyAlignment="1">
      <alignment horizontal="center"/>
    </xf>
    <xf numFmtId="9" fontId="3" fillId="0" borderId="8" xfId="4" applyFont="1" applyBorder="1" applyAlignment="1">
      <alignment horizontal="center"/>
    </xf>
    <xf numFmtId="9" fontId="3" fillId="0" borderId="0" xfId="4" applyFont="1" applyBorder="1" applyAlignment="1">
      <alignment horizontal="center"/>
    </xf>
    <xf numFmtId="0" fontId="0" fillId="2" borderId="9" xfId="0" applyFill="1" applyBorder="1" applyAlignment="1">
      <alignment horizontal="center"/>
    </xf>
    <xf numFmtId="0" fontId="0" fillId="0" borderId="6" xfId="0" applyBorder="1"/>
    <xf numFmtId="0" fontId="0" fillId="0" borderId="0" xfId="0" applyFill="1" applyBorder="1"/>
    <xf numFmtId="44" fontId="1" fillId="0" borderId="0" xfId="2" applyFont="1" applyBorder="1"/>
    <xf numFmtId="0" fontId="0" fillId="0" borderId="10" xfId="0" applyBorder="1"/>
    <xf numFmtId="0" fontId="3" fillId="0" borderId="11" xfId="0" applyFont="1" applyBorder="1"/>
    <xf numFmtId="0" fontId="3" fillId="0" borderId="12" xfId="0" applyFont="1" applyBorder="1" applyAlignment="1">
      <alignment horizontal="center" wrapText="1"/>
    </xf>
    <xf numFmtId="0" fontId="3" fillId="2" borderId="12" xfId="0" applyFont="1" applyFill="1" applyBorder="1" applyAlignment="1">
      <alignment horizontal="center" wrapText="1"/>
    </xf>
    <xf numFmtId="44" fontId="3" fillId="0" borderId="13" xfId="2" applyFont="1" applyBorder="1" applyAlignment="1">
      <alignment horizontal="center"/>
    </xf>
    <xf numFmtId="0" fontId="3" fillId="0" borderId="12" xfId="0" applyFont="1" applyBorder="1" applyAlignment="1">
      <alignment horizontal="center"/>
    </xf>
    <xf numFmtId="0" fontId="3" fillId="0" borderId="0" xfId="0" applyFont="1" applyBorder="1" applyAlignment="1">
      <alignment horizontal="center"/>
    </xf>
    <xf numFmtId="164" fontId="3" fillId="0" borderId="7" xfId="2" applyNumberFormat="1" applyFont="1" applyBorder="1" applyAlignment="1">
      <alignment horizontal="center" wrapText="1"/>
    </xf>
    <xf numFmtId="0" fontId="0" fillId="2" borderId="14" xfId="0" applyFill="1" applyBorder="1" applyAlignment="1">
      <alignment horizontal="center"/>
    </xf>
    <xf numFmtId="0" fontId="0" fillId="0" borderId="3" xfId="0" applyBorder="1"/>
    <xf numFmtId="0" fontId="0" fillId="4" borderId="15" xfId="0" applyFill="1" applyBorder="1" applyAlignment="1">
      <alignment horizontal="center"/>
    </xf>
    <xf numFmtId="164" fontId="0" fillId="4" borderId="15" xfId="0" applyNumberFormat="1" applyFill="1" applyBorder="1"/>
    <xf numFmtId="9" fontId="1" fillId="4" borderId="15" xfId="4" applyFont="1" applyFill="1" applyBorder="1"/>
    <xf numFmtId="164" fontId="1" fillId="4" borderId="16" xfId="2" applyNumberFormat="1" applyFont="1" applyFill="1" applyBorder="1"/>
    <xf numFmtId="0" fontId="0" fillId="4" borderId="9" xfId="0" applyFill="1" applyBorder="1"/>
    <xf numFmtId="0" fontId="0" fillId="4" borderId="0" xfId="0" applyFill="1" applyBorder="1"/>
    <xf numFmtId="0" fontId="0" fillId="4" borderId="17" xfId="0" applyFill="1" applyBorder="1"/>
    <xf numFmtId="6" fontId="0" fillId="0" borderId="6" xfId="0" applyNumberFormat="1" applyBorder="1"/>
    <xf numFmtId="0" fontId="0" fillId="3" borderId="0" xfId="0" applyFill="1"/>
    <xf numFmtId="0" fontId="0" fillId="0" borderId="7" xfId="0" applyBorder="1"/>
    <xf numFmtId="3" fontId="0" fillId="4" borderId="7" xfId="0" applyNumberFormat="1" applyFill="1" applyBorder="1" applyAlignment="1">
      <alignment horizontal="center"/>
    </xf>
    <xf numFmtId="164" fontId="0" fillId="4" borderId="7" xfId="0" applyNumberFormat="1" applyFill="1" applyBorder="1"/>
    <xf numFmtId="9" fontId="1" fillId="4" borderId="7" xfId="4" applyFont="1" applyFill="1" applyBorder="1"/>
    <xf numFmtId="0" fontId="0" fillId="4" borderId="9" xfId="0" applyFill="1" applyBorder="1" applyAlignment="1">
      <alignment horizontal="center"/>
    </xf>
    <xf numFmtId="0" fontId="0" fillId="4" borderId="0" xfId="0" applyFill="1" applyBorder="1" applyAlignment="1">
      <alignment horizontal="center"/>
    </xf>
    <xf numFmtId="0" fontId="0" fillId="4" borderId="17" xfId="0" applyFill="1" applyBorder="1" applyAlignment="1">
      <alignment horizontal="center"/>
    </xf>
    <xf numFmtId="37" fontId="0" fillId="0" borderId="0" xfId="0" applyNumberFormat="1"/>
    <xf numFmtId="0" fontId="3" fillId="5" borderId="18" xfId="0" applyFont="1" applyFill="1" applyBorder="1" applyAlignment="1">
      <alignment horizontal="left"/>
    </xf>
    <xf numFmtId="3" fontId="3" fillId="5" borderId="19" xfId="1" applyNumberFormat="1" applyFont="1" applyFill="1" applyBorder="1" applyAlignment="1">
      <alignment horizontal="center"/>
    </xf>
    <xf numFmtId="164" fontId="3" fillId="5" borderId="16" xfId="0" applyNumberFormat="1" applyFont="1" applyFill="1" applyBorder="1"/>
    <xf numFmtId="9" fontId="3" fillId="5" borderId="16" xfId="4" applyFont="1" applyFill="1" applyBorder="1"/>
    <xf numFmtId="164" fontId="3" fillId="5" borderId="19" xfId="0" applyNumberFormat="1" applyFont="1" applyFill="1" applyBorder="1"/>
    <xf numFmtId="164" fontId="3" fillId="5" borderId="20" xfId="0" applyNumberFormat="1" applyFont="1" applyFill="1" applyBorder="1"/>
    <xf numFmtId="165" fontId="3" fillId="5" borderId="21" xfId="4" applyNumberFormat="1" applyFont="1" applyFill="1" applyBorder="1" applyAlignment="1">
      <alignment horizontal="center"/>
    </xf>
    <xf numFmtId="165" fontId="1" fillId="5" borderId="0" xfId="4" applyNumberFormat="1" applyFont="1" applyFill="1" applyBorder="1" applyAlignment="1">
      <alignment horizontal="center"/>
    </xf>
    <xf numFmtId="164" fontId="3" fillId="5" borderId="22" xfId="0" applyNumberFormat="1" applyFont="1" applyFill="1" applyBorder="1"/>
    <xf numFmtId="164" fontId="3" fillId="5" borderId="8" xfId="0" applyNumberFormat="1" applyFont="1" applyFill="1" applyBorder="1"/>
    <xf numFmtId="164" fontId="0" fillId="6" borderId="22" xfId="0" applyNumberFormat="1" applyFill="1" applyBorder="1"/>
    <xf numFmtId="0" fontId="0" fillId="0" borderId="23" xfId="0" applyBorder="1" applyAlignment="1">
      <alignment horizontal="left"/>
    </xf>
    <xf numFmtId="3" fontId="0" fillId="0" borderId="2" xfId="0" applyNumberFormat="1" applyBorder="1" applyAlignment="1">
      <alignment horizontal="center"/>
    </xf>
    <xf numFmtId="164" fontId="0" fillId="0" borderId="2" xfId="0" applyNumberFormat="1" applyBorder="1"/>
    <xf numFmtId="9" fontId="1" fillId="0" borderId="2" xfId="4" applyFont="1" applyBorder="1"/>
    <xf numFmtId="164" fontId="0" fillId="0" borderId="23" xfId="0" applyNumberFormat="1" applyBorder="1"/>
    <xf numFmtId="9" fontId="1" fillId="0" borderId="24" xfId="4" applyFont="1" applyBorder="1" applyAlignment="1">
      <alignment horizontal="center"/>
    </xf>
    <xf numFmtId="9" fontId="1" fillId="0" borderId="0" xfId="4" applyFont="1" applyBorder="1" applyAlignment="1">
      <alignment horizontal="center"/>
    </xf>
    <xf numFmtId="164" fontId="0" fillId="0" borderId="25" xfId="0" applyNumberFormat="1" applyBorder="1"/>
    <xf numFmtId="0" fontId="0" fillId="4" borderId="26" xfId="0" applyFill="1" applyBorder="1" applyAlignment="1">
      <alignment horizontal="left"/>
    </xf>
    <xf numFmtId="3" fontId="0" fillId="4" borderId="3" xfId="0" applyNumberFormat="1" applyFill="1" applyBorder="1" applyAlignment="1">
      <alignment horizontal="center"/>
    </xf>
    <xf numFmtId="164" fontId="0" fillId="4" borderId="3" xfId="0" applyNumberFormat="1" applyFill="1" applyBorder="1"/>
    <xf numFmtId="9" fontId="1" fillId="4" borderId="3" xfId="4" applyFont="1" applyFill="1" applyBorder="1"/>
    <xf numFmtId="164" fontId="0" fillId="4" borderId="16" xfId="0" applyNumberFormat="1" applyFill="1" applyBorder="1"/>
    <xf numFmtId="165" fontId="1" fillId="4" borderId="17" xfId="4" applyNumberFormat="1" applyFont="1" applyFill="1" applyBorder="1" applyAlignment="1">
      <alignment horizontal="center"/>
    </xf>
    <xf numFmtId="165" fontId="1" fillId="4" borderId="0" xfId="4" applyNumberFormat="1" applyFont="1" applyFill="1" applyBorder="1" applyAlignment="1">
      <alignment horizontal="center"/>
    </xf>
    <xf numFmtId="0" fontId="0" fillId="4" borderId="22" xfId="0" applyFill="1" applyBorder="1" applyAlignment="1">
      <alignment horizontal="left"/>
    </xf>
    <xf numFmtId="9" fontId="1" fillId="4" borderId="7" xfId="4" applyNumberFormat="1" applyFont="1" applyFill="1" applyBorder="1"/>
    <xf numFmtId="0" fontId="5" fillId="5" borderId="27" xfId="0" applyFont="1" applyFill="1" applyBorder="1" applyAlignment="1">
      <alignment horizontal="left"/>
    </xf>
    <xf numFmtId="3" fontId="5" fillId="5" borderId="28" xfId="1" applyNumberFormat="1" applyFont="1" applyFill="1" applyBorder="1" applyAlignment="1">
      <alignment horizontal="center"/>
    </xf>
    <xf numFmtId="164" fontId="5" fillId="5" borderId="28" xfId="0" applyNumberFormat="1" applyFont="1" applyFill="1" applyBorder="1"/>
    <xf numFmtId="9" fontId="5" fillId="5" borderId="28" xfId="4" applyFont="1" applyFill="1" applyBorder="1"/>
    <xf numFmtId="164" fontId="5" fillId="5" borderId="27" xfId="0" applyNumberFormat="1" applyFont="1" applyFill="1" applyBorder="1"/>
    <xf numFmtId="165" fontId="5" fillId="5" borderId="29" xfId="4" applyNumberFormat="1" applyFont="1" applyFill="1" applyBorder="1" applyAlignment="1">
      <alignment horizontal="center"/>
    </xf>
    <xf numFmtId="165" fontId="5" fillId="5" borderId="0" xfId="4" applyNumberFormat="1" applyFont="1" applyFill="1" applyBorder="1" applyAlignment="1">
      <alignment horizontal="center"/>
    </xf>
    <xf numFmtId="164" fontId="5" fillId="5" borderId="8" xfId="0" applyNumberFormat="1" applyFont="1" applyFill="1" applyBorder="1"/>
    <xf numFmtId="3" fontId="0" fillId="0" borderId="23" xfId="0" applyNumberFormat="1" applyBorder="1" applyAlignment="1">
      <alignment horizontal="center"/>
    </xf>
    <xf numFmtId="9" fontId="1" fillId="0" borderId="23" xfId="4" applyFont="1" applyBorder="1"/>
    <xf numFmtId="0" fontId="0" fillId="4" borderId="30" xfId="0" applyFill="1" applyBorder="1" applyAlignment="1">
      <alignment horizontal="left"/>
    </xf>
    <xf numFmtId="3" fontId="0" fillId="4" borderId="31" xfId="0" applyNumberFormat="1" applyFill="1" applyBorder="1" applyAlignment="1">
      <alignment horizontal="center"/>
    </xf>
    <xf numFmtId="164" fontId="0" fillId="4" borderId="26" xfId="0" applyNumberFormat="1" applyFill="1" applyBorder="1" applyAlignment="1"/>
    <xf numFmtId="9" fontId="1" fillId="4" borderId="26" xfId="4" applyFont="1" applyFill="1" applyBorder="1" applyAlignment="1"/>
    <xf numFmtId="164" fontId="0" fillId="4" borderId="31" xfId="0" applyNumberFormat="1" applyFill="1" applyBorder="1" applyAlignment="1"/>
    <xf numFmtId="164" fontId="0" fillId="4" borderId="19" xfId="0" applyNumberFormat="1" applyFill="1" applyBorder="1" applyAlignment="1"/>
    <xf numFmtId="164" fontId="0" fillId="4" borderId="10" xfId="0" applyNumberFormat="1" applyFill="1" applyBorder="1" applyAlignment="1"/>
    <xf numFmtId="165" fontId="1" fillId="4" borderId="0" xfId="4" applyNumberFormat="1" applyFont="1" applyFill="1" applyBorder="1" applyAlignment="1">
      <alignment horizontal="center" vertical="center"/>
    </xf>
    <xf numFmtId="164" fontId="0" fillId="6" borderId="26" xfId="0" applyNumberFormat="1" applyFill="1" applyBorder="1"/>
    <xf numFmtId="164" fontId="0" fillId="4" borderId="26" xfId="0" applyNumberFormat="1" applyFill="1" applyBorder="1"/>
    <xf numFmtId="9" fontId="1" fillId="4" borderId="26" xfId="4" applyFont="1" applyFill="1" applyBorder="1"/>
    <xf numFmtId="164" fontId="0" fillId="4" borderId="31" xfId="0" applyNumberFormat="1" applyFill="1" applyBorder="1"/>
    <xf numFmtId="164" fontId="0" fillId="4" borderId="19" xfId="0" applyNumberFormat="1" applyFill="1" applyBorder="1"/>
    <xf numFmtId="164" fontId="0" fillId="4" borderId="10" xfId="0" applyNumberFormat="1" applyFill="1" applyBorder="1"/>
    <xf numFmtId="3" fontId="0" fillId="4" borderId="32" xfId="0" applyNumberFormat="1" applyFill="1" applyBorder="1" applyAlignment="1">
      <alignment horizontal="center"/>
    </xf>
    <xf numFmtId="164" fontId="0" fillId="4" borderId="33" xfId="0" applyNumberFormat="1" applyFill="1" applyBorder="1"/>
    <xf numFmtId="9" fontId="1" fillId="4" borderId="33" xfId="4" applyFont="1" applyFill="1" applyBorder="1"/>
    <xf numFmtId="164" fontId="0" fillId="4" borderId="34" xfId="0" applyNumberFormat="1" applyFill="1" applyBorder="1"/>
    <xf numFmtId="3" fontId="0" fillId="4" borderId="35" xfId="0" applyNumberFormat="1" applyFill="1" applyBorder="1" applyAlignment="1">
      <alignment horizontal="center"/>
    </xf>
    <xf numFmtId="164" fontId="0" fillId="4" borderId="36" xfId="0" applyNumberFormat="1" applyFill="1" applyBorder="1"/>
    <xf numFmtId="9" fontId="1" fillId="4" borderId="36" xfId="4" applyNumberFormat="1" applyFont="1" applyFill="1" applyBorder="1"/>
    <xf numFmtId="164" fontId="0" fillId="4" borderId="37" xfId="0" applyNumberFormat="1" applyFill="1" applyBorder="1"/>
    <xf numFmtId="0" fontId="0" fillId="0" borderId="15" xfId="0" applyBorder="1" applyAlignment="1">
      <alignment horizontal="left"/>
    </xf>
    <xf numFmtId="3" fontId="0" fillId="0" borderId="4" xfId="0" applyNumberFormat="1" applyBorder="1" applyAlignment="1">
      <alignment horizontal="center"/>
    </xf>
    <xf numFmtId="164" fontId="0" fillId="0" borderId="38" xfId="0" applyNumberFormat="1" applyBorder="1"/>
    <xf numFmtId="9" fontId="1" fillId="0" borderId="38" xfId="4" applyFont="1" applyBorder="1"/>
    <xf numFmtId="164" fontId="0" fillId="0" borderId="33" xfId="0" applyNumberFormat="1" applyBorder="1"/>
    <xf numFmtId="164" fontId="0" fillId="0" borderId="34" xfId="0" applyNumberFormat="1" applyBorder="1"/>
    <xf numFmtId="165" fontId="1" fillId="0" borderId="0" xfId="4" applyNumberFormat="1" applyFont="1" applyBorder="1" applyAlignment="1">
      <alignment horizontal="center" vertical="center"/>
    </xf>
    <xf numFmtId="164" fontId="0" fillId="0" borderId="18" xfId="0" applyNumberFormat="1" applyBorder="1"/>
    <xf numFmtId="0" fontId="0" fillId="0" borderId="7" xfId="0" applyBorder="1" applyAlignment="1">
      <alignment horizontal="left"/>
    </xf>
    <xf numFmtId="3" fontId="0" fillId="0" borderId="39" xfId="0" applyNumberFormat="1" applyBorder="1" applyAlignment="1">
      <alignment horizontal="center"/>
    </xf>
    <xf numFmtId="9" fontId="1" fillId="0" borderId="25" xfId="4" applyFont="1" applyBorder="1"/>
    <xf numFmtId="164" fontId="0" fillId="0" borderId="40" xfId="0" applyNumberFormat="1" applyBorder="1"/>
    <xf numFmtId="164" fontId="0" fillId="0" borderId="41" xfId="0" applyNumberFormat="1" applyBorder="1"/>
    <xf numFmtId="0" fontId="5" fillId="5" borderId="28" xfId="0" applyFont="1" applyFill="1" applyBorder="1" applyAlignment="1">
      <alignment horizontal="left"/>
    </xf>
    <xf numFmtId="3" fontId="5" fillId="5" borderId="27" xfId="1" applyNumberFormat="1" applyFont="1" applyFill="1" applyBorder="1" applyAlignment="1">
      <alignment horizontal="center"/>
    </xf>
    <xf numFmtId="9" fontId="5" fillId="5" borderId="27" xfId="4" applyFont="1" applyFill="1" applyBorder="1"/>
    <xf numFmtId="0" fontId="0" fillId="0" borderId="15" xfId="0" applyFill="1" applyBorder="1" applyAlignment="1">
      <alignment horizontal="left"/>
    </xf>
    <xf numFmtId="3" fontId="0" fillId="0" borderId="32" xfId="0" applyNumberFormat="1" applyFill="1" applyBorder="1" applyAlignment="1">
      <alignment horizontal="center"/>
    </xf>
    <xf numFmtId="164" fontId="0" fillId="0" borderId="38" xfId="0" applyNumberFormat="1" applyFill="1" applyBorder="1"/>
    <xf numFmtId="9" fontId="1" fillId="0" borderId="38" xfId="4" applyFont="1" applyFill="1" applyBorder="1"/>
    <xf numFmtId="164" fontId="0" fillId="0" borderId="4" xfId="0" applyNumberFormat="1" applyFill="1" applyBorder="1"/>
    <xf numFmtId="165" fontId="1" fillId="0" borderId="0" xfId="4" applyNumberFormat="1" applyFont="1" applyFill="1" applyBorder="1" applyAlignment="1">
      <alignment horizontal="center" vertical="center"/>
    </xf>
    <xf numFmtId="164" fontId="0" fillId="0" borderId="25" xfId="0" applyNumberFormat="1" applyFill="1" applyBorder="1"/>
    <xf numFmtId="0" fontId="0" fillId="0" borderId="30" xfId="0" applyFill="1" applyBorder="1" applyAlignment="1">
      <alignment horizontal="left"/>
    </xf>
    <xf numFmtId="3" fontId="0" fillId="0" borderId="31" xfId="0" applyNumberFormat="1" applyFill="1" applyBorder="1" applyAlignment="1">
      <alignment horizontal="center"/>
    </xf>
    <xf numFmtId="164" fontId="0" fillId="0" borderId="26" xfId="0" applyNumberFormat="1" applyFill="1" applyBorder="1"/>
    <xf numFmtId="9" fontId="1" fillId="0" borderId="26" xfId="4" applyFont="1" applyFill="1" applyBorder="1"/>
    <xf numFmtId="164" fontId="0" fillId="0" borderId="42" xfId="0" applyNumberFormat="1" applyFill="1" applyBorder="1"/>
    <xf numFmtId="0" fontId="0" fillId="4" borderId="15" xfId="0" applyFill="1" applyBorder="1" applyAlignment="1">
      <alignment horizontal="left"/>
    </xf>
    <xf numFmtId="164" fontId="0" fillId="4" borderId="38" xfId="0" applyNumberFormat="1" applyFill="1" applyBorder="1"/>
    <xf numFmtId="9" fontId="1" fillId="4" borderId="38" xfId="4" applyFont="1" applyFill="1" applyBorder="1"/>
    <xf numFmtId="164" fontId="0" fillId="6" borderId="18" xfId="0" applyNumberFormat="1" applyFill="1" applyBorder="1"/>
    <xf numFmtId="0" fontId="0" fillId="4" borderId="7" xfId="0" applyFill="1" applyBorder="1" applyAlignment="1">
      <alignment horizontal="left"/>
    </xf>
    <xf numFmtId="164" fontId="0" fillId="4" borderId="40" xfId="0" applyNumberFormat="1" applyFill="1" applyBorder="1"/>
    <xf numFmtId="164" fontId="0" fillId="4" borderId="41" xfId="0" applyNumberFormat="1" applyFill="1" applyBorder="1"/>
    <xf numFmtId="0" fontId="0" fillId="0" borderId="38" xfId="0" applyFill="1" applyBorder="1" applyAlignment="1">
      <alignment horizontal="left"/>
    </xf>
    <xf numFmtId="164" fontId="0" fillId="0" borderId="34" xfId="0" applyNumberFormat="1" applyFill="1" applyBorder="1"/>
    <xf numFmtId="164" fontId="0" fillId="0" borderId="24" xfId="0" applyNumberFormat="1" applyBorder="1"/>
    <xf numFmtId="164" fontId="0" fillId="0" borderId="43" xfId="0" applyNumberFormat="1" applyBorder="1"/>
    <xf numFmtId="164" fontId="0" fillId="0" borderId="16" xfId="0" applyNumberFormat="1" applyBorder="1"/>
    <xf numFmtId="164" fontId="0" fillId="0" borderId="9" xfId="0" applyNumberFormat="1" applyBorder="1"/>
    <xf numFmtId="0" fontId="3" fillId="5" borderId="44" xfId="0" applyFont="1" applyFill="1" applyBorder="1" applyAlignment="1">
      <alignment horizontal="left"/>
    </xf>
    <xf numFmtId="3" fontId="3" fillId="5" borderId="35" xfId="0" applyNumberFormat="1" applyFont="1" applyFill="1" applyBorder="1" applyAlignment="1">
      <alignment horizontal="center"/>
    </xf>
    <xf numFmtId="9" fontId="3" fillId="5" borderId="22" xfId="4" applyFont="1" applyFill="1" applyBorder="1"/>
    <xf numFmtId="164" fontId="0" fillId="5" borderId="8" xfId="0" applyNumberFormat="1" applyFill="1" applyBorder="1"/>
    <xf numFmtId="164" fontId="0" fillId="5" borderId="22" xfId="0" applyNumberFormat="1" applyFill="1" applyBorder="1"/>
    <xf numFmtId="165" fontId="1" fillId="5" borderId="36" xfId="4" applyNumberFormat="1" applyFont="1" applyFill="1" applyBorder="1" applyAlignment="1">
      <alignment horizontal="center"/>
    </xf>
    <xf numFmtId="0" fontId="3" fillId="7" borderId="11" xfId="0" applyFont="1" applyFill="1" applyBorder="1" applyAlignment="1">
      <alignment horizontal="left"/>
    </xf>
    <xf numFmtId="3" fontId="3" fillId="7" borderId="45" xfId="1" applyNumberFormat="1" applyFont="1" applyFill="1" applyBorder="1" applyAlignment="1">
      <alignment horizontal="center"/>
    </xf>
    <xf numFmtId="164" fontId="3" fillId="7" borderId="11" xfId="0" applyNumberFormat="1" applyFont="1" applyFill="1" applyBorder="1"/>
    <xf numFmtId="9" fontId="3" fillId="7" borderId="12" xfId="4" applyFont="1" applyFill="1" applyBorder="1"/>
    <xf numFmtId="164" fontId="3" fillId="7" borderId="12" xfId="0" applyNumberFormat="1" applyFont="1" applyFill="1" applyBorder="1"/>
    <xf numFmtId="164" fontId="3" fillId="7" borderId="13" xfId="0" applyNumberFormat="1" applyFont="1" applyFill="1" applyBorder="1"/>
    <xf numFmtId="165" fontId="3" fillId="7" borderId="12" xfId="4" applyNumberFormat="1" applyFont="1" applyFill="1" applyBorder="1" applyAlignment="1">
      <alignment horizontal="center"/>
    </xf>
    <xf numFmtId="165" fontId="1" fillId="7" borderId="0" xfId="4" applyNumberFormat="1" applyFont="1" applyFill="1" applyBorder="1" applyAlignment="1">
      <alignment horizontal="center"/>
    </xf>
    <xf numFmtId="164" fontId="3" fillId="7" borderId="47" xfId="0" applyNumberFormat="1" applyFont="1" applyFill="1" applyBorder="1"/>
    <xf numFmtId="164" fontId="0" fillId="7" borderId="46" xfId="0" applyNumberFormat="1" applyFill="1" applyBorder="1"/>
    <xf numFmtId="164" fontId="3" fillId="4" borderId="0" xfId="0" applyNumberFormat="1" applyFont="1" applyFill="1" applyBorder="1"/>
    <xf numFmtId="166" fontId="1" fillId="0" borderId="0" xfId="1" applyNumberFormat="1" applyFont="1"/>
    <xf numFmtId="164" fontId="1" fillId="0" borderId="0" xfId="2" applyNumberFormat="1" applyFont="1"/>
    <xf numFmtId="164" fontId="0" fillId="7" borderId="6" xfId="0" applyNumberFormat="1" applyFill="1" applyBorder="1"/>
    <xf numFmtId="0" fontId="0" fillId="0" borderId="0" xfId="0" applyAlignment="1">
      <alignment horizontal="left" vertical="top" wrapText="1"/>
    </xf>
    <xf numFmtId="164" fontId="0" fillId="0" borderId="0" xfId="0" applyNumberFormat="1"/>
    <xf numFmtId="6" fontId="0" fillId="0" borderId="48" xfId="0" applyNumberFormat="1" applyBorder="1"/>
    <xf numFmtId="0" fontId="0" fillId="0" borderId="49" xfId="0" applyBorder="1"/>
    <xf numFmtId="0" fontId="0" fillId="3" borderId="49" xfId="0" applyFill="1" applyBorder="1"/>
    <xf numFmtId="6" fontId="0" fillId="0" borderId="0" xfId="0" applyNumberFormat="1"/>
    <xf numFmtId="0" fontId="0" fillId="0" borderId="0" xfId="0" applyAlignment="1">
      <alignment vertical="top"/>
    </xf>
    <xf numFmtId="164" fontId="0" fillId="0" borderId="0" xfId="0" applyNumberFormat="1" applyAlignment="1">
      <alignment vertical="top"/>
    </xf>
    <xf numFmtId="0" fontId="0" fillId="3" borderId="0" xfId="0" applyFill="1" applyAlignment="1">
      <alignment vertical="top"/>
    </xf>
    <xf numFmtId="0" fontId="0" fillId="7" borderId="11" xfId="0" applyFill="1" applyBorder="1" applyAlignment="1">
      <alignment horizontal="left"/>
    </xf>
    <xf numFmtId="3" fontId="1" fillId="7" borderId="45" xfId="1" applyNumberFormat="1" applyFont="1" applyFill="1" applyBorder="1" applyAlignment="1">
      <alignment horizontal="center"/>
    </xf>
    <xf numFmtId="9" fontId="1" fillId="7" borderId="23" xfId="4" applyFont="1" applyFill="1" applyBorder="1"/>
    <xf numFmtId="164" fontId="0" fillId="7" borderId="23" xfId="0" applyNumberFormat="1" applyFill="1" applyBorder="1"/>
    <xf numFmtId="164" fontId="0" fillId="7" borderId="24" xfId="0" applyNumberFormat="1" applyFill="1" applyBorder="1"/>
    <xf numFmtId="165" fontId="1" fillId="7" borderId="12" xfId="4" applyNumberFormat="1" applyFont="1" applyFill="1" applyBorder="1" applyAlignment="1">
      <alignment horizontal="center"/>
    </xf>
    <xf numFmtId="164" fontId="0" fillId="7" borderId="47" xfId="0" applyNumberFormat="1" applyFill="1" applyBorder="1"/>
    <xf numFmtId="0" fontId="0" fillId="7" borderId="0" xfId="0" applyFill="1" applyBorder="1" applyAlignment="1">
      <alignment horizontal="left"/>
    </xf>
    <xf numFmtId="3" fontId="1" fillId="7" borderId="0" xfId="1" applyNumberFormat="1" applyFont="1" applyFill="1" applyBorder="1" applyAlignment="1">
      <alignment horizontal="center"/>
    </xf>
    <xf numFmtId="164" fontId="0" fillId="7" borderId="0" xfId="0" applyNumberFormat="1" applyFill="1" applyBorder="1"/>
    <xf numFmtId="0" fontId="0" fillId="7" borderId="50" xfId="0" applyFill="1" applyBorder="1" applyAlignment="1">
      <alignment horizontal="left"/>
    </xf>
    <xf numFmtId="3" fontId="1" fillId="7" borderId="51" xfId="1" applyNumberFormat="1" applyFont="1" applyFill="1" applyBorder="1" applyAlignment="1">
      <alignment horizontal="center"/>
    </xf>
    <xf numFmtId="164" fontId="0" fillId="7" borderId="50" xfId="0" applyNumberFormat="1" applyFill="1" applyBorder="1"/>
    <xf numFmtId="164" fontId="0" fillId="7" borderId="51" xfId="0" applyNumberFormat="1" applyFill="1" applyBorder="1"/>
    <xf numFmtId="164" fontId="0" fillId="7" borderId="20" xfId="0" applyNumberFormat="1" applyFill="1" applyBorder="1"/>
    <xf numFmtId="165" fontId="1" fillId="7" borderId="52" xfId="4" applyNumberFormat="1" applyFont="1" applyFill="1" applyBorder="1" applyAlignment="1">
      <alignment horizontal="center"/>
    </xf>
    <xf numFmtId="0" fontId="0" fillId="7" borderId="31" xfId="0" applyFill="1" applyBorder="1" applyAlignment="1">
      <alignment horizontal="left"/>
    </xf>
    <xf numFmtId="3" fontId="1" fillId="7" borderId="53" xfId="1" applyNumberFormat="1" applyFont="1" applyFill="1" applyBorder="1" applyAlignment="1">
      <alignment horizontal="center"/>
    </xf>
    <xf numFmtId="164" fontId="0" fillId="7" borderId="39" xfId="0" applyNumberFormat="1" applyFill="1" applyBorder="1"/>
    <xf numFmtId="164" fontId="0" fillId="7" borderId="16" xfId="0" applyNumberFormat="1" applyFill="1" applyBorder="1"/>
    <xf numFmtId="165" fontId="1" fillId="7" borderId="15" xfId="4" applyNumberFormat="1" applyFont="1" applyFill="1" applyBorder="1" applyAlignment="1">
      <alignment horizontal="center"/>
    </xf>
    <xf numFmtId="0" fontId="0" fillId="7" borderId="35" xfId="0" applyFill="1" applyBorder="1" applyAlignment="1">
      <alignment horizontal="left"/>
    </xf>
    <xf numFmtId="3" fontId="1" fillId="7" borderId="54" xfId="1" applyNumberFormat="1" applyFont="1" applyFill="1" applyBorder="1" applyAlignment="1">
      <alignment horizontal="center"/>
    </xf>
    <xf numFmtId="164" fontId="0" fillId="7" borderId="11" xfId="0" applyNumberFormat="1" applyFill="1" applyBorder="1" applyAlignment="1"/>
    <xf numFmtId="164" fontId="0" fillId="7" borderId="23" xfId="0" applyNumberFormat="1" applyFill="1" applyBorder="1" applyAlignment="1"/>
    <xf numFmtId="164" fontId="0" fillId="7" borderId="24" xfId="0" applyNumberFormat="1" applyFill="1" applyBorder="1" applyAlignment="1"/>
    <xf numFmtId="164" fontId="0" fillId="7" borderId="11" xfId="0" applyNumberFormat="1" applyFill="1" applyBorder="1"/>
    <xf numFmtId="165" fontId="1" fillId="7" borderId="14" xfId="4" applyNumberFormat="1" applyFont="1" applyFill="1" applyBorder="1" applyAlignment="1">
      <alignment horizontal="center"/>
    </xf>
    <xf numFmtId="0" fontId="2" fillId="0" borderId="0" xfId="3" applyAlignment="1" applyProtection="1"/>
    <xf numFmtId="3" fontId="0" fillId="0" borderId="0" xfId="0" applyNumberFormat="1"/>
    <xf numFmtId="0" fontId="0" fillId="0" borderId="0" xfId="0" applyAlignment="1">
      <alignment horizontal="left"/>
    </xf>
    <xf numFmtId="0" fontId="0" fillId="0" borderId="0" xfId="0" applyNumberFormat="1"/>
    <xf numFmtId="0" fontId="3" fillId="8" borderId="60" xfId="0" applyFont="1" applyFill="1" applyBorder="1" applyAlignment="1">
      <alignment horizontal="left"/>
    </xf>
    <xf numFmtId="0" fontId="0" fillId="0" borderId="0" xfId="0" applyBorder="1" applyAlignment="1">
      <alignment horizontal="left"/>
    </xf>
    <xf numFmtId="0" fontId="0" fillId="0" borderId="0" xfId="0" applyNumberFormat="1" applyBorder="1"/>
    <xf numFmtId="0" fontId="0" fillId="0" borderId="49" xfId="0" applyBorder="1" applyAlignment="1">
      <alignment horizontal="left"/>
    </xf>
    <xf numFmtId="0" fontId="0" fillId="0" borderId="49" xfId="0" applyNumberFormat="1" applyBorder="1"/>
    <xf numFmtId="0" fontId="0" fillId="0" borderId="0" xfId="0" applyAlignment="1">
      <alignment horizontal="left" vertical="top" wrapText="1"/>
    </xf>
    <xf numFmtId="164" fontId="0" fillId="0" borderId="0" xfId="2" applyNumberFormat="1" applyFont="1"/>
    <xf numFmtId="164" fontId="3" fillId="0" borderId="0" xfId="2" applyNumberFormat="1" applyFont="1" applyBorder="1" applyAlignment="1">
      <alignment horizontal="center" wrapText="1"/>
    </xf>
    <xf numFmtId="164" fontId="3" fillId="0" borderId="0" xfId="2" applyNumberFormat="1" applyFont="1" applyBorder="1" applyAlignment="1">
      <alignment horizontal="center"/>
    </xf>
    <xf numFmtId="164" fontId="0" fillId="0" borderId="0" xfId="2" applyNumberFormat="1" applyFont="1" applyBorder="1"/>
    <xf numFmtId="164" fontId="0" fillId="4" borderId="6" xfId="2" applyNumberFormat="1" applyFont="1" applyFill="1" applyBorder="1"/>
    <xf numFmtId="164" fontId="0" fillId="4" borderId="6" xfId="2" applyNumberFormat="1" applyFont="1" applyFill="1" applyBorder="1" applyAlignment="1">
      <alignment horizontal="center"/>
    </xf>
    <xf numFmtId="164" fontId="3" fillId="5" borderId="22" xfId="2" applyNumberFormat="1" applyFont="1" applyFill="1" applyBorder="1"/>
    <xf numFmtId="164" fontId="5" fillId="5" borderId="22" xfId="2" applyNumberFormat="1" applyFont="1" applyFill="1" applyBorder="1"/>
    <xf numFmtId="164" fontId="3" fillId="7" borderId="46" xfId="2" applyNumberFormat="1" applyFont="1" applyFill="1" applyBorder="1"/>
    <xf numFmtId="164" fontId="3" fillId="4" borderId="0" xfId="2" applyNumberFormat="1" applyFont="1" applyFill="1" applyBorder="1"/>
    <xf numFmtId="164" fontId="0" fillId="0" borderId="0" xfId="2" applyNumberFormat="1" applyFont="1" applyAlignment="1">
      <alignment horizontal="left" vertical="top" wrapText="1"/>
    </xf>
    <xf numFmtId="164" fontId="0" fillId="7" borderId="46" xfId="2" applyNumberFormat="1" applyFont="1" applyFill="1" applyBorder="1"/>
    <xf numFmtId="164" fontId="0" fillId="7" borderId="0" xfId="2" applyNumberFormat="1" applyFont="1" applyFill="1" applyBorder="1"/>
    <xf numFmtId="44" fontId="3" fillId="5" borderId="22" xfId="2" applyNumberFormat="1" applyFont="1" applyFill="1" applyBorder="1"/>
    <xf numFmtId="0" fontId="0" fillId="0" borderId="0" xfId="0" applyAlignment="1">
      <alignment horizontal="left" vertical="top" wrapText="1"/>
    </xf>
    <xf numFmtId="0" fontId="0" fillId="0" borderId="43" xfId="0" applyBorder="1"/>
    <xf numFmtId="0" fontId="0" fillId="0" borderId="48" xfId="0" applyBorder="1"/>
    <xf numFmtId="0" fontId="0" fillId="0" borderId="57" xfId="0" applyBorder="1"/>
    <xf numFmtId="0" fontId="0" fillId="0" borderId="0" xfId="0" applyAlignment="1">
      <alignment horizontal="left" vertical="top" wrapText="1"/>
    </xf>
    <xf numFmtId="0" fontId="0" fillId="0" borderId="0" xfId="0" applyAlignment="1">
      <alignment horizontal="left" vertical="top" wrapText="1"/>
    </xf>
    <xf numFmtId="44" fontId="0" fillId="0" borderId="0" xfId="2" applyFont="1"/>
    <xf numFmtId="0" fontId="6" fillId="0" borderId="23" xfId="0" applyFont="1" applyBorder="1" applyAlignment="1">
      <alignment vertical="center"/>
    </xf>
    <xf numFmtId="9" fontId="7" fillId="0" borderId="0" xfId="0" applyNumberFormat="1" applyFont="1" applyAlignment="1">
      <alignment vertical="center"/>
    </xf>
    <xf numFmtId="0" fontId="6" fillId="0" borderId="61" xfId="0" applyFont="1" applyBorder="1" applyAlignment="1">
      <alignment horizontal="center" vertical="center"/>
    </xf>
    <xf numFmtId="6" fontId="6" fillId="0" borderId="23" xfId="0" applyNumberFormat="1" applyFont="1" applyBorder="1" applyAlignment="1">
      <alignment vertical="center"/>
    </xf>
    <xf numFmtId="0" fontId="7" fillId="0" borderId="62" xfId="0" applyFont="1" applyBorder="1" applyAlignment="1">
      <alignment horizontal="center" vertical="center"/>
    </xf>
    <xf numFmtId="6" fontId="7" fillId="0" borderId="0" xfId="0" applyNumberFormat="1" applyFont="1" applyAlignment="1">
      <alignment vertical="center"/>
    </xf>
    <xf numFmtId="0" fontId="7" fillId="0" borderId="2" xfId="0" applyFont="1" applyBorder="1" applyAlignment="1">
      <alignment vertical="center"/>
    </xf>
    <xf numFmtId="0" fontId="7" fillId="0" borderId="63" xfId="0" applyFont="1" applyBorder="1" applyAlignment="1">
      <alignment vertical="center"/>
    </xf>
    <xf numFmtId="0" fontId="6" fillId="0" borderId="11" xfId="0" applyFont="1" applyBorder="1" applyAlignment="1">
      <alignment vertical="center"/>
    </xf>
    <xf numFmtId="0" fontId="7" fillId="0" borderId="6" xfId="0" applyFont="1" applyBorder="1" applyAlignment="1">
      <alignment vertical="center"/>
    </xf>
    <xf numFmtId="0" fontId="7" fillId="0" borderId="1" xfId="0" applyFont="1" applyBorder="1" applyAlignment="1">
      <alignment vertical="center"/>
    </xf>
    <xf numFmtId="166" fontId="0" fillId="0" borderId="0" xfId="1" applyNumberFormat="1" applyFont="1"/>
    <xf numFmtId="165" fontId="0" fillId="7" borderId="0" xfId="4" applyNumberFormat="1" applyFont="1" applyFill="1" applyBorder="1" applyAlignment="1">
      <alignment horizontal="center"/>
    </xf>
    <xf numFmtId="0" fontId="0" fillId="7" borderId="0" xfId="0" applyFill="1" applyBorder="1"/>
    <xf numFmtId="3" fontId="0" fillId="7" borderId="0" xfId="1" applyNumberFormat="1" applyFont="1" applyFill="1" applyBorder="1" applyAlignment="1">
      <alignment horizontal="center"/>
    </xf>
    <xf numFmtId="44" fontId="0" fillId="7" borderId="46" xfId="0" applyNumberFormat="1" applyFill="1" applyBorder="1"/>
    <xf numFmtId="165" fontId="0" fillId="7" borderId="14" xfId="4" applyNumberFormat="1" applyFont="1" applyFill="1" applyBorder="1" applyAlignment="1">
      <alignment horizontal="center"/>
    </xf>
    <xf numFmtId="0" fontId="0" fillId="7" borderId="54" xfId="0" applyFill="1" applyBorder="1"/>
    <xf numFmtId="3" fontId="0" fillId="7" borderId="54" xfId="1" applyNumberFormat="1" applyFont="1" applyFill="1" applyBorder="1" applyAlignment="1">
      <alignment horizontal="center"/>
    </xf>
    <xf numFmtId="165" fontId="0" fillId="7" borderId="15" xfId="4" applyNumberFormat="1" applyFont="1" applyFill="1" applyBorder="1" applyAlignment="1">
      <alignment horizontal="center"/>
    </xf>
    <xf numFmtId="0" fontId="0" fillId="7" borderId="53" xfId="0" applyFill="1" applyBorder="1"/>
    <xf numFmtId="3" fontId="0" fillId="7" borderId="53" xfId="1" applyNumberFormat="1" applyFont="1" applyFill="1" applyBorder="1" applyAlignment="1">
      <alignment horizontal="center"/>
    </xf>
    <xf numFmtId="165" fontId="0" fillId="7" borderId="52" xfId="4" applyNumberFormat="1" applyFont="1" applyFill="1" applyBorder="1" applyAlignment="1">
      <alignment horizontal="center"/>
    </xf>
    <xf numFmtId="0" fontId="0" fillId="7" borderId="51" xfId="0" applyFill="1" applyBorder="1"/>
    <xf numFmtId="3" fontId="0" fillId="7" borderId="51" xfId="1" applyNumberFormat="1" applyFont="1" applyFill="1" applyBorder="1" applyAlignment="1">
      <alignment horizontal="center"/>
    </xf>
    <xf numFmtId="165" fontId="0" fillId="7" borderId="12" xfId="4" applyNumberFormat="1" applyFont="1" applyFill="1" applyBorder="1" applyAlignment="1">
      <alignment horizontal="center"/>
    </xf>
    <xf numFmtId="0" fontId="0" fillId="7" borderId="23" xfId="0" applyFill="1" applyBorder="1"/>
    <xf numFmtId="9" fontId="0" fillId="7" borderId="23" xfId="4" applyFont="1" applyFill="1" applyBorder="1"/>
    <xf numFmtId="3" fontId="0" fillId="7" borderId="45" xfId="1" applyNumberFormat="1" applyFont="1" applyFill="1" applyBorder="1" applyAlignment="1">
      <alignment horizontal="center"/>
    </xf>
    <xf numFmtId="0" fontId="8" fillId="10" borderId="0" xfId="0" applyFont="1" applyFill="1" applyAlignment="1">
      <alignment vertical="center"/>
    </xf>
    <xf numFmtId="0" fontId="8" fillId="0" borderId="0" xfId="0" applyFont="1" applyAlignment="1">
      <alignment horizontal="right" vertical="center"/>
    </xf>
    <xf numFmtId="0" fontId="8" fillId="0" borderId="0" xfId="0" applyFont="1" applyAlignment="1">
      <alignment vertical="center"/>
    </xf>
    <xf numFmtId="164" fontId="0" fillId="0" borderId="17" xfId="0" applyNumberFormat="1" applyBorder="1"/>
    <xf numFmtId="165" fontId="0" fillId="0" borderId="0" xfId="4" applyNumberFormat="1" applyFont="1" applyBorder="1" applyAlignment="1">
      <alignment horizontal="center" vertical="center"/>
    </xf>
    <xf numFmtId="164" fontId="0" fillId="0" borderId="25" xfId="2" applyNumberFormat="1" applyFont="1" applyBorder="1"/>
    <xf numFmtId="9" fontId="0" fillId="0" borderId="25" xfId="4" applyFont="1" applyBorder="1"/>
    <xf numFmtId="164" fontId="0" fillId="0" borderId="19" xfId="0" applyNumberFormat="1" applyBorder="1"/>
    <xf numFmtId="0" fontId="0" fillId="0" borderId="6" xfId="0" applyBorder="1" applyAlignment="1">
      <alignment horizontal="left"/>
    </xf>
    <xf numFmtId="164" fontId="0" fillId="6" borderId="42" xfId="0" applyNumberFormat="1" applyFill="1" applyBorder="1"/>
    <xf numFmtId="0" fontId="0" fillId="6" borderId="53" xfId="0" applyFill="1" applyBorder="1"/>
    <xf numFmtId="164" fontId="0" fillId="6" borderId="26" xfId="2" applyNumberFormat="1" applyFont="1" applyFill="1" applyBorder="1"/>
    <xf numFmtId="9" fontId="0" fillId="6" borderId="26" xfId="4" applyFont="1" applyFill="1" applyBorder="1"/>
    <xf numFmtId="164" fontId="0" fillId="6" borderId="15" xfId="0" applyNumberFormat="1" applyFill="1" applyBorder="1"/>
    <xf numFmtId="3" fontId="0" fillId="6" borderId="31" xfId="0" applyNumberFormat="1" applyFill="1" applyBorder="1" applyAlignment="1">
      <alignment horizontal="center"/>
    </xf>
    <xf numFmtId="0" fontId="0" fillId="6" borderId="31" xfId="0" applyFill="1" applyBorder="1"/>
    <xf numFmtId="164" fontId="0" fillId="6" borderId="64" xfId="0" applyNumberFormat="1" applyFill="1" applyBorder="1"/>
    <xf numFmtId="0" fontId="0" fillId="6" borderId="51" xfId="0" applyFill="1" applyBorder="1"/>
    <xf numFmtId="164" fontId="0" fillId="6" borderId="18" xfId="2" applyNumberFormat="1" applyFont="1" applyFill="1" applyBorder="1"/>
    <xf numFmtId="9" fontId="0" fillId="6" borderId="18" xfId="4" applyFont="1" applyFill="1" applyBorder="1"/>
    <xf numFmtId="164" fontId="0" fillId="6" borderId="52" xfId="0" applyNumberFormat="1" applyFill="1" applyBorder="1"/>
    <xf numFmtId="3" fontId="0" fillId="6" borderId="50" xfId="0" applyNumberFormat="1" applyFill="1" applyBorder="1" applyAlignment="1">
      <alignment horizontal="center"/>
    </xf>
    <xf numFmtId="0" fontId="0" fillId="6" borderId="50" xfId="0" applyFill="1" applyBorder="1"/>
    <xf numFmtId="0" fontId="8" fillId="10" borderId="0" xfId="0" applyFont="1" applyFill="1" applyAlignment="1">
      <alignment horizontal="right" vertical="center"/>
    </xf>
    <xf numFmtId="164" fontId="0" fillId="0" borderId="64" xfId="0" applyNumberFormat="1" applyBorder="1"/>
    <xf numFmtId="0" fontId="0" fillId="0" borderId="51" xfId="0" applyBorder="1"/>
    <xf numFmtId="164" fontId="0" fillId="0" borderId="18" xfId="2" applyNumberFormat="1" applyFont="1" applyBorder="1"/>
    <xf numFmtId="9" fontId="0" fillId="0" borderId="18" xfId="4" applyFont="1" applyBorder="1"/>
    <xf numFmtId="164" fontId="0" fillId="0" borderId="52" xfId="0" applyNumberFormat="1" applyBorder="1"/>
    <xf numFmtId="3" fontId="0" fillId="0" borderId="50" xfId="0" applyNumberFormat="1" applyBorder="1" applyAlignment="1">
      <alignment horizontal="center"/>
    </xf>
    <xf numFmtId="0" fontId="0" fillId="0" borderId="55" xfId="0" applyBorder="1" applyAlignment="1">
      <alignment horizontal="left"/>
    </xf>
    <xf numFmtId="164" fontId="3" fillId="0" borderId="4" xfId="2" applyNumberFormat="1" applyFont="1" applyBorder="1" applyAlignment="1">
      <alignment horizontal="center" wrapText="1"/>
    </xf>
    <xf numFmtId="164" fontId="3" fillId="0" borderId="38" xfId="2" applyNumberFormat="1" applyFont="1" applyBorder="1" applyAlignment="1">
      <alignment horizontal="center" wrapText="1"/>
    </xf>
    <xf numFmtId="44" fontId="3" fillId="0" borderId="47" xfId="2" applyFont="1" applyBorder="1" applyAlignment="1">
      <alignment horizontal="center"/>
    </xf>
    <xf numFmtId="44" fontId="3" fillId="0" borderId="46" xfId="2" applyFont="1" applyBorder="1" applyAlignment="1">
      <alignment horizontal="center"/>
    </xf>
    <xf numFmtId="0" fontId="3" fillId="0" borderId="65" xfId="0" applyFont="1" applyBorder="1"/>
    <xf numFmtId="0" fontId="3" fillId="0" borderId="24" xfId="0" applyFont="1" applyBorder="1" applyAlignment="1">
      <alignment horizontal="center" wrapText="1"/>
    </xf>
    <xf numFmtId="0" fontId="3" fillId="0" borderId="13" xfId="0" applyFont="1" applyBorder="1" applyAlignment="1">
      <alignment horizontal="center" wrapText="1"/>
    </xf>
    <xf numFmtId="0" fontId="3" fillId="0" borderId="23" xfId="0" applyFont="1" applyBorder="1" applyAlignment="1">
      <alignment horizontal="center" wrapText="1"/>
    </xf>
    <xf numFmtId="0" fontId="3" fillId="0" borderId="46" xfId="0" applyFont="1" applyBorder="1" applyAlignment="1">
      <alignment horizontal="center" wrapText="1"/>
    </xf>
    <xf numFmtId="0" fontId="3" fillId="0" borderId="66" xfId="0" applyFont="1" applyBorder="1" applyAlignment="1">
      <alignment horizontal="center" wrapText="1"/>
    </xf>
    <xf numFmtId="0" fontId="3" fillId="0" borderId="67" xfId="0" applyFont="1" applyBorder="1"/>
    <xf numFmtId="44" fontId="0" fillId="0" borderId="0" xfId="2" applyFont="1" applyBorder="1"/>
    <xf numFmtId="14" fontId="3" fillId="0" borderId="35" xfId="0" applyNumberFormat="1" applyFont="1" applyBorder="1" applyAlignment="1">
      <alignment horizontal="center"/>
    </xf>
    <xf numFmtId="44" fontId="3" fillId="0" borderId="32" xfId="2" applyFont="1" applyBorder="1" applyAlignment="1">
      <alignment horizontal="center" wrapText="1"/>
    </xf>
    <xf numFmtId="0" fontId="0" fillId="0" borderId="0" xfId="0" applyAlignment="1">
      <alignment horizontal="left" vertical="top" wrapText="1"/>
    </xf>
    <xf numFmtId="164" fontId="0" fillId="0" borderId="10" xfId="2" applyNumberFormat="1" applyFont="1" applyBorder="1"/>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pivotButton="1"/>
    <xf numFmtId="0" fontId="0" fillId="0" borderId="0" xfId="0" applyAlignment="1">
      <alignment horizontal="left" vertical="top" wrapText="1"/>
    </xf>
    <xf numFmtId="164" fontId="5" fillId="4" borderId="55" xfId="0" applyNumberFormat="1" applyFont="1" applyFill="1" applyBorder="1" applyAlignment="1"/>
    <xf numFmtId="0" fontId="0" fillId="0" borderId="30" xfId="0" applyBorder="1" applyAlignment="1"/>
    <xf numFmtId="164" fontId="5" fillId="4" borderId="6" xfId="0" applyNumberFormat="1" applyFont="1" applyFill="1" applyBorder="1" applyAlignment="1"/>
    <xf numFmtId="44" fontId="5" fillId="5" borderId="22" xfId="2" applyNumberFormat="1" applyFont="1" applyFill="1" applyBorder="1"/>
    <xf numFmtId="164" fontId="5" fillId="5" borderId="64" xfId="0" applyNumberFormat="1" applyFont="1" applyFill="1" applyBorder="1"/>
    <xf numFmtId="6" fontId="3" fillId="9" borderId="1" xfId="0" applyNumberFormat="1" applyFont="1" applyFill="1" applyBorder="1" applyAlignment="1">
      <alignment horizontal="center"/>
    </xf>
    <xf numFmtId="6" fontId="3" fillId="9" borderId="2" xfId="0" applyNumberFormat="1" applyFont="1" applyFill="1" applyBorder="1" applyAlignment="1">
      <alignment horizontal="center"/>
    </xf>
    <xf numFmtId="164" fontId="0" fillId="0" borderId="18" xfId="0" applyNumberFormat="1" applyBorder="1" applyAlignment="1">
      <alignment horizontal="center" vertical="center"/>
    </xf>
    <xf numFmtId="164" fontId="0" fillId="0" borderId="25" xfId="0" applyNumberFormat="1" applyBorder="1" applyAlignment="1">
      <alignment horizontal="center" vertical="center"/>
    </xf>
    <xf numFmtId="165" fontId="0" fillId="0" borderId="21" xfId="4" applyNumberFormat="1" applyFont="1" applyBorder="1" applyAlignment="1">
      <alignment horizontal="center" vertical="center"/>
    </xf>
    <xf numFmtId="165" fontId="0" fillId="0" borderId="9" xfId="4" applyNumberFormat="1" applyFont="1" applyBorder="1" applyAlignment="1">
      <alignment horizontal="center" vertical="center"/>
    </xf>
    <xf numFmtId="164" fontId="0" fillId="6" borderId="18" xfId="0" applyNumberFormat="1" applyFill="1" applyBorder="1" applyAlignment="1">
      <alignment horizontal="center" vertical="center"/>
    </xf>
    <xf numFmtId="164" fontId="0" fillId="6" borderId="26" xfId="0" applyNumberFormat="1" applyFill="1" applyBorder="1" applyAlignment="1">
      <alignment horizontal="center" vertical="center"/>
    </xf>
    <xf numFmtId="165" fontId="0" fillId="6" borderId="21" xfId="4" applyNumberFormat="1" applyFont="1" applyFill="1" applyBorder="1" applyAlignment="1">
      <alignment horizontal="center" vertical="center"/>
    </xf>
    <xf numFmtId="165" fontId="0" fillId="6" borderId="40" xfId="4" applyNumberFormat="1" applyFont="1" applyFill="1" applyBorder="1" applyAlignment="1">
      <alignment horizontal="center" vertical="center"/>
    </xf>
    <xf numFmtId="164" fontId="0" fillId="0" borderId="26" xfId="0" applyNumberFormat="1" applyBorder="1" applyAlignment="1">
      <alignment horizontal="center" vertical="center"/>
    </xf>
    <xf numFmtId="165" fontId="0" fillId="0" borderId="40" xfId="4" applyNumberFormat="1" applyFont="1" applyBorder="1" applyAlignment="1">
      <alignment horizontal="center" vertical="center"/>
    </xf>
    <xf numFmtId="0" fontId="2" fillId="0" borderId="0" xfId="3" applyAlignment="1" applyProtection="1">
      <alignment horizontal="left" vertical="top" wrapText="1"/>
    </xf>
    <xf numFmtId="0" fontId="0" fillId="0" borderId="0" xfId="0" applyAlignment="1">
      <alignment horizontal="left" vertical="top" wrapText="1"/>
    </xf>
    <xf numFmtId="164" fontId="5" fillId="4" borderId="55" xfId="0" applyNumberFormat="1" applyFont="1" applyFill="1" applyBorder="1" applyAlignment="1"/>
    <xf numFmtId="0" fontId="0" fillId="0" borderId="56" xfId="0" applyBorder="1" applyAlignment="1"/>
    <xf numFmtId="0" fontId="0" fillId="0" borderId="6" xfId="0" applyBorder="1" applyAlignment="1"/>
    <xf numFmtId="0" fontId="0" fillId="0" borderId="10" xfId="0" applyBorder="1" applyAlignment="1"/>
    <xf numFmtId="0" fontId="0" fillId="0" borderId="30" xfId="0" applyBorder="1" applyAlignment="1"/>
    <xf numFmtId="0" fontId="0" fillId="0" borderId="41" xfId="0" applyBorder="1" applyAlignment="1"/>
    <xf numFmtId="164" fontId="0" fillId="4" borderId="18" xfId="0" applyNumberFormat="1" applyFill="1" applyBorder="1" applyAlignment="1">
      <alignment horizontal="center" vertical="center"/>
    </xf>
    <xf numFmtId="164" fontId="0" fillId="4" borderId="26" xfId="0" applyNumberFormat="1" applyFill="1" applyBorder="1" applyAlignment="1">
      <alignment horizontal="center" vertical="center"/>
    </xf>
    <xf numFmtId="165" fontId="1" fillId="4" borderId="21" xfId="4" applyNumberFormat="1" applyFont="1" applyFill="1" applyBorder="1" applyAlignment="1">
      <alignment horizontal="center" vertical="center"/>
    </xf>
    <xf numFmtId="165" fontId="1" fillId="4" borderId="40" xfId="4" applyNumberFormat="1" applyFont="1" applyFill="1" applyBorder="1" applyAlignment="1">
      <alignment horizontal="center" vertical="center"/>
    </xf>
    <xf numFmtId="6" fontId="3" fillId="9" borderId="6" xfId="0" applyNumberFormat="1" applyFont="1" applyFill="1" applyBorder="1" applyAlignment="1">
      <alignment horizontal="center"/>
    </xf>
    <xf numFmtId="6" fontId="3" fillId="9" borderId="0" xfId="0" applyNumberFormat="1" applyFont="1" applyFill="1" applyBorder="1" applyAlignment="1">
      <alignment horizontal="center"/>
    </xf>
    <xf numFmtId="164" fontId="0" fillId="0" borderId="55" xfId="0" applyNumberFormat="1" applyBorder="1" applyAlignment="1"/>
    <xf numFmtId="0" fontId="0" fillId="4" borderId="56" xfId="0" applyFill="1" applyBorder="1" applyAlignment="1"/>
    <xf numFmtId="0" fontId="0" fillId="4" borderId="6" xfId="0" applyFill="1" applyBorder="1" applyAlignment="1"/>
    <xf numFmtId="0" fontId="0" fillId="4" borderId="10" xfId="0" applyFill="1" applyBorder="1" applyAlignment="1"/>
    <xf numFmtId="0" fontId="0" fillId="4" borderId="30" xfId="0" applyFill="1" applyBorder="1" applyAlignment="1"/>
    <xf numFmtId="0" fontId="0" fillId="4" borderId="41" xfId="0" applyFill="1" applyBorder="1" applyAlignment="1"/>
    <xf numFmtId="44" fontId="0" fillId="0" borderId="55" xfId="0" applyNumberFormat="1" applyBorder="1" applyAlignment="1"/>
    <xf numFmtId="9" fontId="1" fillId="0" borderId="9" xfId="4" applyFont="1" applyBorder="1" applyAlignment="1">
      <alignment horizontal="center"/>
    </xf>
    <xf numFmtId="0" fontId="0" fillId="0" borderId="9" xfId="0" applyBorder="1" applyAlignment="1">
      <alignment horizontal="center"/>
    </xf>
    <xf numFmtId="164" fontId="0" fillId="0" borderId="58" xfId="0" applyNumberFormat="1" applyBorder="1" applyAlignment="1">
      <alignment horizontal="center" vertical="center"/>
    </xf>
    <xf numFmtId="164" fontId="0" fillId="0" borderId="59" xfId="0" applyNumberFormat="1" applyBorder="1" applyAlignment="1">
      <alignment horizontal="center" vertical="center"/>
    </xf>
    <xf numFmtId="165" fontId="1" fillId="0" borderId="56" xfId="4" applyNumberFormat="1" applyFont="1" applyBorder="1" applyAlignment="1">
      <alignment horizontal="center" vertical="center"/>
    </xf>
    <xf numFmtId="165" fontId="1" fillId="0" borderId="41" xfId="4" applyNumberFormat="1" applyFont="1" applyBorder="1" applyAlignment="1">
      <alignment horizontal="center" vertical="center"/>
    </xf>
    <xf numFmtId="164" fontId="0" fillId="0" borderId="18" xfId="0" applyNumberFormat="1" applyFill="1" applyBorder="1" applyAlignment="1">
      <alignment horizontal="center" vertical="center"/>
    </xf>
    <xf numFmtId="164" fontId="0" fillId="0" borderId="26" xfId="0" applyNumberFormat="1" applyFill="1" applyBorder="1" applyAlignment="1">
      <alignment horizontal="center" vertical="center"/>
    </xf>
    <xf numFmtId="165" fontId="1" fillId="0" borderId="21" xfId="4" applyNumberFormat="1" applyFont="1" applyFill="1" applyBorder="1" applyAlignment="1">
      <alignment horizontal="center" vertical="center"/>
    </xf>
    <xf numFmtId="165" fontId="1" fillId="0" borderId="40" xfId="4" applyNumberFormat="1" applyFont="1" applyFill="1" applyBorder="1" applyAlignment="1">
      <alignment horizontal="center" vertical="center"/>
    </xf>
    <xf numFmtId="0" fontId="0" fillId="0" borderId="48" xfId="0" applyBorder="1" applyAlignment="1"/>
    <xf numFmtId="0" fontId="0" fillId="0" borderId="57" xfId="0" applyBorder="1" applyAlignment="1"/>
    <xf numFmtId="0" fontId="0" fillId="0" borderId="0" xfId="0" applyBorder="1" applyAlignment="1"/>
    <xf numFmtId="0" fontId="0" fillId="0" borderId="0" xfId="0" applyAlignment="1"/>
    <xf numFmtId="164" fontId="5" fillId="4" borderId="6" xfId="0" applyNumberFormat="1" applyFont="1" applyFill="1" applyBorder="1" applyAlignment="1"/>
  </cellXfs>
  <cellStyles count="5">
    <cellStyle name="Comma" xfId="1" builtinId="3"/>
    <cellStyle name="Currency" xfId="2" builtinId="4"/>
    <cellStyle name="Hyperlink" xfId="3" builtinId="8"/>
    <cellStyle name="Normal" xfId="0" builtinId="0"/>
    <cellStyle name="Percent" xfId="4" builtinId="5"/>
  </cellStyles>
  <dxfs count="6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file:///\\DHW0008FIL02\BehavioralHealthDivision\BPA%20Invoices%20New\2013\20130524\Claims%20Reports\DHW%20SR056_SFY13_7-1-12%20-%206-30-13_Claims%20Report_20130524.xlsx"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O257"/>
  <sheetViews>
    <sheetView tabSelected="1" zoomScale="70" zoomScaleNormal="70" workbookViewId="0">
      <selection activeCell="AP8" sqref="AP8"/>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22.33203125" hidden="1" customWidth="1"/>
    <col min="13" max="13" width="22.33203125" style="172" hidden="1" customWidth="1"/>
    <col min="14" max="14" width="22.33203125" hidden="1" customWidth="1"/>
    <col min="15" max="15" width="46.77734375" style="37" hidden="1" customWidth="1"/>
    <col min="16" max="17" width="22.33203125" style="37" hidden="1" customWidth="1"/>
    <col min="18" max="39" width="22.33203125" hidden="1" customWidth="1"/>
    <col min="40" max="41" width="21.33203125" hidden="1" customWidth="1"/>
    <col min="42" max="46" width="21.33203125" customWidth="1"/>
  </cols>
  <sheetData>
    <row r="1" spans="1:33" ht="15.75" thickBot="1" x14ac:dyDescent="0.3">
      <c r="M1" s="347" t="s">
        <v>0</v>
      </c>
      <c r="N1" s="348"/>
      <c r="O1" s="348"/>
      <c r="P1" s="348"/>
      <c r="Q1" s="348"/>
      <c r="R1" s="348"/>
      <c r="S1" s="348"/>
      <c r="T1" s="348"/>
      <c r="U1" s="348"/>
      <c r="V1" s="348"/>
      <c r="W1" s="348"/>
      <c r="X1" s="348"/>
      <c r="Y1" s="348"/>
      <c r="Z1" s="348"/>
      <c r="AA1" s="348"/>
      <c r="AB1" s="348"/>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145</v>
      </c>
      <c r="B3" s="11"/>
      <c r="C3" s="8"/>
      <c r="D3" s="8"/>
      <c r="E3" s="8"/>
      <c r="F3" s="8"/>
      <c r="G3" s="12">
        <v>41586</v>
      </c>
      <c r="H3" s="13">
        <f>$M$5/26</f>
        <v>0.35714285714285715</v>
      </c>
      <c r="I3" s="14"/>
      <c r="J3" s="216"/>
      <c r="K3" s="14"/>
      <c r="M3" s="15"/>
      <c r="N3" s="8"/>
      <c r="O3" s="9"/>
      <c r="P3" s="9"/>
      <c r="Q3" s="9"/>
      <c r="R3" s="8"/>
    </row>
    <row r="4" spans="1:33" ht="15.75" thickBot="1" x14ac:dyDescent="0.3">
      <c r="A4" s="16"/>
      <c r="B4" s="8"/>
      <c r="C4" s="8"/>
      <c r="D4" s="17"/>
      <c r="E4" s="8"/>
      <c r="F4" s="8"/>
      <c r="G4" s="18"/>
      <c r="H4" s="19"/>
      <c r="I4" s="8"/>
      <c r="J4" s="217"/>
      <c r="K4" s="8"/>
      <c r="M4" s="15">
        <f>G3-M2</f>
        <v>130</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9.2857142857142865</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97</v>
      </c>
      <c r="C6" s="30">
        <f t="shared" ref="C6:C12" si="0">Q9</f>
        <v>4101.939999999996</v>
      </c>
      <c r="D6" s="31">
        <v>1</v>
      </c>
      <c r="E6" s="30">
        <f t="shared" ref="E6:E12" si="1">C6*D6</f>
        <v>4101.939999999996</v>
      </c>
      <c r="F6" s="30">
        <f t="shared" ref="F6:F12" si="2">C6-E6</f>
        <v>0</v>
      </c>
      <c r="G6" s="32"/>
      <c r="H6" s="33"/>
      <c r="I6" s="34"/>
      <c r="J6" s="218"/>
      <c r="K6" s="35"/>
      <c r="M6" s="8"/>
      <c r="N6" s="8"/>
      <c r="O6" t="s">
        <v>71</v>
      </c>
      <c r="P6">
        <v>1</v>
      </c>
      <c r="Q6">
        <v>149</v>
      </c>
      <c r="T6" s="16" t="s">
        <v>71</v>
      </c>
      <c r="U6" s="8">
        <f>Y6</f>
        <v>1</v>
      </c>
      <c r="V6" s="310">
        <f t="shared" ref="V6:V31" si="3">AA6</f>
        <v>14578.980000000016</v>
      </c>
      <c r="X6" t="s">
        <v>71</v>
      </c>
      <c r="Y6">
        <v>1</v>
      </c>
      <c r="Z6" t="s">
        <v>71</v>
      </c>
      <c r="AA6" s="214">
        <v>14578.980000000016</v>
      </c>
      <c r="AB6" s="19"/>
      <c r="AD6" t="s">
        <v>71</v>
      </c>
      <c r="AE6">
        <v>1</v>
      </c>
      <c r="AF6" t="s">
        <v>71</v>
      </c>
      <c r="AG6" s="214">
        <v>14578.980000000016</v>
      </c>
    </row>
    <row r="7" spans="1:33" ht="15" x14ac:dyDescent="0.25">
      <c r="A7" s="38" t="s">
        <v>16</v>
      </c>
      <c r="B7" s="39">
        <f t="shared" ref="B7:B12" si="4">P10</f>
        <v>36</v>
      </c>
      <c r="C7" s="40">
        <f t="shared" si="0"/>
        <v>5586.66</v>
      </c>
      <c r="D7" s="41">
        <v>1</v>
      </c>
      <c r="E7" s="40">
        <f t="shared" si="1"/>
        <v>5586.66</v>
      </c>
      <c r="F7" s="40">
        <f t="shared" si="2"/>
        <v>0</v>
      </c>
      <c r="G7" s="32"/>
      <c r="H7" s="33"/>
      <c r="I7" s="34"/>
      <c r="J7" s="218"/>
      <c r="K7" s="35"/>
      <c r="M7" s="8"/>
      <c r="N7" s="8"/>
      <c r="O7" t="s">
        <v>24</v>
      </c>
      <c r="P7">
        <v>24</v>
      </c>
      <c r="Q7">
        <v>39956.14</v>
      </c>
      <c r="R7">
        <v>6124.91</v>
      </c>
      <c r="T7" s="16" t="s">
        <v>24</v>
      </c>
      <c r="U7" s="8">
        <f t="shared" ref="U7:U31" si="5">Y7</f>
        <v>24</v>
      </c>
      <c r="V7" s="310">
        <f t="shared" si="3"/>
        <v>33474.590000000011</v>
      </c>
      <c r="X7" t="s">
        <v>24</v>
      </c>
      <c r="Y7">
        <v>24</v>
      </c>
      <c r="Z7" t="s">
        <v>24</v>
      </c>
      <c r="AA7" s="214">
        <v>33474.590000000011</v>
      </c>
      <c r="AB7" s="19"/>
      <c r="AD7" t="s">
        <v>24</v>
      </c>
      <c r="AE7">
        <v>24</v>
      </c>
      <c r="AF7" t="s">
        <v>24</v>
      </c>
      <c r="AG7" s="214">
        <v>33474.590000000011</v>
      </c>
    </row>
    <row r="8" spans="1:33" ht="15" x14ac:dyDescent="0.25">
      <c r="A8" s="38" t="s">
        <v>17</v>
      </c>
      <c r="B8" s="39">
        <f t="shared" si="4"/>
        <v>28</v>
      </c>
      <c r="C8" s="40">
        <f t="shared" si="0"/>
        <v>4246</v>
      </c>
      <c r="D8" s="41">
        <v>0.3</v>
      </c>
      <c r="E8" s="40">
        <f t="shared" si="1"/>
        <v>1273.8</v>
      </c>
      <c r="F8" s="40">
        <f t="shared" si="2"/>
        <v>2972.2</v>
      </c>
      <c r="G8" s="32"/>
      <c r="H8" s="33"/>
      <c r="I8" s="34"/>
      <c r="J8" s="218"/>
      <c r="K8" s="35"/>
      <c r="M8" s="8"/>
      <c r="N8" s="8"/>
      <c r="O8" t="s">
        <v>76</v>
      </c>
      <c r="P8">
        <v>1</v>
      </c>
      <c r="Q8">
        <v>2722</v>
      </c>
      <c r="T8" s="16" t="s">
        <v>76</v>
      </c>
      <c r="U8" s="8">
        <f t="shared" si="5"/>
        <v>1</v>
      </c>
      <c r="V8" s="310">
        <f t="shared" si="3"/>
        <v>2781.2599999999989</v>
      </c>
      <c r="X8" t="s">
        <v>76</v>
      </c>
      <c r="Y8">
        <v>1</v>
      </c>
      <c r="Z8" t="s">
        <v>76</v>
      </c>
      <c r="AA8" s="214">
        <v>2781.2599999999989</v>
      </c>
      <c r="AB8" s="19"/>
      <c r="AD8" t="s">
        <v>76</v>
      </c>
      <c r="AE8">
        <v>1</v>
      </c>
      <c r="AF8" t="s">
        <v>76</v>
      </c>
      <c r="AG8" s="214">
        <v>2781.2599999999989</v>
      </c>
    </row>
    <row r="9" spans="1:33" ht="15" x14ac:dyDescent="0.25">
      <c r="A9" s="38" t="s">
        <v>18</v>
      </c>
      <c r="B9" s="39">
        <f t="shared" si="4"/>
        <v>199</v>
      </c>
      <c r="C9" s="40">
        <f t="shared" si="0"/>
        <v>187244.64</v>
      </c>
      <c r="D9" s="41">
        <v>1</v>
      </c>
      <c r="E9" s="40">
        <f t="shared" si="1"/>
        <v>187244.64</v>
      </c>
      <c r="F9" s="40">
        <f t="shared" si="2"/>
        <v>0</v>
      </c>
      <c r="G9" s="32"/>
      <c r="H9" s="33"/>
      <c r="I9" s="34"/>
      <c r="J9" s="218"/>
      <c r="K9" s="35"/>
      <c r="M9" s="8"/>
      <c r="N9" s="8"/>
      <c r="O9" t="s">
        <v>15</v>
      </c>
      <c r="P9">
        <v>97</v>
      </c>
      <c r="Q9">
        <v>4101.939999999996</v>
      </c>
      <c r="T9" s="16" t="s">
        <v>15</v>
      </c>
      <c r="U9" s="8">
        <f t="shared" si="5"/>
        <v>97</v>
      </c>
      <c r="V9" s="310">
        <f t="shared" si="3"/>
        <v>4101.939999999996</v>
      </c>
      <c r="X9" t="s">
        <v>15</v>
      </c>
      <c r="Y9">
        <v>97</v>
      </c>
      <c r="Z9" t="s">
        <v>15</v>
      </c>
      <c r="AA9" s="214">
        <v>4101.939999999996</v>
      </c>
      <c r="AB9" s="19"/>
      <c r="AD9" t="s">
        <v>15</v>
      </c>
      <c r="AE9">
        <v>97</v>
      </c>
      <c r="AF9" t="s">
        <v>15</v>
      </c>
      <c r="AG9" s="214">
        <v>4101.939999999996</v>
      </c>
    </row>
    <row r="10" spans="1:33" ht="15" x14ac:dyDescent="0.25">
      <c r="A10" s="38" t="s">
        <v>19</v>
      </c>
      <c r="B10" s="39">
        <f t="shared" si="4"/>
        <v>27</v>
      </c>
      <c r="C10" s="40">
        <f t="shared" si="0"/>
        <v>20928</v>
      </c>
      <c r="D10" s="41">
        <v>0.3</v>
      </c>
      <c r="E10" s="40">
        <f t="shared" si="1"/>
        <v>6278.4</v>
      </c>
      <c r="F10" s="40">
        <f t="shared" si="2"/>
        <v>14649.6</v>
      </c>
      <c r="G10" s="32"/>
      <c r="H10" s="42"/>
      <c r="I10" s="43"/>
      <c r="J10" s="219"/>
      <c r="K10" s="44"/>
      <c r="L10" s="45"/>
      <c r="M10" s="8"/>
      <c r="N10" s="8"/>
      <c r="O10" s="38" t="s">
        <v>16</v>
      </c>
      <c r="P10">
        <v>36</v>
      </c>
      <c r="Q10">
        <v>5586.66</v>
      </c>
      <c r="R10">
        <v>99.73</v>
      </c>
      <c r="T10" s="16" t="s">
        <v>16</v>
      </c>
      <c r="U10" s="8">
        <f t="shared" si="5"/>
        <v>36</v>
      </c>
      <c r="V10" s="310">
        <f t="shared" si="3"/>
        <v>3866.929999999998</v>
      </c>
      <c r="X10" t="s">
        <v>16</v>
      </c>
      <c r="Y10">
        <v>36</v>
      </c>
      <c r="Z10" t="s">
        <v>16</v>
      </c>
      <c r="AA10" s="214">
        <v>3866.929999999998</v>
      </c>
      <c r="AB10" s="19"/>
      <c r="AD10" t="s">
        <v>16</v>
      </c>
      <c r="AE10">
        <v>36</v>
      </c>
      <c r="AF10" t="s">
        <v>16</v>
      </c>
      <c r="AG10" s="214">
        <v>3866.929999999998</v>
      </c>
    </row>
    <row r="11" spans="1:33" ht="15" x14ac:dyDescent="0.25">
      <c r="A11" s="38" t="s">
        <v>20</v>
      </c>
      <c r="B11" s="39">
        <f t="shared" si="4"/>
        <v>971</v>
      </c>
      <c r="C11" s="40">
        <f t="shared" si="0"/>
        <v>735365.04</v>
      </c>
      <c r="D11" s="41">
        <v>1</v>
      </c>
      <c r="E11" s="40">
        <f t="shared" si="1"/>
        <v>735365.04</v>
      </c>
      <c r="F11" s="40">
        <f t="shared" si="2"/>
        <v>0</v>
      </c>
      <c r="G11" s="32"/>
      <c r="H11" s="42"/>
      <c r="I11" s="43"/>
      <c r="J11" s="219"/>
      <c r="K11" s="44"/>
      <c r="M11" s="8"/>
      <c r="N11" s="8"/>
      <c r="O11" t="s">
        <v>17</v>
      </c>
      <c r="P11">
        <v>28</v>
      </c>
      <c r="Q11">
        <v>4246</v>
      </c>
      <c r="T11" s="16" t="s">
        <v>17</v>
      </c>
      <c r="U11" s="8">
        <f t="shared" si="5"/>
        <v>28</v>
      </c>
      <c r="V11" s="310">
        <f t="shared" si="3"/>
        <v>5841.9099999999989</v>
      </c>
      <c r="X11" t="s">
        <v>17</v>
      </c>
      <c r="Y11">
        <v>28</v>
      </c>
      <c r="Z11" t="s">
        <v>17</v>
      </c>
      <c r="AA11" s="214">
        <v>5841.9099999999989</v>
      </c>
      <c r="AB11" s="19"/>
      <c r="AD11" t="s">
        <v>17</v>
      </c>
      <c r="AE11">
        <v>28</v>
      </c>
      <c r="AF11" t="s">
        <v>17</v>
      </c>
      <c r="AG11" s="214">
        <v>5841.9099999999989</v>
      </c>
    </row>
    <row r="12" spans="1:33" ht="15" x14ac:dyDescent="0.25">
      <c r="A12" s="38" t="s">
        <v>21</v>
      </c>
      <c r="B12" s="39">
        <f t="shared" si="4"/>
        <v>105</v>
      </c>
      <c r="C12" s="40">
        <f t="shared" si="0"/>
        <v>53001.34</v>
      </c>
      <c r="D12" s="41">
        <v>0.3</v>
      </c>
      <c r="E12" s="40">
        <f t="shared" si="1"/>
        <v>15900.401999999998</v>
      </c>
      <c r="F12" s="40">
        <f t="shared" si="2"/>
        <v>37100.937999999995</v>
      </c>
      <c r="G12" s="32"/>
      <c r="H12" s="42"/>
      <c r="I12" s="43"/>
      <c r="J12" s="219"/>
      <c r="K12" s="44"/>
      <c r="M12" s="8"/>
      <c r="N12" s="8"/>
      <c r="O12" t="s">
        <v>18</v>
      </c>
      <c r="P12">
        <v>199</v>
      </c>
      <c r="Q12">
        <v>187244.64</v>
      </c>
      <c r="R12">
        <v>14693.4</v>
      </c>
      <c r="T12" s="16" t="s">
        <v>18</v>
      </c>
      <c r="U12" s="8">
        <f t="shared" si="5"/>
        <v>199</v>
      </c>
      <c r="V12" s="310">
        <f t="shared" si="3"/>
        <v>166250.23999999985</v>
      </c>
      <c r="X12" t="s">
        <v>18</v>
      </c>
      <c r="Y12">
        <v>199</v>
      </c>
      <c r="Z12" t="s">
        <v>18</v>
      </c>
      <c r="AA12" s="214">
        <v>166250.23999999985</v>
      </c>
      <c r="AB12" s="19"/>
      <c r="AD12" t="s">
        <v>18</v>
      </c>
      <c r="AE12">
        <v>199</v>
      </c>
      <c r="AF12" t="s">
        <v>18</v>
      </c>
      <c r="AG12" s="214">
        <v>166250.23999999985</v>
      </c>
    </row>
    <row r="13" spans="1:33" ht="15" customHeight="1" thickBot="1" x14ac:dyDescent="0.3">
      <c r="A13" s="46" t="s">
        <v>22</v>
      </c>
      <c r="B13" s="47">
        <f>SUM(B6:B12)</f>
        <v>1463</v>
      </c>
      <c r="C13" s="48">
        <f>SUM(C6:C12)</f>
        <v>1010473.62</v>
      </c>
      <c r="D13" s="49"/>
      <c r="E13" s="48">
        <f>SUM(E6:E12)</f>
        <v>955750.88199999998</v>
      </c>
      <c r="F13" s="50">
        <f>SUM(F6:F12)</f>
        <v>54722.737999999998</v>
      </c>
      <c r="G13" s="51">
        <v>2724921</v>
      </c>
      <c r="H13" s="52">
        <f>E13/G13</f>
        <v>0.35074443699468716</v>
      </c>
      <c r="I13" s="53"/>
      <c r="J13" s="220">
        <f>(H13/H$3)*G$13</f>
        <v>2676102.4696</v>
      </c>
      <c r="K13" s="55">
        <f>J13-G13</f>
        <v>-48818.530400000047</v>
      </c>
      <c r="M13" s="8"/>
      <c r="N13" s="8"/>
      <c r="O13" t="s">
        <v>19</v>
      </c>
      <c r="P13">
        <v>27</v>
      </c>
      <c r="Q13">
        <v>20928</v>
      </c>
      <c r="T13" s="16" t="s">
        <v>19</v>
      </c>
      <c r="U13" s="8">
        <f>Y13</f>
        <v>27</v>
      </c>
      <c r="V13" s="310">
        <f t="shared" si="3"/>
        <v>27229.47</v>
      </c>
      <c r="X13" t="s">
        <v>19</v>
      </c>
      <c r="Y13">
        <v>27</v>
      </c>
      <c r="Z13" t="s">
        <v>19</v>
      </c>
      <c r="AA13" s="214">
        <v>27229.47</v>
      </c>
      <c r="AB13" s="19"/>
      <c r="AD13" t="s">
        <v>19</v>
      </c>
      <c r="AE13">
        <v>27</v>
      </c>
      <c r="AF13" t="s">
        <v>19</v>
      </c>
      <c r="AG13" s="214">
        <v>27229.47</v>
      </c>
    </row>
    <row r="14" spans="1:33" ht="15" thickBot="1" x14ac:dyDescent="0.35">
      <c r="A14" s="57"/>
      <c r="B14" s="58"/>
      <c r="C14" s="59"/>
      <c r="D14" s="60"/>
      <c r="E14" s="59"/>
      <c r="F14" s="59"/>
      <c r="G14" s="61"/>
      <c r="H14" s="62"/>
      <c r="I14" s="63"/>
      <c r="J14" s="349"/>
      <c r="K14" s="338"/>
      <c r="M14" s="8"/>
      <c r="N14" s="8"/>
      <c r="O14" t="s">
        <v>20</v>
      </c>
      <c r="P14">
        <v>971</v>
      </c>
      <c r="Q14">
        <v>735365.04</v>
      </c>
      <c r="R14">
        <v>73068.22</v>
      </c>
      <c r="T14" s="16" t="s">
        <v>20</v>
      </c>
      <c r="U14" s="8">
        <f t="shared" si="5"/>
        <v>971</v>
      </c>
      <c r="V14" s="310">
        <f t="shared" si="3"/>
        <v>652639.85999999929</v>
      </c>
      <c r="X14" t="s">
        <v>20</v>
      </c>
      <c r="Y14">
        <v>971</v>
      </c>
      <c r="Z14" t="s">
        <v>20</v>
      </c>
      <c r="AA14" s="214">
        <v>652639.85999999929</v>
      </c>
      <c r="AB14" s="19"/>
      <c r="AD14" t="s">
        <v>20</v>
      </c>
      <c r="AE14">
        <v>971</v>
      </c>
      <c r="AF14" t="s">
        <v>20</v>
      </c>
      <c r="AG14" s="214">
        <v>652639.85999999929</v>
      </c>
    </row>
    <row r="15" spans="1:33" x14ac:dyDescent="0.3">
      <c r="A15" s="65" t="s">
        <v>23</v>
      </c>
      <c r="B15" s="66">
        <f>P7</f>
        <v>24</v>
      </c>
      <c r="C15" s="67">
        <f t="shared" ref="C15:C16" si="6">Q7</f>
        <v>39956.14</v>
      </c>
      <c r="D15" s="68">
        <v>1</v>
      </c>
      <c r="E15" s="67">
        <f>C15*D15</f>
        <v>39956.14</v>
      </c>
      <c r="F15" s="67">
        <v>0</v>
      </c>
      <c r="G15" s="69"/>
      <c r="H15" s="70"/>
      <c r="I15" s="71"/>
      <c r="J15" s="339"/>
      <c r="K15" s="340"/>
      <c r="M15" s="8"/>
      <c r="N15" s="8"/>
      <c r="O15" t="s">
        <v>21</v>
      </c>
      <c r="P15">
        <v>105</v>
      </c>
      <c r="Q15">
        <v>53001.34</v>
      </c>
      <c r="R15">
        <v>377.34</v>
      </c>
      <c r="T15" s="16" t="s">
        <v>21</v>
      </c>
      <c r="U15" s="8">
        <f t="shared" si="5"/>
        <v>105</v>
      </c>
      <c r="V15" s="310">
        <f t="shared" si="3"/>
        <v>62281.159999999967</v>
      </c>
      <c r="X15" t="s">
        <v>21</v>
      </c>
      <c r="Y15">
        <v>105</v>
      </c>
      <c r="Z15" t="s">
        <v>21</v>
      </c>
      <c r="AA15" s="214">
        <v>62281.159999999967</v>
      </c>
      <c r="AB15" s="19"/>
      <c r="AD15" t="s">
        <v>21</v>
      </c>
      <c r="AE15">
        <v>105</v>
      </c>
      <c r="AF15" t="s">
        <v>21</v>
      </c>
      <c r="AG15" s="214">
        <v>62281.159999999967</v>
      </c>
    </row>
    <row r="16" spans="1:33" x14ac:dyDescent="0.3">
      <c r="A16" s="72" t="s">
        <v>25</v>
      </c>
      <c r="B16" s="39">
        <f t="shared" ref="B16" si="7">P8</f>
        <v>1</v>
      </c>
      <c r="C16" s="40">
        <f t="shared" si="6"/>
        <v>2722</v>
      </c>
      <c r="D16" s="73">
        <v>0.3</v>
      </c>
      <c r="E16" s="40">
        <f>C16*D16</f>
        <v>816.6</v>
      </c>
      <c r="F16" s="40">
        <f>C16-E16</f>
        <v>1905.4</v>
      </c>
      <c r="G16" s="69"/>
      <c r="H16" s="70"/>
      <c r="I16" s="71"/>
      <c r="J16" s="341"/>
      <c r="K16" s="342"/>
      <c r="M16" s="8"/>
      <c r="N16" s="8"/>
      <c r="O16" s="16" t="s">
        <v>80</v>
      </c>
      <c r="P16">
        <v>41</v>
      </c>
      <c r="Q16">
        <v>55641.69</v>
      </c>
      <c r="T16" s="16" t="s">
        <v>80</v>
      </c>
      <c r="U16">
        <v>41</v>
      </c>
      <c r="V16">
        <v>55641.69</v>
      </c>
      <c r="AA16" s="214"/>
      <c r="AB16" s="19"/>
      <c r="AG16" s="214"/>
    </row>
    <row r="17" spans="1:33" ht="15" customHeight="1" thickBot="1" x14ac:dyDescent="0.35">
      <c r="A17" s="74" t="s">
        <v>26</v>
      </c>
      <c r="B17" s="75">
        <f>SUM(B15:B16)</f>
        <v>25</v>
      </c>
      <c r="C17" s="76">
        <f>SUM(C15:C16)</f>
        <v>42678.14</v>
      </c>
      <c r="D17" s="77"/>
      <c r="E17" s="76">
        <f>SUM(E15:E16)</f>
        <v>40772.74</v>
      </c>
      <c r="F17" s="76">
        <f>F16</f>
        <v>1905.4</v>
      </c>
      <c r="G17" s="78">
        <v>100000</v>
      </c>
      <c r="H17" s="79">
        <f>E17/G17</f>
        <v>0.40772739999999996</v>
      </c>
      <c r="I17" s="80"/>
      <c r="J17" s="321">
        <f>(H17/H$3)*G$17</f>
        <v>114163.67199999999</v>
      </c>
      <c r="K17" s="81">
        <f>J17-G17</f>
        <v>14163.671999999991</v>
      </c>
      <c r="M17" s="8"/>
      <c r="N17" s="8"/>
      <c r="O17" t="s">
        <v>72</v>
      </c>
      <c r="P17">
        <v>251</v>
      </c>
      <c r="Q17">
        <v>263430.49</v>
      </c>
      <c r="R17">
        <v>64321.62</v>
      </c>
      <c r="T17" s="16" t="s">
        <v>72</v>
      </c>
      <c r="U17" s="8">
        <f t="shared" si="5"/>
        <v>251</v>
      </c>
      <c r="V17" s="310">
        <f t="shared" si="3"/>
        <v>191396.36999999976</v>
      </c>
      <c r="X17" t="s">
        <v>72</v>
      </c>
      <c r="Y17">
        <v>251</v>
      </c>
      <c r="Z17" t="s">
        <v>72</v>
      </c>
      <c r="AA17" s="214">
        <v>191396.36999999976</v>
      </c>
      <c r="AB17" s="19"/>
      <c r="AD17" t="s">
        <v>72</v>
      </c>
      <c r="AE17">
        <v>251</v>
      </c>
      <c r="AF17" t="s">
        <v>72</v>
      </c>
      <c r="AG17" s="214">
        <v>191396.36999999976</v>
      </c>
    </row>
    <row r="18" spans="1:33" ht="15" thickBot="1" x14ac:dyDescent="0.35">
      <c r="A18" s="57"/>
      <c r="B18" s="82"/>
      <c r="C18" s="61"/>
      <c r="D18" s="83"/>
      <c r="E18" s="61"/>
      <c r="F18" s="61"/>
      <c r="G18" s="61"/>
      <c r="H18" s="62"/>
      <c r="I18" s="63"/>
      <c r="J18" s="349"/>
      <c r="K18" s="338"/>
      <c r="M18" s="8"/>
      <c r="N18" s="8"/>
      <c r="O18" t="s">
        <v>31</v>
      </c>
      <c r="P18">
        <v>80</v>
      </c>
      <c r="Q18">
        <v>36852</v>
      </c>
      <c r="T18" s="16" t="s">
        <v>31</v>
      </c>
      <c r="U18" s="8">
        <f t="shared" si="5"/>
        <v>80</v>
      </c>
      <c r="V18" s="310">
        <f t="shared" si="3"/>
        <v>43829.51</v>
      </c>
      <c r="X18" t="s">
        <v>31</v>
      </c>
      <c r="Y18">
        <v>80</v>
      </c>
      <c r="Z18" t="s">
        <v>31</v>
      </c>
      <c r="AA18" s="214">
        <v>43829.51</v>
      </c>
      <c r="AB18" s="19"/>
      <c r="AD18" t="s">
        <v>31</v>
      </c>
      <c r="AE18">
        <v>80</v>
      </c>
      <c r="AF18" t="s">
        <v>31</v>
      </c>
      <c r="AG18" s="214">
        <v>43829.51</v>
      </c>
    </row>
    <row r="19" spans="1:33" x14ac:dyDescent="0.3">
      <c r="A19" s="65" t="s">
        <v>27</v>
      </c>
      <c r="B19" s="66"/>
      <c r="C19" s="67">
        <v>14430</v>
      </c>
      <c r="D19" s="68">
        <v>1</v>
      </c>
      <c r="E19" s="67">
        <f>C19*D19</f>
        <v>14430</v>
      </c>
      <c r="F19" s="67">
        <v>0</v>
      </c>
      <c r="G19" s="69"/>
      <c r="H19" s="70"/>
      <c r="I19" s="71"/>
      <c r="J19" s="339"/>
      <c r="K19" s="340"/>
      <c r="M19" s="8"/>
      <c r="N19" s="8"/>
      <c r="O19" t="s">
        <v>73</v>
      </c>
      <c r="P19">
        <v>146</v>
      </c>
      <c r="Q19">
        <v>185087.55</v>
      </c>
      <c r="R19">
        <v>26075.17</v>
      </c>
      <c r="T19" s="16" t="s">
        <v>73</v>
      </c>
      <c r="U19" s="8">
        <f t="shared" si="5"/>
        <v>146</v>
      </c>
      <c r="V19" s="310">
        <f t="shared" si="3"/>
        <v>155321.43999999992</v>
      </c>
      <c r="X19" t="s">
        <v>73</v>
      </c>
      <c r="Y19">
        <v>146</v>
      </c>
      <c r="Z19" t="s">
        <v>73</v>
      </c>
      <c r="AA19" s="214">
        <v>155321.43999999992</v>
      </c>
      <c r="AB19" s="19"/>
      <c r="AD19" t="s">
        <v>73</v>
      </c>
      <c r="AE19">
        <v>146</v>
      </c>
      <c r="AF19" t="s">
        <v>73</v>
      </c>
      <c r="AG19" s="214">
        <v>155321.43999999992</v>
      </c>
    </row>
    <row r="20" spans="1:33" x14ac:dyDescent="0.3">
      <c r="A20" s="72" t="s">
        <v>28</v>
      </c>
      <c r="B20" s="39">
        <f>P6</f>
        <v>1</v>
      </c>
      <c r="C20" s="40">
        <f>Q6</f>
        <v>149</v>
      </c>
      <c r="D20" s="73">
        <v>0.3</v>
      </c>
      <c r="E20" s="40">
        <f>C20*D20</f>
        <v>44.699999999999996</v>
      </c>
      <c r="F20" s="40">
        <f>C20-E20</f>
        <v>104.30000000000001</v>
      </c>
      <c r="G20" s="69"/>
      <c r="H20" s="70"/>
      <c r="I20" s="71"/>
      <c r="J20" s="341"/>
      <c r="K20" s="342"/>
      <c r="M20" s="8"/>
      <c r="N20" s="8"/>
      <c r="O20" t="s">
        <v>74</v>
      </c>
      <c r="P20">
        <v>22</v>
      </c>
      <c r="Q20">
        <v>17530</v>
      </c>
      <c r="T20" s="16" t="s">
        <v>74</v>
      </c>
      <c r="U20" s="8">
        <f t="shared" si="5"/>
        <v>22</v>
      </c>
      <c r="V20" s="310">
        <f t="shared" si="3"/>
        <v>20925.060000000005</v>
      </c>
      <c r="X20" t="s">
        <v>74</v>
      </c>
      <c r="Y20">
        <v>22</v>
      </c>
      <c r="Z20" t="s">
        <v>74</v>
      </c>
      <c r="AA20" s="214">
        <v>20925.060000000005</v>
      </c>
      <c r="AB20" s="19"/>
      <c r="AD20" t="s">
        <v>74</v>
      </c>
      <c r="AE20">
        <v>22</v>
      </c>
      <c r="AF20" t="s">
        <v>74</v>
      </c>
      <c r="AG20" s="214">
        <v>20925.060000000005</v>
      </c>
    </row>
    <row r="21" spans="1:33" ht="15" customHeight="1" thickBot="1" x14ac:dyDescent="0.3">
      <c r="A21" s="74" t="s">
        <v>29</v>
      </c>
      <c r="B21" s="75">
        <f>SUM(B19:B20)</f>
        <v>1</v>
      </c>
      <c r="C21" s="76">
        <f>SUM(C19:C20)</f>
        <v>14579</v>
      </c>
      <c r="D21" s="77"/>
      <c r="E21" s="76">
        <f>SUM(E19:E20)</f>
        <v>14474.7</v>
      </c>
      <c r="F21" s="76">
        <f>F20</f>
        <v>104.30000000000001</v>
      </c>
      <c r="G21" s="78">
        <v>100000</v>
      </c>
      <c r="H21" s="79">
        <f>E21/G21</f>
        <v>0.14474700000000001</v>
      </c>
      <c r="I21" s="80"/>
      <c r="J21" s="321">
        <f>(H21/H$3)*G$21</f>
        <v>40529.160000000003</v>
      </c>
      <c r="K21" s="81">
        <f>J21-G21</f>
        <v>-59470.84</v>
      </c>
      <c r="M21" s="8"/>
      <c r="N21" s="8"/>
      <c r="O21" t="s">
        <v>38</v>
      </c>
      <c r="P21">
        <v>458</v>
      </c>
      <c r="Q21">
        <v>391108.05</v>
      </c>
      <c r="R21">
        <v>9599.94</v>
      </c>
      <c r="T21" s="16" t="s">
        <v>38</v>
      </c>
      <c r="U21" s="8">
        <f t="shared" si="5"/>
        <v>458</v>
      </c>
      <c r="V21" s="310">
        <f t="shared" si="3"/>
        <v>254118.94999999946</v>
      </c>
      <c r="X21" t="s">
        <v>38</v>
      </c>
      <c r="Y21">
        <v>458</v>
      </c>
      <c r="Z21" t="s">
        <v>38</v>
      </c>
      <c r="AA21" s="214">
        <v>254118.94999999946</v>
      </c>
      <c r="AB21" s="19"/>
      <c r="AD21" t="s">
        <v>38</v>
      </c>
      <c r="AE21">
        <v>458</v>
      </c>
      <c r="AF21" t="s">
        <v>38</v>
      </c>
      <c r="AG21" s="214">
        <v>254118.94999999946</v>
      </c>
    </row>
    <row r="22" spans="1:33" ht="15" thickBot="1" x14ac:dyDescent="0.35">
      <c r="A22" s="57"/>
      <c r="B22" s="82"/>
      <c r="C22" s="61"/>
      <c r="D22" s="83"/>
      <c r="E22" s="61"/>
      <c r="F22" s="61"/>
      <c r="G22" s="61"/>
      <c r="H22" s="62"/>
      <c r="I22" s="63"/>
      <c r="J22" s="349"/>
      <c r="K22" s="338"/>
      <c r="M22" s="8"/>
      <c r="N22" s="8"/>
      <c r="O22" t="s">
        <v>40</v>
      </c>
      <c r="P22">
        <v>53</v>
      </c>
      <c r="Q22">
        <v>26851</v>
      </c>
      <c r="T22" s="16" t="s">
        <v>40</v>
      </c>
      <c r="U22" s="8">
        <f t="shared" si="5"/>
        <v>53</v>
      </c>
      <c r="V22" s="310">
        <f t="shared" si="3"/>
        <v>76883.58</v>
      </c>
      <c r="X22" t="s">
        <v>40</v>
      </c>
      <c r="Y22">
        <v>53</v>
      </c>
      <c r="Z22" t="s">
        <v>40</v>
      </c>
      <c r="AA22" s="214">
        <v>76883.58</v>
      </c>
      <c r="AB22" s="19"/>
      <c r="AD22" t="s">
        <v>40</v>
      </c>
      <c r="AE22">
        <v>53</v>
      </c>
      <c r="AF22" t="s">
        <v>40</v>
      </c>
      <c r="AG22" s="214">
        <v>76883.58</v>
      </c>
    </row>
    <row r="23" spans="1:33" x14ac:dyDescent="0.3">
      <c r="A23" s="84" t="s">
        <v>30</v>
      </c>
      <c r="B23" s="85">
        <f>P17</f>
        <v>251</v>
      </c>
      <c r="C23" s="86">
        <f t="shared" ref="C23:C24" si="8">Q17</f>
        <v>263430.49</v>
      </c>
      <c r="D23" s="87">
        <v>1</v>
      </c>
      <c r="E23" s="86">
        <f>C23*D23</f>
        <v>263430.49</v>
      </c>
      <c r="F23" s="88"/>
      <c r="G23" s="89"/>
      <c r="H23" s="90"/>
      <c r="I23" s="91"/>
      <c r="J23" s="339"/>
      <c r="K23" s="340"/>
      <c r="M23" s="8"/>
      <c r="N23" s="8"/>
      <c r="O23" t="s">
        <v>58</v>
      </c>
      <c r="P23">
        <v>921</v>
      </c>
      <c r="Q23">
        <v>480075.08</v>
      </c>
      <c r="R23">
        <v>496.02</v>
      </c>
      <c r="T23" s="16" t="s">
        <v>58</v>
      </c>
      <c r="U23" s="8">
        <f t="shared" si="5"/>
        <v>921</v>
      </c>
      <c r="V23" s="310">
        <f t="shared" si="3"/>
        <v>479579.05999999866</v>
      </c>
      <c r="X23" t="s">
        <v>58</v>
      </c>
      <c r="Y23">
        <v>921</v>
      </c>
      <c r="Z23" t="s">
        <v>58</v>
      </c>
      <c r="AA23" s="214">
        <v>479579.05999999866</v>
      </c>
      <c r="AB23" s="19"/>
      <c r="AD23" t="s">
        <v>58</v>
      </c>
      <c r="AE23">
        <v>921</v>
      </c>
      <c r="AF23" t="s">
        <v>58</v>
      </c>
      <c r="AG23" s="214">
        <v>479579.05999999866</v>
      </c>
    </row>
    <row r="24" spans="1:33" x14ac:dyDescent="0.3">
      <c r="A24" s="84" t="s">
        <v>32</v>
      </c>
      <c r="B24" s="85">
        <f t="shared" ref="B24" si="9">P18</f>
        <v>80</v>
      </c>
      <c r="C24" s="93">
        <f t="shared" si="8"/>
        <v>36852</v>
      </c>
      <c r="D24" s="94">
        <v>0.3</v>
      </c>
      <c r="E24" s="93">
        <f>C24*D24</f>
        <v>11055.6</v>
      </c>
      <c r="F24" s="95">
        <f>C24-E24</f>
        <v>25796.400000000001</v>
      </c>
      <c r="G24" s="96"/>
      <c r="H24" s="97"/>
      <c r="I24" s="91"/>
      <c r="J24" s="341"/>
      <c r="K24" s="342"/>
      <c r="M24" s="8"/>
      <c r="N24" s="8"/>
      <c r="O24" t="s">
        <v>43</v>
      </c>
      <c r="P24">
        <v>151</v>
      </c>
      <c r="Q24">
        <v>387132.91</v>
      </c>
      <c r="R24">
        <v>47278.22</v>
      </c>
      <c r="T24" s="16" t="s">
        <v>43</v>
      </c>
      <c r="U24" s="8">
        <f t="shared" si="5"/>
        <v>151</v>
      </c>
      <c r="V24" s="310">
        <f t="shared" si="3"/>
        <v>213152.79999999996</v>
      </c>
      <c r="X24" t="s">
        <v>43</v>
      </c>
      <c r="Y24">
        <v>151</v>
      </c>
      <c r="Z24" t="s">
        <v>43</v>
      </c>
      <c r="AA24" s="214">
        <v>213152.79999999996</v>
      </c>
      <c r="AB24" s="19"/>
      <c r="AD24" t="s">
        <v>43</v>
      </c>
      <c r="AE24">
        <v>151</v>
      </c>
      <c r="AF24" t="s">
        <v>43</v>
      </c>
      <c r="AG24" s="214">
        <v>213152.79999999996</v>
      </c>
    </row>
    <row r="25" spans="1:33" ht="15" customHeight="1" thickBot="1" x14ac:dyDescent="0.3">
      <c r="A25" s="74" t="s">
        <v>33</v>
      </c>
      <c r="B25" s="75">
        <f>SUM(B23:B24)</f>
        <v>331</v>
      </c>
      <c r="C25" s="76">
        <f>SUM(C23:C24)</f>
        <v>300282.49</v>
      </c>
      <c r="D25" s="77"/>
      <c r="E25" s="76">
        <f>SUM(E23:E24)</f>
        <v>274486.08999999997</v>
      </c>
      <c r="F25" s="76">
        <f>F24</f>
        <v>25796.400000000001</v>
      </c>
      <c r="G25" s="78">
        <v>750000</v>
      </c>
      <c r="H25" s="79">
        <f>E25/G25</f>
        <v>0.36598145333333332</v>
      </c>
      <c r="I25" s="80"/>
      <c r="J25" s="321">
        <f>(H25/H$3)*G$25</f>
        <v>768561.05199999991</v>
      </c>
      <c r="K25" s="81">
        <f>J25-G25</f>
        <v>18561.051999999909</v>
      </c>
      <c r="M25" s="8"/>
      <c r="N25" s="8"/>
      <c r="O25" t="s">
        <v>45</v>
      </c>
      <c r="P25">
        <v>155</v>
      </c>
      <c r="Q25">
        <v>90505.88</v>
      </c>
      <c r="R25">
        <v>168.88</v>
      </c>
      <c r="T25" s="16" t="s">
        <v>45</v>
      </c>
      <c r="U25" s="8">
        <f t="shared" si="5"/>
        <v>155</v>
      </c>
      <c r="V25" s="310">
        <f t="shared" si="3"/>
        <v>216227.19000000003</v>
      </c>
      <c r="X25" t="s">
        <v>45</v>
      </c>
      <c r="Y25">
        <v>155</v>
      </c>
      <c r="Z25" t="s">
        <v>45</v>
      </c>
      <c r="AA25" s="214">
        <v>216227.19000000003</v>
      </c>
      <c r="AB25" s="19"/>
      <c r="AD25" t="s">
        <v>45</v>
      </c>
      <c r="AE25">
        <v>155</v>
      </c>
      <c r="AF25" t="s">
        <v>45</v>
      </c>
      <c r="AG25" s="214">
        <v>216227.19000000003</v>
      </c>
    </row>
    <row r="26" spans="1:33" ht="15" thickBot="1" x14ac:dyDescent="0.35">
      <c r="A26" s="57"/>
      <c r="B26" s="82"/>
      <c r="C26" s="61"/>
      <c r="D26" s="83"/>
      <c r="E26" s="61"/>
      <c r="F26" s="61"/>
      <c r="G26" s="61"/>
      <c r="H26" s="62"/>
      <c r="I26" s="63"/>
      <c r="J26" s="337"/>
      <c r="K26" s="350"/>
      <c r="M26" s="8"/>
      <c r="N26" s="8"/>
      <c r="O26" t="s">
        <v>48</v>
      </c>
      <c r="P26">
        <v>83</v>
      </c>
      <c r="Q26">
        <v>134011.82</v>
      </c>
      <c r="R26">
        <v>24610.25</v>
      </c>
      <c r="T26" s="16" t="s">
        <v>48</v>
      </c>
      <c r="U26" s="8">
        <f t="shared" si="5"/>
        <v>83</v>
      </c>
      <c r="V26" s="310">
        <f t="shared" si="3"/>
        <v>100306.33999999998</v>
      </c>
      <c r="X26" t="s">
        <v>48</v>
      </c>
      <c r="Y26">
        <v>83</v>
      </c>
      <c r="Z26" t="s">
        <v>48</v>
      </c>
      <c r="AA26" s="214">
        <v>100306.33999999998</v>
      </c>
      <c r="AB26" s="19"/>
      <c r="AD26" t="s">
        <v>48</v>
      </c>
      <c r="AE26">
        <v>83</v>
      </c>
      <c r="AF26" t="s">
        <v>48</v>
      </c>
      <c r="AG26" s="214">
        <v>100306.33999999998</v>
      </c>
    </row>
    <row r="27" spans="1:33" x14ac:dyDescent="0.3">
      <c r="A27" s="65" t="s">
        <v>34</v>
      </c>
      <c r="B27" s="98">
        <f>P19</f>
        <v>146</v>
      </c>
      <c r="C27" s="99">
        <f t="shared" ref="C27:C28" si="10">Q19</f>
        <v>185087.55</v>
      </c>
      <c r="D27" s="100">
        <v>1</v>
      </c>
      <c r="E27" s="101">
        <f>C27*D27</f>
        <v>185087.55</v>
      </c>
      <c r="F27" s="101">
        <v>0</v>
      </c>
      <c r="G27" s="69"/>
      <c r="H27" s="70"/>
      <c r="I27" s="71"/>
      <c r="J27" s="351"/>
      <c r="K27" s="352"/>
      <c r="M27" s="8"/>
      <c r="N27" s="8"/>
      <c r="O27" t="s">
        <v>50</v>
      </c>
      <c r="P27">
        <v>25</v>
      </c>
      <c r="Q27">
        <v>10135</v>
      </c>
      <c r="T27" s="16" t="s">
        <v>50</v>
      </c>
      <c r="U27" s="8">
        <f t="shared" si="5"/>
        <v>25</v>
      </c>
      <c r="V27" s="310">
        <f t="shared" si="3"/>
        <v>18509.689999999991</v>
      </c>
      <c r="X27" t="s">
        <v>50</v>
      </c>
      <c r="Y27">
        <v>25</v>
      </c>
      <c r="Z27" t="s">
        <v>50</v>
      </c>
      <c r="AA27" s="214">
        <v>18509.689999999991</v>
      </c>
      <c r="AB27" s="19"/>
      <c r="AD27" t="s">
        <v>50</v>
      </c>
      <c r="AE27">
        <v>25</v>
      </c>
      <c r="AF27" t="s">
        <v>50</v>
      </c>
      <c r="AG27" s="214">
        <v>18509.689999999991</v>
      </c>
    </row>
    <row r="28" spans="1:33" x14ac:dyDescent="0.3">
      <c r="A28" s="72" t="s">
        <v>35</v>
      </c>
      <c r="B28" s="102">
        <f t="shared" ref="B28" si="11">P20</f>
        <v>22</v>
      </c>
      <c r="C28" s="103">
        <f t="shared" si="10"/>
        <v>17530</v>
      </c>
      <c r="D28" s="104">
        <v>0.3</v>
      </c>
      <c r="E28" s="105">
        <f>C28*D28</f>
        <v>5259</v>
      </c>
      <c r="F28" s="105">
        <f>C28-E28</f>
        <v>12271</v>
      </c>
      <c r="G28" s="69"/>
      <c r="H28" s="70"/>
      <c r="I28" s="71"/>
      <c r="J28" s="353"/>
      <c r="K28" s="354"/>
      <c r="M28" s="8"/>
      <c r="N28" s="8"/>
      <c r="O28" t="s">
        <v>60</v>
      </c>
      <c r="P28">
        <v>1331</v>
      </c>
      <c r="Q28">
        <v>18693</v>
      </c>
      <c r="T28" s="16" t="s">
        <v>60</v>
      </c>
      <c r="U28" s="8">
        <f t="shared" si="5"/>
        <v>1331</v>
      </c>
      <c r="V28" s="310">
        <f t="shared" si="3"/>
        <v>18458.929999999993</v>
      </c>
      <c r="X28" t="s">
        <v>60</v>
      </c>
      <c r="Y28">
        <v>1331</v>
      </c>
      <c r="Z28" t="s">
        <v>60</v>
      </c>
      <c r="AA28" s="214">
        <v>18458.929999999993</v>
      </c>
      <c r="AB28" s="19"/>
      <c r="AD28" t="s">
        <v>60</v>
      </c>
      <c r="AE28">
        <v>1331</v>
      </c>
      <c r="AF28" t="s">
        <v>60</v>
      </c>
      <c r="AG28" s="214">
        <v>18458.929999999993</v>
      </c>
    </row>
    <row r="29" spans="1:33" ht="15" customHeight="1" thickBot="1" x14ac:dyDescent="0.35">
      <c r="A29" s="74" t="s">
        <v>36</v>
      </c>
      <c r="B29" s="75">
        <f>SUM(B27:B28)</f>
        <v>168</v>
      </c>
      <c r="C29" s="76">
        <f>SUM(C27:C28)</f>
        <v>202617.55</v>
      </c>
      <c r="D29" s="77"/>
      <c r="E29" s="76">
        <f>SUM(E27:E28)</f>
        <v>190346.55</v>
      </c>
      <c r="F29" s="76">
        <f>F28</f>
        <v>12271</v>
      </c>
      <c r="G29" s="78">
        <v>429000</v>
      </c>
      <c r="H29" s="79">
        <f>E29/G29</f>
        <v>0.44369825174825173</v>
      </c>
      <c r="I29" s="80"/>
      <c r="J29" s="321">
        <f>(H29/H$3)*G$29</f>
        <v>532970.34</v>
      </c>
      <c r="K29" s="81">
        <f>J29-G29</f>
        <v>103970.33999999997</v>
      </c>
      <c r="M29" s="8"/>
      <c r="N29" s="8"/>
      <c r="O29" t="s">
        <v>53</v>
      </c>
      <c r="P29">
        <v>47</v>
      </c>
      <c r="Q29">
        <v>81433.73</v>
      </c>
      <c r="R29">
        <v>11273.38</v>
      </c>
      <c r="T29" s="16" t="s">
        <v>53</v>
      </c>
      <c r="U29" s="8">
        <f t="shared" si="5"/>
        <v>47</v>
      </c>
      <c r="V29" s="310">
        <f t="shared" si="3"/>
        <v>49350.35000000002</v>
      </c>
      <c r="X29" t="s">
        <v>53</v>
      </c>
      <c r="Y29">
        <v>47</v>
      </c>
      <c r="Z29" t="s">
        <v>53</v>
      </c>
      <c r="AA29" s="214">
        <v>49350.35000000002</v>
      </c>
      <c r="AB29" s="19"/>
      <c r="AD29" t="s">
        <v>53</v>
      </c>
      <c r="AE29">
        <v>47</v>
      </c>
      <c r="AF29" t="s">
        <v>53</v>
      </c>
      <c r="AG29" s="214">
        <v>49350.35000000002</v>
      </c>
    </row>
    <row r="30" spans="1:33" ht="15" thickBot="1" x14ac:dyDescent="0.35">
      <c r="A30" s="57"/>
      <c r="B30" s="82"/>
      <c r="C30" s="61"/>
      <c r="D30" s="83"/>
      <c r="E30" s="61"/>
      <c r="F30" s="61"/>
      <c r="G30" s="61"/>
      <c r="H30" s="62"/>
      <c r="I30" s="356"/>
      <c r="J30" s="355"/>
      <c r="K30" s="338"/>
      <c r="M30" s="8"/>
      <c r="N30" s="8"/>
      <c r="O30" t="s">
        <v>55</v>
      </c>
      <c r="P30">
        <v>29</v>
      </c>
      <c r="Q30">
        <v>24455.64</v>
      </c>
      <c r="R30">
        <v>134.63999999999999</v>
      </c>
      <c r="T30" s="16" t="s">
        <v>55</v>
      </c>
      <c r="U30" s="8">
        <f t="shared" si="5"/>
        <v>29</v>
      </c>
      <c r="V30" s="310">
        <f t="shared" si="3"/>
        <v>44584.759999999987</v>
      </c>
      <c r="X30" t="s">
        <v>55</v>
      </c>
      <c r="Y30">
        <v>29</v>
      </c>
      <c r="Z30" t="s">
        <v>55</v>
      </c>
      <c r="AA30" s="214">
        <v>44584.759999999987</v>
      </c>
      <c r="AB30" s="19"/>
      <c r="AD30" t="s">
        <v>55</v>
      </c>
      <c r="AE30">
        <v>29</v>
      </c>
      <c r="AF30" t="s">
        <v>55</v>
      </c>
      <c r="AG30" s="214">
        <v>44584.759999999987</v>
      </c>
    </row>
    <row r="31" spans="1:33" ht="15" thickBot="1" x14ac:dyDescent="0.35">
      <c r="A31" s="106" t="s">
        <v>37</v>
      </c>
      <c r="B31" s="107">
        <f>P21</f>
        <v>458</v>
      </c>
      <c r="C31" s="108">
        <f t="shared" ref="C31:C32" si="12">Q21</f>
        <v>391108.05</v>
      </c>
      <c r="D31" s="109">
        <v>1</v>
      </c>
      <c r="E31" s="110">
        <f>C31*D31</f>
        <v>391108.05</v>
      </c>
      <c r="F31" s="111"/>
      <c r="G31" s="358"/>
      <c r="H31" s="360"/>
      <c r="I31" s="357"/>
      <c r="J31" s="339"/>
      <c r="K31" s="340"/>
      <c r="M31" s="8"/>
      <c r="N31" s="8"/>
      <c r="O31" t="s">
        <v>61</v>
      </c>
      <c r="P31">
        <v>5241</v>
      </c>
      <c r="Q31">
        <v>2855690.3699999964</v>
      </c>
      <c r="T31" s="230" t="s">
        <v>61</v>
      </c>
      <c r="U31" s="8">
        <f t="shared" si="5"/>
        <v>5241</v>
      </c>
      <c r="V31" s="310">
        <f t="shared" si="3"/>
        <v>2855690.3699999964</v>
      </c>
      <c r="X31" t="s">
        <v>61</v>
      </c>
      <c r="Y31">
        <v>5241</v>
      </c>
      <c r="Z31" t="s">
        <v>61</v>
      </c>
      <c r="AA31" s="214">
        <v>2855690.3699999964</v>
      </c>
      <c r="AB31" s="231"/>
      <c r="AD31" t="s">
        <v>61</v>
      </c>
      <c r="AE31">
        <v>5241</v>
      </c>
      <c r="AF31" t="s">
        <v>61</v>
      </c>
      <c r="AG31" s="214">
        <v>2855690.3699999964</v>
      </c>
    </row>
    <row r="32" spans="1:33" x14ac:dyDescent="0.3">
      <c r="A32" s="114" t="s">
        <v>39</v>
      </c>
      <c r="B32" s="115">
        <f t="shared" ref="B32" si="13">P22</f>
        <v>53</v>
      </c>
      <c r="C32" s="64">
        <f>Q22</f>
        <v>26851</v>
      </c>
      <c r="D32" s="116">
        <v>0.3</v>
      </c>
      <c r="E32" s="117">
        <f>C32*D32</f>
        <v>8055.2999999999993</v>
      </c>
      <c r="F32" s="118">
        <f>C32-E32</f>
        <v>18795.7</v>
      </c>
      <c r="G32" s="359"/>
      <c r="H32" s="361"/>
      <c r="I32" s="357"/>
      <c r="J32" s="341"/>
      <c r="K32" s="342"/>
      <c r="M32" s="8"/>
      <c r="N32" s="8"/>
      <c r="O32" s="9"/>
      <c r="P32" s="9"/>
      <c r="AG32" s="214"/>
    </row>
    <row r="33" spans="1:17" ht="15" customHeight="1" thickBot="1" x14ac:dyDescent="0.35">
      <c r="A33" s="119" t="s">
        <v>41</v>
      </c>
      <c r="B33" s="120">
        <f>SUM(B31:B32)</f>
        <v>511</v>
      </c>
      <c r="C33" s="78">
        <f>SUM(C31:C32)</f>
        <v>417959.05</v>
      </c>
      <c r="D33" s="121"/>
      <c r="E33" s="78">
        <f>SUM(E31:E32)</f>
        <v>399163.35</v>
      </c>
      <c r="F33" s="78">
        <f>F32</f>
        <v>18795.7</v>
      </c>
      <c r="G33" s="78">
        <v>1000000</v>
      </c>
      <c r="H33" s="79">
        <f>E33/G33</f>
        <v>0.39916334999999997</v>
      </c>
      <c r="I33" s="80"/>
      <c r="J33" s="321">
        <f>(H33/H$3)*G$33</f>
        <v>1117657.3799999999</v>
      </c>
      <c r="K33" s="81">
        <f>J33-G33</f>
        <v>117657.37999999989</v>
      </c>
      <c r="M33" s="8"/>
      <c r="N33" s="8"/>
      <c r="O33" s="9"/>
      <c r="P33" s="9"/>
    </row>
    <row r="34" spans="1:17" ht="15" thickBot="1" x14ac:dyDescent="0.35">
      <c r="A34" s="57"/>
      <c r="B34" s="82"/>
      <c r="C34" s="61"/>
      <c r="D34" s="83"/>
      <c r="E34" s="61"/>
      <c r="F34" s="61"/>
      <c r="G34" s="61"/>
      <c r="H34" s="62"/>
      <c r="I34" s="356"/>
      <c r="J34" s="337"/>
      <c r="K34" s="350"/>
      <c r="M34" s="8"/>
      <c r="N34" s="8"/>
      <c r="O34" s="9"/>
      <c r="P34" s="9"/>
    </row>
    <row r="35" spans="1:17" x14ac:dyDescent="0.3">
      <c r="A35" s="122" t="s">
        <v>42</v>
      </c>
      <c r="B35" s="123">
        <f>P24</f>
        <v>151</v>
      </c>
      <c r="C35" s="124">
        <f t="shared" ref="C35:C36" si="14">Q24</f>
        <v>387132.91</v>
      </c>
      <c r="D35" s="125">
        <v>1</v>
      </c>
      <c r="E35" s="124">
        <f>C35*D35</f>
        <v>387132.91</v>
      </c>
      <c r="F35" s="126"/>
      <c r="G35" s="362"/>
      <c r="H35" s="364"/>
      <c r="I35" s="357"/>
      <c r="J35" s="351"/>
      <c r="K35" s="352"/>
      <c r="M35" s="8"/>
      <c r="N35" s="8"/>
      <c r="O35" s="9"/>
      <c r="P35"/>
      <c r="Q35"/>
    </row>
    <row r="36" spans="1:17" x14ac:dyDescent="0.3">
      <c r="A36" s="129" t="s">
        <v>44</v>
      </c>
      <c r="B36" s="130">
        <f t="shared" ref="B36" si="15">P25</f>
        <v>155</v>
      </c>
      <c r="C36" s="131">
        <f t="shared" si="14"/>
        <v>90505.88</v>
      </c>
      <c r="D36" s="132">
        <v>0.3</v>
      </c>
      <c r="E36" s="131">
        <f>C36*D36</f>
        <v>27151.763999999999</v>
      </c>
      <c r="F36" s="133">
        <f>C36-E36</f>
        <v>63354.116000000009</v>
      </c>
      <c r="G36" s="363"/>
      <c r="H36" s="365"/>
      <c r="I36" s="357"/>
      <c r="J36" s="353"/>
      <c r="K36" s="354"/>
      <c r="M36" s="8"/>
      <c r="N36" s="8"/>
      <c r="O36" s="9"/>
      <c r="P36" s="9"/>
    </row>
    <row r="37" spans="1:17" ht="15" customHeight="1" thickBot="1" x14ac:dyDescent="0.35">
      <c r="A37" s="74" t="s">
        <v>46</v>
      </c>
      <c r="B37" s="120">
        <f>SUM(B35:B36)</f>
        <v>306</v>
      </c>
      <c r="C37" s="78">
        <f>SUM(C35:C36)</f>
        <v>477638.79</v>
      </c>
      <c r="D37" s="121"/>
      <c r="E37" s="78">
        <f>SUM(E35:E36)</f>
        <v>414284.674</v>
      </c>
      <c r="F37" s="78">
        <f>F36</f>
        <v>63354.116000000009</v>
      </c>
      <c r="G37" s="78">
        <v>450000</v>
      </c>
      <c r="H37" s="79">
        <f>E37/G37</f>
        <v>0.92063260888888887</v>
      </c>
      <c r="I37" s="80"/>
      <c r="J37" s="321">
        <f>(H37/H$3)*G$37</f>
        <v>1159997.0872</v>
      </c>
      <c r="K37" s="81">
        <f>J37-G37</f>
        <v>709997.08719999995</v>
      </c>
      <c r="M37" s="8"/>
      <c r="N37" s="8"/>
      <c r="O37" s="9"/>
      <c r="P37" s="9"/>
    </row>
    <row r="38" spans="1:17" ht="15" thickBot="1" x14ac:dyDescent="0.35">
      <c r="A38" s="57"/>
      <c r="B38" s="82"/>
      <c r="C38" s="61"/>
      <c r="D38" s="83"/>
      <c r="E38" s="61"/>
      <c r="F38" s="61"/>
      <c r="G38" s="61"/>
      <c r="H38" s="62"/>
      <c r="I38" s="63"/>
      <c r="J38" s="337"/>
      <c r="K38" s="338"/>
      <c r="M38" s="8"/>
      <c r="N38" s="8"/>
      <c r="O38" s="9"/>
      <c r="P38" s="9"/>
    </row>
    <row r="39" spans="1:17" x14ac:dyDescent="0.3">
      <c r="A39" s="134" t="s">
        <v>47</v>
      </c>
      <c r="B39" s="98">
        <f>P26</f>
        <v>83</v>
      </c>
      <c r="C39" s="135">
        <f t="shared" ref="C39:C40" si="16">Q26</f>
        <v>134011.82</v>
      </c>
      <c r="D39" s="136">
        <v>1</v>
      </c>
      <c r="E39" s="99">
        <f>C39*D39</f>
        <v>134011.82</v>
      </c>
      <c r="F39" s="101"/>
      <c r="G39" s="343"/>
      <c r="H39" s="345"/>
      <c r="I39" s="91"/>
      <c r="J39" s="339"/>
      <c r="K39" s="340"/>
      <c r="M39" s="8"/>
      <c r="N39" s="8"/>
      <c r="O39" s="9"/>
      <c r="P39" s="9"/>
    </row>
    <row r="40" spans="1:17" x14ac:dyDescent="0.3">
      <c r="A40" s="138" t="s">
        <v>49</v>
      </c>
      <c r="B40" s="85">
        <f t="shared" ref="B40" si="17">P27</f>
        <v>25</v>
      </c>
      <c r="C40" s="93">
        <f t="shared" si="16"/>
        <v>10135</v>
      </c>
      <c r="D40" s="94">
        <v>0.3</v>
      </c>
      <c r="E40" s="139">
        <f>C40*D40</f>
        <v>3040.5</v>
      </c>
      <c r="F40" s="140">
        <f>C40-E40</f>
        <v>7094.5</v>
      </c>
      <c r="G40" s="344"/>
      <c r="H40" s="346"/>
      <c r="I40" s="91"/>
      <c r="J40" s="341"/>
      <c r="K40" s="342"/>
      <c r="M40" s="8"/>
      <c r="N40" s="8"/>
      <c r="O40" s="9"/>
      <c r="P40" s="9"/>
    </row>
    <row r="41" spans="1:17" ht="15" customHeight="1" thickBot="1" x14ac:dyDescent="0.35">
      <c r="A41" s="119" t="s">
        <v>51</v>
      </c>
      <c r="B41" s="120">
        <f>SUM(B39:B40)</f>
        <v>108</v>
      </c>
      <c r="C41" s="78">
        <f>SUM(C39:C40)</f>
        <v>144146.82</v>
      </c>
      <c r="D41" s="121"/>
      <c r="E41" s="78">
        <f>SUM(E39:E40)</f>
        <v>137052.32</v>
      </c>
      <c r="F41" s="78">
        <f>F40</f>
        <v>7094.5</v>
      </c>
      <c r="G41" s="78">
        <v>325000</v>
      </c>
      <c r="H41" s="79">
        <f>E41/G41</f>
        <v>0.42169944615384619</v>
      </c>
      <c r="I41" s="80"/>
      <c r="J41" s="321">
        <f>(H41/H$3)*G$41</f>
        <v>383746.49599999998</v>
      </c>
      <c r="K41" s="81">
        <f>J41-G41</f>
        <v>58746.495999999985</v>
      </c>
      <c r="M41" s="8"/>
      <c r="N41" s="8"/>
      <c r="O41" s="9"/>
      <c r="P41" s="9"/>
    </row>
    <row r="42" spans="1:17" ht="15" thickBot="1" x14ac:dyDescent="0.35">
      <c r="A42" s="57"/>
      <c r="B42" s="82"/>
      <c r="C42" s="61"/>
      <c r="D42" s="83"/>
      <c r="E42" s="61"/>
      <c r="F42" s="61"/>
      <c r="G42" s="61"/>
      <c r="H42" s="62"/>
      <c r="I42" s="356"/>
      <c r="J42" s="337"/>
      <c r="K42" s="350"/>
      <c r="M42" s="8"/>
      <c r="N42" s="8"/>
      <c r="O42" s="9"/>
      <c r="P42" s="9"/>
    </row>
    <row r="43" spans="1:17" x14ac:dyDescent="0.3">
      <c r="A43" s="141" t="s">
        <v>52</v>
      </c>
      <c r="B43" s="123">
        <f>P29</f>
        <v>47</v>
      </c>
      <c r="C43" s="124">
        <f t="shared" ref="C43:C44" si="18">Q29</f>
        <v>81433.73</v>
      </c>
      <c r="D43" s="109">
        <v>1</v>
      </c>
      <c r="E43" s="110">
        <f>C43*D43</f>
        <v>81433.73</v>
      </c>
      <c r="F43" s="142"/>
      <c r="G43" s="362"/>
      <c r="H43" s="364"/>
      <c r="I43" s="357"/>
      <c r="J43" s="351"/>
      <c r="K43" s="352"/>
      <c r="M43" s="8"/>
      <c r="N43" s="8"/>
      <c r="O43" s="9"/>
      <c r="P43" s="9"/>
    </row>
    <row r="44" spans="1:17" x14ac:dyDescent="0.3">
      <c r="A44" s="129" t="s">
        <v>54</v>
      </c>
      <c r="B44" s="130">
        <f t="shared" ref="B44" si="19">P30</f>
        <v>29</v>
      </c>
      <c r="C44" s="131">
        <f t="shared" si="18"/>
        <v>24455.64</v>
      </c>
      <c r="D44" s="116">
        <v>0.3</v>
      </c>
      <c r="E44" s="117">
        <f>C44*D44</f>
        <v>7336.692</v>
      </c>
      <c r="F44" s="97">
        <f>C44-E44</f>
        <v>17118.948</v>
      </c>
      <c r="G44" s="363"/>
      <c r="H44" s="365"/>
      <c r="I44" s="357"/>
      <c r="J44" s="353"/>
      <c r="K44" s="354"/>
      <c r="M44" s="8"/>
      <c r="N44" s="8"/>
      <c r="O44" s="9"/>
      <c r="P44" s="9"/>
    </row>
    <row r="45" spans="1:17" ht="15" customHeight="1" thickBot="1" x14ac:dyDescent="0.35">
      <c r="A45" s="119" t="s">
        <v>56</v>
      </c>
      <c r="B45" s="120">
        <f>SUM(B43:B44)</f>
        <v>76</v>
      </c>
      <c r="C45" s="78">
        <f>SUM(C43:C44)</f>
        <v>105889.37</v>
      </c>
      <c r="D45" s="121"/>
      <c r="E45" s="78">
        <f>SUM(E43:E44)</f>
        <v>88770.421999999991</v>
      </c>
      <c r="F45" s="78">
        <f>F44</f>
        <v>17118.948</v>
      </c>
      <c r="G45" s="78">
        <v>300000</v>
      </c>
      <c r="H45" s="79">
        <f>E45/G45</f>
        <v>0.29590140666666664</v>
      </c>
      <c r="I45" s="80"/>
      <c r="J45" s="321">
        <f>(H45/H$3)*G$45</f>
        <v>248557.18159999998</v>
      </c>
      <c r="K45" s="322">
        <f>J45-G45</f>
        <v>-51442.818400000018</v>
      </c>
      <c r="M45" s="8"/>
      <c r="N45" s="8"/>
      <c r="O45" s="9"/>
      <c r="P45" s="9"/>
    </row>
    <row r="46" spans="1:17" ht="15" thickBot="1" x14ac:dyDescent="0.35">
      <c r="A46" s="57"/>
      <c r="B46" s="82"/>
      <c r="C46" s="61"/>
      <c r="D46" s="83"/>
      <c r="E46" s="61"/>
      <c r="F46" s="143"/>
      <c r="G46" s="61"/>
      <c r="H46" s="62"/>
      <c r="I46" s="356"/>
      <c r="J46" s="318"/>
      <c r="K46" s="368"/>
      <c r="M46" s="8"/>
      <c r="N46" s="8"/>
      <c r="O46" s="9"/>
      <c r="P46" s="9"/>
    </row>
    <row r="47" spans="1:17" x14ac:dyDescent="0.3">
      <c r="A47" s="141" t="s">
        <v>66</v>
      </c>
      <c r="B47" s="123"/>
      <c r="C47" s="124">
        <v>1203.78</v>
      </c>
      <c r="D47" s="109">
        <v>1</v>
      </c>
      <c r="E47" s="110">
        <f>C47*D47</f>
        <v>1203.78</v>
      </c>
      <c r="F47" s="142"/>
      <c r="G47" s="362"/>
      <c r="H47" s="364"/>
      <c r="I47" s="357"/>
      <c r="J47" s="320"/>
      <c r="K47" s="369"/>
      <c r="M47" s="8"/>
      <c r="N47" s="8"/>
      <c r="O47" s="9"/>
      <c r="P47" s="9"/>
    </row>
    <row r="48" spans="1:17" x14ac:dyDescent="0.3">
      <c r="A48" s="129" t="s">
        <v>67</v>
      </c>
      <c r="B48" s="130"/>
      <c r="C48" s="131"/>
      <c r="D48" s="116">
        <v>0.3</v>
      </c>
      <c r="E48" s="117">
        <f>C48*D48</f>
        <v>0</v>
      </c>
      <c r="F48" s="97">
        <f>C48-E48</f>
        <v>0</v>
      </c>
      <c r="G48" s="363"/>
      <c r="H48" s="365"/>
      <c r="I48" s="357"/>
      <c r="J48" s="320"/>
      <c r="K48" s="369"/>
      <c r="M48" s="8"/>
      <c r="N48" s="8"/>
      <c r="O48" s="9"/>
      <c r="P48" s="9"/>
    </row>
    <row r="49" spans="1:16" ht="15" customHeight="1" thickBot="1" x14ac:dyDescent="0.35">
      <c r="A49" s="119" t="s">
        <v>68</v>
      </c>
      <c r="B49" s="120">
        <f>SUM(B47:B48)</f>
        <v>0</v>
      </c>
      <c r="C49" s="78">
        <f>SUM(C47:C48)</f>
        <v>1203.78</v>
      </c>
      <c r="D49" s="121"/>
      <c r="E49" s="78">
        <f>SUM(E47:E48)</f>
        <v>1203.78</v>
      </c>
      <c r="F49" s="78">
        <f>F48</f>
        <v>0</v>
      </c>
      <c r="G49" s="78">
        <v>275000</v>
      </c>
      <c r="H49" s="79">
        <f>E49/G49</f>
        <v>4.3773818181818179E-3</v>
      </c>
      <c r="I49" s="80"/>
      <c r="J49" s="321">
        <f>(H49/H$3)*G$49</f>
        <v>3370.5839999999998</v>
      </c>
      <c r="K49" s="81">
        <f>J49-G49</f>
        <v>-271629.41600000003</v>
      </c>
      <c r="M49" s="8"/>
      <c r="N49" s="8"/>
      <c r="O49" s="9"/>
      <c r="P49" s="9"/>
    </row>
    <row r="50" spans="1:16" ht="15" thickBot="1" x14ac:dyDescent="0.35">
      <c r="A50" s="57"/>
      <c r="B50" s="82"/>
      <c r="C50" s="61"/>
      <c r="D50" s="83"/>
      <c r="E50" s="61"/>
      <c r="F50" s="143"/>
      <c r="G50" s="61"/>
      <c r="H50" s="62"/>
      <c r="I50" s="356"/>
      <c r="J50" s="320"/>
      <c r="K50" s="338"/>
      <c r="M50" s="8"/>
      <c r="N50" s="8"/>
      <c r="O50" s="9"/>
      <c r="P50" s="9"/>
    </row>
    <row r="51" spans="1:16" ht="16.5" customHeight="1" x14ac:dyDescent="0.3">
      <c r="A51" s="106" t="s">
        <v>57</v>
      </c>
      <c r="B51" s="115">
        <f>P23</f>
        <v>921</v>
      </c>
      <c r="C51" s="64">
        <f>Q23</f>
        <v>480075.08</v>
      </c>
      <c r="D51" s="116">
        <v>0.3</v>
      </c>
      <c r="E51" s="110">
        <f>C51*D51</f>
        <v>144022.524</v>
      </c>
      <c r="F51" s="144">
        <f>C51-E51</f>
        <v>336052.55599999998</v>
      </c>
      <c r="G51" s="145"/>
      <c r="H51" s="146"/>
      <c r="I51" s="357"/>
      <c r="J51" s="319"/>
      <c r="K51" s="342"/>
      <c r="M51" s="8"/>
      <c r="N51" s="8"/>
      <c r="O51" s="9"/>
      <c r="P51" s="9"/>
    </row>
    <row r="52" spans="1:16" ht="15" customHeight="1" thickBot="1" x14ac:dyDescent="0.35">
      <c r="A52" s="119" t="s">
        <v>59</v>
      </c>
      <c r="B52" s="120">
        <f>B51</f>
        <v>921</v>
      </c>
      <c r="C52" s="78">
        <f>C51</f>
        <v>480075.08</v>
      </c>
      <c r="D52" s="121"/>
      <c r="E52" s="78">
        <f>E51</f>
        <v>144022.524</v>
      </c>
      <c r="F52" s="78">
        <f>F51</f>
        <v>336052.55599999998</v>
      </c>
      <c r="G52" s="78">
        <v>916667</v>
      </c>
      <c r="H52" s="79">
        <f>C52/G52</f>
        <v>0.52371807864797137</v>
      </c>
      <c r="I52" s="80"/>
      <c r="J52" s="221">
        <f>(H52/H$3)*G$52</f>
        <v>1344210.2239999999</v>
      </c>
      <c r="K52" s="81">
        <f>J52-G52</f>
        <v>427543.22399999993</v>
      </c>
      <c r="M52" s="8"/>
      <c r="N52" s="8"/>
      <c r="O52" s="9"/>
      <c r="P52" s="9"/>
    </row>
    <row r="53" spans="1:16" ht="15" thickBot="1" x14ac:dyDescent="0.35">
      <c r="A53" s="57"/>
      <c r="B53" s="82"/>
      <c r="C53" s="61"/>
      <c r="D53" s="83"/>
      <c r="E53" s="61"/>
      <c r="F53" s="143"/>
      <c r="G53" s="61"/>
      <c r="H53" s="62"/>
      <c r="I53" s="63"/>
      <c r="J53" s="337"/>
      <c r="K53" s="350"/>
      <c r="M53" s="8"/>
      <c r="N53" s="8"/>
      <c r="O53" s="9"/>
      <c r="P53" s="9"/>
    </row>
    <row r="54" spans="1:16" ht="15" thickBot="1" x14ac:dyDescent="0.35">
      <c r="A54" s="147" t="s">
        <v>75</v>
      </c>
      <c r="B54" s="148">
        <f>P28</f>
        <v>1331</v>
      </c>
      <c r="C54" s="54">
        <f>Q28</f>
        <v>18693</v>
      </c>
      <c r="D54" s="149">
        <v>1</v>
      </c>
      <c r="E54" s="54">
        <f>C54*D54</f>
        <v>18693</v>
      </c>
      <c r="F54" s="150"/>
      <c r="G54" s="151"/>
      <c r="H54" s="152"/>
      <c r="I54" s="71"/>
      <c r="J54" s="351"/>
      <c r="K54" s="352"/>
      <c r="M54" s="8"/>
      <c r="N54" s="8"/>
      <c r="O54" s="9"/>
      <c r="P54" s="9"/>
    </row>
    <row r="55" spans="1:16" ht="15" thickBot="1" x14ac:dyDescent="0.35">
      <c r="A55" s="57"/>
      <c r="B55" s="82"/>
      <c r="C55" s="61"/>
      <c r="D55" s="60"/>
      <c r="E55" s="59"/>
      <c r="F55" s="144"/>
      <c r="G55" s="61"/>
      <c r="H55" s="62"/>
      <c r="I55" s="71"/>
      <c r="J55" s="351"/>
      <c r="K55" s="352"/>
      <c r="M55" s="8"/>
      <c r="N55" s="8"/>
      <c r="O55" s="9"/>
      <c r="P55" s="9"/>
    </row>
    <row r="56" spans="1:16" ht="15" thickBot="1" x14ac:dyDescent="0.35">
      <c r="A56" s="119" t="s">
        <v>144</v>
      </c>
      <c r="B56" s="120">
        <f>B55</f>
        <v>0</v>
      </c>
      <c r="C56" s="78">
        <v>46776.43</v>
      </c>
      <c r="D56" s="121"/>
      <c r="E56" s="78">
        <f>C56</f>
        <v>46776.43</v>
      </c>
      <c r="F56" s="78">
        <f>F55</f>
        <v>0</v>
      </c>
      <c r="G56" s="78">
        <v>546455</v>
      </c>
      <c r="H56" s="79">
        <f>E56/G56</f>
        <v>8.559978406273161E-2</v>
      </c>
      <c r="I56" s="71"/>
      <c r="J56" s="351"/>
      <c r="K56" s="352"/>
      <c r="M56" s="8"/>
      <c r="N56" s="8"/>
      <c r="O56" s="9"/>
      <c r="P56" s="9"/>
    </row>
    <row r="57" spans="1:16" ht="15" thickBot="1" x14ac:dyDescent="0.35">
      <c r="A57" s="57"/>
      <c r="B57" s="82"/>
      <c r="C57" s="61"/>
      <c r="D57" s="60"/>
      <c r="E57" s="59"/>
      <c r="F57" s="144"/>
      <c r="G57" s="61"/>
      <c r="H57" s="62"/>
      <c r="I57" s="63"/>
      <c r="J57" s="366"/>
      <c r="K57" s="367"/>
      <c r="M57" s="8"/>
      <c r="N57" s="8"/>
      <c r="O57" s="9"/>
      <c r="P57" s="9"/>
    </row>
    <row r="58" spans="1:16" ht="15" thickBot="1" x14ac:dyDescent="0.35">
      <c r="A58" s="153" t="s">
        <v>7</v>
      </c>
      <c r="B58" s="154"/>
      <c r="C58" s="157"/>
      <c r="D58" s="156"/>
      <c r="E58" s="157">
        <f>SUM(E13,E17,E21,E25,E29,E33,E37,E41,E45,E49,E52,E54,E56)</f>
        <v>2725797.4619999998</v>
      </c>
      <c r="F58" s="157"/>
      <c r="G58" s="158">
        <f>SUM(G13:G56)</f>
        <v>7917043</v>
      </c>
      <c r="H58" s="159">
        <f>SUM(E58)/G58</f>
        <v>0.34429489166599192</v>
      </c>
      <c r="I58" s="160"/>
      <c r="J58" s="222">
        <f>(H58/H$3)*G58</f>
        <v>7632232.8935999991</v>
      </c>
      <c r="K58" s="161">
        <f>J58-G58</f>
        <v>-284810.10640000086</v>
      </c>
      <c r="M58" s="8"/>
      <c r="N58" s="8"/>
      <c r="O58" s="9"/>
      <c r="P58" s="9"/>
    </row>
    <row r="59" spans="1:16" ht="15" thickBot="1" x14ac:dyDescent="0.35">
      <c r="A59" s="57"/>
      <c r="B59" s="82"/>
      <c r="C59" s="61"/>
      <c r="D59" s="83"/>
      <c r="E59" s="61"/>
      <c r="F59" s="143"/>
      <c r="G59" s="61"/>
      <c r="H59" s="62"/>
      <c r="I59" s="63"/>
      <c r="J59" s="223"/>
      <c r="K59" s="163"/>
      <c r="M59" s="8"/>
      <c r="N59" s="8"/>
      <c r="O59" s="9"/>
      <c r="P59" s="9"/>
    </row>
    <row r="60" spans="1:16" ht="15" thickBot="1" x14ac:dyDescent="0.35">
      <c r="A60" s="153" t="s">
        <v>8</v>
      </c>
      <c r="B60" s="154"/>
      <c r="C60" s="155"/>
      <c r="D60" s="156"/>
      <c r="E60" s="157"/>
      <c r="F60" s="157">
        <f>SUM(F13,F17,F21,F25,F29,F33,F37,F41,F45,F49,F52)</f>
        <v>537215.65800000005</v>
      </c>
      <c r="G60" s="158"/>
      <c r="H60" s="159"/>
      <c r="I60" s="160"/>
      <c r="J60" s="222">
        <f>(H60/H$3)*G60</f>
        <v>0</v>
      </c>
      <c r="K60" s="161">
        <f>J60-G60</f>
        <v>0</v>
      </c>
      <c r="M60" s="8"/>
      <c r="N60" s="8"/>
      <c r="O60" s="9"/>
      <c r="P60" s="9"/>
    </row>
    <row r="61" spans="1:16" ht="15" thickBot="1" x14ac:dyDescent="0.35">
      <c r="A61" s="57"/>
      <c r="B61" s="82"/>
      <c r="D61" s="83"/>
      <c r="E61" s="61"/>
      <c r="F61" s="143"/>
      <c r="G61" s="61"/>
      <c r="H61" s="62"/>
      <c r="I61" s="63"/>
      <c r="J61" s="223"/>
      <c r="K61" s="163"/>
      <c r="M61" s="8"/>
      <c r="N61" s="8"/>
      <c r="O61" s="9"/>
      <c r="P61" s="9"/>
    </row>
    <row r="62" spans="1:16" ht="15" thickBot="1" x14ac:dyDescent="0.35">
      <c r="A62" s="153" t="s">
        <v>61</v>
      </c>
      <c r="B62" s="154">
        <f>SUM(B13,B17,B21,B25,B29,B33,B37,B41,B45,B49,B52,B54,B56)</f>
        <v>5241</v>
      </c>
      <c r="C62" s="155">
        <f>SUM(C13,C17,C21,C25,C29,C33,C37,C41,C45,C49,C52,C54,C56)</f>
        <v>3263013.12</v>
      </c>
      <c r="D62" s="156"/>
      <c r="E62" s="157"/>
      <c r="F62" s="157">
        <f>SUM(E58:F61)</f>
        <v>3263013.12</v>
      </c>
      <c r="G62" s="158">
        <f>SUM(G58:G61)</f>
        <v>7917043</v>
      </c>
      <c r="H62" s="159">
        <f>SUM(C62)/G62</f>
        <v>0.41215048598321369</v>
      </c>
      <c r="I62" s="160"/>
      <c r="J62" s="222">
        <f>(H62/H$3)*G62</f>
        <v>9136436.7359999996</v>
      </c>
      <c r="K62" s="161">
        <f>J62-G62</f>
        <v>1219393.7359999996</v>
      </c>
      <c r="M62" s="8"/>
      <c r="N62" s="8"/>
      <c r="O62" s="9"/>
      <c r="P62" s="9"/>
    </row>
    <row r="63" spans="1:16" x14ac:dyDescent="0.3">
      <c r="C63" s="168"/>
      <c r="M63" s="8"/>
      <c r="N63" s="8"/>
      <c r="O63" s="9"/>
      <c r="P63" s="9"/>
    </row>
    <row r="64" spans="1:16" x14ac:dyDescent="0.3">
      <c r="B64" s="164"/>
      <c r="C64" s="165"/>
      <c r="D64" s="165"/>
      <c r="E64" s="165"/>
      <c r="F64" s="165"/>
      <c r="G64" s="165"/>
      <c r="H64" s="165"/>
      <c r="I64" s="165"/>
      <c r="J64" s="165"/>
      <c r="K64" s="165"/>
      <c r="M64" s="8"/>
      <c r="N64" s="8"/>
      <c r="O64" s="9"/>
      <c r="P64" s="9"/>
    </row>
    <row r="65" spans="1:33" ht="15" customHeight="1" x14ac:dyDescent="0.3">
      <c r="A65" s="335" t="s">
        <v>143</v>
      </c>
      <c r="B65" s="335"/>
      <c r="C65" s="335"/>
      <c r="D65" s="335"/>
      <c r="E65" s="335"/>
      <c r="F65" s="335"/>
      <c r="G65" s="335"/>
      <c r="H65" s="335"/>
      <c r="I65" s="317"/>
      <c r="J65" s="224"/>
      <c r="K65" s="317"/>
      <c r="M65" s="8"/>
      <c r="N65" s="8"/>
      <c r="O65" s="9"/>
      <c r="P65" s="9"/>
      <c r="Q65"/>
    </row>
    <row r="66" spans="1:33" x14ac:dyDescent="0.3">
      <c r="A66" s="336"/>
      <c r="B66" s="336"/>
      <c r="C66" s="336"/>
      <c r="D66" s="336"/>
      <c r="E66" s="336"/>
      <c r="F66" s="336"/>
      <c r="G66" s="336"/>
      <c r="H66" s="336"/>
      <c r="I66" s="317"/>
      <c r="J66" s="224"/>
      <c r="K66" s="317"/>
      <c r="L66" s="168"/>
      <c r="M66" s="8"/>
      <c r="N66" s="8"/>
      <c r="O66" s="9"/>
      <c r="P66" s="9"/>
    </row>
    <row r="67" spans="1:33" x14ac:dyDescent="0.3">
      <c r="M67" s="8"/>
      <c r="N67" s="8"/>
      <c r="O67" s="9"/>
      <c r="R67" s="8"/>
    </row>
    <row r="68" spans="1:33" ht="21" customHeight="1" x14ac:dyDescent="0.3">
      <c r="G68" s="168"/>
      <c r="M68" s="8"/>
      <c r="N68" s="8"/>
      <c r="O68" s="8"/>
      <c r="P68" s="8"/>
      <c r="Q68" s="8"/>
      <c r="R68" s="8"/>
    </row>
    <row r="69" spans="1:33" ht="21" customHeight="1" x14ac:dyDescent="0.3">
      <c r="G69"/>
      <c r="M69" s="8"/>
      <c r="N69" s="8"/>
      <c r="O69" s="8"/>
      <c r="P69" s="8"/>
      <c r="Q69" s="8"/>
      <c r="R69" s="8"/>
    </row>
    <row r="70" spans="1:33" s="173" customFormat="1" ht="39.75" customHeight="1" x14ac:dyDescent="0.3">
      <c r="A70"/>
      <c r="B70"/>
      <c r="C70"/>
      <c r="D70"/>
      <c r="E70"/>
      <c r="F70"/>
      <c r="G70" s="1"/>
      <c r="H70"/>
      <c r="I70"/>
      <c r="J70" s="214"/>
      <c r="K70"/>
      <c r="M70" s="8"/>
      <c r="N70" s="8"/>
      <c r="O70" s="8"/>
      <c r="P70" s="8"/>
      <c r="Q70" s="8"/>
      <c r="R70" s="8"/>
      <c r="T70"/>
      <c r="U70"/>
      <c r="V70"/>
      <c r="X70"/>
      <c r="Y70"/>
      <c r="Z70"/>
      <c r="AA70"/>
      <c r="AB70"/>
      <c r="AD70"/>
      <c r="AE70"/>
      <c r="AF70"/>
      <c r="AG70"/>
    </row>
    <row r="71" spans="1:33" s="173" customFormat="1" ht="39.75" hidden="1" customHeight="1" x14ac:dyDescent="0.25">
      <c r="A71" t="s">
        <v>62</v>
      </c>
      <c r="B71">
        <f t="shared" ref="B71:G71" si="20">SUM(B68:B70)</f>
        <v>0</v>
      </c>
      <c r="C71">
        <f t="shared" si="20"/>
        <v>0</v>
      </c>
      <c r="D71">
        <f t="shared" si="20"/>
        <v>0</v>
      </c>
      <c r="E71">
        <f t="shared" si="20"/>
        <v>0</v>
      </c>
      <c r="F71">
        <f t="shared" si="20"/>
        <v>0</v>
      </c>
      <c r="G71" s="1">
        <f t="shared" si="20"/>
        <v>0</v>
      </c>
      <c r="H71"/>
      <c r="I71"/>
      <c r="J71" s="214"/>
      <c r="K71"/>
      <c r="M71" s="172"/>
      <c r="O71" s="8"/>
      <c r="P71" s="8"/>
      <c r="Q71" s="8"/>
      <c r="R71"/>
      <c r="X71"/>
      <c r="Y71"/>
      <c r="Z71"/>
      <c r="AA71"/>
      <c r="AB71"/>
      <c r="AD71"/>
      <c r="AE71"/>
      <c r="AF71"/>
      <c r="AG71"/>
    </row>
    <row r="72" spans="1:33" ht="15" hidden="1" x14ac:dyDescent="0.25">
      <c r="O72" s="175"/>
      <c r="P72" s="175"/>
      <c r="T72" s="173"/>
      <c r="U72" s="173"/>
      <c r="V72" s="173"/>
      <c r="AB72" s="173"/>
    </row>
    <row r="73" spans="1:33" ht="15" hidden="1" x14ac:dyDescent="0.25">
      <c r="X73" s="173"/>
      <c r="Y73" s="173"/>
      <c r="Z73" s="173"/>
      <c r="AA73" s="173"/>
      <c r="AB73" s="173"/>
    </row>
    <row r="74" spans="1:33"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row>
    <row r="75" spans="1:33" ht="15" hidden="1" x14ac:dyDescent="0.25">
      <c r="A75" s="183"/>
      <c r="B75" s="184"/>
      <c r="C75" s="185"/>
      <c r="D75" s="185"/>
      <c r="E75" s="185"/>
      <c r="F75" s="185"/>
      <c r="G75" s="185"/>
      <c r="H75" s="185"/>
      <c r="I75" s="160"/>
      <c r="J75" s="226"/>
      <c r="K75" s="185"/>
    </row>
    <row r="76" spans="1:33" ht="15" hidden="1" x14ac:dyDescent="0.25"/>
    <row r="77" spans="1:33"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3"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3"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3" ht="15" hidden="1" x14ac:dyDescent="0.25">
      <c r="A80" s="183"/>
      <c r="B80" s="184"/>
      <c r="C80" s="185"/>
      <c r="D80" s="185"/>
      <c r="E80" s="185"/>
      <c r="F80" s="185"/>
      <c r="G80" s="185"/>
      <c r="H80" s="160"/>
      <c r="I80" s="160"/>
      <c r="J80" s="226"/>
      <c r="K80" s="185"/>
    </row>
    <row r="81" spans="1:33" ht="15" hidden="1" x14ac:dyDescent="0.25">
      <c r="B81" s="164">
        <v>6196</v>
      </c>
      <c r="C81" s="1">
        <v>3871765.8300000052</v>
      </c>
      <c r="D81" s="1"/>
      <c r="E81" s="1"/>
      <c r="F81" s="1"/>
      <c r="G81" s="1">
        <v>7182150.0000000009</v>
      </c>
      <c r="H81" s="1"/>
      <c r="I81" s="1"/>
      <c r="J81" s="165">
        <v>7423408.4691351494</v>
      </c>
      <c r="K81" s="1">
        <v>241258.46913514897</v>
      </c>
    </row>
    <row r="82" spans="1:33" ht="15" hidden="1" x14ac:dyDescent="0.25">
      <c r="AD82" s="173"/>
      <c r="AE82" s="173"/>
      <c r="AF82" s="173"/>
      <c r="AG82" s="173"/>
    </row>
    <row r="83" spans="1:33" ht="15" hidden="1" x14ac:dyDescent="0.25">
      <c r="C83" s="168"/>
      <c r="Q83"/>
      <c r="AD83" s="173"/>
      <c r="AE83" s="173"/>
      <c r="AF83" s="173"/>
      <c r="AG83" s="173"/>
    </row>
    <row r="84" spans="1:33" ht="15" hidden="1" x14ac:dyDescent="0.25">
      <c r="A84" s="204"/>
      <c r="B84" s="205"/>
    </row>
    <row r="85" spans="1:33" ht="15" hidden="1" x14ac:dyDescent="0.25"/>
    <row r="86" spans="1:33" ht="15" hidden="1" x14ac:dyDescent="0.25"/>
    <row r="87" spans="1:33" x14ac:dyDescent="0.3">
      <c r="M87" s="8"/>
      <c r="N87" s="8"/>
      <c r="R87" s="8"/>
      <c r="S87" s="8"/>
    </row>
    <row r="88" spans="1:33" x14ac:dyDescent="0.3">
      <c r="M88" s="8"/>
      <c r="N88" s="8"/>
      <c r="O88" s="8"/>
      <c r="P88" s="8"/>
      <c r="Q88" s="8"/>
      <c r="R88" s="8"/>
      <c r="S88" s="8"/>
      <c r="T88" s="8"/>
      <c r="U88" s="8"/>
    </row>
    <row r="89" spans="1:33" x14ac:dyDescent="0.3">
      <c r="M89" s="8"/>
      <c r="N89" s="8"/>
      <c r="O89" s="8"/>
      <c r="P89" s="8"/>
      <c r="Q89" s="8"/>
      <c r="R89" s="8"/>
      <c r="S89" s="8"/>
      <c r="T89" s="8"/>
      <c r="U89" s="8"/>
    </row>
    <row r="90" spans="1:33" x14ac:dyDescent="0.3">
      <c r="M90" s="8"/>
      <c r="N90" s="8"/>
      <c r="O90" s="8"/>
      <c r="P90" s="8"/>
      <c r="Q90" s="8"/>
      <c r="R90" s="8"/>
      <c r="S90" s="8"/>
      <c r="T90" s="8"/>
      <c r="U90" s="8"/>
    </row>
    <row r="91" spans="1:33" x14ac:dyDescent="0.3">
      <c r="M91" s="8"/>
      <c r="N91" s="8"/>
      <c r="O91" s="8"/>
      <c r="P91" s="8"/>
      <c r="Q91" s="8"/>
      <c r="R91" s="8"/>
      <c r="S91" s="8"/>
      <c r="T91" s="8"/>
      <c r="U91" s="8"/>
    </row>
    <row r="92" spans="1:33" x14ac:dyDescent="0.3">
      <c r="M92" s="8"/>
      <c r="N92" s="8"/>
      <c r="O92" s="8"/>
      <c r="P92" s="8"/>
      <c r="Q92" s="8"/>
      <c r="R92" s="8"/>
      <c r="S92" s="8"/>
      <c r="T92" s="8"/>
      <c r="U92" s="8"/>
    </row>
    <row r="93" spans="1:33" x14ac:dyDescent="0.3">
      <c r="M93" s="8"/>
      <c r="N93" s="8"/>
      <c r="O93" s="8"/>
      <c r="P93" s="8"/>
      <c r="Q93" s="8"/>
      <c r="R93" s="8"/>
      <c r="S93" s="8"/>
      <c r="T93" s="8"/>
      <c r="U93" s="8"/>
    </row>
    <row r="94" spans="1:33" x14ac:dyDescent="0.3">
      <c r="M94" s="8"/>
      <c r="N94" s="8"/>
      <c r="O94" s="8"/>
      <c r="P94" s="8"/>
      <c r="Q94" s="8"/>
      <c r="R94" s="8"/>
      <c r="S94" s="8"/>
      <c r="T94" s="8"/>
      <c r="U94" s="8"/>
    </row>
    <row r="95" spans="1:33" x14ac:dyDescent="0.3">
      <c r="M95" s="8"/>
      <c r="N95" s="8"/>
      <c r="O95" s="8"/>
      <c r="P95" s="8"/>
      <c r="Q95" s="8"/>
      <c r="R95" s="8"/>
      <c r="S95" s="8"/>
      <c r="T95" s="8"/>
      <c r="U95" s="8"/>
    </row>
    <row r="96" spans="1:33"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9">
    <mergeCell ref="J53:K57"/>
    <mergeCell ref="A65:H65"/>
    <mergeCell ref="A66:H66"/>
    <mergeCell ref="J42:K44"/>
    <mergeCell ref="G43:G44"/>
    <mergeCell ref="H43:H44"/>
    <mergeCell ref="G47:G48"/>
    <mergeCell ref="H47:H48"/>
    <mergeCell ref="K46:K48"/>
    <mergeCell ref="I42:I44"/>
    <mergeCell ref="I46:I48"/>
    <mergeCell ref="I50:I51"/>
    <mergeCell ref="K50:K51"/>
    <mergeCell ref="J38:K40"/>
    <mergeCell ref="G39:G40"/>
    <mergeCell ref="H39:H40"/>
    <mergeCell ref="M1:AB1"/>
    <mergeCell ref="J14:K16"/>
    <mergeCell ref="J18:K20"/>
    <mergeCell ref="J22:K24"/>
    <mergeCell ref="J26:K28"/>
    <mergeCell ref="J30:K32"/>
    <mergeCell ref="I30:I32"/>
    <mergeCell ref="I34:I36"/>
    <mergeCell ref="G31:G32"/>
    <mergeCell ref="H31:H32"/>
    <mergeCell ref="J34:K36"/>
    <mergeCell ref="G35:G36"/>
    <mergeCell ref="H35:H36"/>
  </mergeCells>
  <conditionalFormatting sqref="H13:I13 H58:I58 H15:I15 H24 H74:I74 I75 H79:I80 H31:H32 H35:H36 H39:I40">
    <cfRule type="cellIs" dxfId="621" priority="40" operator="greaterThan">
      <formula>$H$3</formula>
    </cfRule>
  </conditionalFormatting>
  <conditionalFormatting sqref="H13:I13">
    <cfRule type="cellIs" dxfId="620" priority="39" operator="greaterThan">
      <formula>$H$3</formula>
    </cfRule>
  </conditionalFormatting>
  <conditionalFormatting sqref="I77:I78">
    <cfRule type="cellIs" dxfId="619" priority="38" operator="greaterThan">
      <formula>$H$3</formula>
    </cfRule>
  </conditionalFormatting>
  <conditionalFormatting sqref="H77:H78">
    <cfRule type="cellIs" dxfId="618" priority="37" operator="greaterThan">
      <formula>$H$3</formula>
    </cfRule>
  </conditionalFormatting>
  <conditionalFormatting sqref="I54:I56">
    <cfRule type="cellIs" dxfId="617" priority="36" operator="greaterThan">
      <formula>$H$3</formula>
    </cfRule>
  </conditionalFormatting>
  <conditionalFormatting sqref="H43:H44">
    <cfRule type="cellIs" dxfId="616" priority="34" operator="greaterThan">
      <formula>$H$3</formula>
    </cfRule>
  </conditionalFormatting>
  <conditionalFormatting sqref="H16:I16">
    <cfRule type="cellIs" dxfId="615" priority="33" operator="greaterThan">
      <formula>$H$3</formula>
    </cfRule>
  </conditionalFormatting>
  <conditionalFormatting sqref="H23">
    <cfRule type="cellIs" dxfId="614" priority="32" operator="greaterThan">
      <formula>$H$3</formula>
    </cfRule>
  </conditionalFormatting>
  <conditionalFormatting sqref="H17:I17">
    <cfRule type="cellIs" dxfId="613" priority="30" operator="greaterThan">
      <formula>$H$3</formula>
    </cfRule>
  </conditionalFormatting>
  <conditionalFormatting sqref="H17:I17">
    <cfRule type="cellIs" dxfId="612" priority="31" operator="greaterThan">
      <formula>$H$3</formula>
    </cfRule>
  </conditionalFormatting>
  <conditionalFormatting sqref="H25:I25">
    <cfRule type="cellIs" dxfId="611" priority="28" operator="greaterThan">
      <formula>$H$3</formula>
    </cfRule>
  </conditionalFormatting>
  <conditionalFormatting sqref="H25:I25">
    <cfRule type="cellIs" dxfId="610" priority="29" operator="greaterThan">
      <formula>$H$3</formula>
    </cfRule>
  </conditionalFormatting>
  <conditionalFormatting sqref="H19:I19">
    <cfRule type="cellIs" dxfId="609" priority="27" operator="greaterThan">
      <formula>$H$3</formula>
    </cfRule>
  </conditionalFormatting>
  <conditionalFormatting sqref="H20:I20">
    <cfRule type="cellIs" dxfId="608" priority="26" operator="greaterThan">
      <formula>$H$3</formula>
    </cfRule>
  </conditionalFormatting>
  <conditionalFormatting sqref="H21:I21">
    <cfRule type="cellIs" dxfId="607" priority="24" operator="greaterThan">
      <formula>$H$3</formula>
    </cfRule>
  </conditionalFormatting>
  <conditionalFormatting sqref="H21:I21">
    <cfRule type="cellIs" dxfId="606" priority="25" operator="greaterThan">
      <formula>$H$3</formula>
    </cfRule>
  </conditionalFormatting>
  <conditionalFormatting sqref="H29:I29">
    <cfRule type="cellIs" dxfId="605" priority="22" operator="greaterThan">
      <formula>$H$3</formula>
    </cfRule>
  </conditionalFormatting>
  <conditionalFormatting sqref="H29:I29">
    <cfRule type="cellIs" dxfId="604" priority="23" operator="greaterThan">
      <formula>$H$3</formula>
    </cfRule>
  </conditionalFormatting>
  <conditionalFormatting sqref="H27:I27">
    <cfRule type="cellIs" dxfId="603" priority="21" operator="greaterThan">
      <formula>$H$3</formula>
    </cfRule>
  </conditionalFormatting>
  <conditionalFormatting sqref="H28:I28">
    <cfRule type="cellIs" dxfId="602" priority="20" operator="greaterThan">
      <formula>$H$3</formula>
    </cfRule>
  </conditionalFormatting>
  <conditionalFormatting sqref="H33:I33">
    <cfRule type="cellIs" dxfId="601" priority="18" operator="greaterThan">
      <formula>$H$3</formula>
    </cfRule>
  </conditionalFormatting>
  <conditionalFormatting sqref="H33:I33">
    <cfRule type="cellIs" dxfId="600" priority="19" operator="greaterThan">
      <formula>$H$3</formula>
    </cfRule>
  </conditionalFormatting>
  <conditionalFormatting sqref="H37:I37">
    <cfRule type="cellIs" dxfId="599" priority="16" operator="greaterThan">
      <formula>$H$3</formula>
    </cfRule>
  </conditionalFormatting>
  <conditionalFormatting sqref="H37:I37">
    <cfRule type="cellIs" dxfId="598" priority="17" operator="greaterThan">
      <formula>$H$3</formula>
    </cfRule>
  </conditionalFormatting>
  <conditionalFormatting sqref="H41:I41">
    <cfRule type="cellIs" dxfId="597" priority="14" operator="greaterThan">
      <formula>$H$3</formula>
    </cfRule>
  </conditionalFormatting>
  <conditionalFormatting sqref="H41:I41">
    <cfRule type="cellIs" dxfId="596" priority="15" operator="greaterThan">
      <formula>$H$3</formula>
    </cfRule>
  </conditionalFormatting>
  <conditionalFormatting sqref="H45:I45">
    <cfRule type="cellIs" dxfId="595" priority="12" operator="greaterThan">
      <formula>$H$3</formula>
    </cfRule>
  </conditionalFormatting>
  <conditionalFormatting sqref="H45:I45">
    <cfRule type="cellIs" dxfId="594" priority="13" operator="greaterThan">
      <formula>$H$3</formula>
    </cfRule>
  </conditionalFormatting>
  <conditionalFormatting sqref="H52:I52">
    <cfRule type="cellIs" dxfId="593" priority="10" operator="greaterThan">
      <formula>$H$3</formula>
    </cfRule>
  </conditionalFormatting>
  <conditionalFormatting sqref="H52:I52">
    <cfRule type="cellIs" dxfId="592" priority="11" operator="greaterThan">
      <formula>$H$3</formula>
    </cfRule>
  </conditionalFormatting>
  <conditionalFormatting sqref="H60:I60">
    <cfRule type="cellIs" dxfId="591" priority="9" operator="greaterThan">
      <formula>$H$3</formula>
    </cfRule>
  </conditionalFormatting>
  <conditionalFormatting sqref="H62:I62">
    <cfRule type="cellIs" dxfId="590" priority="8" operator="greaterThan">
      <formula>$H$3</formula>
    </cfRule>
  </conditionalFormatting>
  <conditionalFormatting sqref="H47:H48">
    <cfRule type="cellIs" dxfId="589" priority="6" operator="greaterThan">
      <formula>$H$3</formula>
    </cfRule>
  </conditionalFormatting>
  <conditionalFormatting sqref="H49:I49">
    <cfRule type="cellIs" dxfId="588" priority="4" operator="greaterThan">
      <formula>$H$3</formula>
    </cfRule>
  </conditionalFormatting>
  <conditionalFormatting sqref="H49:I49">
    <cfRule type="cellIs" dxfId="587" priority="5" operator="greaterThan">
      <formula>$H$3</formula>
    </cfRule>
  </conditionalFormatting>
  <conditionalFormatting sqref="H54">
    <cfRule type="cellIs" dxfId="586" priority="3" operator="greaterThan">
      <formula>$H$3</formula>
    </cfRule>
  </conditionalFormatting>
  <conditionalFormatting sqref="H56">
    <cfRule type="cellIs" dxfId="585" priority="1" operator="greaterThan">
      <formula>$H$3</formula>
    </cfRule>
  </conditionalFormatting>
  <conditionalFormatting sqref="H56">
    <cfRule type="cellIs" dxfId="584" priority="2" operator="greaterThan">
      <formula>$H$3</formula>
    </cfRule>
  </conditionalFormatting>
  <pageMargins left="0.2" right="0.2" top="0.75" bottom="0.75" header="0.3" footer="0.3"/>
  <pageSetup scale="64"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L175"/>
  <sheetViews>
    <sheetView topLeftCell="C1" zoomScale="70" zoomScaleNormal="70" workbookViewId="0">
      <selection activeCell="G64" sqref="G64"/>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0.5546875" customWidth="1"/>
    <col min="17" max="17" width="10.5546875" style="172" hidden="1" customWidth="1"/>
    <col min="18" max="18" width="10.5546875" hidden="1" customWidth="1"/>
    <col min="19" max="21" width="10.5546875" style="37" hidden="1" customWidth="1"/>
    <col min="22" max="38" width="10.5546875" hidden="1" customWidth="1"/>
    <col min="39" max="54" width="10.5546875" customWidth="1"/>
  </cols>
  <sheetData>
    <row r="1" spans="2:38" ht="15.75" thickBot="1" x14ac:dyDescent="0.3">
      <c r="Q1" s="323" t="s">
        <v>0</v>
      </c>
      <c r="R1" s="324"/>
      <c r="S1" s="324"/>
      <c r="T1" s="324"/>
      <c r="U1" s="324"/>
      <c r="V1" s="324"/>
    </row>
    <row r="2" spans="2:38" ht="30" x14ac:dyDescent="0.25">
      <c r="B2" s="2"/>
      <c r="C2" s="3"/>
      <c r="D2" s="3"/>
      <c r="E2" s="3"/>
      <c r="F2" s="3"/>
      <c r="G2" s="3"/>
      <c r="H2" s="3"/>
      <c r="I2" s="3"/>
      <c r="J2" s="4" t="s">
        <v>1</v>
      </c>
      <c r="K2" s="308"/>
      <c r="L2" s="5" t="s">
        <v>2</v>
      </c>
      <c r="M2" s="6"/>
      <c r="N2" s="6"/>
      <c r="O2" s="6"/>
      <c r="Q2" s="7">
        <v>41456</v>
      </c>
      <c r="R2" s="8"/>
      <c r="S2" s="9"/>
      <c r="T2" s="9"/>
      <c r="U2" s="9"/>
      <c r="V2" s="8"/>
    </row>
    <row r="3" spans="2:38" ht="18.75" x14ac:dyDescent="0.3">
      <c r="B3" s="10" t="s">
        <v>142</v>
      </c>
      <c r="C3" s="11"/>
      <c r="D3" s="8"/>
      <c r="E3" s="8"/>
      <c r="F3" s="8"/>
      <c r="G3" s="8"/>
      <c r="H3" s="8"/>
      <c r="I3" s="8"/>
      <c r="J3" s="12">
        <v>41558</v>
      </c>
      <c r="K3" s="307"/>
      <c r="L3" s="13">
        <f>$Q$5/26</f>
        <v>0.28021978021978022</v>
      </c>
      <c r="M3" s="14"/>
      <c r="N3" s="14"/>
      <c r="O3" s="14"/>
      <c r="Q3" s="15"/>
      <c r="R3" s="8"/>
      <c r="S3" s="9"/>
      <c r="T3" s="9"/>
      <c r="U3" s="9"/>
      <c r="V3" s="8"/>
    </row>
    <row r="4" spans="2:38" ht="15.75" thickBot="1" x14ac:dyDescent="0.3">
      <c r="B4" s="16"/>
      <c r="C4" s="8"/>
      <c r="D4" s="8"/>
      <c r="E4" s="8"/>
      <c r="F4" s="17"/>
      <c r="G4" s="8"/>
      <c r="H4" s="8"/>
      <c r="I4" s="8"/>
      <c r="J4" s="306"/>
      <c r="K4" s="306"/>
      <c r="L4" s="19"/>
      <c r="M4" s="8"/>
      <c r="N4" s="8"/>
      <c r="O4" s="8"/>
      <c r="Q4" s="15">
        <f>J3-Q2</f>
        <v>102</v>
      </c>
      <c r="R4" s="8"/>
      <c r="S4" s="9"/>
      <c r="T4" s="9"/>
      <c r="U4" s="8"/>
      <c r="V4" s="8"/>
    </row>
    <row r="5" spans="2:38"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7.2857142857142856</v>
      </c>
      <c r="R5" s="8"/>
      <c r="S5" s="9"/>
      <c r="T5" s="9"/>
      <c r="U5" s="266" t="s">
        <v>101</v>
      </c>
      <c r="V5" s="266" t="s">
        <v>3</v>
      </c>
      <c r="W5" t="s">
        <v>13</v>
      </c>
      <c r="X5" t="s">
        <v>14</v>
      </c>
      <c r="Z5" t="s">
        <v>101</v>
      </c>
      <c r="AA5" t="s">
        <v>3</v>
      </c>
      <c r="AB5" t="s">
        <v>13</v>
      </c>
      <c r="AC5" t="s">
        <v>14</v>
      </c>
      <c r="AG5" t="s">
        <v>101</v>
      </c>
      <c r="AH5" t="s">
        <v>3</v>
      </c>
      <c r="AI5" t="s">
        <v>13</v>
      </c>
      <c r="AJ5" t="s">
        <v>101</v>
      </c>
      <c r="AK5" t="s">
        <v>3</v>
      </c>
      <c r="AL5" t="s">
        <v>14</v>
      </c>
    </row>
    <row r="6" spans="2:38" x14ac:dyDescent="0.3">
      <c r="B6" s="294" t="s">
        <v>100</v>
      </c>
      <c r="C6" s="293">
        <v>60</v>
      </c>
      <c r="D6" s="113">
        <v>43512.179999999971</v>
      </c>
      <c r="E6" s="292"/>
      <c r="F6" s="291">
        <v>1</v>
      </c>
      <c r="G6" s="290">
        <f t="shared" ref="G6:G19" si="0">D6*F6</f>
        <v>43512.179999999971</v>
      </c>
      <c r="H6" s="288">
        <f t="shared" ref="H6:H19" si="1">D6-G6</f>
        <v>0</v>
      </c>
      <c r="I6" s="289"/>
      <c r="J6" s="325"/>
      <c r="K6" s="325"/>
      <c r="L6" s="327" t="e">
        <f>SUM(G6:G7)/J6</f>
        <v>#DIV/0!</v>
      </c>
      <c r="M6" s="268"/>
      <c r="N6" s="113" t="e">
        <f>(L6/L$3)*J6</f>
        <v>#DIV/0!</v>
      </c>
      <c r="O6" s="288" t="e">
        <f>N6-J6</f>
        <v>#DIV/0!</v>
      </c>
      <c r="Q6" s="36">
        <v>51000</v>
      </c>
      <c r="R6" s="8"/>
      <c r="S6" s="9"/>
      <c r="T6" s="9"/>
      <c r="U6" s="287">
        <v>1</v>
      </c>
      <c r="V6" s="266" t="s">
        <v>72</v>
      </c>
      <c r="W6" s="207">
        <v>60</v>
      </c>
      <c r="X6" s="207">
        <v>43512.179999999971</v>
      </c>
      <c r="Z6">
        <v>1</v>
      </c>
      <c r="AA6" t="s">
        <v>72</v>
      </c>
      <c r="AB6" s="207">
        <v>60</v>
      </c>
      <c r="AC6" s="207">
        <v>43512.179999999971</v>
      </c>
      <c r="AG6">
        <v>1</v>
      </c>
      <c r="AH6" t="s">
        <v>72</v>
      </c>
      <c r="AI6" s="207">
        <v>60</v>
      </c>
      <c r="AJ6">
        <v>1</v>
      </c>
      <c r="AK6" t="s">
        <v>72</v>
      </c>
      <c r="AL6" s="207">
        <v>43512.179999999971</v>
      </c>
    </row>
    <row r="7" spans="2:38" x14ac:dyDescent="0.3">
      <c r="B7" s="272" t="s">
        <v>90</v>
      </c>
      <c r="C7" s="115">
        <v>24</v>
      </c>
      <c r="D7" s="64">
        <v>11012.319999999998</v>
      </c>
      <c r="E7" s="271"/>
      <c r="F7" s="270">
        <v>0.3</v>
      </c>
      <c r="G7" s="269">
        <f t="shared" si="0"/>
        <v>3303.6959999999995</v>
      </c>
      <c r="H7" s="267">
        <f t="shared" si="1"/>
        <v>7708.623999999998</v>
      </c>
      <c r="I7" s="8"/>
      <c r="J7" s="326"/>
      <c r="K7" s="326"/>
      <c r="L7" s="328"/>
      <c r="M7" s="268"/>
      <c r="N7" s="64"/>
      <c r="O7" s="267"/>
      <c r="Q7" s="36"/>
      <c r="R7" s="8"/>
      <c r="S7" s="9"/>
      <c r="T7" s="9"/>
      <c r="U7" s="264"/>
      <c r="V7" s="266" t="s">
        <v>31</v>
      </c>
      <c r="W7" s="207">
        <v>24</v>
      </c>
      <c r="X7" s="207">
        <v>11012.319999999998</v>
      </c>
      <c r="AA7" t="s">
        <v>31</v>
      </c>
      <c r="AB7" s="207">
        <v>24</v>
      </c>
      <c r="AC7" s="207">
        <v>11012.319999999998</v>
      </c>
      <c r="AH7" t="s">
        <v>31</v>
      </c>
      <c r="AI7" s="207">
        <v>24</v>
      </c>
      <c r="AK7" t="s">
        <v>31</v>
      </c>
      <c r="AL7" s="207">
        <v>11012.319999999998</v>
      </c>
    </row>
    <row r="8" spans="2:38" x14ac:dyDescent="0.3">
      <c r="B8" s="286" t="s">
        <v>99</v>
      </c>
      <c r="C8" s="285">
        <v>27</v>
      </c>
      <c r="D8" s="137">
        <v>20284.580000000002</v>
      </c>
      <c r="E8" s="284"/>
      <c r="F8" s="283">
        <v>1</v>
      </c>
      <c r="G8" s="282">
        <f t="shared" si="0"/>
        <v>20284.580000000002</v>
      </c>
      <c r="H8" s="280">
        <f t="shared" si="1"/>
        <v>0</v>
      </c>
      <c r="I8" s="281"/>
      <c r="J8" s="329"/>
      <c r="K8" s="329"/>
      <c r="L8" s="331" t="e">
        <f>SUM(G8:G9)/J8</f>
        <v>#DIV/0!</v>
      </c>
      <c r="M8" s="281"/>
      <c r="N8" s="137" t="e">
        <f>(L8/L$3)*J8</f>
        <v>#DIV/0!</v>
      </c>
      <c r="O8" s="280" t="e">
        <f>N8-J8</f>
        <v>#DIV/0!</v>
      </c>
      <c r="Q8" s="36">
        <v>37400</v>
      </c>
      <c r="R8" s="8"/>
      <c r="S8" s="9"/>
      <c r="T8" s="9"/>
      <c r="U8" s="287">
        <v>2</v>
      </c>
      <c r="V8" s="266" t="s">
        <v>72</v>
      </c>
      <c r="W8" s="207">
        <v>27</v>
      </c>
      <c r="X8" s="207">
        <v>20284.580000000002</v>
      </c>
      <c r="Z8">
        <v>2</v>
      </c>
      <c r="AA8" t="s">
        <v>72</v>
      </c>
      <c r="AB8" s="207">
        <v>27</v>
      </c>
      <c r="AC8" s="207">
        <v>20284.580000000002</v>
      </c>
      <c r="AG8">
        <v>2</v>
      </c>
      <c r="AH8" t="s">
        <v>72</v>
      </c>
      <c r="AI8" s="207">
        <v>27</v>
      </c>
      <c r="AJ8">
        <v>2</v>
      </c>
      <c r="AK8" t="s">
        <v>72</v>
      </c>
      <c r="AL8" s="207">
        <v>20284.580000000002</v>
      </c>
    </row>
    <row r="9" spans="2:38" x14ac:dyDescent="0.3">
      <c r="B9" s="279" t="s">
        <v>90</v>
      </c>
      <c r="C9" s="278">
        <v>11</v>
      </c>
      <c r="D9" s="92">
        <v>718.49</v>
      </c>
      <c r="E9" s="277"/>
      <c r="F9" s="276">
        <v>0.3</v>
      </c>
      <c r="G9" s="275">
        <f t="shared" si="0"/>
        <v>215.547</v>
      </c>
      <c r="H9" s="273">
        <f t="shared" si="1"/>
        <v>502.94299999999998</v>
      </c>
      <c r="I9" s="274"/>
      <c r="J9" s="330"/>
      <c r="K9" s="330"/>
      <c r="L9" s="332"/>
      <c r="M9" s="274"/>
      <c r="N9" s="92"/>
      <c r="O9" s="273"/>
      <c r="Q9" s="36"/>
      <c r="R9" s="8"/>
      <c r="S9" s="9"/>
      <c r="T9" s="9"/>
      <c r="U9" s="264"/>
      <c r="V9" s="266" t="s">
        <v>31</v>
      </c>
      <c r="W9" s="207">
        <v>11</v>
      </c>
      <c r="X9" s="207">
        <v>718.49</v>
      </c>
      <c r="AA9" t="s">
        <v>31</v>
      </c>
      <c r="AB9" s="207">
        <v>11</v>
      </c>
      <c r="AC9" s="207">
        <v>718.49</v>
      </c>
      <c r="AH9" t="s">
        <v>31</v>
      </c>
      <c r="AI9" s="207">
        <v>11</v>
      </c>
      <c r="AK9" t="s">
        <v>31</v>
      </c>
      <c r="AL9" s="207">
        <v>718.49</v>
      </c>
    </row>
    <row r="10" spans="2:38" x14ac:dyDescent="0.3">
      <c r="B10" s="272" t="s">
        <v>98</v>
      </c>
      <c r="C10" s="115">
        <v>49</v>
      </c>
      <c r="D10" s="64">
        <v>53121.869999999995</v>
      </c>
      <c r="E10" s="271"/>
      <c r="F10" s="270">
        <v>1</v>
      </c>
      <c r="G10" s="269">
        <f t="shared" si="0"/>
        <v>53121.869999999995</v>
      </c>
      <c r="H10" s="267">
        <f t="shared" si="1"/>
        <v>0</v>
      </c>
      <c r="I10" s="8"/>
      <c r="J10" s="326"/>
      <c r="K10" s="326"/>
      <c r="L10" s="328"/>
      <c r="M10" s="268"/>
      <c r="N10" s="64"/>
      <c r="O10" s="267"/>
      <c r="Q10" s="36">
        <v>61200</v>
      </c>
      <c r="R10" s="8"/>
      <c r="S10" s="9"/>
      <c r="T10" s="9"/>
      <c r="U10" s="37">
        <v>3</v>
      </c>
      <c r="V10" t="s">
        <v>72</v>
      </c>
      <c r="W10" s="207">
        <v>49</v>
      </c>
      <c r="X10" s="207">
        <v>53121.869999999995</v>
      </c>
      <c r="Z10">
        <v>3</v>
      </c>
      <c r="AA10" t="s">
        <v>72</v>
      </c>
      <c r="AB10" s="207">
        <v>49</v>
      </c>
      <c r="AC10" s="207">
        <v>53121.869999999995</v>
      </c>
      <c r="AG10">
        <v>3</v>
      </c>
      <c r="AH10" t="s">
        <v>72</v>
      </c>
      <c r="AI10" s="207">
        <v>49</v>
      </c>
      <c r="AJ10">
        <v>3</v>
      </c>
      <c r="AK10" t="s">
        <v>72</v>
      </c>
      <c r="AL10" s="207">
        <v>53121.869999999995</v>
      </c>
    </row>
    <row r="11" spans="2:38" x14ac:dyDescent="0.3">
      <c r="B11" s="272" t="s">
        <v>96</v>
      </c>
      <c r="C11" s="115">
        <v>15</v>
      </c>
      <c r="D11" s="64">
        <v>13804.369999999997</v>
      </c>
      <c r="E11" s="271"/>
      <c r="F11" s="270">
        <v>0.3</v>
      </c>
      <c r="G11" s="269">
        <f t="shared" si="0"/>
        <v>4141.3109999999988</v>
      </c>
      <c r="H11" s="267">
        <f t="shared" si="1"/>
        <v>9663.0589999999975</v>
      </c>
      <c r="I11" s="8"/>
      <c r="J11" s="326"/>
      <c r="K11" s="326"/>
      <c r="L11" s="328"/>
      <c r="M11" s="268"/>
      <c r="N11" s="64"/>
      <c r="O11" s="267"/>
      <c r="P11" s="45"/>
      <c r="Q11" s="36"/>
      <c r="R11" s="8"/>
      <c r="S11" s="9"/>
      <c r="T11" s="9"/>
      <c r="V11" t="s">
        <v>31</v>
      </c>
      <c r="W11" s="207">
        <v>15</v>
      </c>
      <c r="X11" s="207">
        <v>13804.369999999997</v>
      </c>
      <c r="AA11" t="s">
        <v>31</v>
      </c>
      <c r="AB11" s="207">
        <v>15</v>
      </c>
      <c r="AC11" s="207">
        <v>13804.369999999997</v>
      </c>
      <c r="AH11" t="s">
        <v>31</v>
      </c>
      <c r="AI11" s="207">
        <v>15</v>
      </c>
      <c r="AK11" t="s">
        <v>31</v>
      </c>
      <c r="AL11" s="207">
        <v>13804.369999999997</v>
      </c>
    </row>
    <row r="12" spans="2:38" x14ac:dyDescent="0.3">
      <c r="B12" s="286" t="s">
        <v>97</v>
      </c>
      <c r="C12" s="285">
        <v>42</v>
      </c>
      <c r="D12" s="137">
        <v>31904.399999999991</v>
      </c>
      <c r="E12" s="284"/>
      <c r="F12" s="283">
        <v>1</v>
      </c>
      <c r="G12" s="282">
        <f t="shared" si="0"/>
        <v>31904.399999999991</v>
      </c>
      <c r="H12" s="280">
        <f t="shared" si="1"/>
        <v>0</v>
      </c>
      <c r="I12" s="281"/>
      <c r="J12" s="329"/>
      <c r="K12" s="329"/>
      <c r="L12" s="331"/>
      <c r="M12" s="281"/>
      <c r="N12" s="137"/>
      <c r="O12" s="280"/>
      <c r="P12" s="45"/>
      <c r="Q12" s="36">
        <v>68000</v>
      </c>
      <c r="R12" s="8"/>
      <c r="S12" s="9"/>
      <c r="T12" s="9"/>
      <c r="U12" s="37">
        <v>4</v>
      </c>
      <c r="V12" t="s">
        <v>72</v>
      </c>
      <c r="W12" s="207">
        <v>42</v>
      </c>
      <c r="X12" s="207">
        <v>31904.399999999991</v>
      </c>
      <c r="Z12">
        <v>4</v>
      </c>
      <c r="AA12" t="s">
        <v>72</v>
      </c>
      <c r="AB12" s="207">
        <v>42</v>
      </c>
      <c r="AC12" s="207">
        <v>31904.399999999991</v>
      </c>
      <c r="AG12">
        <v>4</v>
      </c>
      <c r="AH12" t="s">
        <v>72</v>
      </c>
      <c r="AI12" s="207">
        <v>42</v>
      </c>
      <c r="AJ12">
        <v>4</v>
      </c>
      <c r="AK12" t="s">
        <v>72</v>
      </c>
      <c r="AL12" s="207">
        <v>31904.399999999991</v>
      </c>
    </row>
    <row r="13" spans="2:38" x14ac:dyDescent="0.3">
      <c r="B13" s="279" t="s">
        <v>96</v>
      </c>
      <c r="C13" s="278">
        <v>16</v>
      </c>
      <c r="D13" s="92">
        <v>12621.529999999997</v>
      </c>
      <c r="E13" s="277"/>
      <c r="F13" s="276">
        <v>0.3</v>
      </c>
      <c r="G13" s="275">
        <f t="shared" si="0"/>
        <v>3786.4589999999989</v>
      </c>
      <c r="H13" s="273">
        <f t="shared" si="1"/>
        <v>8835.0709999999981</v>
      </c>
      <c r="I13" s="274"/>
      <c r="J13" s="330"/>
      <c r="K13" s="330"/>
      <c r="L13" s="332"/>
      <c r="M13" s="274"/>
      <c r="N13" s="92"/>
      <c r="O13" s="273"/>
      <c r="P13" s="45"/>
      <c r="Q13" s="36"/>
      <c r="R13" s="8"/>
      <c r="S13" s="9"/>
      <c r="T13" s="9"/>
      <c r="V13" t="s">
        <v>31</v>
      </c>
      <c r="W13" s="207">
        <v>16</v>
      </c>
      <c r="X13" s="207">
        <v>12621.529999999997</v>
      </c>
      <c r="AA13" t="s">
        <v>31</v>
      </c>
      <c r="AB13" s="207">
        <v>16</v>
      </c>
      <c r="AC13" s="207">
        <v>12621.529999999997</v>
      </c>
      <c r="AH13" t="s">
        <v>31</v>
      </c>
      <c r="AI13" s="207">
        <v>16</v>
      </c>
      <c r="AK13" t="s">
        <v>31</v>
      </c>
      <c r="AL13" s="207">
        <v>12621.529999999997</v>
      </c>
    </row>
    <row r="14" spans="2:38" x14ac:dyDescent="0.3">
      <c r="B14" s="272" t="s">
        <v>95</v>
      </c>
      <c r="C14" s="115">
        <v>38</v>
      </c>
      <c r="D14" s="64">
        <v>17348.61</v>
      </c>
      <c r="E14" s="271"/>
      <c r="F14" s="270">
        <v>1</v>
      </c>
      <c r="G14" s="269">
        <f t="shared" si="0"/>
        <v>17348.61</v>
      </c>
      <c r="H14" s="267">
        <f t="shared" si="1"/>
        <v>0</v>
      </c>
      <c r="I14" s="8"/>
      <c r="J14" s="326"/>
      <c r="K14" s="326"/>
      <c r="L14" s="328" t="e">
        <f>SUM(G14:G15)/J14</f>
        <v>#DIV/0!</v>
      </c>
      <c r="M14" s="268"/>
      <c r="N14" s="64" t="e">
        <f>(L14/L$3)*J14</f>
        <v>#DIV/0!</v>
      </c>
      <c r="O14" s="267" t="e">
        <f>N14-J14</f>
        <v>#DIV/0!</v>
      </c>
      <c r="P14" s="45"/>
      <c r="Q14" s="36">
        <v>34000</v>
      </c>
      <c r="R14" s="8"/>
      <c r="S14" s="9"/>
      <c r="T14" s="9"/>
      <c r="U14" s="37">
        <v>5</v>
      </c>
      <c r="V14" t="s">
        <v>72</v>
      </c>
      <c r="W14" s="207">
        <v>38</v>
      </c>
      <c r="X14" s="207">
        <v>17348.61</v>
      </c>
      <c r="Z14">
        <v>5</v>
      </c>
      <c r="AA14" t="s">
        <v>72</v>
      </c>
      <c r="AB14" s="207">
        <v>38</v>
      </c>
      <c r="AC14" s="207">
        <v>17348.61</v>
      </c>
      <c r="AG14">
        <v>5</v>
      </c>
      <c r="AH14" t="s">
        <v>72</v>
      </c>
      <c r="AI14" s="207">
        <v>38</v>
      </c>
      <c r="AJ14">
        <v>5</v>
      </c>
      <c r="AK14" t="s">
        <v>72</v>
      </c>
      <c r="AL14" s="207">
        <v>17348.61</v>
      </c>
    </row>
    <row r="15" spans="2:38" x14ac:dyDescent="0.3">
      <c r="B15" s="272" t="s">
        <v>94</v>
      </c>
      <c r="C15" s="115">
        <v>2</v>
      </c>
      <c r="D15" s="64">
        <v>656.31999999999994</v>
      </c>
      <c r="E15" s="271"/>
      <c r="F15" s="270">
        <v>0.3</v>
      </c>
      <c r="G15" s="269">
        <f t="shared" si="0"/>
        <v>196.89599999999999</v>
      </c>
      <c r="H15" s="267">
        <f t="shared" si="1"/>
        <v>459.42399999999998</v>
      </c>
      <c r="I15" s="8"/>
      <c r="J15" s="326"/>
      <c r="K15" s="326"/>
      <c r="L15" s="328"/>
      <c r="M15" s="268"/>
      <c r="N15" s="64"/>
      <c r="O15" s="267"/>
      <c r="P15" s="45"/>
      <c r="Q15" s="36"/>
      <c r="R15" s="8"/>
      <c r="S15" s="9"/>
      <c r="T15" s="9"/>
      <c r="V15" t="s">
        <v>31</v>
      </c>
      <c r="W15" s="207">
        <v>2</v>
      </c>
      <c r="X15" s="207">
        <v>656.31999999999994</v>
      </c>
      <c r="AA15" t="s">
        <v>31</v>
      </c>
      <c r="AB15" s="207">
        <v>2</v>
      </c>
      <c r="AC15" s="207">
        <v>656.31999999999994</v>
      </c>
      <c r="AH15" t="s">
        <v>31</v>
      </c>
      <c r="AI15" s="207">
        <v>2</v>
      </c>
      <c r="AK15" t="s">
        <v>31</v>
      </c>
      <c r="AL15" s="207">
        <v>656.31999999999994</v>
      </c>
    </row>
    <row r="16" spans="2:38" x14ac:dyDescent="0.3">
      <c r="B16" s="286" t="s">
        <v>93</v>
      </c>
      <c r="C16" s="285">
        <v>22</v>
      </c>
      <c r="D16" s="137">
        <v>13121.119999999997</v>
      </c>
      <c r="E16" s="284"/>
      <c r="F16" s="283">
        <v>1</v>
      </c>
      <c r="G16" s="282">
        <f t="shared" si="0"/>
        <v>13121.119999999997</v>
      </c>
      <c r="H16" s="280">
        <f t="shared" si="1"/>
        <v>0</v>
      </c>
      <c r="I16" s="281"/>
      <c r="J16" s="329"/>
      <c r="K16" s="329"/>
      <c r="L16" s="331" t="e">
        <f>SUM(G16:G17)/J16</f>
        <v>#DIV/0!</v>
      </c>
      <c r="M16" s="281"/>
      <c r="N16" s="137" t="e">
        <f>(L16/L$3)*J16</f>
        <v>#DIV/0!</v>
      </c>
      <c r="O16" s="280" t="e">
        <f>N16-J16</f>
        <v>#DIV/0!</v>
      </c>
      <c r="P16" s="45"/>
      <c r="Q16" s="36">
        <v>27200</v>
      </c>
      <c r="R16" s="8"/>
      <c r="S16" s="9"/>
      <c r="T16" s="9"/>
      <c r="U16" s="37">
        <v>6</v>
      </c>
      <c r="V16" t="s">
        <v>72</v>
      </c>
      <c r="W16" s="207">
        <v>22</v>
      </c>
      <c r="X16" s="207">
        <v>13121.119999999997</v>
      </c>
      <c r="Z16">
        <v>6</v>
      </c>
      <c r="AA16" t="s">
        <v>72</v>
      </c>
      <c r="AB16" s="207">
        <v>22</v>
      </c>
      <c r="AC16" s="207">
        <v>13121.119999999997</v>
      </c>
      <c r="AG16">
        <v>6</v>
      </c>
      <c r="AH16" t="s">
        <v>72</v>
      </c>
      <c r="AI16" s="207">
        <v>22</v>
      </c>
      <c r="AJ16">
        <v>6</v>
      </c>
      <c r="AK16" t="s">
        <v>72</v>
      </c>
      <c r="AL16" s="207">
        <v>13121.119999999997</v>
      </c>
    </row>
    <row r="17" spans="2:38" x14ac:dyDescent="0.3">
      <c r="B17" s="279" t="s">
        <v>92</v>
      </c>
      <c r="C17" s="278">
        <v>9</v>
      </c>
      <c r="D17" s="92">
        <v>4897.9799999999996</v>
      </c>
      <c r="E17" s="277"/>
      <c r="F17" s="276">
        <v>0.3</v>
      </c>
      <c r="G17" s="275">
        <f t="shared" si="0"/>
        <v>1469.3939999999998</v>
      </c>
      <c r="H17" s="273">
        <f t="shared" si="1"/>
        <v>3428.5859999999998</v>
      </c>
      <c r="I17" s="274"/>
      <c r="J17" s="330"/>
      <c r="K17" s="330"/>
      <c r="L17" s="332"/>
      <c r="M17" s="274"/>
      <c r="N17" s="92"/>
      <c r="O17" s="273"/>
      <c r="P17" s="45"/>
      <c r="Q17" s="36"/>
      <c r="R17" s="8"/>
      <c r="S17" s="9"/>
      <c r="T17" s="9"/>
      <c r="V17" t="s">
        <v>31</v>
      </c>
      <c r="W17" s="207">
        <v>9</v>
      </c>
      <c r="X17" s="207">
        <v>4897.9799999999996</v>
      </c>
      <c r="AA17" t="s">
        <v>31</v>
      </c>
      <c r="AB17" s="207">
        <v>9</v>
      </c>
      <c r="AC17" s="207">
        <v>4897.9799999999996</v>
      </c>
      <c r="AH17" t="s">
        <v>31</v>
      </c>
      <c r="AI17" s="207">
        <v>9</v>
      </c>
      <c r="AK17" t="s">
        <v>31</v>
      </c>
      <c r="AL17" s="207">
        <v>4897.9799999999996</v>
      </c>
    </row>
    <row r="18" spans="2:38" x14ac:dyDescent="0.3">
      <c r="B18" s="272" t="s">
        <v>91</v>
      </c>
      <c r="C18" s="115">
        <v>15</v>
      </c>
      <c r="D18" s="64">
        <v>3261.4399999999996</v>
      </c>
      <c r="E18" s="271"/>
      <c r="F18" s="270">
        <v>1</v>
      </c>
      <c r="G18" s="269">
        <f t="shared" si="0"/>
        <v>3261.4399999999996</v>
      </c>
      <c r="H18" s="267">
        <f t="shared" si="1"/>
        <v>0</v>
      </c>
      <c r="I18" s="8"/>
      <c r="J18" s="326"/>
      <c r="K18" s="326"/>
      <c r="L18" s="328" t="e">
        <f>SUM(G18:G19)/J18</f>
        <v>#DIV/0!</v>
      </c>
      <c r="M18" s="268"/>
      <c r="N18" s="64" t="e">
        <f>(L18/L$3)*J18</f>
        <v>#DIV/0!</v>
      </c>
      <c r="O18" s="267" t="e">
        <f>N18-J18</f>
        <v>#DIV/0!</v>
      </c>
      <c r="P18" s="45"/>
      <c r="Q18" s="36">
        <v>61200</v>
      </c>
      <c r="R18" s="8"/>
      <c r="S18" s="9"/>
      <c r="T18" s="9"/>
      <c r="U18" s="264">
        <v>7</v>
      </c>
      <c r="V18" s="266" t="s">
        <v>72</v>
      </c>
      <c r="W18" s="207">
        <v>15</v>
      </c>
      <c r="X18" s="207">
        <v>3261.4399999999996</v>
      </c>
      <c r="Z18">
        <v>7</v>
      </c>
      <c r="AA18" t="s">
        <v>72</v>
      </c>
      <c r="AB18" s="207">
        <v>15</v>
      </c>
      <c r="AC18" s="207">
        <v>3261.4399999999996</v>
      </c>
      <c r="AG18">
        <v>7</v>
      </c>
      <c r="AH18" t="s">
        <v>72</v>
      </c>
      <c r="AI18" s="207">
        <v>15</v>
      </c>
      <c r="AJ18">
        <v>7</v>
      </c>
      <c r="AK18" t="s">
        <v>72</v>
      </c>
      <c r="AL18" s="207">
        <v>3261.4399999999996</v>
      </c>
    </row>
    <row r="19" spans="2:38" ht="15" thickBot="1" x14ac:dyDescent="0.35">
      <c r="B19" s="272" t="s">
        <v>90</v>
      </c>
      <c r="C19" s="115"/>
      <c r="D19" s="64"/>
      <c r="E19" s="271"/>
      <c r="F19" s="270">
        <v>0.3</v>
      </c>
      <c r="G19" s="269">
        <f t="shared" si="0"/>
        <v>0</v>
      </c>
      <c r="H19" s="267">
        <f t="shared" si="1"/>
        <v>0</v>
      </c>
      <c r="I19" s="8"/>
      <c r="J19" s="333"/>
      <c r="K19" s="333"/>
      <c r="L19" s="334"/>
      <c r="M19" s="268"/>
      <c r="N19" s="64"/>
      <c r="O19" s="267"/>
      <c r="P19" s="45"/>
      <c r="Q19" s="36"/>
      <c r="R19" s="8"/>
      <c r="S19" s="9"/>
      <c r="T19" s="9"/>
    </row>
    <row r="20" spans="2:38" ht="15.75" thickBot="1" x14ac:dyDescent="0.3">
      <c r="B20" s="176" t="s">
        <v>61</v>
      </c>
      <c r="C20" s="263">
        <v>330</v>
      </c>
      <c r="D20" s="162">
        <v>226265.21</v>
      </c>
      <c r="E20" s="179"/>
      <c r="F20" s="262">
        <f>G20/D20</f>
        <v>0.86477060702350128</v>
      </c>
      <c r="G20" s="179">
        <f>SUM(G6:G19)</f>
        <v>195667.503</v>
      </c>
      <c r="H20" s="179">
        <f>SUM(H6:H19)</f>
        <v>30597.706999999991</v>
      </c>
      <c r="I20" s="261"/>
      <c r="J20" s="162">
        <v>750000</v>
      </c>
      <c r="K20" s="182"/>
      <c r="L20" s="260">
        <f>SUM(G20)/J20</f>
        <v>0.26089000400000001</v>
      </c>
      <c r="M20" s="247"/>
      <c r="N20" s="162">
        <f>(L20/L$3)*J20</f>
        <v>698264.42247058824</v>
      </c>
      <c r="O20" s="182">
        <f>N20-J20</f>
        <v>-51735.577529411763</v>
      </c>
      <c r="Q20" s="162">
        <f>SUM(Q6:Q19)</f>
        <v>340000</v>
      </c>
      <c r="R20" s="8"/>
      <c r="S20" s="9"/>
      <c r="T20" s="9"/>
      <c r="U20" s="37" t="s">
        <v>61</v>
      </c>
      <c r="W20" s="207">
        <v>330</v>
      </c>
      <c r="X20" s="207">
        <v>226265.21</v>
      </c>
      <c r="Z20" t="s">
        <v>61</v>
      </c>
      <c r="AB20" s="207">
        <v>330</v>
      </c>
      <c r="AC20" s="207">
        <v>226265.21</v>
      </c>
      <c r="AG20" t="s">
        <v>61</v>
      </c>
      <c r="AI20" s="207">
        <v>330</v>
      </c>
      <c r="AJ20" t="s">
        <v>61</v>
      </c>
      <c r="AL20" s="207">
        <v>226265.21</v>
      </c>
    </row>
    <row r="21" spans="2:38" ht="15" x14ac:dyDescent="0.25">
      <c r="B21" s="183"/>
      <c r="C21" s="249"/>
      <c r="D21" s="185"/>
      <c r="E21" s="185"/>
      <c r="F21" s="185"/>
      <c r="G21" s="185"/>
      <c r="H21" s="185"/>
      <c r="I21" s="248"/>
      <c r="J21" s="185"/>
      <c r="K21" s="185"/>
      <c r="L21" s="185"/>
      <c r="M21" s="247"/>
      <c r="N21" s="185"/>
      <c r="O21" s="185"/>
      <c r="Q21" s="166"/>
      <c r="R21" s="8"/>
      <c r="S21" s="9"/>
      <c r="T21" s="9"/>
      <c r="U21" s="264"/>
      <c r="V21" s="266"/>
    </row>
    <row r="22" spans="2:38" ht="15.75" thickBot="1" x14ac:dyDescent="0.3">
      <c r="N22" s="168"/>
      <c r="Q22" s="36"/>
      <c r="R22" s="8"/>
      <c r="S22" s="9"/>
      <c r="T22" s="9"/>
      <c r="U22" s="264"/>
    </row>
    <row r="23" spans="2:38" ht="15.75" thickBot="1" x14ac:dyDescent="0.3">
      <c r="B23" s="186" t="s">
        <v>63</v>
      </c>
      <c r="C23" s="259"/>
      <c r="D23" s="188"/>
      <c r="E23" s="189"/>
      <c r="F23" s="189"/>
      <c r="G23" s="189">
        <f>G20</f>
        <v>195667.503</v>
      </c>
      <c r="H23" s="190"/>
      <c r="I23" s="258"/>
      <c r="J23" s="188">
        <f>J20</f>
        <v>750000</v>
      </c>
      <c r="K23" s="189"/>
      <c r="L23" s="257">
        <f>SUM(G23)/J23</f>
        <v>0.26089000400000001</v>
      </c>
      <c r="M23" s="247"/>
      <c r="N23" s="162">
        <f>(L23/L$3)*J23</f>
        <v>698264.42247058824</v>
      </c>
      <c r="O23" s="182">
        <f>N23-J23</f>
        <v>-51735.577529411763</v>
      </c>
      <c r="Q23" s="166"/>
      <c r="R23" s="8"/>
      <c r="S23" s="9"/>
      <c r="T23" s="9"/>
      <c r="U23" s="264"/>
    </row>
    <row r="24" spans="2:38" ht="15.75" thickBot="1" x14ac:dyDescent="0.3">
      <c r="B24" s="192" t="s">
        <v>64</v>
      </c>
      <c r="C24" s="256"/>
      <c r="D24" s="194"/>
      <c r="E24" s="185"/>
      <c r="F24" s="185"/>
      <c r="G24" s="185"/>
      <c r="H24" s="195">
        <f>H20</f>
        <v>30597.706999999991</v>
      </c>
      <c r="I24" s="255"/>
      <c r="J24" s="194"/>
      <c r="K24" s="185">
        <f>K20</f>
        <v>0</v>
      </c>
      <c r="L24" s="254" t="e">
        <f>SUM(H20)/K20</f>
        <v>#DIV/0!</v>
      </c>
      <c r="M24" s="247"/>
      <c r="N24" s="162" t="e">
        <f>(L24/L$3)*K24</f>
        <v>#DIV/0!</v>
      </c>
      <c r="O24" s="182" t="e">
        <f>N24-K24</f>
        <v>#DIV/0!</v>
      </c>
      <c r="Q24" s="166"/>
      <c r="R24" s="8"/>
      <c r="S24" s="9"/>
      <c r="T24" s="9"/>
    </row>
    <row r="25" spans="2:38" ht="15.75" thickBot="1" x14ac:dyDescent="0.3">
      <c r="B25" s="197" t="s">
        <v>65</v>
      </c>
      <c r="C25" s="253"/>
      <c r="D25" s="199">
        <f>SUM(G20:H20)</f>
        <v>226265.21</v>
      </c>
      <c r="E25" s="200"/>
      <c r="F25" s="200"/>
      <c r="G25" s="200"/>
      <c r="H25" s="201"/>
      <c r="I25" s="252"/>
      <c r="J25" s="202"/>
      <c r="K25" s="180">
        <f>SUM(J20:K20)</f>
        <v>750000</v>
      </c>
      <c r="L25" s="251">
        <f>SUM(D25)/K25</f>
        <v>0.30168694666666668</v>
      </c>
      <c r="M25" s="247"/>
      <c r="N25" s="162">
        <f>(L25/L$3)*K25</f>
        <v>807456.2396078431</v>
      </c>
      <c r="O25" s="182">
        <f>N25-K25</f>
        <v>57456.239607843105</v>
      </c>
      <c r="P25" s="168"/>
      <c r="Q25" s="166"/>
      <c r="R25" s="8"/>
      <c r="S25" s="9"/>
    </row>
    <row r="26" spans="2:38" ht="15" x14ac:dyDescent="0.25">
      <c r="B26" s="183"/>
      <c r="C26" s="249"/>
      <c r="D26" s="185"/>
      <c r="E26" s="185"/>
      <c r="F26" s="185"/>
      <c r="G26" s="185"/>
      <c r="H26" s="185"/>
      <c r="I26" s="248"/>
      <c r="J26" s="185"/>
      <c r="K26" s="185"/>
      <c r="L26" s="247"/>
      <c r="M26" s="247"/>
      <c r="N26" s="185"/>
      <c r="O26" s="185"/>
      <c r="Q26" s="166"/>
      <c r="R26" s="8"/>
      <c r="S26" s="9"/>
      <c r="T26" s="9"/>
    </row>
    <row r="27" spans="2:38" ht="21" customHeight="1" thickBot="1" x14ac:dyDescent="0.3">
      <c r="C27" s="246"/>
      <c r="D27" s="214"/>
      <c r="E27" s="214"/>
      <c r="F27" s="214"/>
      <c r="G27" s="214"/>
      <c r="H27" s="214"/>
      <c r="I27" s="214"/>
      <c r="J27" s="214"/>
      <c r="K27" s="214"/>
      <c r="L27" s="214"/>
      <c r="M27" s="214"/>
      <c r="N27" s="214"/>
      <c r="O27" s="214"/>
      <c r="Q27" s="169"/>
      <c r="R27" s="170"/>
      <c r="S27" s="171"/>
      <c r="T27" s="171"/>
    </row>
    <row r="28" spans="2:38" ht="21" customHeight="1" x14ac:dyDescent="0.25">
      <c r="B28" s="335" t="s">
        <v>143</v>
      </c>
      <c r="C28" s="336"/>
      <c r="D28" s="336"/>
      <c r="E28" s="336"/>
      <c r="F28" s="336"/>
      <c r="G28" s="336"/>
      <c r="H28" s="336"/>
      <c r="I28" s="336"/>
      <c r="J28" s="336"/>
      <c r="K28" s="336"/>
      <c r="L28" s="336"/>
      <c r="M28" s="315"/>
      <c r="N28" s="315"/>
      <c r="O28" s="315"/>
      <c r="U28" s="264"/>
    </row>
    <row r="29" spans="2:38" s="173" customFormat="1" ht="39.75" customHeight="1" x14ac:dyDescent="0.25">
      <c r="B29" s="336" t="s">
        <v>89</v>
      </c>
      <c r="C29" s="336"/>
      <c r="D29" s="336"/>
      <c r="E29" s="336"/>
      <c r="F29" s="336"/>
      <c r="G29" s="336"/>
      <c r="H29" s="336"/>
      <c r="I29" s="336"/>
      <c r="J29" s="336"/>
      <c r="K29" s="336"/>
      <c r="L29" s="336"/>
      <c r="M29" s="315"/>
      <c r="N29" s="315"/>
      <c r="O29" s="315"/>
      <c r="Q29" s="172"/>
      <c r="R29" s="174"/>
      <c r="S29" s="175"/>
      <c r="T29" s="175"/>
      <c r="U29" s="264"/>
      <c r="V29"/>
      <c r="AG29"/>
      <c r="AH29"/>
      <c r="AI29"/>
      <c r="AJ29"/>
      <c r="AK29"/>
      <c r="AL29"/>
    </row>
    <row r="30" spans="2:38" s="173" customFormat="1" ht="39.75" hidden="1" customHeight="1" x14ac:dyDescent="0.25">
      <c r="B30" t="s">
        <v>88</v>
      </c>
      <c r="C30"/>
      <c r="D30"/>
      <c r="E30"/>
      <c r="F30"/>
      <c r="G30"/>
      <c r="H30"/>
      <c r="I30"/>
      <c r="J30" s="234"/>
      <c r="K30" s="234"/>
      <c r="L30"/>
      <c r="M30"/>
      <c r="N30"/>
      <c r="O30"/>
      <c r="Q30" s="172"/>
      <c r="S30" s="175"/>
      <c r="T30" s="175"/>
      <c r="U30" s="264"/>
      <c r="V30"/>
    </row>
    <row r="31" spans="2:38" ht="15" hidden="1" x14ac:dyDescent="0.25">
      <c r="B31" t="s">
        <v>23</v>
      </c>
      <c r="C31">
        <v>2</v>
      </c>
      <c r="D31">
        <v>827.92</v>
      </c>
      <c r="J31">
        <v>340000</v>
      </c>
      <c r="AG31" s="173"/>
      <c r="AH31" s="173"/>
      <c r="AI31" s="173"/>
      <c r="AJ31" s="173"/>
      <c r="AK31" s="173"/>
      <c r="AL31" s="173"/>
    </row>
    <row r="32" spans="2:38"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c r="S47"/>
      <c r="T47"/>
      <c r="U47"/>
    </row>
    <row r="48" spans="2:21"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ht="15" x14ac:dyDescent="0.25">
      <c r="S53"/>
      <c r="T53"/>
      <c r="U53"/>
    </row>
    <row r="54" spans="19:21" ht="15" x14ac:dyDescent="0.25">
      <c r="S54"/>
      <c r="T54"/>
      <c r="U54"/>
    </row>
    <row r="55" spans="19:21" ht="15" x14ac:dyDescent="0.25">
      <c r="S55"/>
      <c r="T55"/>
      <c r="U55"/>
    </row>
    <row r="56" spans="19:21" ht="15" x14ac:dyDescent="0.25">
      <c r="S56"/>
      <c r="T56"/>
      <c r="U56"/>
    </row>
    <row r="57" spans="19:21" ht="15" x14ac:dyDescent="0.25">
      <c r="S57"/>
      <c r="T57"/>
      <c r="U57"/>
    </row>
    <row r="58" spans="19:21" ht="15" x14ac:dyDescent="0.25">
      <c r="S58"/>
      <c r="T58"/>
      <c r="U58"/>
    </row>
    <row r="59" spans="19:21" ht="15" x14ac:dyDescent="0.25">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583" priority="15" operator="greaterThan">
      <formula>$L$3</formula>
    </cfRule>
  </conditionalFormatting>
  <conditionalFormatting sqref="L23:L24">
    <cfRule type="cellIs" dxfId="582" priority="14" operator="greaterThan">
      <formula>$L$3</formula>
    </cfRule>
  </conditionalFormatting>
  <conditionalFormatting sqref="M40:M41 L37:M37 M38 L42:M43">
    <cfRule type="cellIs" dxfId="581" priority="13" operator="greaterThan">
      <formula>$L$3</formula>
    </cfRule>
  </conditionalFormatting>
  <conditionalFormatting sqref="L40:L41">
    <cfRule type="cellIs" dxfId="580" priority="12" operator="greaterThan">
      <formula>$L$3</formula>
    </cfRule>
  </conditionalFormatting>
  <conditionalFormatting sqref="M6:M7">
    <cfRule type="cellIs" dxfId="579" priority="11" operator="greaterThan">
      <formula>$L$3</formula>
    </cfRule>
  </conditionalFormatting>
  <conditionalFormatting sqref="M10:M11">
    <cfRule type="cellIs" dxfId="578" priority="10" operator="greaterThan">
      <formula>$L$3</formula>
    </cfRule>
  </conditionalFormatting>
  <conditionalFormatting sqref="M14:M15">
    <cfRule type="cellIs" dxfId="577" priority="9" operator="greaterThan">
      <formula>$L$3</formula>
    </cfRule>
  </conditionalFormatting>
  <conditionalFormatting sqref="M18:M19">
    <cfRule type="cellIs" dxfId="576" priority="8" operator="greaterThan">
      <formula>$L$3</formula>
    </cfRule>
  </conditionalFormatting>
  <conditionalFormatting sqref="L6:L7">
    <cfRule type="cellIs" dxfId="575" priority="7" operator="greaterThan">
      <formula>$L$3</formula>
    </cfRule>
  </conditionalFormatting>
  <conditionalFormatting sqref="L8:L9">
    <cfRule type="cellIs" dxfId="574" priority="6" operator="greaterThan">
      <formula>$L$3</formula>
    </cfRule>
  </conditionalFormatting>
  <conditionalFormatting sqref="L10:L11">
    <cfRule type="cellIs" dxfId="573" priority="5" operator="greaterThan">
      <formula>$L$3</formula>
    </cfRule>
  </conditionalFormatting>
  <conditionalFormatting sqref="L12:L13">
    <cfRule type="cellIs" dxfId="572" priority="4" operator="greaterThan">
      <formula>$L$3</formula>
    </cfRule>
  </conditionalFormatting>
  <conditionalFormatting sqref="L14:L15">
    <cfRule type="cellIs" dxfId="571" priority="3" operator="greaterThan">
      <formula>$L$3</formula>
    </cfRule>
  </conditionalFormatting>
  <conditionalFormatting sqref="L16:L17">
    <cfRule type="cellIs" dxfId="570" priority="2" operator="greaterThan">
      <formula>$L$3</formula>
    </cfRule>
  </conditionalFormatting>
  <conditionalFormatting sqref="L18:L19">
    <cfRule type="cellIs" dxfId="569"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F175"/>
  <sheetViews>
    <sheetView zoomScale="70" zoomScaleNormal="70" workbookViewId="0">
      <selection activeCell="G64" sqref="G64"/>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1.88671875" customWidth="1"/>
    <col min="17" max="17" width="11.88671875" style="172" customWidth="1"/>
    <col min="18" max="18" width="11.88671875" customWidth="1"/>
    <col min="19" max="21" width="11.88671875" style="37" customWidth="1"/>
    <col min="22" max="44" width="11.88671875" customWidth="1"/>
  </cols>
  <sheetData>
    <row r="1" spans="2:32" ht="15.75" thickBot="1" x14ac:dyDescent="0.3">
      <c r="Q1" s="323" t="s">
        <v>0</v>
      </c>
      <c r="R1" s="324"/>
      <c r="S1" s="324"/>
      <c r="T1" s="324"/>
      <c r="U1" s="324"/>
      <c r="V1" s="324"/>
    </row>
    <row r="2" spans="2:32" ht="30" x14ac:dyDescent="0.25">
      <c r="B2" s="2"/>
      <c r="C2" s="3"/>
      <c r="D2" s="3"/>
      <c r="E2" s="3"/>
      <c r="F2" s="3"/>
      <c r="G2" s="3"/>
      <c r="H2" s="3"/>
      <c r="I2" s="3"/>
      <c r="J2" s="4" t="s">
        <v>1</v>
      </c>
      <c r="K2" s="308"/>
      <c r="L2" s="5" t="s">
        <v>2</v>
      </c>
      <c r="M2" s="6"/>
      <c r="N2" s="6"/>
      <c r="O2" s="6"/>
      <c r="Q2" s="7">
        <v>41456</v>
      </c>
      <c r="R2" s="8"/>
      <c r="S2" s="9"/>
      <c r="T2" s="9"/>
      <c r="U2" s="9"/>
      <c r="V2" s="8"/>
    </row>
    <row r="3" spans="2:32" ht="18.75" x14ac:dyDescent="0.3">
      <c r="B3" s="10" t="s">
        <v>141</v>
      </c>
      <c r="C3" s="11"/>
      <c r="D3" s="8"/>
      <c r="E3" s="8"/>
      <c r="F3" s="8"/>
      <c r="G3" s="8"/>
      <c r="H3" s="8"/>
      <c r="I3" s="8"/>
      <c r="J3" s="12">
        <v>41558</v>
      </c>
      <c r="K3" s="307"/>
      <c r="L3" s="13">
        <f>$Q$5/26</f>
        <v>0.28021978021978022</v>
      </c>
      <c r="M3" s="14"/>
      <c r="N3" s="14"/>
      <c r="O3" s="14"/>
      <c r="Q3" s="15"/>
      <c r="R3" s="8"/>
      <c r="S3" s="9"/>
      <c r="T3" s="9"/>
      <c r="U3" s="9"/>
      <c r="V3" s="8"/>
    </row>
    <row r="4" spans="2:32" ht="15.75" thickBot="1" x14ac:dyDescent="0.3">
      <c r="B4" s="16"/>
      <c r="C4" s="8"/>
      <c r="D4" s="8"/>
      <c r="E4" s="8"/>
      <c r="F4" s="17"/>
      <c r="G4" s="8"/>
      <c r="H4" s="8"/>
      <c r="I4" s="8"/>
      <c r="J4" s="306"/>
      <c r="K4" s="306"/>
      <c r="L4" s="19"/>
      <c r="M4" s="8"/>
      <c r="N4" s="8"/>
      <c r="O4" s="8"/>
      <c r="Q4" s="15">
        <f>J3-Q2</f>
        <v>102</v>
      </c>
      <c r="R4" s="8"/>
      <c r="S4" s="9"/>
      <c r="T4" s="9"/>
      <c r="U4" s="8"/>
      <c r="V4" s="8"/>
    </row>
    <row r="5" spans="2:32"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7.2857142857142856</v>
      </c>
      <c r="R5" s="8"/>
      <c r="S5" s="9"/>
      <c r="T5" s="9"/>
      <c r="U5"/>
    </row>
    <row r="6" spans="2:32" x14ac:dyDescent="0.3">
      <c r="B6" s="294" t="s">
        <v>115</v>
      </c>
      <c r="C6" s="293">
        <v>9</v>
      </c>
      <c r="D6" s="113">
        <v>6179.2300000000005</v>
      </c>
      <c r="E6" s="292"/>
      <c r="F6" s="291">
        <v>1</v>
      </c>
      <c r="G6" s="290">
        <f t="shared" ref="G6:G19" si="0">D6*F6</f>
        <v>6179.2300000000005</v>
      </c>
      <c r="H6" s="288">
        <f t="shared" ref="H6:H19" si="1">D6-G6</f>
        <v>0</v>
      </c>
      <c r="I6" s="289"/>
      <c r="J6" s="325"/>
      <c r="K6" s="325"/>
      <c r="L6" s="327"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row>
    <row r="7" spans="2:32" x14ac:dyDescent="0.3">
      <c r="B7" s="272" t="s">
        <v>108</v>
      </c>
      <c r="C7" s="115">
        <v>19</v>
      </c>
      <c r="D7" s="64">
        <v>21681.34</v>
      </c>
      <c r="E7" s="271"/>
      <c r="F7" s="270">
        <v>0.3</v>
      </c>
      <c r="G7" s="269">
        <f t="shared" si="0"/>
        <v>6504.402</v>
      </c>
      <c r="H7" s="267">
        <f t="shared" si="1"/>
        <v>15176.938</v>
      </c>
      <c r="I7" s="8"/>
      <c r="J7" s="326"/>
      <c r="K7" s="326"/>
      <c r="L7" s="328"/>
      <c r="M7" s="268"/>
      <c r="N7" s="64"/>
      <c r="O7" s="267"/>
      <c r="Q7" s="36"/>
      <c r="R7" s="8"/>
      <c r="S7" s="9"/>
      <c r="T7" s="9"/>
      <c r="U7" s="37">
        <v>1</v>
      </c>
      <c r="V7" t="s">
        <v>53</v>
      </c>
      <c r="W7">
        <v>9</v>
      </c>
      <c r="X7">
        <v>6179.2300000000005</v>
      </c>
      <c r="AA7">
        <v>1</v>
      </c>
      <c r="AB7" t="s">
        <v>53</v>
      </c>
      <c r="AC7">
        <v>9</v>
      </c>
      <c r="AD7">
        <v>1</v>
      </c>
      <c r="AE7" t="s">
        <v>53</v>
      </c>
      <c r="AF7">
        <v>6179.2300000000005</v>
      </c>
    </row>
    <row r="8" spans="2:32" x14ac:dyDescent="0.3">
      <c r="B8" s="286" t="s">
        <v>114</v>
      </c>
      <c r="C8" s="285">
        <v>0</v>
      </c>
      <c r="D8" s="137">
        <v>0</v>
      </c>
      <c r="E8" s="284"/>
      <c r="F8" s="283">
        <v>1</v>
      </c>
      <c r="G8" s="282">
        <f t="shared" si="0"/>
        <v>0</v>
      </c>
      <c r="H8" s="280">
        <f t="shared" si="1"/>
        <v>0</v>
      </c>
      <c r="I8" s="281"/>
      <c r="J8" s="329"/>
      <c r="K8" s="329"/>
      <c r="L8" s="331" t="e">
        <f>SUM(G8:G9)/J8</f>
        <v>#DIV/0!</v>
      </c>
      <c r="M8" s="281"/>
      <c r="N8" s="137" t="e">
        <f>(L8/L$3)*J8</f>
        <v>#DIV/0!</v>
      </c>
      <c r="O8" s="280" t="e">
        <f>N8-J8</f>
        <v>#DIV/0!</v>
      </c>
      <c r="Q8" s="36">
        <v>37400</v>
      </c>
      <c r="R8" s="8"/>
      <c r="S8" s="9"/>
      <c r="T8" s="9"/>
      <c r="V8" t="s">
        <v>55</v>
      </c>
      <c r="W8">
        <v>19</v>
      </c>
      <c r="X8">
        <v>21681.34</v>
      </c>
      <c r="AB8" t="s">
        <v>55</v>
      </c>
      <c r="AC8">
        <v>19</v>
      </c>
      <c r="AE8" t="s">
        <v>55</v>
      </c>
      <c r="AF8">
        <v>21681.34</v>
      </c>
    </row>
    <row r="9" spans="2:32" x14ac:dyDescent="0.3">
      <c r="B9" s="279" t="s">
        <v>108</v>
      </c>
      <c r="C9" s="278">
        <v>0</v>
      </c>
      <c r="D9" s="92">
        <v>0</v>
      </c>
      <c r="E9" s="277"/>
      <c r="F9" s="276">
        <v>0.3</v>
      </c>
      <c r="G9" s="275">
        <f t="shared" si="0"/>
        <v>0</v>
      </c>
      <c r="H9" s="273">
        <f t="shared" si="1"/>
        <v>0</v>
      </c>
      <c r="I9" s="274"/>
      <c r="J9" s="330"/>
      <c r="K9" s="330"/>
      <c r="L9" s="332"/>
      <c r="M9" s="274"/>
      <c r="N9" s="92"/>
      <c r="O9" s="273"/>
      <c r="Q9" s="36"/>
      <c r="R9" s="8"/>
      <c r="S9" s="9"/>
      <c r="T9" s="9"/>
    </row>
    <row r="10" spans="2:32" x14ac:dyDescent="0.3">
      <c r="B10" s="272" t="s">
        <v>113</v>
      </c>
      <c r="C10" s="115">
        <v>4</v>
      </c>
      <c r="D10" s="64">
        <v>3960.1000000000008</v>
      </c>
      <c r="E10" s="271"/>
      <c r="F10" s="270">
        <v>1</v>
      </c>
      <c r="G10" s="269">
        <f t="shared" si="0"/>
        <v>3960.1000000000008</v>
      </c>
      <c r="H10" s="267">
        <f t="shared" si="1"/>
        <v>0</v>
      </c>
      <c r="I10" s="8"/>
      <c r="J10" s="326"/>
      <c r="K10" s="326"/>
      <c r="L10" s="328" t="e">
        <f>SUM(G10:G11)/J10</f>
        <v>#DIV/0!</v>
      </c>
      <c r="M10" s="268"/>
      <c r="N10" s="64" t="e">
        <f>(L10/L$3)*J10</f>
        <v>#DIV/0!</v>
      </c>
      <c r="O10" s="267" t="e">
        <f>N10-J10</f>
        <v>#DIV/0!</v>
      </c>
      <c r="Q10" s="36">
        <v>61200</v>
      </c>
      <c r="R10" s="8"/>
      <c r="S10" s="9"/>
      <c r="T10" s="9"/>
    </row>
    <row r="11" spans="2:32" x14ac:dyDescent="0.3">
      <c r="B11" s="272" t="s">
        <v>108</v>
      </c>
      <c r="C11" s="115">
        <v>1</v>
      </c>
      <c r="D11" s="64">
        <v>471.5</v>
      </c>
      <c r="E11" s="271"/>
      <c r="F11" s="270">
        <v>0.3</v>
      </c>
      <c r="G11" s="269">
        <f t="shared" si="0"/>
        <v>141.44999999999999</v>
      </c>
      <c r="H11" s="267">
        <f t="shared" si="1"/>
        <v>330.05</v>
      </c>
      <c r="I11" s="8"/>
      <c r="J11" s="326"/>
      <c r="K11" s="326"/>
      <c r="L11" s="328"/>
      <c r="M11" s="268"/>
      <c r="N11" s="64"/>
      <c r="O11" s="267"/>
      <c r="P11" s="45"/>
      <c r="Q11" s="36"/>
      <c r="R11" s="8"/>
      <c r="S11" s="9"/>
      <c r="T11" s="9"/>
      <c r="U11" s="37">
        <v>3</v>
      </c>
      <c r="V11" t="s">
        <v>53</v>
      </c>
      <c r="W11">
        <v>4</v>
      </c>
      <c r="X11">
        <v>3960.1000000000008</v>
      </c>
      <c r="AA11">
        <v>3</v>
      </c>
      <c r="AB11" t="s">
        <v>53</v>
      </c>
      <c r="AC11">
        <v>4</v>
      </c>
      <c r="AD11">
        <v>3</v>
      </c>
      <c r="AE11" t="s">
        <v>53</v>
      </c>
      <c r="AF11">
        <v>3960.1000000000008</v>
      </c>
    </row>
    <row r="12" spans="2:32" x14ac:dyDescent="0.3">
      <c r="B12" s="286" t="s">
        <v>112</v>
      </c>
      <c r="C12" s="285">
        <v>19</v>
      </c>
      <c r="D12" s="137">
        <v>25683.54</v>
      </c>
      <c r="E12" s="284"/>
      <c r="F12" s="283">
        <v>1</v>
      </c>
      <c r="G12" s="282">
        <f t="shared" si="0"/>
        <v>25683.54</v>
      </c>
      <c r="H12" s="280">
        <f t="shared" si="1"/>
        <v>0</v>
      </c>
      <c r="I12" s="281"/>
      <c r="J12" s="329"/>
      <c r="K12" s="329"/>
      <c r="L12" s="331"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row>
    <row r="13" spans="2:32" x14ac:dyDescent="0.3">
      <c r="B13" s="279" t="s">
        <v>108</v>
      </c>
      <c r="C13" s="278">
        <v>2</v>
      </c>
      <c r="D13" s="92">
        <v>2377.9700000000003</v>
      </c>
      <c r="E13" s="277"/>
      <c r="F13" s="276">
        <v>0.3</v>
      </c>
      <c r="G13" s="275">
        <f t="shared" si="0"/>
        <v>713.39100000000008</v>
      </c>
      <c r="H13" s="273">
        <f t="shared" si="1"/>
        <v>1664.5790000000002</v>
      </c>
      <c r="I13" s="274"/>
      <c r="J13" s="330"/>
      <c r="K13" s="330"/>
      <c r="L13" s="332"/>
      <c r="M13" s="274"/>
      <c r="N13" s="92"/>
      <c r="O13" s="273"/>
      <c r="P13" s="45"/>
      <c r="Q13" s="36"/>
      <c r="R13" s="8"/>
      <c r="S13" s="9"/>
      <c r="T13" s="9"/>
      <c r="U13" s="37">
        <v>4</v>
      </c>
      <c r="V13" t="s">
        <v>53</v>
      </c>
      <c r="W13">
        <v>19</v>
      </c>
      <c r="X13">
        <v>25683.54</v>
      </c>
      <c r="AA13">
        <v>4</v>
      </c>
      <c r="AB13" t="s">
        <v>53</v>
      </c>
      <c r="AC13">
        <v>19</v>
      </c>
      <c r="AD13">
        <v>4</v>
      </c>
      <c r="AE13" t="s">
        <v>53</v>
      </c>
      <c r="AF13">
        <v>25683.54</v>
      </c>
    </row>
    <row r="14" spans="2:32" x14ac:dyDescent="0.3">
      <c r="B14" s="272" t="s">
        <v>111</v>
      </c>
      <c r="C14" s="115">
        <v>6</v>
      </c>
      <c r="D14" s="64">
        <v>5651.2200000000012</v>
      </c>
      <c r="E14" s="271"/>
      <c r="F14" s="270">
        <v>1</v>
      </c>
      <c r="G14" s="269">
        <f t="shared" si="0"/>
        <v>5651.2200000000012</v>
      </c>
      <c r="H14" s="267">
        <f t="shared" si="1"/>
        <v>0</v>
      </c>
      <c r="I14" s="8"/>
      <c r="J14" s="326"/>
      <c r="K14" s="326"/>
      <c r="L14" s="328" t="e">
        <f>SUM(G14:G15)/J14</f>
        <v>#DIV/0!</v>
      </c>
      <c r="M14" s="268"/>
      <c r="N14" s="64" t="e">
        <f>(L14/L$3)*J14</f>
        <v>#DIV/0!</v>
      </c>
      <c r="O14" s="267" t="e">
        <f>N14-J14</f>
        <v>#DIV/0!</v>
      </c>
      <c r="P14" s="45"/>
      <c r="Q14" s="36">
        <v>34000</v>
      </c>
      <c r="R14" s="8"/>
      <c r="S14" s="9"/>
      <c r="T14" s="9"/>
      <c r="V14" t="s">
        <v>55</v>
      </c>
      <c r="W14">
        <v>2</v>
      </c>
      <c r="X14">
        <v>2377.9700000000003</v>
      </c>
      <c r="AB14" t="s">
        <v>55</v>
      </c>
      <c r="AC14">
        <v>2</v>
      </c>
      <c r="AE14" t="s">
        <v>55</v>
      </c>
      <c r="AF14">
        <v>2377.9700000000003</v>
      </c>
    </row>
    <row r="15" spans="2:32" x14ac:dyDescent="0.3">
      <c r="B15" s="272" t="s">
        <v>108</v>
      </c>
      <c r="C15" s="115">
        <v>3</v>
      </c>
      <c r="D15" s="64">
        <v>1689.75</v>
      </c>
      <c r="E15" s="271"/>
      <c r="F15" s="270">
        <v>0.3</v>
      </c>
      <c r="G15" s="269">
        <f t="shared" si="0"/>
        <v>506.92499999999995</v>
      </c>
      <c r="H15" s="267">
        <f t="shared" si="1"/>
        <v>1182.825</v>
      </c>
      <c r="I15" s="8"/>
      <c r="J15" s="326"/>
      <c r="K15" s="326"/>
      <c r="L15" s="328"/>
      <c r="M15" s="268"/>
      <c r="N15" s="64"/>
      <c r="O15" s="267"/>
      <c r="P15" s="45"/>
      <c r="Q15" s="36"/>
      <c r="R15" s="8"/>
      <c r="S15" s="9"/>
      <c r="T15" s="9"/>
      <c r="U15" s="37">
        <v>5</v>
      </c>
      <c r="V15" t="s">
        <v>53</v>
      </c>
      <c r="W15">
        <v>6</v>
      </c>
      <c r="X15">
        <v>5651.2200000000012</v>
      </c>
      <c r="AA15">
        <v>5</v>
      </c>
      <c r="AB15" t="s">
        <v>53</v>
      </c>
      <c r="AC15">
        <v>6</v>
      </c>
      <c r="AD15">
        <v>5</v>
      </c>
      <c r="AE15" t="s">
        <v>53</v>
      </c>
      <c r="AF15">
        <v>5651.2200000000012</v>
      </c>
    </row>
    <row r="16" spans="2:32" x14ac:dyDescent="0.3">
      <c r="B16" s="286" t="s">
        <v>110</v>
      </c>
      <c r="C16" s="285">
        <v>8</v>
      </c>
      <c r="D16" s="137">
        <v>6450.8900000000012</v>
      </c>
      <c r="E16" s="284"/>
      <c r="F16" s="283">
        <v>1</v>
      </c>
      <c r="G16" s="282">
        <f t="shared" si="0"/>
        <v>6450.8900000000012</v>
      </c>
      <c r="H16" s="280">
        <f t="shared" si="1"/>
        <v>0</v>
      </c>
      <c r="I16" s="281"/>
      <c r="J16" s="329"/>
      <c r="K16" s="329"/>
      <c r="L16" s="331" t="e">
        <f>SUM(G16:G17)/J16</f>
        <v>#DIV/0!</v>
      </c>
      <c r="M16" s="281"/>
      <c r="N16" s="137" t="e">
        <f>(L16/L$3)*J16</f>
        <v>#DIV/0!</v>
      </c>
      <c r="O16" s="280" t="e">
        <f>N16-J16</f>
        <v>#DIV/0!</v>
      </c>
      <c r="P16" s="45"/>
      <c r="Q16" s="36">
        <v>27200</v>
      </c>
      <c r="R16" s="8"/>
      <c r="S16" s="9"/>
      <c r="T16" s="9"/>
      <c r="V16" t="s">
        <v>55</v>
      </c>
      <c r="W16">
        <v>3</v>
      </c>
      <c r="X16">
        <v>1689.75</v>
      </c>
      <c r="AB16" t="s">
        <v>55</v>
      </c>
      <c r="AC16">
        <v>3</v>
      </c>
      <c r="AE16" t="s">
        <v>55</v>
      </c>
      <c r="AF16">
        <v>1689.75</v>
      </c>
    </row>
    <row r="17" spans="2:32" x14ac:dyDescent="0.3">
      <c r="B17" s="279" t="s">
        <v>108</v>
      </c>
      <c r="C17" s="278">
        <v>0</v>
      </c>
      <c r="D17" s="92">
        <v>0</v>
      </c>
      <c r="E17" s="277"/>
      <c r="F17" s="276">
        <v>0.3</v>
      </c>
      <c r="G17" s="275">
        <f t="shared" si="0"/>
        <v>0</v>
      </c>
      <c r="H17" s="273">
        <f t="shared" si="1"/>
        <v>0</v>
      </c>
      <c r="I17" s="274"/>
      <c r="J17" s="330"/>
      <c r="K17" s="330"/>
      <c r="L17" s="332"/>
      <c r="M17" s="274"/>
      <c r="N17" s="92"/>
      <c r="O17" s="273"/>
      <c r="P17" s="45"/>
      <c r="Q17" s="36"/>
      <c r="R17" s="8"/>
      <c r="S17" s="9"/>
      <c r="T17" s="9"/>
      <c r="U17" s="37">
        <v>6</v>
      </c>
      <c r="V17" t="s">
        <v>53</v>
      </c>
      <c r="W17">
        <v>8</v>
      </c>
      <c r="X17">
        <v>6450.8900000000012</v>
      </c>
      <c r="AA17">
        <v>6</v>
      </c>
      <c r="AB17" t="s">
        <v>53</v>
      </c>
      <c r="AC17">
        <v>8</v>
      </c>
      <c r="AD17">
        <v>6</v>
      </c>
      <c r="AE17" t="s">
        <v>53</v>
      </c>
      <c r="AF17">
        <v>6450.8900000000012</v>
      </c>
    </row>
    <row r="18" spans="2:32" x14ac:dyDescent="0.3">
      <c r="B18" s="272" t="s">
        <v>109</v>
      </c>
      <c r="C18" s="115">
        <v>1</v>
      </c>
      <c r="D18" s="64">
        <v>65</v>
      </c>
      <c r="E18" s="271"/>
      <c r="F18" s="270">
        <v>1</v>
      </c>
      <c r="G18" s="269">
        <f t="shared" si="0"/>
        <v>65</v>
      </c>
      <c r="H18" s="267">
        <f t="shared" si="1"/>
        <v>0</v>
      </c>
      <c r="I18" s="8"/>
      <c r="J18" s="326"/>
      <c r="K18" s="326"/>
      <c r="L18" s="328" t="e">
        <f>SUM(G18:G19)/J18</f>
        <v>#DIV/0!</v>
      </c>
      <c r="M18" s="268"/>
      <c r="N18" s="64" t="e">
        <f>(L18/L$3)*J18</f>
        <v>#DIV/0!</v>
      </c>
      <c r="O18" s="267" t="e">
        <f>N18-J18</f>
        <v>#DIV/0!</v>
      </c>
      <c r="P18" s="45"/>
      <c r="Q18" s="36">
        <v>61200</v>
      </c>
      <c r="R18" s="8"/>
      <c r="S18" s="9"/>
      <c r="T18" s="9"/>
    </row>
    <row r="19" spans="2:32" ht="15" thickBot="1" x14ac:dyDescent="0.35">
      <c r="B19" s="272" t="s">
        <v>108</v>
      </c>
      <c r="C19" s="115">
        <v>4</v>
      </c>
      <c r="D19" s="64">
        <v>18364.199999999993</v>
      </c>
      <c r="E19" s="271"/>
      <c r="F19" s="270">
        <v>0.3</v>
      </c>
      <c r="G19" s="269">
        <f t="shared" si="0"/>
        <v>5509.2599999999975</v>
      </c>
      <c r="H19" s="267">
        <f t="shared" si="1"/>
        <v>12854.939999999995</v>
      </c>
      <c r="I19" s="8"/>
      <c r="J19" s="333"/>
      <c r="K19" s="333"/>
      <c r="L19" s="334"/>
      <c r="M19" s="268"/>
      <c r="N19" s="64"/>
      <c r="O19" s="267"/>
      <c r="P19" s="45"/>
      <c r="Q19" s="36"/>
      <c r="R19" s="8"/>
      <c r="S19" s="9"/>
      <c r="T19" s="9"/>
      <c r="U19" s="37">
        <v>7</v>
      </c>
      <c r="V19" t="s">
        <v>53</v>
      </c>
      <c r="W19">
        <v>1</v>
      </c>
      <c r="X19">
        <v>65</v>
      </c>
      <c r="AA19">
        <v>7</v>
      </c>
      <c r="AB19" t="s">
        <v>53</v>
      </c>
      <c r="AC19">
        <v>1</v>
      </c>
      <c r="AD19">
        <v>7</v>
      </c>
      <c r="AE19" t="s">
        <v>53</v>
      </c>
      <c r="AF19">
        <v>65</v>
      </c>
    </row>
    <row r="20" spans="2:32" ht="15.75" thickBot="1" x14ac:dyDescent="0.3">
      <c r="B20" s="176" t="s">
        <v>61</v>
      </c>
      <c r="C20" s="263">
        <v>76</v>
      </c>
      <c r="D20" s="162">
        <v>92574.74</v>
      </c>
      <c r="E20" s="179"/>
      <c r="F20" s="262">
        <f>G20/D20</f>
        <v>0.66287421385142431</v>
      </c>
      <c r="G20" s="179">
        <f>SUM(G6:G19)</f>
        <v>61365.40800000001</v>
      </c>
      <c r="H20" s="179">
        <f>SUM(H6:H19)</f>
        <v>31209.331999999995</v>
      </c>
      <c r="I20" s="261"/>
      <c r="J20" s="162">
        <v>300000</v>
      </c>
      <c r="K20" s="182"/>
      <c r="L20" s="260">
        <f>SUM(G20)/J20</f>
        <v>0.20455136000000004</v>
      </c>
      <c r="M20" s="247"/>
      <c r="N20" s="162">
        <f>(L20/L$3)*J20</f>
        <v>218990.27952941181</v>
      </c>
      <c r="O20" s="182">
        <f>N20-J20</f>
        <v>-81009.720470588189</v>
      </c>
      <c r="Q20" s="162">
        <f>SUM(Q6:Q19)</f>
        <v>340000</v>
      </c>
      <c r="R20" s="8"/>
      <c r="S20" s="9"/>
      <c r="T20" s="9"/>
      <c r="V20" t="s">
        <v>55</v>
      </c>
      <c r="W20">
        <v>4</v>
      </c>
      <c r="X20">
        <v>18364.199999999993</v>
      </c>
      <c r="AB20" t="s">
        <v>55</v>
      </c>
      <c r="AC20">
        <v>4</v>
      </c>
      <c r="AE20" t="s">
        <v>55</v>
      </c>
      <c r="AF20">
        <v>18364.199999999993</v>
      </c>
    </row>
    <row r="21" spans="2:32" ht="15" x14ac:dyDescent="0.25">
      <c r="B21" s="183"/>
      <c r="C21" s="249"/>
      <c r="D21" s="185"/>
      <c r="E21" s="185"/>
      <c r="F21" s="185"/>
      <c r="G21" s="185"/>
      <c r="H21" s="185"/>
      <c r="I21" s="248"/>
      <c r="J21" s="185"/>
      <c r="K21" s="185"/>
      <c r="L21" s="185"/>
      <c r="M21" s="247"/>
      <c r="N21" s="185"/>
      <c r="O21" s="185"/>
      <c r="Q21" s="166"/>
      <c r="R21" s="8"/>
      <c r="S21" s="9"/>
      <c r="T21" s="9"/>
      <c r="U21" s="37" t="s">
        <v>61</v>
      </c>
      <c r="W21">
        <v>76</v>
      </c>
      <c r="X21">
        <v>92574.74</v>
      </c>
      <c r="AA21" t="s">
        <v>61</v>
      </c>
      <c r="AC21">
        <v>76</v>
      </c>
      <c r="AD21" t="s">
        <v>61</v>
      </c>
      <c r="AF21">
        <v>92574.74</v>
      </c>
    </row>
    <row r="22" spans="2:32" ht="15.75" thickBot="1" x14ac:dyDescent="0.3">
      <c r="N22" s="168"/>
      <c r="Q22" s="36"/>
      <c r="R22" s="8"/>
      <c r="S22" s="9"/>
      <c r="T22" s="9"/>
    </row>
    <row r="23" spans="2:32" ht="15.75" thickBot="1" x14ac:dyDescent="0.3">
      <c r="B23" s="186" t="s">
        <v>63</v>
      </c>
      <c r="C23" s="259"/>
      <c r="D23" s="188"/>
      <c r="E23" s="189"/>
      <c r="F23" s="189"/>
      <c r="G23" s="189">
        <f>G20</f>
        <v>61365.40800000001</v>
      </c>
      <c r="H23" s="190"/>
      <c r="I23" s="258"/>
      <c r="J23" s="188">
        <f>J20</f>
        <v>300000</v>
      </c>
      <c r="K23" s="189"/>
      <c r="L23" s="257">
        <f>SUM(G23)/J23</f>
        <v>0.20455136000000004</v>
      </c>
      <c r="M23" s="247"/>
      <c r="N23" s="162">
        <f>(L23/L$3)*J23</f>
        <v>218990.27952941181</v>
      </c>
      <c r="O23" s="182">
        <f>N23-J23</f>
        <v>-81009.720470588189</v>
      </c>
      <c r="Q23" s="166"/>
      <c r="R23" s="8"/>
      <c r="S23" s="9"/>
      <c r="T23" s="9"/>
    </row>
    <row r="24" spans="2:32" ht="15.75" thickBot="1" x14ac:dyDescent="0.3">
      <c r="B24" s="192" t="s">
        <v>64</v>
      </c>
      <c r="C24" s="256"/>
      <c r="D24" s="194"/>
      <c r="E24" s="185"/>
      <c r="F24" s="185"/>
      <c r="G24" s="185"/>
      <c r="H24" s="195">
        <f>H20</f>
        <v>31209.331999999995</v>
      </c>
      <c r="I24" s="255"/>
      <c r="J24" s="194"/>
      <c r="K24" s="185">
        <f>K20</f>
        <v>0</v>
      </c>
      <c r="L24" s="254" t="e">
        <f>SUM(H20)/K20</f>
        <v>#DIV/0!</v>
      </c>
      <c r="M24" s="247"/>
      <c r="N24" s="162" t="e">
        <f>(L24/L$3)*K24</f>
        <v>#DIV/0!</v>
      </c>
      <c r="O24" s="182" t="e">
        <f>N24-K24</f>
        <v>#DIV/0!</v>
      </c>
      <c r="Q24" s="166"/>
      <c r="R24" s="8"/>
      <c r="S24" s="9"/>
      <c r="T24" s="9"/>
    </row>
    <row r="25" spans="2:32" ht="15.75" thickBot="1" x14ac:dyDescent="0.3">
      <c r="B25" s="197" t="s">
        <v>65</v>
      </c>
      <c r="C25" s="253"/>
      <c r="D25" s="199">
        <f>SUM(G20:H20)</f>
        <v>92574.74</v>
      </c>
      <c r="E25" s="200"/>
      <c r="F25" s="200"/>
      <c r="G25" s="200"/>
      <c r="H25" s="201"/>
      <c r="I25" s="252"/>
      <c r="J25" s="202"/>
      <c r="K25" s="180">
        <f>SUM(J20:K20)</f>
        <v>300000</v>
      </c>
      <c r="L25" s="251">
        <f>SUM(D25)/K25</f>
        <v>0.30858246666666667</v>
      </c>
      <c r="M25" s="247"/>
      <c r="N25" s="162">
        <f>(L25/L$3)*K25</f>
        <v>330364.75843137252</v>
      </c>
      <c r="O25" s="182">
        <f>N25-K25</f>
        <v>30364.758431372524</v>
      </c>
      <c r="P25" s="168"/>
      <c r="Q25" s="166"/>
      <c r="R25" s="8"/>
      <c r="S25" s="9"/>
    </row>
    <row r="26" spans="2:32" ht="15" x14ac:dyDescent="0.25">
      <c r="B26" s="183"/>
      <c r="C26" s="249"/>
      <c r="D26" s="185"/>
      <c r="E26" s="185"/>
      <c r="F26" s="185"/>
      <c r="G26" s="185"/>
      <c r="H26" s="185"/>
      <c r="I26" s="248"/>
      <c r="J26" s="185"/>
      <c r="K26" s="185"/>
      <c r="L26" s="247"/>
      <c r="M26" s="247"/>
      <c r="N26" s="185"/>
      <c r="O26" s="185"/>
      <c r="Q26" s="166"/>
      <c r="R26" s="8"/>
      <c r="S26" s="9"/>
      <c r="T26" s="9"/>
    </row>
    <row r="27" spans="2:32" ht="21" customHeight="1" thickBot="1" x14ac:dyDescent="0.3">
      <c r="C27" s="246"/>
      <c r="D27" s="214"/>
      <c r="E27" s="214"/>
      <c r="F27" s="214"/>
      <c r="G27" s="214"/>
      <c r="H27" s="214"/>
      <c r="I27" s="214"/>
      <c r="J27" s="214"/>
      <c r="K27" s="214"/>
      <c r="L27" s="214"/>
      <c r="M27" s="214"/>
      <c r="N27" s="214"/>
      <c r="O27" s="214"/>
      <c r="Q27" s="169"/>
      <c r="R27" s="170"/>
      <c r="S27" s="171"/>
      <c r="T27" s="171"/>
    </row>
    <row r="28" spans="2:32" ht="21" customHeight="1" x14ac:dyDescent="0.25">
      <c r="B28" s="335" t="s">
        <v>143</v>
      </c>
      <c r="C28" s="336"/>
      <c r="D28" s="336"/>
      <c r="E28" s="336"/>
      <c r="F28" s="336"/>
      <c r="G28" s="336"/>
      <c r="H28" s="336"/>
      <c r="I28" s="336"/>
      <c r="J28" s="336"/>
      <c r="K28" s="336"/>
      <c r="L28" s="336"/>
      <c r="M28" s="315"/>
      <c r="N28" s="315"/>
      <c r="O28" s="315"/>
    </row>
    <row r="29" spans="2:32" s="173" customFormat="1" ht="39.75" customHeight="1" x14ac:dyDescent="0.25">
      <c r="B29" s="336" t="s">
        <v>107</v>
      </c>
      <c r="C29" s="336"/>
      <c r="D29" s="336"/>
      <c r="E29" s="336"/>
      <c r="F29" s="336"/>
      <c r="G29" s="336"/>
      <c r="H29" s="336"/>
      <c r="I29" s="336"/>
      <c r="J29" s="336"/>
      <c r="K29" s="336"/>
      <c r="L29" s="336"/>
      <c r="M29" s="315"/>
      <c r="N29" s="315"/>
      <c r="O29" s="315"/>
      <c r="Q29" s="172"/>
      <c r="R29" s="174"/>
      <c r="S29" s="175"/>
      <c r="T29" s="175"/>
      <c r="U29" s="37"/>
      <c r="V29"/>
      <c r="W29"/>
      <c r="X29"/>
      <c r="Y29"/>
      <c r="AA29"/>
      <c r="AB29"/>
      <c r="AC29"/>
      <c r="AD29"/>
      <c r="AE29"/>
      <c r="AF29"/>
    </row>
    <row r="30" spans="2:32"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row>
    <row r="31" spans="2:32" ht="15" hidden="1" x14ac:dyDescent="0.25">
      <c r="B31" t="s">
        <v>23</v>
      </c>
      <c r="C31">
        <v>2</v>
      </c>
      <c r="D31">
        <v>827.92</v>
      </c>
      <c r="J31">
        <v>340000</v>
      </c>
    </row>
    <row r="32" spans="2:32" ht="15" hidden="1" x14ac:dyDescent="0.25">
      <c r="B32" t="s">
        <v>87</v>
      </c>
      <c r="C32">
        <v>83</v>
      </c>
      <c r="D32">
        <v>133749.80999999991</v>
      </c>
      <c r="J32">
        <v>250000</v>
      </c>
      <c r="U32"/>
      <c r="X32" s="173"/>
      <c r="Y32" s="173"/>
    </row>
    <row r="33" spans="2:32" ht="15" hidden="1" x14ac:dyDescent="0.25">
      <c r="X33" s="173"/>
      <c r="Y33" s="173"/>
    </row>
    <row r="34" spans="2:32"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2" ht="15" hidden="1" x14ac:dyDescent="0.25">
      <c r="U35"/>
      <c r="AE35" s="173"/>
      <c r="AF35" s="173"/>
    </row>
    <row r="36" spans="2:32" ht="15" hidden="1" x14ac:dyDescent="0.25">
      <c r="U36"/>
      <c r="AE36" s="173"/>
      <c r="AF36" s="173"/>
    </row>
    <row r="37" spans="2:32"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2" ht="15" hidden="1" x14ac:dyDescent="0.25">
      <c r="B38" s="183"/>
      <c r="C38" s="249"/>
      <c r="D38" s="185"/>
      <c r="E38" s="185"/>
      <c r="F38" s="185"/>
      <c r="G38" s="185"/>
      <c r="H38" s="185"/>
      <c r="I38" s="248"/>
      <c r="J38" s="185"/>
      <c r="K38" s="185"/>
      <c r="L38" s="185"/>
      <c r="M38" s="247"/>
      <c r="N38" s="185"/>
      <c r="O38" s="185"/>
      <c r="U38"/>
      <c r="AA38" s="173"/>
      <c r="AB38" s="173"/>
      <c r="AC38" s="173"/>
      <c r="AD38" s="173"/>
    </row>
    <row r="39" spans="2:32" ht="15" hidden="1" x14ac:dyDescent="0.25">
      <c r="AA39" s="173"/>
      <c r="AB39" s="173"/>
      <c r="AC39" s="173"/>
      <c r="AD39" s="173"/>
    </row>
    <row r="40" spans="2:32"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2"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2"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2" ht="15" hidden="1" x14ac:dyDescent="0.25">
      <c r="B43" s="183"/>
      <c r="C43" s="249"/>
      <c r="D43" s="185"/>
      <c r="E43" s="185"/>
      <c r="F43" s="185"/>
      <c r="G43" s="185"/>
      <c r="H43" s="185"/>
      <c r="I43" s="248"/>
      <c r="J43" s="185"/>
      <c r="K43" s="185"/>
      <c r="L43" s="247"/>
      <c r="M43" s="247"/>
      <c r="N43" s="185"/>
      <c r="O43" s="185"/>
      <c r="U43"/>
    </row>
    <row r="44" spans="2:32"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2" ht="15" hidden="1" x14ac:dyDescent="0.25">
      <c r="U45"/>
    </row>
    <row r="46" spans="2:32" ht="15" x14ac:dyDescent="0.25">
      <c r="D46" s="168">
        <f>D20-D25</f>
        <v>0</v>
      </c>
      <c r="U46"/>
    </row>
    <row r="47" spans="2:32" ht="15" x14ac:dyDescent="0.25">
      <c r="C47" s="205"/>
    </row>
    <row r="48" spans="2:32" ht="15" x14ac:dyDescent="0.25">
      <c r="U48"/>
    </row>
    <row r="49" spans="20:23" ht="15" x14ac:dyDescent="0.25">
      <c r="U49"/>
    </row>
    <row r="50" spans="20:23" ht="15" x14ac:dyDescent="0.25">
      <c r="U50"/>
    </row>
    <row r="52" spans="20:23" ht="15" x14ac:dyDescent="0.25">
      <c r="U52"/>
    </row>
    <row r="53" spans="20:23" ht="15.75" thickBot="1" x14ac:dyDescent="0.3">
      <c r="U53"/>
    </row>
    <row r="54" spans="20:23" ht="15" x14ac:dyDescent="0.25">
      <c r="T54" s="245" t="s">
        <v>86</v>
      </c>
    </row>
    <row r="55" spans="20:23" ht="15" x14ac:dyDescent="0.25">
      <c r="T55" s="244">
        <v>1</v>
      </c>
      <c r="U55"/>
    </row>
    <row r="56" spans="20:23" ht="15" x14ac:dyDescent="0.25">
      <c r="T56" s="244">
        <v>2</v>
      </c>
      <c r="U56"/>
    </row>
    <row r="57" spans="20:23" ht="15" x14ac:dyDescent="0.25">
      <c r="T57" s="244">
        <v>3</v>
      </c>
      <c r="U57"/>
    </row>
    <row r="58" spans="20:23" ht="15" x14ac:dyDescent="0.25">
      <c r="T58" s="244">
        <v>4</v>
      </c>
      <c r="U58"/>
    </row>
    <row r="59" spans="20:23" ht="15" x14ac:dyDescent="0.25">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568" priority="15" operator="greaterThan">
      <formula>$L$3</formula>
    </cfRule>
  </conditionalFormatting>
  <conditionalFormatting sqref="L23:L24">
    <cfRule type="cellIs" dxfId="567" priority="14" operator="greaterThan">
      <formula>$L$3</formula>
    </cfRule>
  </conditionalFormatting>
  <conditionalFormatting sqref="M40:M41 L37:M37 M38 L42:M43">
    <cfRule type="cellIs" dxfId="566" priority="13" operator="greaterThan">
      <formula>$L$3</formula>
    </cfRule>
  </conditionalFormatting>
  <conditionalFormatting sqref="L40:L41">
    <cfRule type="cellIs" dxfId="565" priority="12" operator="greaterThan">
      <formula>$L$3</formula>
    </cfRule>
  </conditionalFormatting>
  <conditionalFormatting sqref="M6:M7">
    <cfRule type="cellIs" dxfId="564" priority="11" operator="greaterThan">
      <formula>$L$3</formula>
    </cfRule>
  </conditionalFormatting>
  <conditionalFormatting sqref="M10:M11">
    <cfRule type="cellIs" dxfId="563" priority="10" operator="greaterThan">
      <formula>$L$3</formula>
    </cfRule>
  </conditionalFormatting>
  <conditionalFormatting sqref="M14:M15">
    <cfRule type="cellIs" dxfId="562" priority="9" operator="greaterThan">
      <formula>$L$3</formula>
    </cfRule>
  </conditionalFormatting>
  <conditionalFormatting sqref="M18:M19">
    <cfRule type="cellIs" dxfId="561" priority="8" operator="greaterThan">
      <formula>$L$3</formula>
    </cfRule>
  </conditionalFormatting>
  <conditionalFormatting sqref="L6:L7">
    <cfRule type="cellIs" dxfId="560" priority="7" operator="greaterThan">
      <formula>$L$3</formula>
    </cfRule>
  </conditionalFormatting>
  <conditionalFormatting sqref="L8:L9">
    <cfRule type="cellIs" dxfId="559" priority="6" operator="greaterThan">
      <formula>$L$3</formula>
    </cfRule>
  </conditionalFormatting>
  <conditionalFormatting sqref="L10:L11">
    <cfRule type="cellIs" dxfId="558" priority="5" operator="greaterThan">
      <formula>$L$3</formula>
    </cfRule>
  </conditionalFormatting>
  <conditionalFormatting sqref="L12:L13">
    <cfRule type="cellIs" dxfId="557" priority="4" operator="greaterThan">
      <formula>$L$3</formula>
    </cfRule>
  </conditionalFormatting>
  <conditionalFormatting sqref="L14:L15">
    <cfRule type="cellIs" dxfId="556" priority="3" operator="greaterThan">
      <formula>$L$3</formula>
    </cfRule>
  </conditionalFormatting>
  <conditionalFormatting sqref="L16:L17">
    <cfRule type="cellIs" dxfId="555" priority="2" operator="greaterThan">
      <formula>$L$3</formula>
    </cfRule>
  </conditionalFormatting>
  <conditionalFormatting sqref="L18:L19">
    <cfRule type="cellIs" dxfId="554" priority="1" operator="greaterThan">
      <formula>$L$3</formula>
    </cfRule>
  </conditionalFormatting>
  <pageMargins left="0.2" right="0.2" top="0.75" bottom="0.75" header="0.3" footer="0.3"/>
  <pageSetup scale="92"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H257"/>
  <sheetViews>
    <sheetView topLeftCell="A22" zoomScale="70" zoomScaleNormal="70" workbookViewId="0">
      <selection activeCell="G64" sqref="G64"/>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22.5546875" customWidth="1"/>
    <col min="13" max="13" width="22.5546875" style="172" hidden="1" customWidth="1"/>
    <col min="14" max="14" width="22.88671875" hidden="1" customWidth="1"/>
    <col min="15" max="17" width="22.88671875" style="37" hidden="1" customWidth="1"/>
    <col min="18" max="23" width="22.88671875" hidden="1" customWidth="1"/>
    <col min="24" max="24" width="51.44140625" hidden="1" customWidth="1"/>
    <col min="25" max="25" width="22.88671875" hidden="1" customWidth="1"/>
    <col min="26" max="26" width="4.88671875" hidden="1" customWidth="1"/>
    <col min="27" max="29" width="22.88671875" hidden="1" customWidth="1"/>
    <col min="30" max="30" width="48.88671875" hidden="1" customWidth="1"/>
    <col min="31" max="31" width="22.88671875" hidden="1" customWidth="1"/>
    <col min="32" max="32" width="3.6640625" hidden="1" customWidth="1"/>
    <col min="33" max="34" width="22.88671875" hidden="1" customWidth="1"/>
    <col min="35" max="35" width="22.88671875" customWidth="1"/>
    <col min="36" max="46" width="21.33203125" customWidth="1"/>
  </cols>
  <sheetData>
    <row r="1" spans="1:33" ht="15.75" thickBot="1" x14ac:dyDescent="0.3">
      <c r="M1" s="347" t="s">
        <v>0</v>
      </c>
      <c r="N1" s="348"/>
      <c r="O1" s="348"/>
      <c r="P1" s="348"/>
      <c r="Q1" s="348"/>
      <c r="R1" s="348"/>
      <c r="S1" s="348"/>
      <c r="T1" s="348"/>
      <c r="U1" s="348"/>
      <c r="V1" s="348"/>
      <c r="W1" s="348"/>
      <c r="X1" s="348"/>
      <c r="Y1" s="348"/>
      <c r="Z1" s="348"/>
      <c r="AA1" s="348"/>
      <c r="AB1" s="348"/>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140</v>
      </c>
      <c r="B3" s="11"/>
      <c r="C3" s="8"/>
      <c r="D3" s="8"/>
      <c r="E3" s="8"/>
      <c r="F3" s="8"/>
      <c r="G3" s="12">
        <v>41558</v>
      </c>
      <c r="H3" s="13">
        <f>$M$5/26</f>
        <v>0.28021978021978022</v>
      </c>
      <c r="I3" s="14"/>
      <c r="J3" s="216"/>
      <c r="K3" s="14"/>
      <c r="M3" s="15"/>
      <c r="N3" s="8"/>
      <c r="O3" s="9"/>
      <c r="P3" s="9"/>
      <c r="Q3" s="9"/>
      <c r="R3" s="8"/>
    </row>
    <row r="4" spans="1:33" ht="15.75" thickBot="1" x14ac:dyDescent="0.3">
      <c r="A4" s="16"/>
      <c r="B4" s="8"/>
      <c r="C4" s="8"/>
      <c r="D4" s="17"/>
      <c r="E4" s="8"/>
      <c r="F4" s="8"/>
      <c r="G4" s="18"/>
      <c r="H4" s="19"/>
      <c r="I4" s="8"/>
      <c r="J4" s="217"/>
      <c r="K4" s="8"/>
      <c r="M4" s="15">
        <f>G3-M2</f>
        <v>102</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7.2857142857142856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59</v>
      </c>
      <c r="C6" s="30">
        <f t="shared" ref="C6:C12" si="0">Q9</f>
        <v>2923.8599999999974</v>
      </c>
      <c r="D6" s="31">
        <v>1</v>
      </c>
      <c r="E6" s="30">
        <f t="shared" ref="E6:E12" si="1">C6*D6</f>
        <v>2923.8599999999974</v>
      </c>
      <c r="F6" s="30">
        <f t="shared" ref="F6:F12" si="2">C6-E6</f>
        <v>0</v>
      </c>
      <c r="G6" s="32"/>
      <c r="H6" s="33"/>
      <c r="I6" s="34"/>
      <c r="J6" s="218"/>
      <c r="K6" s="35"/>
      <c r="M6" s="8"/>
      <c r="N6" s="8"/>
      <c r="O6" t="s">
        <v>71</v>
      </c>
      <c r="P6">
        <v>1</v>
      </c>
      <c r="Q6">
        <v>14578.980000000016</v>
      </c>
      <c r="T6" s="16" t="s">
        <v>71</v>
      </c>
      <c r="U6" s="8">
        <f>Y6</f>
        <v>1</v>
      </c>
      <c r="V6" s="310">
        <f t="shared" ref="V6:V31" si="3">AA6</f>
        <v>14578.980000000016</v>
      </c>
      <c r="X6" t="s">
        <v>71</v>
      </c>
      <c r="Y6">
        <v>1</v>
      </c>
      <c r="Z6" t="s">
        <v>71</v>
      </c>
      <c r="AA6" s="214">
        <v>14578.980000000016</v>
      </c>
      <c r="AB6" s="19"/>
      <c r="AD6" t="s">
        <v>71</v>
      </c>
      <c r="AE6">
        <v>1</v>
      </c>
      <c r="AF6" t="s">
        <v>71</v>
      </c>
      <c r="AG6" s="214">
        <v>14578.980000000016</v>
      </c>
    </row>
    <row r="7" spans="1:33" ht="15" x14ac:dyDescent="0.25">
      <c r="A7" s="38" t="s">
        <v>16</v>
      </c>
      <c r="B7" s="39">
        <f t="shared" ref="B7:B12" si="4">P10</f>
        <v>35</v>
      </c>
      <c r="C7" s="40">
        <f t="shared" si="0"/>
        <v>3659.7699999999977</v>
      </c>
      <c r="D7" s="41">
        <v>1</v>
      </c>
      <c r="E7" s="40">
        <f t="shared" si="1"/>
        <v>3659.7699999999977</v>
      </c>
      <c r="F7" s="40">
        <f t="shared" si="2"/>
        <v>0</v>
      </c>
      <c r="G7" s="32"/>
      <c r="H7" s="33"/>
      <c r="I7" s="34"/>
      <c r="J7" s="218"/>
      <c r="K7" s="35"/>
      <c r="M7" s="8"/>
      <c r="N7" s="8"/>
      <c r="O7" t="s">
        <v>24</v>
      </c>
      <c r="P7">
        <v>24</v>
      </c>
      <c r="Q7">
        <v>33295.119999999995</v>
      </c>
      <c r="T7" s="16" t="s">
        <v>24</v>
      </c>
      <c r="U7" s="8">
        <f t="shared" ref="U7:U31" si="5">Y7</f>
        <v>24</v>
      </c>
      <c r="V7" s="310">
        <f t="shared" si="3"/>
        <v>33295.119999999995</v>
      </c>
      <c r="X7" t="s">
        <v>24</v>
      </c>
      <c r="Y7">
        <v>24</v>
      </c>
      <c r="Z7" t="s">
        <v>24</v>
      </c>
      <c r="AA7" s="214">
        <v>33295.119999999995</v>
      </c>
      <c r="AB7" s="19"/>
      <c r="AD7" t="s">
        <v>24</v>
      </c>
      <c r="AE7">
        <v>24</v>
      </c>
      <c r="AF7" t="s">
        <v>24</v>
      </c>
      <c r="AG7" s="214">
        <v>33295.119999999995</v>
      </c>
    </row>
    <row r="8" spans="1:33" ht="15" x14ac:dyDescent="0.25">
      <c r="A8" s="38" t="s">
        <v>17</v>
      </c>
      <c r="B8" s="39">
        <f t="shared" si="4"/>
        <v>27</v>
      </c>
      <c r="C8" s="40">
        <f t="shared" si="0"/>
        <v>5867.7699999999995</v>
      </c>
      <c r="D8" s="41">
        <v>0.3</v>
      </c>
      <c r="E8" s="40">
        <f t="shared" si="1"/>
        <v>1760.3309999999999</v>
      </c>
      <c r="F8" s="40">
        <f t="shared" si="2"/>
        <v>4107.4389999999994</v>
      </c>
      <c r="G8" s="32"/>
      <c r="H8" s="33"/>
      <c r="I8" s="34"/>
      <c r="J8" s="218"/>
      <c r="K8" s="35"/>
      <c r="M8" s="8"/>
      <c r="N8" s="8"/>
      <c r="O8" t="s">
        <v>76</v>
      </c>
      <c r="P8">
        <v>1</v>
      </c>
      <c r="Q8">
        <v>2781.2599999999989</v>
      </c>
      <c r="T8" s="16" t="s">
        <v>76</v>
      </c>
      <c r="U8" s="8">
        <f t="shared" si="5"/>
        <v>1</v>
      </c>
      <c r="V8" s="310">
        <f t="shared" si="3"/>
        <v>2781.2599999999989</v>
      </c>
      <c r="X8" t="s">
        <v>76</v>
      </c>
      <c r="Y8">
        <v>1</v>
      </c>
      <c r="Z8" t="s">
        <v>76</v>
      </c>
      <c r="AA8" s="214">
        <v>2781.2599999999989</v>
      </c>
      <c r="AB8" s="19"/>
      <c r="AD8" t="s">
        <v>76</v>
      </c>
      <c r="AE8">
        <v>1</v>
      </c>
      <c r="AF8" t="s">
        <v>76</v>
      </c>
      <c r="AG8" s="214">
        <v>2781.2599999999989</v>
      </c>
    </row>
    <row r="9" spans="1:33" ht="15" x14ac:dyDescent="0.25">
      <c r="A9" s="38" t="s">
        <v>18</v>
      </c>
      <c r="B9" s="39">
        <f t="shared" si="4"/>
        <v>198</v>
      </c>
      <c r="C9" s="40">
        <f t="shared" si="0"/>
        <v>148013.93999999986</v>
      </c>
      <c r="D9" s="41">
        <v>1</v>
      </c>
      <c r="E9" s="40">
        <f t="shared" si="1"/>
        <v>148013.93999999986</v>
      </c>
      <c r="F9" s="40">
        <f t="shared" si="2"/>
        <v>0</v>
      </c>
      <c r="G9" s="32"/>
      <c r="H9" s="33"/>
      <c r="I9" s="34"/>
      <c r="J9" s="218"/>
      <c r="K9" s="35"/>
      <c r="M9" s="8"/>
      <c r="N9" s="8"/>
      <c r="O9" t="s">
        <v>15</v>
      </c>
      <c r="P9">
        <v>59</v>
      </c>
      <c r="Q9">
        <v>2923.8599999999974</v>
      </c>
      <c r="T9" s="16" t="s">
        <v>15</v>
      </c>
      <c r="U9" s="8">
        <f t="shared" si="5"/>
        <v>59</v>
      </c>
      <c r="V9" s="310">
        <f t="shared" si="3"/>
        <v>2923.8599999999974</v>
      </c>
      <c r="X9" t="s">
        <v>15</v>
      </c>
      <c r="Y9">
        <v>59</v>
      </c>
      <c r="Z9" t="s">
        <v>15</v>
      </c>
      <c r="AA9" s="214">
        <v>2923.8599999999974</v>
      </c>
      <c r="AB9" s="19"/>
      <c r="AD9" t="s">
        <v>15</v>
      </c>
      <c r="AE9">
        <v>59</v>
      </c>
      <c r="AF9" t="s">
        <v>15</v>
      </c>
      <c r="AG9" s="214">
        <v>2923.8599999999974</v>
      </c>
    </row>
    <row r="10" spans="1:33" ht="15" x14ac:dyDescent="0.25">
      <c r="A10" s="38" t="s">
        <v>19</v>
      </c>
      <c r="B10" s="39">
        <f t="shared" si="4"/>
        <v>27</v>
      </c>
      <c r="C10" s="40">
        <f t="shared" si="0"/>
        <v>27229.469999999998</v>
      </c>
      <c r="D10" s="41">
        <v>0.3</v>
      </c>
      <c r="E10" s="40">
        <f t="shared" si="1"/>
        <v>8168.8409999999985</v>
      </c>
      <c r="F10" s="40">
        <f t="shared" si="2"/>
        <v>19060.629000000001</v>
      </c>
      <c r="G10" s="32"/>
      <c r="H10" s="42"/>
      <c r="I10" s="43"/>
      <c r="J10" s="219"/>
      <c r="K10" s="44"/>
      <c r="L10" s="45"/>
      <c r="M10" s="8"/>
      <c r="N10" s="8"/>
      <c r="O10" s="38" t="s">
        <v>16</v>
      </c>
      <c r="P10">
        <v>35</v>
      </c>
      <c r="Q10">
        <v>3659.7699999999977</v>
      </c>
      <c r="T10" s="16" t="s">
        <v>16</v>
      </c>
      <c r="U10" s="8">
        <f t="shared" si="5"/>
        <v>35</v>
      </c>
      <c r="V10" s="310">
        <f t="shared" si="3"/>
        <v>3659.7699999999977</v>
      </c>
      <c r="X10" t="s">
        <v>16</v>
      </c>
      <c r="Y10">
        <v>35</v>
      </c>
      <c r="Z10" t="s">
        <v>16</v>
      </c>
      <c r="AA10" s="214">
        <v>3659.7699999999977</v>
      </c>
      <c r="AB10" s="19"/>
      <c r="AD10" t="s">
        <v>16</v>
      </c>
      <c r="AE10">
        <v>35</v>
      </c>
      <c r="AF10" t="s">
        <v>16</v>
      </c>
      <c r="AG10" s="214">
        <v>3659.7699999999977</v>
      </c>
    </row>
    <row r="11" spans="1:33" ht="15" x14ac:dyDescent="0.25">
      <c r="A11" s="38" t="s">
        <v>20</v>
      </c>
      <c r="B11" s="39">
        <f t="shared" si="4"/>
        <v>953</v>
      </c>
      <c r="C11" s="40">
        <f t="shared" si="0"/>
        <v>570846.37999999931</v>
      </c>
      <c r="D11" s="41">
        <v>1</v>
      </c>
      <c r="E11" s="40">
        <f t="shared" si="1"/>
        <v>570846.37999999931</v>
      </c>
      <c r="F11" s="40">
        <f t="shared" si="2"/>
        <v>0</v>
      </c>
      <c r="G11" s="32"/>
      <c r="H11" s="42"/>
      <c r="I11" s="43"/>
      <c r="J11" s="219"/>
      <c r="K11" s="44"/>
      <c r="M11" s="8"/>
      <c r="N11" s="8"/>
      <c r="O11" t="s">
        <v>17</v>
      </c>
      <c r="P11">
        <v>27</v>
      </c>
      <c r="Q11">
        <v>5867.7699999999995</v>
      </c>
      <c r="T11" s="16" t="s">
        <v>17</v>
      </c>
      <c r="U11" s="8">
        <f t="shared" si="5"/>
        <v>27</v>
      </c>
      <c r="V11" s="310">
        <f t="shared" si="3"/>
        <v>5867.7699999999995</v>
      </c>
      <c r="X11" t="s">
        <v>17</v>
      </c>
      <c r="Y11">
        <v>27</v>
      </c>
      <c r="Z11" t="s">
        <v>17</v>
      </c>
      <c r="AA11" s="214">
        <v>5867.7699999999995</v>
      </c>
      <c r="AB11" s="19"/>
      <c r="AD11" t="s">
        <v>17</v>
      </c>
      <c r="AE11">
        <v>27</v>
      </c>
      <c r="AF11" t="s">
        <v>17</v>
      </c>
      <c r="AG11" s="214">
        <v>5867.7699999999995</v>
      </c>
    </row>
    <row r="12" spans="1:33" ht="15" x14ac:dyDescent="0.25">
      <c r="A12" s="38" t="s">
        <v>21</v>
      </c>
      <c r="B12" s="39">
        <f t="shared" si="4"/>
        <v>102</v>
      </c>
      <c r="C12" s="40">
        <f t="shared" si="0"/>
        <v>62118.489999999991</v>
      </c>
      <c r="D12" s="41">
        <v>0.3</v>
      </c>
      <c r="E12" s="40">
        <f t="shared" si="1"/>
        <v>18635.546999999995</v>
      </c>
      <c r="F12" s="40">
        <f t="shared" si="2"/>
        <v>43482.942999999999</v>
      </c>
      <c r="G12" s="32"/>
      <c r="H12" s="42"/>
      <c r="I12" s="43"/>
      <c r="J12" s="219"/>
      <c r="K12" s="44"/>
      <c r="M12" s="8"/>
      <c r="N12" s="8"/>
      <c r="O12" t="s">
        <v>18</v>
      </c>
      <c r="P12">
        <v>198</v>
      </c>
      <c r="Q12">
        <v>148013.93999999986</v>
      </c>
      <c r="T12" s="16" t="s">
        <v>18</v>
      </c>
      <c r="U12" s="8">
        <f t="shared" si="5"/>
        <v>198</v>
      </c>
      <c r="V12" s="310">
        <f t="shared" si="3"/>
        <v>148013.93999999986</v>
      </c>
      <c r="X12" t="s">
        <v>18</v>
      </c>
      <c r="Y12">
        <v>198</v>
      </c>
      <c r="Z12" t="s">
        <v>18</v>
      </c>
      <c r="AA12" s="214">
        <v>148013.93999999986</v>
      </c>
      <c r="AB12" s="19"/>
      <c r="AD12" t="s">
        <v>18</v>
      </c>
      <c r="AE12">
        <v>198</v>
      </c>
      <c r="AF12" t="s">
        <v>18</v>
      </c>
      <c r="AG12" s="214">
        <v>148013.93999999986</v>
      </c>
    </row>
    <row r="13" spans="1:33" ht="15" customHeight="1" thickBot="1" x14ac:dyDescent="0.3">
      <c r="A13" s="46" t="s">
        <v>22</v>
      </c>
      <c r="B13" s="47">
        <f>SUM(B6:B12)</f>
        <v>1401</v>
      </c>
      <c r="C13" s="48">
        <f>SUM(C6:C12)</f>
        <v>820659.67999999912</v>
      </c>
      <c r="D13" s="49"/>
      <c r="E13" s="48">
        <f>SUM(E6:E12)</f>
        <v>754008.66899999918</v>
      </c>
      <c r="F13" s="50">
        <f>SUM(F6:F12)</f>
        <v>66651.010999999999</v>
      </c>
      <c r="G13" s="51">
        <v>2724921</v>
      </c>
      <c r="H13" s="52">
        <f>E13/G13</f>
        <v>0.27670845099729469</v>
      </c>
      <c r="I13" s="53"/>
      <c r="J13" s="220">
        <f>(H13/H$3)*G$13</f>
        <v>2690776.0344705856</v>
      </c>
      <c r="K13" s="55">
        <f>J13-G13</f>
        <v>-34144.965529414359</v>
      </c>
      <c r="M13" s="8"/>
      <c r="N13" s="8"/>
      <c r="O13" t="s">
        <v>19</v>
      </c>
      <c r="P13">
        <v>27</v>
      </c>
      <c r="Q13">
        <v>27229.469999999998</v>
      </c>
      <c r="T13" s="16" t="s">
        <v>19</v>
      </c>
      <c r="U13" s="8">
        <f>Y13</f>
        <v>27</v>
      </c>
      <c r="V13" s="310">
        <f t="shared" si="3"/>
        <v>27229.469999999998</v>
      </c>
      <c r="X13" t="s">
        <v>19</v>
      </c>
      <c r="Y13">
        <v>27</v>
      </c>
      <c r="Z13" t="s">
        <v>19</v>
      </c>
      <c r="AA13" s="214">
        <v>27229.469999999998</v>
      </c>
      <c r="AB13" s="19"/>
      <c r="AD13" t="s">
        <v>19</v>
      </c>
      <c r="AE13">
        <v>27</v>
      </c>
      <c r="AF13" t="s">
        <v>19</v>
      </c>
      <c r="AG13" s="214">
        <v>27229.469999999998</v>
      </c>
    </row>
    <row r="14" spans="1:33" ht="15" thickBot="1" x14ac:dyDescent="0.35">
      <c r="A14" s="57"/>
      <c r="B14" s="58"/>
      <c r="C14" s="59"/>
      <c r="D14" s="60"/>
      <c r="E14" s="59"/>
      <c r="F14" s="59"/>
      <c r="G14" s="61"/>
      <c r="H14" s="62"/>
      <c r="I14" s="63"/>
      <c r="J14" s="349"/>
      <c r="K14" s="338"/>
      <c r="M14" s="8"/>
      <c r="N14" s="8"/>
      <c r="O14" t="s">
        <v>20</v>
      </c>
      <c r="P14">
        <v>953</v>
      </c>
      <c r="Q14">
        <v>570846.37999999931</v>
      </c>
      <c r="T14" s="16" t="s">
        <v>20</v>
      </c>
      <c r="U14" s="8">
        <f t="shared" si="5"/>
        <v>953</v>
      </c>
      <c r="V14" s="310">
        <f t="shared" si="3"/>
        <v>570846.37999999931</v>
      </c>
      <c r="X14" t="s">
        <v>20</v>
      </c>
      <c r="Y14">
        <v>953</v>
      </c>
      <c r="Z14" t="s">
        <v>20</v>
      </c>
      <c r="AA14" s="214">
        <v>570846.37999999931</v>
      </c>
      <c r="AB14" s="19"/>
      <c r="AD14" t="s">
        <v>20</v>
      </c>
      <c r="AE14">
        <v>953</v>
      </c>
      <c r="AF14" t="s">
        <v>20</v>
      </c>
      <c r="AG14" s="214">
        <v>570846.37999999931</v>
      </c>
    </row>
    <row r="15" spans="1:33" x14ac:dyDescent="0.3">
      <c r="A15" s="65" t="s">
        <v>23</v>
      </c>
      <c r="B15" s="66">
        <f>P7</f>
        <v>24</v>
      </c>
      <c r="C15" s="67">
        <f t="shared" ref="C15:C16" si="6">Q7</f>
        <v>33295.119999999995</v>
      </c>
      <c r="D15" s="68">
        <v>1</v>
      </c>
      <c r="E15" s="67">
        <f>C15*D15</f>
        <v>33295.119999999995</v>
      </c>
      <c r="F15" s="67">
        <v>0</v>
      </c>
      <c r="G15" s="69"/>
      <c r="H15" s="70"/>
      <c r="I15" s="71"/>
      <c r="J15" s="339"/>
      <c r="K15" s="340"/>
      <c r="M15" s="8"/>
      <c r="N15" s="8"/>
      <c r="O15" t="s">
        <v>21</v>
      </c>
      <c r="P15">
        <v>102</v>
      </c>
      <c r="Q15">
        <v>62118.489999999991</v>
      </c>
      <c r="T15" s="16" t="s">
        <v>21</v>
      </c>
      <c r="U15" s="8">
        <f t="shared" si="5"/>
        <v>102</v>
      </c>
      <c r="V15" s="310">
        <f t="shared" si="3"/>
        <v>62118.489999999991</v>
      </c>
      <c r="X15" t="s">
        <v>21</v>
      </c>
      <c r="Y15">
        <v>102</v>
      </c>
      <c r="Z15" t="s">
        <v>21</v>
      </c>
      <c r="AA15" s="214">
        <v>62118.489999999991</v>
      </c>
      <c r="AB15" s="19"/>
      <c r="AD15" t="s">
        <v>21</v>
      </c>
      <c r="AE15">
        <v>102</v>
      </c>
      <c r="AF15" t="s">
        <v>21</v>
      </c>
      <c r="AG15" s="214">
        <v>62118.489999999991</v>
      </c>
    </row>
    <row r="16" spans="1:33" x14ac:dyDescent="0.3">
      <c r="A16" s="72" t="s">
        <v>25</v>
      </c>
      <c r="B16" s="39">
        <f t="shared" ref="B16" si="7">P8</f>
        <v>1</v>
      </c>
      <c r="C16" s="40">
        <f t="shared" si="6"/>
        <v>2781.2599999999989</v>
      </c>
      <c r="D16" s="73">
        <v>0.3</v>
      </c>
      <c r="E16" s="40">
        <f>C16*D16</f>
        <v>834.37799999999959</v>
      </c>
      <c r="F16" s="40">
        <f>C16-E16</f>
        <v>1946.8819999999992</v>
      </c>
      <c r="G16" s="69"/>
      <c r="H16" s="70"/>
      <c r="I16" s="71"/>
      <c r="J16" s="341"/>
      <c r="K16" s="342"/>
      <c r="M16" s="8"/>
      <c r="N16" s="8"/>
      <c r="O16" s="16" t="s">
        <v>80</v>
      </c>
      <c r="P16">
        <v>41</v>
      </c>
      <c r="Q16">
        <v>55641.69</v>
      </c>
      <c r="T16" s="16" t="s">
        <v>80</v>
      </c>
      <c r="U16" s="8">
        <f t="shared" si="5"/>
        <v>41</v>
      </c>
      <c r="V16" s="310">
        <f t="shared" si="3"/>
        <v>55641.69</v>
      </c>
      <c r="X16" t="s">
        <v>80</v>
      </c>
      <c r="Y16">
        <v>41</v>
      </c>
      <c r="Z16" t="s">
        <v>80</v>
      </c>
      <c r="AA16" s="214">
        <v>55641.69</v>
      </c>
      <c r="AB16" s="19"/>
      <c r="AD16" t="s">
        <v>80</v>
      </c>
      <c r="AE16">
        <v>41</v>
      </c>
      <c r="AF16" t="s">
        <v>80</v>
      </c>
      <c r="AG16" s="214">
        <v>55641.69</v>
      </c>
    </row>
    <row r="17" spans="1:33" ht="15" customHeight="1" thickBot="1" x14ac:dyDescent="0.3">
      <c r="A17" s="74" t="s">
        <v>26</v>
      </c>
      <c r="B17" s="75">
        <f>SUM(B15:B16)</f>
        <v>25</v>
      </c>
      <c r="C17" s="76">
        <f>SUM(C15:C16)</f>
        <v>36076.379999999997</v>
      </c>
      <c r="D17" s="77"/>
      <c r="E17" s="76">
        <f>SUM(E15:E16)</f>
        <v>34129.497999999992</v>
      </c>
      <c r="F17" s="76">
        <f>F16</f>
        <v>1946.8819999999992</v>
      </c>
      <c r="G17" s="78">
        <v>100000</v>
      </c>
      <c r="H17" s="79">
        <f>E17/G17</f>
        <v>0.34129497999999991</v>
      </c>
      <c r="I17" s="80"/>
      <c r="J17" s="221">
        <f>(H17/H$3)*G$13</f>
        <v>3318830.1606230885</v>
      </c>
      <c r="K17" s="81">
        <f>J17-G17</f>
        <v>3218830.1606230885</v>
      </c>
      <c r="M17" s="8"/>
      <c r="N17" s="8"/>
      <c r="O17" t="s">
        <v>72</v>
      </c>
      <c r="P17">
        <v>248</v>
      </c>
      <c r="Q17">
        <v>182554.19999999972</v>
      </c>
      <c r="T17" s="16" t="s">
        <v>72</v>
      </c>
      <c r="U17" s="8">
        <f t="shared" si="5"/>
        <v>248</v>
      </c>
      <c r="V17" s="310">
        <f t="shared" si="3"/>
        <v>182554.19999999972</v>
      </c>
      <c r="X17" t="s">
        <v>72</v>
      </c>
      <c r="Y17">
        <v>248</v>
      </c>
      <c r="Z17" t="s">
        <v>72</v>
      </c>
      <c r="AA17" s="214">
        <v>182554.19999999972</v>
      </c>
      <c r="AB17" s="19"/>
      <c r="AD17" t="s">
        <v>72</v>
      </c>
      <c r="AE17">
        <v>248</v>
      </c>
      <c r="AF17" t="s">
        <v>72</v>
      </c>
      <c r="AG17" s="214">
        <v>182554.19999999972</v>
      </c>
    </row>
    <row r="18" spans="1:33" ht="15" thickBot="1" x14ac:dyDescent="0.35">
      <c r="A18" s="57"/>
      <c r="B18" s="82"/>
      <c r="C18" s="61"/>
      <c r="D18" s="83"/>
      <c r="E18" s="61"/>
      <c r="F18" s="61"/>
      <c r="G18" s="61"/>
      <c r="H18" s="62"/>
      <c r="I18" s="63"/>
      <c r="J18" s="349"/>
      <c r="K18" s="338"/>
      <c r="M18" s="8"/>
      <c r="N18" s="8"/>
      <c r="O18" t="s">
        <v>31</v>
      </c>
      <c r="P18">
        <v>77</v>
      </c>
      <c r="Q18">
        <v>43711.01</v>
      </c>
      <c r="T18" s="16" t="s">
        <v>31</v>
      </c>
      <c r="U18" s="8">
        <f t="shared" si="5"/>
        <v>77</v>
      </c>
      <c r="V18" s="310">
        <f t="shared" si="3"/>
        <v>43711.01</v>
      </c>
      <c r="X18" t="s">
        <v>31</v>
      </c>
      <c r="Y18">
        <v>77</v>
      </c>
      <c r="Z18" t="s">
        <v>31</v>
      </c>
      <c r="AA18" s="214">
        <v>43711.01</v>
      </c>
      <c r="AB18" s="19"/>
      <c r="AD18" t="s">
        <v>31</v>
      </c>
      <c r="AE18">
        <v>77</v>
      </c>
      <c r="AF18" t="s">
        <v>31</v>
      </c>
      <c r="AG18" s="214">
        <v>43711.01</v>
      </c>
    </row>
    <row r="19" spans="1:33" x14ac:dyDescent="0.3">
      <c r="A19" s="65" t="s">
        <v>27</v>
      </c>
      <c r="B19" s="66"/>
      <c r="C19" s="67"/>
      <c r="D19" s="68">
        <v>1</v>
      </c>
      <c r="E19" s="67">
        <f>C19*D19</f>
        <v>0</v>
      </c>
      <c r="F19" s="67">
        <v>0</v>
      </c>
      <c r="G19" s="69"/>
      <c r="H19" s="70"/>
      <c r="I19" s="71"/>
      <c r="J19" s="339"/>
      <c r="K19" s="340"/>
      <c r="M19" s="8"/>
      <c r="N19" s="8"/>
      <c r="O19" t="s">
        <v>73</v>
      </c>
      <c r="P19">
        <v>146</v>
      </c>
      <c r="Q19">
        <v>146533.24999999991</v>
      </c>
      <c r="T19" s="16" t="s">
        <v>73</v>
      </c>
      <c r="U19" s="8">
        <f t="shared" si="5"/>
        <v>146</v>
      </c>
      <c r="V19" s="310">
        <f t="shared" si="3"/>
        <v>146533.24999999991</v>
      </c>
      <c r="X19" t="s">
        <v>73</v>
      </c>
      <c r="Y19">
        <v>146</v>
      </c>
      <c r="Z19" t="s">
        <v>73</v>
      </c>
      <c r="AA19" s="214">
        <v>146533.24999999991</v>
      </c>
      <c r="AB19" s="19"/>
      <c r="AD19" t="s">
        <v>73</v>
      </c>
      <c r="AE19">
        <v>146</v>
      </c>
      <c r="AF19" t="s">
        <v>73</v>
      </c>
      <c r="AG19" s="214">
        <v>146533.24999999991</v>
      </c>
    </row>
    <row r="20" spans="1:33" x14ac:dyDescent="0.3">
      <c r="A20" s="72" t="s">
        <v>28</v>
      </c>
      <c r="B20" s="39">
        <f>P6</f>
        <v>1</v>
      </c>
      <c r="C20" s="40">
        <f>Q6</f>
        <v>14578.980000000016</v>
      </c>
      <c r="D20" s="73">
        <v>0.3</v>
      </c>
      <c r="E20" s="40">
        <f>C20*D20</f>
        <v>4373.694000000005</v>
      </c>
      <c r="F20" s="40">
        <f>C20-E20</f>
        <v>10205.286000000011</v>
      </c>
      <c r="G20" s="69"/>
      <c r="H20" s="70"/>
      <c r="I20" s="71"/>
      <c r="J20" s="341"/>
      <c r="K20" s="342"/>
      <c r="M20" s="8"/>
      <c r="N20" s="8"/>
      <c r="O20" t="s">
        <v>74</v>
      </c>
      <c r="P20">
        <v>22</v>
      </c>
      <c r="Q20">
        <v>20925.060000000001</v>
      </c>
      <c r="T20" s="16" t="s">
        <v>74</v>
      </c>
      <c r="U20" s="8">
        <f t="shared" si="5"/>
        <v>22</v>
      </c>
      <c r="V20" s="310">
        <f t="shared" si="3"/>
        <v>20925.060000000001</v>
      </c>
      <c r="X20" t="s">
        <v>74</v>
      </c>
      <c r="Y20">
        <v>22</v>
      </c>
      <c r="Z20" t="s">
        <v>74</v>
      </c>
      <c r="AA20" s="214">
        <v>20925.060000000001</v>
      </c>
      <c r="AB20" s="19"/>
      <c r="AD20" t="s">
        <v>74</v>
      </c>
      <c r="AE20">
        <v>22</v>
      </c>
      <c r="AF20" t="s">
        <v>74</v>
      </c>
      <c r="AG20" s="214">
        <v>20925.060000000001</v>
      </c>
    </row>
    <row r="21" spans="1:33" ht="15" customHeight="1" thickBot="1" x14ac:dyDescent="0.3">
      <c r="A21" s="74" t="s">
        <v>29</v>
      </c>
      <c r="B21" s="75">
        <f>SUM(B19:B20)</f>
        <v>1</v>
      </c>
      <c r="C21" s="76">
        <f>SUM(C19:C20)</f>
        <v>14578.980000000016</v>
      </c>
      <c r="D21" s="77"/>
      <c r="E21" s="76">
        <f>SUM(E19:E20)</f>
        <v>4373.694000000005</v>
      </c>
      <c r="F21" s="76">
        <f>F20</f>
        <v>10205.286000000011</v>
      </c>
      <c r="G21" s="78">
        <v>100000</v>
      </c>
      <c r="H21" s="79">
        <f>E21/G21</f>
        <v>4.373694000000005E-2</v>
      </c>
      <c r="I21" s="80"/>
      <c r="J21" s="221">
        <v>1210.4083079629038</v>
      </c>
      <c r="K21" s="81">
        <v>-399744.59169203712</v>
      </c>
      <c r="M21" s="8"/>
      <c r="N21" s="8"/>
      <c r="O21" t="s">
        <v>38</v>
      </c>
      <c r="P21">
        <v>456</v>
      </c>
      <c r="Q21">
        <v>246483.37999999948</v>
      </c>
      <c r="T21" s="16" t="s">
        <v>38</v>
      </c>
      <c r="U21" s="8">
        <f t="shared" si="5"/>
        <v>456</v>
      </c>
      <c r="V21" s="310">
        <f t="shared" si="3"/>
        <v>246483.37999999948</v>
      </c>
      <c r="X21" t="s">
        <v>38</v>
      </c>
      <c r="Y21">
        <v>456</v>
      </c>
      <c r="Z21" t="s">
        <v>38</v>
      </c>
      <c r="AA21" s="214">
        <v>246483.37999999948</v>
      </c>
      <c r="AB21" s="19"/>
      <c r="AD21" t="s">
        <v>38</v>
      </c>
      <c r="AE21">
        <v>456</v>
      </c>
      <c r="AF21" t="s">
        <v>38</v>
      </c>
      <c r="AG21" s="214">
        <v>246483.37999999948</v>
      </c>
    </row>
    <row r="22" spans="1:33" ht="15" thickBot="1" x14ac:dyDescent="0.35">
      <c r="A22" s="57"/>
      <c r="B22" s="82"/>
      <c r="C22" s="61"/>
      <c r="D22" s="83"/>
      <c r="E22" s="61"/>
      <c r="F22" s="61"/>
      <c r="G22" s="61"/>
      <c r="H22" s="62"/>
      <c r="I22" s="63"/>
      <c r="J22" s="349"/>
      <c r="K22" s="338"/>
      <c r="M22" s="8"/>
      <c r="N22" s="8"/>
      <c r="O22" t="s">
        <v>40</v>
      </c>
      <c r="P22">
        <v>53</v>
      </c>
      <c r="Q22">
        <v>76540.780000000013</v>
      </c>
      <c r="T22" s="16" t="s">
        <v>40</v>
      </c>
      <c r="U22" s="8">
        <f t="shared" si="5"/>
        <v>53</v>
      </c>
      <c r="V22" s="310">
        <f t="shared" si="3"/>
        <v>76540.780000000013</v>
      </c>
      <c r="X22" t="s">
        <v>40</v>
      </c>
      <c r="Y22">
        <v>53</v>
      </c>
      <c r="Z22" t="s">
        <v>40</v>
      </c>
      <c r="AA22" s="214">
        <v>76540.780000000013</v>
      </c>
      <c r="AB22" s="19"/>
      <c r="AD22" t="s">
        <v>40</v>
      </c>
      <c r="AE22">
        <v>53</v>
      </c>
      <c r="AF22" t="s">
        <v>40</v>
      </c>
      <c r="AG22" s="214">
        <v>76540.780000000013</v>
      </c>
    </row>
    <row r="23" spans="1:33" x14ac:dyDescent="0.3">
      <c r="A23" s="84" t="s">
        <v>30</v>
      </c>
      <c r="B23" s="85">
        <f>P17</f>
        <v>248</v>
      </c>
      <c r="C23" s="86">
        <f t="shared" ref="C23:C24" si="8">Q17</f>
        <v>182554.19999999972</v>
      </c>
      <c r="D23" s="87">
        <v>1</v>
      </c>
      <c r="E23" s="86">
        <f>C23*D23</f>
        <v>182554.19999999972</v>
      </c>
      <c r="F23" s="88"/>
      <c r="G23" s="89"/>
      <c r="H23" s="90"/>
      <c r="I23" s="91"/>
      <c r="J23" s="339"/>
      <c r="K23" s="340"/>
      <c r="M23" s="8"/>
      <c r="N23" s="8"/>
      <c r="O23" t="s">
        <v>58</v>
      </c>
      <c r="P23">
        <v>913</v>
      </c>
      <c r="Q23">
        <v>478702.74999999907</v>
      </c>
      <c r="T23" s="16" t="s">
        <v>58</v>
      </c>
      <c r="U23" s="8">
        <f t="shared" si="5"/>
        <v>913</v>
      </c>
      <c r="V23" s="310">
        <f t="shared" si="3"/>
        <v>478702.74999999907</v>
      </c>
      <c r="X23" t="s">
        <v>58</v>
      </c>
      <c r="Y23">
        <v>913</v>
      </c>
      <c r="Z23" t="s">
        <v>58</v>
      </c>
      <c r="AA23" s="214">
        <v>478702.74999999907</v>
      </c>
      <c r="AB23" s="19"/>
      <c r="AD23" t="s">
        <v>58</v>
      </c>
      <c r="AE23">
        <v>913</v>
      </c>
      <c r="AF23" t="s">
        <v>58</v>
      </c>
      <c r="AG23" s="214">
        <v>478702.74999999907</v>
      </c>
    </row>
    <row r="24" spans="1:33" x14ac:dyDescent="0.3">
      <c r="A24" s="84" t="s">
        <v>32</v>
      </c>
      <c r="B24" s="85">
        <f t="shared" ref="B24" si="9">P18</f>
        <v>77</v>
      </c>
      <c r="C24" s="93">
        <f t="shared" si="8"/>
        <v>43711.01</v>
      </c>
      <c r="D24" s="94">
        <v>0.3</v>
      </c>
      <c r="E24" s="93">
        <f>C24*D24</f>
        <v>13113.303</v>
      </c>
      <c r="F24" s="95">
        <f>C24-E24</f>
        <v>30597.707000000002</v>
      </c>
      <c r="G24" s="96"/>
      <c r="H24" s="97"/>
      <c r="I24" s="91"/>
      <c r="J24" s="341"/>
      <c r="K24" s="342"/>
      <c r="M24" s="8"/>
      <c r="N24" s="8"/>
      <c r="O24" t="s">
        <v>43</v>
      </c>
      <c r="P24">
        <v>150</v>
      </c>
      <c r="Q24">
        <v>204265.16999999993</v>
      </c>
      <c r="T24" s="16" t="s">
        <v>43</v>
      </c>
      <c r="U24" s="8">
        <f t="shared" si="5"/>
        <v>150</v>
      </c>
      <c r="V24" s="310">
        <f t="shared" si="3"/>
        <v>204265.16999999993</v>
      </c>
      <c r="X24" t="s">
        <v>43</v>
      </c>
      <c r="Y24">
        <v>150</v>
      </c>
      <c r="Z24" t="s">
        <v>43</v>
      </c>
      <c r="AA24" s="214">
        <v>204265.16999999993</v>
      </c>
      <c r="AB24" s="19"/>
      <c r="AD24" t="s">
        <v>43</v>
      </c>
      <c r="AE24">
        <v>150</v>
      </c>
      <c r="AF24" t="s">
        <v>43</v>
      </c>
      <c r="AG24" s="214">
        <v>204265.16999999993</v>
      </c>
    </row>
    <row r="25" spans="1:33" ht="15" customHeight="1" thickBot="1" x14ac:dyDescent="0.3">
      <c r="A25" s="74" t="s">
        <v>33</v>
      </c>
      <c r="B25" s="75">
        <f>SUM(B23:B24)</f>
        <v>325</v>
      </c>
      <c r="C25" s="76">
        <f>SUM(C23:C24)</f>
        <v>226265.20999999973</v>
      </c>
      <c r="D25" s="77"/>
      <c r="E25" s="76">
        <f>SUM(E23:E24)</f>
        <v>195667.50299999974</v>
      </c>
      <c r="F25" s="76">
        <f>F24</f>
        <v>30597.707000000002</v>
      </c>
      <c r="G25" s="78">
        <v>750000</v>
      </c>
      <c r="H25" s="79">
        <f>E25/G25</f>
        <v>0.26089000399999962</v>
      </c>
      <c r="I25" s="80"/>
      <c r="J25" s="221">
        <f>(H25/H$3)*G$13</f>
        <v>2536953.8511239663</v>
      </c>
      <c r="K25" s="81">
        <f>J25-G25</f>
        <v>1786953.8511239663</v>
      </c>
      <c r="M25" s="8"/>
      <c r="N25" s="8"/>
      <c r="O25" t="s">
        <v>45</v>
      </c>
      <c r="P25">
        <v>154</v>
      </c>
      <c r="Q25">
        <v>215942.42000000004</v>
      </c>
      <c r="T25" s="16" t="s">
        <v>45</v>
      </c>
      <c r="U25" s="8">
        <f t="shared" si="5"/>
        <v>154</v>
      </c>
      <c r="V25" s="310">
        <f t="shared" si="3"/>
        <v>215942.42000000004</v>
      </c>
      <c r="X25" t="s">
        <v>45</v>
      </c>
      <c r="Y25">
        <v>154</v>
      </c>
      <c r="Z25" t="s">
        <v>45</v>
      </c>
      <c r="AA25" s="214">
        <v>215942.42000000004</v>
      </c>
      <c r="AB25" s="19"/>
      <c r="AD25" t="s">
        <v>45</v>
      </c>
      <c r="AE25">
        <v>154</v>
      </c>
      <c r="AF25" t="s">
        <v>45</v>
      </c>
      <c r="AG25" s="214">
        <v>215942.42000000004</v>
      </c>
    </row>
    <row r="26" spans="1:33" ht="15" thickBot="1" x14ac:dyDescent="0.35">
      <c r="A26" s="57"/>
      <c r="B26" s="82"/>
      <c r="C26" s="61"/>
      <c r="D26" s="83"/>
      <c r="E26" s="61"/>
      <c r="F26" s="61"/>
      <c r="G26" s="61"/>
      <c r="H26" s="62"/>
      <c r="I26" s="63"/>
      <c r="J26" s="337"/>
      <c r="K26" s="350"/>
      <c r="M26" s="8"/>
      <c r="N26" s="8"/>
      <c r="O26" t="s">
        <v>48</v>
      </c>
      <c r="P26">
        <v>83</v>
      </c>
      <c r="Q26">
        <v>97547.02999999997</v>
      </c>
      <c r="T26" s="16" t="s">
        <v>48</v>
      </c>
      <c r="U26" s="8">
        <f t="shared" si="5"/>
        <v>83</v>
      </c>
      <c r="V26" s="310">
        <f t="shared" si="3"/>
        <v>97547.02999999997</v>
      </c>
      <c r="X26" t="s">
        <v>48</v>
      </c>
      <c r="Y26">
        <v>83</v>
      </c>
      <c r="Z26" t="s">
        <v>48</v>
      </c>
      <c r="AA26" s="214">
        <v>97547.02999999997</v>
      </c>
      <c r="AB26" s="19"/>
      <c r="AD26" t="s">
        <v>48</v>
      </c>
      <c r="AE26">
        <v>83</v>
      </c>
      <c r="AF26" t="s">
        <v>48</v>
      </c>
      <c r="AG26" s="214">
        <v>97547.02999999997</v>
      </c>
    </row>
    <row r="27" spans="1:33" x14ac:dyDescent="0.3">
      <c r="A27" s="65" t="s">
        <v>34</v>
      </c>
      <c r="B27" s="98">
        <f>P19</f>
        <v>146</v>
      </c>
      <c r="C27" s="99">
        <f t="shared" ref="C27:C28" si="10">Q19</f>
        <v>146533.24999999991</v>
      </c>
      <c r="D27" s="100">
        <v>1</v>
      </c>
      <c r="E27" s="101">
        <f>C27*D27</f>
        <v>146533.24999999991</v>
      </c>
      <c r="F27" s="101">
        <v>0</v>
      </c>
      <c r="G27" s="69"/>
      <c r="H27" s="70"/>
      <c r="I27" s="71"/>
      <c r="J27" s="351"/>
      <c r="K27" s="352"/>
      <c r="M27" s="8"/>
      <c r="N27" s="8"/>
      <c r="O27" t="s">
        <v>50</v>
      </c>
      <c r="P27">
        <v>24</v>
      </c>
      <c r="Q27">
        <v>16810.099999999999</v>
      </c>
      <c r="T27" s="16" t="s">
        <v>50</v>
      </c>
      <c r="U27" s="8">
        <f t="shared" si="5"/>
        <v>24</v>
      </c>
      <c r="V27" s="310">
        <f t="shared" si="3"/>
        <v>16810.099999999999</v>
      </c>
      <c r="X27" t="s">
        <v>50</v>
      </c>
      <c r="Y27">
        <v>24</v>
      </c>
      <c r="Z27" t="s">
        <v>50</v>
      </c>
      <c r="AA27" s="214">
        <v>16810.099999999999</v>
      </c>
      <c r="AB27" s="19"/>
      <c r="AD27" t="s">
        <v>50</v>
      </c>
      <c r="AE27">
        <v>24</v>
      </c>
      <c r="AF27" t="s">
        <v>50</v>
      </c>
      <c r="AG27" s="214">
        <v>16810.099999999999</v>
      </c>
    </row>
    <row r="28" spans="1:33" x14ac:dyDescent="0.3">
      <c r="A28" s="72" t="s">
        <v>35</v>
      </c>
      <c r="B28" s="102">
        <f t="shared" ref="B28" si="11">P20</f>
        <v>22</v>
      </c>
      <c r="C28" s="103">
        <f t="shared" si="10"/>
        <v>20925.060000000001</v>
      </c>
      <c r="D28" s="104">
        <v>0.3</v>
      </c>
      <c r="E28" s="105">
        <f>C28*D28</f>
        <v>6277.518</v>
      </c>
      <c r="F28" s="105">
        <f>C28-E28</f>
        <v>14647.542000000001</v>
      </c>
      <c r="G28" s="69"/>
      <c r="H28" s="70"/>
      <c r="I28" s="71"/>
      <c r="J28" s="353"/>
      <c r="K28" s="354"/>
      <c r="M28" s="8"/>
      <c r="N28" s="8"/>
      <c r="O28" t="s">
        <v>60</v>
      </c>
      <c r="P28">
        <v>1288</v>
      </c>
      <c r="Q28">
        <v>17635.149999999954</v>
      </c>
      <c r="T28" s="16" t="s">
        <v>60</v>
      </c>
      <c r="U28" s="8">
        <f t="shared" si="5"/>
        <v>1288</v>
      </c>
      <c r="V28" s="310">
        <f t="shared" si="3"/>
        <v>17635.149999999954</v>
      </c>
      <c r="X28" t="s">
        <v>60</v>
      </c>
      <c r="Y28">
        <v>1288</v>
      </c>
      <c r="Z28" t="s">
        <v>60</v>
      </c>
      <c r="AA28" s="214">
        <v>17635.149999999954</v>
      </c>
      <c r="AB28" s="19"/>
      <c r="AD28" t="s">
        <v>60</v>
      </c>
      <c r="AE28">
        <v>1288</v>
      </c>
      <c r="AF28" t="s">
        <v>60</v>
      </c>
      <c r="AG28" s="214">
        <v>17635.149999999954</v>
      </c>
    </row>
    <row r="29" spans="1:33" ht="15" customHeight="1" thickBot="1" x14ac:dyDescent="0.3">
      <c r="A29" s="74" t="s">
        <v>36</v>
      </c>
      <c r="B29" s="75">
        <f>SUM(B27:B28)</f>
        <v>168</v>
      </c>
      <c r="C29" s="76">
        <f>SUM(C27:C28)</f>
        <v>167458.30999999991</v>
      </c>
      <c r="D29" s="77"/>
      <c r="E29" s="76">
        <f>SUM(E27:E28)</f>
        <v>152810.76799999992</v>
      </c>
      <c r="F29" s="76">
        <f>F28</f>
        <v>14647.542000000001</v>
      </c>
      <c r="G29" s="78">
        <v>429000</v>
      </c>
      <c r="H29" s="79">
        <f>E29/G29</f>
        <v>0.35620225641025621</v>
      </c>
      <c r="I29" s="80"/>
      <c r="J29" s="221">
        <f>(H29/H$3)*G$13</f>
        <v>3463791.9135416453</v>
      </c>
      <c r="K29" s="81">
        <f>J29-G29</f>
        <v>3034791.9135416453</v>
      </c>
      <c r="M29" s="8"/>
      <c r="N29" s="8"/>
      <c r="O29" t="s">
        <v>53</v>
      </c>
      <c r="P29">
        <v>46</v>
      </c>
      <c r="Q29">
        <v>47989.98</v>
      </c>
      <c r="T29" s="16" t="s">
        <v>53</v>
      </c>
      <c r="U29" s="8">
        <f t="shared" si="5"/>
        <v>46</v>
      </c>
      <c r="V29" s="310">
        <f t="shared" si="3"/>
        <v>47989.98</v>
      </c>
      <c r="X29" t="s">
        <v>53</v>
      </c>
      <c r="Y29">
        <v>46</v>
      </c>
      <c r="Z29" t="s">
        <v>53</v>
      </c>
      <c r="AA29" s="214">
        <v>47989.98</v>
      </c>
      <c r="AB29" s="19"/>
      <c r="AD29" t="s">
        <v>53</v>
      </c>
      <c r="AE29">
        <v>46</v>
      </c>
      <c r="AF29" t="s">
        <v>53</v>
      </c>
      <c r="AG29" s="214">
        <v>47989.98</v>
      </c>
    </row>
    <row r="30" spans="1:33" ht="15" thickBot="1" x14ac:dyDescent="0.35">
      <c r="A30" s="57"/>
      <c r="B30" s="82"/>
      <c r="C30" s="61"/>
      <c r="D30" s="83"/>
      <c r="E30" s="61"/>
      <c r="F30" s="61"/>
      <c r="G30" s="61"/>
      <c r="H30" s="62"/>
      <c r="I30" s="63"/>
      <c r="J30" s="355"/>
      <c r="K30" s="338"/>
      <c r="M30" s="8"/>
      <c r="N30" s="8"/>
      <c r="O30" t="s">
        <v>55</v>
      </c>
      <c r="P30">
        <v>29</v>
      </c>
      <c r="Q30">
        <v>44584.759999999987</v>
      </c>
      <c r="T30" s="16" t="s">
        <v>55</v>
      </c>
      <c r="U30" s="8">
        <f t="shared" si="5"/>
        <v>29</v>
      </c>
      <c r="V30" s="310">
        <f t="shared" si="3"/>
        <v>44584.759999999987</v>
      </c>
      <c r="X30" t="s">
        <v>55</v>
      </c>
      <c r="Y30">
        <v>29</v>
      </c>
      <c r="Z30" t="s">
        <v>55</v>
      </c>
      <c r="AA30" s="214">
        <v>44584.759999999987</v>
      </c>
      <c r="AB30" s="19"/>
      <c r="AD30" t="s">
        <v>55</v>
      </c>
      <c r="AE30">
        <v>29</v>
      </c>
      <c r="AF30" t="s">
        <v>55</v>
      </c>
      <c r="AG30" s="214">
        <v>44584.759999999987</v>
      </c>
    </row>
    <row r="31" spans="1:33" ht="15" thickBot="1" x14ac:dyDescent="0.35">
      <c r="A31" s="106" t="s">
        <v>37</v>
      </c>
      <c r="B31" s="107">
        <f>P21</f>
        <v>456</v>
      </c>
      <c r="C31" s="108">
        <f t="shared" ref="C31:C32" si="12">Q21</f>
        <v>246483.37999999948</v>
      </c>
      <c r="D31" s="109">
        <v>1</v>
      </c>
      <c r="E31" s="110">
        <f>C31*D31</f>
        <v>246483.37999999948</v>
      </c>
      <c r="F31" s="111"/>
      <c r="G31" s="358"/>
      <c r="H31" s="360"/>
      <c r="I31" s="112"/>
      <c r="J31" s="339"/>
      <c r="K31" s="340"/>
      <c r="M31" s="8"/>
      <c r="N31" s="8"/>
      <c r="O31" t="s">
        <v>61</v>
      </c>
      <c r="P31">
        <v>5157</v>
      </c>
      <c r="Q31">
        <v>2767181.7699999968</v>
      </c>
      <c r="T31" s="230" t="s">
        <v>61</v>
      </c>
      <c r="U31" s="8">
        <f t="shared" si="5"/>
        <v>5157</v>
      </c>
      <c r="V31" s="310">
        <f t="shared" si="3"/>
        <v>2767181.7699999968</v>
      </c>
      <c r="X31" t="s">
        <v>61</v>
      </c>
      <c r="Y31">
        <v>5157</v>
      </c>
      <c r="Z31" t="s">
        <v>61</v>
      </c>
      <c r="AA31" s="214">
        <v>2767181.7699999968</v>
      </c>
      <c r="AB31" s="231"/>
      <c r="AD31" t="s">
        <v>61</v>
      </c>
      <c r="AE31">
        <v>5157</v>
      </c>
      <c r="AF31" t="s">
        <v>61</v>
      </c>
      <c r="AG31" s="214">
        <v>2767181.7699999968</v>
      </c>
    </row>
    <row r="32" spans="1:33" x14ac:dyDescent="0.3">
      <c r="A32" s="114" t="s">
        <v>39</v>
      </c>
      <c r="B32" s="115">
        <f t="shared" ref="B32" si="13">P22</f>
        <v>53</v>
      </c>
      <c r="C32" s="64">
        <f t="shared" si="12"/>
        <v>76540.780000000013</v>
      </c>
      <c r="D32" s="116">
        <v>0.3</v>
      </c>
      <c r="E32" s="117">
        <f>C32*D32</f>
        <v>22962.234000000004</v>
      </c>
      <c r="F32" s="118">
        <f>C32-E32</f>
        <v>53578.546000000009</v>
      </c>
      <c r="G32" s="359"/>
      <c r="H32" s="361"/>
      <c r="I32" s="112"/>
      <c r="J32" s="341"/>
      <c r="K32" s="342"/>
      <c r="M32" s="8"/>
      <c r="N32" s="8"/>
      <c r="O32" s="9"/>
      <c r="P32" s="9"/>
    </row>
    <row r="33" spans="1:17" ht="15" customHeight="1" thickBot="1" x14ac:dyDescent="0.3">
      <c r="A33" s="119" t="s">
        <v>41</v>
      </c>
      <c r="B33" s="120">
        <f>SUM(B31:B32)</f>
        <v>509</v>
      </c>
      <c r="C33" s="78">
        <f>SUM(C31:C32)</f>
        <v>323024.15999999951</v>
      </c>
      <c r="D33" s="121"/>
      <c r="E33" s="78">
        <f>SUM(E31:E32)</f>
        <v>269445.61399999948</v>
      </c>
      <c r="F33" s="78">
        <f>F32</f>
        <v>53578.546000000009</v>
      </c>
      <c r="G33" s="78">
        <v>1000000</v>
      </c>
      <c r="H33" s="79">
        <f>E33/G33</f>
        <v>0.2694456139999995</v>
      </c>
      <c r="I33" s="80"/>
      <c r="J33" s="221">
        <f>(H33/H$3)*G$13</f>
        <v>2620150.5524365031</v>
      </c>
      <c r="K33" s="81">
        <f>J33-G33</f>
        <v>1620150.5524365031</v>
      </c>
      <c r="M33" s="8"/>
      <c r="N33" s="8"/>
      <c r="O33" s="9"/>
      <c r="P33" s="9"/>
    </row>
    <row r="34" spans="1:17" ht="15" thickBot="1" x14ac:dyDescent="0.35">
      <c r="A34" s="57"/>
      <c r="B34" s="82"/>
      <c r="C34" s="61"/>
      <c r="D34" s="83"/>
      <c r="E34" s="61"/>
      <c r="F34" s="61"/>
      <c r="G34" s="61"/>
      <c r="H34" s="62"/>
      <c r="I34" s="63"/>
      <c r="J34" s="337"/>
      <c r="K34" s="350"/>
      <c r="M34" s="8"/>
      <c r="N34" s="8"/>
      <c r="O34" s="9"/>
      <c r="P34" s="9"/>
    </row>
    <row r="35" spans="1:17" x14ac:dyDescent="0.3">
      <c r="A35" s="122" t="s">
        <v>42</v>
      </c>
      <c r="B35" s="123">
        <f>P24</f>
        <v>150</v>
      </c>
      <c r="C35" s="124">
        <f t="shared" ref="C35:C36" si="14">Q24</f>
        <v>204265.16999999993</v>
      </c>
      <c r="D35" s="125">
        <v>1</v>
      </c>
      <c r="E35" s="124">
        <f>C35*D35</f>
        <v>204265.16999999993</v>
      </c>
      <c r="F35" s="126"/>
      <c r="G35" s="362"/>
      <c r="H35" s="364"/>
      <c r="I35" s="127"/>
      <c r="J35" s="351"/>
      <c r="K35" s="352"/>
      <c r="M35" s="8"/>
      <c r="N35" s="8"/>
      <c r="O35" s="9"/>
      <c r="P35"/>
      <c r="Q35"/>
    </row>
    <row r="36" spans="1:17" x14ac:dyDescent="0.3">
      <c r="A36" s="129" t="s">
        <v>44</v>
      </c>
      <c r="B36" s="130">
        <f t="shared" ref="B36" si="15">P25</f>
        <v>154</v>
      </c>
      <c r="C36" s="131">
        <f t="shared" si="14"/>
        <v>215942.42000000004</v>
      </c>
      <c r="D36" s="132">
        <v>0.3</v>
      </c>
      <c r="E36" s="131">
        <f>C36*D36</f>
        <v>64782.72600000001</v>
      </c>
      <c r="F36" s="133">
        <f>C36-E36</f>
        <v>151159.69400000002</v>
      </c>
      <c r="G36" s="363"/>
      <c r="H36" s="365"/>
      <c r="I36" s="127"/>
      <c r="J36" s="353"/>
      <c r="K36" s="354"/>
      <c r="M36" s="8"/>
      <c r="N36" s="8"/>
      <c r="O36" s="9"/>
      <c r="P36" s="9"/>
    </row>
    <row r="37" spans="1:17" ht="15" customHeight="1" thickBot="1" x14ac:dyDescent="0.3">
      <c r="A37" s="74" t="s">
        <v>46</v>
      </c>
      <c r="B37" s="120">
        <f>SUM(B35:B36)</f>
        <v>304</v>
      </c>
      <c r="C37" s="78">
        <f>SUM(C35:C36)</f>
        <v>420207.58999999997</v>
      </c>
      <c r="D37" s="121"/>
      <c r="E37" s="78">
        <f>SUM(E35:E36)</f>
        <v>269047.89599999995</v>
      </c>
      <c r="F37" s="78">
        <f>F36</f>
        <v>151159.69400000002</v>
      </c>
      <c r="G37" s="78">
        <v>450000</v>
      </c>
      <c r="H37" s="79">
        <f>E37/G37</f>
        <v>0.59788421333333319</v>
      </c>
      <c r="I37" s="80"/>
      <c r="J37" s="221">
        <f>(H37/H$3)*G$13</f>
        <v>5813962.3377146525</v>
      </c>
      <c r="K37" s="81">
        <f>J37-G37</f>
        <v>5363962.3377146525</v>
      </c>
      <c r="M37" s="8"/>
      <c r="N37" s="8"/>
      <c r="O37" s="9"/>
      <c r="P37" s="9"/>
    </row>
    <row r="38" spans="1:17" ht="15" thickBot="1" x14ac:dyDescent="0.35">
      <c r="A38" s="57"/>
      <c r="B38" s="82"/>
      <c r="C38" s="61"/>
      <c r="D38" s="83"/>
      <c r="E38" s="61"/>
      <c r="F38" s="61"/>
      <c r="G38" s="61"/>
      <c r="H38" s="62"/>
      <c r="I38" s="63"/>
      <c r="J38" s="337"/>
      <c r="K38" s="338"/>
      <c r="M38" s="8"/>
      <c r="N38" s="8"/>
      <c r="O38" s="9"/>
      <c r="P38" s="9"/>
    </row>
    <row r="39" spans="1:17" x14ac:dyDescent="0.3">
      <c r="A39" s="134" t="s">
        <v>47</v>
      </c>
      <c r="B39" s="98">
        <f>P26</f>
        <v>83</v>
      </c>
      <c r="C39" s="135">
        <f t="shared" ref="C39:C40" si="16">Q26</f>
        <v>97547.02999999997</v>
      </c>
      <c r="D39" s="136">
        <v>1</v>
      </c>
      <c r="E39" s="99">
        <f>C39*D39</f>
        <v>97547.02999999997</v>
      </c>
      <c r="F39" s="101"/>
      <c r="G39" s="343"/>
      <c r="H39" s="345"/>
      <c r="I39" s="91"/>
      <c r="J39" s="339"/>
      <c r="K39" s="340"/>
      <c r="M39" s="8"/>
      <c r="N39" s="8"/>
      <c r="O39" s="9"/>
      <c r="P39" s="9"/>
    </row>
    <row r="40" spans="1:17" x14ac:dyDescent="0.3">
      <c r="A40" s="138" t="s">
        <v>49</v>
      </c>
      <c r="B40" s="85">
        <f t="shared" ref="B40" si="17">P27</f>
        <v>24</v>
      </c>
      <c r="C40" s="93">
        <f t="shared" si="16"/>
        <v>16810.099999999999</v>
      </c>
      <c r="D40" s="94">
        <v>0.3</v>
      </c>
      <c r="E40" s="139">
        <f>C40*D40</f>
        <v>5043.03</v>
      </c>
      <c r="F40" s="140">
        <f>C40-E40</f>
        <v>11767.07</v>
      </c>
      <c r="G40" s="344"/>
      <c r="H40" s="346"/>
      <c r="I40" s="91"/>
      <c r="J40" s="341"/>
      <c r="K40" s="342"/>
      <c r="M40" s="8"/>
      <c r="N40" s="8"/>
      <c r="O40" s="9"/>
      <c r="P40" s="9"/>
    </row>
    <row r="41" spans="1:17" ht="15" customHeight="1" thickBot="1" x14ac:dyDescent="0.3">
      <c r="A41" s="119" t="s">
        <v>51</v>
      </c>
      <c r="B41" s="120">
        <f>SUM(B39:B40)</f>
        <v>107</v>
      </c>
      <c r="C41" s="78">
        <f>SUM(C39:C40)</f>
        <v>114357.12999999998</v>
      </c>
      <c r="D41" s="121"/>
      <c r="E41" s="78">
        <f>SUM(E39:E40)</f>
        <v>102590.05999999997</v>
      </c>
      <c r="F41" s="78">
        <f>F40</f>
        <v>11767.07</v>
      </c>
      <c r="G41" s="78">
        <v>325000</v>
      </c>
      <c r="H41" s="79">
        <f>E41/G41</f>
        <v>0.31566172307692297</v>
      </c>
      <c r="I41" s="80"/>
      <c r="J41" s="221">
        <f>(H41/H$3)*G$13</f>
        <v>3069566.5289361868</v>
      </c>
      <c r="K41" s="81">
        <f>J41-G41</f>
        <v>2744566.5289361868</v>
      </c>
      <c r="M41" s="8"/>
      <c r="N41" s="8"/>
      <c r="O41" s="9"/>
      <c r="P41" s="9"/>
    </row>
    <row r="42" spans="1:17" ht="15" thickBot="1" x14ac:dyDescent="0.35">
      <c r="A42" s="57"/>
      <c r="B42" s="82"/>
      <c r="C42" s="61"/>
      <c r="D42" s="83"/>
      <c r="E42" s="61"/>
      <c r="F42" s="61"/>
      <c r="G42" s="61"/>
      <c r="H42" s="62"/>
      <c r="I42" s="63"/>
      <c r="J42" s="337"/>
      <c r="K42" s="350"/>
      <c r="M42" s="8"/>
      <c r="N42" s="8"/>
      <c r="O42" s="9"/>
      <c r="P42" s="9"/>
    </row>
    <row r="43" spans="1:17" x14ac:dyDescent="0.3">
      <c r="A43" s="141" t="s">
        <v>52</v>
      </c>
      <c r="B43" s="123">
        <f>P29</f>
        <v>46</v>
      </c>
      <c r="C43" s="124">
        <f t="shared" ref="C43:C44" si="18">Q29</f>
        <v>47989.98</v>
      </c>
      <c r="D43" s="109">
        <v>1</v>
      </c>
      <c r="E43" s="110">
        <f>C43*D43</f>
        <v>47989.98</v>
      </c>
      <c r="F43" s="142"/>
      <c r="G43" s="362"/>
      <c r="H43" s="364"/>
      <c r="I43" s="127"/>
      <c r="J43" s="351"/>
      <c r="K43" s="352"/>
      <c r="M43" s="8"/>
      <c r="N43" s="8"/>
      <c r="O43" s="9"/>
      <c r="P43" s="9"/>
    </row>
    <row r="44" spans="1:17" x14ac:dyDescent="0.3">
      <c r="A44" s="129" t="s">
        <v>54</v>
      </c>
      <c r="B44" s="130">
        <f t="shared" ref="B44" si="19">P30</f>
        <v>29</v>
      </c>
      <c r="C44" s="131">
        <f t="shared" si="18"/>
        <v>44584.759999999987</v>
      </c>
      <c r="D44" s="116">
        <v>0.3</v>
      </c>
      <c r="E44" s="117">
        <f>C44*D44</f>
        <v>13375.427999999996</v>
      </c>
      <c r="F44" s="97">
        <f>C44-E44</f>
        <v>31209.331999999991</v>
      </c>
      <c r="G44" s="363"/>
      <c r="H44" s="365"/>
      <c r="I44" s="127"/>
      <c r="J44" s="353"/>
      <c r="K44" s="354"/>
      <c r="M44" s="8"/>
      <c r="N44" s="8"/>
      <c r="O44" s="9"/>
      <c r="P44" s="9"/>
    </row>
    <row r="45" spans="1:17" ht="15" customHeight="1" thickBot="1" x14ac:dyDescent="0.3">
      <c r="A45" s="119" t="s">
        <v>56</v>
      </c>
      <c r="B45" s="120">
        <f>SUM(B43:B44)</f>
        <v>75</v>
      </c>
      <c r="C45" s="78">
        <f>SUM(C43:C44)</f>
        <v>92574.739999999991</v>
      </c>
      <c r="D45" s="121"/>
      <c r="E45" s="78">
        <f>SUM(E43:E44)</f>
        <v>61365.407999999996</v>
      </c>
      <c r="F45" s="78">
        <f>F44</f>
        <v>31209.331999999991</v>
      </c>
      <c r="G45" s="78">
        <v>300000</v>
      </c>
      <c r="H45" s="79">
        <f>E45/G45</f>
        <v>0.20455135999999999</v>
      </c>
      <c r="I45" s="80"/>
      <c r="J45" s="221">
        <f>(H45/H$3)*G$13</f>
        <v>1989104.038285214</v>
      </c>
      <c r="K45" s="81">
        <f>J45-G45</f>
        <v>1689104.038285214</v>
      </c>
      <c r="M45" s="8"/>
      <c r="N45" s="8"/>
      <c r="O45" s="9"/>
      <c r="P45" s="9"/>
    </row>
    <row r="46" spans="1:17" ht="15" thickBot="1" x14ac:dyDescent="0.35">
      <c r="A46" s="57"/>
      <c r="B46" s="82"/>
      <c r="C46" s="61"/>
      <c r="D46" s="83"/>
      <c r="E46" s="61"/>
      <c r="F46" s="143"/>
      <c r="G46" s="61"/>
      <c r="H46" s="62"/>
      <c r="I46" s="63"/>
      <c r="J46" s="337"/>
      <c r="K46" s="338"/>
      <c r="M46" s="8"/>
      <c r="N46" s="8"/>
      <c r="O46" s="9"/>
      <c r="P46" s="9"/>
    </row>
    <row r="47" spans="1:17" x14ac:dyDescent="0.3">
      <c r="A47" s="141" t="s">
        <v>66</v>
      </c>
      <c r="B47" s="123"/>
      <c r="C47" s="124"/>
      <c r="D47" s="109">
        <v>1</v>
      </c>
      <c r="E47" s="110">
        <f>C47*D47</f>
        <v>0</v>
      </c>
      <c r="F47" s="142"/>
      <c r="G47" s="362"/>
      <c r="H47" s="364"/>
      <c r="I47" s="127"/>
      <c r="J47" s="370"/>
      <c r="K47" s="340"/>
      <c r="M47" s="8"/>
      <c r="N47" s="8"/>
      <c r="O47" s="9"/>
      <c r="P47" s="9"/>
    </row>
    <row r="48" spans="1:17" x14ac:dyDescent="0.3">
      <c r="A48" s="129" t="s">
        <v>67</v>
      </c>
      <c r="B48" s="130"/>
      <c r="C48" s="131"/>
      <c r="D48" s="116">
        <v>0.3</v>
      </c>
      <c r="E48" s="117">
        <f>C48*D48</f>
        <v>0</v>
      </c>
      <c r="F48" s="97">
        <f>C48-E48</f>
        <v>0</v>
      </c>
      <c r="G48" s="363"/>
      <c r="H48" s="365"/>
      <c r="I48" s="127"/>
      <c r="J48" s="370"/>
      <c r="K48" s="340"/>
      <c r="M48" s="8"/>
      <c r="N48" s="8"/>
      <c r="O48" s="9"/>
      <c r="P48" s="9"/>
    </row>
    <row r="49" spans="1:16" ht="15" customHeight="1" thickBot="1" x14ac:dyDescent="0.35">
      <c r="A49" s="119" t="s">
        <v>68</v>
      </c>
      <c r="B49" s="120">
        <f>SUM(B47:B48)</f>
        <v>0</v>
      </c>
      <c r="C49" s="78">
        <f>SUM(C47:C48)</f>
        <v>0</v>
      </c>
      <c r="D49" s="121"/>
      <c r="E49" s="78">
        <f>SUM(E47:E48)</f>
        <v>0</v>
      </c>
      <c r="F49" s="78">
        <f>F48</f>
        <v>0</v>
      </c>
      <c r="G49" s="78">
        <v>275000</v>
      </c>
      <c r="H49" s="79">
        <f>E49/G49</f>
        <v>0</v>
      </c>
      <c r="I49" s="80"/>
      <c r="J49" s="370"/>
      <c r="K49" s="340"/>
      <c r="M49" s="8"/>
      <c r="N49" s="8"/>
      <c r="O49" s="9"/>
      <c r="P49" s="9"/>
    </row>
    <row r="50" spans="1:16" ht="15" thickBot="1" x14ac:dyDescent="0.35">
      <c r="A50" s="57"/>
      <c r="B50" s="82"/>
      <c r="C50" s="61"/>
      <c r="D50" s="83"/>
      <c r="E50" s="61"/>
      <c r="F50" s="143"/>
      <c r="G50" s="61"/>
      <c r="H50" s="62"/>
      <c r="I50" s="63"/>
      <c r="J50" s="370"/>
      <c r="K50" s="340"/>
      <c r="M50" s="8"/>
      <c r="N50" s="8"/>
      <c r="O50" s="9"/>
      <c r="P50" s="9"/>
    </row>
    <row r="51" spans="1:16" ht="16.5" customHeight="1" x14ac:dyDescent="0.3">
      <c r="A51" s="106" t="s">
        <v>57</v>
      </c>
      <c r="B51" s="115">
        <f>P23</f>
        <v>913</v>
      </c>
      <c r="C51" s="64">
        <f>Q23</f>
        <v>478702.74999999907</v>
      </c>
      <c r="D51" s="116">
        <v>0.3</v>
      </c>
      <c r="E51" s="110">
        <f>C51*D51</f>
        <v>143610.82499999972</v>
      </c>
      <c r="F51" s="144">
        <f>C51-E51</f>
        <v>335091.92499999935</v>
      </c>
      <c r="G51" s="145"/>
      <c r="H51" s="146"/>
      <c r="I51" s="112"/>
      <c r="J51" s="341"/>
      <c r="K51" s="342"/>
      <c r="M51" s="8"/>
      <c r="N51" s="8"/>
      <c r="O51" s="9"/>
      <c r="P51" s="9"/>
    </row>
    <row r="52" spans="1:16" ht="15" customHeight="1" thickBot="1" x14ac:dyDescent="0.3">
      <c r="A52" s="119" t="s">
        <v>59</v>
      </c>
      <c r="B52" s="120">
        <f>B51</f>
        <v>913</v>
      </c>
      <c r="C52" s="78">
        <f>C51</f>
        <v>478702.74999999907</v>
      </c>
      <c r="D52" s="121"/>
      <c r="E52" s="78">
        <f>E51</f>
        <v>143610.82499999972</v>
      </c>
      <c r="F52" s="78">
        <f>F51</f>
        <v>335091.92499999935</v>
      </c>
      <c r="G52" s="78">
        <v>916667</v>
      </c>
      <c r="H52" s="79"/>
      <c r="I52" s="80"/>
      <c r="J52" s="221">
        <f>(H52/H$3)*G$13</f>
        <v>0</v>
      </c>
      <c r="K52" s="81">
        <f>J52-G52</f>
        <v>-916667</v>
      </c>
      <c r="M52" s="8"/>
      <c r="N52" s="8"/>
      <c r="O52" s="9"/>
      <c r="P52" s="9"/>
    </row>
    <row r="53" spans="1:16" ht="15" thickBot="1" x14ac:dyDescent="0.35">
      <c r="A53" s="57"/>
      <c r="B53" s="82"/>
      <c r="C53" s="61"/>
      <c r="D53" s="83"/>
      <c r="E53" s="61"/>
      <c r="F53" s="143"/>
      <c r="G53" s="61"/>
      <c r="H53" s="62"/>
      <c r="I53" s="63"/>
      <c r="J53" s="337"/>
      <c r="K53" s="350"/>
      <c r="M53" s="8"/>
      <c r="N53" s="8"/>
      <c r="O53" s="9"/>
      <c r="P53" s="9"/>
    </row>
    <row r="54" spans="1:16" ht="15" thickBot="1" x14ac:dyDescent="0.35">
      <c r="A54" s="147" t="s">
        <v>75</v>
      </c>
      <c r="B54" s="148">
        <f>P28</f>
        <v>1288</v>
      </c>
      <c r="C54" s="54">
        <f>Q28</f>
        <v>17635.149999999954</v>
      </c>
      <c r="D54" s="149">
        <v>1</v>
      </c>
      <c r="E54" s="54">
        <f>C54*D54</f>
        <v>17635.149999999954</v>
      </c>
      <c r="F54" s="150"/>
      <c r="G54" s="151">
        <v>546455</v>
      </c>
      <c r="H54" s="152"/>
      <c r="I54" s="71"/>
      <c r="J54" s="351"/>
      <c r="K54" s="352"/>
      <c r="M54" s="8"/>
      <c r="N54" s="8"/>
      <c r="O54" s="9"/>
      <c r="P54" s="9"/>
    </row>
    <row r="55" spans="1:16" ht="15" thickBot="1" x14ac:dyDescent="0.35">
      <c r="A55" s="57"/>
      <c r="B55" s="82"/>
      <c r="C55" s="61"/>
      <c r="D55" s="60"/>
      <c r="E55" s="59"/>
      <c r="F55" s="144"/>
      <c r="G55" s="61"/>
      <c r="H55" s="62"/>
      <c r="I55" s="71"/>
      <c r="J55" s="351"/>
      <c r="K55" s="352"/>
      <c r="M55" s="8"/>
      <c r="N55" s="8"/>
      <c r="O55" s="9"/>
      <c r="P55" s="9"/>
    </row>
    <row r="56" spans="1:16" ht="15" thickBot="1" x14ac:dyDescent="0.35">
      <c r="A56" s="119" t="s">
        <v>144</v>
      </c>
      <c r="B56" s="120">
        <f>B55</f>
        <v>0</v>
      </c>
      <c r="C56" s="78">
        <v>6743</v>
      </c>
      <c r="D56" s="121"/>
      <c r="E56" s="78">
        <f>C56</f>
        <v>6743</v>
      </c>
      <c r="F56" s="78">
        <f>F55</f>
        <v>0</v>
      </c>
      <c r="G56" s="78">
        <v>546455</v>
      </c>
      <c r="H56" s="79">
        <f>E56/G56</f>
        <v>1.2339533904896102E-2</v>
      </c>
      <c r="I56" s="71"/>
      <c r="J56" s="351"/>
      <c r="K56" s="352"/>
      <c r="M56" s="8"/>
      <c r="N56" s="8"/>
      <c r="O56" s="9"/>
      <c r="P56" s="9"/>
    </row>
    <row r="57" spans="1:16" ht="15" thickBot="1" x14ac:dyDescent="0.35">
      <c r="A57" s="57"/>
      <c r="B57" s="82"/>
      <c r="C57" s="61"/>
      <c r="D57" s="60"/>
      <c r="E57" s="59"/>
      <c r="F57" s="144"/>
      <c r="G57" s="61"/>
      <c r="H57" s="62"/>
      <c r="I57" s="63"/>
      <c r="J57" s="366"/>
      <c r="K57" s="367"/>
      <c r="M57" s="8"/>
      <c r="N57" s="8"/>
      <c r="O57" s="9"/>
      <c r="P57" s="9"/>
    </row>
    <row r="58" spans="1:16" ht="15.75" thickBot="1" x14ac:dyDescent="0.3">
      <c r="A58" s="153" t="s">
        <v>7</v>
      </c>
      <c r="B58" s="154"/>
      <c r="C58" s="157"/>
      <c r="D58" s="156"/>
      <c r="E58" s="157">
        <f>SUM(E13,E17,E21,E25,E29,E33,E37,E41,E45,E49,E52,E54,E56)</f>
        <v>2011428.0849999981</v>
      </c>
      <c r="F58" s="157"/>
      <c r="G58" s="158">
        <f>SUM(G13:G54)</f>
        <v>7917043</v>
      </c>
      <c r="H58" s="159">
        <f>SUM(E58)/G58</f>
        <v>0.25406304917126232</v>
      </c>
      <c r="I58" s="160"/>
      <c r="J58" s="222">
        <f>(H58/H$3)*G58</f>
        <v>7178037.4798039151</v>
      </c>
      <c r="K58" s="161">
        <f>J58-G58</f>
        <v>-739005.52019608486</v>
      </c>
      <c r="M58" s="8"/>
      <c r="N58" s="8"/>
      <c r="O58" s="9"/>
      <c r="P58" s="9"/>
    </row>
    <row r="59" spans="1:16" ht="15.75" thickBot="1" x14ac:dyDescent="0.3">
      <c r="A59" s="57"/>
      <c r="B59" s="82"/>
      <c r="C59" s="61"/>
      <c r="D59" s="83"/>
      <c r="E59" s="61"/>
      <c r="F59" s="143"/>
      <c r="G59" s="61"/>
      <c r="H59" s="62"/>
      <c r="I59" s="63"/>
      <c r="J59" s="223"/>
      <c r="K59" s="163"/>
      <c r="M59" s="8"/>
      <c r="N59" s="8"/>
      <c r="O59" s="9"/>
      <c r="P59" s="9"/>
    </row>
    <row r="60" spans="1:16" ht="15.75" thickBot="1" x14ac:dyDescent="0.3">
      <c r="A60" s="153" t="s">
        <v>8</v>
      </c>
      <c r="B60" s="154"/>
      <c r="C60" s="155"/>
      <c r="D60" s="156"/>
      <c r="E60" s="157"/>
      <c r="F60" s="157">
        <f>SUM(F13,F17,F21,F25,F29,F33,F37,F41,F45,F49,F52)</f>
        <v>706854.99499999941</v>
      </c>
      <c r="G60" s="158"/>
      <c r="H60" s="159"/>
      <c r="I60" s="160"/>
      <c r="J60" s="222">
        <f>(H60/H$3)*G60</f>
        <v>0</v>
      </c>
      <c r="K60" s="161">
        <f>J60-G60</f>
        <v>0</v>
      </c>
      <c r="M60" s="8"/>
      <c r="N60" s="8"/>
      <c r="O60" s="9"/>
      <c r="P60" s="9"/>
    </row>
    <row r="61" spans="1:16" ht="15.75" thickBot="1" x14ac:dyDescent="0.3">
      <c r="A61" s="57"/>
      <c r="B61" s="82"/>
      <c r="D61" s="83"/>
      <c r="E61" s="61"/>
      <c r="F61" s="143"/>
      <c r="G61" s="61"/>
      <c r="H61" s="62"/>
      <c r="I61" s="63"/>
      <c r="J61" s="223"/>
      <c r="K61" s="163"/>
      <c r="M61" s="8"/>
      <c r="N61" s="8"/>
      <c r="O61" s="9"/>
      <c r="P61" s="9"/>
    </row>
    <row r="62" spans="1:16" ht="15.75" thickBot="1" x14ac:dyDescent="0.3">
      <c r="A62" s="153" t="s">
        <v>61</v>
      </c>
      <c r="B62" s="154">
        <f>SUM(B13,B17,B21,B25,B29,B33,B37,B41,B45,B49,B52,B54,B56)</f>
        <v>5116</v>
      </c>
      <c r="C62" s="155">
        <f>SUM(C13,C17,C21,C25,C29,C33,C37,C41,C45,C49,C52,C54,C56)</f>
        <v>2718283.0799999968</v>
      </c>
      <c r="D62" s="156"/>
      <c r="E62" s="157"/>
      <c r="F62" s="157">
        <f>SUM(E58:F61)</f>
        <v>2718283.0799999973</v>
      </c>
      <c r="G62" s="158">
        <f>SUM(G58:G61)</f>
        <v>7917043</v>
      </c>
      <c r="H62" s="159">
        <f>SUM(C62)/G62</f>
        <v>0.34334575169037185</v>
      </c>
      <c r="I62" s="160"/>
      <c r="J62" s="222">
        <f>(H62/H$3)*G62</f>
        <v>9700539.6188235171</v>
      </c>
      <c r="K62" s="161">
        <f>J62-G62</f>
        <v>1783496.6188235171</v>
      </c>
      <c r="M62" s="8"/>
      <c r="N62" s="8"/>
      <c r="O62" s="9"/>
      <c r="P62" s="9"/>
    </row>
    <row r="63" spans="1:16" ht="15" x14ac:dyDescent="0.25">
      <c r="C63" s="168"/>
      <c r="M63" s="8"/>
      <c r="N63" s="8"/>
      <c r="O63" s="9"/>
      <c r="P63" s="9"/>
    </row>
    <row r="64" spans="1:16" ht="15" x14ac:dyDescent="0.25">
      <c r="B64" s="164"/>
      <c r="C64" s="165"/>
      <c r="D64" s="165"/>
      <c r="E64" s="165"/>
      <c r="F64" s="165"/>
      <c r="G64" s="165"/>
      <c r="H64" s="165"/>
      <c r="I64" s="165"/>
      <c r="J64" s="165"/>
      <c r="K64" s="165"/>
      <c r="M64" s="8"/>
      <c r="N64" s="8"/>
      <c r="O64" s="9"/>
      <c r="P64" s="9"/>
    </row>
    <row r="65" spans="1:33" ht="15" customHeight="1" x14ac:dyDescent="0.25">
      <c r="A65" s="335" t="s">
        <v>143</v>
      </c>
      <c r="B65" s="335"/>
      <c r="C65" s="335"/>
      <c r="D65" s="335"/>
      <c r="E65" s="335"/>
      <c r="F65" s="335"/>
      <c r="G65" s="335"/>
      <c r="H65" s="335"/>
      <c r="I65" s="315"/>
      <c r="J65" s="224"/>
      <c r="K65" s="315"/>
      <c r="M65" s="8"/>
      <c r="N65" s="8"/>
      <c r="O65" s="9"/>
      <c r="P65" s="9"/>
      <c r="Q65"/>
    </row>
    <row r="66" spans="1:33" ht="15" x14ac:dyDescent="0.25">
      <c r="A66" s="336"/>
      <c r="B66" s="336"/>
      <c r="C66" s="336"/>
      <c r="D66" s="336"/>
      <c r="E66" s="336"/>
      <c r="F66" s="336"/>
      <c r="G66" s="336"/>
      <c r="H66" s="336"/>
      <c r="I66" s="315"/>
      <c r="J66" s="224"/>
      <c r="K66" s="315"/>
      <c r="L66" s="168"/>
      <c r="M66" s="8"/>
      <c r="N66" s="8"/>
      <c r="O66" s="9"/>
      <c r="P66" s="9"/>
    </row>
    <row r="67" spans="1:33" ht="15" x14ac:dyDescent="0.25">
      <c r="M67" s="8"/>
      <c r="N67" s="8"/>
      <c r="O67" s="9"/>
      <c r="R67" s="8"/>
    </row>
    <row r="68" spans="1:33" ht="21" customHeight="1" x14ac:dyDescent="0.25">
      <c r="G68" s="168"/>
      <c r="M68" s="8"/>
      <c r="N68" s="8"/>
      <c r="O68" s="8"/>
      <c r="P68" s="8"/>
      <c r="Q68" s="8"/>
      <c r="R68" s="8"/>
    </row>
    <row r="69" spans="1:33" ht="21" customHeight="1" x14ac:dyDescent="0.25">
      <c r="G69"/>
      <c r="M69" s="8"/>
      <c r="N69" s="8"/>
      <c r="O69" s="8"/>
      <c r="P69" s="8"/>
      <c r="Q69" s="8"/>
      <c r="R69" s="8"/>
    </row>
    <row r="70" spans="1:33" s="173" customFormat="1" ht="39.75" customHeight="1" x14ac:dyDescent="0.3">
      <c r="A70"/>
      <c r="B70"/>
      <c r="C70"/>
      <c r="D70"/>
      <c r="E70"/>
      <c r="F70"/>
      <c r="G70" s="1"/>
      <c r="H70"/>
      <c r="I70"/>
      <c r="J70" s="214"/>
      <c r="K70"/>
      <c r="M70" s="8"/>
      <c r="N70" s="8"/>
      <c r="O70" s="8"/>
      <c r="P70" s="8"/>
      <c r="Q70" s="8"/>
      <c r="R70" s="8"/>
      <c r="T70"/>
      <c r="U70"/>
      <c r="V70"/>
      <c r="X70"/>
      <c r="Y70"/>
      <c r="Z70"/>
      <c r="AA70"/>
      <c r="AB70"/>
      <c r="AD70"/>
      <c r="AE70"/>
      <c r="AF70"/>
      <c r="AG70"/>
    </row>
    <row r="71" spans="1:33" s="173" customFormat="1" ht="39.75" hidden="1" customHeight="1" x14ac:dyDescent="0.25">
      <c r="A71" t="s">
        <v>62</v>
      </c>
      <c r="B71">
        <f t="shared" ref="B71:G71" si="20">SUM(B68:B70)</f>
        <v>0</v>
      </c>
      <c r="C71">
        <f t="shared" si="20"/>
        <v>0</v>
      </c>
      <c r="D71">
        <f t="shared" si="20"/>
        <v>0</v>
      </c>
      <c r="E71">
        <f t="shared" si="20"/>
        <v>0</v>
      </c>
      <c r="F71">
        <f t="shared" si="20"/>
        <v>0</v>
      </c>
      <c r="G71" s="1">
        <f t="shared" si="20"/>
        <v>0</v>
      </c>
      <c r="H71"/>
      <c r="I71"/>
      <c r="J71" s="214"/>
      <c r="K71"/>
      <c r="M71" s="172"/>
      <c r="O71" s="8"/>
      <c r="P71" s="8"/>
      <c r="Q71" s="8"/>
      <c r="R71"/>
      <c r="X71"/>
      <c r="Y71"/>
      <c r="Z71"/>
      <c r="AA71"/>
      <c r="AB71"/>
      <c r="AD71"/>
      <c r="AE71"/>
      <c r="AF71"/>
      <c r="AG71"/>
    </row>
    <row r="72" spans="1:33" ht="15" hidden="1" x14ac:dyDescent="0.25">
      <c r="O72" s="175"/>
      <c r="P72" s="175"/>
      <c r="T72" s="173"/>
      <c r="U72" s="173"/>
      <c r="V72" s="173"/>
      <c r="AB72" s="173"/>
    </row>
    <row r="73" spans="1:33" ht="15" hidden="1" x14ac:dyDescent="0.25">
      <c r="X73" s="173"/>
      <c r="Y73" s="173"/>
      <c r="Z73" s="173"/>
      <c r="AA73" s="173"/>
      <c r="AB73" s="173"/>
    </row>
    <row r="74" spans="1:33" ht="15.75" hidden="1" thickBot="1" x14ac:dyDescent="0.3">
      <c r="A74" s="176" t="s">
        <v>61</v>
      </c>
      <c r="B74" s="177">
        <v>6196</v>
      </c>
      <c r="C74" s="162">
        <v>3871765.8300001109</v>
      </c>
      <c r="D74" s="178">
        <v>0.78696050117264404</v>
      </c>
      <c r="E74" s="179">
        <v>3046926.7780000055</v>
      </c>
      <c r="F74" s="180">
        <v>824839.05199999909</v>
      </c>
      <c r="G74" s="162">
        <v>7182150.0000000009</v>
      </c>
      <c r="H74" s="181">
        <v>0.42423602653801512</v>
      </c>
      <c r="I74" s="160"/>
      <c r="J74" s="225">
        <v>7493792.8864324465</v>
      </c>
      <c r="K74" s="182">
        <v>311642.88643244561</v>
      </c>
      <c r="X74" s="173"/>
      <c r="Y74" s="173"/>
      <c r="Z74" s="173"/>
      <c r="AA74" s="173"/>
    </row>
    <row r="75" spans="1:33" ht="15" hidden="1" x14ac:dyDescent="0.25">
      <c r="A75" s="183"/>
      <c r="B75" s="184"/>
      <c r="C75" s="185"/>
      <c r="D75" s="185"/>
      <c r="E75" s="185"/>
      <c r="F75" s="185"/>
      <c r="G75" s="185"/>
      <c r="H75" s="185"/>
      <c r="I75" s="160"/>
      <c r="J75" s="226"/>
      <c r="K75" s="185"/>
    </row>
    <row r="76" spans="1:33" ht="15" hidden="1" x14ac:dyDescent="0.25"/>
    <row r="77" spans="1:33" ht="15.75" hidden="1" thickBot="1" x14ac:dyDescent="0.3">
      <c r="A77" s="186" t="s">
        <v>63</v>
      </c>
      <c r="B77" s="187"/>
      <c r="C77" s="188"/>
      <c r="D77" s="189"/>
      <c r="E77" s="189">
        <v>3046926.7780000055</v>
      </c>
      <c r="F77" s="190"/>
      <c r="G77" s="188">
        <v>7182150.0000000009</v>
      </c>
      <c r="H77" s="191">
        <v>0.42423602653801512</v>
      </c>
      <c r="I77" s="160"/>
      <c r="J77" s="225">
        <v>7493792.8864324465</v>
      </c>
      <c r="K77" s="182">
        <v>311642.88643244561</v>
      </c>
    </row>
    <row r="78" spans="1:33" ht="15.75" hidden="1" thickBot="1" x14ac:dyDescent="0.3">
      <c r="A78" s="192" t="s">
        <v>64</v>
      </c>
      <c r="B78" s="193"/>
      <c r="C78" s="194"/>
      <c r="D78" s="185"/>
      <c r="E78" s="185"/>
      <c r="F78" s="195">
        <v>824839.05199999909</v>
      </c>
      <c r="G78" s="194"/>
      <c r="H78" s="196">
        <v>0.2914625625441693</v>
      </c>
      <c r="I78" s="160"/>
      <c r="J78" s="225">
        <v>2028658.2089729707</v>
      </c>
      <c r="K78" s="182">
        <v>-801341.79102702928</v>
      </c>
    </row>
    <row r="79" spans="1:33" ht="15.75" hidden="1" thickBot="1" x14ac:dyDescent="0.3">
      <c r="A79" s="197" t="s">
        <v>65</v>
      </c>
      <c r="B79" s="198"/>
      <c r="C79" s="199">
        <v>3871765.8300000047</v>
      </c>
      <c r="D79" s="200"/>
      <c r="E79" s="200"/>
      <c r="F79" s="201"/>
      <c r="G79" s="202"/>
      <c r="H79" s="203">
        <v>0.38670673431780433</v>
      </c>
      <c r="I79" s="160"/>
      <c r="J79" s="225">
        <v>9522451.0954054166</v>
      </c>
      <c r="K79" s="182">
        <v>-489698.90459458344</v>
      </c>
    </row>
    <row r="80" spans="1:33" ht="15" hidden="1" x14ac:dyDescent="0.25">
      <c r="A80" s="183"/>
      <c r="B80" s="184"/>
      <c r="C80" s="185"/>
      <c r="D80" s="185"/>
      <c r="E80" s="185"/>
      <c r="F80" s="185"/>
      <c r="G80" s="185"/>
      <c r="H80" s="160"/>
      <c r="I80" s="160"/>
      <c r="J80" s="226"/>
      <c r="K80" s="185"/>
    </row>
    <row r="81" spans="1:33" ht="15" hidden="1" x14ac:dyDescent="0.25">
      <c r="B81" s="164">
        <v>6196</v>
      </c>
      <c r="C81" s="1">
        <v>3871765.8300000052</v>
      </c>
      <c r="D81" s="1"/>
      <c r="E81" s="1"/>
      <c r="F81" s="1"/>
      <c r="G81" s="1">
        <v>7182150.0000000009</v>
      </c>
      <c r="H81" s="1"/>
      <c r="I81" s="1"/>
      <c r="J81" s="165">
        <v>7423408.4691351494</v>
      </c>
      <c r="K81" s="1">
        <v>241258.46913514897</v>
      </c>
      <c r="AD81" s="173"/>
      <c r="AE81" s="173"/>
      <c r="AF81" s="173"/>
      <c r="AG81" s="173"/>
    </row>
    <row r="82" spans="1:33" ht="15" hidden="1" x14ac:dyDescent="0.25">
      <c r="AD82" s="173"/>
      <c r="AE82" s="173"/>
      <c r="AF82" s="173"/>
      <c r="AG82" s="173"/>
    </row>
    <row r="83" spans="1:33" ht="15" hidden="1" x14ac:dyDescent="0.25">
      <c r="C83" s="168"/>
      <c r="Q83"/>
    </row>
    <row r="84" spans="1:33" ht="15" hidden="1" x14ac:dyDescent="0.25">
      <c r="A84" s="204"/>
      <c r="B84" s="205"/>
    </row>
    <row r="85" spans="1:33" ht="15" hidden="1" x14ac:dyDescent="0.25"/>
    <row r="86" spans="1:33" ht="15" hidden="1" x14ac:dyDescent="0.25"/>
    <row r="87" spans="1:33" x14ac:dyDescent="0.3">
      <c r="M87" s="8"/>
      <c r="N87" s="8"/>
      <c r="R87" s="8"/>
      <c r="S87" s="8"/>
    </row>
    <row r="88" spans="1:33" x14ac:dyDescent="0.3">
      <c r="M88" s="8"/>
      <c r="N88" s="8"/>
      <c r="O88" s="8"/>
      <c r="P88" s="8"/>
      <c r="Q88" s="8"/>
      <c r="R88" s="8"/>
      <c r="S88" s="8"/>
      <c r="T88" s="8"/>
      <c r="U88" s="8"/>
    </row>
    <row r="89" spans="1:33" x14ac:dyDescent="0.3">
      <c r="M89" s="8"/>
      <c r="N89" s="8"/>
      <c r="O89" s="8"/>
      <c r="P89" s="8"/>
      <c r="Q89" s="8"/>
      <c r="R89" s="8"/>
      <c r="S89" s="8"/>
      <c r="T89" s="8"/>
      <c r="U89" s="8"/>
    </row>
    <row r="90" spans="1:33" x14ac:dyDescent="0.3">
      <c r="M90" s="8"/>
      <c r="N90" s="8"/>
      <c r="O90" s="8"/>
      <c r="P90" s="8"/>
      <c r="Q90" s="8"/>
      <c r="R90" s="8"/>
      <c r="S90" s="8"/>
      <c r="T90" s="8"/>
      <c r="U90" s="8"/>
    </row>
    <row r="91" spans="1:33" x14ac:dyDescent="0.3">
      <c r="M91" s="8"/>
      <c r="N91" s="8"/>
      <c r="O91" s="8"/>
      <c r="P91" s="8"/>
      <c r="Q91" s="8"/>
      <c r="R91" s="8"/>
      <c r="S91" s="8"/>
      <c r="T91" s="8"/>
      <c r="U91" s="8"/>
    </row>
    <row r="92" spans="1:33" x14ac:dyDescent="0.3">
      <c r="M92" s="8"/>
      <c r="N92" s="8"/>
      <c r="O92" s="8"/>
      <c r="P92" s="8"/>
      <c r="Q92" s="8"/>
      <c r="R92" s="8"/>
      <c r="S92" s="8"/>
      <c r="T92" s="8"/>
      <c r="U92" s="8"/>
    </row>
    <row r="93" spans="1:33" x14ac:dyDescent="0.3">
      <c r="M93" s="8"/>
      <c r="N93" s="8"/>
      <c r="O93" s="8"/>
      <c r="P93" s="8"/>
      <c r="Q93" s="8"/>
      <c r="R93" s="8"/>
      <c r="S93" s="8"/>
      <c r="T93" s="8"/>
      <c r="U93" s="8"/>
    </row>
    <row r="94" spans="1:33" x14ac:dyDescent="0.3">
      <c r="M94" s="8"/>
      <c r="N94" s="8"/>
      <c r="O94" s="8"/>
      <c r="P94" s="8"/>
      <c r="Q94" s="8"/>
      <c r="R94" s="8"/>
      <c r="S94" s="8"/>
      <c r="T94" s="8"/>
      <c r="U94" s="8"/>
    </row>
    <row r="95" spans="1:33" x14ac:dyDescent="0.3">
      <c r="M95" s="8"/>
      <c r="N95" s="8"/>
      <c r="O95" s="8"/>
      <c r="P95" s="8"/>
      <c r="Q95" s="8"/>
      <c r="R95" s="8"/>
      <c r="S95" s="8"/>
      <c r="T95" s="8"/>
      <c r="U95" s="8"/>
    </row>
    <row r="96" spans="1:33"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c r="S143" s="8"/>
      <c r="T143" s="8"/>
      <c r="U143" s="8"/>
    </row>
    <row r="144" spans="13:21" x14ac:dyDescent="0.3">
      <c r="M144" s="8"/>
      <c r="N144" s="8"/>
      <c r="O144" s="8"/>
      <c r="P144" s="8"/>
      <c r="Q144" s="8"/>
      <c r="R144" s="8"/>
      <c r="S144" s="8"/>
      <c r="T144" s="8"/>
      <c r="U144" s="8"/>
    </row>
    <row r="145" spans="13:21" x14ac:dyDescent="0.3">
      <c r="M145" s="8"/>
      <c r="N145" s="8"/>
      <c r="O145" s="8"/>
      <c r="P145" s="8"/>
      <c r="Q145" s="8"/>
      <c r="R145" s="8">
        <f>SUM(R31:R142)</f>
        <v>0</v>
      </c>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M255" s="8"/>
      <c r="N255" s="8"/>
      <c r="O255" s="8"/>
      <c r="P255" s="8"/>
      <c r="Q255" s="8"/>
      <c r="R255" s="8"/>
      <c r="S255" s="8"/>
      <c r="T255" s="8"/>
      <c r="U255" s="8"/>
    </row>
    <row r="256" spans="13:21" x14ac:dyDescent="0.3">
      <c r="M256" s="8"/>
      <c r="N256" s="8"/>
      <c r="O256" s="8"/>
      <c r="P256" s="8"/>
      <c r="Q256" s="8"/>
      <c r="R256" s="8"/>
      <c r="S256" s="8"/>
      <c r="T256" s="8"/>
      <c r="U256" s="8"/>
    </row>
    <row r="257" spans="15:21" x14ac:dyDescent="0.3">
      <c r="O257" s="8"/>
      <c r="P257" s="8"/>
      <c r="Q257" s="8"/>
      <c r="T257" s="8"/>
      <c r="U257" s="8"/>
    </row>
  </sheetData>
  <mergeCells count="23">
    <mergeCell ref="J53:K57"/>
    <mergeCell ref="A65:H65"/>
    <mergeCell ref="A66:H66"/>
    <mergeCell ref="J42:K44"/>
    <mergeCell ref="G43:G44"/>
    <mergeCell ref="H43:H44"/>
    <mergeCell ref="J46:K51"/>
    <mergeCell ref="G47:G48"/>
    <mergeCell ref="H47:H48"/>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s>
  <conditionalFormatting sqref="H13:I13 H58:I58 H15:I15 H24 H74:I74 I75 H79:I80 H31:I32 H35:I36 H39:I40">
    <cfRule type="cellIs" dxfId="553" priority="42" operator="greaterThan">
      <formula>$H$3</formula>
    </cfRule>
  </conditionalFormatting>
  <conditionalFormatting sqref="H13:I13">
    <cfRule type="cellIs" dxfId="552" priority="41" operator="greaterThan">
      <formula>$H$3</formula>
    </cfRule>
  </conditionalFormatting>
  <conditionalFormatting sqref="I77:I78">
    <cfRule type="cellIs" dxfId="551" priority="40" operator="greaterThan">
      <formula>$H$3</formula>
    </cfRule>
  </conditionalFormatting>
  <conditionalFormatting sqref="H77:H78">
    <cfRule type="cellIs" dxfId="550" priority="39" operator="greaterThan">
      <formula>$H$3</formula>
    </cfRule>
  </conditionalFormatting>
  <conditionalFormatting sqref="I54:I56">
    <cfRule type="cellIs" dxfId="549" priority="38" operator="greaterThan">
      <formula>$H$3</formula>
    </cfRule>
  </conditionalFormatting>
  <conditionalFormatting sqref="H43:H44">
    <cfRule type="cellIs" dxfId="548" priority="36" operator="greaterThan">
      <formula>$H$3</formula>
    </cfRule>
  </conditionalFormatting>
  <conditionalFormatting sqref="I43:I44">
    <cfRule type="cellIs" dxfId="547" priority="37" operator="greaterThan">
      <formula>$H$3</formula>
    </cfRule>
  </conditionalFormatting>
  <conditionalFormatting sqref="H16:I16">
    <cfRule type="cellIs" dxfId="546" priority="35" operator="greaterThan">
      <formula>$H$3</formula>
    </cfRule>
  </conditionalFormatting>
  <conditionalFormatting sqref="H23">
    <cfRule type="cellIs" dxfId="545" priority="34" operator="greaterThan">
      <formula>$H$3</formula>
    </cfRule>
  </conditionalFormatting>
  <conditionalFormatting sqref="H17:I17">
    <cfRule type="cellIs" dxfId="544" priority="32" operator="greaterThan">
      <formula>$H$3</formula>
    </cfRule>
  </conditionalFormatting>
  <conditionalFormatting sqref="H17:I17">
    <cfRule type="cellIs" dxfId="543" priority="33" operator="greaterThan">
      <formula>$H$3</formula>
    </cfRule>
  </conditionalFormatting>
  <conditionalFormatting sqref="H25:I25">
    <cfRule type="cellIs" dxfId="542" priority="30" operator="greaterThan">
      <formula>$H$3</formula>
    </cfRule>
  </conditionalFormatting>
  <conditionalFormatting sqref="H25:I25">
    <cfRule type="cellIs" dxfId="541" priority="31" operator="greaterThan">
      <formula>$H$3</formula>
    </cfRule>
  </conditionalFormatting>
  <conditionalFormatting sqref="H19:I19">
    <cfRule type="cellIs" dxfId="540" priority="29" operator="greaterThan">
      <formula>$H$3</formula>
    </cfRule>
  </conditionalFormatting>
  <conditionalFormatting sqref="H20:I20">
    <cfRule type="cellIs" dxfId="539" priority="28" operator="greaterThan">
      <formula>$H$3</formula>
    </cfRule>
  </conditionalFormatting>
  <conditionalFormatting sqref="H21:I21">
    <cfRule type="cellIs" dxfId="538" priority="26" operator="greaterThan">
      <formula>$H$3</formula>
    </cfRule>
  </conditionalFormatting>
  <conditionalFormatting sqref="H21:I21">
    <cfRule type="cellIs" dxfId="537" priority="27" operator="greaterThan">
      <formula>$H$3</formula>
    </cfRule>
  </conditionalFormatting>
  <conditionalFormatting sqref="H29:I29">
    <cfRule type="cellIs" dxfId="536" priority="24" operator="greaterThan">
      <formula>$H$3</formula>
    </cfRule>
  </conditionalFormatting>
  <conditionalFormatting sqref="H29:I29">
    <cfRule type="cellIs" dxfId="535" priority="25" operator="greaterThan">
      <formula>$H$3</formula>
    </cfRule>
  </conditionalFormatting>
  <conditionalFormatting sqref="H27:I27">
    <cfRule type="cellIs" dxfId="534" priority="23" operator="greaterThan">
      <formula>$H$3</formula>
    </cfRule>
  </conditionalFormatting>
  <conditionalFormatting sqref="H28:I28">
    <cfRule type="cellIs" dxfId="533" priority="22" operator="greaterThan">
      <formula>$H$3</formula>
    </cfRule>
  </conditionalFormatting>
  <conditionalFormatting sqref="H33:I33">
    <cfRule type="cellIs" dxfId="532" priority="20" operator="greaterThan">
      <formula>$H$3</formula>
    </cfRule>
  </conditionalFormatting>
  <conditionalFormatting sqref="H33:I33">
    <cfRule type="cellIs" dxfId="531" priority="21" operator="greaterThan">
      <formula>$H$3</formula>
    </cfRule>
  </conditionalFormatting>
  <conditionalFormatting sqref="H37:I37">
    <cfRule type="cellIs" dxfId="530" priority="18" operator="greaterThan">
      <formula>$H$3</formula>
    </cfRule>
  </conditionalFormatting>
  <conditionalFormatting sqref="H37:I37">
    <cfRule type="cellIs" dxfId="529" priority="19" operator="greaterThan">
      <formula>$H$3</formula>
    </cfRule>
  </conditionalFormatting>
  <conditionalFormatting sqref="H41:I41">
    <cfRule type="cellIs" dxfId="528" priority="16" operator="greaterThan">
      <formula>$H$3</formula>
    </cfRule>
  </conditionalFormatting>
  <conditionalFormatting sqref="H41:I41">
    <cfRule type="cellIs" dxfId="527" priority="17" operator="greaterThan">
      <formula>$H$3</formula>
    </cfRule>
  </conditionalFormatting>
  <conditionalFormatting sqref="H45:I45">
    <cfRule type="cellIs" dxfId="526" priority="14" operator="greaterThan">
      <formula>$H$3</formula>
    </cfRule>
  </conditionalFormatting>
  <conditionalFormatting sqref="H45:I45">
    <cfRule type="cellIs" dxfId="525" priority="15" operator="greaterThan">
      <formula>$H$3</formula>
    </cfRule>
  </conditionalFormatting>
  <conditionalFormatting sqref="H52:I52">
    <cfRule type="cellIs" dxfId="524" priority="12" operator="greaterThan">
      <formula>$H$3</formula>
    </cfRule>
  </conditionalFormatting>
  <conditionalFormatting sqref="H52:I52">
    <cfRule type="cellIs" dxfId="523" priority="13" operator="greaterThan">
      <formula>$H$3</formula>
    </cfRule>
  </conditionalFormatting>
  <conditionalFormatting sqref="H60:I60">
    <cfRule type="cellIs" dxfId="522" priority="11" operator="greaterThan">
      <formula>$H$3</formula>
    </cfRule>
  </conditionalFormatting>
  <conditionalFormatting sqref="H62:I62">
    <cfRule type="cellIs" dxfId="521" priority="10" operator="greaterThan">
      <formula>$H$3</formula>
    </cfRule>
  </conditionalFormatting>
  <conditionalFormatting sqref="H47:H48">
    <cfRule type="cellIs" dxfId="520" priority="8" operator="greaterThan">
      <formula>$H$3</formula>
    </cfRule>
  </conditionalFormatting>
  <conditionalFormatting sqref="I47:I48">
    <cfRule type="cellIs" dxfId="519" priority="9" operator="greaterThan">
      <formula>$H$3</formula>
    </cfRule>
  </conditionalFormatting>
  <conditionalFormatting sqref="H49:I49">
    <cfRule type="cellIs" dxfId="518" priority="6" operator="greaterThan">
      <formula>$H$3</formula>
    </cfRule>
  </conditionalFormatting>
  <conditionalFormatting sqref="H49:I49">
    <cfRule type="cellIs" dxfId="517" priority="7" operator="greaterThan">
      <formula>$H$3</formula>
    </cfRule>
  </conditionalFormatting>
  <conditionalFormatting sqref="H54">
    <cfRule type="cellIs" dxfId="516" priority="5" operator="greaterThan">
      <formula>$H$3</formula>
    </cfRule>
  </conditionalFormatting>
  <conditionalFormatting sqref="H56">
    <cfRule type="cellIs" dxfId="515" priority="1" operator="greaterThan">
      <formula>$H$3</formula>
    </cfRule>
  </conditionalFormatting>
  <conditionalFormatting sqref="H56">
    <cfRule type="cellIs" dxfId="514" priority="2" operator="greaterThan">
      <formula>$H$3</formula>
    </cfRule>
  </conditionalFormatting>
  <pageMargins left="0.2" right="0.2" top="0.75" bottom="0.75" header="0.3" footer="0.3"/>
  <pageSetup scale="64"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L175"/>
  <sheetViews>
    <sheetView topLeftCell="B1" zoomScale="70" zoomScaleNormal="70" workbookViewId="0">
      <selection activeCell="Q2" sqref="Q1:AL1048576"/>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8.33203125" customWidth="1"/>
    <col min="17" max="17" width="18.33203125" style="172" hidden="1" customWidth="1"/>
    <col min="18" max="18" width="18.33203125" hidden="1" customWidth="1"/>
    <col min="19" max="21" width="18.33203125" style="37" hidden="1" customWidth="1"/>
    <col min="22" max="30" width="18.33203125" hidden="1" customWidth="1"/>
    <col min="31" max="36" width="0" hidden="1" customWidth="1"/>
    <col min="37" max="38" width="9.109375" hidden="1" customWidth="1"/>
  </cols>
  <sheetData>
    <row r="1" spans="2:36" ht="15.75" thickBot="1" x14ac:dyDescent="0.3">
      <c r="Q1" s="323" t="s">
        <v>0</v>
      </c>
      <c r="R1" s="324"/>
      <c r="S1" s="324"/>
      <c r="T1" s="324"/>
      <c r="U1" s="324"/>
      <c r="V1" s="324"/>
    </row>
    <row r="2" spans="2:36" ht="30" x14ac:dyDescent="0.25">
      <c r="B2" s="2"/>
      <c r="C2" s="3"/>
      <c r="D2" s="3"/>
      <c r="E2" s="3"/>
      <c r="F2" s="3"/>
      <c r="G2" s="3"/>
      <c r="H2" s="3"/>
      <c r="I2" s="3"/>
      <c r="J2" s="4" t="s">
        <v>1</v>
      </c>
      <c r="K2" s="308"/>
      <c r="L2" s="5" t="s">
        <v>2</v>
      </c>
      <c r="M2" s="6"/>
      <c r="N2" s="6"/>
      <c r="O2" s="6"/>
      <c r="Q2" s="7">
        <v>41456</v>
      </c>
      <c r="R2" s="8"/>
      <c r="S2" s="9"/>
      <c r="T2" s="9"/>
      <c r="U2" s="9"/>
      <c r="V2" s="8"/>
    </row>
    <row r="3" spans="2:36" ht="18.75" x14ac:dyDescent="0.3">
      <c r="B3" s="10" t="s">
        <v>138</v>
      </c>
      <c r="C3" s="11"/>
      <c r="D3" s="8"/>
      <c r="E3" s="8"/>
      <c r="F3" s="8"/>
      <c r="G3" s="8"/>
      <c r="H3" s="8"/>
      <c r="I3" s="8"/>
      <c r="J3" s="12">
        <v>41547</v>
      </c>
      <c r="K3" s="307"/>
      <c r="L3" s="13">
        <f>$Q$5/26</f>
        <v>0.25</v>
      </c>
      <c r="M3" s="14"/>
      <c r="N3" s="14"/>
      <c r="O3" s="14"/>
      <c r="Q3" s="15"/>
      <c r="R3" s="8"/>
      <c r="S3" s="9"/>
      <c r="T3" s="9"/>
      <c r="U3" s="9"/>
      <c r="V3" s="8"/>
    </row>
    <row r="4" spans="2:36" ht="15.75" thickBot="1" x14ac:dyDescent="0.3">
      <c r="B4" s="16"/>
      <c r="C4" s="8"/>
      <c r="D4" s="8"/>
      <c r="E4" s="8"/>
      <c r="F4" s="17"/>
      <c r="G4" s="8"/>
      <c r="H4" s="8"/>
      <c r="I4" s="8"/>
      <c r="J4" s="306"/>
      <c r="K4" s="306"/>
      <c r="L4" s="19"/>
      <c r="M4" s="8"/>
      <c r="N4" s="8"/>
      <c r="O4" s="8"/>
      <c r="Q4" s="15">
        <f>J3-Q2</f>
        <v>91</v>
      </c>
      <c r="R4" s="8"/>
      <c r="S4" s="9"/>
      <c r="T4" s="9"/>
      <c r="U4" s="8"/>
      <c r="V4" s="8"/>
    </row>
    <row r="5" spans="2:36"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6.5</v>
      </c>
      <c r="R5" s="8"/>
      <c r="S5" s="9"/>
      <c r="T5" s="9"/>
      <c r="U5" s="266" t="s">
        <v>101</v>
      </c>
      <c r="V5" s="266" t="s">
        <v>3</v>
      </c>
      <c r="W5" t="s">
        <v>13</v>
      </c>
      <c r="X5" t="s">
        <v>14</v>
      </c>
      <c r="Z5" t="s">
        <v>101</v>
      </c>
      <c r="AA5" t="s">
        <v>3</v>
      </c>
      <c r="AB5" t="s">
        <v>13</v>
      </c>
      <c r="AC5" t="s">
        <v>14</v>
      </c>
      <c r="AE5" s="316" t="s">
        <v>101</v>
      </c>
      <c r="AF5" s="316" t="s">
        <v>3</v>
      </c>
      <c r="AG5" t="s">
        <v>13</v>
      </c>
      <c r="AH5" s="316" t="s">
        <v>101</v>
      </c>
      <c r="AI5" s="316" t="s">
        <v>3</v>
      </c>
      <c r="AJ5" t="s">
        <v>14</v>
      </c>
    </row>
    <row r="6" spans="2:36" x14ac:dyDescent="0.3">
      <c r="B6" s="294" t="s">
        <v>100</v>
      </c>
      <c r="C6" s="293">
        <v>59</v>
      </c>
      <c r="D6" s="113">
        <v>36711.11</v>
      </c>
      <c r="E6" s="292"/>
      <c r="F6" s="291">
        <v>1</v>
      </c>
      <c r="G6" s="290">
        <f t="shared" ref="G6:G19" si="0">D6*F6</f>
        <v>36711.11</v>
      </c>
      <c r="H6" s="288">
        <f t="shared" ref="H6:H19" si="1">D6-G6</f>
        <v>0</v>
      </c>
      <c r="I6" s="289"/>
      <c r="J6" s="325"/>
      <c r="K6" s="325"/>
      <c r="L6" s="327" t="e">
        <f>SUM(G6:G7)/J6</f>
        <v>#DIV/0!</v>
      </c>
      <c r="M6" s="268"/>
      <c r="N6" s="113" t="e">
        <f>(L6/L$3)*J6</f>
        <v>#DIV/0!</v>
      </c>
      <c r="O6" s="288" t="e">
        <f>N6-J6</f>
        <v>#DIV/0!</v>
      </c>
      <c r="Q6" s="36">
        <v>51000</v>
      </c>
      <c r="R6" s="8"/>
      <c r="S6" s="9"/>
      <c r="T6" s="9"/>
      <c r="U6" s="287">
        <v>1</v>
      </c>
      <c r="V6" s="266" t="s">
        <v>72</v>
      </c>
      <c r="W6" s="207">
        <v>59</v>
      </c>
      <c r="X6" s="207">
        <v>36711.11</v>
      </c>
      <c r="Z6">
        <v>1</v>
      </c>
      <c r="AA6" t="s">
        <v>72</v>
      </c>
      <c r="AB6" s="207">
        <v>59</v>
      </c>
      <c r="AC6" s="207">
        <v>36711.11</v>
      </c>
      <c r="AE6">
        <v>1</v>
      </c>
      <c r="AF6" t="s">
        <v>72</v>
      </c>
      <c r="AG6" s="207">
        <v>59</v>
      </c>
      <c r="AH6">
        <v>1</v>
      </c>
      <c r="AI6" t="s">
        <v>72</v>
      </c>
      <c r="AJ6" s="207">
        <v>36711.11</v>
      </c>
    </row>
    <row r="7" spans="2:36" x14ac:dyDescent="0.3">
      <c r="B7" s="272" t="s">
        <v>90</v>
      </c>
      <c r="C7" s="115">
        <v>24</v>
      </c>
      <c r="D7" s="64">
        <v>10965.079999999998</v>
      </c>
      <c r="E7" s="271"/>
      <c r="F7" s="270">
        <v>0.3</v>
      </c>
      <c r="G7" s="269">
        <f t="shared" si="0"/>
        <v>3289.5239999999994</v>
      </c>
      <c r="H7" s="267">
        <f t="shared" si="1"/>
        <v>7675.5559999999987</v>
      </c>
      <c r="I7" s="8"/>
      <c r="J7" s="326"/>
      <c r="K7" s="326"/>
      <c r="L7" s="328"/>
      <c r="M7" s="268"/>
      <c r="N7" s="64"/>
      <c r="O7" s="267"/>
      <c r="Q7" s="36"/>
      <c r="R7" s="8"/>
      <c r="S7" s="9"/>
      <c r="T7" s="9"/>
      <c r="U7" s="264"/>
      <c r="V7" s="266" t="s">
        <v>31</v>
      </c>
      <c r="W7" s="207">
        <v>24</v>
      </c>
      <c r="X7" s="207">
        <v>10965.079999999998</v>
      </c>
      <c r="AA7" t="s">
        <v>31</v>
      </c>
      <c r="AB7" s="207">
        <v>24</v>
      </c>
      <c r="AC7" s="207">
        <v>10965.079999999998</v>
      </c>
      <c r="AF7" t="s">
        <v>31</v>
      </c>
      <c r="AG7" s="207">
        <v>24</v>
      </c>
      <c r="AI7" t="s">
        <v>31</v>
      </c>
      <c r="AJ7" s="207">
        <v>10965.079999999998</v>
      </c>
    </row>
    <row r="8" spans="2:36" x14ac:dyDescent="0.3">
      <c r="B8" s="286" t="s">
        <v>99</v>
      </c>
      <c r="C8" s="285">
        <v>27</v>
      </c>
      <c r="D8" s="137">
        <v>15533.449999999997</v>
      </c>
      <c r="E8" s="284"/>
      <c r="F8" s="283">
        <v>1</v>
      </c>
      <c r="G8" s="282">
        <f t="shared" si="0"/>
        <v>15533.449999999997</v>
      </c>
      <c r="H8" s="280">
        <f t="shared" si="1"/>
        <v>0</v>
      </c>
      <c r="I8" s="281"/>
      <c r="J8" s="329"/>
      <c r="K8" s="329"/>
      <c r="L8" s="331" t="e">
        <f>SUM(G8:G9)/J8</f>
        <v>#DIV/0!</v>
      </c>
      <c r="M8" s="281"/>
      <c r="N8" s="137" t="e">
        <f>(L8/L$3)*J8</f>
        <v>#DIV/0!</v>
      </c>
      <c r="O8" s="280" t="e">
        <f>N8-J8</f>
        <v>#DIV/0!</v>
      </c>
      <c r="Q8" s="36">
        <v>37400</v>
      </c>
      <c r="R8" s="8"/>
      <c r="S8" s="9"/>
      <c r="T8" s="9"/>
      <c r="U8" s="287">
        <v>2</v>
      </c>
      <c r="V8" s="266" t="s">
        <v>72</v>
      </c>
      <c r="W8" s="207">
        <v>27</v>
      </c>
      <c r="X8" s="207">
        <v>15533.449999999997</v>
      </c>
      <c r="Z8">
        <v>2</v>
      </c>
      <c r="AA8" t="s">
        <v>72</v>
      </c>
      <c r="AB8" s="207">
        <v>27</v>
      </c>
      <c r="AC8" s="207">
        <v>15533.449999999997</v>
      </c>
      <c r="AE8">
        <v>2</v>
      </c>
      <c r="AF8" t="s">
        <v>72</v>
      </c>
      <c r="AG8" s="207">
        <v>27</v>
      </c>
      <c r="AH8">
        <v>2</v>
      </c>
      <c r="AI8" t="s">
        <v>72</v>
      </c>
      <c r="AJ8" s="207">
        <v>15533.449999999997</v>
      </c>
    </row>
    <row r="9" spans="2:36" x14ac:dyDescent="0.3">
      <c r="B9" s="279" t="s">
        <v>90</v>
      </c>
      <c r="C9" s="278">
        <v>11</v>
      </c>
      <c r="D9" s="92">
        <v>706.67999999999984</v>
      </c>
      <c r="E9" s="277"/>
      <c r="F9" s="276">
        <v>0.3</v>
      </c>
      <c r="G9" s="275">
        <f t="shared" si="0"/>
        <v>212.00399999999993</v>
      </c>
      <c r="H9" s="273">
        <f t="shared" si="1"/>
        <v>494.67599999999993</v>
      </c>
      <c r="I9" s="274"/>
      <c r="J9" s="330"/>
      <c r="K9" s="330"/>
      <c r="L9" s="332"/>
      <c r="M9" s="274"/>
      <c r="N9" s="92"/>
      <c r="O9" s="273"/>
      <c r="Q9" s="36"/>
      <c r="R9" s="8"/>
      <c r="S9" s="9"/>
      <c r="T9" s="9"/>
      <c r="U9" s="264"/>
      <c r="V9" s="266" t="s">
        <v>31</v>
      </c>
      <c r="W9" s="207">
        <v>11</v>
      </c>
      <c r="X9" s="207">
        <v>706.67999999999984</v>
      </c>
      <c r="AA9" t="s">
        <v>31</v>
      </c>
      <c r="AB9" s="207">
        <v>11</v>
      </c>
      <c r="AC9" s="207">
        <v>706.67999999999984</v>
      </c>
      <c r="AF9" t="s">
        <v>31</v>
      </c>
      <c r="AG9" s="207">
        <v>11</v>
      </c>
      <c r="AI9" t="s">
        <v>31</v>
      </c>
      <c r="AJ9" s="207">
        <v>706.67999999999984</v>
      </c>
    </row>
    <row r="10" spans="2:36" x14ac:dyDescent="0.3">
      <c r="B10" s="272" t="s">
        <v>98</v>
      </c>
      <c r="C10" s="115">
        <v>47</v>
      </c>
      <c r="D10" s="64">
        <v>43269.419999999991</v>
      </c>
      <c r="E10" s="271"/>
      <c r="F10" s="270">
        <v>1</v>
      </c>
      <c r="G10" s="269">
        <f t="shared" si="0"/>
        <v>43269.419999999991</v>
      </c>
      <c r="H10" s="267">
        <f t="shared" si="1"/>
        <v>0</v>
      </c>
      <c r="I10" s="8"/>
      <c r="J10" s="326"/>
      <c r="K10" s="326"/>
      <c r="L10" s="328"/>
      <c r="M10" s="268"/>
      <c r="N10" s="64"/>
      <c r="O10" s="267"/>
      <c r="Q10" s="36">
        <v>61200</v>
      </c>
      <c r="R10" s="8"/>
      <c r="S10" s="9"/>
      <c r="T10" s="9"/>
      <c r="U10" s="37">
        <v>3</v>
      </c>
      <c r="V10" t="s">
        <v>72</v>
      </c>
      <c r="W10" s="207">
        <v>47</v>
      </c>
      <c r="X10" s="207">
        <v>43269.419999999991</v>
      </c>
      <c r="Z10">
        <v>3</v>
      </c>
      <c r="AA10" t="s">
        <v>72</v>
      </c>
      <c r="AB10" s="207">
        <v>47</v>
      </c>
      <c r="AC10" s="207">
        <v>43269.419999999991</v>
      </c>
      <c r="AE10">
        <v>3</v>
      </c>
      <c r="AF10" t="s">
        <v>72</v>
      </c>
      <c r="AG10" s="207">
        <v>47</v>
      </c>
      <c r="AH10">
        <v>3</v>
      </c>
      <c r="AI10" t="s">
        <v>72</v>
      </c>
      <c r="AJ10" s="207">
        <v>43269.419999999991</v>
      </c>
    </row>
    <row r="11" spans="2:36" x14ac:dyDescent="0.3">
      <c r="B11" s="272" t="s">
        <v>96</v>
      </c>
      <c r="C11" s="115">
        <v>15</v>
      </c>
      <c r="D11" s="64">
        <v>13804.37</v>
      </c>
      <c r="E11" s="271"/>
      <c r="F11" s="270">
        <v>0.3</v>
      </c>
      <c r="G11" s="269">
        <f t="shared" si="0"/>
        <v>4141.3109999999997</v>
      </c>
      <c r="H11" s="267">
        <f t="shared" si="1"/>
        <v>9663.0590000000011</v>
      </c>
      <c r="I11" s="8"/>
      <c r="J11" s="326"/>
      <c r="K11" s="326"/>
      <c r="L11" s="328"/>
      <c r="M11" s="268"/>
      <c r="N11" s="64"/>
      <c r="O11" s="267"/>
      <c r="P11" s="45"/>
      <c r="Q11" s="36"/>
      <c r="R11" s="8"/>
      <c r="S11" s="9"/>
      <c r="T11" s="9"/>
      <c r="V11" t="s">
        <v>31</v>
      </c>
      <c r="W11" s="207">
        <v>15</v>
      </c>
      <c r="X11" s="207">
        <v>13804.37</v>
      </c>
      <c r="AA11" t="s">
        <v>31</v>
      </c>
      <c r="AB11" s="207">
        <v>15</v>
      </c>
      <c r="AC11" s="207">
        <v>13804.37</v>
      </c>
      <c r="AF11" t="s">
        <v>31</v>
      </c>
      <c r="AG11" s="207">
        <v>15</v>
      </c>
      <c r="AI11" t="s">
        <v>31</v>
      </c>
      <c r="AJ11" s="207">
        <v>13804.37</v>
      </c>
    </row>
    <row r="12" spans="2:36" x14ac:dyDescent="0.3">
      <c r="B12" s="286" t="s">
        <v>97</v>
      </c>
      <c r="C12" s="285">
        <v>42</v>
      </c>
      <c r="D12" s="137">
        <v>26529.889999999996</v>
      </c>
      <c r="E12" s="284"/>
      <c r="F12" s="283">
        <v>1</v>
      </c>
      <c r="G12" s="282">
        <f t="shared" si="0"/>
        <v>26529.889999999996</v>
      </c>
      <c r="H12" s="280">
        <f t="shared" si="1"/>
        <v>0</v>
      </c>
      <c r="I12" s="281"/>
      <c r="J12" s="329"/>
      <c r="K12" s="329"/>
      <c r="L12" s="331"/>
      <c r="M12" s="281"/>
      <c r="N12" s="137"/>
      <c r="O12" s="280"/>
      <c r="P12" s="45"/>
      <c r="Q12" s="36">
        <v>68000</v>
      </c>
      <c r="R12" s="8"/>
      <c r="S12" s="9"/>
      <c r="T12" s="9"/>
      <c r="U12" s="37">
        <v>4</v>
      </c>
      <c r="V12" t="s">
        <v>72</v>
      </c>
      <c r="W12" s="207">
        <v>42</v>
      </c>
      <c r="X12" s="207">
        <v>26529.889999999996</v>
      </c>
      <c r="Z12">
        <v>4</v>
      </c>
      <c r="AA12" t="s">
        <v>72</v>
      </c>
      <c r="AB12" s="207">
        <v>42</v>
      </c>
      <c r="AC12" s="207">
        <v>26529.889999999996</v>
      </c>
      <c r="AE12">
        <v>4</v>
      </c>
      <c r="AF12" t="s">
        <v>72</v>
      </c>
      <c r="AG12" s="207">
        <v>42</v>
      </c>
      <c r="AH12">
        <v>4</v>
      </c>
      <c r="AI12" t="s">
        <v>72</v>
      </c>
      <c r="AJ12" s="207">
        <v>26529.889999999996</v>
      </c>
    </row>
    <row r="13" spans="2:36" x14ac:dyDescent="0.3">
      <c r="B13" s="279" t="s">
        <v>96</v>
      </c>
      <c r="C13" s="278">
        <v>16</v>
      </c>
      <c r="D13" s="92">
        <v>12597.909999999998</v>
      </c>
      <c r="E13" s="277"/>
      <c r="F13" s="276">
        <v>0.3</v>
      </c>
      <c r="G13" s="275">
        <f t="shared" si="0"/>
        <v>3779.3729999999991</v>
      </c>
      <c r="H13" s="273">
        <f t="shared" si="1"/>
        <v>8818.5369999999984</v>
      </c>
      <c r="I13" s="274"/>
      <c r="J13" s="330"/>
      <c r="K13" s="330"/>
      <c r="L13" s="332"/>
      <c r="M13" s="274"/>
      <c r="N13" s="92"/>
      <c r="O13" s="273"/>
      <c r="P13" s="45"/>
      <c r="Q13" s="36"/>
      <c r="R13" s="8"/>
      <c r="S13" s="9"/>
      <c r="T13" s="9"/>
      <c r="V13" t="s">
        <v>31</v>
      </c>
      <c r="W13" s="207">
        <v>16</v>
      </c>
      <c r="X13" s="207">
        <v>12597.909999999998</v>
      </c>
      <c r="AA13" t="s">
        <v>31</v>
      </c>
      <c r="AB13" s="207">
        <v>16</v>
      </c>
      <c r="AC13" s="207">
        <v>12597.909999999998</v>
      </c>
      <c r="AF13" t="s">
        <v>31</v>
      </c>
      <c r="AG13" s="207">
        <v>16</v>
      </c>
      <c r="AI13" t="s">
        <v>31</v>
      </c>
      <c r="AJ13" s="207">
        <v>12597.909999999998</v>
      </c>
    </row>
    <row r="14" spans="2:36" x14ac:dyDescent="0.3">
      <c r="B14" s="272" t="s">
        <v>95</v>
      </c>
      <c r="C14" s="115">
        <v>37</v>
      </c>
      <c r="D14" s="64">
        <v>15577.47</v>
      </c>
      <c r="E14" s="271"/>
      <c r="F14" s="270">
        <v>1</v>
      </c>
      <c r="G14" s="269">
        <f t="shared" si="0"/>
        <v>15577.47</v>
      </c>
      <c r="H14" s="267">
        <f t="shared" si="1"/>
        <v>0</v>
      </c>
      <c r="I14" s="8"/>
      <c r="J14" s="326"/>
      <c r="K14" s="326"/>
      <c r="L14" s="328" t="e">
        <f>SUM(G14:G15)/J14</f>
        <v>#DIV/0!</v>
      </c>
      <c r="M14" s="268"/>
      <c r="N14" s="64" t="e">
        <f>(L14/L$3)*J14</f>
        <v>#DIV/0!</v>
      </c>
      <c r="O14" s="267" t="e">
        <f>N14-J14</f>
        <v>#DIV/0!</v>
      </c>
      <c r="P14" s="45"/>
      <c r="Q14" s="36">
        <v>34000</v>
      </c>
      <c r="R14" s="8"/>
      <c r="S14" s="9"/>
      <c r="T14" s="9"/>
      <c r="U14" s="37">
        <v>5</v>
      </c>
      <c r="V14" t="s">
        <v>72</v>
      </c>
      <c r="W14" s="207">
        <v>37</v>
      </c>
      <c r="X14" s="207">
        <v>15577.47</v>
      </c>
      <c r="Z14">
        <v>5</v>
      </c>
      <c r="AA14" t="s">
        <v>72</v>
      </c>
      <c r="AB14" s="207">
        <v>37</v>
      </c>
      <c r="AC14" s="207">
        <v>15577.47</v>
      </c>
      <c r="AE14">
        <v>5</v>
      </c>
      <c r="AF14" t="s">
        <v>72</v>
      </c>
      <c r="AG14" s="207">
        <v>37</v>
      </c>
      <c r="AH14">
        <v>5</v>
      </c>
      <c r="AI14" t="s">
        <v>72</v>
      </c>
      <c r="AJ14" s="207">
        <v>15577.47</v>
      </c>
    </row>
    <row r="15" spans="2:36" x14ac:dyDescent="0.3">
      <c r="B15" s="272" t="s">
        <v>94</v>
      </c>
      <c r="C15" s="115">
        <v>2</v>
      </c>
      <c r="D15" s="64">
        <v>656.31999999999994</v>
      </c>
      <c r="E15" s="271"/>
      <c r="F15" s="270">
        <v>0.3</v>
      </c>
      <c r="G15" s="269">
        <f t="shared" si="0"/>
        <v>196.89599999999999</v>
      </c>
      <c r="H15" s="267">
        <f t="shared" si="1"/>
        <v>459.42399999999998</v>
      </c>
      <c r="I15" s="8"/>
      <c r="J15" s="326"/>
      <c r="K15" s="326"/>
      <c r="L15" s="328"/>
      <c r="M15" s="268"/>
      <c r="N15" s="64"/>
      <c r="O15" s="267"/>
      <c r="P15" s="45"/>
      <c r="Q15" s="36"/>
      <c r="R15" s="8"/>
      <c r="S15" s="9"/>
      <c r="T15" s="9"/>
      <c r="V15" t="s">
        <v>31</v>
      </c>
      <c r="W15" s="207">
        <v>2</v>
      </c>
      <c r="X15" s="207">
        <v>656.31999999999994</v>
      </c>
      <c r="AA15" t="s">
        <v>31</v>
      </c>
      <c r="AB15" s="207">
        <v>2</v>
      </c>
      <c r="AC15" s="207">
        <v>656.31999999999994</v>
      </c>
      <c r="AF15" t="s">
        <v>31</v>
      </c>
      <c r="AG15" s="207">
        <v>2</v>
      </c>
      <c r="AI15" t="s">
        <v>31</v>
      </c>
      <c r="AJ15" s="207">
        <v>656.31999999999994</v>
      </c>
    </row>
    <row r="16" spans="2:36" x14ac:dyDescent="0.3">
      <c r="B16" s="286" t="s">
        <v>93</v>
      </c>
      <c r="C16" s="285">
        <v>20</v>
      </c>
      <c r="D16" s="137">
        <v>11500.859999999999</v>
      </c>
      <c r="E16" s="284"/>
      <c r="F16" s="283">
        <v>1</v>
      </c>
      <c r="G16" s="282">
        <f t="shared" si="0"/>
        <v>11500.859999999999</v>
      </c>
      <c r="H16" s="280">
        <f t="shared" si="1"/>
        <v>0</v>
      </c>
      <c r="I16" s="281"/>
      <c r="J16" s="329"/>
      <c r="K16" s="329"/>
      <c r="L16" s="331" t="e">
        <f>SUM(G16:G17)/J16</f>
        <v>#DIV/0!</v>
      </c>
      <c r="M16" s="281"/>
      <c r="N16" s="137" t="e">
        <f>(L16/L$3)*J16</f>
        <v>#DIV/0!</v>
      </c>
      <c r="O16" s="280" t="e">
        <f>N16-J16</f>
        <v>#DIV/0!</v>
      </c>
      <c r="P16" s="45"/>
      <c r="Q16" s="36">
        <v>27200</v>
      </c>
      <c r="R16" s="8"/>
      <c r="S16" s="9"/>
      <c r="T16" s="9"/>
      <c r="U16" s="37">
        <v>6</v>
      </c>
      <c r="V16" t="s">
        <v>72</v>
      </c>
      <c r="W16" s="207">
        <v>20</v>
      </c>
      <c r="X16" s="207">
        <v>11500.859999999999</v>
      </c>
      <c r="Z16">
        <v>6</v>
      </c>
      <c r="AA16" t="s">
        <v>72</v>
      </c>
      <c r="AB16" s="207">
        <v>20</v>
      </c>
      <c r="AC16" s="207">
        <v>11500.859999999999</v>
      </c>
      <c r="AE16">
        <v>6</v>
      </c>
      <c r="AF16" t="s">
        <v>72</v>
      </c>
      <c r="AG16" s="207">
        <v>20</v>
      </c>
      <c r="AH16">
        <v>6</v>
      </c>
      <c r="AI16" t="s">
        <v>72</v>
      </c>
      <c r="AJ16" s="207">
        <v>11500.859999999999</v>
      </c>
    </row>
    <row r="17" spans="2:36" x14ac:dyDescent="0.3">
      <c r="B17" s="279" t="s">
        <v>92</v>
      </c>
      <c r="C17" s="278">
        <v>9</v>
      </c>
      <c r="D17" s="92">
        <v>4481.53</v>
      </c>
      <c r="E17" s="277"/>
      <c r="F17" s="276">
        <v>0.3</v>
      </c>
      <c r="G17" s="275">
        <f t="shared" si="0"/>
        <v>1344.4589999999998</v>
      </c>
      <c r="H17" s="273">
        <f t="shared" si="1"/>
        <v>3137.0709999999999</v>
      </c>
      <c r="I17" s="274"/>
      <c r="J17" s="330"/>
      <c r="K17" s="330"/>
      <c r="L17" s="332"/>
      <c r="M17" s="274"/>
      <c r="N17" s="92"/>
      <c r="O17" s="273"/>
      <c r="P17" s="45"/>
      <c r="Q17" s="36"/>
      <c r="R17" s="8"/>
      <c r="S17" s="9"/>
      <c r="T17" s="9"/>
      <c r="V17" t="s">
        <v>31</v>
      </c>
      <c r="W17" s="207">
        <v>9</v>
      </c>
      <c r="X17" s="207">
        <v>4481.53</v>
      </c>
      <c r="AA17" t="s">
        <v>31</v>
      </c>
      <c r="AB17" s="207">
        <v>9</v>
      </c>
      <c r="AC17" s="207">
        <v>4481.53</v>
      </c>
      <c r="AF17" t="s">
        <v>31</v>
      </c>
      <c r="AG17" s="207">
        <v>9</v>
      </c>
      <c r="AI17" t="s">
        <v>31</v>
      </c>
      <c r="AJ17" s="207">
        <v>4481.53</v>
      </c>
    </row>
    <row r="18" spans="2:36" x14ac:dyDescent="0.3">
      <c r="B18" s="272" t="s">
        <v>91</v>
      </c>
      <c r="C18" s="115">
        <v>15</v>
      </c>
      <c r="D18" s="64">
        <v>2937.9499999999994</v>
      </c>
      <c r="E18" s="271"/>
      <c r="F18" s="270">
        <v>1</v>
      </c>
      <c r="G18" s="269">
        <f t="shared" si="0"/>
        <v>2937.9499999999994</v>
      </c>
      <c r="H18" s="267">
        <f t="shared" si="1"/>
        <v>0</v>
      </c>
      <c r="I18" s="8"/>
      <c r="J18" s="326"/>
      <c r="K18" s="326"/>
      <c r="L18" s="328" t="e">
        <f>SUM(G18:G19)/J18</f>
        <v>#DIV/0!</v>
      </c>
      <c r="M18" s="268"/>
      <c r="N18" s="64" t="e">
        <f>(L18/L$3)*J18</f>
        <v>#DIV/0!</v>
      </c>
      <c r="O18" s="267" t="e">
        <f>N18-J18</f>
        <v>#DIV/0!</v>
      </c>
      <c r="P18" s="45"/>
      <c r="Q18" s="36">
        <v>61200</v>
      </c>
      <c r="R18" s="8"/>
      <c r="S18" s="9"/>
      <c r="T18" s="9"/>
      <c r="U18" s="264">
        <v>7</v>
      </c>
      <c r="V18" s="266" t="s">
        <v>72</v>
      </c>
      <c r="W18" s="207">
        <v>15</v>
      </c>
      <c r="X18" s="207">
        <v>2937.9499999999994</v>
      </c>
      <c r="Z18">
        <v>7</v>
      </c>
      <c r="AA18" t="s">
        <v>72</v>
      </c>
      <c r="AB18" s="207">
        <v>15</v>
      </c>
      <c r="AC18" s="207">
        <v>2937.9499999999994</v>
      </c>
      <c r="AE18">
        <v>7</v>
      </c>
      <c r="AF18" t="s">
        <v>72</v>
      </c>
      <c r="AG18" s="207">
        <v>15</v>
      </c>
      <c r="AH18">
        <v>7</v>
      </c>
      <c r="AI18" t="s">
        <v>72</v>
      </c>
      <c r="AJ18" s="207">
        <v>2937.9499999999994</v>
      </c>
    </row>
    <row r="19" spans="2:36" ht="15" thickBot="1" x14ac:dyDescent="0.35">
      <c r="B19" s="272" t="s">
        <v>90</v>
      </c>
      <c r="C19" s="115"/>
      <c r="D19" s="64"/>
      <c r="E19" s="271"/>
      <c r="F19" s="270">
        <v>0.3</v>
      </c>
      <c r="G19" s="269">
        <f t="shared" si="0"/>
        <v>0</v>
      </c>
      <c r="H19" s="267">
        <f t="shared" si="1"/>
        <v>0</v>
      </c>
      <c r="I19" s="8"/>
      <c r="J19" s="333"/>
      <c r="K19" s="333"/>
      <c r="L19" s="334"/>
      <c r="M19" s="268"/>
      <c r="N19" s="64"/>
      <c r="O19" s="267"/>
      <c r="P19" s="45"/>
      <c r="Q19" s="36"/>
      <c r="R19" s="8"/>
      <c r="S19" s="9"/>
      <c r="T19" s="9"/>
      <c r="W19" s="207"/>
      <c r="X19" s="207"/>
      <c r="AB19" s="207"/>
      <c r="AC19" s="207"/>
      <c r="AG19" s="207"/>
      <c r="AJ19" s="207"/>
    </row>
    <row r="20" spans="2:36" ht="15.75" thickBot="1" x14ac:dyDescent="0.3">
      <c r="B20" s="176" t="s">
        <v>61</v>
      </c>
      <c r="C20" s="263">
        <v>324</v>
      </c>
      <c r="D20" s="162">
        <v>195272.03999999998</v>
      </c>
      <c r="E20" s="179"/>
      <c r="F20" s="262">
        <f>G20/D20</f>
        <v>0.84509649717389146</v>
      </c>
      <c r="G20" s="179">
        <f>SUM(G6:G19)</f>
        <v>165023.717</v>
      </c>
      <c r="H20" s="179">
        <f>SUM(H6:H19)</f>
        <v>30248.322999999993</v>
      </c>
      <c r="I20" s="261"/>
      <c r="J20" s="162">
        <v>750000</v>
      </c>
      <c r="K20" s="182"/>
      <c r="L20" s="260">
        <f>SUM(G20)/J20</f>
        <v>0.22003162266666668</v>
      </c>
      <c r="M20" s="247"/>
      <c r="N20" s="162">
        <f>(L20/L$3)*J20</f>
        <v>660094.86800000002</v>
      </c>
      <c r="O20" s="182">
        <f>N20-J20</f>
        <v>-89905.131999999983</v>
      </c>
      <c r="Q20" s="162">
        <f>SUM(Q6:Q19)</f>
        <v>340000</v>
      </c>
      <c r="R20" s="8"/>
      <c r="S20" s="9"/>
      <c r="T20" s="9"/>
      <c r="U20" s="37" t="s">
        <v>61</v>
      </c>
      <c r="W20" s="207">
        <v>324</v>
      </c>
      <c r="X20" s="207">
        <v>195272.03999999998</v>
      </c>
      <c r="Z20" t="s">
        <v>61</v>
      </c>
      <c r="AB20" s="207">
        <v>324</v>
      </c>
      <c r="AC20" s="207">
        <v>195272.03999999998</v>
      </c>
      <c r="AE20" t="s">
        <v>61</v>
      </c>
      <c r="AG20" s="207">
        <v>324</v>
      </c>
      <c r="AH20" t="s">
        <v>61</v>
      </c>
      <c r="AJ20" s="207">
        <v>195272.03999999998</v>
      </c>
    </row>
    <row r="21" spans="2:36" ht="15" x14ac:dyDescent="0.25">
      <c r="B21" s="183"/>
      <c r="C21" s="249"/>
      <c r="D21" s="185"/>
      <c r="E21" s="185"/>
      <c r="F21" s="185"/>
      <c r="G21" s="185"/>
      <c r="H21" s="185"/>
      <c r="I21" s="248"/>
      <c r="J21" s="185"/>
      <c r="K21" s="185"/>
      <c r="L21" s="185"/>
      <c r="M21" s="247"/>
      <c r="N21" s="185"/>
      <c r="O21" s="185"/>
      <c r="Q21" s="166"/>
      <c r="R21" s="8"/>
      <c r="S21" s="9"/>
      <c r="T21" s="9"/>
      <c r="U21" s="264"/>
      <c r="V21" s="266"/>
    </row>
    <row r="22" spans="2:36" ht="15.75" thickBot="1" x14ac:dyDescent="0.3">
      <c r="N22" s="168"/>
      <c r="Q22" s="36"/>
      <c r="R22" s="8"/>
      <c r="S22" s="9"/>
      <c r="T22" s="9"/>
      <c r="U22" s="264"/>
    </row>
    <row r="23" spans="2:36" ht="15.75" thickBot="1" x14ac:dyDescent="0.3">
      <c r="B23" s="186" t="s">
        <v>63</v>
      </c>
      <c r="C23" s="259"/>
      <c r="D23" s="188"/>
      <c r="E23" s="189"/>
      <c r="F23" s="189"/>
      <c r="G23" s="189">
        <f>G20</f>
        <v>165023.717</v>
      </c>
      <c r="H23" s="190"/>
      <c r="I23" s="258"/>
      <c r="J23" s="188">
        <f>J20</f>
        <v>750000</v>
      </c>
      <c r="K23" s="189"/>
      <c r="L23" s="257">
        <f>SUM(G23)/J23</f>
        <v>0.22003162266666668</v>
      </c>
      <c r="M23" s="247"/>
      <c r="N23" s="162">
        <f>(L23/L$3)*J23</f>
        <v>660094.86800000002</v>
      </c>
      <c r="O23" s="182">
        <f>N23-J23</f>
        <v>-89905.131999999983</v>
      </c>
      <c r="Q23" s="166"/>
      <c r="R23" s="8"/>
      <c r="S23" s="9"/>
      <c r="T23" s="9"/>
      <c r="U23" s="264"/>
    </row>
    <row r="24" spans="2:36" ht="15.75" thickBot="1" x14ac:dyDescent="0.3">
      <c r="B24" s="192" t="s">
        <v>64</v>
      </c>
      <c r="C24" s="256"/>
      <c r="D24" s="194"/>
      <c r="E24" s="185"/>
      <c r="F24" s="185"/>
      <c r="G24" s="185"/>
      <c r="H24" s="195">
        <f>H20</f>
        <v>30248.322999999993</v>
      </c>
      <c r="I24" s="255"/>
      <c r="J24" s="194"/>
      <c r="K24" s="185">
        <f>K20</f>
        <v>0</v>
      </c>
      <c r="L24" s="254" t="e">
        <f>SUM(H20)/K20</f>
        <v>#DIV/0!</v>
      </c>
      <c r="M24" s="247"/>
      <c r="N24" s="162" t="e">
        <f>(L24/L$3)*K24</f>
        <v>#DIV/0!</v>
      </c>
      <c r="O24" s="182" t="e">
        <f>N24-K24</f>
        <v>#DIV/0!</v>
      </c>
      <c r="Q24" s="166"/>
      <c r="R24" s="8"/>
      <c r="S24" s="9"/>
      <c r="T24" s="9"/>
    </row>
    <row r="25" spans="2:36" ht="15.75" thickBot="1" x14ac:dyDescent="0.3">
      <c r="B25" s="197" t="s">
        <v>65</v>
      </c>
      <c r="C25" s="253"/>
      <c r="D25" s="199">
        <f>SUM(G20:H20)</f>
        <v>195272.04</v>
      </c>
      <c r="E25" s="200"/>
      <c r="F25" s="200"/>
      <c r="G25" s="200"/>
      <c r="H25" s="201"/>
      <c r="I25" s="252"/>
      <c r="J25" s="202"/>
      <c r="K25" s="180">
        <f>SUM(J20:K20)</f>
        <v>750000</v>
      </c>
      <c r="L25" s="251">
        <f>SUM(D25)/K25</f>
        <v>0.26036271999999999</v>
      </c>
      <c r="M25" s="247"/>
      <c r="N25" s="162">
        <f>(L25/L$3)*K25</f>
        <v>781088.16</v>
      </c>
      <c r="O25" s="182">
        <f>N25-K25</f>
        <v>31088.160000000033</v>
      </c>
      <c r="P25" s="168"/>
      <c r="Q25" s="166"/>
      <c r="R25" s="8"/>
      <c r="S25" s="9"/>
    </row>
    <row r="26" spans="2:36" ht="15" x14ac:dyDescent="0.25">
      <c r="B26" s="183"/>
      <c r="C26" s="249"/>
      <c r="D26" s="185"/>
      <c r="E26" s="185"/>
      <c r="F26" s="185"/>
      <c r="G26" s="185"/>
      <c r="H26" s="185"/>
      <c r="I26" s="248"/>
      <c r="J26" s="185"/>
      <c r="K26" s="185"/>
      <c r="L26" s="247"/>
      <c r="M26" s="247"/>
      <c r="N26" s="185"/>
      <c r="O26" s="185"/>
      <c r="Q26" s="166"/>
      <c r="R26" s="8"/>
      <c r="S26" s="9"/>
      <c r="T26" s="9"/>
    </row>
    <row r="27" spans="2:36" ht="21" customHeight="1" thickBot="1" x14ac:dyDescent="0.3">
      <c r="C27" s="246"/>
      <c r="D27" s="214"/>
      <c r="E27" s="214"/>
      <c r="F27" s="214"/>
      <c r="G27" s="214"/>
      <c r="H27" s="214"/>
      <c r="I27" s="214"/>
      <c r="J27" s="214"/>
      <c r="K27" s="214"/>
      <c r="L27" s="214"/>
      <c r="M27" s="214"/>
      <c r="N27" s="214"/>
      <c r="O27" s="214"/>
      <c r="Q27" s="169"/>
      <c r="R27" s="170"/>
      <c r="S27" s="171"/>
      <c r="T27" s="171"/>
    </row>
    <row r="28" spans="2:36" ht="21" customHeight="1" x14ac:dyDescent="0.25">
      <c r="B28" s="335" t="s">
        <v>139</v>
      </c>
      <c r="C28" s="336"/>
      <c r="D28" s="336"/>
      <c r="E28" s="336"/>
      <c r="F28" s="336"/>
      <c r="G28" s="336"/>
      <c r="H28" s="336"/>
      <c r="I28" s="336"/>
      <c r="J28" s="336"/>
      <c r="K28" s="336"/>
      <c r="L28" s="336"/>
      <c r="M28" s="314"/>
      <c r="N28" s="314"/>
      <c r="O28" s="314"/>
      <c r="U28" s="264"/>
    </row>
    <row r="29" spans="2:36" s="173" customFormat="1" ht="39.75" customHeight="1" x14ac:dyDescent="0.25">
      <c r="B29" s="336" t="s">
        <v>89</v>
      </c>
      <c r="C29" s="336"/>
      <c r="D29" s="336"/>
      <c r="E29" s="336"/>
      <c r="F29" s="336"/>
      <c r="G29" s="336"/>
      <c r="H29" s="336"/>
      <c r="I29" s="336"/>
      <c r="J29" s="336"/>
      <c r="K29" s="336"/>
      <c r="L29" s="336"/>
      <c r="M29" s="314"/>
      <c r="N29" s="314"/>
      <c r="O29" s="314"/>
      <c r="Q29" s="172"/>
      <c r="R29" s="174"/>
      <c r="S29" s="175"/>
      <c r="T29" s="175"/>
      <c r="U29" s="264"/>
      <c r="V29"/>
      <c r="AE29"/>
      <c r="AF29"/>
      <c r="AG29"/>
      <c r="AH29"/>
      <c r="AI29"/>
      <c r="AJ29"/>
    </row>
    <row r="30" spans="2:36" s="173" customFormat="1" ht="39.75" hidden="1" customHeight="1" x14ac:dyDescent="0.25">
      <c r="B30" t="s">
        <v>88</v>
      </c>
      <c r="C30"/>
      <c r="D30"/>
      <c r="E30"/>
      <c r="F30"/>
      <c r="G30"/>
      <c r="H30"/>
      <c r="I30"/>
      <c r="J30" s="234"/>
      <c r="K30" s="234"/>
      <c r="L30"/>
      <c r="M30"/>
      <c r="N30"/>
      <c r="O30"/>
      <c r="Q30" s="172"/>
      <c r="S30" s="175"/>
      <c r="T30" s="175"/>
      <c r="U30" s="264"/>
      <c r="V30"/>
    </row>
    <row r="31" spans="2:36" ht="15" hidden="1" x14ac:dyDescent="0.25">
      <c r="B31" t="s">
        <v>23</v>
      </c>
      <c r="C31">
        <v>2</v>
      </c>
      <c r="D31">
        <v>827.92</v>
      </c>
      <c r="J31">
        <v>340000</v>
      </c>
      <c r="AE31" s="173"/>
      <c r="AF31" s="173"/>
      <c r="AG31" s="173"/>
      <c r="AH31" s="173"/>
      <c r="AI31" s="173"/>
      <c r="AJ31" s="173"/>
    </row>
    <row r="32" spans="2:36"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c r="S47"/>
      <c r="T47"/>
      <c r="U47"/>
    </row>
    <row r="48" spans="2:21"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ht="15" x14ac:dyDescent="0.25">
      <c r="S53"/>
      <c r="T53"/>
      <c r="U53"/>
    </row>
    <row r="54" spans="19:21" ht="15" x14ac:dyDescent="0.25">
      <c r="S54"/>
      <c r="T54"/>
      <c r="U54"/>
    </row>
    <row r="55" spans="19:21" ht="15" x14ac:dyDescent="0.25">
      <c r="S55"/>
      <c r="T55"/>
      <c r="U55"/>
    </row>
    <row r="56" spans="19:21" ht="15" x14ac:dyDescent="0.25">
      <c r="S56"/>
      <c r="T56"/>
      <c r="U56"/>
    </row>
    <row r="57" spans="19:21" ht="15" x14ac:dyDescent="0.25">
      <c r="S57"/>
      <c r="T57"/>
      <c r="U57"/>
    </row>
    <row r="58" spans="19:21" ht="15" x14ac:dyDescent="0.25">
      <c r="S58"/>
      <c r="T58"/>
      <c r="U58"/>
    </row>
    <row r="59" spans="19:21" ht="15" x14ac:dyDescent="0.25">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513" priority="15" operator="greaterThan">
      <formula>$L$3</formula>
    </cfRule>
  </conditionalFormatting>
  <conditionalFormatting sqref="L23:L24">
    <cfRule type="cellIs" dxfId="512" priority="14" operator="greaterThan">
      <formula>$L$3</formula>
    </cfRule>
  </conditionalFormatting>
  <conditionalFormatting sqref="M40:M41 L37:M37 M38 L42:M43">
    <cfRule type="cellIs" dxfId="511" priority="13" operator="greaterThan">
      <formula>$L$3</formula>
    </cfRule>
  </conditionalFormatting>
  <conditionalFormatting sqref="L40:L41">
    <cfRule type="cellIs" dxfId="510" priority="12" operator="greaterThan">
      <formula>$L$3</formula>
    </cfRule>
  </conditionalFormatting>
  <conditionalFormatting sqref="M6:M7">
    <cfRule type="cellIs" dxfId="509" priority="11" operator="greaterThan">
      <formula>$L$3</formula>
    </cfRule>
  </conditionalFormatting>
  <conditionalFormatting sqref="M10:M11">
    <cfRule type="cellIs" dxfId="508" priority="10" operator="greaterThan">
      <formula>$L$3</formula>
    </cfRule>
  </conditionalFormatting>
  <conditionalFormatting sqref="M14:M15">
    <cfRule type="cellIs" dxfId="507" priority="9" operator="greaterThan">
      <formula>$L$3</formula>
    </cfRule>
  </conditionalFormatting>
  <conditionalFormatting sqref="M18:M19">
    <cfRule type="cellIs" dxfId="506" priority="8" operator="greaterThan">
      <formula>$L$3</formula>
    </cfRule>
  </conditionalFormatting>
  <conditionalFormatting sqref="L6:L7">
    <cfRule type="cellIs" dxfId="505" priority="7" operator="greaterThan">
      <formula>$L$3</formula>
    </cfRule>
  </conditionalFormatting>
  <conditionalFormatting sqref="L8:L9">
    <cfRule type="cellIs" dxfId="504" priority="6" operator="greaterThan">
      <formula>$L$3</formula>
    </cfRule>
  </conditionalFormatting>
  <conditionalFormatting sqref="L10:L11">
    <cfRule type="cellIs" dxfId="503" priority="5" operator="greaterThan">
      <formula>$L$3</formula>
    </cfRule>
  </conditionalFormatting>
  <conditionalFormatting sqref="L12:L13">
    <cfRule type="cellIs" dxfId="502" priority="4" operator="greaterThan">
      <formula>$L$3</formula>
    </cfRule>
  </conditionalFormatting>
  <conditionalFormatting sqref="L14:L15">
    <cfRule type="cellIs" dxfId="501" priority="3" operator="greaterThan">
      <formula>$L$3</formula>
    </cfRule>
  </conditionalFormatting>
  <conditionalFormatting sqref="L16:L17">
    <cfRule type="cellIs" dxfId="500" priority="2" operator="greaterThan">
      <formula>$L$3</formula>
    </cfRule>
  </conditionalFormatting>
  <conditionalFormatting sqref="L18:L19">
    <cfRule type="cellIs" dxfId="499"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I175"/>
  <sheetViews>
    <sheetView zoomScale="70" zoomScaleNormal="70" workbookViewId="0">
      <selection activeCell="Q2" sqref="Q1:AL1048576"/>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4" customWidth="1"/>
    <col min="17" max="17" width="14" style="172" hidden="1" customWidth="1"/>
    <col min="18" max="18" width="14" hidden="1" customWidth="1"/>
    <col min="19" max="21" width="14" style="37" hidden="1" customWidth="1"/>
    <col min="22" max="34" width="14" hidden="1" customWidth="1"/>
    <col min="35" max="35" width="9.109375" hidden="1" customWidth="1"/>
  </cols>
  <sheetData>
    <row r="1" spans="2:32" ht="15.75" thickBot="1" x14ac:dyDescent="0.3">
      <c r="Q1" s="323" t="s">
        <v>0</v>
      </c>
      <c r="R1" s="324"/>
      <c r="S1" s="324"/>
      <c r="T1" s="324"/>
      <c r="U1" s="324"/>
      <c r="V1" s="324"/>
    </row>
    <row r="2" spans="2:32" ht="30" x14ac:dyDescent="0.25">
      <c r="B2" s="2"/>
      <c r="C2" s="3"/>
      <c r="D2" s="3"/>
      <c r="E2" s="3"/>
      <c r="F2" s="3"/>
      <c r="G2" s="3"/>
      <c r="H2" s="3"/>
      <c r="I2" s="3"/>
      <c r="J2" s="4" t="s">
        <v>1</v>
      </c>
      <c r="K2" s="308"/>
      <c r="L2" s="5" t="s">
        <v>2</v>
      </c>
      <c r="M2" s="6"/>
      <c r="N2" s="6"/>
      <c r="O2" s="6"/>
      <c r="Q2" s="7">
        <v>41456</v>
      </c>
      <c r="R2" s="8"/>
      <c r="S2" s="9"/>
      <c r="T2" s="9"/>
      <c r="U2" s="9"/>
      <c r="V2" s="8"/>
    </row>
    <row r="3" spans="2:32" ht="18.75" x14ac:dyDescent="0.3">
      <c r="B3" s="10" t="s">
        <v>137</v>
      </c>
      <c r="C3" s="11"/>
      <c r="D3" s="8"/>
      <c r="E3" s="8"/>
      <c r="F3" s="8"/>
      <c r="G3" s="8"/>
      <c r="H3" s="8"/>
      <c r="I3" s="8"/>
      <c r="J3" s="12">
        <v>41547</v>
      </c>
      <c r="K3" s="307"/>
      <c r="L3" s="13">
        <f>$Q$5/26</f>
        <v>0.25</v>
      </c>
      <c r="M3" s="14"/>
      <c r="N3" s="14"/>
      <c r="O3" s="14"/>
      <c r="Q3" s="15"/>
      <c r="R3" s="8"/>
      <c r="S3" s="9"/>
      <c r="T3" s="9"/>
      <c r="U3" s="9"/>
      <c r="V3" s="8"/>
    </row>
    <row r="4" spans="2:32" ht="15.75" thickBot="1" x14ac:dyDescent="0.3">
      <c r="B4" s="16"/>
      <c r="C4" s="8"/>
      <c r="D4" s="8"/>
      <c r="E4" s="8"/>
      <c r="F4" s="17"/>
      <c r="G4" s="8"/>
      <c r="H4" s="8"/>
      <c r="I4" s="8"/>
      <c r="J4" s="306"/>
      <c r="K4" s="306"/>
      <c r="L4" s="19"/>
      <c r="M4" s="8"/>
      <c r="N4" s="8"/>
      <c r="O4" s="8"/>
      <c r="Q4" s="15">
        <f>J3-Q2</f>
        <v>91</v>
      </c>
      <c r="R4" s="8"/>
      <c r="S4" s="9"/>
      <c r="T4" s="9"/>
      <c r="U4" s="8"/>
      <c r="V4" s="8"/>
    </row>
    <row r="5" spans="2:32"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6.5</v>
      </c>
      <c r="R5" s="8"/>
      <c r="S5" s="9"/>
      <c r="T5" s="9"/>
      <c r="U5"/>
    </row>
    <row r="6" spans="2:32" x14ac:dyDescent="0.3">
      <c r="B6" s="294" t="s">
        <v>115</v>
      </c>
      <c r="C6" s="293">
        <v>7</v>
      </c>
      <c r="D6" s="113">
        <v>5339.89</v>
      </c>
      <c r="E6" s="292"/>
      <c r="F6" s="291">
        <v>1</v>
      </c>
      <c r="G6" s="290">
        <f t="shared" ref="G6:G19" si="0">D6*F6</f>
        <v>5339.89</v>
      </c>
      <c r="H6" s="288">
        <f t="shared" ref="H6:H19" si="1">D6-G6</f>
        <v>0</v>
      </c>
      <c r="I6" s="289"/>
      <c r="J6" s="325"/>
      <c r="K6" s="325"/>
      <c r="L6" s="327"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row>
    <row r="7" spans="2:32" x14ac:dyDescent="0.3">
      <c r="B7" s="272" t="s">
        <v>108</v>
      </c>
      <c r="C7" s="115">
        <v>19</v>
      </c>
      <c r="D7" s="64">
        <v>21681.339999999997</v>
      </c>
      <c r="E7" s="271"/>
      <c r="F7" s="270">
        <v>0.3</v>
      </c>
      <c r="G7" s="269">
        <f t="shared" si="0"/>
        <v>6504.4019999999991</v>
      </c>
      <c r="H7" s="267">
        <f t="shared" si="1"/>
        <v>15176.937999999998</v>
      </c>
      <c r="I7" s="8"/>
      <c r="J7" s="326"/>
      <c r="K7" s="326"/>
      <c r="L7" s="328"/>
      <c r="M7" s="268"/>
      <c r="N7" s="64"/>
      <c r="O7" s="267"/>
      <c r="Q7" s="36"/>
      <c r="R7" s="8"/>
      <c r="S7" s="9"/>
      <c r="T7" s="9"/>
      <c r="U7" s="37">
        <v>1</v>
      </c>
      <c r="V7" t="s">
        <v>53</v>
      </c>
      <c r="W7">
        <v>7</v>
      </c>
      <c r="X7">
        <v>5339.89</v>
      </c>
      <c r="AA7">
        <v>1</v>
      </c>
      <c r="AB7" t="s">
        <v>53</v>
      </c>
      <c r="AC7">
        <v>7</v>
      </c>
      <c r="AD7">
        <v>1</v>
      </c>
      <c r="AE7" t="s">
        <v>53</v>
      </c>
      <c r="AF7">
        <v>5339.89</v>
      </c>
    </row>
    <row r="8" spans="2:32" x14ac:dyDescent="0.3">
      <c r="B8" s="286" t="s">
        <v>114</v>
      </c>
      <c r="C8" s="285"/>
      <c r="D8" s="137"/>
      <c r="E8" s="284"/>
      <c r="F8" s="283">
        <v>1</v>
      </c>
      <c r="G8" s="282">
        <f t="shared" si="0"/>
        <v>0</v>
      </c>
      <c r="H8" s="280">
        <f t="shared" si="1"/>
        <v>0</v>
      </c>
      <c r="I8" s="281"/>
      <c r="J8" s="329"/>
      <c r="K8" s="329"/>
      <c r="L8" s="331" t="e">
        <f>SUM(G8:G9)/J8</f>
        <v>#DIV/0!</v>
      </c>
      <c r="M8" s="281"/>
      <c r="N8" s="137" t="e">
        <f>(L8/L$3)*J8</f>
        <v>#DIV/0!</v>
      </c>
      <c r="O8" s="280" t="e">
        <f>N8-J8</f>
        <v>#DIV/0!</v>
      </c>
      <c r="Q8" s="36">
        <v>37400</v>
      </c>
      <c r="R8" s="8"/>
      <c r="S8" s="9"/>
      <c r="T8" s="9"/>
      <c r="V8" t="s">
        <v>55</v>
      </c>
      <c r="W8">
        <v>19</v>
      </c>
      <c r="X8">
        <v>21681.339999999997</v>
      </c>
      <c r="AB8" t="s">
        <v>55</v>
      </c>
      <c r="AC8">
        <v>19</v>
      </c>
      <c r="AE8" t="s">
        <v>55</v>
      </c>
      <c r="AF8">
        <v>21681.339999999997</v>
      </c>
    </row>
    <row r="9" spans="2:32" x14ac:dyDescent="0.3">
      <c r="B9" s="279" t="s">
        <v>108</v>
      </c>
      <c r="C9" s="278"/>
      <c r="D9" s="92"/>
      <c r="E9" s="277"/>
      <c r="F9" s="276">
        <v>0.3</v>
      </c>
      <c r="G9" s="275">
        <f t="shared" si="0"/>
        <v>0</v>
      </c>
      <c r="H9" s="273">
        <f t="shared" si="1"/>
        <v>0</v>
      </c>
      <c r="I9" s="274"/>
      <c r="J9" s="330"/>
      <c r="K9" s="330"/>
      <c r="L9" s="332"/>
      <c r="M9" s="274"/>
      <c r="N9" s="92"/>
      <c r="O9" s="273"/>
      <c r="Q9" s="36"/>
      <c r="R9" s="8"/>
      <c r="S9" s="9"/>
      <c r="T9" s="9"/>
    </row>
    <row r="10" spans="2:32" x14ac:dyDescent="0.3">
      <c r="B10" s="272" t="s">
        <v>113</v>
      </c>
      <c r="C10" s="115">
        <v>4</v>
      </c>
      <c r="D10" s="64">
        <v>3477.1000000000008</v>
      </c>
      <c r="E10" s="271"/>
      <c r="F10" s="270">
        <v>1</v>
      </c>
      <c r="G10" s="269">
        <f t="shared" si="0"/>
        <v>3477.1000000000008</v>
      </c>
      <c r="H10" s="267">
        <f t="shared" si="1"/>
        <v>0</v>
      </c>
      <c r="I10" s="8"/>
      <c r="J10" s="326"/>
      <c r="K10" s="326"/>
      <c r="L10" s="328" t="e">
        <f>SUM(G10:G11)/J10</f>
        <v>#DIV/0!</v>
      </c>
      <c r="M10" s="268"/>
      <c r="N10" s="64" t="e">
        <f>(L10/L$3)*J10</f>
        <v>#DIV/0!</v>
      </c>
      <c r="O10" s="267" t="e">
        <f>N10-J10</f>
        <v>#DIV/0!</v>
      </c>
      <c r="Q10" s="36">
        <v>61200</v>
      </c>
      <c r="R10" s="8"/>
      <c r="S10" s="9"/>
      <c r="T10" s="9"/>
    </row>
    <row r="11" spans="2:32" x14ac:dyDescent="0.3">
      <c r="B11" s="272" t="s">
        <v>108</v>
      </c>
      <c r="C11" s="115">
        <v>1</v>
      </c>
      <c r="D11" s="64">
        <v>471.5</v>
      </c>
      <c r="E11" s="271"/>
      <c r="F11" s="270">
        <v>0.3</v>
      </c>
      <c r="G11" s="269">
        <f t="shared" si="0"/>
        <v>141.44999999999999</v>
      </c>
      <c r="H11" s="267">
        <f t="shared" si="1"/>
        <v>330.05</v>
      </c>
      <c r="I11" s="8"/>
      <c r="J11" s="326"/>
      <c r="K11" s="326"/>
      <c r="L11" s="328"/>
      <c r="M11" s="268"/>
      <c r="N11" s="64"/>
      <c r="O11" s="267"/>
      <c r="P11" s="45"/>
      <c r="Q11" s="36"/>
      <c r="R11" s="8"/>
      <c r="S11" s="9"/>
      <c r="T11" s="9"/>
      <c r="U11" s="37">
        <v>3</v>
      </c>
      <c r="V11" t="s">
        <v>53</v>
      </c>
      <c r="W11">
        <v>4</v>
      </c>
      <c r="X11">
        <v>3477.1000000000008</v>
      </c>
      <c r="AA11">
        <v>3</v>
      </c>
      <c r="AB11" t="s">
        <v>53</v>
      </c>
      <c r="AC11">
        <v>4</v>
      </c>
      <c r="AD11">
        <v>3</v>
      </c>
      <c r="AE11" t="s">
        <v>53</v>
      </c>
      <c r="AF11">
        <v>3477.1000000000008</v>
      </c>
    </row>
    <row r="12" spans="2:32" x14ac:dyDescent="0.3">
      <c r="B12" s="286" t="s">
        <v>112</v>
      </c>
      <c r="C12" s="285">
        <v>19</v>
      </c>
      <c r="D12" s="137">
        <v>24448.859999999997</v>
      </c>
      <c r="E12" s="284"/>
      <c r="F12" s="283">
        <v>1</v>
      </c>
      <c r="G12" s="282">
        <f t="shared" si="0"/>
        <v>24448.859999999997</v>
      </c>
      <c r="H12" s="280">
        <f t="shared" si="1"/>
        <v>0</v>
      </c>
      <c r="I12" s="281"/>
      <c r="J12" s="329"/>
      <c r="K12" s="329"/>
      <c r="L12" s="331"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row>
    <row r="13" spans="2:32" x14ac:dyDescent="0.3">
      <c r="B13" s="279" t="s">
        <v>108</v>
      </c>
      <c r="C13" s="278">
        <v>2</v>
      </c>
      <c r="D13" s="92">
        <v>2377.9700000000003</v>
      </c>
      <c r="E13" s="277"/>
      <c r="F13" s="276">
        <v>0.3</v>
      </c>
      <c r="G13" s="275">
        <f t="shared" si="0"/>
        <v>713.39100000000008</v>
      </c>
      <c r="H13" s="273">
        <f t="shared" si="1"/>
        <v>1664.5790000000002</v>
      </c>
      <c r="I13" s="274"/>
      <c r="J13" s="330"/>
      <c r="K13" s="330"/>
      <c r="L13" s="332"/>
      <c r="M13" s="274"/>
      <c r="N13" s="92"/>
      <c r="O13" s="273"/>
      <c r="P13" s="45"/>
      <c r="Q13" s="36"/>
      <c r="R13" s="8"/>
      <c r="S13" s="9"/>
      <c r="T13" s="9"/>
      <c r="U13" s="37">
        <v>4</v>
      </c>
      <c r="V13" t="s">
        <v>53</v>
      </c>
      <c r="W13">
        <v>19</v>
      </c>
      <c r="X13">
        <v>24448.859999999997</v>
      </c>
      <c r="AA13">
        <v>4</v>
      </c>
      <c r="AB13" t="s">
        <v>53</v>
      </c>
      <c r="AC13">
        <v>19</v>
      </c>
      <c r="AD13">
        <v>4</v>
      </c>
      <c r="AE13" t="s">
        <v>53</v>
      </c>
      <c r="AF13">
        <v>24448.859999999997</v>
      </c>
    </row>
    <row r="14" spans="2:32" x14ac:dyDescent="0.3">
      <c r="B14" s="272" t="s">
        <v>111</v>
      </c>
      <c r="C14" s="115">
        <v>6</v>
      </c>
      <c r="D14" s="64">
        <v>5651.22</v>
      </c>
      <c r="E14" s="271"/>
      <c r="F14" s="270">
        <v>1</v>
      </c>
      <c r="G14" s="269">
        <f t="shared" si="0"/>
        <v>5651.22</v>
      </c>
      <c r="H14" s="267">
        <f t="shared" si="1"/>
        <v>0</v>
      </c>
      <c r="I14" s="8"/>
      <c r="J14" s="326"/>
      <c r="K14" s="326"/>
      <c r="L14" s="328" t="e">
        <f>SUM(G14:G15)/J14</f>
        <v>#DIV/0!</v>
      </c>
      <c r="M14" s="268"/>
      <c r="N14" s="64" t="e">
        <f>(L14/L$3)*J14</f>
        <v>#DIV/0!</v>
      </c>
      <c r="O14" s="267" t="e">
        <f>N14-J14</f>
        <v>#DIV/0!</v>
      </c>
      <c r="P14" s="45"/>
      <c r="Q14" s="36">
        <v>34000</v>
      </c>
      <c r="R14" s="8"/>
      <c r="S14" s="9"/>
      <c r="T14" s="9"/>
      <c r="V14" t="s">
        <v>55</v>
      </c>
      <c r="W14">
        <v>2</v>
      </c>
      <c r="X14">
        <v>2377.9700000000003</v>
      </c>
      <c r="AB14" t="s">
        <v>55</v>
      </c>
      <c r="AC14">
        <v>2</v>
      </c>
      <c r="AE14" t="s">
        <v>55</v>
      </c>
      <c r="AF14">
        <v>2377.9700000000003</v>
      </c>
    </row>
    <row r="15" spans="2:32" x14ac:dyDescent="0.3">
      <c r="B15" s="272" t="s">
        <v>108</v>
      </c>
      <c r="C15" s="115">
        <v>3</v>
      </c>
      <c r="D15" s="64">
        <v>1448.25</v>
      </c>
      <c r="E15" s="271"/>
      <c r="F15" s="270">
        <v>0.3</v>
      </c>
      <c r="G15" s="269">
        <f t="shared" si="0"/>
        <v>434.47499999999997</v>
      </c>
      <c r="H15" s="267">
        <f t="shared" si="1"/>
        <v>1013.7750000000001</v>
      </c>
      <c r="I15" s="8"/>
      <c r="J15" s="326"/>
      <c r="K15" s="326"/>
      <c r="L15" s="328"/>
      <c r="M15" s="268"/>
      <c r="N15" s="64"/>
      <c r="O15" s="267"/>
      <c r="P15" s="45"/>
      <c r="Q15" s="36"/>
      <c r="R15" s="8"/>
      <c r="S15" s="9"/>
      <c r="T15" s="9"/>
      <c r="U15" s="37">
        <v>5</v>
      </c>
      <c r="V15" t="s">
        <v>53</v>
      </c>
      <c r="W15">
        <v>6</v>
      </c>
      <c r="X15">
        <v>5651.22</v>
      </c>
      <c r="AA15">
        <v>5</v>
      </c>
      <c r="AB15" t="s">
        <v>53</v>
      </c>
      <c r="AC15">
        <v>6</v>
      </c>
      <c r="AD15">
        <v>5</v>
      </c>
      <c r="AE15" t="s">
        <v>53</v>
      </c>
      <c r="AF15">
        <v>5651.22</v>
      </c>
    </row>
    <row r="16" spans="2:32" x14ac:dyDescent="0.3">
      <c r="B16" s="286" t="s">
        <v>110</v>
      </c>
      <c r="C16" s="285">
        <v>7</v>
      </c>
      <c r="D16" s="137">
        <v>6134.4299999999985</v>
      </c>
      <c r="E16" s="284"/>
      <c r="F16" s="283">
        <v>1</v>
      </c>
      <c r="G16" s="282">
        <f t="shared" si="0"/>
        <v>6134.4299999999985</v>
      </c>
      <c r="H16" s="280">
        <f t="shared" si="1"/>
        <v>0</v>
      </c>
      <c r="I16" s="281"/>
      <c r="J16" s="329"/>
      <c r="K16" s="329"/>
      <c r="L16" s="331" t="e">
        <f>SUM(G16:G17)/J16</f>
        <v>#DIV/0!</v>
      </c>
      <c r="M16" s="281"/>
      <c r="N16" s="137" t="e">
        <f>(L16/L$3)*J16</f>
        <v>#DIV/0!</v>
      </c>
      <c r="O16" s="280" t="e">
        <f>N16-J16</f>
        <v>#DIV/0!</v>
      </c>
      <c r="P16" s="45"/>
      <c r="Q16" s="36">
        <v>27200</v>
      </c>
      <c r="R16" s="8"/>
      <c r="S16" s="9"/>
      <c r="T16" s="9"/>
      <c r="V16" t="s">
        <v>55</v>
      </c>
      <c r="W16">
        <v>3</v>
      </c>
      <c r="X16">
        <v>1448.25</v>
      </c>
      <c r="AB16" t="s">
        <v>55</v>
      </c>
      <c r="AC16">
        <v>3</v>
      </c>
      <c r="AE16" t="s">
        <v>55</v>
      </c>
      <c r="AF16">
        <v>1448.25</v>
      </c>
    </row>
    <row r="17" spans="2:32" x14ac:dyDescent="0.3">
      <c r="B17" s="279" t="s">
        <v>108</v>
      </c>
      <c r="C17" s="278"/>
      <c r="D17" s="92"/>
      <c r="E17" s="277"/>
      <c r="F17" s="276">
        <v>0.3</v>
      </c>
      <c r="G17" s="275">
        <f t="shared" si="0"/>
        <v>0</v>
      </c>
      <c r="H17" s="273">
        <f t="shared" si="1"/>
        <v>0</v>
      </c>
      <c r="I17" s="274"/>
      <c r="J17" s="330"/>
      <c r="K17" s="330"/>
      <c r="L17" s="332"/>
      <c r="M17" s="274"/>
      <c r="N17" s="92"/>
      <c r="O17" s="273"/>
      <c r="P17" s="45"/>
      <c r="Q17" s="36"/>
      <c r="R17" s="8"/>
      <c r="S17" s="9"/>
      <c r="T17" s="9"/>
      <c r="U17" s="37">
        <v>6</v>
      </c>
      <c r="V17" t="s">
        <v>53</v>
      </c>
      <c r="W17">
        <v>7</v>
      </c>
      <c r="X17">
        <v>6134.4299999999985</v>
      </c>
      <c r="AA17">
        <v>6</v>
      </c>
      <c r="AB17" t="s">
        <v>53</v>
      </c>
      <c r="AC17">
        <v>7</v>
      </c>
      <c r="AD17">
        <v>6</v>
      </c>
      <c r="AE17" t="s">
        <v>53</v>
      </c>
      <c r="AF17">
        <v>6134.4299999999985</v>
      </c>
    </row>
    <row r="18" spans="2:32" x14ac:dyDescent="0.3">
      <c r="B18" s="272" t="s">
        <v>109</v>
      </c>
      <c r="C18" s="115">
        <v>2</v>
      </c>
      <c r="D18" s="64">
        <v>130</v>
      </c>
      <c r="E18" s="271"/>
      <c r="F18" s="270">
        <v>1</v>
      </c>
      <c r="G18" s="269">
        <f t="shared" si="0"/>
        <v>130</v>
      </c>
      <c r="H18" s="267">
        <f t="shared" si="1"/>
        <v>0</v>
      </c>
      <c r="I18" s="8"/>
      <c r="J18" s="326"/>
      <c r="K18" s="326"/>
      <c r="L18" s="328" t="e">
        <f>SUM(G18:G19)/J18</f>
        <v>#DIV/0!</v>
      </c>
      <c r="M18" s="268"/>
      <c r="N18" s="64" t="e">
        <f>(L18/L$3)*J18</f>
        <v>#DIV/0!</v>
      </c>
      <c r="O18" s="267" t="e">
        <f>N18-J18</f>
        <v>#DIV/0!</v>
      </c>
      <c r="P18" s="45"/>
      <c r="Q18" s="36">
        <v>61200</v>
      </c>
      <c r="R18" s="8"/>
      <c r="S18" s="9"/>
      <c r="T18" s="9"/>
    </row>
    <row r="19" spans="2:32" ht="15" thickBot="1" x14ac:dyDescent="0.35">
      <c r="B19" s="272" t="s">
        <v>108</v>
      </c>
      <c r="C19" s="115">
        <v>4</v>
      </c>
      <c r="D19" s="64">
        <v>18364.199999999993</v>
      </c>
      <c r="E19" s="271"/>
      <c r="F19" s="270">
        <v>0.3</v>
      </c>
      <c r="G19" s="269">
        <f t="shared" si="0"/>
        <v>5509.2599999999975</v>
      </c>
      <c r="H19" s="267">
        <f t="shared" si="1"/>
        <v>12854.939999999995</v>
      </c>
      <c r="I19" s="8"/>
      <c r="J19" s="333"/>
      <c r="K19" s="333"/>
      <c r="L19" s="334"/>
      <c r="M19" s="268"/>
      <c r="N19" s="64"/>
      <c r="O19" s="267"/>
      <c r="P19" s="45"/>
      <c r="Q19" s="36"/>
      <c r="R19" s="8"/>
      <c r="S19" s="9"/>
      <c r="T19" s="9"/>
      <c r="U19" s="37">
        <v>7</v>
      </c>
      <c r="V19" t="s">
        <v>53</v>
      </c>
      <c r="W19">
        <v>2</v>
      </c>
      <c r="X19">
        <v>130</v>
      </c>
      <c r="AA19">
        <v>7</v>
      </c>
      <c r="AB19" t="s">
        <v>53</v>
      </c>
      <c r="AC19">
        <v>2</v>
      </c>
      <c r="AD19">
        <v>7</v>
      </c>
      <c r="AE19" t="s">
        <v>53</v>
      </c>
      <c r="AF19">
        <v>130</v>
      </c>
    </row>
    <row r="20" spans="2:32" ht="15.75" thickBot="1" x14ac:dyDescent="0.3">
      <c r="B20" s="176" t="s">
        <v>61</v>
      </c>
      <c r="C20" s="263">
        <v>74</v>
      </c>
      <c r="D20" s="162">
        <v>89524.76</v>
      </c>
      <c r="E20" s="179"/>
      <c r="F20" s="262">
        <f>G20/D20</f>
        <v>0.65327712690880158</v>
      </c>
      <c r="G20" s="179">
        <f>SUM(G6:G19)</f>
        <v>58484.477999999996</v>
      </c>
      <c r="H20" s="179">
        <f>SUM(H6:H19)</f>
        <v>31040.281999999996</v>
      </c>
      <c r="I20" s="261"/>
      <c r="J20" s="162">
        <v>300000</v>
      </c>
      <c r="K20" s="182"/>
      <c r="L20" s="260">
        <f>SUM(G20)/J20</f>
        <v>0.19494825999999998</v>
      </c>
      <c r="M20" s="247"/>
      <c r="N20" s="162">
        <f>(L20/L$3)*J20</f>
        <v>233937.91199999998</v>
      </c>
      <c r="O20" s="182">
        <f>N20-J20</f>
        <v>-66062.088000000018</v>
      </c>
      <c r="Q20" s="162">
        <f>SUM(Q6:Q19)</f>
        <v>340000</v>
      </c>
      <c r="R20" s="8"/>
      <c r="S20" s="9"/>
      <c r="T20" s="9"/>
      <c r="V20" t="s">
        <v>55</v>
      </c>
      <c r="W20">
        <v>4</v>
      </c>
      <c r="X20">
        <v>18364.199999999993</v>
      </c>
      <c r="AB20" t="s">
        <v>55</v>
      </c>
      <c r="AC20">
        <v>4</v>
      </c>
      <c r="AE20" t="s">
        <v>55</v>
      </c>
      <c r="AF20">
        <v>18364.199999999993</v>
      </c>
    </row>
    <row r="21" spans="2:32" ht="15" x14ac:dyDescent="0.25">
      <c r="B21" s="183"/>
      <c r="C21" s="249"/>
      <c r="D21" s="185"/>
      <c r="E21" s="185"/>
      <c r="F21" s="185"/>
      <c r="G21" s="185"/>
      <c r="H21" s="185"/>
      <c r="I21" s="248"/>
      <c r="J21" s="185"/>
      <c r="K21" s="185"/>
      <c r="L21" s="185"/>
      <c r="M21" s="247"/>
      <c r="N21" s="185"/>
      <c r="O21" s="185"/>
      <c r="Q21" s="166"/>
      <c r="R21" s="8"/>
      <c r="S21" s="9"/>
      <c r="T21" s="9"/>
      <c r="U21" s="37" t="s">
        <v>61</v>
      </c>
      <c r="W21">
        <v>74</v>
      </c>
      <c r="X21">
        <v>89524.76</v>
      </c>
      <c r="AA21" t="s">
        <v>61</v>
      </c>
      <c r="AC21">
        <v>74</v>
      </c>
      <c r="AD21" t="s">
        <v>61</v>
      </c>
      <c r="AF21">
        <v>89524.76</v>
      </c>
    </row>
    <row r="22" spans="2:32" ht="15.75" thickBot="1" x14ac:dyDescent="0.3">
      <c r="N22" s="168"/>
      <c r="Q22" s="36"/>
      <c r="R22" s="8"/>
      <c r="S22" s="9"/>
      <c r="T22" s="9"/>
    </row>
    <row r="23" spans="2:32" ht="15.75" thickBot="1" x14ac:dyDescent="0.3">
      <c r="B23" s="186" t="s">
        <v>63</v>
      </c>
      <c r="C23" s="259"/>
      <c r="D23" s="188"/>
      <c r="E23" s="189"/>
      <c r="F23" s="189"/>
      <c r="G23" s="189">
        <f>G20</f>
        <v>58484.477999999996</v>
      </c>
      <c r="H23" s="190"/>
      <c r="I23" s="258"/>
      <c r="J23" s="188">
        <f>J20</f>
        <v>300000</v>
      </c>
      <c r="K23" s="189"/>
      <c r="L23" s="257">
        <f>SUM(G23)/J23</f>
        <v>0.19494825999999998</v>
      </c>
      <c r="M23" s="247"/>
      <c r="N23" s="162">
        <f>(L23/L$3)*J23</f>
        <v>233937.91199999998</v>
      </c>
      <c r="O23" s="182">
        <f>N23-J23</f>
        <v>-66062.088000000018</v>
      </c>
      <c r="Q23" s="166"/>
      <c r="R23" s="8"/>
      <c r="S23" s="9"/>
      <c r="T23" s="9"/>
    </row>
    <row r="24" spans="2:32" ht="15.75" thickBot="1" x14ac:dyDescent="0.3">
      <c r="B24" s="192" t="s">
        <v>64</v>
      </c>
      <c r="C24" s="256"/>
      <c r="D24" s="194"/>
      <c r="E24" s="185"/>
      <c r="F24" s="185"/>
      <c r="G24" s="185"/>
      <c r="H24" s="195">
        <f>H20</f>
        <v>31040.281999999996</v>
      </c>
      <c r="I24" s="255"/>
      <c r="J24" s="194"/>
      <c r="K24" s="185">
        <f>K20</f>
        <v>0</v>
      </c>
      <c r="L24" s="254" t="e">
        <f>SUM(H20)/K20</f>
        <v>#DIV/0!</v>
      </c>
      <c r="M24" s="247"/>
      <c r="N24" s="162" t="e">
        <f>(L24/L$3)*K24</f>
        <v>#DIV/0!</v>
      </c>
      <c r="O24" s="182" t="e">
        <f>N24-K24</f>
        <v>#DIV/0!</v>
      </c>
      <c r="Q24" s="166"/>
      <c r="R24" s="8"/>
      <c r="S24" s="9"/>
      <c r="T24" s="9"/>
    </row>
    <row r="25" spans="2:32" ht="15.75" thickBot="1" x14ac:dyDescent="0.3">
      <c r="B25" s="197" t="s">
        <v>65</v>
      </c>
      <c r="C25" s="253"/>
      <c r="D25" s="199">
        <f>SUM(G20:H20)</f>
        <v>89524.76</v>
      </c>
      <c r="E25" s="200"/>
      <c r="F25" s="200"/>
      <c r="G25" s="200"/>
      <c r="H25" s="201"/>
      <c r="I25" s="252"/>
      <c r="J25" s="202"/>
      <c r="K25" s="180">
        <f>SUM(J20:K20)</f>
        <v>300000</v>
      </c>
      <c r="L25" s="251">
        <f>SUM(D25)/K25</f>
        <v>0.29841586666666664</v>
      </c>
      <c r="M25" s="247"/>
      <c r="N25" s="162">
        <f>(L25/L$3)*K25</f>
        <v>358099.04</v>
      </c>
      <c r="O25" s="182">
        <f>N25-K25</f>
        <v>58099.039999999979</v>
      </c>
      <c r="P25" s="168"/>
      <c r="Q25" s="166"/>
      <c r="R25" s="8"/>
      <c r="S25" s="9"/>
    </row>
    <row r="26" spans="2:32" ht="15" x14ac:dyDescent="0.25">
      <c r="B26" s="183"/>
      <c r="C26" s="249"/>
      <c r="D26" s="185"/>
      <c r="E26" s="185"/>
      <c r="F26" s="185"/>
      <c r="G26" s="185"/>
      <c r="H26" s="185"/>
      <c r="I26" s="248"/>
      <c r="J26" s="185"/>
      <c r="K26" s="185"/>
      <c r="L26" s="247"/>
      <c r="M26" s="247"/>
      <c r="N26" s="185"/>
      <c r="O26" s="185"/>
      <c r="Q26" s="166"/>
      <c r="R26" s="8"/>
      <c r="S26" s="9"/>
      <c r="T26" s="9"/>
    </row>
    <row r="27" spans="2:32" ht="21" customHeight="1" thickBot="1" x14ac:dyDescent="0.3">
      <c r="C27" s="246"/>
      <c r="D27" s="214"/>
      <c r="E27" s="214"/>
      <c r="F27" s="214"/>
      <c r="G27" s="214"/>
      <c r="H27" s="214"/>
      <c r="I27" s="214"/>
      <c r="J27" s="214"/>
      <c r="K27" s="214"/>
      <c r="L27" s="214"/>
      <c r="M27" s="214"/>
      <c r="N27" s="214"/>
      <c r="O27" s="214"/>
      <c r="Q27" s="169"/>
      <c r="R27" s="170"/>
      <c r="S27" s="171"/>
      <c r="T27" s="171"/>
    </row>
    <row r="28" spans="2:32" ht="21" customHeight="1" x14ac:dyDescent="0.25">
      <c r="B28" s="335" t="s">
        <v>139</v>
      </c>
      <c r="C28" s="336"/>
      <c r="D28" s="336"/>
      <c r="E28" s="336"/>
      <c r="F28" s="336"/>
      <c r="G28" s="336"/>
      <c r="H28" s="336"/>
      <c r="I28" s="336"/>
      <c r="J28" s="336"/>
      <c r="K28" s="336"/>
      <c r="L28" s="336"/>
      <c r="M28" s="314"/>
      <c r="N28" s="314"/>
      <c r="O28" s="314"/>
    </row>
    <row r="29" spans="2:32" s="173" customFormat="1" ht="39.75" customHeight="1" x14ac:dyDescent="0.25">
      <c r="B29" s="336" t="s">
        <v>107</v>
      </c>
      <c r="C29" s="336"/>
      <c r="D29" s="336"/>
      <c r="E29" s="336"/>
      <c r="F29" s="336"/>
      <c r="G29" s="336"/>
      <c r="H29" s="336"/>
      <c r="I29" s="336"/>
      <c r="J29" s="336"/>
      <c r="K29" s="336"/>
      <c r="L29" s="336"/>
      <c r="M29" s="314"/>
      <c r="N29" s="314"/>
      <c r="O29" s="314"/>
      <c r="Q29" s="172"/>
      <c r="R29" s="174"/>
      <c r="S29" s="175"/>
      <c r="T29" s="175"/>
      <c r="U29" s="37"/>
      <c r="V29"/>
      <c r="W29"/>
      <c r="X29"/>
      <c r="Y29"/>
      <c r="AA29"/>
      <c r="AB29"/>
      <c r="AC29"/>
      <c r="AD29"/>
      <c r="AE29"/>
      <c r="AF29"/>
    </row>
    <row r="30" spans="2:32"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row>
    <row r="31" spans="2:32" ht="15" hidden="1" x14ac:dyDescent="0.25">
      <c r="B31" t="s">
        <v>23</v>
      </c>
      <c r="C31">
        <v>2</v>
      </c>
      <c r="D31">
        <v>827.92</v>
      </c>
      <c r="J31">
        <v>340000</v>
      </c>
    </row>
    <row r="32" spans="2:32" ht="15" hidden="1" x14ac:dyDescent="0.25">
      <c r="B32" t="s">
        <v>87</v>
      </c>
      <c r="C32">
        <v>83</v>
      </c>
      <c r="D32">
        <v>133749.80999999991</v>
      </c>
      <c r="J32">
        <v>250000</v>
      </c>
      <c r="U32"/>
      <c r="X32" s="173"/>
      <c r="Y32" s="173"/>
    </row>
    <row r="33" spans="2:32" ht="15" hidden="1" x14ac:dyDescent="0.25">
      <c r="X33" s="173"/>
      <c r="Y33" s="173"/>
    </row>
    <row r="34" spans="2:32"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2" ht="15" hidden="1" x14ac:dyDescent="0.25">
      <c r="U35"/>
      <c r="AE35" s="173"/>
      <c r="AF35" s="173"/>
    </row>
    <row r="36" spans="2:32" ht="15" hidden="1" x14ac:dyDescent="0.25">
      <c r="U36"/>
      <c r="AE36" s="173"/>
      <c r="AF36" s="173"/>
    </row>
    <row r="37" spans="2:32"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2" ht="15" hidden="1" x14ac:dyDescent="0.25">
      <c r="B38" s="183"/>
      <c r="C38" s="249"/>
      <c r="D38" s="185"/>
      <c r="E38" s="185"/>
      <c r="F38" s="185"/>
      <c r="G38" s="185"/>
      <c r="H38" s="185"/>
      <c r="I38" s="248"/>
      <c r="J38" s="185"/>
      <c r="K38" s="185"/>
      <c r="L38" s="185"/>
      <c r="M38" s="247"/>
      <c r="N38" s="185"/>
      <c r="O38" s="185"/>
      <c r="U38"/>
      <c r="AA38" s="173"/>
      <c r="AB38" s="173"/>
      <c r="AC38" s="173"/>
      <c r="AD38" s="173"/>
    </row>
    <row r="39" spans="2:32" ht="15" hidden="1" x14ac:dyDescent="0.25">
      <c r="AA39" s="173"/>
      <c r="AB39" s="173"/>
      <c r="AC39" s="173"/>
      <c r="AD39" s="173"/>
    </row>
    <row r="40" spans="2:32"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2"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2"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2" ht="15" hidden="1" x14ac:dyDescent="0.25">
      <c r="B43" s="183"/>
      <c r="C43" s="249"/>
      <c r="D43" s="185"/>
      <c r="E43" s="185"/>
      <c r="F43" s="185"/>
      <c r="G43" s="185"/>
      <c r="H43" s="185"/>
      <c r="I43" s="248"/>
      <c r="J43" s="185"/>
      <c r="K43" s="185"/>
      <c r="L43" s="247"/>
      <c r="M43" s="247"/>
      <c r="N43" s="185"/>
      <c r="O43" s="185"/>
      <c r="U43"/>
    </row>
    <row r="44" spans="2:32"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2" ht="15" hidden="1" x14ac:dyDescent="0.25">
      <c r="U45"/>
    </row>
    <row r="46" spans="2:32" ht="15" x14ac:dyDescent="0.25">
      <c r="D46" s="168">
        <f>D20-D25</f>
        <v>0</v>
      </c>
      <c r="U46"/>
    </row>
    <row r="47" spans="2:32" ht="15" x14ac:dyDescent="0.25">
      <c r="C47" s="205"/>
    </row>
    <row r="48" spans="2:32" ht="15" x14ac:dyDescent="0.25">
      <c r="U48"/>
    </row>
    <row r="49" spans="20:23" ht="15" x14ac:dyDescent="0.25">
      <c r="U49"/>
    </row>
    <row r="50" spans="20:23" ht="15" x14ac:dyDescent="0.25">
      <c r="U50"/>
    </row>
    <row r="52" spans="20:23" ht="15" x14ac:dyDescent="0.25">
      <c r="U52"/>
    </row>
    <row r="53" spans="20:23" ht="15.75" thickBot="1" x14ac:dyDescent="0.3">
      <c r="U53"/>
    </row>
    <row r="54" spans="20:23" ht="15" x14ac:dyDescent="0.25">
      <c r="T54" s="245" t="s">
        <v>86</v>
      </c>
    </row>
    <row r="55" spans="20:23" ht="15" x14ac:dyDescent="0.25">
      <c r="T55" s="244">
        <v>1</v>
      </c>
      <c r="U55"/>
    </row>
    <row r="56" spans="20:23" ht="15" x14ac:dyDescent="0.25">
      <c r="T56" s="244">
        <v>2</v>
      </c>
      <c r="U56"/>
    </row>
    <row r="57" spans="20:23" ht="15" x14ac:dyDescent="0.25">
      <c r="T57" s="244">
        <v>3</v>
      </c>
      <c r="U57"/>
    </row>
    <row r="58" spans="20:23" ht="15" x14ac:dyDescent="0.25">
      <c r="T58" s="244">
        <v>4</v>
      </c>
      <c r="U58"/>
    </row>
    <row r="59" spans="20:23" ht="15" x14ac:dyDescent="0.25">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498" priority="15" operator="greaterThan">
      <formula>$L$3</formula>
    </cfRule>
  </conditionalFormatting>
  <conditionalFormatting sqref="L23:L24">
    <cfRule type="cellIs" dxfId="497" priority="14" operator="greaterThan">
      <formula>$L$3</formula>
    </cfRule>
  </conditionalFormatting>
  <conditionalFormatting sqref="M40:M41 L37:M37 M38 L42:M43">
    <cfRule type="cellIs" dxfId="496" priority="13" operator="greaterThan">
      <formula>$L$3</formula>
    </cfRule>
  </conditionalFormatting>
  <conditionalFormatting sqref="L40:L41">
    <cfRule type="cellIs" dxfId="495" priority="12" operator="greaterThan">
      <formula>$L$3</formula>
    </cfRule>
  </conditionalFormatting>
  <conditionalFormatting sqref="M6:M7">
    <cfRule type="cellIs" dxfId="494" priority="11" operator="greaterThan">
      <formula>$L$3</formula>
    </cfRule>
  </conditionalFormatting>
  <conditionalFormatting sqref="M10:M11">
    <cfRule type="cellIs" dxfId="493" priority="10" operator="greaterThan">
      <formula>$L$3</formula>
    </cfRule>
  </conditionalFormatting>
  <conditionalFormatting sqref="M14:M15">
    <cfRule type="cellIs" dxfId="492" priority="9" operator="greaterThan">
      <formula>$L$3</formula>
    </cfRule>
  </conditionalFormatting>
  <conditionalFormatting sqref="M18:M19">
    <cfRule type="cellIs" dxfId="491" priority="8" operator="greaterThan">
      <formula>$L$3</formula>
    </cfRule>
  </conditionalFormatting>
  <conditionalFormatting sqref="L6:L7">
    <cfRule type="cellIs" dxfId="490" priority="7" operator="greaterThan">
      <formula>$L$3</formula>
    </cfRule>
  </conditionalFormatting>
  <conditionalFormatting sqref="L8:L9">
    <cfRule type="cellIs" dxfId="489" priority="6" operator="greaterThan">
      <formula>$L$3</formula>
    </cfRule>
  </conditionalFormatting>
  <conditionalFormatting sqref="L10:L11">
    <cfRule type="cellIs" dxfId="488" priority="5" operator="greaterThan">
      <formula>$L$3</formula>
    </cfRule>
  </conditionalFormatting>
  <conditionalFormatting sqref="L12:L13">
    <cfRule type="cellIs" dxfId="487" priority="4" operator="greaterThan">
      <formula>$L$3</formula>
    </cfRule>
  </conditionalFormatting>
  <conditionalFormatting sqref="L14:L15">
    <cfRule type="cellIs" dxfId="486" priority="3" operator="greaterThan">
      <formula>$L$3</formula>
    </cfRule>
  </conditionalFormatting>
  <conditionalFormatting sqref="L16:L17">
    <cfRule type="cellIs" dxfId="485" priority="2" operator="greaterThan">
      <formula>$L$3</formula>
    </cfRule>
  </conditionalFormatting>
  <conditionalFormatting sqref="L18:L19">
    <cfRule type="cellIs" dxfId="484" priority="1" operator="greaterThan">
      <formula>$L$3</formula>
    </cfRule>
  </conditionalFormatting>
  <pageMargins left="0.2" right="0.2" top="0.75" bottom="0.75" header="0.3" footer="0.3"/>
  <pageSetup scale="92" orientation="landscape"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255"/>
  <sheetViews>
    <sheetView topLeftCell="A4" zoomScale="70" zoomScaleNormal="70" workbookViewId="0">
      <selection activeCell="Q2" sqref="Q1:AL1048576"/>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1.33203125" customWidth="1"/>
    <col min="12" max="12" width="22.5546875" customWidth="1"/>
    <col min="13" max="13" width="22.5546875" style="172" customWidth="1"/>
    <col min="14" max="14" width="22.5546875" customWidth="1"/>
    <col min="15" max="17" width="22.5546875" style="37" hidden="1" customWidth="1"/>
    <col min="18" max="33" width="22.5546875" hidden="1" customWidth="1"/>
    <col min="34" max="34" width="22.5546875" customWidth="1"/>
    <col min="35" max="46" width="21.33203125" customWidth="1"/>
  </cols>
  <sheetData>
    <row r="1" spans="1:33" ht="15.75" thickBot="1" x14ac:dyDescent="0.3">
      <c r="M1" s="347" t="s">
        <v>0</v>
      </c>
      <c r="N1" s="348"/>
      <c r="O1" s="348"/>
      <c r="P1" s="348"/>
      <c r="Q1" s="348"/>
      <c r="R1" s="348"/>
      <c r="S1" s="348"/>
      <c r="T1" s="348"/>
      <c r="U1" s="348"/>
      <c r="V1" s="348"/>
      <c r="W1" s="348"/>
      <c r="X1" s="348"/>
      <c r="Y1" s="348"/>
      <c r="Z1" s="348"/>
      <c r="AA1" s="348"/>
      <c r="AB1" s="348"/>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136</v>
      </c>
      <c r="B3" s="11"/>
      <c r="C3" s="8"/>
      <c r="D3" s="8"/>
      <c r="E3" s="8"/>
      <c r="F3" s="8"/>
      <c r="G3" s="12">
        <v>41547</v>
      </c>
      <c r="H3" s="13">
        <f>$M$5/26</f>
        <v>0.25</v>
      </c>
      <c r="I3" s="14"/>
      <c r="J3" s="216"/>
      <c r="K3" s="14"/>
      <c r="M3" s="15"/>
      <c r="N3" s="8"/>
      <c r="O3" s="9"/>
      <c r="P3" s="9"/>
      <c r="Q3" s="9"/>
      <c r="R3" s="8"/>
    </row>
    <row r="4" spans="1:33" ht="15.75" thickBot="1" x14ac:dyDescent="0.3">
      <c r="A4" s="16"/>
      <c r="B4" s="8"/>
      <c r="C4" s="8"/>
      <c r="D4" s="17"/>
      <c r="E4" s="8"/>
      <c r="F4" s="8"/>
      <c r="G4" s="18"/>
      <c r="H4" s="19"/>
      <c r="I4" s="8"/>
      <c r="J4" s="217"/>
      <c r="K4" s="8"/>
      <c r="M4" s="15">
        <f>G3-M2</f>
        <v>91</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6.5</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58</v>
      </c>
      <c r="C6" s="30">
        <f t="shared" ref="C6:C12" si="0">Q9</f>
        <v>2912.0499999999988</v>
      </c>
      <c r="D6" s="31">
        <v>1</v>
      </c>
      <c r="E6" s="30">
        <f t="shared" ref="E6:E12" si="1">C6*D6</f>
        <v>2912.0499999999988</v>
      </c>
      <c r="F6" s="30">
        <f t="shared" ref="F6:F12" si="2">C6-E6</f>
        <v>0</v>
      </c>
      <c r="G6" s="32"/>
      <c r="H6" s="33"/>
      <c r="I6" s="34"/>
      <c r="J6" s="218"/>
      <c r="K6" s="35"/>
      <c r="M6" s="8"/>
      <c r="N6" s="8"/>
      <c r="O6" t="s">
        <v>71</v>
      </c>
      <c r="P6">
        <v>1</v>
      </c>
      <c r="Q6">
        <v>14578.98000000002</v>
      </c>
      <c r="T6" s="16" t="s">
        <v>71</v>
      </c>
      <c r="U6" s="8">
        <f>Y6</f>
        <v>1</v>
      </c>
      <c r="V6" s="310">
        <f t="shared" ref="V6:V31" si="3">AA6</f>
        <v>14578.98000000002</v>
      </c>
      <c r="X6" t="s">
        <v>71</v>
      </c>
      <c r="Y6">
        <v>1</v>
      </c>
      <c r="Z6" t="s">
        <v>71</v>
      </c>
      <c r="AA6">
        <v>14578.98000000002</v>
      </c>
      <c r="AB6" s="19"/>
      <c r="AD6" t="s">
        <v>71</v>
      </c>
      <c r="AE6">
        <v>1</v>
      </c>
      <c r="AF6" t="s">
        <v>71</v>
      </c>
      <c r="AG6">
        <v>14578.98000000002</v>
      </c>
    </row>
    <row r="7" spans="1:33" ht="15" x14ac:dyDescent="0.25">
      <c r="A7" s="38" t="s">
        <v>16</v>
      </c>
      <c r="B7" s="39">
        <f t="shared" ref="B7:B12" si="4">P10</f>
        <v>28</v>
      </c>
      <c r="C7" s="40">
        <f t="shared" si="0"/>
        <v>3062.7899999999981</v>
      </c>
      <c r="D7" s="41">
        <v>1</v>
      </c>
      <c r="E7" s="40">
        <f t="shared" si="1"/>
        <v>3062.7899999999981</v>
      </c>
      <c r="F7" s="40">
        <f t="shared" si="2"/>
        <v>0</v>
      </c>
      <c r="G7" s="32"/>
      <c r="H7" s="33"/>
      <c r="I7" s="34"/>
      <c r="J7" s="218"/>
      <c r="K7" s="35"/>
      <c r="M7" s="8"/>
      <c r="N7" s="8"/>
      <c r="O7" t="s">
        <v>24</v>
      </c>
      <c r="P7">
        <v>24</v>
      </c>
      <c r="Q7">
        <v>25185.860000000004</v>
      </c>
      <c r="T7" s="16" t="s">
        <v>24</v>
      </c>
      <c r="U7" s="8">
        <f t="shared" ref="U7:U31" si="5">Y7</f>
        <v>24</v>
      </c>
      <c r="V7" s="310">
        <f t="shared" si="3"/>
        <v>25185.860000000004</v>
      </c>
      <c r="X7" t="s">
        <v>24</v>
      </c>
      <c r="Y7">
        <v>24</v>
      </c>
      <c r="Z7" t="s">
        <v>24</v>
      </c>
      <c r="AA7">
        <v>25185.860000000004</v>
      </c>
      <c r="AB7" s="19"/>
      <c r="AD7" t="s">
        <v>24</v>
      </c>
      <c r="AE7">
        <v>24</v>
      </c>
      <c r="AF7" t="s">
        <v>24</v>
      </c>
      <c r="AG7">
        <v>25185.860000000004</v>
      </c>
    </row>
    <row r="8" spans="1:33" ht="15" x14ac:dyDescent="0.25">
      <c r="A8" s="38" t="s">
        <v>17</v>
      </c>
      <c r="B8" s="39">
        <f t="shared" si="4"/>
        <v>27</v>
      </c>
      <c r="C8" s="40">
        <f t="shared" si="0"/>
        <v>5818.170000000001</v>
      </c>
      <c r="D8" s="41">
        <v>0.3</v>
      </c>
      <c r="E8" s="40">
        <f t="shared" si="1"/>
        <v>1745.4510000000002</v>
      </c>
      <c r="F8" s="40">
        <f t="shared" si="2"/>
        <v>4072.719000000001</v>
      </c>
      <c r="G8" s="32"/>
      <c r="H8" s="33"/>
      <c r="I8" s="34"/>
      <c r="J8" s="218"/>
      <c r="K8" s="35"/>
      <c r="M8" s="8"/>
      <c r="N8" s="8"/>
      <c r="O8" t="s">
        <v>76</v>
      </c>
      <c r="P8">
        <v>1</v>
      </c>
      <c r="Q8">
        <v>2781.2599999999984</v>
      </c>
      <c r="T8" s="16" t="s">
        <v>76</v>
      </c>
      <c r="U8" s="8">
        <f t="shared" si="5"/>
        <v>1</v>
      </c>
      <c r="V8" s="310">
        <f t="shared" si="3"/>
        <v>2781.2599999999984</v>
      </c>
      <c r="X8" t="s">
        <v>76</v>
      </c>
      <c r="Y8">
        <v>1</v>
      </c>
      <c r="Z8" t="s">
        <v>76</v>
      </c>
      <c r="AA8">
        <v>2781.2599999999984</v>
      </c>
      <c r="AB8" s="19"/>
      <c r="AD8" t="s">
        <v>76</v>
      </c>
      <c r="AE8">
        <v>1</v>
      </c>
      <c r="AF8" t="s">
        <v>76</v>
      </c>
      <c r="AG8">
        <v>2781.2599999999984</v>
      </c>
    </row>
    <row r="9" spans="1:33" ht="15" x14ac:dyDescent="0.25">
      <c r="A9" s="38" t="s">
        <v>18</v>
      </c>
      <c r="B9" s="39">
        <f t="shared" si="4"/>
        <v>192</v>
      </c>
      <c r="C9" s="40">
        <f t="shared" si="0"/>
        <v>130712.66999999995</v>
      </c>
      <c r="D9" s="41">
        <v>1</v>
      </c>
      <c r="E9" s="40">
        <f t="shared" si="1"/>
        <v>130712.66999999995</v>
      </c>
      <c r="F9" s="40">
        <f t="shared" si="2"/>
        <v>0</v>
      </c>
      <c r="G9" s="32"/>
      <c r="H9" s="33"/>
      <c r="I9" s="34"/>
      <c r="J9" s="218"/>
      <c r="K9" s="35"/>
      <c r="M9" s="8"/>
      <c r="N9" s="8"/>
      <c r="O9" t="s">
        <v>15</v>
      </c>
      <c r="P9">
        <v>58</v>
      </c>
      <c r="Q9">
        <v>2912.0499999999988</v>
      </c>
      <c r="T9" s="16" t="s">
        <v>15</v>
      </c>
      <c r="U9" s="8">
        <f t="shared" si="5"/>
        <v>58</v>
      </c>
      <c r="V9" s="310">
        <f t="shared" si="3"/>
        <v>2912.0499999999988</v>
      </c>
      <c r="X9" t="s">
        <v>15</v>
      </c>
      <c r="Y9">
        <v>58</v>
      </c>
      <c r="Z9" t="s">
        <v>15</v>
      </c>
      <c r="AA9">
        <v>2912.0499999999988</v>
      </c>
      <c r="AB9" s="19"/>
      <c r="AD9" t="s">
        <v>15</v>
      </c>
      <c r="AE9">
        <v>58</v>
      </c>
      <c r="AF9" t="s">
        <v>15</v>
      </c>
      <c r="AG9">
        <v>2912.0499999999988</v>
      </c>
    </row>
    <row r="10" spans="1:33" ht="15" x14ac:dyDescent="0.25">
      <c r="A10" s="38" t="s">
        <v>19</v>
      </c>
      <c r="B10" s="39">
        <f t="shared" si="4"/>
        <v>27</v>
      </c>
      <c r="C10" s="40">
        <f t="shared" si="0"/>
        <v>27229.469999999998</v>
      </c>
      <c r="D10" s="41">
        <v>0.3</v>
      </c>
      <c r="E10" s="40">
        <f t="shared" si="1"/>
        <v>8168.8409999999985</v>
      </c>
      <c r="F10" s="40">
        <f t="shared" si="2"/>
        <v>19060.629000000001</v>
      </c>
      <c r="G10" s="32"/>
      <c r="H10" s="42"/>
      <c r="I10" s="43"/>
      <c r="J10" s="219"/>
      <c r="K10" s="44"/>
      <c r="L10" s="45"/>
      <c r="M10" s="8"/>
      <c r="N10" s="8"/>
      <c r="O10" s="38" t="s">
        <v>16</v>
      </c>
      <c r="P10">
        <v>28</v>
      </c>
      <c r="Q10">
        <v>3062.7899999999981</v>
      </c>
      <c r="T10" s="16" t="s">
        <v>16</v>
      </c>
      <c r="U10" s="8">
        <f t="shared" si="5"/>
        <v>28</v>
      </c>
      <c r="V10" s="310">
        <f t="shared" si="3"/>
        <v>3062.7899999999981</v>
      </c>
      <c r="X10" t="s">
        <v>16</v>
      </c>
      <c r="Y10">
        <v>28</v>
      </c>
      <c r="Z10" t="s">
        <v>16</v>
      </c>
      <c r="AA10">
        <v>3062.7899999999981</v>
      </c>
      <c r="AB10" s="19"/>
      <c r="AD10" t="s">
        <v>16</v>
      </c>
      <c r="AE10">
        <v>28</v>
      </c>
      <c r="AF10" t="s">
        <v>16</v>
      </c>
      <c r="AG10">
        <v>3062.7899999999981</v>
      </c>
    </row>
    <row r="11" spans="1:33" ht="15" x14ac:dyDescent="0.25">
      <c r="A11" s="38" t="s">
        <v>20</v>
      </c>
      <c r="B11" s="39">
        <f t="shared" si="4"/>
        <v>913</v>
      </c>
      <c r="C11" s="40">
        <f t="shared" si="0"/>
        <v>504659.50999999919</v>
      </c>
      <c r="D11" s="41">
        <v>1</v>
      </c>
      <c r="E11" s="40">
        <f t="shared" si="1"/>
        <v>504659.50999999919</v>
      </c>
      <c r="F11" s="40">
        <f t="shared" si="2"/>
        <v>0</v>
      </c>
      <c r="G11" s="32"/>
      <c r="H11" s="42"/>
      <c r="I11" s="43"/>
      <c r="J11" s="219"/>
      <c r="K11" s="44"/>
      <c r="M11" s="8"/>
      <c r="N11" s="8"/>
      <c r="O11" t="s">
        <v>17</v>
      </c>
      <c r="P11">
        <v>27</v>
      </c>
      <c r="Q11">
        <v>5818.170000000001</v>
      </c>
      <c r="T11" s="16" t="s">
        <v>17</v>
      </c>
      <c r="U11" s="8">
        <f t="shared" si="5"/>
        <v>27</v>
      </c>
      <c r="V11" s="310">
        <f t="shared" si="3"/>
        <v>5818.170000000001</v>
      </c>
      <c r="X11" t="s">
        <v>17</v>
      </c>
      <c r="Y11">
        <v>27</v>
      </c>
      <c r="Z11" t="s">
        <v>17</v>
      </c>
      <c r="AA11">
        <v>5818.170000000001</v>
      </c>
      <c r="AB11" s="19"/>
      <c r="AD11" t="s">
        <v>17</v>
      </c>
      <c r="AE11">
        <v>27</v>
      </c>
      <c r="AF11" t="s">
        <v>17</v>
      </c>
      <c r="AG11">
        <v>5818.170000000001</v>
      </c>
    </row>
    <row r="12" spans="1:33" ht="15" x14ac:dyDescent="0.25">
      <c r="A12" s="38" t="s">
        <v>21</v>
      </c>
      <c r="B12" s="39">
        <f t="shared" si="4"/>
        <v>102</v>
      </c>
      <c r="C12" s="40">
        <f t="shared" si="0"/>
        <v>62189.909999999982</v>
      </c>
      <c r="D12" s="41">
        <v>0.3</v>
      </c>
      <c r="E12" s="40">
        <f t="shared" si="1"/>
        <v>18656.972999999994</v>
      </c>
      <c r="F12" s="40">
        <f t="shared" si="2"/>
        <v>43532.936999999991</v>
      </c>
      <c r="G12" s="32"/>
      <c r="H12" s="42"/>
      <c r="I12" s="43"/>
      <c r="J12" s="219"/>
      <c r="K12" s="44"/>
      <c r="M12" s="8"/>
      <c r="N12" s="8"/>
      <c r="O12" t="s">
        <v>18</v>
      </c>
      <c r="P12">
        <v>192</v>
      </c>
      <c r="Q12">
        <v>130712.66999999995</v>
      </c>
      <c r="T12" s="16" t="s">
        <v>18</v>
      </c>
      <c r="U12" s="8">
        <f t="shared" si="5"/>
        <v>192</v>
      </c>
      <c r="V12" s="310">
        <f t="shared" si="3"/>
        <v>130712.66999999995</v>
      </c>
      <c r="X12" t="s">
        <v>18</v>
      </c>
      <c r="Y12">
        <v>192</v>
      </c>
      <c r="Z12" t="s">
        <v>18</v>
      </c>
      <c r="AA12">
        <v>130712.66999999995</v>
      </c>
      <c r="AB12" s="19"/>
      <c r="AD12" t="s">
        <v>18</v>
      </c>
      <c r="AE12">
        <v>192</v>
      </c>
      <c r="AF12" t="s">
        <v>18</v>
      </c>
      <c r="AG12">
        <v>130712.66999999995</v>
      </c>
    </row>
    <row r="13" spans="1:33" ht="15" customHeight="1" thickBot="1" x14ac:dyDescent="0.3">
      <c r="A13" s="46" t="s">
        <v>22</v>
      </c>
      <c r="B13" s="47">
        <f>SUM(B6:B12)</f>
        <v>1347</v>
      </c>
      <c r="C13" s="48">
        <f>SUM(C6:C12)</f>
        <v>736584.56999999925</v>
      </c>
      <c r="D13" s="49"/>
      <c r="E13" s="48">
        <f>SUM(E6:E12)</f>
        <v>669918.2849999991</v>
      </c>
      <c r="F13" s="50">
        <f>SUM(F6:F12)</f>
        <v>66666.284999999989</v>
      </c>
      <c r="G13" s="51">
        <v>2724921</v>
      </c>
      <c r="H13" s="52">
        <f>E13/G13</f>
        <v>0.24584869983386642</v>
      </c>
      <c r="I13" s="53"/>
      <c r="J13" s="220">
        <f>(H13/H$3)*G$13</f>
        <v>2679673.1399999964</v>
      </c>
      <c r="K13" s="55">
        <f>J13-G13</f>
        <v>-45247.860000003595</v>
      </c>
      <c r="M13" s="8"/>
      <c r="N13" s="8"/>
      <c r="O13" t="s">
        <v>19</v>
      </c>
      <c r="P13">
        <v>27</v>
      </c>
      <c r="Q13">
        <v>27229.469999999998</v>
      </c>
      <c r="T13" s="16" t="s">
        <v>19</v>
      </c>
      <c r="U13" s="8">
        <f>Y13</f>
        <v>27</v>
      </c>
      <c r="V13" s="310">
        <f t="shared" si="3"/>
        <v>27229.469999999998</v>
      </c>
      <c r="X13" t="s">
        <v>19</v>
      </c>
      <c r="Y13">
        <v>27</v>
      </c>
      <c r="Z13" t="s">
        <v>19</v>
      </c>
      <c r="AA13">
        <v>27229.469999999998</v>
      </c>
      <c r="AB13" s="19"/>
      <c r="AD13" t="s">
        <v>19</v>
      </c>
      <c r="AE13">
        <v>27</v>
      </c>
      <c r="AF13" t="s">
        <v>19</v>
      </c>
      <c r="AG13">
        <v>27229.469999999998</v>
      </c>
    </row>
    <row r="14" spans="1:33" ht="15" thickBot="1" x14ac:dyDescent="0.35">
      <c r="A14" s="57"/>
      <c r="B14" s="58"/>
      <c r="C14" s="59"/>
      <c r="D14" s="60"/>
      <c r="E14" s="59"/>
      <c r="F14" s="59"/>
      <c r="G14" s="61"/>
      <c r="H14" s="62"/>
      <c r="I14" s="63"/>
      <c r="J14" s="349"/>
      <c r="K14" s="338"/>
      <c r="M14" s="8"/>
      <c r="N14" s="8"/>
      <c r="O14" t="s">
        <v>20</v>
      </c>
      <c r="P14">
        <v>913</v>
      </c>
      <c r="Q14">
        <v>504659.50999999919</v>
      </c>
      <c r="T14" s="16" t="s">
        <v>20</v>
      </c>
      <c r="U14" s="8">
        <f t="shared" si="5"/>
        <v>913</v>
      </c>
      <c r="V14" s="310">
        <f t="shared" si="3"/>
        <v>504659.50999999919</v>
      </c>
      <c r="X14" t="s">
        <v>20</v>
      </c>
      <c r="Y14">
        <v>913</v>
      </c>
      <c r="Z14" t="s">
        <v>20</v>
      </c>
      <c r="AA14">
        <v>504659.50999999919</v>
      </c>
      <c r="AB14" s="19"/>
      <c r="AD14" t="s">
        <v>20</v>
      </c>
      <c r="AE14">
        <v>913</v>
      </c>
      <c r="AF14" t="s">
        <v>20</v>
      </c>
      <c r="AG14">
        <v>504659.50999999919</v>
      </c>
    </row>
    <row r="15" spans="1:33" x14ac:dyDescent="0.3">
      <c r="A15" s="65" t="s">
        <v>23</v>
      </c>
      <c r="B15" s="66">
        <f>P7</f>
        <v>24</v>
      </c>
      <c r="C15" s="67">
        <f t="shared" ref="C15:C16" si="6">Q7</f>
        <v>25185.860000000004</v>
      </c>
      <c r="D15" s="68">
        <v>1</v>
      </c>
      <c r="E15" s="67">
        <f>C15*D15</f>
        <v>25185.860000000004</v>
      </c>
      <c r="F15" s="67">
        <v>0</v>
      </c>
      <c r="G15" s="69"/>
      <c r="H15" s="70"/>
      <c r="I15" s="71"/>
      <c r="J15" s="339"/>
      <c r="K15" s="340"/>
      <c r="M15" s="8"/>
      <c r="N15" s="8"/>
      <c r="O15" t="s">
        <v>21</v>
      </c>
      <c r="P15">
        <v>102</v>
      </c>
      <c r="Q15">
        <v>62189.909999999982</v>
      </c>
      <c r="T15" s="16" t="s">
        <v>21</v>
      </c>
      <c r="U15" s="8">
        <f t="shared" si="5"/>
        <v>102</v>
      </c>
      <c r="V15" s="310">
        <f t="shared" si="3"/>
        <v>62189.909999999982</v>
      </c>
      <c r="X15" t="s">
        <v>21</v>
      </c>
      <c r="Y15">
        <v>102</v>
      </c>
      <c r="Z15" t="s">
        <v>21</v>
      </c>
      <c r="AA15">
        <v>62189.909999999982</v>
      </c>
      <c r="AB15" s="19"/>
      <c r="AD15" t="s">
        <v>21</v>
      </c>
      <c r="AE15">
        <v>102</v>
      </c>
      <c r="AF15" t="s">
        <v>21</v>
      </c>
      <c r="AG15">
        <v>62189.909999999982</v>
      </c>
    </row>
    <row r="16" spans="1:33" x14ac:dyDescent="0.3">
      <c r="A16" s="72" t="s">
        <v>25</v>
      </c>
      <c r="B16" s="39">
        <f t="shared" ref="B16" si="7">P8</f>
        <v>1</v>
      </c>
      <c r="C16" s="40">
        <f t="shared" si="6"/>
        <v>2781.2599999999984</v>
      </c>
      <c r="D16" s="73">
        <v>0.3</v>
      </c>
      <c r="E16" s="40">
        <f>C16*D16</f>
        <v>834.37799999999947</v>
      </c>
      <c r="F16" s="40">
        <f>C16-E16</f>
        <v>1946.8819999999989</v>
      </c>
      <c r="G16" s="69"/>
      <c r="H16" s="70"/>
      <c r="I16" s="71"/>
      <c r="J16" s="341"/>
      <c r="K16" s="342"/>
      <c r="M16" s="8"/>
      <c r="N16" s="8"/>
      <c r="O16" s="16" t="s">
        <v>80</v>
      </c>
      <c r="P16">
        <v>0</v>
      </c>
      <c r="Q16">
        <v>0</v>
      </c>
      <c r="T16" s="16" t="s">
        <v>80</v>
      </c>
      <c r="U16" s="8">
        <f t="shared" si="5"/>
        <v>0</v>
      </c>
      <c r="V16" s="310">
        <f t="shared" si="3"/>
        <v>0</v>
      </c>
      <c r="AB16" s="19"/>
    </row>
    <row r="17" spans="1:33" ht="15" customHeight="1" thickBot="1" x14ac:dyDescent="0.3">
      <c r="A17" s="74" t="s">
        <v>26</v>
      </c>
      <c r="B17" s="75">
        <f>SUM(B15:B16)</f>
        <v>25</v>
      </c>
      <c r="C17" s="76">
        <f>SUM(C15:C16)</f>
        <v>27967.120000000003</v>
      </c>
      <c r="D17" s="77"/>
      <c r="E17" s="76">
        <f>SUM(E15:E16)</f>
        <v>26020.238000000005</v>
      </c>
      <c r="F17" s="76">
        <f>F16</f>
        <v>1946.8819999999989</v>
      </c>
      <c r="G17" s="78">
        <v>100000</v>
      </c>
      <c r="H17" s="79">
        <f>E17/G17</f>
        <v>0.26020238000000007</v>
      </c>
      <c r="I17" s="80"/>
      <c r="J17" s="221">
        <f>(H17/H$3)*G$13</f>
        <v>2836123.7180479206</v>
      </c>
      <c r="K17" s="81">
        <f>J17-G17</f>
        <v>2736123.7180479206</v>
      </c>
      <c r="M17" s="8"/>
      <c r="N17" s="8"/>
      <c r="O17" t="s">
        <v>72</v>
      </c>
      <c r="P17">
        <v>242</v>
      </c>
      <c r="Q17">
        <v>152060.14999999982</v>
      </c>
      <c r="T17" s="16" t="s">
        <v>72</v>
      </c>
      <c r="U17" s="8">
        <f t="shared" si="5"/>
        <v>242</v>
      </c>
      <c r="V17" s="310">
        <f t="shared" si="3"/>
        <v>152060.14999999982</v>
      </c>
      <c r="X17" t="s">
        <v>72</v>
      </c>
      <c r="Y17">
        <v>242</v>
      </c>
      <c r="Z17" t="s">
        <v>72</v>
      </c>
      <c r="AA17">
        <v>152060.14999999982</v>
      </c>
      <c r="AB17" s="19"/>
      <c r="AD17" t="s">
        <v>72</v>
      </c>
      <c r="AE17">
        <v>242</v>
      </c>
      <c r="AF17" t="s">
        <v>72</v>
      </c>
      <c r="AG17">
        <v>152060.14999999982</v>
      </c>
    </row>
    <row r="18" spans="1:33" ht="15" thickBot="1" x14ac:dyDescent="0.35">
      <c r="A18" s="57"/>
      <c r="B18" s="82"/>
      <c r="C18" s="61"/>
      <c r="D18" s="83"/>
      <c r="E18" s="61"/>
      <c r="F18" s="61"/>
      <c r="G18" s="61"/>
      <c r="H18" s="62"/>
      <c r="I18" s="63"/>
      <c r="J18" s="349"/>
      <c r="K18" s="338"/>
      <c r="M18" s="8"/>
      <c r="N18" s="8"/>
      <c r="O18" t="s">
        <v>31</v>
      </c>
      <c r="P18">
        <v>77</v>
      </c>
      <c r="Q18">
        <v>43211.89</v>
      </c>
      <c r="T18" s="16" t="s">
        <v>31</v>
      </c>
      <c r="U18" s="8">
        <f t="shared" si="5"/>
        <v>77</v>
      </c>
      <c r="V18" s="310">
        <f t="shared" si="3"/>
        <v>43211.89</v>
      </c>
      <c r="X18" t="s">
        <v>31</v>
      </c>
      <c r="Y18">
        <v>77</v>
      </c>
      <c r="Z18" t="s">
        <v>31</v>
      </c>
      <c r="AA18">
        <v>43211.89</v>
      </c>
      <c r="AB18" s="19"/>
      <c r="AD18" t="s">
        <v>31</v>
      </c>
      <c r="AE18">
        <v>77</v>
      </c>
      <c r="AF18" t="s">
        <v>31</v>
      </c>
      <c r="AG18">
        <v>43211.89</v>
      </c>
    </row>
    <row r="19" spans="1:33" x14ac:dyDescent="0.3">
      <c r="A19" s="65" t="s">
        <v>27</v>
      </c>
      <c r="B19" s="66"/>
      <c r="C19" s="67"/>
      <c r="D19" s="68">
        <v>1</v>
      </c>
      <c r="E19" s="67">
        <f>C19*D19</f>
        <v>0</v>
      </c>
      <c r="F19" s="67">
        <v>0</v>
      </c>
      <c r="G19" s="69"/>
      <c r="H19" s="70"/>
      <c r="I19" s="71"/>
      <c r="J19" s="339"/>
      <c r="K19" s="340"/>
      <c r="M19" s="8"/>
      <c r="N19" s="8"/>
      <c r="O19" t="s">
        <v>73</v>
      </c>
      <c r="P19">
        <v>143</v>
      </c>
      <c r="Q19">
        <v>128426.06999999998</v>
      </c>
      <c r="T19" s="16" t="s">
        <v>73</v>
      </c>
      <c r="U19" s="8">
        <f t="shared" si="5"/>
        <v>143</v>
      </c>
      <c r="V19" s="310">
        <f t="shared" si="3"/>
        <v>128426.06999999998</v>
      </c>
      <c r="X19" t="s">
        <v>73</v>
      </c>
      <c r="Y19">
        <v>143</v>
      </c>
      <c r="Z19" t="s">
        <v>73</v>
      </c>
      <c r="AA19">
        <v>128426.06999999998</v>
      </c>
      <c r="AB19" s="19"/>
      <c r="AD19" t="s">
        <v>73</v>
      </c>
      <c r="AE19">
        <v>143</v>
      </c>
      <c r="AF19" t="s">
        <v>73</v>
      </c>
      <c r="AG19">
        <v>128426.06999999998</v>
      </c>
    </row>
    <row r="20" spans="1:33" x14ac:dyDescent="0.3">
      <c r="A20" s="72" t="s">
        <v>28</v>
      </c>
      <c r="B20" s="39">
        <f>P6</f>
        <v>1</v>
      </c>
      <c r="C20" s="40">
        <f>Q6</f>
        <v>14578.98000000002</v>
      </c>
      <c r="D20" s="73">
        <v>0.3</v>
      </c>
      <c r="E20" s="40">
        <f>C20*D20</f>
        <v>4373.6940000000059</v>
      </c>
      <c r="F20" s="40">
        <f>C20-E20</f>
        <v>10205.286000000015</v>
      </c>
      <c r="G20" s="69"/>
      <c r="H20" s="70"/>
      <c r="I20" s="71"/>
      <c r="J20" s="341"/>
      <c r="K20" s="342"/>
      <c r="M20" s="8"/>
      <c r="N20" s="8"/>
      <c r="O20" t="s">
        <v>74</v>
      </c>
      <c r="P20">
        <v>22</v>
      </c>
      <c r="Q20">
        <v>20862.990000000002</v>
      </c>
      <c r="T20" s="16" t="s">
        <v>74</v>
      </c>
      <c r="U20" s="8">
        <f t="shared" si="5"/>
        <v>22</v>
      </c>
      <c r="V20" s="310">
        <f t="shared" si="3"/>
        <v>20862.990000000002</v>
      </c>
      <c r="X20" t="s">
        <v>74</v>
      </c>
      <c r="Y20">
        <v>22</v>
      </c>
      <c r="Z20" t="s">
        <v>74</v>
      </c>
      <c r="AA20">
        <v>20862.990000000002</v>
      </c>
      <c r="AB20" s="19"/>
      <c r="AD20" t="s">
        <v>74</v>
      </c>
      <c r="AE20">
        <v>22</v>
      </c>
      <c r="AF20" t="s">
        <v>74</v>
      </c>
      <c r="AG20">
        <v>20862.990000000002</v>
      </c>
    </row>
    <row r="21" spans="1:33" ht="15" customHeight="1" thickBot="1" x14ac:dyDescent="0.3">
      <c r="A21" s="74" t="s">
        <v>29</v>
      </c>
      <c r="B21" s="75">
        <f>SUM(B19:B20)</f>
        <v>1</v>
      </c>
      <c r="C21" s="76">
        <f>SUM(C19:C20)</f>
        <v>14578.98000000002</v>
      </c>
      <c r="D21" s="77"/>
      <c r="E21" s="76">
        <f>SUM(E19:E20)</f>
        <v>4373.6940000000059</v>
      </c>
      <c r="F21" s="76">
        <f>F20</f>
        <v>10205.286000000015</v>
      </c>
      <c r="G21" s="78">
        <v>100000</v>
      </c>
      <c r="H21" s="79">
        <f>E21/G21</f>
        <v>4.3736940000000057E-2</v>
      </c>
      <c r="I21" s="80"/>
      <c r="J21" s="221">
        <v>1210.4083079629038</v>
      </c>
      <c r="K21" s="81">
        <v>-399744.59169203712</v>
      </c>
      <c r="M21" s="8"/>
      <c r="N21" s="8"/>
      <c r="O21" t="s">
        <v>38</v>
      </c>
      <c r="P21">
        <v>440</v>
      </c>
      <c r="Q21">
        <v>201548.12999999957</v>
      </c>
      <c r="T21" s="16" t="s">
        <v>38</v>
      </c>
      <c r="U21" s="8">
        <f t="shared" si="5"/>
        <v>440</v>
      </c>
      <c r="V21" s="310">
        <f t="shared" si="3"/>
        <v>201548.12999999957</v>
      </c>
      <c r="X21" t="s">
        <v>38</v>
      </c>
      <c r="Y21">
        <v>440</v>
      </c>
      <c r="Z21" t="s">
        <v>38</v>
      </c>
      <c r="AA21">
        <v>201548.12999999957</v>
      </c>
      <c r="AB21" s="19"/>
      <c r="AD21" t="s">
        <v>38</v>
      </c>
      <c r="AE21">
        <v>440</v>
      </c>
      <c r="AF21" t="s">
        <v>38</v>
      </c>
      <c r="AG21">
        <v>201548.12999999957</v>
      </c>
    </row>
    <row r="22" spans="1:33" ht="15" thickBot="1" x14ac:dyDescent="0.35">
      <c r="A22" s="57"/>
      <c r="B22" s="82"/>
      <c r="C22" s="61"/>
      <c r="D22" s="83"/>
      <c r="E22" s="61"/>
      <c r="F22" s="61"/>
      <c r="G22" s="61"/>
      <c r="H22" s="62"/>
      <c r="I22" s="63"/>
      <c r="J22" s="349"/>
      <c r="K22" s="338"/>
      <c r="M22" s="8"/>
      <c r="N22" s="8"/>
      <c r="O22" t="s">
        <v>40</v>
      </c>
      <c r="P22">
        <v>53</v>
      </c>
      <c r="Q22">
        <v>71174.329999999987</v>
      </c>
      <c r="T22" s="16" t="s">
        <v>40</v>
      </c>
      <c r="U22" s="8">
        <f t="shared" si="5"/>
        <v>53</v>
      </c>
      <c r="V22" s="310">
        <f t="shared" si="3"/>
        <v>71174.329999999987</v>
      </c>
      <c r="X22" t="s">
        <v>40</v>
      </c>
      <c r="Y22">
        <v>53</v>
      </c>
      <c r="Z22" t="s">
        <v>40</v>
      </c>
      <c r="AA22">
        <v>71174.329999999987</v>
      </c>
      <c r="AB22" s="19"/>
      <c r="AD22" t="s">
        <v>40</v>
      </c>
      <c r="AE22">
        <v>53</v>
      </c>
      <c r="AF22" t="s">
        <v>40</v>
      </c>
      <c r="AG22">
        <v>71174.329999999987</v>
      </c>
    </row>
    <row r="23" spans="1:33" x14ac:dyDescent="0.3">
      <c r="A23" s="84" t="s">
        <v>30</v>
      </c>
      <c r="B23" s="85">
        <f>P17</f>
        <v>242</v>
      </c>
      <c r="C23" s="86">
        <f t="shared" ref="C23:C24" si="8">Q17</f>
        <v>152060.14999999982</v>
      </c>
      <c r="D23" s="87">
        <v>1</v>
      </c>
      <c r="E23" s="86">
        <f>C23*D23</f>
        <v>152060.14999999982</v>
      </c>
      <c r="F23" s="88"/>
      <c r="G23" s="89"/>
      <c r="H23" s="90"/>
      <c r="I23" s="91"/>
      <c r="J23" s="339"/>
      <c r="K23" s="340"/>
      <c r="M23" s="8"/>
      <c r="N23" s="8"/>
      <c r="O23" t="s">
        <v>58</v>
      </c>
      <c r="P23">
        <v>912</v>
      </c>
      <c r="Q23">
        <v>477522.60999999882</v>
      </c>
      <c r="T23" s="16" t="s">
        <v>58</v>
      </c>
      <c r="U23" s="8">
        <f t="shared" si="5"/>
        <v>912</v>
      </c>
      <c r="V23" s="310">
        <f t="shared" si="3"/>
        <v>477522.60999999882</v>
      </c>
      <c r="X23" t="s">
        <v>58</v>
      </c>
      <c r="Y23">
        <v>912</v>
      </c>
      <c r="Z23" t="s">
        <v>58</v>
      </c>
      <c r="AA23">
        <v>477522.60999999882</v>
      </c>
      <c r="AB23" s="19"/>
      <c r="AD23" t="s">
        <v>58</v>
      </c>
      <c r="AE23">
        <v>912</v>
      </c>
      <c r="AF23" t="s">
        <v>58</v>
      </c>
      <c r="AG23">
        <v>477522.60999999882</v>
      </c>
    </row>
    <row r="24" spans="1:33" x14ac:dyDescent="0.3">
      <c r="A24" s="84" t="s">
        <v>32</v>
      </c>
      <c r="B24" s="85">
        <f t="shared" ref="B24" si="9">P18</f>
        <v>77</v>
      </c>
      <c r="C24" s="93">
        <f t="shared" si="8"/>
        <v>43211.89</v>
      </c>
      <c r="D24" s="94">
        <v>0.3</v>
      </c>
      <c r="E24" s="93">
        <f>C24*D24</f>
        <v>12963.566999999999</v>
      </c>
      <c r="F24" s="95">
        <f>C24-E24</f>
        <v>30248.323</v>
      </c>
      <c r="G24" s="96"/>
      <c r="H24" s="97"/>
      <c r="I24" s="91"/>
      <c r="J24" s="341"/>
      <c r="K24" s="342"/>
      <c r="M24" s="8"/>
      <c r="N24" s="8"/>
      <c r="O24" t="s">
        <v>43</v>
      </c>
      <c r="P24">
        <v>146</v>
      </c>
      <c r="Q24">
        <v>175583.99999999997</v>
      </c>
      <c r="T24" s="16" t="s">
        <v>43</v>
      </c>
      <c r="U24" s="8">
        <f t="shared" si="5"/>
        <v>146</v>
      </c>
      <c r="V24" s="310">
        <f t="shared" si="3"/>
        <v>175583.99999999997</v>
      </c>
      <c r="X24" t="s">
        <v>43</v>
      </c>
      <c r="Y24">
        <v>146</v>
      </c>
      <c r="Z24" t="s">
        <v>43</v>
      </c>
      <c r="AA24">
        <v>175583.99999999997</v>
      </c>
      <c r="AB24" s="19"/>
      <c r="AD24" t="s">
        <v>43</v>
      </c>
      <c r="AE24">
        <v>146</v>
      </c>
      <c r="AF24" t="s">
        <v>43</v>
      </c>
      <c r="AG24">
        <v>175583.99999999997</v>
      </c>
    </row>
    <row r="25" spans="1:33" ht="15" customHeight="1" thickBot="1" x14ac:dyDescent="0.3">
      <c r="A25" s="74" t="s">
        <v>33</v>
      </c>
      <c r="B25" s="75">
        <f>SUM(B23:B24)</f>
        <v>319</v>
      </c>
      <c r="C25" s="76">
        <f>SUM(C23:C24)</f>
        <v>195272.0399999998</v>
      </c>
      <c r="D25" s="77"/>
      <c r="E25" s="76">
        <f>SUM(E23:E24)</f>
        <v>165023.71699999983</v>
      </c>
      <c r="F25" s="76">
        <f>F24</f>
        <v>30248.323</v>
      </c>
      <c r="G25" s="78">
        <v>750000</v>
      </c>
      <c r="H25" s="79">
        <f>E25/G25</f>
        <v>0.22003162266666643</v>
      </c>
      <c r="I25" s="80"/>
      <c r="J25" s="221">
        <f>(H25/H$3)*G$13</f>
        <v>2398275.1570739015</v>
      </c>
      <c r="K25" s="81">
        <f>J25-G25</f>
        <v>1648275.1570739015</v>
      </c>
      <c r="M25" s="8"/>
      <c r="N25" s="8"/>
      <c r="O25" t="s">
        <v>45</v>
      </c>
      <c r="P25">
        <v>154</v>
      </c>
      <c r="Q25">
        <v>211809.66000000003</v>
      </c>
      <c r="T25" s="16" t="s">
        <v>45</v>
      </c>
      <c r="U25" s="8">
        <f t="shared" si="5"/>
        <v>154</v>
      </c>
      <c r="V25" s="310">
        <f t="shared" si="3"/>
        <v>211809.66000000003</v>
      </c>
      <c r="X25" t="s">
        <v>45</v>
      </c>
      <c r="Y25">
        <v>154</v>
      </c>
      <c r="Z25" t="s">
        <v>45</v>
      </c>
      <c r="AA25">
        <v>211809.66000000003</v>
      </c>
      <c r="AB25" s="19"/>
      <c r="AD25" t="s">
        <v>45</v>
      </c>
      <c r="AE25">
        <v>154</v>
      </c>
      <c r="AF25" t="s">
        <v>45</v>
      </c>
      <c r="AG25">
        <v>211809.66000000003</v>
      </c>
    </row>
    <row r="26" spans="1:33" ht="15" thickBot="1" x14ac:dyDescent="0.35">
      <c r="A26" s="57"/>
      <c r="B26" s="82"/>
      <c r="C26" s="61"/>
      <c r="D26" s="83"/>
      <c r="E26" s="61"/>
      <c r="F26" s="61"/>
      <c r="G26" s="61"/>
      <c r="H26" s="62"/>
      <c r="I26" s="63"/>
      <c r="J26" s="337"/>
      <c r="K26" s="350"/>
      <c r="M26" s="8"/>
      <c r="N26" s="8"/>
      <c r="O26" t="s">
        <v>48</v>
      </c>
      <c r="P26">
        <v>79</v>
      </c>
      <c r="Q26">
        <v>79558.02999999997</v>
      </c>
      <c r="T26" s="16" t="s">
        <v>48</v>
      </c>
      <c r="U26" s="8">
        <f t="shared" si="5"/>
        <v>79</v>
      </c>
      <c r="V26" s="310">
        <f t="shared" si="3"/>
        <v>79558.02999999997</v>
      </c>
      <c r="X26" t="s">
        <v>48</v>
      </c>
      <c r="Y26">
        <v>79</v>
      </c>
      <c r="Z26" t="s">
        <v>48</v>
      </c>
      <c r="AA26">
        <v>79558.02999999997</v>
      </c>
      <c r="AB26" s="19"/>
      <c r="AD26" t="s">
        <v>48</v>
      </c>
      <c r="AE26">
        <v>79</v>
      </c>
      <c r="AF26" t="s">
        <v>48</v>
      </c>
      <c r="AG26">
        <v>79558.02999999997</v>
      </c>
    </row>
    <row r="27" spans="1:33" x14ac:dyDescent="0.3">
      <c r="A27" s="65" t="s">
        <v>34</v>
      </c>
      <c r="B27" s="98">
        <f>P19</f>
        <v>143</v>
      </c>
      <c r="C27" s="99">
        <f t="shared" ref="C27:C28" si="10">Q19</f>
        <v>128426.06999999998</v>
      </c>
      <c r="D27" s="100">
        <v>1</v>
      </c>
      <c r="E27" s="101">
        <f>C27*D27</f>
        <v>128426.06999999998</v>
      </c>
      <c r="F27" s="101">
        <v>0</v>
      </c>
      <c r="G27" s="69"/>
      <c r="H27" s="70"/>
      <c r="I27" s="71"/>
      <c r="J27" s="351"/>
      <c r="K27" s="352"/>
      <c r="M27" s="8"/>
      <c r="N27" s="8"/>
      <c r="O27" t="s">
        <v>50</v>
      </c>
      <c r="P27">
        <v>24</v>
      </c>
      <c r="Q27">
        <v>16324.930000000004</v>
      </c>
      <c r="T27" s="16" t="s">
        <v>50</v>
      </c>
      <c r="U27" s="8">
        <f t="shared" si="5"/>
        <v>24</v>
      </c>
      <c r="V27" s="310">
        <f t="shared" si="3"/>
        <v>16324.930000000004</v>
      </c>
      <c r="X27" t="s">
        <v>50</v>
      </c>
      <c r="Y27">
        <v>24</v>
      </c>
      <c r="Z27" t="s">
        <v>50</v>
      </c>
      <c r="AA27">
        <v>16324.930000000004</v>
      </c>
      <c r="AB27" s="19"/>
      <c r="AD27" t="s">
        <v>50</v>
      </c>
      <c r="AE27">
        <v>24</v>
      </c>
      <c r="AF27" t="s">
        <v>50</v>
      </c>
      <c r="AG27">
        <v>16324.930000000004</v>
      </c>
    </row>
    <row r="28" spans="1:33" x14ac:dyDescent="0.3">
      <c r="A28" s="72" t="s">
        <v>35</v>
      </c>
      <c r="B28" s="102">
        <f t="shared" ref="B28" si="11">P20</f>
        <v>22</v>
      </c>
      <c r="C28" s="103">
        <f t="shared" si="10"/>
        <v>20862.990000000002</v>
      </c>
      <c r="D28" s="104">
        <v>0.3</v>
      </c>
      <c r="E28" s="105">
        <f>C28*D28</f>
        <v>6258.8969999999999</v>
      </c>
      <c r="F28" s="105">
        <f>C28-E28</f>
        <v>14604.093000000001</v>
      </c>
      <c r="G28" s="69"/>
      <c r="H28" s="70"/>
      <c r="I28" s="71"/>
      <c r="J28" s="353"/>
      <c r="K28" s="354"/>
      <c r="M28" s="8"/>
      <c r="N28" s="8"/>
      <c r="O28" t="s">
        <v>60</v>
      </c>
      <c r="P28">
        <v>1192</v>
      </c>
      <c r="Q28">
        <v>16074.399999999965</v>
      </c>
      <c r="T28" s="16" t="s">
        <v>60</v>
      </c>
      <c r="U28" s="8">
        <f t="shared" si="5"/>
        <v>1192</v>
      </c>
      <c r="V28" s="310">
        <f t="shared" si="3"/>
        <v>16074.399999999965</v>
      </c>
      <c r="X28" t="s">
        <v>60</v>
      </c>
      <c r="Y28">
        <v>1192</v>
      </c>
      <c r="Z28" t="s">
        <v>60</v>
      </c>
      <c r="AA28">
        <v>16074.399999999965</v>
      </c>
      <c r="AB28" s="19"/>
      <c r="AD28" t="s">
        <v>60</v>
      </c>
      <c r="AE28">
        <v>1192</v>
      </c>
      <c r="AF28" t="s">
        <v>60</v>
      </c>
      <c r="AG28">
        <v>16074.399999999965</v>
      </c>
    </row>
    <row r="29" spans="1:33" ht="15" customHeight="1" thickBot="1" x14ac:dyDescent="0.3">
      <c r="A29" s="74" t="s">
        <v>36</v>
      </c>
      <c r="B29" s="75">
        <f>SUM(B27:B28)</f>
        <v>165</v>
      </c>
      <c r="C29" s="76">
        <f>SUM(C27:C28)</f>
        <v>149289.05999999997</v>
      </c>
      <c r="D29" s="77"/>
      <c r="E29" s="76">
        <f>SUM(E27:E28)</f>
        <v>134684.96699999998</v>
      </c>
      <c r="F29" s="76">
        <f>F28</f>
        <v>14604.093000000001</v>
      </c>
      <c r="G29" s="78">
        <v>429000</v>
      </c>
      <c r="H29" s="79">
        <f>E29/G29</f>
        <v>0.31395097202797195</v>
      </c>
      <c r="I29" s="80"/>
      <c r="J29" s="221">
        <f>(H29/H$3)*G$13</f>
        <v>3421966.3865977335</v>
      </c>
      <c r="K29" s="81">
        <f>J29-G29</f>
        <v>2992966.3865977335</v>
      </c>
      <c r="M29" s="8"/>
      <c r="N29" s="8"/>
      <c r="O29" t="s">
        <v>53</v>
      </c>
      <c r="P29">
        <v>44</v>
      </c>
      <c r="Q29">
        <v>45181.5</v>
      </c>
      <c r="T29" s="16" t="s">
        <v>53</v>
      </c>
      <c r="U29" s="8">
        <f t="shared" si="5"/>
        <v>44</v>
      </c>
      <c r="V29" s="310">
        <f t="shared" si="3"/>
        <v>45181.5</v>
      </c>
      <c r="X29" t="s">
        <v>53</v>
      </c>
      <c r="Y29">
        <v>44</v>
      </c>
      <c r="Z29" t="s">
        <v>53</v>
      </c>
      <c r="AA29">
        <v>45181.5</v>
      </c>
      <c r="AB29" s="19"/>
      <c r="AD29" t="s">
        <v>53</v>
      </c>
      <c r="AE29">
        <v>44</v>
      </c>
      <c r="AF29" t="s">
        <v>53</v>
      </c>
      <c r="AG29">
        <v>45181.5</v>
      </c>
    </row>
    <row r="30" spans="1:33" ht="15" thickBot="1" x14ac:dyDescent="0.35">
      <c r="A30" s="57"/>
      <c r="B30" s="82"/>
      <c r="C30" s="61"/>
      <c r="D30" s="83"/>
      <c r="E30" s="61"/>
      <c r="F30" s="61"/>
      <c r="G30" s="61"/>
      <c r="H30" s="62"/>
      <c r="I30" s="63"/>
      <c r="J30" s="355"/>
      <c r="K30" s="338"/>
      <c r="M30" s="8"/>
      <c r="N30" s="8"/>
      <c r="O30" t="s">
        <v>55</v>
      </c>
      <c r="P30">
        <v>29</v>
      </c>
      <c r="Q30">
        <v>44343.259999999987</v>
      </c>
      <c r="T30" s="16" t="s">
        <v>55</v>
      </c>
      <c r="U30" s="8">
        <f t="shared" si="5"/>
        <v>29</v>
      </c>
      <c r="V30" s="310">
        <f t="shared" si="3"/>
        <v>44343.259999999987</v>
      </c>
      <c r="X30" t="s">
        <v>55</v>
      </c>
      <c r="Y30">
        <v>29</v>
      </c>
      <c r="Z30" t="s">
        <v>55</v>
      </c>
      <c r="AA30">
        <v>44343.259999999987</v>
      </c>
      <c r="AB30" s="19"/>
      <c r="AD30" t="s">
        <v>55</v>
      </c>
      <c r="AE30">
        <v>29</v>
      </c>
      <c r="AF30" t="s">
        <v>55</v>
      </c>
      <c r="AG30">
        <v>44343.259999999987</v>
      </c>
    </row>
    <row r="31" spans="1:33" ht="15" thickBot="1" x14ac:dyDescent="0.35">
      <c r="A31" s="106" t="s">
        <v>37</v>
      </c>
      <c r="B31" s="107">
        <f>P21</f>
        <v>440</v>
      </c>
      <c r="C31" s="108">
        <f t="shared" ref="C31:C32" si="12">Q21</f>
        <v>201548.12999999957</v>
      </c>
      <c r="D31" s="109">
        <v>1</v>
      </c>
      <c r="E31" s="110">
        <f>C31*D31</f>
        <v>201548.12999999957</v>
      </c>
      <c r="F31" s="111"/>
      <c r="G31" s="358"/>
      <c r="H31" s="360"/>
      <c r="I31" s="112"/>
      <c r="J31" s="339"/>
      <c r="K31" s="340"/>
      <c r="M31" s="8"/>
      <c r="N31" s="8"/>
      <c r="O31" t="s">
        <v>61</v>
      </c>
      <c r="P31">
        <v>4930</v>
      </c>
      <c r="Q31">
        <v>2462812.6199999973</v>
      </c>
      <c r="T31" s="230" t="s">
        <v>61</v>
      </c>
      <c r="U31" s="8">
        <f t="shared" si="5"/>
        <v>4930</v>
      </c>
      <c r="V31" s="310">
        <f t="shared" si="3"/>
        <v>2462812.6199999973</v>
      </c>
      <c r="X31" t="s">
        <v>61</v>
      </c>
      <c r="Y31">
        <v>4930</v>
      </c>
      <c r="Z31" t="s">
        <v>61</v>
      </c>
      <c r="AA31">
        <v>2462812.6199999973</v>
      </c>
      <c r="AB31" s="231"/>
      <c r="AD31" t="s">
        <v>61</v>
      </c>
      <c r="AE31">
        <v>4930</v>
      </c>
      <c r="AF31" t="s">
        <v>61</v>
      </c>
      <c r="AG31">
        <v>2462812.6199999973</v>
      </c>
    </row>
    <row r="32" spans="1:33" x14ac:dyDescent="0.3">
      <c r="A32" s="114" t="s">
        <v>39</v>
      </c>
      <c r="B32" s="115">
        <f t="shared" ref="B32" si="13">P22</f>
        <v>53</v>
      </c>
      <c r="C32" s="64">
        <f t="shared" si="12"/>
        <v>71174.329999999987</v>
      </c>
      <c r="D32" s="116">
        <v>0.3</v>
      </c>
      <c r="E32" s="117">
        <f>C32*D32</f>
        <v>21352.298999999995</v>
      </c>
      <c r="F32" s="118">
        <f>C32-E32</f>
        <v>49822.030999999988</v>
      </c>
      <c r="G32" s="359"/>
      <c r="H32" s="361"/>
      <c r="I32" s="112"/>
      <c r="J32" s="341"/>
      <c r="K32" s="342"/>
      <c r="M32" s="8"/>
      <c r="N32" s="8"/>
      <c r="O32" s="9"/>
      <c r="P32" s="9"/>
    </row>
    <row r="33" spans="1:17" ht="15" customHeight="1" thickBot="1" x14ac:dyDescent="0.3">
      <c r="A33" s="119" t="s">
        <v>41</v>
      </c>
      <c r="B33" s="120">
        <f>SUM(B31:B32)</f>
        <v>493</v>
      </c>
      <c r="C33" s="78">
        <f>SUM(C31:C32)</f>
        <v>272722.45999999956</v>
      </c>
      <c r="D33" s="121"/>
      <c r="E33" s="78">
        <f>SUM(E31:E32)</f>
        <v>222900.42899999957</v>
      </c>
      <c r="F33" s="78">
        <f>F32</f>
        <v>49822.030999999988</v>
      </c>
      <c r="G33" s="78">
        <v>1000000</v>
      </c>
      <c r="H33" s="79">
        <f>E33/G33</f>
        <v>0.22290042899999957</v>
      </c>
      <c r="I33" s="80"/>
      <c r="J33" s="221">
        <f>(H33/H$3)*G$13</f>
        <v>2429544.2395644314</v>
      </c>
      <c r="K33" s="81">
        <f>J33-G33</f>
        <v>1429544.2395644314</v>
      </c>
      <c r="M33" s="8"/>
      <c r="N33" s="8"/>
      <c r="O33" s="9"/>
      <c r="P33" s="9"/>
    </row>
    <row r="34" spans="1:17" ht="15" thickBot="1" x14ac:dyDescent="0.35">
      <c r="A34" s="57"/>
      <c r="B34" s="82"/>
      <c r="C34" s="61"/>
      <c r="D34" s="83"/>
      <c r="E34" s="61"/>
      <c r="F34" s="61"/>
      <c r="G34" s="61"/>
      <c r="H34" s="62"/>
      <c r="I34" s="63"/>
      <c r="J34" s="337"/>
      <c r="K34" s="350"/>
      <c r="M34" s="8"/>
      <c r="N34" s="8"/>
      <c r="O34" s="9"/>
      <c r="P34" s="9"/>
    </row>
    <row r="35" spans="1:17" x14ac:dyDescent="0.3">
      <c r="A35" s="122" t="s">
        <v>42</v>
      </c>
      <c r="B35" s="123">
        <f>P24</f>
        <v>146</v>
      </c>
      <c r="C35" s="124">
        <f t="shared" ref="C35:C36" si="14">Q24</f>
        <v>175583.99999999997</v>
      </c>
      <c r="D35" s="125">
        <v>1</v>
      </c>
      <c r="E35" s="124">
        <f>C35*D35</f>
        <v>175583.99999999997</v>
      </c>
      <c r="F35" s="126"/>
      <c r="G35" s="362"/>
      <c r="H35" s="364"/>
      <c r="I35" s="127"/>
      <c r="J35" s="351"/>
      <c r="K35" s="352"/>
      <c r="M35" s="8"/>
      <c r="N35" s="8"/>
      <c r="O35" s="9"/>
      <c r="P35"/>
      <c r="Q35"/>
    </row>
    <row r="36" spans="1:17" x14ac:dyDescent="0.3">
      <c r="A36" s="129" t="s">
        <v>44</v>
      </c>
      <c r="B36" s="130">
        <f t="shared" ref="B36" si="15">P25</f>
        <v>154</v>
      </c>
      <c r="C36" s="131">
        <f t="shared" si="14"/>
        <v>211809.66000000003</v>
      </c>
      <c r="D36" s="132">
        <v>0.3</v>
      </c>
      <c r="E36" s="131">
        <f>C36*D36</f>
        <v>63542.898000000008</v>
      </c>
      <c r="F36" s="133">
        <f>C36-E36</f>
        <v>148266.76200000002</v>
      </c>
      <c r="G36" s="363"/>
      <c r="H36" s="365"/>
      <c r="I36" s="127"/>
      <c r="J36" s="353"/>
      <c r="K36" s="354"/>
      <c r="M36" s="8"/>
      <c r="N36" s="8"/>
      <c r="O36" s="9"/>
      <c r="P36" s="9"/>
    </row>
    <row r="37" spans="1:17" ht="15" customHeight="1" thickBot="1" x14ac:dyDescent="0.3">
      <c r="A37" s="74" t="s">
        <v>46</v>
      </c>
      <c r="B37" s="120">
        <f>SUM(B35:B36)</f>
        <v>300</v>
      </c>
      <c r="C37" s="78">
        <f>SUM(C35:C36)</f>
        <v>387393.66000000003</v>
      </c>
      <c r="D37" s="121"/>
      <c r="E37" s="78">
        <f>SUM(E35:E36)</f>
        <v>239126.89799999999</v>
      </c>
      <c r="F37" s="78">
        <f>F36</f>
        <v>148266.76200000002</v>
      </c>
      <c r="G37" s="78">
        <v>450000</v>
      </c>
      <c r="H37" s="79">
        <f>E37/G37</f>
        <v>0.53139310666666661</v>
      </c>
      <c r="I37" s="80"/>
      <c r="J37" s="221">
        <f>(H37/H$3)*G$13</f>
        <v>5792016.9424449597</v>
      </c>
      <c r="K37" s="81">
        <f>J37-G37</f>
        <v>5342016.9424449597</v>
      </c>
      <c r="M37" s="8"/>
      <c r="N37" s="8"/>
      <c r="O37" s="9"/>
      <c r="P37" s="9"/>
    </row>
    <row r="38" spans="1:17" ht="15" thickBot="1" x14ac:dyDescent="0.35">
      <c r="A38" s="57"/>
      <c r="B38" s="82"/>
      <c r="C38" s="61"/>
      <c r="D38" s="83"/>
      <c r="E38" s="61"/>
      <c r="F38" s="61"/>
      <c r="G38" s="61"/>
      <c r="H38" s="62"/>
      <c r="I38" s="63"/>
      <c r="J38" s="337"/>
      <c r="K38" s="338"/>
      <c r="M38" s="8"/>
      <c r="N38" s="8"/>
      <c r="O38" s="9"/>
      <c r="P38" s="9"/>
    </row>
    <row r="39" spans="1:17" x14ac:dyDescent="0.3">
      <c r="A39" s="134" t="s">
        <v>47</v>
      </c>
      <c r="B39" s="98">
        <f>P26</f>
        <v>79</v>
      </c>
      <c r="C39" s="135">
        <f t="shared" ref="C39:C40" si="16">Q26</f>
        <v>79558.02999999997</v>
      </c>
      <c r="D39" s="136">
        <v>1</v>
      </c>
      <c r="E39" s="99">
        <f>C39*D39</f>
        <v>79558.02999999997</v>
      </c>
      <c r="F39" s="101"/>
      <c r="G39" s="343"/>
      <c r="H39" s="345"/>
      <c r="I39" s="91"/>
      <c r="J39" s="339"/>
      <c r="K39" s="340"/>
      <c r="M39" s="8"/>
      <c r="N39" s="8"/>
      <c r="O39" s="9"/>
      <c r="P39" s="9"/>
    </row>
    <row r="40" spans="1:17" x14ac:dyDescent="0.3">
      <c r="A40" s="138" t="s">
        <v>49</v>
      </c>
      <c r="B40" s="85">
        <f t="shared" ref="B40" si="17">P27</f>
        <v>24</v>
      </c>
      <c r="C40" s="93">
        <f t="shared" si="16"/>
        <v>16324.930000000004</v>
      </c>
      <c r="D40" s="94">
        <v>0.3</v>
      </c>
      <c r="E40" s="139">
        <f>C40*D40</f>
        <v>4897.4790000000012</v>
      </c>
      <c r="F40" s="140">
        <f>C40-E40</f>
        <v>11427.451000000003</v>
      </c>
      <c r="G40" s="344"/>
      <c r="H40" s="346"/>
      <c r="I40" s="91"/>
      <c r="J40" s="341"/>
      <c r="K40" s="342"/>
      <c r="M40" s="8"/>
      <c r="N40" s="8"/>
      <c r="O40" s="9"/>
      <c r="P40" s="9"/>
    </row>
    <row r="41" spans="1:17" ht="15" customHeight="1" thickBot="1" x14ac:dyDescent="0.3">
      <c r="A41" s="119" t="s">
        <v>51</v>
      </c>
      <c r="B41" s="120">
        <f>SUM(B39:B40)</f>
        <v>103</v>
      </c>
      <c r="C41" s="78">
        <f>SUM(C39:C40)</f>
        <v>95882.959999999977</v>
      </c>
      <c r="D41" s="121"/>
      <c r="E41" s="78">
        <f>SUM(E39:E40)</f>
        <v>84455.508999999976</v>
      </c>
      <c r="F41" s="78">
        <f>F40</f>
        <v>11427.451000000003</v>
      </c>
      <c r="G41" s="78">
        <v>325000</v>
      </c>
      <c r="H41" s="79">
        <f>E41/G41</f>
        <v>0.25986310461538453</v>
      </c>
      <c r="I41" s="80"/>
      <c r="J41" s="221">
        <f>(H41/H$3)*G$13</f>
        <v>2832425.7235666327</v>
      </c>
      <c r="K41" s="81">
        <f>J41-G41</f>
        <v>2507425.7235666327</v>
      </c>
      <c r="M41" s="8"/>
      <c r="N41" s="8"/>
      <c r="O41" s="9"/>
      <c r="P41" s="9"/>
    </row>
    <row r="42" spans="1:17" ht="15" thickBot="1" x14ac:dyDescent="0.35">
      <c r="A42" s="57"/>
      <c r="B42" s="82"/>
      <c r="C42" s="61"/>
      <c r="D42" s="83"/>
      <c r="E42" s="61"/>
      <c r="F42" s="61"/>
      <c r="G42" s="61"/>
      <c r="H42" s="62"/>
      <c r="I42" s="63"/>
      <c r="J42" s="337"/>
      <c r="K42" s="350"/>
      <c r="M42" s="8"/>
      <c r="N42" s="8"/>
      <c r="O42" s="9"/>
      <c r="P42" s="9"/>
    </row>
    <row r="43" spans="1:17" x14ac:dyDescent="0.3">
      <c r="A43" s="141" t="s">
        <v>52</v>
      </c>
      <c r="B43" s="123">
        <f>P29</f>
        <v>44</v>
      </c>
      <c r="C43" s="124">
        <f t="shared" ref="C43:C44" si="18">Q29</f>
        <v>45181.5</v>
      </c>
      <c r="D43" s="109">
        <v>1</v>
      </c>
      <c r="E43" s="110">
        <f>C43*D43</f>
        <v>45181.5</v>
      </c>
      <c r="F43" s="142"/>
      <c r="G43" s="362"/>
      <c r="H43" s="364"/>
      <c r="I43" s="127"/>
      <c r="J43" s="351"/>
      <c r="K43" s="352"/>
      <c r="M43" s="8"/>
      <c r="N43" s="8"/>
      <c r="O43" s="9"/>
      <c r="P43" s="9"/>
    </row>
    <row r="44" spans="1:17" x14ac:dyDescent="0.3">
      <c r="A44" s="129" t="s">
        <v>54</v>
      </c>
      <c r="B44" s="130">
        <f t="shared" ref="B44" si="19">P30</f>
        <v>29</v>
      </c>
      <c r="C44" s="131">
        <f t="shared" si="18"/>
        <v>44343.259999999987</v>
      </c>
      <c r="D44" s="116">
        <v>0.3</v>
      </c>
      <c r="E44" s="117">
        <f>C44*D44</f>
        <v>13302.977999999996</v>
      </c>
      <c r="F44" s="97">
        <f>C44-E44</f>
        <v>31040.281999999992</v>
      </c>
      <c r="G44" s="363"/>
      <c r="H44" s="365"/>
      <c r="I44" s="127"/>
      <c r="J44" s="353"/>
      <c r="K44" s="354"/>
      <c r="M44" s="8"/>
      <c r="N44" s="8"/>
      <c r="O44" s="9"/>
      <c r="P44" s="9"/>
    </row>
    <row r="45" spans="1:17" ht="15" customHeight="1" thickBot="1" x14ac:dyDescent="0.3">
      <c r="A45" s="119" t="s">
        <v>56</v>
      </c>
      <c r="B45" s="120">
        <f>SUM(B43:B44)</f>
        <v>73</v>
      </c>
      <c r="C45" s="78">
        <f>SUM(C43:C44)</f>
        <v>89524.75999999998</v>
      </c>
      <c r="D45" s="121"/>
      <c r="E45" s="78">
        <f>SUM(E43:E44)</f>
        <v>58484.477999999996</v>
      </c>
      <c r="F45" s="78">
        <f>F44</f>
        <v>31040.281999999992</v>
      </c>
      <c r="G45" s="78">
        <v>300000</v>
      </c>
      <c r="H45" s="79">
        <f>E45/G45</f>
        <v>0.19494825999999998</v>
      </c>
      <c r="I45" s="80"/>
      <c r="J45" s="221">
        <f>(H45/H$3)*G$13</f>
        <v>2124874.4303498399</v>
      </c>
      <c r="K45" s="81">
        <f>J45-G45</f>
        <v>1824874.4303498399</v>
      </c>
      <c r="M45" s="8"/>
      <c r="N45" s="8"/>
      <c r="O45" s="9"/>
      <c r="P45" s="9"/>
    </row>
    <row r="46" spans="1:17" ht="15" thickBot="1" x14ac:dyDescent="0.35">
      <c r="A46" s="57"/>
      <c r="B46" s="82"/>
      <c r="C46" s="61"/>
      <c r="D46" s="83"/>
      <c r="E46" s="61"/>
      <c r="F46" s="143"/>
      <c r="G46" s="61"/>
      <c r="H46" s="62"/>
      <c r="I46" s="63"/>
      <c r="J46" s="337"/>
      <c r="K46" s="338"/>
      <c r="M46" s="8"/>
      <c r="N46" s="8"/>
      <c r="O46" s="9"/>
      <c r="P46" s="9"/>
    </row>
    <row r="47" spans="1:17" x14ac:dyDescent="0.3">
      <c r="A47" s="141" t="s">
        <v>66</v>
      </c>
      <c r="B47" s="123"/>
      <c r="C47" s="124"/>
      <c r="D47" s="109">
        <v>1</v>
      </c>
      <c r="E47" s="110">
        <f>C47*D47</f>
        <v>0</v>
      </c>
      <c r="F47" s="142"/>
      <c r="G47" s="362"/>
      <c r="H47" s="364"/>
      <c r="I47" s="127"/>
      <c r="J47" s="370"/>
      <c r="K47" s="340"/>
      <c r="M47" s="8"/>
      <c r="N47" s="8"/>
      <c r="O47" s="9"/>
      <c r="P47" s="9"/>
    </row>
    <row r="48" spans="1:17" x14ac:dyDescent="0.3">
      <c r="A48" s="129" t="s">
        <v>67</v>
      </c>
      <c r="B48" s="130"/>
      <c r="C48" s="131"/>
      <c r="D48" s="116">
        <v>0.3</v>
      </c>
      <c r="E48" s="117">
        <f>C48*D48</f>
        <v>0</v>
      </c>
      <c r="F48" s="97">
        <f>C48-E48</f>
        <v>0</v>
      </c>
      <c r="G48" s="363"/>
      <c r="H48" s="365"/>
      <c r="I48" s="127"/>
      <c r="J48" s="370"/>
      <c r="K48" s="340"/>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370"/>
      <c r="K49" s="340"/>
      <c r="M49" s="8"/>
      <c r="N49" s="8"/>
      <c r="O49" s="9"/>
      <c r="P49" s="9"/>
    </row>
    <row r="50" spans="1:17" ht="15" thickBot="1" x14ac:dyDescent="0.35">
      <c r="A50" s="57"/>
      <c r="B50" s="82"/>
      <c r="C50" s="61"/>
      <c r="D50" s="83"/>
      <c r="E50" s="61"/>
      <c r="F50" s="143"/>
      <c r="G50" s="61"/>
      <c r="H50" s="62"/>
      <c r="I50" s="63"/>
      <c r="J50" s="370"/>
      <c r="K50" s="340"/>
      <c r="M50" s="8"/>
      <c r="N50" s="8"/>
      <c r="O50" s="9"/>
      <c r="P50" s="9"/>
    </row>
    <row r="51" spans="1:17" ht="16.5" customHeight="1" x14ac:dyDescent="0.3">
      <c r="A51" s="106" t="s">
        <v>57</v>
      </c>
      <c r="B51" s="115">
        <f>P23</f>
        <v>912</v>
      </c>
      <c r="C51" s="64">
        <f>Q23</f>
        <v>477522.60999999882</v>
      </c>
      <c r="D51" s="116">
        <v>0.3</v>
      </c>
      <c r="E51" s="110">
        <f>C51*D51</f>
        <v>143256.78299999965</v>
      </c>
      <c r="F51" s="144">
        <f>C51-E51</f>
        <v>334265.82699999918</v>
      </c>
      <c r="G51" s="145"/>
      <c r="H51" s="146"/>
      <c r="I51" s="112"/>
      <c r="J51" s="341"/>
      <c r="K51" s="342"/>
      <c r="M51" s="8"/>
      <c r="N51" s="8"/>
      <c r="O51" s="9"/>
      <c r="P51" s="9"/>
    </row>
    <row r="52" spans="1:17" ht="15" customHeight="1" thickBot="1" x14ac:dyDescent="0.35">
      <c r="A52" s="119" t="s">
        <v>59</v>
      </c>
      <c r="B52" s="120">
        <f>B51</f>
        <v>912</v>
      </c>
      <c r="C52" s="78">
        <f>C51</f>
        <v>477522.60999999882</v>
      </c>
      <c r="D52" s="121"/>
      <c r="E52" s="78">
        <f>E51</f>
        <v>143256.78299999965</v>
      </c>
      <c r="F52" s="78">
        <f>F51</f>
        <v>334265.82699999918</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37"/>
      <c r="K53" s="350"/>
      <c r="M53" s="8"/>
      <c r="N53" s="8"/>
      <c r="O53" s="9"/>
      <c r="P53" s="9"/>
    </row>
    <row r="54" spans="1:17" ht="15" thickBot="1" x14ac:dyDescent="0.35">
      <c r="A54" s="147" t="s">
        <v>75</v>
      </c>
      <c r="B54" s="148">
        <f>P28</f>
        <v>1192</v>
      </c>
      <c r="C54" s="54">
        <f>Q28</f>
        <v>16074.399999999965</v>
      </c>
      <c r="D54" s="149">
        <v>1</v>
      </c>
      <c r="E54" s="54">
        <f>C54*D54</f>
        <v>16074.399999999965</v>
      </c>
      <c r="F54" s="150"/>
      <c r="G54" s="151">
        <v>546455</v>
      </c>
      <c r="H54" s="152"/>
      <c r="I54" s="71"/>
      <c r="J54" s="351"/>
      <c r="K54" s="352"/>
      <c r="M54" s="8"/>
      <c r="N54" s="8"/>
      <c r="O54" s="9"/>
      <c r="P54" s="9"/>
    </row>
    <row r="55" spans="1:17" ht="15" thickBot="1" x14ac:dyDescent="0.35">
      <c r="A55" s="57"/>
      <c r="B55" s="82"/>
      <c r="C55" s="61"/>
      <c r="D55" s="60"/>
      <c r="E55" s="59"/>
      <c r="F55" s="144"/>
      <c r="G55" s="61"/>
      <c r="H55" s="62"/>
      <c r="I55" s="63"/>
      <c r="J55" s="366"/>
      <c r="K55" s="367"/>
      <c r="M55" s="8"/>
      <c r="N55" s="8"/>
      <c r="O55" s="9"/>
      <c r="P55" s="9"/>
    </row>
    <row r="56" spans="1:17" ht="15" thickBot="1" x14ac:dyDescent="0.35">
      <c r="A56" s="153" t="s">
        <v>7</v>
      </c>
      <c r="B56" s="154"/>
      <c r="C56" s="157"/>
      <c r="D56" s="156"/>
      <c r="E56" s="157">
        <f>SUM(E13,E17,E21,E25,E29,E33,E37,E41,E45,E49,E52,E54)</f>
        <v>1764319.3979999979</v>
      </c>
      <c r="F56" s="157"/>
      <c r="G56" s="158">
        <f>SUM(G13:G54)</f>
        <v>7917043</v>
      </c>
      <c r="H56" s="159">
        <f>SUM(E56)/G56</f>
        <v>0.22285080401862134</v>
      </c>
      <c r="I56" s="160"/>
      <c r="J56" s="222">
        <f>(H56/H$3)*G56</f>
        <v>7057277.5919999918</v>
      </c>
      <c r="K56" s="161">
        <f>J56-G56</f>
        <v>-859765.4080000082</v>
      </c>
      <c r="M56" s="8"/>
      <c r="N56" s="8"/>
      <c r="O56" s="9"/>
      <c r="P56" s="9"/>
    </row>
    <row r="57" spans="1:17" ht="15" thickBot="1" x14ac:dyDescent="0.35">
      <c r="A57" s="57"/>
      <c r="B57" s="82"/>
      <c r="C57" s="61"/>
      <c r="D57" s="83"/>
      <c r="E57" s="61"/>
      <c r="F57" s="143"/>
      <c r="G57" s="61"/>
      <c r="H57" s="62"/>
      <c r="I57" s="63"/>
      <c r="J57" s="223"/>
      <c r="K57" s="163"/>
      <c r="M57" s="8"/>
      <c r="N57" s="8"/>
      <c r="O57" s="9"/>
      <c r="P57" s="9"/>
    </row>
    <row r="58" spans="1:17" ht="15" thickBot="1" x14ac:dyDescent="0.35">
      <c r="A58" s="153" t="s">
        <v>8</v>
      </c>
      <c r="B58" s="154"/>
      <c r="C58" s="155"/>
      <c r="D58" s="156"/>
      <c r="E58" s="157"/>
      <c r="F58" s="157">
        <f>SUM(F13,F17,F21,F25,F29,F33,F37,F41,F45,F49,F52)</f>
        <v>698493.22199999914</v>
      </c>
      <c r="G58" s="158"/>
      <c r="H58" s="159"/>
      <c r="I58" s="160"/>
      <c r="J58" s="222">
        <f>(H58/H$3)*G58</f>
        <v>0</v>
      </c>
      <c r="K58" s="161">
        <f>J58-G58</f>
        <v>0</v>
      </c>
      <c r="M58" s="8"/>
      <c r="N58" s="8"/>
      <c r="O58" s="9"/>
      <c r="P58" s="9"/>
    </row>
    <row r="59" spans="1:17" ht="15" thickBot="1" x14ac:dyDescent="0.35">
      <c r="A59" s="57"/>
      <c r="B59" s="82"/>
      <c r="D59" s="83"/>
      <c r="E59" s="61"/>
      <c r="F59" s="143"/>
      <c r="G59" s="61"/>
      <c r="H59" s="62"/>
      <c r="I59" s="63"/>
      <c r="J59" s="223"/>
      <c r="K59" s="163"/>
      <c r="M59" s="8"/>
      <c r="N59" s="8"/>
      <c r="O59" s="9"/>
      <c r="P59" s="9"/>
    </row>
    <row r="60" spans="1:17" ht="15" thickBot="1" x14ac:dyDescent="0.35">
      <c r="A60" s="153" t="s">
        <v>61</v>
      </c>
      <c r="B60" s="154">
        <f>SUM(B13,B17,B21,B25,B29,B33,B37,B41,B45,B49,B52,B54)</f>
        <v>4930</v>
      </c>
      <c r="C60" s="155">
        <f>SUM(C13,C17,C21,C25,C29,C33,C37,C41,C45,C49,C52,C54)</f>
        <v>2462812.6199999973</v>
      </c>
      <c r="D60" s="156"/>
      <c r="E60" s="157"/>
      <c r="F60" s="157">
        <f>SUM(E56:F59)</f>
        <v>2462812.6199999973</v>
      </c>
      <c r="G60" s="158">
        <f>SUM(G56:G59)</f>
        <v>7917043</v>
      </c>
      <c r="H60" s="159">
        <f>SUM(C60)/G60</f>
        <v>0.31107733278700106</v>
      </c>
      <c r="I60" s="160"/>
      <c r="J60" s="222">
        <f>(H60/H$3)*G60</f>
        <v>9851250.4799999893</v>
      </c>
      <c r="K60" s="161">
        <f>J60-G60</f>
        <v>1934207.4799999893</v>
      </c>
      <c r="M60" s="8"/>
      <c r="N60" s="8"/>
      <c r="O60" s="9"/>
      <c r="P60" s="9"/>
    </row>
    <row r="61" spans="1:17" x14ac:dyDescent="0.3">
      <c r="C61" s="168"/>
      <c r="M61" s="8"/>
      <c r="N61" s="8"/>
      <c r="O61" s="9"/>
      <c r="P61" s="9"/>
    </row>
    <row r="62" spans="1:17" x14ac:dyDescent="0.3">
      <c r="B62" s="164"/>
      <c r="C62" s="165"/>
      <c r="D62" s="165"/>
      <c r="E62" s="165"/>
      <c r="F62" s="165"/>
      <c r="G62" s="165"/>
      <c r="H62" s="165"/>
      <c r="I62" s="165"/>
      <c r="J62" s="165"/>
      <c r="K62" s="165"/>
      <c r="M62" s="8"/>
      <c r="N62" s="8"/>
      <c r="O62" s="9"/>
      <c r="P62" s="9"/>
    </row>
    <row r="63" spans="1:17" ht="15" customHeight="1" x14ac:dyDescent="0.3">
      <c r="A63" s="335" t="s">
        <v>139</v>
      </c>
      <c r="B63" s="335"/>
      <c r="C63" s="335"/>
      <c r="D63" s="335"/>
      <c r="E63" s="335"/>
      <c r="F63" s="335"/>
      <c r="G63" s="335"/>
      <c r="H63" s="335"/>
      <c r="I63" s="314"/>
      <c r="J63" s="224"/>
      <c r="K63" s="314"/>
      <c r="M63" s="8"/>
      <c r="N63" s="8"/>
      <c r="O63" s="9"/>
      <c r="P63" s="9"/>
      <c r="Q63"/>
    </row>
    <row r="64" spans="1:17" x14ac:dyDescent="0.3">
      <c r="A64" s="336"/>
      <c r="B64" s="336"/>
      <c r="C64" s="336"/>
      <c r="D64" s="336"/>
      <c r="E64" s="336"/>
      <c r="F64" s="336"/>
      <c r="G64" s="336"/>
      <c r="H64" s="336"/>
      <c r="I64" s="314"/>
      <c r="J64" s="224"/>
      <c r="K64" s="314"/>
      <c r="L64" s="168"/>
      <c r="M64" s="8"/>
      <c r="N64" s="8"/>
      <c r="O64" s="9"/>
      <c r="P64" s="9"/>
    </row>
    <row r="65" spans="1:33" x14ac:dyDescent="0.3">
      <c r="M65" s="8"/>
      <c r="N65" s="8"/>
      <c r="O65" s="9"/>
      <c r="R65" s="8"/>
    </row>
    <row r="66" spans="1:33" ht="21" customHeight="1" x14ac:dyDescent="0.3">
      <c r="G66" s="168"/>
      <c r="M66" s="8"/>
      <c r="N66" s="8"/>
      <c r="O66" s="8"/>
      <c r="P66" s="8"/>
      <c r="Q66" s="8"/>
      <c r="R66" s="8"/>
    </row>
    <row r="67" spans="1:33" ht="21" customHeight="1" x14ac:dyDescent="0.3">
      <c r="G67"/>
      <c r="M67" s="8"/>
      <c r="N67" s="8"/>
      <c r="O67" s="8"/>
      <c r="P67" s="8"/>
      <c r="Q67" s="8"/>
      <c r="R67" s="8"/>
    </row>
    <row r="68" spans="1:33" s="173" customFormat="1" ht="39.75" customHeight="1" x14ac:dyDescent="0.3">
      <c r="A68"/>
      <c r="B68"/>
      <c r="C68"/>
      <c r="D68"/>
      <c r="E68"/>
      <c r="F68"/>
      <c r="G68" s="1"/>
      <c r="H68"/>
      <c r="I68"/>
      <c r="J68" s="214"/>
      <c r="K68"/>
      <c r="M68" s="8"/>
      <c r="N68" s="8"/>
      <c r="O68" s="8"/>
      <c r="P68" s="8"/>
      <c r="Q68" s="8"/>
      <c r="R68" s="8"/>
      <c r="T68"/>
      <c r="U68"/>
      <c r="V68"/>
      <c r="X68"/>
      <c r="Y68"/>
      <c r="Z68"/>
      <c r="AA68"/>
      <c r="AB68"/>
      <c r="AD68"/>
      <c r="AE68"/>
      <c r="AF68"/>
      <c r="AG68"/>
    </row>
    <row r="69" spans="1:33" s="173" customFormat="1" ht="39.75" hidden="1" customHeight="1" x14ac:dyDescent="0.25">
      <c r="A69" t="s">
        <v>62</v>
      </c>
      <c r="B69">
        <f t="shared" ref="B69:G69" si="20">SUM(B66:B68)</f>
        <v>0</v>
      </c>
      <c r="C69">
        <f t="shared" si="20"/>
        <v>0</v>
      </c>
      <c r="D69">
        <f t="shared" si="20"/>
        <v>0</v>
      </c>
      <c r="E69">
        <f t="shared" si="20"/>
        <v>0</v>
      </c>
      <c r="F69">
        <f t="shared" si="20"/>
        <v>0</v>
      </c>
      <c r="G69" s="1">
        <f t="shared" si="20"/>
        <v>0</v>
      </c>
      <c r="H69"/>
      <c r="I69"/>
      <c r="J69" s="214"/>
      <c r="K69"/>
      <c r="M69" s="172"/>
      <c r="O69" s="8"/>
      <c r="P69" s="8"/>
      <c r="Q69" s="8"/>
      <c r="R69"/>
      <c r="X69"/>
      <c r="Y69"/>
      <c r="Z69"/>
      <c r="AA69"/>
      <c r="AB69"/>
    </row>
    <row r="70" spans="1:33" ht="15" hidden="1" x14ac:dyDescent="0.25">
      <c r="O70" s="175"/>
      <c r="P70" s="175"/>
      <c r="T70" s="173"/>
      <c r="U70" s="173"/>
      <c r="V70" s="173"/>
      <c r="AB70" s="173"/>
      <c r="AD70" s="173"/>
      <c r="AE70" s="173"/>
      <c r="AF70" s="173"/>
      <c r="AG70" s="173"/>
    </row>
    <row r="71" spans="1:33" ht="15" hidden="1" x14ac:dyDescent="0.25">
      <c r="X71" s="173"/>
      <c r="Y71" s="173"/>
      <c r="Z71" s="173"/>
      <c r="AA71" s="173"/>
      <c r="AB71" s="173"/>
    </row>
    <row r="72" spans="1:33"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33" ht="15" hidden="1" x14ac:dyDescent="0.25">
      <c r="A73" s="183"/>
      <c r="B73" s="184"/>
      <c r="C73" s="185"/>
      <c r="D73" s="185"/>
      <c r="E73" s="185"/>
      <c r="F73" s="185"/>
      <c r="G73" s="185"/>
      <c r="H73" s="185"/>
      <c r="I73" s="160"/>
      <c r="J73" s="226"/>
      <c r="K73" s="185"/>
    </row>
    <row r="74" spans="1:33" ht="15" hidden="1" x14ac:dyDescent="0.25"/>
    <row r="75" spans="1:33"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33"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33"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33" ht="15" hidden="1" x14ac:dyDescent="0.25">
      <c r="A78" s="183"/>
      <c r="B78" s="184"/>
      <c r="C78" s="185"/>
      <c r="D78" s="185"/>
      <c r="E78" s="185"/>
      <c r="F78" s="185"/>
      <c r="G78" s="185"/>
      <c r="H78" s="160"/>
      <c r="I78" s="160"/>
      <c r="J78" s="226"/>
      <c r="K78" s="185"/>
    </row>
    <row r="79" spans="1:33" ht="15" hidden="1" x14ac:dyDescent="0.25">
      <c r="B79" s="164">
        <v>6196</v>
      </c>
      <c r="C79" s="1">
        <v>3871765.8300000052</v>
      </c>
      <c r="D79" s="1"/>
      <c r="E79" s="1"/>
      <c r="F79" s="1"/>
      <c r="G79" s="1">
        <v>7182150.0000000009</v>
      </c>
      <c r="H79" s="1"/>
      <c r="I79" s="1"/>
      <c r="J79" s="165">
        <v>7423408.4691351494</v>
      </c>
      <c r="K79" s="1">
        <v>241258.46913514897</v>
      </c>
    </row>
    <row r="80" spans="1:33"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483" priority="37" operator="greaterThan">
      <formula>$H$3</formula>
    </cfRule>
  </conditionalFormatting>
  <conditionalFormatting sqref="H13:I13">
    <cfRule type="cellIs" dxfId="482" priority="36" operator="greaterThan">
      <formula>$H$3</formula>
    </cfRule>
  </conditionalFormatting>
  <conditionalFormatting sqref="I75:I76">
    <cfRule type="cellIs" dxfId="481" priority="35" operator="greaterThan">
      <formula>$H$3</formula>
    </cfRule>
  </conditionalFormatting>
  <conditionalFormatting sqref="H75:H76">
    <cfRule type="cellIs" dxfId="480" priority="34" operator="greaterThan">
      <formula>$H$3</formula>
    </cfRule>
  </conditionalFormatting>
  <conditionalFormatting sqref="H54:I54">
    <cfRule type="cellIs" dxfId="479" priority="33" operator="greaterThan">
      <formula>$H$3</formula>
    </cfRule>
  </conditionalFormatting>
  <conditionalFormatting sqref="H43:H44">
    <cfRule type="cellIs" dxfId="478" priority="31" operator="greaterThan">
      <formula>$H$3</formula>
    </cfRule>
  </conditionalFormatting>
  <conditionalFormatting sqref="I43:I44">
    <cfRule type="cellIs" dxfId="477" priority="32" operator="greaterThan">
      <formula>$H$3</formula>
    </cfRule>
  </conditionalFormatting>
  <conditionalFormatting sqref="H16:I16">
    <cfRule type="cellIs" dxfId="476" priority="30" operator="greaterThan">
      <formula>$H$3</formula>
    </cfRule>
  </conditionalFormatting>
  <conditionalFormatting sqref="H23">
    <cfRule type="cellIs" dxfId="475" priority="29" operator="greaterThan">
      <formula>$H$3</formula>
    </cfRule>
  </conditionalFormatting>
  <conditionalFormatting sqref="H17:I17">
    <cfRule type="cellIs" dxfId="474" priority="27" operator="greaterThan">
      <formula>$H$3</formula>
    </cfRule>
  </conditionalFormatting>
  <conditionalFormatting sqref="H17:I17">
    <cfRule type="cellIs" dxfId="473" priority="28" operator="greaterThan">
      <formula>$H$3</formula>
    </cfRule>
  </conditionalFormatting>
  <conditionalFormatting sqref="H25:I25">
    <cfRule type="cellIs" dxfId="472" priority="25" operator="greaterThan">
      <formula>$H$3</formula>
    </cfRule>
  </conditionalFormatting>
  <conditionalFormatting sqref="H25:I25">
    <cfRule type="cellIs" dxfId="471" priority="26" operator="greaterThan">
      <formula>$H$3</formula>
    </cfRule>
  </conditionalFormatting>
  <conditionalFormatting sqref="H19:I19">
    <cfRule type="cellIs" dxfId="470" priority="24" operator="greaterThan">
      <formula>$H$3</formula>
    </cfRule>
  </conditionalFormatting>
  <conditionalFormatting sqref="H20:I20">
    <cfRule type="cellIs" dxfId="469" priority="23" operator="greaterThan">
      <formula>$H$3</formula>
    </cfRule>
  </conditionalFormatting>
  <conditionalFormatting sqref="H21:I21">
    <cfRule type="cellIs" dxfId="468" priority="21" operator="greaterThan">
      <formula>$H$3</formula>
    </cfRule>
  </conditionalFormatting>
  <conditionalFormatting sqref="H21:I21">
    <cfRule type="cellIs" dxfId="467" priority="22" operator="greaterThan">
      <formula>$H$3</formula>
    </cfRule>
  </conditionalFormatting>
  <conditionalFormatting sqref="H29:I29">
    <cfRule type="cellIs" dxfId="466" priority="19" operator="greaterThan">
      <formula>$H$3</formula>
    </cfRule>
  </conditionalFormatting>
  <conditionalFormatting sqref="H29:I29">
    <cfRule type="cellIs" dxfId="465" priority="20" operator="greaterThan">
      <formula>$H$3</formula>
    </cfRule>
  </conditionalFormatting>
  <conditionalFormatting sqref="H27:I27">
    <cfRule type="cellIs" dxfId="464" priority="18" operator="greaterThan">
      <formula>$H$3</formula>
    </cfRule>
  </conditionalFormatting>
  <conditionalFormatting sqref="H28:I28">
    <cfRule type="cellIs" dxfId="463" priority="17" operator="greaterThan">
      <formula>$H$3</formula>
    </cfRule>
  </conditionalFormatting>
  <conditionalFormatting sqref="H33:I33">
    <cfRule type="cellIs" dxfId="462" priority="15" operator="greaterThan">
      <formula>$H$3</formula>
    </cfRule>
  </conditionalFormatting>
  <conditionalFormatting sqref="H33:I33">
    <cfRule type="cellIs" dxfId="461" priority="16" operator="greaterThan">
      <formula>$H$3</formula>
    </cfRule>
  </conditionalFormatting>
  <conditionalFormatting sqref="H37:I37">
    <cfRule type="cellIs" dxfId="460" priority="13" operator="greaterThan">
      <formula>$H$3</formula>
    </cfRule>
  </conditionalFormatting>
  <conditionalFormatting sqref="H37:I37">
    <cfRule type="cellIs" dxfId="459" priority="14" operator="greaterThan">
      <formula>$H$3</formula>
    </cfRule>
  </conditionalFormatting>
  <conditionalFormatting sqref="H41:I41">
    <cfRule type="cellIs" dxfId="458" priority="11" operator="greaterThan">
      <formula>$H$3</formula>
    </cfRule>
  </conditionalFormatting>
  <conditionalFormatting sqref="H41:I41">
    <cfRule type="cellIs" dxfId="457" priority="12" operator="greaterThan">
      <formula>$H$3</formula>
    </cfRule>
  </conditionalFormatting>
  <conditionalFormatting sqref="H45:I45">
    <cfRule type="cellIs" dxfId="456" priority="9" operator="greaterThan">
      <formula>$H$3</formula>
    </cfRule>
  </conditionalFormatting>
  <conditionalFormatting sqref="H45:I45">
    <cfRule type="cellIs" dxfId="455" priority="10" operator="greaterThan">
      <formula>$H$3</formula>
    </cfRule>
  </conditionalFormatting>
  <conditionalFormatting sqref="H52:I52">
    <cfRule type="cellIs" dxfId="454" priority="7" operator="greaterThan">
      <formula>$H$3</formula>
    </cfRule>
  </conditionalFormatting>
  <conditionalFormatting sqref="H52:I52">
    <cfRule type="cellIs" dxfId="453" priority="8" operator="greaterThan">
      <formula>$H$3</formula>
    </cfRule>
  </conditionalFormatting>
  <conditionalFormatting sqref="H58:I58">
    <cfRule type="cellIs" dxfId="452" priority="6" operator="greaterThan">
      <formula>$H$3</formula>
    </cfRule>
  </conditionalFormatting>
  <conditionalFormatting sqref="H60:I60">
    <cfRule type="cellIs" dxfId="451" priority="5" operator="greaterThan">
      <formula>$H$3</formula>
    </cfRule>
  </conditionalFormatting>
  <conditionalFormatting sqref="H47:H48">
    <cfRule type="cellIs" dxfId="450" priority="3" operator="greaterThan">
      <formula>$H$3</formula>
    </cfRule>
  </conditionalFormatting>
  <conditionalFormatting sqref="I47:I48">
    <cfRule type="cellIs" dxfId="449" priority="4" operator="greaterThan">
      <formula>$H$3</formula>
    </cfRule>
  </conditionalFormatting>
  <conditionalFormatting sqref="H49:I49">
    <cfRule type="cellIs" dxfId="448" priority="1" operator="greaterThan">
      <formula>$H$3</formula>
    </cfRule>
  </conditionalFormatting>
  <conditionalFormatting sqref="H49:I49">
    <cfRule type="cellIs" dxfId="447" priority="2" operator="greaterThan">
      <formula>$H$3</formula>
    </cfRule>
  </conditionalFormatting>
  <pageMargins left="0.2" right="0.2" top="0.75" bottom="0.75" header="0.3" footer="0.3"/>
  <pageSetup scale="64" orientation="landscape"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C175"/>
  <sheetViews>
    <sheetView zoomScale="70" zoomScaleNormal="70" workbookViewId="0">
      <selection activeCell="J3" sqref="J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9.88671875" customWidth="1"/>
    <col min="17" max="17" width="19.88671875" style="172" hidden="1" customWidth="1"/>
    <col min="18" max="18" width="19.88671875" hidden="1" customWidth="1"/>
    <col min="19" max="21" width="19.88671875" style="37" hidden="1" customWidth="1"/>
    <col min="22" max="29" width="19.88671875" hidden="1" customWidth="1"/>
    <col min="30" max="30" width="19.88671875" customWidth="1"/>
  </cols>
  <sheetData>
    <row r="1" spans="2:29" ht="15.75" thickBot="1" x14ac:dyDescent="0.3">
      <c r="Q1" s="323" t="s">
        <v>0</v>
      </c>
      <c r="R1" s="324"/>
      <c r="S1" s="324"/>
      <c r="T1" s="324"/>
      <c r="U1" s="324"/>
      <c r="V1" s="324"/>
    </row>
    <row r="2" spans="2:29" ht="30" x14ac:dyDescent="0.25">
      <c r="B2" s="2"/>
      <c r="C2" s="3"/>
      <c r="D2" s="3"/>
      <c r="E2" s="3"/>
      <c r="F2" s="3"/>
      <c r="G2" s="3"/>
      <c r="H2" s="3"/>
      <c r="I2" s="3"/>
      <c r="J2" s="4" t="s">
        <v>1</v>
      </c>
      <c r="K2" s="308"/>
      <c r="L2" s="5" t="s">
        <v>2</v>
      </c>
      <c r="M2" s="6"/>
      <c r="N2" s="6"/>
      <c r="O2" s="6"/>
      <c r="Q2" s="7">
        <v>41456</v>
      </c>
      <c r="R2" s="8"/>
      <c r="S2" s="9"/>
      <c r="T2" s="9"/>
      <c r="U2" s="9"/>
      <c r="V2" s="8"/>
    </row>
    <row r="3" spans="2:29" ht="18.75" x14ac:dyDescent="0.3">
      <c r="B3" s="10" t="s">
        <v>134</v>
      </c>
      <c r="C3" s="11"/>
      <c r="D3" s="8"/>
      <c r="E3" s="8"/>
      <c r="F3" s="8"/>
      <c r="G3" s="8"/>
      <c r="H3" s="8"/>
      <c r="I3" s="8"/>
      <c r="J3" s="12">
        <v>41530</v>
      </c>
      <c r="K3" s="307"/>
      <c r="L3" s="13">
        <f>$Q$5/26</f>
        <v>0.2032967032967033</v>
      </c>
      <c r="M3" s="14"/>
      <c r="N3" s="14"/>
      <c r="O3" s="14"/>
      <c r="Q3" s="15"/>
      <c r="R3" s="8"/>
      <c r="S3" s="9"/>
      <c r="T3" s="9"/>
      <c r="U3" s="9"/>
      <c r="V3" s="8"/>
    </row>
    <row r="4" spans="2:29" ht="15.75" thickBot="1" x14ac:dyDescent="0.3">
      <c r="B4" s="16"/>
      <c r="C4" s="8"/>
      <c r="D4" s="8"/>
      <c r="E4" s="8"/>
      <c r="F4" s="17"/>
      <c r="G4" s="8"/>
      <c r="H4" s="8"/>
      <c r="I4" s="8"/>
      <c r="J4" s="306"/>
      <c r="K4" s="306"/>
      <c r="L4" s="19"/>
      <c r="M4" s="8"/>
      <c r="N4" s="8"/>
      <c r="O4" s="8"/>
      <c r="Q4" s="15">
        <f>J3-Q2</f>
        <v>74</v>
      </c>
      <c r="R4" s="8"/>
      <c r="S4" s="9"/>
      <c r="T4" s="9"/>
      <c r="U4" s="8"/>
      <c r="V4" s="8"/>
    </row>
    <row r="5" spans="2:29"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5.2857142857142856</v>
      </c>
      <c r="R5" s="8"/>
      <c r="S5" s="9"/>
      <c r="T5" s="9"/>
      <c r="U5" s="266" t="s">
        <v>101</v>
      </c>
      <c r="V5" s="266" t="s">
        <v>3</v>
      </c>
      <c r="W5" t="s">
        <v>13</v>
      </c>
      <c r="X5" t="s">
        <v>14</v>
      </c>
      <c r="Z5" t="s">
        <v>101</v>
      </c>
      <c r="AA5" t="s">
        <v>3</v>
      </c>
      <c r="AB5" t="s">
        <v>13</v>
      </c>
      <c r="AC5" t="s">
        <v>14</v>
      </c>
    </row>
    <row r="6" spans="2:29" x14ac:dyDescent="0.3">
      <c r="B6" s="294" t="s">
        <v>100</v>
      </c>
      <c r="C6" s="293">
        <v>52</v>
      </c>
      <c r="D6" s="113">
        <v>30043.880000000005</v>
      </c>
      <c r="E6" s="292"/>
      <c r="F6" s="291">
        <v>1</v>
      </c>
      <c r="G6" s="290">
        <f t="shared" ref="G6:G19" si="0">D6*F6</f>
        <v>30043.880000000005</v>
      </c>
      <c r="H6" s="288">
        <f t="shared" ref="H6:H19" si="1">D6-G6</f>
        <v>0</v>
      </c>
      <c r="I6" s="289"/>
      <c r="J6" s="325"/>
      <c r="K6" s="325"/>
      <c r="L6" s="327" t="e">
        <f>SUM(G6:G7)/J6</f>
        <v>#DIV/0!</v>
      </c>
      <c r="M6" s="268"/>
      <c r="N6" s="113" t="e">
        <f>(L6/L$3)*J6</f>
        <v>#DIV/0!</v>
      </c>
      <c r="O6" s="288" t="e">
        <f>N6-J6</f>
        <v>#DIV/0!</v>
      </c>
      <c r="Q6" s="36">
        <v>51000</v>
      </c>
      <c r="R6" s="8"/>
      <c r="S6" s="9"/>
      <c r="T6" s="9"/>
      <c r="U6" s="287">
        <v>1</v>
      </c>
      <c r="V6" s="266" t="s">
        <v>72</v>
      </c>
      <c r="W6">
        <v>52</v>
      </c>
      <c r="X6">
        <v>30043.880000000005</v>
      </c>
      <c r="Z6">
        <v>1</v>
      </c>
      <c r="AA6" t="s">
        <v>72</v>
      </c>
      <c r="AB6">
        <v>52</v>
      </c>
      <c r="AC6">
        <v>30043.880000000005</v>
      </c>
    </row>
    <row r="7" spans="2:29" x14ac:dyDescent="0.3">
      <c r="B7" s="272" t="s">
        <v>90</v>
      </c>
      <c r="C7" s="115">
        <v>24</v>
      </c>
      <c r="D7" s="64">
        <v>10548.22</v>
      </c>
      <c r="E7" s="271"/>
      <c r="F7" s="270">
        <v>0.3</v>
      </c>
      <c r="G7" s="269">
        <f t="shared" si="0"/>
        <v>3164.4659999999999</v>
      </c>
      <c r="H7" s="267">
        <f t="shared" si="1"/>
        <v>7383.753999999999</v>
      </c>
      <c r="I7" s="8"/>
      <c r="J7" s="326"/>
      <c r="K7" s="326"/>
      <c r="L7" s="328"/>
      <c r="M7" s="268"/>
      <c r="N7" s="64"/>
      <c r="O7" s="267"/>
      <c r="Q7" s="36"/>
      <c r="R7" s="8"/>
      <c r="S7" s="9"/>
      <c r="T7" s="9"/>
      <c r="U7" s="264"/>
      <c r="V7" s="266" t="s">
        <v>31</v>
      </c>
      <c r="W7">
        <v>24</v>
      </c>
      <c r="X7">
        <v>10548.22</v>
      </c>
      <c r="AA7" t="s">
        <v>31</v>
      </c>
      <c r="AB7">
        <v>24</v>
      </c>
      <c r="AC7">
        <v>10548.22</v>
      </c>
    </row>
    <row r="8" spans="2:29" x14ac:dyDescent="0.3">
      <c r="B8" s="286" t="s">
        <v>99</v>
      </c>
      <c r="C8" s="285">
        <v>25</v>
      </c>
      <c r="D8" s="137">
        <v>13258.539999999994</v>
      </c>
      <c r="E8" s="284"/>
      <c r="F8" s="283">
        <v>1</v>
      </c>
      <c r="G8" s="282">
        <f t="shared" si="0"/>
        <v>13258.539999999994</v>
      </c>
      <c r="H8" s="280">
        <f t="shared" si="1"/>
        <v>0</v>
      </c>
      <c r="I8" s="281"/>
      <c r="J8" s="329"/>
      <c r="K8" s="329"/>
      <c r="L8" s="331" t="e">
        <f>SUM(G8:G9)/J8</f>
        <v>#DIV/0!</v>
      </c>
      <c r="M8" s="281"/>
      <c r="N8" s="137" t="e">
        <f>(L8/L$3)*J8</f>
        <v>#DIV/0!</v>
      </c>
      <c r="O8" s="280" t="e">
        <f>N8-J8</f>
        <v>#DIV/0!</v>
      </c>
      <c r="Q8" s="36">
        <v>37400</v>
      </c>
      <c r="R8" s="8"/>
      <c r="S8" s="9"/>
      <c r="T8" s="9"/>
      <c r="U8" s="287">
        <v>2</v>
      </c>
      <c r="V8" s="266" t="s">
        <v>72</v>
      </c>
      <c r="W8">
        <v>25</v>
      </c>
      <c r="X8">
        <v>13258.539999999994</v>
      </c>
      <c r="Z8">
        <v>2</v>
      </c>
      <c r="AA8" t="s">
        <v>72</v>
      </c>
      <c r="AB8">
        <v>25</v>
      </c>
      <c r="AC8">
        <v>13258.539999999994</v>
      </c>
    </row>
    <row r="9" spans="2:29" x14ac:dyDescent="0.3">
      <c r="B9" s="279" t="s">
        <v>90</v>
      </c>
      <c r="C9" s="278">
        <v>11</v>
      </c>
      <c r="D9" s="92">
        <v>647.62999999999988</v>
      </c>
      <c r="E9" s="277"/>
      <c r="F9" s="276">
        <v>0.3</v>
      </c>
      <c r="G9" s="275">
        <f t="shared" si="0"/>
        <v>194.28899999999996</v>
      </c>
      <c r="H9" s="273">
        <f t="shared" si="1"/>
        <v>453.34099999999989</v>
      </c>
      <c r="I9" s="274"/>
      <c r="J9" s="330"/>
      <c r="K9" s="330"/>
      <c r="L9" s="332"/>
      <c r="M9" s="274"/>
      <c r="N9" s="92"/>
      <c r="O9" s="273"/>
      <c r="Q9" s="36"/>
      <c r="R9" s="8"/>
      <c r="S9" s="9"/>
      <c r="T9" s="9"/>
      <c r="U9" s="264"/>
      <c r="V9" s="266" t="s">
        <v>31</v>
      </c>
      <c r="W9">
        <v>11</v>
      </c>
      <c r="X9">
        <v>647.62999999999988</v>
      </c>
      <c r="AA9" t="s">
        <v>31</v>
      </c>
      <c r="AB9">
        <v>11</v>
      </c>
      <c r="AC9">
        <v>647.62999999999988</v>
      </c>
    </row>
    <row r="10" spans="2:29" x14ac:dyDescent="0.3">
      <c r="B10" s="272" t="s">
        <v>98</v>
      </c>
      <c r="C10" s="115">
        <v>42</v>
      </c>
      <c r="D10" s="64">
        <v>32488.479999999992</v>
      </c>
      <c r="E10" s="271"/>
      <c r="F10" s="270">
        <v>1</v>
      </c>
      <c r="G10" s="269">
        <f t="shared" si="0"/>
        <v>32488.479999999992</v>
      </c>
      <c r="H10" s="267">
        <f t="shared" si="1"/>
        <v>0</v>
      </c>
      <c r="I10" s="8"/>
      <c r="J10" s="326"/>
      <c r="K10" s="326"/>
      <c r="L10" s="328"/>
      <c r="M10" s="268"/>
      <c r="N10" s="64"/>
      <c r="O10" s="267"/>
      <c r="Q10" s="36">
        <v>61200</v>
      </c>
      <c r="R10" s="8"/>
      <c r="S10" s="9"/>
      <c r="T10" s="9"/>
      <c r="U10" s="37">
        <v>3</v>
      </c>
      <c r="V10" t="s">
        <v>72</v>
      </c>
      <c r="W10">
        <v>42</v>
      </c>
      <c r="X10">
        <v>32488.479999999992</v>
      </c>
      <c r="Z10">
        <v>3</v>
      </c>
      <c r="AA10" t="s">
        <v>72</v>
      </c>
      <c r="AB10">
        <v>42</v>
      </c>
      <c r="AC10">
        <v>32488.479999999992</v>
      </c>
    </row>
    <row r="11" spans="2:29" x14ac:dyDescent="0.3">
      <c r="B11" s="272" t="s">
        <v>96</v>
      </c>
      <c r="C11" s="115">
        <v>14</v>
      </c>
      <c r="D11" s="64">
        <v>13411.699999999999</v>
      </c>
      <c r="E11" s="271"/>
      <c r="F11" s="270">
        <v>0.3</v>
      </c>
      <c r="G11" s="269">
        <f t="shared" si="0"/>
        <v>4023.5099999999993</v>
      </c>
      <c r="H11" s="267">
        <f t="shared" si="1"/>
        <v>9388.1899999999987</v>
      </c>
      <c r="I11" s="8"/>
      <c r="J11" s="326"/>
      <c r="K11" s="326"/>
      <c r="L11" s="328"/>
      <c r="M11" s="268"/>
      <c r="N11" s="64"/>
      <c r="O11" s="267"/>
      <c r="P11" s="45"/>
      <c r="Q11" s="36"/>
      <c r="R11" s="8"/>
      <c r="S11" s="9"/>
      <c r="T11" s="9"/>
      <c r="V11" t="s">
        <v>31</v>
      </c>
      <c r="W11">
        <v>14</v>
      </c>
      <c r="X11">
        <v>13411.699999999999</v>
      </c>
      <c r="AA11" t="s">
        <v>31</v>
      </c>
      <c r="AB11">
        <v>14</v>
      </c>
      <c r="AC11">
        <v>13411.699999999999</v>
      </c>
    </row>
    <row r="12" spans="2:29" x14ac:dyDescent="0.3">
      <c r="B12" s="286" t="s">
        <v>97</v>
      </c>
      <c r="C12" s="285">
        <v>36</v>
      </c>
      <c r="D12" s="137">
        <v>18979.509999999991</v>
      </c>
      <c r="E12" s="284"/>
      <c r="F12" s="283">
        <v>1</v>
      </c>
      <c r="G12" s="282">
        <f t="shared" si="0"/>
        <v>18979.509999999991</v>
      </c>
      <c r="H12" s="280">
        <f t="shared" si="1"/>
        <v>0</v>
      </c>
      <c r="I12" s="281"/>
      <c r="J12" s="329"/>
      <c r="K12" s="329"/>
      <c r="L12" s="331"/>
      <c r="M12" s="281"/>
      <c r="N12" s="137"/>
      <c r="O12" s="280"/>
      <c r="P12" s="45"/>
      <c r="Q12" s="36">
        <v>68000</v>
      </c>
      <c r="R12" s="8"/>
      <c r="S12" s="9"/>
      <c r="T12" s="9"/>
      <c r="U12" s="37">
        <v>4</v>
      </c>
      <c r="V12" t="s">
        <v>72</v>
      </c>
      <c r="W12">
        <v>36</v>
      </c>
      <c r="X12">
        <v>18979.509999999991</v>
      </c>
      <c r="Z12">
        <v>4</v>
      </c>
      <c r="AA12" t="s">
        <v>72</v>
      </c>
      <c r="AB12">
        <v>36</v>
      </c>
      <c r="AC12">
        <v>18979.509999999991</v>
      </c>
    </row>
    <row r="13" spans="2:29" x14ac:dyDescent="0.3">
      <c r="B13" s="279" t="s">
        <v>96</v>
      </c>
      <c r="C13" s="278">
        <v>16</v>
      </c>
      <c r="D13" s="92">
        <v>11925.449999999997</v>
      </c>
      <c r="E13" s="277"/>
      <c r="F13" s="276">
        <v>0.3</v>
      </c>
      <c r="G13" s="275">
        <f t="shared" si="0"/>
        <v>3577.6349999999989</v>
      </c>
      <c r="H13" s="273">
        <f t="shared" si="1"/>
        <v>8347.8149999999987</v>
      </c>
      <c r="I13" s="274"/>
      <c r="J13" s="330"/>
      <c r="K13" s="330"/>
      <c r="L13" s="332"/>
      <c r="M13" s="274"/>
      <c r="N13" s="92"/>
      <c r="O13" s="273"/>
      <c r="P13" s="45"/>
      <c r="Q13" s="36"/>
      <c r="R13" s="8"/>
      <c r="S13" s="9"/>
      <c r="T13" s="9"/>
      <c r="V13" t="s">
        <v>31</v>
      </c>
      <c r="W13">
        <v>16</v>
      </c>
      <c r="X13">
        <v>11925.449999999997</v>
      </c>
      <c r="AA13" t="s">
        <v>31</v>
      </c>
      <c r="AB13">
        <v>16</v>
      </c>
      <c r="AC13">
        <v>11925.449999999997</v>
      </c>
    </row>
    <row r="14" spans="2:29" x14ac:dyDescent="0.3">
      <c r="B14" s="272" t="s">
        <v>95</v>
      </c>
      <c r="C14" s="115">
        <v>35</v>
      </c>
      <c r="D14" s="64">
        <v>12708.059999999998</v>
      </c>
      <c r="E14" s="271"/>
      <c r="F14" s="270">
        <v>1</v>
      </c>
      <c r="G14" s="269">
        <f t="shared" si="0"/>
        <v>12708.059999999998</v>
      </c>
      <c r="H14" s="267">
        <f t="shared" si="1"/>
        <v>0</v>
      </c>
      <c r="I14" s="8"/>
      <c r="J14" s="326"/>
      <c r="K14" s="326"/>
      <c r="L14" s="328" t="e">
        <f>SUM(G14:G15)/J14</f>
        <v>#DIV/0!</v>
      </c>
      <c r="M14" s="268"/>
      <c r="N14" s="64" t="e">
        <f>(L14/L$3)*J14</f>
        <v>#DIV/0!</v>
      </c>
      <c r="O14" s="267" t="e">
        <f>N14-J14</f>
        <v>#DIV/0!</v>
      </c>
      <c r="P14" s="45"/>
      <c r="Q14" s="36">
        <v>34000</v>
      </c>
      <c r="R14" s="8"/>
      <c r="S14" s="9"/>
      <c r="T14" s="9"/>
      <c r="U14" s="37">
        <v>5</v>
      </c>
      <c r="V14" t="s">
        <v>72</v>
      </c>
      <c r="W14">
        <v>35</v>
      </c>
      <c r="X14">
        <v>12708.059999999998</v>
      </c>
      <c r="Z14">
        <v>5</v>
      </c>
      <c r="AA14" t="s">
        <v>72</v>
      </c>
      <c r="AB14">
        <v>35</v>
      </c>
      <c r="AC14">
        <v>12708.059999999998</v>
      </c>
    </row>
    <row r="15" spans="2:29" x14ac:dyDescent="0.3">
      <c r="B15" s="272" t="s">
        <v>94</v>
      </c>
      <c r="C15" s="115">
        <v>2</v>
      </c>
      <c r="D15" s="64">
        <v>656.31999999999994</v>
      </c>
      <c r="E15" s="271"/>
      <c r="F15" s="270">
        <v>0.3</v>
      </c>
      <c r="G15" s="269">
        <f t="shared" si="0"/>
        <v>196.89599999999999</v>
      </c>
      <c r="H15" s="267">
        <f t="shared" si="1"/>
        <v>459.42399999999998</v>
      </c>
      <c r="I15" s="8"/>
      <c r="J15" s="326"/>
      <c r="K15" s="326"/>
      <c r="L15" s="328"/>
      <c r="M15" s="268"/>
      <c r="N15" s="64"/>
      <c r="O15" s="267"/>
      <c r="P15" s="45"/>
      <c r="Q15" s="36"/>
      <c r="R15" s="8"/>
      <c r="S15" s="9"/>
      <c r="T15" s="9"/>
      <c r="V15" t="s">
        <v>31</v>
      </c>
      <c r="W15">
        <v>2</v>
      </c>
      <c r="X15">
        <v>656.31999999999994</v>
      </c>
      <c r="AA15" t="s">
        <v>31</v>
      </c>
      <c r="AB15">
        <v>2</v>
      </c>
      <c r="AC15">
        <v>656.31999999999994</v>
      </c>
    </row>
    <row r="16" spans="2:29" x14ac:dyDescent="0.3">
      <c r="B16" s="286" t="s">
        <v>93</v>
      </c>
      <c r="C16" s="285">
        <v>20</v>
      </c>
      <c r="D16" s="137">
        <v>9311.3700000000008</v>
      </c>
      <c r="E16" s="284"/>
      <c r="F16" s="283">
        <v>1</v>
      </c>
      <c r="G16" s="282">
        <f t="shared" si="0"/>
        <v>9311.3700000000008</v>
      </c>
      <c r="H16" s="280">
        <f t="shared" si="1"/>
        <v>0</v>
      </c>
      <c r="I16" s="281"/>
      <c r="J16" s="329"/>
      <c r="K16" s="329"/>
      <c r="L16" s="331" t="e">
        <f>SUM(G16:G17)/J16</f>
        <v>#DIV/0!</v>
      </c>
      <c r="M16" s="281"/>
      <c r="N16" s="137" t="e">
        <f>(L16/L$3)*J16</f>
        <v>#DIV/0!</v>
      </c>
      <c r="O16" s="280" t="e">
        <f>N16-J16</f>
        <v>#DIV/0!</v>
      </c>
      <c r="P16" s="45"/>
      <c r="Q16" s="36">
        <v>27200</v>
      </c>
      <c r="R16" s="8"/>
      <c r="S16" s="9"/>
      <c r="T16" s="9"/>
      <c r="U16" s="37">
        <v>6</v>
      </c>
      <c r="V16" t="s">
        <v>72</v>
      </c>
      <c r="W16">
        <v>20</v>
      </c>
      <c r="X16">
        <v>9311.3700000000008</v>
      </c>
      <c r="Z16">
        <v>6</v>
      </c>
      <c r="AA16" t="s">
        <v>72</v>
      </c>
      <c r="AB16">
        <v>20</v>
      </c>
      <c r="AC16">
        <v>9311.3700000000008</v>
      </c>
    </row>
    <row r="17" spans="2:29" x14ac:dyDescent="0.3">
      <c r="B17" s="279" t="s">
        <v>92</v>
      </c>
      <c r="C17" s="278">
        <v>9</v>
      </c>
      <c r="D17" s="92">
        <v>3313.3599999999997</v>
      </c>
      <c r="E17" s="277"/>
      <c r="F17" s="276">
        <v>0.3</v>
      </c>
      <c r="G17" s="275">
        <f t="shared" si="0"/>
        <v>994.00799999999981</v>
      </c>
      <c r="H17" s="273">
        <f t="shared" si="1"/>
        <v>2319.3519999999999</v>
      </c>
      <c r="I17" s="274"/>
      <c r="J17" s="330"/>
      <c r="K17" s="330"/>
      <c r="L17" s="332"/>
      <c r="M17" s="274"/>
      <c r="N17" s="92"/>
      <c r="O17" s="273"/>
      <c r="P17" s="45"/>
      <c r="Q17" s="36"/>
      <c r="R17" s="8"/>
      <c r="S17" s="9"/>
      <c r="T17" s="9"/>
      <c r="V17" t="s">
        <v>31</v>
      </c>
      <c r="W17">
        <v>9</v>
      </c>
      <c r="X17">
        <v>3313.3599999999997</v>
      </c>
      <c r="AA17" t="s">
        <v>31</v>
      </c>
      <c r="AB17">
        <v>9</v>
      </c>
      <c r="AC17">
        <v>3313.3599999999997</v>
      </c>
    </row>
    <row r="18" spans="2:29" x14ac:dyDescent="0.3">
      <c r="B18" s="272" t="s">
        <v>91</v>
      </c>
      <c r="C18" s="115">
        <v>14</v>
      </c>
      <c r="D18" s="64">
        <v>2613.1999999999994</v>
      </c>
      <c r="E18" s="271"/>
      <c r="F18" s="270">
        <v>1</v>
      </c>
      <c r="G18" s="269">
        <f t="shared" si="0"/>
        <v>2613.1999999999994</v>
      </c>
      <c r="H18" s="267">
        <f t="shared" si="1"/>
        <v>0</v>
      </c>
      <c r="I18" s="8"/>
      <c r="J18" s="326"/>
      <c r="K18" s="326"/>
      <c r="L18" s="328" t="e">
        <f>SUM(G18:G19)/J18</f>
        <v>#DIV/0!</v>
      </c>
      <c r="M18" s="268"/>
      <c r="N18" s="64" t="e">
        <f>(L18/L$3)*J18</f>
        <v>#DIV/0!</v>
      </c>
      <c r="O18" s="267" t="e">
        <f>N18-J18</f>
        <v>#DIV/0!</v>
      </c>
      <c r="P18" s="45"/>
      <c r="Q18" s="36">
        <v>61200</v>
      </c>
      <c r="R18" s="8"/>
      <c r="S18" s="9"/>
      <c r="T18" s="9"/>
      <c r="U18" s="264">
        <v>7</v>
      </c>
      <c r="V18" s="266" t="s">
        <v>72</v>
      </c>
      <c r="W18">
        <v>14</v>
      </c>
      <c r="X18">
        <v>2613.1999999999994</v>
      </c>
      <c r="Z18">
        <v>7</v>
      </c>
      <c r="AA18" t="s">
        <v>72</v>
      </c>
      <c r="AB18">
        <v>14</v>
      </c>
      <c r="AC18">
        <v>2613.1999999999994</v>
      </c>
    </row>
    <row r="19" spans="2:29" ht="15" thickBot="1" x14ac:dyDescent="0.35">
      <c r="B19" s="272" t="s">
        <v>90</v>
      </c>
      <c r="C19" s="115"/>
      <c r="D19" s="64"/>
      <c r="E19" s="271"/>
      <c r="F19" s="270">
        <v>0.3</v>
      </c>
      <c r="G19" s="269">
        <f t="shared" si="0"/>
        <v>0</v>
      </c>
      <c r="H19" s="267">
        <f t="shared" si="1"/>
        <v>0</v>
      </c>
      <c r="I19" s="8"/>
      <c r="J19" s="333"/>
      <c r="K19" s="333"/>
      <c r="L19" s="334"/>
      <c r="M19" s="268"/>
      <c r="N19" s="64"/>
      <c r="O19" s="267"/>
      <c r="P19" s="45"/>
      <c r="Q19" s="36"/>
      <c r="R19" s="8"/>
      <c r="S19" s="9"/>
      <c r="T19" s="9"/>
    </row>
    <row r="20" spans="2:29" ht="15.75" thickBot="1" x14ac:dyDescent="0.3">
      <c r="B20" s="176" t="s">
        <v>61</v>
      </c>
      <c r="C20" s="263">
        <v>300</v>
      </c>
      <c r="D20" s="162">
        <v>159905.71999999997</v>
      </c>
      <c r="E20" s="179"/>
      <c r="F20" s="262">
        <f>G20/D20</f>
        <v>0.82269629879406425</v>
      </c>
      <c r="G20" s="179">
        <f>SUM(G6:G19)</f>
        <v>131553.84399999995</v>
      </c>
      <c r="H20" s="179">
        <f>SUM(H6:H19)</f>
        <v>28351.875999999993</v>
      </c>
      <c r="I20" s="261"/>
      <c r="J20" s="162">
        <v>750000</v>
      </c>
      <c r="K20" s="182"/>
      <c r="L20" s="260">
        <f>SUM(G20)/J20</f>
        <v>0.17540512533333327</v>
      </c>
      <c r="M20" s="247"/>
      <c r="N20" s="162">
        <f>(L20/L$3)*J20</f>
        <v>647102.69210810785</v>
      </c>
      <c r="O20" s="182">
        <f>N20-J20</f>
        <v>-102897.30789189215</v>
      </c>
      <c r="Q20" s="162">
        <f>SUM(Q6:Q19)</f>
        <v>340000</v>
      </c>
      <c r="R20" s="8"/>
      <c r="S20" s="9"/>
      <c r="T20" s="9"/>
      <c r="U20" s="37" t="s">
        <v>61</v>
      </c>
      <c r="W20">
        <v>300</v>
      </c>
      <c r="X20">
        <v>159905.71999999997</v>
      </c>
      <c r="Z20" t="s">
        <v>61</v>
      </c>
      <c r="AB20">
        <v>300</v>
      </c>
      <c r="AC20">
        <v>159905.71999999997</v>
      </c>
    </row>
    <row r="21" spans="2:29" ht="15" x14ac:dyDescent="0.25">
      <c r="B21" s="183"/>
      <c r="C21" s="249"/>
      <c r="D21" s="185"/>
      <c r="E21" s="185"/>
      <c r="F21" s="185"/>
      <c r="G21" s="185"/>
      <c r="H21" s="185"/>
      <c r="I21" s="248"/>
      <c r="J21" s="185"/>
      <c r="K21" s="185"/>
      <c r="L21" s="185"/>
      <c r="M21" s="247"/>
      <c r="N21" s="185"/>
      <c r="O21" s="185"/>
      <c r="Q21" s="166"/>
      <c r="R21" s="8"/>
      <c r="S21" s="9"/>
      <c r="T21" s="9"/>
      <c r="U21" s="264"/>
      <c r="V21" s="266"/>
    </row>
    <row r="22" spans="2:29" ht="15.75" thickBot="1" x14ac:dyDescent="0.3">
      <c r="N22" s="168"/>
      <c r="Q22" s="36"/>
      <c r="R22" s="8"/>
      <c r="S22" s="9"/>
      <c r="T22" s="9"/>
      <c r="U22" s="264"/>
    </row>
    <row r="23" spans="2:29" ht="15.75" thickBot="1" x14ac:dyDescent="0.3">
      <c r="B23" s="186" t="s">
        <v>63</v>
      </c>
      <c r="C23" s="259"/>
      <c r="D23" s="188"/>
      <c r="E23" s="189"/>
      <c r="F23" s="189"/>
      <c r="G23" s="189">
        <f>G20</f>
        <v>131553.84399999995</v>
      </c>
      <c r="H23" s="190"/>
      <c r="I23" s="258"/>
      <c r="J23" s="188">
        <f>J20</f>
        <v>750000</v>
      </c>
      <c r="K23" s="189"/>
      <c r="L23" s="257">
        <f>SUM(G23)/J23</f>
        <v>0.17540512533333327</v>
      </c>
      <c r="M23" s="247"/>
      <c r="N23" s="162">
        <f>(L23/L$3)*J23</f>
        <v>647102.69210810785</v>
      </c>
      <c r="O23" s="182">
        <f>N23-J23</f>
        <v>-102897.30789189215</v>
      </c>
      <c r="Q23" s="166"/>
      <c r="R23" s="8"/>
      <c r="S23" s="9"/>
      <c r="T23" s="9"/>
      <c r="U23" s="264"/>
    </row>
    <row r="24" spans="2:29" ht="15.75" thickBot="1" x14ac:dyDescent="0.3">
      <c r="B24" s="192" t="s">
        <v>64</v>
      </c>
      <c r="C24" s="256"/>
      <c r="D24" s="194"/>
      <c r="E24" s="185"/>
      <c r="F24" s="185"/>
      <c r="G24" s="185"/>
      <c r="H24" s="195">
        <f>H20</f>
        <v>28351.875999999993</v>
      </c>
      <c r="I24" s="255"/>
      <c r="J24" s="194"/>
      <c r="K24" s="185">
        <f>K20</f>
        <v>0</v>
      </c>
      <c r="L24" s="254" t="e">
        <f>SUM(H20)/K20</f>
        <v>#DIV/0!</v>
      </c>
      <c r="M24" s="247"/>
      <c r="N24" s="162" t="e">
        <f>(L24/L$3)*K24</f>
        <v>#DIV/0!</v>
      </c>
      <c r="O24" s="182" t="e">
        <f>N24-K24</f>
        <v>#DIV/0!</v>
      </c>
      <c r="Q24" s="166"/>
      <c r="R24" s="8"/>
      <c r="S24" s="9"/>
      <c r="T24" s="9"/>
    </row>
    <row r="25" spans="2:29" ht="15.75" thickBot="1" x14ac:dyDescent="0.3">
      <c r="B25" s="197" t="s">
        <v>65</v>
      </c>
      <c r="C25" s="253"/>
      <c r="D25" s="199">
        <f>SUM(G20:H20)</f>
        <v>159905.71999999994</v>
      </c>
      <c r="E25" s="200"/>
      <c r="F25" s="200"/>
      <c r="G25" s="200"/>
      <c r="H25" s="201"/>
      <c r="I25" s="252"/>
      <c r="J25" s="202"/>
      <c r="K25" s="180">
        <f>SUM(J20:K20)</f>
        <v>750000</v>
      </c>
      <c r="L25" s="251">
        <f>SUM(D25)/K25</f>
        <v>0.21320762666666659</v>
      </c>
      <c r="M25" s="247"/>
      <c r="N25" s="162">
        <f>(L25/L$3)*K25</f>
        <v>786563.27135135105</v>
      </c>
      <c r="O25" s="182">
        <f>N25-K25</f>
        <v>36563.271351351053</v>
      </c>
      <c r="P25" s="168"/>
      <c r="Q25" s="166"/>
      <c r="R25" s="8"/>
      <c r="S25" s="9"/>
    </row>
    <row r="26" spans="2:29" ht="15" x14ac:dyDescent="0.25">
      <c r="B26" s="183"/>
      <c r="C26" s="249"/>
      <c r="D26" s="185"/>
      <c r="E26" s="185"/>
      <c r="F26" s="185"/>
      <c r="G26" s="185"/>
      <c r="H26" s="185"/>
      <c r="I26" s="248"/>
      <c r="J26" s="185"/>
      <c r="K26" s="185"/>
      <c r="L26" s="247"/>
      <c r="M26" s="247"/>
      <c r="N26" s="185"/>
      <c r="O26" s="185"/>
      <c r="Q26" s="166"/>
      <c r="R26" s="8"/>
      <c r="S26" s="9"/>
      <c r="T26" s="9"/>
    </row>
    <row r="27" spans="2:29" ht="21" customHeight="1" thickBot="1" x14ac:dyDescent="0.3">
      <c r="C27" s="246"/>
      <c r="D27" s="214"/>
      <c r="E27" s="214"/>
      <c r="F27" s="214"/>
      <c r="G27" s="214"/>
      <c r="H27" s="214"/>
      <c r="I27" s="214"/>
      <c r="J27" s="214"/>
      <c r="K27" s="214"/>
      <c r="L27" s="214"/>
      <c r="M27" s="214"/>
      <c r="N27" s="214"/>
      <c r="O27" s="214"/>
      <c r="Q27" s="169"/>
      <c r="R27" s="170"/>
      <c r="S27" s="171"/>
      <c r="T27" s="171"/>
    </row>
    <row r="28" spans="2:29" ht="21" customHeight="1" x14ac:dyDescent="0.25">
      <c r="B28" s="335" t="s">
        <v>133</v>
      </c>
      <c r="C28" s="336"/>
      <c r="D28" s="336"/>
      <c r="E28" s="336"/>
      <c r="F28" s="336"/>
      <c r="G28" s="336"/>
      <c r="H28" s="336"/>
      <c r="I28" s="336"/>
      <c r="J28" s="336"/>
      <c r="K28" s="336"/>
      <c r="L28" s="336"/>
      <c r="M28" s="313"/>
      <c r="N28" s="313"/>
      <c r="O28" s="313"/>
      <c r="U28" s="264"/>
    </row>
    <row r="29" spans="2:29" s="173" customFormat="1" ht="39.75" customHeight="1" x14ac:dyDescent="0.25">
      <c r="B29" s="336" t="s">
        <v>89</v>
      </c>
      <c r="C29" s="336"/>
      <c r="D29" s="336"/>
      <c r="E29" s="336"/>
      <c r="F29" s="336"/>
      <c r="G29" s="336"/>
      <c r="H29" s="336"/>
      <c r="I29" s="336"/>
      <c r="J29" s="336"/>
      <c r="K29" s="336"/>
      <c r="L29" s="336"/>
      <c r="M29" s="313"/>
      <c r="N29" s="313"/>
      <c r="O29" s="313"/>
      <c r="Q29" s="172"/>
      <c r="R29" s="174"/>
      <c r="S29" s="175"/>
      <c r="T29" s="175"/>
      <c r="U29" s="264"/>
      <c r="V29"/>
    </row>
    <row r="30" spans="2:29" s="173" customFormat="1" ht="39.75" hidden="1" customHeight="1" x14ac:dyDescent="0.25">
      <c r="B30" t="s">
        <v>88</v>
      </c>
      <c r="C30"/>
      <c r="D30"/>
      <c r="E30"/>
      <c r="F30"/>
      <c r="G30"/>
      <c r="H30"/>
      <c r="I30"/>
      <c r="J30" s="234"/>
      <c r="K30" s="234"/>
      <c r="L30"/>
      <c r="M30"/>
      <c r="N30"/>
      <c r="O30"/>
      <c r="Q30" s="172"/>
      <c r="S30" s="175"/>
      <c r="T30" s="175"/>
      <c r="U30" s="264"/>
      <c r="V30"/>
    </row>
    <row r="31" spans="2:29" ht="15" hidden="1" x14ac:dyDescent="0.25">
      <c r="B31" t="s">
        <v>23</v>
      </c>
      <c r="C31">
        <v>2</v>
      </c>
      <c r="D31">
        <v>827.92</v>
      </c>
      <c r="J31">
        <v>340000</v>
      </c>
    </row>
    <row r="32" spans="2:29"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c r="S47"/>
      <c r="T47"/>
      <c r="U47"/>
    </row>
    <row r="48" spans="2:21"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ht="15" x14ac:dyDescent="0.25">
      <c r="S53"/>
      <c r="T53"/>
      <c r="U53"/>
    </row>
    <row r="54" spans="19:21" ht="15" x14ac:dyDescent="0.25">
      <c r="S54"/>
      <c r="T54"/>
      <c r="U54"/>
    </row>
    <row r="55" spans="19:21" ht="15" x14ac:dyDescent="0.25">
      <c r="S55"/>
      <c r="T55"/>
      <c r="U55"/>
    </row>
    <row r="56" spans="19:21" ht="15" x14ac:dyDescent="0.25">
      <c r="S56"/>
      <c r="T56"/>
      <c r="U56"/>
    </row>
    <row r="57" spans="19:21" ht="15" x14ac:dyDescent="0.25">
      <c r="S57"/>
      <c r="T57"/>
      <c r="U57"/>
    </row>
    <row r="58" spans="19:21" ht="15" x14ac:dyDescent="0.25">
      <c r="S58"/>
      <c r="T58"/>
      <c r="U58"/>
    </row>
    <row r="59" spans="19:21" ht="15" x14ac:dyDescent="0.25">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446" priority="15" operator="greaterThan">
      <formula>$L$3</formula>
    </cfRule>
  </conditionalFormatting>
  <conditionalFormatting sqref="L23:L24">
    <cfRule type="cellIs" dxfId="445" priority="14" operator="greaterThan">
      <formula>$L$3</formula>
    </cfRule>
  </conditionalFormatting>
  <conditionalFormatting sqref="M40:M41 L37:M37 M38 L42:M43">
    <cfRule type="cellIs" dxfId="444" priority="13" operator="greaterThan">
      <formula>$L$3</formula>
    </cfRule>
  </conditionalFormatting>
  <conditionalFormatting sqref="L40:L41">
    <cfRule type="cellIs" dxfId="443" priority="12" operator="greaterThan">
      <formula>$L$3</formula>
    </cfRule>
  </conditionalFormatting>
  <conditionalFormatting sqref="M6:M7">
    <cfRule type="cellIs" dxfId="442" priority="11" operator="greaterThan">
      <formula>$L$3</formula>
    </cfRule>
  </conditionalFormatting>
  <conditionalFormatting sqref="M10:M11">
    <cfRule type="cellIs" dxfId="441" priority="10" operator="greaterThan">
      <formula>$L$3</formula>
    </cfRule>
  </conditionalFormatting>
  <conditionalFormatting sqref="M14:M15">
    <cfRule type="cellIs" dxfId="440" priority="9" operator="greaterThan">
      <formula>$L$3</formula>
    </cfRule>
  </conditionalFormatting>
  <conditionalFormatting sqref="M18:M19">
    <cfRule type="cellIs" dxfId="439" priority="8" operator="greaterThan">
      <formula>$L$3</formula>
    </cfRule>
  </conditionalFormatting>
  <conditionalFormatting sqref="L6:L7">
    <cfRule type="cellIs" dxfId="438" priority="7" operator="greaterThan">
      <formula>$L$3</formula>
    </cfRule>
  </conditionalFormatting>
  <conditionalFormatting sqref="L8:L9">
    <cfRule type="cellIs" dxfId="437" priority="6" operator="greaterThan">
      <formula>$L$3</formula>
    </cfRule>
  </conditionalFormatting>
  <conditionalFormatting sqref="L10:L11">
    <cfRule type="cellIs" dxfId="436" priority="5" operator="greaterThan">
      <formula>$L$3</formula>
    </cfRule>
  </conditionalFormatting>
  <conditionalFormatting sqref="L12:L13">
    <cfRule type="cellIs" dxfId="435" priority="4" operator="greaterThan">
      <formula>$L$3</formula>
    </cfRule>
  </conditionalFormatting>
  <conditionalFormatting sqref="L14:L15">
    <cfRule type="cellIs" dxfId="434" priority="3" operator="greaterThan">
      <formula>$L$3</formula>
    </cfRule>
  </conditionalFormatting>
  <conditionalFormatting sqref="L16:L17">
    <cfRule type="cellIs" dxfId="433" priority="2" operator="greaterThan">
      <formula>$L$3</formula>
    </cfRule>
  </conditionalFormatting>
  <conditionalFormatting sqref="L18:L19">
    <cfRule type="cellIs" dxfId="432"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F175"/>
  <sheetViews>
    <sheetView zoomScale="70" zoomScaleNormal="70" workbookViewId="0">
      <selection activeCell="J3" sqref="J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109375" customWidth="1"/>
    <col min="16" max="16" width="18.6640625" customWidth="1"/>
    <col min="17" max="17" width="18.6640625" style="172" hidden="1" customWidth="1"/>
    <col min="18" max="18" width="18.6640625" hidden="1" customWidth="1"/>
    <col min="19" max="21" width="18.6640625" style="37" hidden="1" customWidth="1"/>
    <col min="22" max="32" width="18.6640625" hidden="1" customWidth="1"/>
    <col min="33" max="34" width="18.6640625" customWidth="1"/>
  </cols>
  <sheetData>
    <row r="1" spans="2:32" ht="15.75" thickBot="1" x14ac:dyDescent="0.3">
      <c r="Q1" s="323" t="s">
        <v>0</v>
      </c>
      <c r="R1" s="324"/>
      <c r="S1" s="324"/>
      <c r="T1" s="324"/>
      <c r="U1" s="324"/>
      <c r="V1" s="324"/>
    </row>
    <row r="2" spans="2:32" ht="30" x14ac:dyDescent="0.25">
      <c r="B2" s="2"/>
      <c r="C2" s="3"/>
      <c r="D2" s="3"/>
      <c r="E2" s="3"/>
      <c r="F2" s="3"/>
      <c r="G2" s="3"/>
      <c r="H2" s="3"/>
      <c r="I2" s="3"/>
      <c r="J2" s="4" t="s">
        <v>1</v>
      </c>
      <c r="K2" s="308"/>
      <c r="L2" s="5" t="s">
        <v>2</v>
      </c>
      <c r="M2" s="6"/>
      <c r="N2" s="6"/>
      <c r="O2" s="6"/>
      <c r="Q2" s="7">
        <v>41456</v>
      </c>
      <c r="R2" s="8"/>
      <c r="S2" s="9"/>
      <c r="T2" s="9"/>
      <c r="U2" s="9"/>
      <c r="V2" s="8"/>
    </row>
    <row r="3" spans="2:32" ht="18.75" x14ac:dyDescent="0.3">
      <c r="B3" s="10" t="s">
        <v>135</v>
      </c>
      <c r="C3" s="11"/>
      <c r="D3" s="8"/>
      <c r="E3" s="8"/>
      <c r="F3" s="8"/>
      <c r="G3" s="8"/>
      <c r="H3" s="8"/>
      <c r="I3" s="8"/>
      <c r="J3" s="12">
        <v>41530</v>
      </c>
      <c r="K3" s="307"/>
      <c r="L3" s="13">
        <f>$Q$5/26</f>
        <v>0.2032967032967033</v>
      </c>
      <c r="M3" s="14"/>
      <c r="N3" s="14"/>
      <c r="O3" s="14"/>
      <c r="Q3" s="15"/>
      <c r="R3" s="8"/>
      <c r="S3" s="9"/>
      <c r="T3" s="9"/>
      <c r="U3" s="9"/>
      <c r="V3" s="8"/>
    </row>
    <row r="4" spans="2:32" ht="15.75" thickBot="1" x14ac:dyDescent="0.3">
      <c r="B4" s="16"/>
      <c r="C4" s="8"/>
      <c r="D4" s="8"/>
      <c r="E4" s="8"/>
      <c r="F4" s="17"/>
      <c r="G4" s="8"/>
      <c r="H4" s="8"/>
      <c r="I4" s="8"/>
      <c r="J4" s="306"/>
      <c r="K4" s="306"/>
      <c r="L4" s="19"/>
      <c r="M4" s="8"/>
      <c r="N4" s="8"/>
      <c r="O4" s="8"/>
      <c r="Q4" s="15">
        <f>J3-Q2</f>
        <v>74</v>
      </c>
      <c r="R4" s="8"/>
      <c r="S4" s="9"/>
      <c r="T4" s="9"/>
      <c r="U4" s="8"/>
      <c r="V4" s="8"/>
    </row>
    <row r="5" spans="2:32"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5.2857142857142856</v>
      </c>
      <c r="R5" s="8"/>
      <c r="S5" s="9"/>
      <c r="T5" s="9"/>
      <c r="U5"/>
    </row>
    <row r="6" spans="2:32" x14ac:dyDescent="0.3">
      <c r="B6" s="294" t="s">
        <v>115</v>
      </c>
      <c r="C6" s="293">
        <v>6</v>
      </c>
      <c r="D6" s="113">
        <v>4804.6500000000005</v>
      </c>
      <c r="E6" s="292"/>
      <c r="F6" s="291">
        <v>1</v>
      </c>
      <c r="G6" s="290">
        <f t="shared" ref="G6:G19" si="0">D6*F6</f>
        <v>4804.6500000000005</v>
      </c>
      <c r="H6" s="288">
        <f t="shared" ref="H6:H19" si="1">D6-G6</f>
        <v>0</v>
      </c>
      <c r="I6" s="289"/>
      <c r="J6" s="325"/>
      <c r="K6" s="325"/>
      <c r="L6" s="327" t="e">
        <f>SUM(G6:G7)/J6</f>
        <v>#DIV/0!</v>
      </c>
      <c r="M6" s="268"/>
      <c r="N6" s="113" t="e">
        <f>(L6/L$3)*J6</f>
        <v>#DIV/0!</v>
      </c>
      <c r="O6" s="288" t="e">
        <f>N6-J6</f>
        <v>#DIV/0!</v>
      </c>
      <c r="Q6" s="36">
        <v>51000</v>
      </c>
      <c r="R6" s="8"/>
      <c r="S6" s="9"/>
      <c r="T6" s="9"/>
      <c r="U6" s="37" t="s">
        <v>101</v>
      </c>
      <c r="V6" t="s">
        <v>3</v>
      </c>
      <c r="W6" t="s">
        <v>13</v>
      </c>
      <c r="X6" t="s">
        <v>14</v>
      </c>
      <c r="AA6" t="s">
        <v>101</v>
      </c>
      <c r="AB6" t="s">
        <v>3</v>
      </c>
      <c r="AC6" t="s">
        <v>13</v>
      </c>
      <c r="AD6" t="s">
        <v>101</v>
      </c>
      <c r="AE6" t="s">
        <v>3</v>
      </c>
      <c r="AF6" t="s">
        <v>14</v>
      </c>
    </row>
    <row r="7" spans="2:32" x14ac:dyDescent="0.3">
      <c r="B7" s="272" t="s">
        <v>108</v>
      </c>
      <c r="C7" s="115">
        <v>18</v>
      </c>
      <c r="D7" s="64">
        <v>19555.650000000001</v>
      </c>
      <c r="E7" s="271"/>
      <c r="F7" s="270">
        <v>0.3</v>
      </c>
      <c r="G7" s="269">
        <f t="shared" si="0"/>
        <v>5866.6950000000006</v>
      </c>
      <c r="H7" s="267">
        <f t="shared" si="1"/>
        <v>13688.955000000002</v>
      </c>
      <c r="I7" s="8"/>
      <c r="J7" s="326"/>
      <c r="K7" s="326"/>
      <c r="L7" s="328"/>
      <c r="M7" s="268"/>
      <c r="N7" s="64"/>
      <c r="O7" s="267"/>
      <c r="Q7" s="36"/>
      <c r="R7" s="8"/>
      <c r="S7" s="9"/>
      <c r="T7" s="9"/>
      <c r="U7" s="37">
        <v>1</v>
      </c>
      <c r="V7" t="s">
        <v>53</v>
      </c>
      <c r="W7">
        <v>6</v>
      </c>
      <c r="X7">
        <v>4804.6500000000005</v>
      </c>
      <c r="AA7">
        <v>1</v>
      </c>
      <c r="AB7" t="s">
        <v>53</v>
      </c>
      <c r="AC7">
        <v>6</v>
      </c>
      <c r="AD7">
        <v>1</v>
      </c>
      <c r="AE7" t="s">
        <v>53</v>
      </c>
      <c r="AF7">
        <v>4804.6500000000005</v>
      </c>
    </row>
    <row r="8" spans="2:32" x14ac:dyDescent="0.3">
      <c r="B8" s="286" t="s">
        <v>114</v>
      </c>
      <c r="C8" s="285"/>
      <c r="D8" s="137"/>
      <c r="E8" s="284"/>
      <c r="F8" s="283">
        <v>1</v>
      </c>
      <c r="G8" s="282">
        <f t="shared" si="0"/>
        <v>0</v>
      </c>
      <c r="H8" s="280">
        <f t="shared" si="1"/>
        <v>0</v>
      </c>
      <c r="I8" s="281"/>
      <c r="J8" s="329"/>
      <c r="K8" s="329"/>
      <c r="L8" s="331" t="e">
        <f>SUM(G8:G9)/J8</f>
        <v>#DIV/0!</v>
      </c>
      <c r="M8" s="281"/>
      <c r="N8" s="137" t="e">
        <f>(L8/L$3)*J8</f>
        <v>#DIV/0!</v>
      </c>
      <c r="O8" s="280" t="e">
        <f>N8-J8</f>
        <v>#DIV/0!</v>
      </c>
      <c r="Q8" s="36">
        <v>37400</v>
      </c>
      <c r="R8" s="8"/>
      <c r="S8" s="9"/>
      <c r="T8" s="9"/>
      <c r="V8" t="s">
        <v>55</v>
      </c>
      <c r="W8">
        <v>18</v>
      </c>
      <c r="X8">
        <v>19555.650000000001</v>
      </c>
      <c r="AB8" t="s">
        <v>55</v>
      </c>
      <c r="AC8">
        <v>18</v>
      </c>
      <c r="AE8" t="s">
        <v>55</v>
      </c>
      <c r="AF8">
        <v>19555.650000000001</v>
      </c>
    </row>
    <row r="9" spans="2:32" x14ac:dyDescent="0.3">
      <c r="B9" s="279" t="s">
        <v>108</v>
      </c>
      <c r="C9" s="278"/>
      <c r="D9" s="92"/>
      <c r="E9" s="277"/>
      <c r="F9" s="276">
        <v>0.3</v>
      </c>
      <c r="G9" s="275">
        <f t="shared" si="0"/>
        <v>0</v>
      </c>
      <c r="H9" s="273">
        <f t="shared" si="1"/>
        <v>0</v>
      </c>
      <c r="I9" s="274"/>
      <c r="J9" s="330"/>
      <c r="K9" s="330"/>
      <c r="L9" s="332"/>
      <c r="M9" s="274"/>
      <c r="N9" s="92"/>
      <c r="O9" s="273"/>
      <c r="Q9" s="36"/>
      <c r="R9" s="8"/>
      <c r="S9" s="9"/>
      <c r="T9" s="9"/>
    </row>
    <row r="10" spans="2:32" x14ac:dyDescent="0.3">
      <c r="B10" s="272" t="s">
        <v>113</v>
      </c>
      <c r="C10" s="115">
        <v>4</v>
      </c>
      <c r="D10" s="64">
        <v>2856.1000000000008</v>
      </c>
      <c r="E10" s="271"/>
      <c r="F10" s="270">
        <v>1</v>
      </c>
      <c r="G10" s="269">
        <f t="shared" si="0"/>
        <v>2856.1000000000008</v>
      </c>
      <c r="H10" s="267">
        <f t="shared" si="1"/>
        <v>0</v>
      </c>
      <c r="I10" s="8"/>
      <c r="J10" s="326"/>
      <c r="K10" s="326"/>
      <c r="L10" s="328" t="e">
        <f>SUM(G10:G11)/J10</f>
        <v>#DIV/0!</v>
      </c>
      <c r="M10" s="268"/>
      <c r="N10" s="64" t="e">
        <f>(L10/L$3)*J10</f>
        <v>#DIV/0!</v>
      </c>
      <c r="O10" s="267" t="e">
        <f>N10-J10</f>
        <v>#DIV/0!</v>
      </c>
      <c r="Q10" s="36">
        <v>61200</v>
      </c>
      <c r="R10" s="8"/>
      <c r="S10" s="9"/>
      <c r="T10" s="9"/>
    </row>
    <row r="11" spans="2:32" x14ac:dyDescent="0.3">
      <c r="B11" s="272" t="s">
        <v>108</v>
      </c>
      <c r="C11" s="115">
        <v>1</v>
      </c>
      <c r="D11" s="64">
        <v>471.5</v>
      </c>
      <c r="E11" s="271"/>
      <c r="F11" s="270">
        <v>0.3</v>
      </c>
      <c r="G11" s="269">
        <f t="shared" si="0"/>
        <v>141.44999999999999</v>
      </c>
      <c r="H11" s="267">
        <f t="shared" si="1"/>
        <v>330.05</v>
      </c>
      <c r="I11" s="8"/>
      <c r="J11" s="326"/>
      <c r="K11" s="326"/>
      <c r="L11" s="328"/>
      <c r="M11" s="268"/>
      <c r="N11" s="64"/>
      <c r="O11" s="267"/>
      <c r="P11" s="45"/>
      <c r="Q11" s="36"/>
      <c r="R11" s="8"/>
      <c r="S11" s="9"/>
      <c r="T11" s="9"/>
      <c r="U11" s="37">
        <v>3</v>
      </c>
      <c r="V11" t="s">
        <v>53</v>
      </c>
      <c r="W11">
        <v>4</v>
      </c>
      <c r="X11">
        <v>2856.1000000000008</v>
      </c>
      <c r="AA11">
        <v>3</v>
      </c>
      <c r="AB11" t="s">
        <v>53</v>
      </c>
      <c r="AC11">
        <v>4</v>
      </c>
      <c r="AD11">
        <v>3</v>
      </c>
      <c r="AE11" t="s">
        <v>53</v>
      </c>
      <c r="AF11">
        <v>2856.1000000000008</v>
      </c>
    </row>
    <row r="12" spans="2:32" x14ac:dyDescent="0.3">
      <c r="B12" s="286" t="s">
        <v>112</v>
      </c>
      <c r="C12" s="285">
        <v>18</v>
      </c>
      <c r="D12" s="137">
        <v>19813.439999999999</v>
      </c>
      <c r="E12" s="284"/>
      <c r="F12" s="283">
        <v>1</v>
      </c>
      <c r="G12" s="282">
        <f t="shared" si="0"/>
        <v>19813.439999999999</v>
      </c>
      <c r="H12" s="280">
        <f t="shared" si="1"/>
        <v>0</v>
      </c>
      <c r="I12" s="281"/>
      <c r="J12" s="329"/>
      <c r="K12" s="329"/>
      <c r="L12" s="331" t="e">
        <f>SUM(G12:G13)/J12</f>
        <v>#DIV/0!</v>
      </c>
      <c r="M12" s="281"/>
      <c r="N12" s="137" t="e">
        <f>(L12/L$3)*J12</f>
        <v>#DIV/0!</v>
      </c>
      <c r="O12" s="280" t="e">
        <f>N12-J12</f>
        <v>#DIV/0!</v>
      </c>
      <c r="P12" s="45"/>
      <c r="Q12" s="36">
        <v>68000</v>
      </c>
      <c r="R12" s="8"/>
      <c r="S12" s="9"/>
      <c r="T12" s="9"/>
      <c r="V12" t="s">
        <v>55</v>
      </c>
      <c r="W12">
        <v>1</v>
      </c>
      <c r="X12">
        <v>471.5</v>
      </c>
      <c r="AB12" t="s">
        <v>55</v>
      </c>
      <c r="AC12">
        <v>1</v>
      </c>
      <c r="AE12" t="s">
        <v>55</v>
      </c>
      <c r="AF12">
        <v>471.5</v>
      </c>
    </row>
    <row r="13" spans="2:32" x14ac:dyDescent="0.3">
      <c r="B13" s="279" t="s">
        <v>108</v>
      </c>
      <c r="C13" s="278">
        <v>2</v>
      </c>
      <c r="D13" s="92">
        <v>2241.4899999999998</v>
      </c>
      <c r="E13" s="277"/>
      <c r="F13" s="276">
        <v>0.3</v>
      </c>
      <c r="G13" s="275">
        <f t="shared" si="0"/>
        <v>672.44699999999989</v>
      </c>
      <c r="H13" s="273">
        <f t="shared" si="1"/>
        <v>1569.0429999999999</v>
      </c>
      <c r="I13" s="274"/>
      <c r="J13" s="330"/>
      <c r="K13" s="330"/>
      <c r="L13" s="332"/>
      <c r="M13" s="274"/>
      <c r="N13" s="92"/>
      <c r="O13" s="273"/>
      <c r="P13" s="45"/>
      <c r="Q13" s="36"/>
      <c r="R13" s="8"/>
      <c r="S13" s="9"/>
      <c r="T13" s="9"/>
      <c r="U13" s="37">
        <v>4</v>
      </c>
      <c r="V13" t="s">
        <v>53</v>
      </c>
      <c r="W13">
        <v>18</v>
      </c>
      <c r="X13">
        <v>19813.439999999999</v>
      </c>
      <c r="AA13">
        <v>4</v>
      </c>
      <c r="AB13" t="s">
        <v>53</v>
      </c>
      <c r="AC13">
        <v>18</v>
      </c>
      <c r="AD13">
        <v>4</v>
      </c>
      <c r="AE13" t="s">
        <v>53</v>
      </c>
      <c r="AF13">
        <v>19813.439999999999</v>
      </c>
    </row>
    <row r="14" spans="2:32" x14ac:dyDescent="0.3">
      <c r="B14" s="272" t="s">
        <v>111</v>
      </c>
      <c r="C14" s="115">
        <v>6</v>
      </c>
      <c r="D14" s="64">
        <v>5527.2199999999993</v>
      </c>
      <c r="E14" s="271"/>
      <c r="F14" s="270">
        <v>1</v>
      </c>
      <c r="G14" s="269">
        <f t="shared" si="0"/>
        <v>5527.2199999999993</v>
      </c>
      <c r="H14" s="267">
        <f t="shared" si="1"/>
        <v>0</v>
      </c>
      <c r="I14" s="8"/>
      <c r="J14" s="326"/>
      <c r="K14" s="326"/>
      <c r="L14" s="328" t="e">
        <f>SUM(G14:G15)/J14</f>
        <v>#DIV/0!</v>
      </c>
      <c r="M14" s="268"/>
      <c r="N14" s="64" t="e">
        <f>(L14/L$3)*J14</f>
        <v>#DIV/0!</v>
      </c>
      <c r="O14" s="267" t="e">
        <f>N14-J14</f>
        <v>#DIV/0!</v>
      </c>
      <c r="P14" s="45"/>
      <c r="Q14" s="36">
        <v>34000</v>
      </c>
      <c r="R14" s="8"/>
      <c r="S14" s="9"/>
      <c r="T14" s="9"/>
      <c r="V14" t="s">
        <v>55</v>
      </c>
      <c r="W14">
        <v>2</v>
      </c>
      <c r="X14">
        <v>2241.4899999999998</v>
      </c>
      <c r="AB14" t="s">
        <v>55</v>
      </c>
      <c r="AC14">
        <v>2</v>
      </c>
      <c r="AE14" t="s">
        <v>55</v>
      </c>
      <c r="AF14">
        <v>2241.4899999999998</v>
      </c>
    </row>
    <row r="15" spans="2:32" x14ac:dyDescent="0.3">
      <c r="B15" s="272" t="s">
        <v>108</v>
      </c>
      <c r="C15" s="115">
        <v>3</v>
      </c>
      <c r="D15" s="64">
        <v>1126.25</v>
      </c>
      <c r="E15" s="271"/>
      <c r="F15" s="270">
        <v>0.3</v>
      </c>
      <c r="G15" s="269">
        <f t="shared" si="0"/>
        <v>337.875</v>
      </c>
      <c r="H15" s="267">
        <f t="shared" si="1"/>
        <v>788.375</v>
      </c>
      <c r="I15" s="8"/>
      <c r="J15" s="326"/>
      <c r="K15" s="326"/>
      <c r="L15" s="328"/>
      <c r="M15" s="268"/>
      <c r="N15" s="64"/>
      <c r="O15" s="267"/>
      <c r="P15" s="45"/>
      <c r="Q15" s="36"/>
      <c r="R15" s="8"/>
      <c r="S15" s="9"/>
      <c r="T15" s="9"/>
      <c r="U15" s="37">
        <v>5</v>
      </c>
      <c r="V15" t="s">
        <v>53</v>
      </c>
      <c r="W15">
        <v>6</v>
      </c>
      <c r="X15">
        <v>5527.2199999999993</v>
      </c>
      <c r="AA15">
        <v>5</v>
      </c>
      <c r="AB15" t="s">
        <v>53</v>
      </c>
      <c r="AC15">
        <v>6</v>
      </c>
      <c r="AD15">
        <v>5</v>
      </c>
      <c r="AE15" t="s">
        <v>53</v>
      </c>
      <c r="AF15">
        <v>5527.2199999999993</v>
      </c>
    </row>
    <row r="16" spans="2:32" x14ac:dyDescent="0.3">
      <c r="B16" s="286" t="s">
        <v>110</v>
      </c>
      <c r="C16" s="285">
        <v>7</v>
      </c>
      <c r="D16" s="137">
        <v>5279.31</v>
      </c>
      <c r="E16" s="284"/>
      <c r="F16" s="283">
        <v>1</v>
      </c>
      <c r="G16" s="282">
        <f t="shared" si="0"/>
        <v>5279.31</v>
      </c>
      <c r="H16" s="280">
        <f t="shared" si="1"/>
        <v>0</v>
      </c>
      <c r="I16" s="281"/>
      <c r="J16" s="329"/>
      <c r="K16" s="329"/>
      <c r="L16" s="331" t="e">
        <f>SUM(G16:G17)/J16</f>
        <v>#DIV/0!</v>
      </c>
      <c r="M16" s="281"/>
      <c r="N16" s="137" t="e">
        <f>(L16/L$3)*J16</f>
        <v>#DIV/0!</v>
      </c>
      <c r="O16" s="280" t="e">
        <f>N16-J16</f>
        <v>#DIV/0!</v>
      </c>
      <c r="P16" s="45"/>
      <c r="Q16" s="36">
        <v>27200</v>
      </c>
      <c r="R16" s="8"/>
      <c r="S16" s="9"/>
      <c r="T16" s="9"/>
      <c r="V16" t="s">
        <v>55</v>
      </c>
      <c r="W16">
        <v>3</v>
      </c>
      <c r="X16">
        <v>1126.25</v>
      </c>
      <c r="AB16" t="s">
        <v>55</v>
      </c>
      <c r="AC16">
        <v>3</v>
      </c>
      <c r="AE16" t="s">
        <v>55</v>
      </c>
      <c r="AF16">
        <v>1126.25</v>
      </c>
    </row>
    <row r="17" spans="2:32" x14ac:dyDescent="0.3">
      <c r="B17" s="279" t="s">
        <v>108</v>
      </c>
      <c r="C17" s="278"/>
      <c r="D17" s="92"/>
      <c r="E17" s="277"/>
      <c r="F17" s="276">
        <v>0.3</v>
      </c>
      <c r="G17" s="275">
        <f t="shared" si="0"/>
        <v>0</v>
      </c>
      <c r="H17" s="273">
        <f t="shared" si="1"/>
        <v>0</v>
      </c>
      <c r="I17" s="274"/>
      <c r="J17" s="330"/>
      <c r="K17" s="330"/>
      <c r="L17" s="332"/>
      <c r="M17" s="274"/>
      <c r="N17" s="92"/>
      <c r="O17" s="273"/>
      <c r="P17" s="45"/>
      <c r="Q17" s="36"/>
      <c r="R17" s="8"/>
      <c r="S17" s="9"/>
      <c r="T17" s="9"/>
      <c r="U17" s="37">
        <v>6</v>
      </c>
      <c r="V17" t="s">
        <v>53</v>
      </c>
      <c r="W17">
        <v>7</v>
      </c>
      <c r="X17">
        <v>5279.31</v>
      </c>
      <c r="AA17">
        <v>6</v>
      </c>
      <c r="AB17" t="s">
        <v>53</v>
      </c>
      <c r="AC17">
        <v>7</v>
      </c>
      <c r="AD17">
        <v>6</v>
      </c>
      <c r="AE17" t="s">
        <v>53</v>
      </c>
      <c r="AF17">
        <v>5279.31</v>
      </c>
    </row>
    <row r="18" spans="2:32" x14ac:dyDescent="0.3">
      <c r="B18" s="272" t="s">
        <v>109</v>
      </c>
      <c r="C18" s="115">
        <v>2</v>
      </c>
      <c r="D18" s="64">
        <v>130</v>
      </c>
      <c r="E18" s="271"/>
      <c r="F18" s="270">
        <v>1</v>
      </c>
      <c r="G18" s="269">
        <f t="shared" si="0"/>
        <v>130</v>
      </c>
      <c r="H18" s="267">
        <f t="shared" si="1"/>
        <v>0</v>
      </c>
      <c r="I18" s="8"/>
      <c r="J18" s="326"/>
      <c r="K18" s="326"/>
      <c r="L18" s="328" t="e">
        <f>SUM(G18:G19)/J18</f>
        <v>#DIV/0!</v>
      </c>
      <c r="M18" s="268"/>
      <c r="N18" s="64" t="e">
        <f>(L18/L$3)*J18</f>
        <v>#DIV/0!</v>
      </c>
      <c r="O18" s="267" t="e">
        <f>N18-J18</f>
        <v>#DIV/0!</v>
      </c>
      <c r="P18" s="45"/>
      <c r="Q18" s="36">
        <v>61200</v>
      </c>
      <c r="R18" s="8"/>
      <c r="S18" s="9"/>
      <c r="T18" s="9"/>
    </row>
    <row r="19" spans="2:32" ht="15" thickBot="1" x14ac:dyDescent="0.35">
      <c r="B19" s="272" t="s">
        <v>108</v>
      </c>
      <c r="C19" s="115">
        <v>4</v>
      </c>
      <c r="D19" s="64">
        <v>18364.199999999993</v>
      </c>
      <c r="E19" s="271"/>
      <c r="F19" s="270">
        <v>0.3</v>
      </c>
      <c r="G19" s="269">
        <f t="shared" si="0"/>
        <v>5509.2599999999975</v>
      </c>
      <c r="H19" s="267">
        <f t="shared" si="1"/>
        <v>12854.939999999995</v>
      </c>
      <c r="I19" s="8"/>
      <c r="J19" s="333"/>
      <c r="K19" s="333"/>
      <c r="L19" s="334"/>
      <c r="M19" s="268"/>
      <c r="N19" s="64"/>
      <c r="O19" s="267"/>
      <c r="P19" s="45"/>
      <c r="Q19" s="36"/>
      <c r="R19" s="8"/>
      <c r="S19" s="9"/>
      <c r="T19" s="9"/>
      <c r="U19" s="37">
        <v>7</v>
      </c>
      <c r="V19" t="s">
        <v>53</v>
      </c>
      <c r="W19">
        <v>2</v>
      </c>
      <c r="X19">
        <v>130</v>
      </c>
      <c r="AA19">
        <v>7</v>
      </c>
      <c r="AB19" t="s">
        <v>53</v>
      </c>
      <c r="AC19">
        <v>2</v>
      </c>
      <c r="AD19">
        <v>7</v>
      </c>
      <c r="AE19" t="s">
        <v>53</v>
      </c>
      <c r="AF19">
        <v>130</v>
      </c>
    </row>
    <row r="20" spans="2:32" ht="15.75" thickBot="1" x14ac:dyDescent="0.3">
      <c r="B20" s="176" t="s">
        <v>61</v>
      </c>
      <c r="C20" s="263">
        <v>71</v>
      </c>
      <c r="D20" s="162">
        <v>80169.81</v>
      </c>
      <c r="E20" s="179"/>
      <c r="F20" s="262">
        <f>G20/D20</f>
        <v>0.63538190997334276</v>
      </c>
      <c r="G20" s="179">
        <f>SUM(G6:G19)</f>
        <v>50938.446999999993</v>
      </c>
      <c r="H20" s="179">
        <f>SUM(H6:H19)</f>
        <v>29231.362999999998</v>
      </c>
      <c r="I20" s="261"/>
      <c r="J20" s="162">
        <v>300000</v>
      </c>
      <c r="K20" s="182"/>
      <c r="L20" s="260">
        <f>SUM(G20)/J20</f>
        <v>0.16979482333333332</v>
      </c>
      <c r="M20" s="247"/>
      <c r="N20" s="162">
        <f>(L20/L$3)*J20</f>
        <v>250562.09064864862</v>
      </c>
      <c r="O20" s="182">
        <f>N20-J20</f>
        <v>-49437.90935135138</v>
      </c>
      <c r="Q20" s="162">
        <f>SUM(Q6:Q19)</f>
        <v>340000</v>
      </c>
      <c r="R20" s="8"/>
      <c r="S20" s="9"/>
      <c r="T20" s="9"/>
      <c r="V20" t="s">
        <v>55</v>
      </c>
      <c r="W20">
        <v>4</v>
      </c>
      <c r="X20">
        <v>18364.199999999993</v>
      </c>
      <c r="AB20" t="s">
        <v>55</v>
      </c>
      <c r="AC20">
        <v>4</v>
      </c>
      <c r="AE20" t="s">
        <v>55</v>
      </c>
      <c r="AF20">
        <v>18364.199999999993</v>
      </c>
    </row>
    <row r="21" spans="2:32" ht="15" x14ac:dyDescent="0.25">
      <c r="B21" s="183"/>
      <c r="C21" s="249"/>
      <c r="D21" s="185"/>
      <c r="E21" s="185"/>
      <c r="F21" s="185"/>
      <c r="G21" s="185"/>
      <c r="H21" s="185"/>
      <c r="I21" s="248"/>
      <c r="J21" s="185"/>
      <c r="K21" s="185"/>
      <c r="L21" s="185"/>
      <c r="M21" s="247"/>
      <c r="N21" s="185"/>
      <c r="O21" s="185"/>
      <c r="Q21" s="166"/>
      <c r="R21" s="8"/>
      <c r="S21" s="9"/>
      <c r="T21" s="9"/>
      <c r="U21" s="37" t="s">
        <v>61</v>
      </c>
      <c r="W21">
        <v>71</v>
      </c>
      <c r="X21">
        <v>80169.81</v>
      </c>
      <c r="AA21" t="s">
        <v>61</v>
      </c>
      <c r="AC21">
        <v>71</v>
      </c>
      <c r="AD21" t="s">
        <v>61</v>
      </c>
      <c r="AF21">
        <v>80169.81</v>
      </c>
    </row>
    <row r="22" spans="2:32" ht="15.75" thickBot="1" x14ac:dyDescent="0.3">
      <c r="N22" s="168"/>
      <c r="Q22" s="36"/>
      <c r="R22" s="8"/>
      <c r="S22" s="9"/>
      <c r="T22" s="9"/>
    </row>
    <row r="23" spans="2:32" ht="15.75" thickBot="1" x14ac:dyDescent="0.3">
      <c r="B23" s="186" t="s">
        <v>63</v>
      </c>
      <c r="C23" s="259"/>
      <c r="D23" s="188"/>
      <c r="E23" s="189"/>
      <c r="F23" s="189"/>
      <c r="G23" s="189">
        <f>G20</f>
        <v>50938.446999999993</v>
      </c>
      <c r="H23" s="190"/>
      <c r="I23" s="258"/>
      <c r="J23" s="188">
        <f>J20</f>
        <v>300000</v>
      </c>
      <c r="K23" s="189"/>
      <c r="L23" s="257">
        <f>SUM(G23)/J23</f>
        <v>0.16979482333333332</v>
      </c>
      <c r="M23" s="247"/>
      <c r="N23" s="162">
        <f>(L23/L$3)*J23</f>
        <v>250562.09064864862</v>
      </c>
      <c r="O23" s="182">
        <f>N23-J23</f>
        <v>-49437.90935135138</v>
      </c>
      <c r="Q23" s="166"/>
      <c r="R23" s="8"/>
      <c r="S23" s="9"/>
      <c r="T23" s="9"/>
    </row>
    <row r="24" spans="2:32" ht="15.75" thickBot="1" x14ac:dyDescent="0.3">
      <c r="B24" s="192" t="s">
        <v>64</v>
      </c>
      <c r="C24" s="256"/>
      <c r="D24" s="194"/>
      <c r="E24" s="185"/>
      <c r="F24" s="185"/>
      <c r="G24" s="185"/>
      <c r="H24" s="195">
        <f>H20</f>
        <v>29231.362999999998</v>
      </c>
      <c r="I24" s="255"/>
      <c r="J24" s="194"/>
      <c r="K24" s="185">
        <f>K20</f>
        <v>0</v>
      </c>
      <c r="L24" s="254" t="e">
        <f>SUM(H20)/K20</f>
        <v>#DIV/0!</v>
      </c>
      <c r="M24" s="247"/>
      <c r="N24" s="162" t="e">
        <f>(L24/L$3)*K24</f>
        <v>#DIV/0!</v>
      </c>
      <c r="O24" s="182" t="e">
        <f>N24-K24</f>
        <v>#DIV/0!</v>
      </c>
      <c r="Q24" s="166"/>
      <c r="R24" s="8"/>
      <c r="S24" s="9"/>
      <c r="T24" s="9"/>
    </row>
    <row r="25" spans="2:32" ht="15.75" thickBot="1" x14ac:dyDescent="0.3">
      <c r="B25" s="197" t="s">
        <v>65</v>
      </c>
      <c r="C25" s="253"/>
      <c r="D25" s="199">
        <f>SUM(G20:H20)</f>
        <v>80169.81</v>
      </c>
      <c r="E25" s="200"/>
      <c r="F25" s="200"/>
      <c r="G25" s="200"/>
      <c r="H25" s="201"/>
      <c r="I25" s="252"/>
      <c r="J25" s="202"/>
      <c r="K25" s="180">
        <f>SUM(J20:K20)</f>
        <v>300000</v>
      </c>
      <c r="L25" s="251">
        <f>SUM(D25)/K25</f>
        <v>0.26723269999999999</v>
      </c>
      <c r="M25" s="247"/>
      <c r="N25" s="162">
        <f>(L25/L$3)*K25</f>
        <v>394348.79513513512</v>
      </c>
      <c r="O25" s="182">
        <f>N25-K25</f>
        <v>94348.795135135122</v>
      </c>
      <c r="P25" s="168"/>
      <c r="Q25" s="166"/>
      <c r="R25" s="8"/>
      <c r="S25" s="9"/>
    </row>
    <row r="26" spans="2:32" ht="15" x14ac:dyDescent="0.25">
      <c r="B26" s="183"/>
      <c r="C26" s="249"/>
      <c r="D26" s="185"/>
      <c r="E26" s="185"/>
      <c r="F26" s="185"/>
      <c r="G26" s="185"/>
      <c r="H26" s="185"/>
      <c r="I26" s="248"/>
      <c r="J26" s="185"/>
      <c r="K26" s="185"/>
      <c r="L26" s="247"/>
      <c r="M26" s="247"/>
      <c r="N26" s="185"/>
      <c r="O26" s="185"/>
      <c r="Q26" s="166"/>
      <c r="R26" s="8"/>
      <c r="S26" s="9"/>
      <c r="T26" s="9"/>
    </row>
    <row r="27" spans="2:32" ht="21" customHeight="1" thickBot="1" x14ac:dyDescent="0.3">
      <c r="C27" s="246"/>
      <c r="D27" s="214"/>
      <c r="E27" s="214"/>
      <c r="F27" s="214"/>
      <c r="G27" s="214"/>
      <c r="H27" s="214"/>
      <c r="I27" s="214"/>
      <c r="J27" s="214"/>
      <c r="K27" s="214"/>
      <c r="L27" s="214"/>
      <c r="M27" s="214"/>
      <c r="N27" s="214"/>
      <c r="O27" s="214"/>
      <c r="Q27" s="169"/>
      <c r="R27" s="170"/>
      <c r="S27" s="171"/>
      <c r="T27" s="171"/>
    </row>
    <row r="28" spans="2:32" ht="21" customHeight="1" x14ac:dyDescent="0.25">
      <c r="B28" s="335" t="s">
        <v>133</v>
      </c>
      <c r="C28" s="336"/>
      <c r="D28" s="336"/>
      <c r="E28" s="336"/>
      <c r="F28" s="336"/>
      <c r="G28" s="336"/>
      <c r="H28" s="336"/>
      <c r="I28" s="336"/>
      <c r="J28" s="336"/>
      <c r="K28" s="336"/>
      <c r="L28" s="336"/>
      <c r="M28" s="313"/>
      <c r="N28" s="313"/>
      <c r="O28" s="313"/>
    </row>
    <row r="29" spans="2:32" s="173" customFormat="1" ht="39.75" customHeight="1" x14ac:dyDescent="0.25">
      <c r="B29" s="336" t="s">
        <v>107</v>
      </c>
      <c r="C29" s="336"/>
      <c r="D29" s="336"/>
      <c r="E29" s="336"/>
      <c r="F29" s="336"/>
      <c r="G29" s="336"/>
      <c r="H29" s="336"/>
      <c r="I29" s="336"/>
      <c r="J29" s="336"/>
      <c r="K29" s="336"/>
      <c r="L29" s="336"/>
      <c r="M29" s="313"/>
      <c r="N29" s="313"/>
      <c r="O29" s="313"/>
      <c r="Q29" s="172"/>
      <c r="R29" s="174"/>
      <c r="S29" s="175"/>
      <c r="T29" s="175"/>
      <c r="U29" s="37"/>
      <c r="V29"/>
      <c r="W29"/>
      <c r="X29"/>
      <c r="Y29"/>
      <c r="AA29"/>
      <c r="AB29"/>
      <c r="AC29"/>
      <c r="AD29"/>
      <c r="AE29"/>
      <c r="AF29"/>
    </row>
    <row r="30" spans="2:32"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c r="AE30"/>
      <c r="AF30"/>
    </row>
    <row r="31" spans="2:32" ht="15" hidden="1" x14ac:dyDescent="0.25">
      <c r="B31" t="s">
        <v>23</v>
      </c>
      <c r="C31">
        <v>2</v>
      </c>
      <c r="D31">
        <v>827.92</v>
      </c>
      <c r="J31">
        <v>340000</v>
      </c>
    </row>
    <row r="32" spans="2:32" ht="15" hidden="1" x14ac:dyDescent="0.25">
      <c r="B32" t="s">
        <v>87</v>
      </c>
      <c r="C32">
        <v>83</v>
      </c>
      <c r="D32">
        <v>133749.80999999991</v>
      </c>
      <c r="J32">
        <v>250000</v>
      </c>
      <c r="U32"/>
      <c r="X32" s="173"/>
      <c r="Y32" s="173"/>
      <c r="AE32" s="173"/>
      <c r="AF32" s="173"/>
    </row>
    <row r="33" spans="2:32" ht="15" hidden="1" x14ac:dyDescent="0.25">
      <c r="X33" s="173"/>
      <c r="Y33" s="173"/>
      <c r="AE33" s="173"/>
      <c r="AF33" s="173"/>
    </row>
    <row r="34" spans="2:32"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2" ht="15" hidden="1" x14ac:dyDescent="0.25">
      <c r="U35"/>
      <c r="AA35" s="173"/>
      <c r="AB35" s="173"/>
      <c r="AC35" s="173"/>
      <c r="AD35" s="173"/>
    </row>
    <row r="36" spans="2:32" ht="15" hidden="1" x14ac:dyDescent="0.25">
      <c r="U36"/>
      <c r="AA36" s="173"/>
      <c r="AB36" s="173"/>
      <c r="AC36" s="173"/>
      <c r="AD36" s="173"/>
    </row>
    <row r="37" spans="2:32"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2" ht="15" hidden="1" x14ac:dyDescent="0.25">
      <c r="B38" s="183"/>
      <c r="C38" s="249"/>
      <c r="D38" s="185"/>
      <c r="E38" s="185"/>
      <c r="F38" s="185"/>
      <c r="G38" s="185"/>
      <c r="H38" s="185"/>
      <c r="I38" s="248"/>
      <c r="J38" s="185"/>
      <c r="K38" s="185"/>
      <c r="L38" s="185"/>
      <c r="M38" s="247"/>
      <c r="N38" s="185"/>
      <c r="O38" s="185"/>
      <c r="U38"/>
    </row>
    <row r="39" spans="2:32" ht="15" hidden="1" x14ac:dyDescent="0.25"/>
    <row r="40" spans="2:32"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2"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2"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2" ht="15" hidden="1" x14ac:dyDescent="0.25">
      <c r="B43" s="183"/>
      <c r="C43" s="249"/>
      <c r="D43" s="185"/>
      <c r="E43" s="185"/>
      <c r="F43" s="185"/>
      <c r="G43" s="185"/>
      <c r="H43" s="185"/>
      <c r="I43" s="248"/>
      <c r="J43" s="185"/>
      <c r="K43" s="185"/>
      <c r="L43" s="247"/>
      <c r="M43" s="247"/>
      <c r="N43" s="185"/>
      <c r="O43" s="185"/>
      <c r="U43"/>
    </row>
    <row r="44" spans="2:32"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2" ht="15" hidden="1" x14ac:dyDescent="0.25">
      <c r="U45"/>
    </row>
    <row r="46" spans="2:32" ht="15" x14ac:dyDescent="0.25">
      <c r="D46" s="168">
        <f>D20-D25</f>
        <v>0</v>
      </c>
      <c r="U46"/>
    </row>
    <row r="47" spans="2:32" ht="15" x14ac:dyDescent="0.25">
      <c r="C47" s="205"/>
    </row>
    <row r="48" spans="2:32" ht="15" x14ac:dyDescent="0.25">
      <c r="U48"/>
    </row>
    <row r="49" spans="20:23" ht="15" x14ac:dyDescent="0.25">
      <c r="U49"/>
    </row>
    <row r="50" spans="20:23" ht="15" x14ac:dyDescent="0.25">
      <c r="U50"/>
    </row>
    <row r="52" spans="20:23" ht="15" x14ac:dyDescent="0.25">
      <c r="U52"/>
    </row>
    <row r="53" spans="20:23" ht="15.75" thickBot="1" x14ac:dyDescent="0.3">
      <c r="U53"/>
    </row>
    <row r="54" spans="20:23" ht="15" x14ac:dyDescent="0.25">
      <c r="T54" s="245" t="s">
        <v>86</v>
      </c>
    </row>
    <row r="55" spans="20:23" ht="15" x14ac:dyDescent="0.25">
      <c r="T55" s="244">
        <v>1</v>
      </c>
      <c r="U55"/>
    </row>
    <row r="56" spans="20:23" ht="15" x14ac:dyDescent="0.25">
      <c r="T56" s="244">
        <v>2</v>
      </c>
      <c r="U56"/>
    </row>
    <row r="57" spans="20:23" ht="15" x14ac:dyDescent="0.25">
      <c r="T57" s="244">
        <v>3</v>
      </c>
      <c r="U57"/>
    </row>
    <row r="58" spans="20:23" ht="15" x14ac:dyDescent="0.25">
      <c r="T58" s="244">
        <v>4</v>
      </c>
      <c r="U58"/>
    </row>
    <row r="59" spans="20:23" ht="15" x14ac:dyDescent="0.25">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431" priority="15" operator="greaterThan">
      <formula>$L$3</formula>
    </cfRule>
  </conditionalFormatting>
  <conditionalFormatting sqref="L23:L24">
    <cfRule type="cellIs" dxfId="430" priority="14" operator="greaterThan">
      <formula>$L$3</formula>
    </cfRule>
  </conditionalFormatting>
  <conditionalFormatting sqref="M40:M41 L37:M37 M38 L42:M43">
    <cfRule type="cellIs" dxfId="429" priority="13" operator="greaterThan">
      <formula>$L$3</formula>
    </cfRule>
  </conditionalFormatting>
  <conditionalFormatting sqref="L40:L41">
    <cfRule type="cellIs" dxfId="428" priority="12" operator="greaterThan">
      <formula>$L$3</formula>
    </cfRule>
  </conditionalFormatting>
  <conditionalFormatting sqref="M6:M7">
    <cfRule type="cellIs" dxfId="427" priority="11" operator="greaterThan">
      <formula>$L$3</formula>
    </cfRule>
  </conditionalFormatting>
  <conditionalFormatting sqref="M10:M11">
    <cfRule type="cellIs" dxfId="426" priority="10" operator="greaterThan">
      <formula>$L$3</formula>
    </cfRule>
  </conditionalFormatting>
  <conditionalFormatting sqref="M14:M15">
    <cfRule type="cellIs" dxfId="425" priority="9" operator="greaterThan">
      <formula>$L$3</formula>
    </cfRule>
  </conditionalFormatting>
  <conditionalFormatting sqref="M18:M19">
    <cfRule type="cellIs" dxfId="424" priority="8" operator="greaterThan">
      <formula>$L$3</formula>
    </cfRule>
  </conditionalFormatting>
  <conditionalFormatting sqref="L6:L7">
    <cfRule type="cellIs" dxfId="423" priority="7" operator="greaterThan">
      <formula>$L$3</formula>
    </cfRule>
  </conditionalFormatting>
  <conditionalFormatting sqref="L8:L9">
    <cfRule type="cellIs" dxfId="422" priority="6" operator="greaterThan">
      <formula>$L$3</formula>
    </cfRule>
  </conditionalFormatting>
  <conditionalFormatting sqref="L10:L11">
    <cfRule type="cellIs" dxfId="421" priority="5" operator="greaterThan">
      <formula>$L$3</formula>
    </cfRule>
  </conditionalFormatting>
  <conditionalFormatting sqref="L12:L13">
    <cfRule type="cellIs" dxfId="420" priority="4" operator="greaterThan">
      <formula>$L$3</formula>
    </cfRule>
  </conditionalFormatting>
  <conditionalFormatting sqref="L14:L15">
    <cfRule type="cellIs" dxfId="419" priority="3" operator="greaterThan">
      <formula>$L$3</formula>
    </cfRule>
  </conditionalFormatting>
  <conditionalFormatting sqref="L16:L17">
    <cfRule type="cellIs" dxfId="418" priority="2" operator="greaterThan">
      <formula>$L$3</formula>
    </cfRule>
  </conditionalFormatting>
  <conditionalFormatting sqref="L18:L19">
    <cfRule type="cellIs" dxfId="417" priority="1" operator="greaterThan">
      <formula>$L$3</formula>
    </cfRule>
  </conditionalFormatting>
  <pageMargins left="0.2" right="0.2" top="0.75" bottom="0.75" header="0.3" footer="0.3"/>
  <pageSetup scale="92" orientation="landscape"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G255"/>
  <sheetViews>
    <sheetView topLeftCell="A7" zoomScale="70" zoomScaleNormal="70" workbookViewId="0">
      <selection activeCell="J3" sqref="J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2" width="21.33203125" customWidth="1"/>
    <col min="13" max="13" width="21.33203125" style="172" hidden="1" customWidth="1"/>
    <col min="14" max="14" width="21.33203125" hidden="1" customWidth="1"/>
    <col min="15" max="17" width="21.33203125" style="37" hidden="1" customWidth="1"/>
    <col min="18" max="23" width="21.33203125" hidden="1" customWidth="1"/>
    <col min="24" max="24" width="51.44140625" hidden="1" customWidth="1"/>
    <col min="25" max="29" width="21.33203125" hidden="1" customWidth="1"/>
    <col min="30" max="30" width="51.44140625" hidden="1" customWidth="1"/>
    <col min="31" max="33" width="21.33203125" hidden="1" customWidth="1"/>
    <col min="34" max="46" width="21.33203125" customWidth="1"/>
  </cols>
  <sheetData>
    <row r="1" spans="1:33" ht="15.75" thickBot="1" x14ac:dyDescent="0.3">
      <c r="M1" s="347" t="s">
        <v>0</v>
      </c>
      <c r="N1" s="348"/>
      <c r="O1" s="348"/>
      <c r="P1" s="348"/>
      <c r="Q1" s="348"/>
      <c r="R1" s="348"/>
      <c r="S1" s="348"/>
      <c r="T1" s="348"/>
      <c r="U1" s="348"/>
      <c r="V1" s="348"/>
      <c r="W1" s="348"/>
      <c r="X1" s="348"/>
      <c r="Y1" s="348"/>
      <c r="Z1" s="348"/>
      <c r="AA1" s="348"/>
      <c r="AB1" s="348"/>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132</v>
      </c>
      <c r="B3" s="11"/>
      <c r="C3" s="8"/>
      <c r="D3" s="8"/>
      <c r="E3" s="8"/>
      <c r="F3" s="8"/>
      <c r="G3" s="12">
        <v>41530</v>
      </c>
      <c r="H3" s="13">
        <f>$M$5/26</f>
        <v>0.2032967032967033</v>
      </c>
      <c r="I3" s="14"/>
      <c r="J3" s="216"/>
      <c r="K3" s="14"/>
      <c r="M3" s="15"/>
      <c r="N3" s="8"/>
      <c r="O3" s="9"/>
      <c r="P3" s="9"/>
      <c r="Q3" s="9"/>
      <c r="R3" s="8"/>
    </row>
    <row r="4" spans="1:33" ht="15.75" thickBot="1" x14ac:dyDescent="0.3">
      <c r="A4" s="16"/>
      <c r="B4" s="8"/>
      <c r="C4" s="8"/>
      <c r="D4" s="17"/>
      <c r="E4" s="8"/>
      <c r="F4" s="8"/>
      <c r="G4" s="18"/>
      <c r="H4" s="19"/>
      <c r="I4" s="8"/>
      <c r="J4" s="217"/>
      <c r="K4" s="8"/>
      <c r="M4" s="15">
        <f>G3-M2</f>
        <v>74</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5.2857142857142856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41</v>
      </c>
      <c r="C6" s="30">
        <f t="shared" ref="C6:C12" si="0">Q9</f>
        <v>2485.42</v>
      </c>
      <c r="D6" s="31">
        <v>1</v>
      </c>
      <c r="E6" s="30">
        <f t="shared" ref="E6:E12" si="1">C6*D6</f>
        <v>2485.42</v>
      </c>
      <c r="F6" s="30">
        <f t="shared" ref="F6:F12" si="2">C6-E6</f>
        <v>0</v>
      </c>
      <c r="G6" s="32"/>
      <c r="H6" s="33"/>
      <c r="I6" s="34"/>
      <c r="J6" s="218"/>
      <c r="K6" s="35"/>
      <c r="M6" s="8"/>
      <c r="N6" s="8"/>
      <c r="O6" t="s">
        <v>71</v>
      </c>
      <c r="P6">
        <v>1</v>
      </c>
      <c r="Q6">
        <v>14578.980000000018</v>
      </c>
      <c r="T6" s="16" t="s">
        <v>71</v>
      </c>
      <c r="U6" s="8">
        <f>Y6</f>
        <v>1</v>
      </c>
      <c r="V6" s="310">
        <f t="shared" ref="V6:V31" si="3">AA6</f>
        <v>14578.980000000018</v>
      </c>
      <c r="X6" t="s">
        <v>71</v>
      </c>
      <c r="Y6">
        <v>1</v>
      </c>
      <c r="Z6" t="s">
        <v>71</v>
      </c>
      <c r="AA6">
        <v>14578.980000000018</v>
      </c>
      <c r="AB6" s="19"/>
      <c r="AD6" t="s">
        <v>71</v>
      </c>
      <c r="AE6">
        <v>1</v>
      </c>
      <c r="AF6" t="s">
        <v>71</v>
      </c>
      <c r="AG6">
        <v>14578.980000000018</v>
      </c>
    </row>
    <row r="7" spans="1:33" ht="15" x14ac:dyDescent="0.25">
      <c r="A7" s="38" t="s">
        <v>16</v>
      </c>
      <c r="B7" s="39">
        <f t="shared" ref="B7:B12" si="4">P10</f>
        <v>26</v>
      </c>
      <c r="C7" s="40">
        <f t="shared" si="0"/>
        <v>2645.2899999999986</v>
      </c>
      <c r="D7" s="41">
        <v>1</v>
      </c>
      <c r="E7" s="40">
        <f t="shared" si="1"/>
        <v>2645.2899999999986</v>
      </c>
      <c r="F7" s="40">
        <f t="shared" si="2"/>
        <v>0</v>
      </c>
      <c r="G7" s="32"/>
      <c r="H7" s="33"/>
      <c r="I7" s="34"/>
      <c r="J7" s="218"/>
      <c r="K7" s="35"/>
      <c r="M7" s="8"/>
      <c r="N7" s="8"/>
      <c r="O7" t="s">
        <v>24</v>
      </c>
      <c r="P7">
        <v>21</v>
      </c>
      <c r="Q7">
        <v>21274.59</v>
      </c>
      <c r="T7" s="16" t="s">
        <v>24</v>
      </c>
      <c r="U7" s="8">
        <f t="shared" ref="U7:U31" si="5">Y7</f>
        <v>21</v>
      </c>
      <c r="V7" s="310">
        <f t="shared" si="3"/>
        <v>21274.59</v>
      </c>
      <c r="X7" t="s">
        <v>24</v>
      </c>
      <c r="Y7">
        <v>21</v>
      </c>
      <c r="Z7" t="s">
        <v>24</v>
      </c>
      <c r="AA7">
        <v>21274.59</v>
      </c>
      <c r="AB7" s="19"/>
      <c r="AD7" t="s">
        <v>24</v>
      </c>
      <c r="AE7">
        <v>21</v>
      </c>
      <c r="AF7" t="s">
        <v>24</v>
      </c>
      <c r="AG7">
        <v>21274.59</v>
      </c>
    </row>
    <row r="8" spans="1:33" ht="15" x14ac:dyDescent="0.25">
      <c r="A8" s="38" t="s">
        <v>17</v>
      </c>
      <c r="B8" s="39">
        <f t="shared" si="4"/>
        <v>26</v>
      </c>
      <c r="C8" s="40">
        <f t="shared" si="0"/>
        <v>5662.74</v>
      </c>
      <c r="D8" s="41">
        <v>0.3</v>
      </c>
      <c r="E8" s="40">
        <f t="shared" si="1"/>
        <v>1698.8219999999999</v>
      </c>
      <c r="F8" s="40">
        <f t="shared" si="2"/>
        <v>3963.9179999999997</v>
      </c>
      <c r="G8" s="32"/>
      <c r="H8" s="33"/>
      <c r="I8" s="34"/>
      <c r="J8" s="218"/>
      <c r="K8" s="35"/>
      <c r="M8" s="8"/>
      <c r="N8" s="8"/>
      <c r="O8" t="s">
        <v>76</v>
      </c>
      <c r="P8">
        <v>1</v>
      </c>
      <c r="Q8">
        <v>2769.4499999999985</v>
      </c>
      <c r="T8" s="16" t="s">
        <v>76</v>
      </c>
      <c r="U8" s="8">
        <f t="shared" si="5"/>
        <v>1</v>
      </c>
      <c r="V8" s="310">
        <f t="shared" si="3"/>
        <v>2769.4499999999985</v>
      </c>
      <c r="X8" t="s">
        <v>76</v>
      </c>
      <c r="Y8">
        <v>1</v>
      </c>
      <c r="Z8" t="s">
        <v>76</v>
      </c>
      <c r="AA8">
        <v>2769.4499999999985</v>
      </c>
      <c r="AB8" s="19"/>
      <c r="AD8" t="s">
        <v>76</v>
      </c>
      <c r="AE8">
        <v>1</v>
      </c>
      <c r="AF8" t="s">
        <v>76</v>
      </c>
      <c r="AG8">
        <v>2769.4499999999985</v>
      </c>
    </row>
    <row r="9" spans="1:33" ht="15" x14ac:dyDescent="0.25">
      <c r="A9" s="38" t="s">
        <v>18</v>
      </c>
      <c r="B9" s="39">
        <f t="shared" si="4"/>
        <v>180</v>
      </c>
      <c r="C9" s="40">
        <f t="shared" si="0"/>
        <v>110751.16999999993</v>
      </c>
      <c r="D9" s="41">
        <v>1</v>
      </c>
      <c r="E9" s="40">
        <f t="shared" si="1"/>
        <v>110751.16999999993</v>
      </c>
      <c r="F9" s="40">
        <f t="shared" si="2"/>
        <v>0</v>
      </c>
      <c r="G9" s="32"/>
      <c r="H9" s="33"/>
      <c r="I9" s="34"/>
      <c r="J9" s="218"/>
      <c r="K9" s="35"/>
      <c r="M9" s="8"/>
      <c r="N9" s="8"/>
      <c r="O9" t="s">
        <v>15</v>
      </c>
      <c r="P9">
        <v>41</v>
      </c>
      <c r="Q9">
        <v>2485.42</v>
      </c>
      <c r="T9" s="16" t="s">
        <v>15</v>
      </c>
      <c r="U9" s="8">
        <f t="shared" si="5"/>
        <v>41</v>
      </c>
      <c r="V9" s="310">
        <f t="shared" si="3"/>
        <v>2485.42</v>
      </c>
      <c r="X9" t="s">
        <v>15</v>
      </c>
      <c r="Y9">
        <v>41</v>
      </c>
      <c r="Z9" t="s">
        <v>15</v>
      </c>
      <c r="AA9">
        <v>2485.42</v>
      </c>
      <c r="AB9" s="19"/>
      <c r="AD9" t="s">
        <v>15</v>
      </c>
      <c r="AE9">
        <v>41</v>
      </c>
      <c r="AF9" t="s">
        <v>15</v>
      </c>
      <c r="AG9">
        <v>2485.42</v>
      </c>
    </row>
    <row r="10" spans="1:33" ht="15" x14ac:dyDescent="0.25">
      <c r="A10" s="38" t="s">
        <v>19</v>
      </c>
      <c r="B10" s="39">
        <f t="shared" si="4"/>
        <v>27</v>
      </c>
      <c r="C10" s="40">
        <f t="shared" si="0"/>
        <v>26071.69</v>
      </c>
      <c r="D10" s="41">
        <v>0.3</v>
      </c>
      <c r="E10" s="40">
        <f t="shared" si="1"/>
        <v>7821.5069999999996</v>
      </c>
      <c r="F10" s="40">
        <f t="shared" si="2"/>
        <v>18250.182999999997</v>
      </c>
      <c r="G10" s="32"/>
      <c r="H10" s="42"/>
      <c r="I10" s="43"/>
      <c r="J10" s="219"/>
      <c r="K10" s="44"/>
      <c r="L10" s="45"/>
      <c r="M10" s="8"/>
      <c r="N10" s="8"/>
      <c r="O10" s="38" t="s">
        <v>16</v>
      </c>
      <c r="P10">
        <v>26</v>
      </c>
      <c r="Q10">
        <v>2645.2899999999986</v>
      </c>
      <c r="T10" s="16" t="s">
        <v>16</v>
      </c>
      <c r="U10" s="8">
        <f t="shared" si="5"/>
        <v>26</v>
      </c>
      <c r="V10" s="310">
        <f t="shared" si="3"/>
        <v>2645.2899999999986</v>
      </c>
      <c r="X10" t="s">
        <v>16</v>
      </c>
      <c r="Y10">
        <v>26</v>
      </c>
      <c r="Z10" t="s">
        <v>16</v>
      </c>
      <c r="AA10">
        <v>2645.2899999999986</v>
      </c>
      <c r="AB10" s="19"/>
      <c r="AD10" t="s">
        <v>16</v>
      </c>
      <c r="AE10">
        <v>26</v>
      </c>
      <c r="AF10" t="s">
        <v>16</v>
      </c>
      <c r="AG10">
        <v>2645.2899999999986</v>
      </c>
    </row>
    <row r="11" spans="1:33" ht="15" x14ac:dyDescent="0.25">
      <c r="A11" s="38" t="s">
        <v>20</v>
      </c>
      <c r="B11" s="39">
        <f t="shared" si="4"/>
        <v>857</v>
      </c>
      <c r="C11" s="40">
        <f t="shared" si="0"/>
        <v>418999.11999999941</v>
      </c>
      <c r="D11" s="41">
        <v>1</v>
      </c>
      <c r="E11" s="40">
        <f t="shared" si="1"/>
        <v>418999.11999999941</v>
      </c>
      <c r="F11" s="40">
        <f t="shared" si="2"/>
        <v>0</v>
      </c>
      <c r="G11" s="32"/>
      <c r="H11" s="42"/>
      <c r="I11" s="43"/>
      <c r="J11" s="219"/>
      <c r="K11" s="44"/>
      <c r="M11" s="8"/>
      <c r="N11" s="8"/>
      <c r="O11" t="s">
        <v>17</v>
      </c>
      <c r="P11">
        <v>26</v>
      </c>
      <c r="Q11">
        <v>5662.74</v>
      </c>
      <c r="T11" s="16" t="s">
        <v>17</v>
      </c>
      <c r="U11" s="8">
        <f t="shared" si="5"/>
        <v>26</v>
      </c>
      <c r="V11" s="310">
        <f t="shared" si="3"/>
        <v>5662.74</v>
      </c>
      <c r="X11" t="s">
        <v>17</v>
      </c>
      <c r="Y11">
        <v>26</v>
      </c>
      <c r="Z11" t="s">
        <v>17</v>
      </c>
      <c r="AA11">
        <v>5662.74</v>
      </c>
      <c r="AB11" s="19"/>
      <c r="AD11" t="s">
        <v>17</v>
      </c>
      <c r="AE11">
        <v>26</v>
      </c>
      <c r="AF11" t="s">
        <v>17</v>
      </c>
      <c r="AG11">
        <v>5662.74</v>
      </c>
    </row>
    <row r="12" spans="1:33" ht="15" x14ac:dyDescent="0.25">
      <c r="A12" s="38" t="s">
        <v>21</v>
      </c>
      <c r="B12" s="39">
        <f t="shared" si="4"/>
        <v>99</v>
      </c>
      <c r="C12" s="40">
        <f t="shared" si="0"/>
        <v>58238.44999999999</v>
      </c>
      <c r="D12" s="41">
        <v>0.3</v>
      </c>
      <c r="E12" s="40">
        <f t="shared" si="1"/>
        <v>17471.534999999996</v>
      </c>
      <c r="F12" s="40">
        <f t="shared" si="2"/>
        <v>40766.914999999994</v>
      </c>
      <c r="G12" s="32"/>
      <c r="H12" s="42"/>
      <c r="I12" s="43"/>
      <c r="J12" s="219"/>
      <c r="K12" s="44"/>
      <c r="M12" s="8"/>
      <c r="N12" s="8"/>
      <c r="O12" t="s">
        <v>18</v>
      </c>
      <c r="P12">
        <v>180</v>
      </c>
      <c r="Q12">
        <v>110751.16999999993</v>
      </c>
      <c r="T12" s="16" t="s">
        <v>18</v>
      </c>
      <c r="U12" s="8">
        <f t="shared" si="5"/>
        <v>180</v>
      </c>
      <c r="V12" s="310">
        <f t="shared" si="3"/>
        <v>110751.16999999993</v>
      </c>
      <c r="X12" t="s">
        <v>18</v>
      </c>
      <c r="Y12">
        <v>180</v>
      </c>
      <c r="Z12" t="s">
        <v>18</v>
      </c>
      <c r="AA12">
        <v>110751.16999999993</v>
      </c>
      <c r="AB12" s="19"/>
      <c r="AD12" t="s">
        <v>18</v>
      </c>
      <c r="AE12">
        <v>180</v>
      </c>
      <c r="AF12" t="s">
        <v>18</v>
      </c>
      <c r="AG12">
        <v>110751.16999999993</v>
      </c>
    </row>
    <row r="13" spans="1:33" ht="15" customHeight="1" thickBot="1" x14ac:dyDescent="0.3">
      <c r="A13" s="46" t="s">
        <v>22</v>
      </c>
      <c r="B13" s="47">
        <f>SUM(B6:B12)</f>
        <v>1256</v>
      </c>
      <c r="C13" s="48">
        <f>SUM(C6:C12)</f>
        <v>624853.87999999931</v>
      </c>
      <c r="D13" s="49"/>
      <c r="E13" s="48">
        <f>SUM(E6:E12)</f>
        <v>561872.86399999936</v>
      </c>
      <c r="F13" s="50">
        <f>SUM(F6:F12)</f>
        <v>62981.015999999989</v>
      </c>
      <c r="G13" s="51">
        <v>2724921</v>
      </c>
      <c r="H13" s="52">
        <f>E13/G13</f>
        <v>0.2061978545433058</v>
      </c>
      <c r="I13" s="53"/>
      <c r="J13" s="220">
        <f>(H13/H$3)*G$13</f>
        <v>2763807.0607567537</v>
      </c>
      <c r="K13" s="55">
        <f>J13-G13</f>
        <v>38886.060756753664</v>
      </c>
      <c r="M13" s="8"/>
      <c r="N13" s="8"/>
      <c r="O13" t="s">
        <v>19</v>
      </c>
      <c r="P13">
        <v>27</v>
      </c>
      <c r="Q13">
        <v>26071.69</v>
      </c>
      <c r="T13" s="16" t="s">
        <v>19</v>
      </c>
      <c r="U13" s="8">
        <f>Y13</f>
        <v>27</v>
      </c>
      <c r="V13" s="310">
        <f t="shared" si="3"/>
        <v>26071.69</v>
      </c>
      <c r="X13" t="s">
        <v>19</v>
      </c>
      <c r="Y13">
        <v>27</v>
      </c>
      <c r="Z13" t="s">
        <v>19</v>
      </c>
      <c r="AA13">
        <v>26071.69</v>
      </c>
      <c r="AB13" s="19"/>
      <c r="AD13" t="s">
        <v>19</v>
      </c>
      <c r="AE13">
        <v>27</v>
      </c>
      <c r="AF13" t="s">
        <v>19</v>
      </c>
      <c r="AG13">
        <v>26071.69</v>
      </c>
    </row>
    <row r="14" spans="1:33" ht="15" thickBot="1" x14ac:dyDescent="0.35">
      <c r="A14" s="57"/>
      <c r="B14" s="58"/>
      <c r="C14" s="59"/>
      <c r="D14" s="60"/>
      <c r="E14" s="59"/>
      <c r="F14" s="59"/>
      <c r="G14" s="61"/>
      <c r="H14" s="62"/>
      <c r="I14" s="63"/>
      <c r="J14" s="349"/>
      <c r="K14" s="338"/>
      <c r="M14" s="8"/>
      <c r="N14" s="8"/>
      <c r="O14" t="s">
        <v>20</v>
      </c>
      <c r="P14">
        <v>857</v>
      </c>
      <c r="Q14">
        <v>418999.11999999941</v>
      </c>
      <c r="T14" s="16" t="s">
        <v>20</v>
      </c>
      <c r="U14" s="8">
        <f t="shared" si="5"/>
        <v>857</v>
      </c>
      <c r="V14" s="310">
        <f t="shared" si="3"/>
        <v>418999.11999999941</v>
      </c>
      <c r="X14" t="s">
        <v>20</v>
      </c>
      <c r="Y14">
        <v>857</v>
      </c>
      <c r="Z14" t="s">
        <v>20</v>
      </c>
      <c r="AA14">
        <v>418999.11999999941</v>
      </c>
      <c r="AB14" s="19"/>
      <c r="AD14" t="s">
        <v>20</v>
      </c>
      <c r="AE14">
        <v>857</v>
      </c>
      <c r="AF14" t="s">
        <v>20</v>
      </c>
      <c r="AG14">
        <v>418999.11999999941</v>
      </c>
    </row>
    <row r="15" spans="1:33" x14ac:dyDescent="0.3">
      <c r="A15" s="65" t="s">
        <v>23</v>
      </c>
      <c r="B15" s="66">
        <f>P7</f>
        <v>21</v>
      </c>
      <c r="C15" s="67">
        <f t="shared" ref="C15:C16" si="6">Q7</f>
        <v>21274.59</v>
      </c>
      <c r="D15" s="68">
        <v>1</v>
      </c>
      <c r="E15" s="67">
        <f>C15*D15</f>
        <v>21274.59</v>
      </c>
      <c r="F15" s="67">
        <v>0</v>
      </c>
      <c r="G15" s="69"/>
      <c r="H15" s="70"/>
      <c r="I15" s="71"/>
      <c r="J15" s="339"/>
      <c r="K15" s="340"/>
      <c r="M15" s="8"/>
      <c r="N15" s="8"/>
      <c r="O15" t="s">
        <v>21</v>
      </c>
      <c r="P15">
        <v>99</v>
      </c>
      <c r="Q15">
        <v>58238.44999999999</v>
      </c>
      <c r="T15" s="16" t="s">
        <v>21</v>
      </c>
      <c r="U15" s="8">
        <f t="shared" si="5"/>
        <v>99</v>
      </c>
      <c r="V15" s="310">
        <f t="shared" si="3"/>
        <v>58238.44999999999</v>
      </c>
      <c r="X15" t="s">
        <v>21</v>
      </c>
      <c r="Y15">
        <v>99</v>
      </c>
      <c r="Z15" t="s">
        <v>21</v>
      </c>
      <c r="AA15">
        <v>58238.44999999999</v>
      </c>
      <c r="AB15" s="19"/>
      <c r="AD15" t="s">
        <v>21</v>
      </c>
      <c r="AE15">
        <v>99</v>
      </c>
      <c r="AF15" t="s">
        <v>21</v>
      </c>
      <c r="AG15">
        <v>58238.44999999999</v>
      </c>
    </row>
    <row r="16" spans="1:33" x14ac:dyDescent="0.3">
      <c r="A16" s="72" t="s">
        <v>25</v>
      </c>
      <c r="B16" s="39">
        <f t="shared" ref="B16" si="7">P8</f>
        <v>1</v>
      </c>
      <c r="C16" s="40">
        <f t="shared" si="6"/>
        <v>2769.4499999999985</v>
      </c>
      <c r="D16" s="73">
        <v>0.3</v>
      </c>
      <c r="E16" s="40">
        <f>C16*D16</f>
        <v>830.83499999999947</v>
      </c>
      <c r="F16" s="40">
        <f>C16-E16</f>
        <v>1938.6149999999989</v>
      </c>
      <c r="G16" s="69"/>
      <c r="H16" s="70"/>
      <c r="I16" s="71"/>
      <c r="J16" s="341"/>
      <c r="K16" s="342"/>
      <c r="M16" s="8"/>
      <c r="N16" s="8"/>
      <c r="O16" s="16" t="s">
        <v>80</v>
      </c>
      <c r="P16">
        <v>40</v>
      </c>
      <c r="Q16">
        <v>41693.120000000003</v>
      </c>
      <c r="T16" s="16" t="s">
        <v>80</v>
      </c>
      <c r="U16" s="8">
        <f t="shared" si="5"/>
        <v>40</v>
      </c>
      <c r="V16" s="310">
        <f t="shared" si="3"/>
        <v>41693.120000000003</v>
      </c>
      <c r="X16" t="s">
        <v>80</v>
      </c>
      <c r="Y16">
        <v>40</v>
      </c>
      <c r="Z16" t="s">
        <v>80</v>
      </c>
      <c r="AA16">
        <v>41693.120000000003</v>
      </c>
      <c r="AB16" s="19"/>
      <c r="AD16" t="s">
        <v>80</v>
      </c>
      <c r="AE16">
        <v>40</v>
      </c>
      <c r="AF16" t="s">
        <v>80</v>
      </c>
      <c r="AG16">
        <v>41693.120000000003</v>
      </c>
    </row>
    <row r="17" spans="1:33" ht="15" customHeight="1" thickBot="1" x14ac:dyDescent="0.3">
      <c r="A17" s="74" t="s">
        <v>26</v>
      </c>
      <c r="B17" s="75">
        <f>SUM(B15:B16)</f>
        <v>22</v>
      </c>
      <c r="C17" s="76">
        <f>SUM(C15:C16)</f>
        <v>24044.039999999997</v>
      </c>
      <c r="D17" s="77"/>
      <c r="E17" s="76">
        <f>SUM(E15:E16)</f>
        <v>22105.424999999999</v>
      </c>
      <c r="F17" s="76">
        <f>F16</f>
        <v>1938.6149999999989</v>
      </c>
      <c r="G17" s="78">
        <v>100000</v>
      </c>
      <c r="H17" s="79">
        <f>E17/G17</f>
        <v>0.22105424999999998</v>
      </c>
      <c r="I17" s="80"/>
      <c r="J17" s="221">
        <f>(H17/H$3)*G$13</f>
        <v>2962937.2153917165</v>
      </c>
      <c r="K17" s="81">
        <f>J17-G17</f>
        <v>2862937.2153917165</v>
      </c>
      <c r="M17" s="8"/>
      <c r="N17" s="8"/>
      <c r="O17" t="s">
        <v>72</v>
      </c>
      <c r="P17">
        <v>220</v>
      </c>
      <c r="Q17">
        <v>119403.03999999988</v>
      </c>
      <c r="T17" s="16" t="s">
        <v>72</v>
      </c>
      <c r="U17" s="8">
        <f t="shared" si="5"/>
        <v>220</v>
      </c>
      <c r="V17" s="310">
        <f t="shared" si="3"/>
        <v>119403.03999999988</v>
      </c>
      <c r="X17" t="s">
        <v>72</v>
      </c>
      <c r="Y17">
        <v>220</v>
      </c>
      <c r="Z17" t="s">
        <v>72</v>
      </c>
      <c r="AA17">
        <v>119403.03999999988</v>
      </c>
      <c r="AB17" s="19"/>
      <c r="AD17" t="s">
        <v>72</v>
      </c>
      <c r="AE17">
        <v>220</v>
      </c>
      <c r="AF17" t="s">
        <v>72</v>
      </c>
      <c r="AG17">
        <v>119403.03999999988</v>
      </c>
    </row>
    <row r="18" spans="1:33" ht="15" thickBot="1" x14ac:dyDescent="0.35">
      <c r="A18" s="57"/>
      <c r="B18" s="82"/>
      <c r="C18" s="61"/>
      <c r="D18" s="83"/>
      <c r="E18" s="61"/>
      <c r="F18" s="61"/>
      <c r="G18" s="61"/>
      <c r="H18" s="62"/>
      <c r="I18" s="63"/>
      <c r="J18" s="349"/>
      <c r="K18" s="338"/>
      <c r="M18" s="8"/>
      <c r="N18" s="8"/>
      <c r="O18" t="s">
        <v>31</v>
      </c>
      <c r="P18">
        <v>76</v>
      </c>
      <c r="Q18">
        <v>40502.679999999993</v>
      </c>
      <c r="T18" s="16" t="s">
        <v>31</v>
      </c>
      <c r="U18" s="8">
        <f t="shared" si="5"/>
        <v>76</v>
      </c>
      <c r="V18" s="310">
        <f t="shared" si="3"/>
        <v>40502.679999999993</v>
      </c>
      <c r="X18" t="s">
        <v>31</v>
      </c>
      <c r="Y18">
        <v>76</v>
      </c>
      <c r="Z18" t="s">
        <v>31</v>
      </c>
      <c r="AA18">
        <v>40502.679999999993</v>
      </c>
      <c r="AB18" s="19"/>
      <c r="AD18" t="s">
        <v>31</v>
      </c>
      <c r="AE18">
        <v>76</v>
      </c>
      <c r="AF18" t="s">
        <v>31</v>
      </c>
      <c r="AG18">
        <v>40502.679999999993</v>
      </c>
    </row>
    <row r="19" spans="1:33" x14ac:dyDescent="0.3">
      <c r="A19" s="65" t="s">
        <v>27</v>
      </c>
      <c r="B19" s="66"/>
      <c r="C19" s="67"/>
      <c r="D19" s="68">
        <v>1</v>
      </c>
      <c r="E19" s="67">
        <f>C19*D19</f>
        <v>0</v>
      </c>
      <c r="F19" s="67">
        <v>0</v>
      </c>
      <c r="G19" s="69"/>
      <c r="H19" s="70"/>
      <c r="I19" s="71"/>
      <c r="J19" s="339"/>
      <c r="K19" s="340"/>
      <c r="M19" s="8"/>
      <c r="N19" s="8"/>
      <c r="O19" t="s">
        <v>73</v>
      </c>
      <c r="P19">
        <v>134</v>
      </c>
      <c r="Q19">
        <v>104904.22999999998</v>
      </c>
      <c r="T19" s="16" t="s">
        <v>73</v>
      </c>
      <c r="U19" s="8">
        <f t="shared" si="5"/>
        <v>134</v>
      </c>
      <c r="V19" s="310">
        <f t="shared" si="3"/>
        <v>104904.22999999998</v>
      </c>
      <c r="X19" t="s">
        <v>73</v>
      </c>
      <c r="Y19">
        <v>134</v>
      </c>
      <c r="Z19" t="s">
        <v>73</v>
      </c>
      <c r="AA19">
        <v>104904.22999999998</v>
      </c>
      <c r="AB19" s="19"/>
      <c r="AD19" t="s">
        <v>73</v>
      </c>
      <c r="AE19">
        <v>134</v>
      </c>
      <c r="AF19" t="s">
        <v>73</v>
      </c>
      <c r="AG19">
        <v>104904.22999999998</v>
      </c>
    </row>
    <row r="20" spans="1:33" x14ac:dyDescent="0.3">
      <c r="A20" s="72" t="s">
        <v>28</v>
      </c>
      <c r="B20" s="39">
        <f>P6</f>
        <v>1</v>
      </c>
      <c r="C20" s="40">
        <f>Q6</f>
        <v>14578.980000000018</v>
      </c>
      <c r="D20" s="73">
        <v>0.3</v>
      </c>
      <c r="E20" s="40">
        <f>C20*D20</f>
        <v>4373.694000000005</v>
      </c>
      <c r="F20" s="40">
        <f>C20-E20</f>
        <v>10205.286000000013</v>
      </c>
      <c r="G20" s="69"/>
      <c r="H20" s="70"/>
      <c r="I20" s="71"/>
      <c r="J20" s="341"/>
      <c r="K20" s="342"/>
      <c r="M20" s="8"/>
      <c r="N20" s="8"/>
      <c r="O20" t="s">
        <v>74</v>
      </c>
      <c r="P20">
        <v>22</v>
      </c>
      <c r="Q20">
        <v>19817.760000000002</v>
      </c>
      <c r="T20" s="16" t="s">
        <v>74</v>
      </c>
      <c r="U20" s="8">
        <f t="shared" si="5"/>
        <v>22</v>
      </c>
      <c r="V20" s="310">
        <f t="shared" si="3"/>
        <v>19817.760000000002</v>
      </c>
      <c r="X20" t="s">
        <v>74</v>
      </c>
      <c r="Y20">
        <v>22</v>
      </c>
      <c r="Z20" t="s">
        <v>74</v>
      </c>
      <c r="AA20">
        <v>19817.760000000002</v>
      </c>
      <c r="AB20" s="19"/>
      <c r="AD20" t="s">
        <v>74</v>
      </c>
      <c r="AE20">
        <v>22</v>
      </c>
      <c r="AF20" t="s">
        <v>74</v>
      </c>
      <c r="AG20">
        <v>19817.760000000002</v>
      </c>
    </row>
    <row r="21" spans="1:33" ht="15" customHeight="1" thickBot="1" x14ac:dyDescent="0.3">
      <c r="A21" s="74" t="s">
        <v>29</v>
      </c>
      <c r="B21" s="75">
        <f>SUM(B19:B20)</f>
        <v>1</v>
      </c>
      <c r="C21" s="76">
        <f>SUM(C19:C20)</f>
        <v>14578.980000000018</v>
      </c>
      <c r="D21" s="77"/>
      <c r="E21" s="76">
        <f>SUM(E19:E20)</f>
        <v>4373.694000000005</v>
      </c>
      <c r="F21" s="76">
        <f>F20</f>
        <v>10205.286000000013</v>
      </c>
      <c r="G21" s="78">
        <v>100000</v>
      </c>
      <c r="H21" s="79">
        <f>E21/G21</f>
        <v>4.373694000000005E-2</v>
      </c>
      <c r="I21" s="80"/>
      <c r="J21" s="221">
        <v>1210.4083079629038</v>
      </c>
      <c r="K21" s="81">
        <v>-399744.59169203712</v>
      </c>
      <c r="M21" s="8"/>
      <c r="N21" s="8"/>
      <c r="O21" t="s">
        <v>38</v>
      </c>
      <c r="P21">
        <v>402</v>
      </c>
      <c r="Q21">
        <v>158345.88999999969</v>
      </c>
      <c r="T21" s="16" t="s">
        <v>38</v>
      </c>
      <c r="U21" s="8">
        <f t="shared" si="5"/>
        <v>402</v>
      </c>
      <c r="V21" s="310">
        <f t="shared" si="3"/>
        <v>158345.88999999969</v>
      </c>
      <c r="X21" t="s">
        <v>38</v>
      </c>
      <c r="Y21">
        <v>402</v>
      </c>
      <c r="Z21" t="s">
        <v>38</v>
      </c>
      <c r="AA21">
        <v>158345.88999999969</v>
      </c>
      <c r="AB21" s="19"/>
      <c r="AD21" t="s">
        <v>38</v>
      </c>
      <c r="AE21">
        <v>402</v>
      </c>
      <c r="AF21" t="s">
        <v>38</v>
      </c>
      <c r="AG21">
        <v>158345.88999999969</v>
      </c>
    </row>
    <row r="22" spans="1:33" ht="15" thickBot="1" x14ac:dyDescent="0.35">
      <c r="A22" s="57"/>
      <c r="B22" s="82"/>
      <c r="C22" s="61"/>
      <c r="D22" s="83"/>
      <c r="E22" s="61"/>
      <c r="F22" s="61"/>
      <c r="G22" s="61"/>
      <c r="H22" s="62"/>
      <c r="I22" s="63"/>
      <c r="J22" s="349"/>
      <c r="K22" s="338"/>
      <c r="M22" s="8"/>
      <c r="N22" s="8"/>
      <c r="O22" t="s">
        <v>40</v>
      </c>
      <c r="P22">
        <v>53</v>
      </c>
      <c r="Q22">
        <v>58196.510000000024</v>
      </c>
      <c r="T22" s="16" t="s">
        <v>40</v>
      </c>
      <c r="U22" s="8">
        <f t="shared" si="5"/>
        <v>53</v>
      </c>
      <c r="V22" s="310">
        <f t="shared" si="3"/>
        <v>58196.510000000024</v>
      </c>
      <c r="X22" t="s">
        <v>40</v>
      </c>
      <c r="Y22">
        <v>53</v>
      </c>
      <c r="Z22" t="s">
        <v>40</v>
      </c>
      <c r="AA22">
        <v>58196.510000000024</v>
      </c>
      <c r="AB22" s="19"/>
      <c r="AD22" t="s">
        <v>40</v>
      </c>
      <c r="AE22">
        <v>53</v>
      </c>
      <c r="AF22" t="s">
        <v>40</v>
      </c>
      <c r="AG22">
        <v>58196.510000000024</v>
      </c>
    </row>
    <row r="23" spans="1:33" x14ac:dyDescent="0.3">
      <c r="A23" s="84" t="s">
        <v>30</v>
      </c>
      <c r="B23" s="85">
        <f>P17</f>
        <v>220</v>
      </c>
      <c r="C23" s="86">
        <f t="shared" ref="C23:C24" si="8">Q17</f>
        <v>119403.03999999988</v>
      </c>
      <c r="D23" s="87">
        <v>1</v>
      </c>
      <c r="E23" s="86">
        <f>C23*D23</f>
        <v>119403.03999999988</v>
      </c>
      <c r="F23" s="88"/>
      <c r="G23" s="89"/>
      <c r="H23" s="90"/>
      <c r="I23" s="91"/>
      <c r="J23" s="339"/>
      <c r="K23" s="340"/>
      <c r="M23" s="8"/>
      <c r="N23" s="8"/>
      <c r="O23" t="s">
        <v>58</v>
      </c>
      <c r="P23">
        <v>909</v>
      </c>
      <c r="Q23">
        <v>452833.00999999914</v>
      </c>
      <c r="T23" s="16" t="s">
        <v>58</v>
      </c>
      <c r="U23" s="8">
        <f t="shared" si="5"/>
        <v>909</v>
      </c>
      <c r="V23" s="310">
        <f t="shared" si="3"/>
        <v>452833.00999999914</v>
      </c>
      <c r="X23" t="s">
        <v>58</v>
      </c>
      <c r="Y23">
        <v>909</v>
      </c>
      <c r="Z23" t="s">
        <v>58</v>
      </c>
      <c r="AA23">
        <v>452833.00999999914</v>
      </c>
      <c r="AB23" s="19"/>
      <c r="AD23" t="s">
        <v>58</v>
      </c>
      <c r="AE23">
        <v>909</v>
      </c>
      <c r="AF23" t="s">
        <v>58</v>
      </c>
      <c r="AG23">
        <v>452833.00999999914</v>
      </c>
    </row>
    <row r="24" spans="1:33" x14ac:dyDescent="0.3">
      <c r="A24" s="84" t="s">
        <v>32</v>
      </c>
      <c r="B24" s="85">
        <f t="shared" ref="B24" si="9">P18</f>
        <v>76</v>
      </c>
      <c r="C24" s="93">
        <f t="shared" si="8"/>
        <v>40502.679999999993</v>
      </c>
      <c r="D24" s="94">
        <v>0.3</v>
      </c>
      <c r="E24" s="93">
        <f>C24*D24</f>
        <v>12150.803999999998</v>
      </c>
      <c r="F24" s="95">
        <f>C24-E24</f>
        <v>28351.875999999997</v>
      </c>
      <c r="G24" s="96"/>
      <c r="H24" s="97"/>
      <c r="I24" s="91"/>
      <c r="J24" s="341"/>
      <c r="K24" s="342"/>
      <c r="M24" s="8"/>
      <c r="N24" s="8"/>
      <c r="O24" t="s">
        <v>43</v>
      </c>
      <c r="P24">
        <v>133</v>
      </c>
      <c r="Q24">
        <v>147007.72999999992</v>
      </c>
      <c r="T24" s="16" t="s">
        <v>43</v>
      </c>
      <c r="U24" s="8">
        <f t="shared" si="5"/>
        <v>133</v>
      </c>
      <c r="V24" s="310">
        <f t="shared" si="3"/>
        <v>147007.72999999992</v>
      </c>
      <c r="X24" t="s">
        <v>43</v>
      </c>
      <c r="Y24">
        <v>133</v>
      </c>
      <c r="Z24" t="s">
        <v>43</v>
      </c>
      <c r="AA24">
        <v>147007.72999999992</v>
      </c>
      <c r="AB24" s="19"/>
      <c r="AD24" t="s">
        <v>43</v>
      </c>
      <c r="AE24">
        <v>133</v>
      </c>
      <c r="AF24" t="s">
        <v>43</v>
      </c>
      <c r="AG24">
        <v>147007.72999999992</v>
      </c>
    </row>
    <row r="25" spans="1:33" ht="15" customHeight="1" thickBot="1" x14ac:dyDescent="0.3">
      <c r="A25" s="74" t="s">
        <v>33</v>
      </c>
      <c r="B25" s="75">
        <f>SUM(B23:B24)</f>
        <v>296</v>
      </c>
      <c r="C25" s="76">
        <f>SUM(C23:C24)</f>
        <v>159905.71999999986</v>
      </c>
      <c r="D25" s="77"/>
      <c r="E25" s="76">
        <f>SUM(E23:E24)</f>
        <v>131553.84399999987</v>
      </c>
      <c r="F25" s="76">
        <f>F24</f>
        <v>28351.875999999997</v>
      </c>
      <c r="G25" s="78">
        <v>750000</v>
      </c>
      <c r="H25" s="79">
        <f>E25/G25</f>
        <v>0.17540512533333316</v>
      </c>
      <c r="I25" s="80"/>
      <c r="J25" s="221">
        <f>(H25/H$3)*G$13</f>
        <v>2351071.6198425549</v>
      </c>
      <c r="K25" s="81">
        <f>J25-G25</f>
        <v>1601071.6198425549</v>
      </c>
      <c r="M25" s="8"/>
      <c r="N25" s="8"/>
      <c r="O25" t="s">
        <v>45</v>
      </c>
      <c r="P25">
        <v>153</v>
      </c>
      <c r="Q25">
        <v>199171.20000000001</v>
      </c>
      <c r="T25" s="16" t="s">
        <v>45</v>
      </c>
      <c r="U25" s="8">
        <f t="shared" si="5"/>
        <v>153</v>
      </c>
      <c r="V25" s="310">
        <f t="shared" si="3"/>
        <v>199171.20000000001</v>
      </c>
      <c r="X25" t="s">
        <v>45</v>
      </c>
      <c r="Y25">
        <v>153</v>
      </c>
      <c r="Z25" t="s">
        <v>45</v>
      </c>
      <c r="AA25">
        <v>199171.20000000001</v>
      </c>
      <c r="AB25" s="19"/>
      <c r="AD25" t="s">
        <v>45</v>
      </c>
      <c r="AE25">
        <v>153</v>
      </c>
      <c r="AF25" t="s">
        <v>45</v>
      </c>
      <c r="AG25">
        <v>199171.20000000001</v>
      </c>
    </row>
    <row r="26" spans="1:33" ht="15" thickBot="1" x14ac:dyDescent="0.35">
      <c r="A26" s="57"/>
      <c r="B26" s="82"/>
      <c r="C26" s="61"/>
      <c r="D26" s="83"/>
      <c r="E26" s="61"/>
      <c r="F26" s="61"/>
      <c r="G26" s="61"/>
      <c r="H26" s="62"/>
      <c r="I26" s="63"/>
      <c r="J26" s="337"/>
      <c r="K26" s="350"/>
      <c r="M26" s="8"/>
      <c r="N26" s="8"/>
      <c r="O26" t="s">
        <v>48</v>
      </c>
      <c r="P26">
        <v>76</v>
      </c>
      <c r="Q26">
        <v>68190.469999999972</v>
      </c>
      <c r="T26" s="16" t="s">
        <v>48</v>
      </c>
      <c r="U26" s="8">
        <f t="shared" si="5"/>
        <v>76</v>
      </c>
      <c r="V26" s="310">
        <f t="shared" si="3"/>
        <v>68190.469999999972</v>
      </c>
      <c r="X26" t="s">
        <v>48</v>
      </c>
      <c r="Y26">
        <v>76</v>
      </c>
      <c r="Z26" t="s">
        <v>48</v>
      </c>
      <c r="AA26">
        <v>68190.469999999972</v>
      </c>
      <c r="AB26" s="19"/>
      <c r="AD26" t="s">
        <v>48</v>
      </c>
      <c r="AE26">
        <v>76</v>
      </c>
      <c r="AF26" t="s">
        <v>48</v>
      </c>
      <c r="AG26">
        <v>68190.469999999972</v>
      </c>
    </row>
    <row r="27" spans="1:33" x14ac:dyDescent="0.3">
      <c r="A27" s="65" t="s">
        <v>34</v>
      </c>
      <c r="B27" s="98">
        <f>P19</f>
        <v>134</v>
      </c>
      <c r="C27" s="99">
        <f t="shared" ref="C27:C28" si="10">Q19</f>
        <v>104904.22999999998</v>
      </c>
      <c r="D27" s="100">
        <v>1</v>
      </c>
      <c r="E27" s="101">
        <f>C27*D27</f>
        <v>104904.22999999998</v>
      </c>
      <c r="F27" s="101">
        <v>0</v>
      </c>
      <c r="G27" s="69"/>
      <c r="H27" s="70"/>
      <c r="I27" s="71"/>
      <c r="J27" s="351"/>
      <c r="K27" s="352"/>
      <c r="M27" s="8"/>
      <c r="N27" s="8"/>
      <c r="O27" t="s">
        <v>50</v>
      </c>
      <c r="P27">
        <v>24</v>
      </c>
      <c r="Q27">
        <v>15281.34</v>
      </c>
      <c r="T27" s="16" t="s">
        <v>50</v>
      </c>
      <c r="U27" s="8">
        <f t="shared" si="5"/>
        <v>24</v>
      </c>
      <c r="V27" s="310">
        <f t="shared" si="3"/>
        <v>15281.34</v>
      </c>
      <c r="X27" t="s">
        <v>50</v>
      </c>
      <c r="Y27">
        <v>24</v>
      </c>
      <c r="Z27" t="s">
        <v>50</v>
      </c>
      <c r="AA27">
        <v>15281.34</v>
      </c>
      <c r="AB27" s="19"/>
      <c r="AD27" t="s">
        <v>50</v>
      </c>
      <c r="AE27">
        <v>24</v>
      </c>
      <c r="AF27" t="s">
        <v>50</v>
      </c>
      <c r="AG27">
        <v>15281.34</v>
      </c>
    </row>
    <row r="28" spans="1:33" x14ac:dyDescent="0.3">
      <c r="A28" s="72" t="s">
        <v>35</v>
      </c>
      <c r="B28" s="102">
        <f t="shared" ref="B28" si="11">P20</f>
        <v>22</v>
      </c>
      <c r="C28" s="103">
        <f t="shared" si="10"/>
        <v>19817.760000000002</v>
      </c>
      <c r="D28" s="104">
        <v>0.3</v>
      </c>
      <c r="E28" s="105">
        <f>C28*D28</f>
        <v>5945.3280000000004</v>
      </c>
      <c r="F28" s="105">
        <f>C28-E28</f>
        <v>13872.432000000001</v>
      </c>
      <c r="G28" s="69"/>
      <c r="H28" s="70"/>
      <c r="I28" s="71"/>
      <c r="J28" s="353"/>
      <c r="K28" s="354"/>
      <c r="M28" s="8"/>
      <c r="N28" s="8"/>
      <c r="O28" t="s">
        <v>60</v>
      </c>
      <c r="P28">
        <v>982</v>
      </c>
      <c r="Q28">
        <v>12979.890000000012</v>
      </c>
      <c r="T28" s="16" t="s">
        <v>60</v>
      </c>
      <c r="U28" s="8">
        <f t="shared" si="5"/>
        <v>982</v>
      </c>
      <c r="V28" s="310">
        <f t="shared" si="3"/>
        <v>12979.890000000012</v>
      </c>
      <c r="X28" t="s">
        <v>60</v>
      </c>
      <c r="Y28">
        <v>982</v>
      </c>
      <c r="Z28" t="s">
        <v>60</v>
      </c>
      <c r="AA28">
        <v>12979.890000000012</v>
      </c>
      <c r="AB28" s="19"/>
      <c r="AD28" t="s">
        <v>60</v>
      </c>
      <c r="AE28">
        <v>982</v>
      </c>
      <c r="AF28" t="s">
        <v>60</v>
      </c>
      <c r="AG28">
        <v>12979.890000000012</v>
      </c>
    </row>
    <row r="29" spans="1:33" ht="15" customHeight="1" thickBot="1" x14ac:dyDescent="0.3">
      <c r="A29" s="74" t="s">
        <v>36</v>
      </c>
      <c r="B29" s="75">
        <f>SUM(B27:B28)</f>
        <v>156</v>
      </c>
      <c r="C29" s="76">
        <f>SUM(C27:C28)</f>
        <v>124721.98999999999</v>
      </c>
      <c r="D29" s="77"/>
      <c r="E29" s="76">
        <f>SUM(E27:E28)</f>
        <v>110849.55799999998</v>
      </c>
      <c r="F29" s="76">
        <f>F28</f>
        <v>13872.432000000001</v>
      </c>
      <c r="G29" s="78">
        <v>429000</v>
      </c>
      <c r="H29" s="79">
        <f>E29/G29</f>
        <v>0.25839057808857802</v>
      </c>
      <c r="I29" s="80"/>
      <c r="J29" s="221">
        <f>(H29/H$3)*G$13</f>
        <v>3463380.866575635</v>
      </c>
      <c r="K29" s="81">
        <f>J29-G29</f>
        <v>3034380.866575635</v>
      </c>
      <c r="M29" s="8"/>
      <c r="N29" s="8"/>
      <c r="O29" t="s">
        <v>53</v>
      </c>
      <c r="P29">
        <v>42</v>
      </c>
      <c r="Q29">
        <v>38410.720000000016</v>
      </c>
      <c r="T29" s="16" t="s">
        <v>53</v>
      </c>
      <c r="U29" s="8">
        <f t="shared" si="5"/>
        <v>42</v>
      </c>
      <c r="V29" s="310">
        <f t="shared" si="3"/>
        <v>38410.720000000016</v>
      </c>
      <c r="X29" t="s">
        <v>53</v>
      </c>
      <c r="Y29">
        <v>42</v>
      </c>
      <c r="Z29" t="s">
        <v>53</v>
      </c>
      <c r="AA29">
        <v>38410.720000000016</v>
      </c>
      <c r="AB29" s="19"/>
      <c r="AD29" t="s">
        <v>53</v>
      </c>
      <c r="AE29">
        <v>42</v>
      </c>
      <c r="AF29" t="s">
        <v>53</v>
      </c>
      <c r="AG29">
        <v>38410.720000000016</v>
      </c>
    </row>
    <row r="30" spans="1:33" ht="15" thickBot="1" x14ac:dyDescent="0.35">
      <c r="A30" s="57"/>
      <c r="B30" s="82"/>
      <c r="C30" s="61"/>
      <c r="D30" s="83"/>
      <c r="E30" s="61"/>
      <c r="F30" s="61"/>
      <c r="G30" s="61"/>
      <c r="H30" s="62"/>
      <c r="I30" s="63"/>
      <c r="J30" s="355"/>
      <c r="K30" s="338"/>
      <c r="M30" s="8"/>
      <c r="N30" s="8"/>
      <c r="O30" t="s">
        <v>55</v>
      </c>
      <c r="P30">
        <v>28</v>
      </c>
      <c r="Q30">
        <v>41759.089999999982</v>
      </c>
      <c r="T30" s="16" t="s">
        <v>55</v>
      </c>
      <c r="U30" s="8">
        <f t="shared" si="5"/>
        <v>28</v>
      </c>
      <c r="V30" s="310">
        <f t="shared" si="3"/>
        <v>41759.089999999982</v>
      </c>
      <c r="X30" t="s">
        <v>55</v>
      </c>
      <c r="Y30">
        <v>28</v>
      </c>
      <c r="Z30" t="s">
        <v>55</v>
      </c>
      <c r="AA30">
        <v>41759.089999999982</v>
      </c>
      <c r="AB30" s="19"/>
      <c r="AD30" t="s">
        <v>55</v>
      </c>
      <c r="AE30">
        <v>28</v>
      </c>
      <c r="AF30" t="s">
        <v>55</v>
      </c>
      <c r="AG30">
        <v>41759.089999999982</v>
      </c>
    </row>
    <row r="31" spans="1:33" ht="15" thickBot="1" x14ac:dyDescent="0.35">
      <c r="A31" s="106" t="s">
        <v>37</v>
      </c>
      <c r="B31" s="107">
        <f>P21</f>
        <v>402</v>
      </c>
      <c r="C31" s="108">
        <f t="shared" ref="C31:C32" si="12">Q21</f>
        <v>158345.88999999969</v>
      </c>
      <c r="D31" s="109">
        <v>1</v>
      </c>
      <c r="E31" s="110">
        <f>C31*D31</f>
        <v>158345.88999999969</v>
      </c>
      <c r="F31" s="111"/>
      <c r="G31" s="358"/>
      <c r="H31" s="360"/>
      <c r="I31" s="112"/>
      <c r="J31" s="339"/>
      <c r="K31" s="340"/>
      <c r="M31" s="8"/>
      <c r="N31" s="8"/>
      <c r="O31" t="s">
        <v>61</v>
      </c>
      <c r="P31">
        <v>4573</v>
      </c>
      <c r="Q31">
        <v>2181973.5799999982</v>
      </c>
      <c r="T31" s="230" t="s">
        <v>61</v>
      </c>
      <c r="U31" s="8">
        <f t="shared" si="5"/>
        <v>4573</v>
      </c>
      <c r="V31" s="310">
        <f t="shared" si="3"/>
        <v>2181973.5799999982</v>
      </c>
      <c r="X31" t="s">
        <v>61</v>
      </c>
      <c r="Y31">
        <v>4573</v>
      </c>
      <c r="Z31" t="s">
        <v>61</v>
      </c>
      <c r="AA31">
        <v>2181973.5799999982</v>
      </c>
      <c r="AB31" s="231"/>
      <c r="AD31" t="s">
        <v>61</v>
      </c>
      <c r="AE31">
        <v>4573</v>
      </c>
      <c r="AF31" t="s">
        <v>61</v>
      </c>
      <c r="AG31">
        <v>2181973.5799999982</v>
      </c>
    </row>
    <row r="32" spans="1:33" x14ac:dyDescent="0.3">
      <c r="A32" s="114" t="s">
        <v>39</v>
      </c>
      <c r="B32" s="115">
        <f t="shared" ref="B32" si="13">P22</f>
        <v>53</v>
      </c>
      <c r="C32" s="64">
        <f t="shared" si="12"/>
        <v>58196.510000000024</v>
      </c>
      <c r="D32" s="116">
        <v>0.3</v>
      </c>
      <c r="E32" s="117">
        <f>C32*D32</f>
        <v>17458.953000000005</v>
      </c>
      <c r="F32" s="118">
        <f>C32-E32</f>
        <v>40737.557000000015</v>
      </c>
      <c r="G32" s="359"/>
      <c r="H32" s="361"/>
      <c r="I32" s="112"/>
      <c r="J32" s="341"/>
      <c r="K32" s="342"/>
      <c r="M32" s="8"/>
      <c r="N32" s="8"/>
      <c r="O32" s="9"/>
      <c r="P32" s="9"/>
    </row>
    <row r="33" spans="1:17" ht="15" customHeight="1" thickBot="1" x14ac:dyDescent="0.3">
      <c r="A33" s="119" t="s">
        <v>41</v>
      </c>
      <c r="B33" s="120">
        <f>SUM(B31:B32)</f>
        <v>455</v>
      </c>
      <c r="C33" s="78">
        <f>SUM(C31:C32)</f>
        <v>216542.39999999973</v>
      </c>
      <c r="D33" s="121"/>
      <c r="E33" s="78">
        <f>SUM(E31:E32)</f>
        <v>175804.8429999997</v>
      </c>
      <c r="F33" s="78">
        <f>F32</f>
        <v>40737.557000000015</v>
      </c>
      <c r="G33" s="78">
        <v>1000000</v>
      </c>
      <c r="H33" s="79">
        <f>E33/G33</f>
        <v>0.17580484299999971</v>
      </c>
      <c r="I33" s="80"/>
      <c r="J33" s="221">
        <f>(H33/H$3)*G$13</f>
        <v>2356429.3017247892</v>
      </c>
      <c r="K33" s="81">
        <f>J33-G33</f>
        <v>1356429.3017247892</v>
      </c>
      <c r="M33" s="8"/>
      <c r="N33" s="8"/>
      <c r="O33" s="9"/>
      <c r="P33" s="9"/>
    </row>
    <row r="34" spans="1:17" ht="15" thickBot="1" x14ac:dyDescent="0.35">
      <c r="A34" s="57"/>
      <c r="B34" s="82"/>
      <c r="C34" s="61"/>
      <c r="D34" s="83"/>
      <c r="E34" s="61"/>
      <c r="F34" s="61"/>
      <c r="G34" s="61"/>
      <c r="H34" s="62"/>
      <c r="I34" s="63"/>
      <c r="J34" s="337"/>
      <c r="K34" s="350"/>
      <c r="M34" s="8"/>
      <c r="N34" s="8"/>
      <c r="O34" s="9"/>
      <c r="P34" s="9"/>
    </row>
    <row r="35" spans="1:17" x14ac:dyDescent="0.3">
      <c r="A35" s="122" t="s">
        <v>42</v>
      </c>
      <c r="B35" s="123">
        <f>P24</f>
        <v>133</v>
      </c>
      <c r="C35" s="124">
        <f t="shared" ref="C35:C36" si="14">Q24</f>
        <v>147007.72999999992</v>
      </c>
      <c r="D35" s="125">
        <v>1</v>
      </c>
      <c r="E35" s="124">
        <f>C35*D35</f>
        <v>147007.72999999992</v>
      </c>
      <c r="F35" s="126"/>
      <c r="G35" s="362"/>
      <c r="H35" s="364"/>
      <c r="I35" s="127"/>
      <c r="J35" s="351"/>
      <c r="K35" s="352"/>
      <c r="M35" s="8"/>
      <c r="N35" s="8"/>
      <c r="O35" s="9"/>
      <c r="P35"/>
      <c r="Q35"/>
    </row>
    <row r="36" spans="1:17" x14ac:dyDescent="0.3">
      <c r="A36" s="129" t="s">
        <v>44</v>
      </c>
      <c r="B36" s="130">
        <f t="shared" ref="B36" si="15">P25</f>
        <v>153</v>
      </c>
      <c r="C36" s="131">
        <f t="shared" si="14"/>
        <v>199171.20000000001</v>
      </c>
      <c r="D36" s="132">
        <v>0.3</v>
      </c>
      <c r="E36" s="131">
        <f>C36*D36</f>
        <v>59751.360000000001</v>
      </c>
      <c r="F36" s="133">
        <f>C36-E36</f>
        <v>139419.84000000003</v>
      </c>
      <c r="G36" s="363"/>
      <c r="H36" s="365"/>
      <c r="I36" s="127"/>
      <c r="J36" s="353"/>
      <c r="K36" s="354"/>
      <c r="M36" s="8"/>
      <c r="N36" s="8"/>
      <c r="O36" s="9"/>
      <c r="P36" s="9"/>
    </row>
    <row r="37" spans="1:17" ht="15" customHeight="1" thickBot="1" x14ac:dyDescent="0.3">
      <c r="A37" s="74" t="s">
        <v>46</v>
      </c>
      <c r="B37" s="120">
        <f>SUM(B35:B36)</f>
        <v>286</v>
      </c>
      <c r="C37" s="78">
        <f>SUM(C35:C36)</f>
        <v>346178.92999999993</v>
      </c>
      <c r="D37" s="121"/>
      <c r="E37" s="78">
        <f>SUM(E35:E36)</f>
        <v>206759.08999999991</v>
      </c>
      <c r="F37" s="78">
        <f>F36</f>
        <v>139419.84000000003</v>
      </c>
      <c r="G37" s="78">
        <v>450000</v>
      </c>
      <c r="H37" s="79">
        <f>E37/G37</f>
        <v>0.45946464444444424</v>
      </c>
      <c r="I37" s="80"/>
      <c r="J37" s="221">
        <f>(H37/H$3)*G$13</f>
        <v>6158510.3845828194</v>
      </c>
      <c r="K37" s="81">
        <f>J37-G37</f>
        <v>5708510.3845828194</v>
      </c>
      <c r="M37" s="8"/>
      <c r="N37" s="8"/>
      <c r="O37" s="9"/>
      <c r="P37" s="9"/>
    </row>
    <row r="38" spans="1:17" ht="15" thickBot="1" x14ac:dyDescent="0.35">
      <c r="A38" s="57"/>
      <c r="B38" s="82"/>
      <c r="C38" s="61"/>
      <c r="D38" s="83"/>
      <c r="E38" s="61"/>
      <c r="F38" s="61"/>
      <c r="G38" s="61"/>
      <c r="H38" s="62"/>
      <c r="I38" s="63"/>
      <c r="J38" s="337"/>
      <c r="K38" s="338"/>
      <c r="M38" s="8"/>
      <c r="N38" s="8"/>
      <c r="O38" s="9"/>
      <c r="P38" s="9"/>
    </row>
    <row r="39" spans="1:17" x14ac:dyDescent="0.3">
      <c r="A39" s="134" t="s">
        <v>47</v>
      </c>
      <c r="B39" s="98">
        <f>P26</f>
        <v>76</v>
      </c>
      <c r="C39" s="135">
        <f t="shared" ref="C39:C40" si="16">Q26</f>
        <v>68190.469999999972</v>
      </c>
      <c r="D39" s="136">
        <v>1</v>
      </c>
      <c r="E39" s="99">
        <f>C39*D39</f>
        <v>68190.469999999972</v>
      </c>
      <c r="F39" s="101"/>
      <c r="G39" s="343"/>
      <c r="H39" s="345"/>
      <c r="I39" s="91"/>
      <c r="J39" s="339"/>
      <c r="K39" s="340"/>
      <c r="M39" s="8"/>
      <c r="N39" s="8"/>
      <c r="O39" s="9"/>
      <c r="P39" s="9"/>
    </row>
    <row r="40" spans="1:17" x14ac:dyDescent="0.3">
      <c r="A40" s="138" t="s">
        <v>49</v>
      </c>
      <c r="B40" s="85">
        <f t="shared" ref="B40" si="17">P27</f>
        <v>24</v>
      </c>
      <c r="C40" s="93">
        <f t="shared" si="16"/>
        <v>15281.34</v>
      </c>
      <c r="D40" s="94">
        <v>0.3</v>
      </c>
      <c r="E40" s="139">
        <f>C40*D40</f>
        <v>4584.402</v>
      </c>
      <c r="F40" s="140">
        <f>C40-E40</f>
        <v>10696.938</v>
      </c>
      <c r="G40" s="344"/>
      <c r="H40" s="346"/>
      <c r="I40" s="91"/>
      <c r="J40" s="341"/>
      <c r="K40" s="342"/>
      <c r="M40" s="8"/>
      <c r="N40" s="8"/>
      <c r="O40" s="9"/>
      <c r="P40" s="9"/>
    </row>
    <row r="41" spans="1:17" ht="15" customHeight="1" thickBot="1" x14ac:dyDescent="0.3">
      <c r="A41" s="119" t="s">
        <v>51</v>
      </c>
      <c r="B41" s="120">
        <f>SUM(B39:B40)</f>
        <v>100</v>
      </c>
      <c r="C41" s="78">
        <f>SUM(C39:C40)</f>
        <v>83471.809999999969</v>
      </c>
      <c r="D41" s="121"/>
      <c r="E41" s="78">
        <f>SUM(E39:E40)</f>
        <v>72774.871999999974</v>
      </c>
      <c r="F41" s="78">
        <f>F40</f>
        <v>10696.938</v>
      </c>
      <c r="G41" s="78">
        <v>325000</v>
      </c>
      <c r="H41" s="79">
        <f>E41/G41</f>
        <v>0.22392268307692301</v>
      </c>
      <c r="I41" s="80"/>
      <c r="J41" s="221">
        <f>(H41/H$3)*G$13</f>
        <v>3001384.7327476405</v>
      </c>
      <c r="K41" s="81">
        <f>J41-G41</f>
        <v>2676384.7327476405</v>
      </c>
      <c r="M41" s="8"/>
      <c r="N41" s="8"/>
      <c r="O41" s="9"/>
      <c r="P41" s="9"/>
    </row>
    <row r="42" spans="1:17" ht="15" thickBot="1" x14ac:dyDescent="0.35">
      <c r="A42" s="57"/>
      <c r="B42" s="82"/>
      <c r="C42" s="61"/>
      <c r="D42" s="83"/>
      <c r="E42" s="61"/>
      <c r="F42" s="61"/>
      <c r="G42" s="61"/>
      <c r="H42" s="62"/>
      <c r="I42" s="63"/>
      <c r="J42" s="337"/>
      <c r="K42" s="350"/>
      <c r="M42" s="8"/>
      <c r="N42" s="8"/>
      <c r="O42" s="9"/>
      <c r="P42" s="9"/>
    </row>
    <row r="43" spans="1:17" x14ac:dyDescent="0.3">
      <c r="A43" s="141" t="s">
        <v>52</v>
      </c>
      <c r="B43" s="123">
        <f>P29</f>
        <v>42</v>
      </c>
      <c r="C43" s="124">
        <f t="shared" ref="C43:C44" si="18">Q29</f>
        <v>38410.720000000016</v>
      </c>
      <c r="D43" s="109">
        <v>1</v>
      </c>
      <c r="E43" s="110">
        <f>C43*D43</f>
        <v>38410.720000000016</v>
      </c>
      <c r="F43" s="142"/>
      <c r="G43" s="362"/>
      <c r="H43" s="364"/>
      <c r="I43" s="127"/>
      <c r="J43" s="351"/>
      <c r="K43" s="352"/>
      <c r="M43" s="8"/>
      <c r="N43" s="8"/>
      <c r="O43" s="9"/>
      <c r="P43" s="9"/>
    </row>
    <row r="44" spans="1:17" x14ac:dyDescent="0.3">
      <c r="A44" s="129" t="s">
        <v>54</v>
      </c>
      <c r="B44" s="130">
        <f t="shared" ref="B44" si="19">P30</f>
        <v>28</v>
      </c>
      <c r="C44" s="131">
        <f t="shared" si="18"/>
        <v>41759.089999999982</v>
      </c>
      <c r="D44" s="116">
        <v>0.3</v>
      </c>
      <c r="E44" s="117">
        <f>C44*D44</f>
        <v>12527.726999999993</v>
      </c>
      <c r="F44" s="97">
        <f>C44-E44</f>
        <v>29231.36299999999</v>
      </c>
      <c r="G44" s="363"/>
      <c r="H44" s="365"/>
      <c r="I44" s="127"/>
      <c r="J44" s="353"/>
      <c r="K44" s="354"/>
      <c r="M44" s="8"/>
      <c r="N44" s="8"/>
      <c r="O44" s="9"/>
      <c r="P44" s="9"/>
    </row>
    <row r="45" spans="1:17" ht="15" customHeight="1" thickBot="1" x14ac:dyDescent="0.3">
      <c r="A45" s="119" t="s">
        <v>56</v>
      </c>
      <c r="B45" s="120">
        <f>SUM(B43:B44)</f>
        <v>70</v>
      </c>
      <c r="C45" s="78">
        <f>SUM(C43:C44)</f>
        <v>80169.81</v>
      </c>
      <c r="D45" s="121"/>
      <c r="E45" s="78">
        <f>SUM(E43:E44)</f>
        <v>50938.447000000007</v>
      </c>
      <c r="F45" s="78">
        <f>F44</f>
        <v>29231.36299999999</v>
      </c>
      <c r="G45" s="78">
        <v>300000</v>
      </c>
      <c r="H45" s="79">
        <f>E45/G45</f>
        <v>0.16979482333333334</v>
      </c>
      <c r="I45" s="80"/>
      <c r="J45" s="221">
        <f>(H45/H$3)*G$13</f>
        <v>2275873.0087080211</v>
      </c>
      <c r="K45" s="81">
        <f>J45-G45</f>
        <v>1975873.0087080211</v>
      </c>
      <c r="M45" s="8"/>
      <c r="N45" s="8"/>
      <c r="O45" s="9"/>
      <c r="P45" s="9"/>
    </row>
    <row r="46" spans="1:17" ht="15" thickBot="1" x14ac:dyDescent="0.35">
      <c r="A46" s="57"/>
      <c r="B46" s="82"/>
      <c r="C46" s="61"/>
      <c r="D46" s="83"/>
      <c r="E46" s="61"/>
      <c r="F46" s="143"/>
      <c r="G46" s="61"/>
      <c r="H46" s="62"/>
      <c r="I46" s="63"/>
      <c r="J46" s="337"/>
      <c r="K46" s="338"/>
      <c r="M46" s="8"/>
      <c r="N46" s="8"/>
      <c r="O46" s="9"/>
      <c r="P46" s="9"/>
    </row>
    <row r="47" spans="1:17" x14ac:dyDescent="0.3">
      <c r="A47" s="141" t="s">
        <v>66</v>
      </c>
      <c r="B47" s="123"/>
      <c r="C47" s="124"/>
      <c r="D47" s="109">
        <v>1</v>
      </c>
      <c r="E47" s="110">
        <f>C47*D47</f>
        <v>0</v>
      </c>
      <c r="F47" s="142"/>
      <c r="G47" s="362"/>
      <c r="H47" s="364"/>
      <c r="I47" s="127"/>
      <c r="J47" s="370"/>
      <c r="K47" s="340"/>
      <c r="M47" s="8"/>
      <c r="N47" s="8"/>
      <c r="O47" s="9"/>
      <c r="P47" s="9"/>
    </row>
    <row r="48" spans="1:17" x14ac:dyDescent="0.3">
      <c r="A48" s="129" t="s">
        <v>67</v>
      </c>
      <c r="B48" s="130"/>
      <c r="C48" s="131"/>
      <c r="D48" s="116">
        <v>0.3</v>
      </c>
      <c r="E48" s="117">
        <f>C48*D48</f>
        <v>0</v>
      </c>
      <c r="F48" s="97">
        <f>C48-E48</f>
        <v>0</v>
      </c>
      <c r="G48" s="363"/>
      <c r="H48" s="365"/>
      <c r="I48" s="127"/>
      <c r="J48" s="370"/>
      <c r="K48" s="340"/>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370"/>
      <c r="K49" s="340"/>
      <c r="M49" s="8"/>
      <c r="N49" s="8"/>
      <c r="O49" s="9"/>
      <c r="P49" s="9"/>
    </row>
    <row r="50" spans="1:17" ht="15" thickBot="1" x14ac:dyDescent="0.35">
      <c r="A50" s="57"/>
      <c r="B50" s="82"/>
      <c r="C50" s="61"/>
      <c r="D50" s="83"/>
      <c r="E50" s="61"/>
      <c r="F50" s="143"/>
      <c r="G50" s="61"/>
      <c r="H50" s="62"/>
      <c r="I50" s="63"/>
      <c r="J50" s="370"/>
      <c r="K50" s="340"/>
      <c r="M50" s="8"/>
      <c r="N50" s="8"/>
      <c r="O50" s="9"/>
      <c r="P50" s="9"/>
    </row>
    <row r="51" spans="1:17" ht="16.5" customHeight="1" x14ac:dyDescent="0.3">
      <c r="A51" s="106" t="s">
        <v>57</v>
      </c>
      <c r="B51" s="115">
        <f>P23</f>
        <v>909</v>
      </c>
      <c r="C51" s="64">
        <f>Q23</f>
        <v>452833.00999999914</v>
      </c>
      <c r="D51" s="116">
        <v>0.3</v>
      </c>
      <c r="E51" s="110">
        <f>C51*D51</f>
        <v>135849.90299999973</v>
      </c>
      <c r="F51" s="144">
        <f>C51-E51</f>
        <v>316983.10699999938</v>
      </c>
      <c r="G51" s="145"/>
      <c r="H51" s="146"/>
      <c r="I51" s="112"/>
      <c r="J51" s="341"/>
      <c r="K51" s="342"/>
      <c r="M51" s="8"/>
      <c r="N51" s="8"/>
      <c r="O51" s="9"/>
      <c r="P51" s="9"/>
    </row>
    <row r="52" spans="1:17" ht="15" customHeight="1" thickBot="1" x14ac:dyDescent="0.3">
      <c r="A52" s="119" t="s">
        <v>59</v>
      </c>
      <c r="B52" s="120">
        <f>B51</f>
        <v>909</v>
      </c>
      <c r="C52" s="78">
        <f>C51</f>
        <v>452833.00999999914</v>
      </c>
      <c r="D52" s="121"/>
      <c r="E52" s="78">
        <f>E51</f>
        <v>135849.90299999973</v>
      </c>
      <c r="F52" s="78">
        <f>F51</f>
        <v>316983.10699999938</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37"/>
      <c r="K53" s="350"/>
      <c r="M53" s="8"/>
      <c r="N53" s="8"/>
      <c r="O53" s="9"/>
      <c r="P53" s="9"/>
    </row>
    <row r="54" spans="1:17" ht="15" thickBot="1" x14ac:dyDescent="0.35">
      <c r="A54" s="147" t="s">
        <v>75</v>
      </c>
      <c r="B54" s="148">
        <f>P28</f>
        <v>982</v>
      </c>
      <c r="C54" s="54">
        <f>Q28</f>
        <v>12979.890000000012</v>
      </c>
      <c r="D54" s="149">
        <v>1</v>
      </c>
      <c r="E54" s="54">
        <f>C54*D54</f>
        <v>12979.890000000012</v>
      </c>
      <c r="F54" s="150"/>
      <c r="G54" s="151">
        <v>546455</v>
      </c>
      <c r="H54" s="152"/>
      <c r="I54" s="71"/>
      <c r="J54" s="351"/>
      <c r="K54" s="352"/>
      <c r="M54" s="8"/>
      <c r="N54" s="8"/>
      <c r="O54" s="9"/>
      <c r="P54" s="9"/>
    </row>
    <row r="55" spans="1:17" ht="15" thickBot="1" x14ac:dyDescent="0.35">
      <c r="A55" s="57"/>
      <c r="B55" s="82"/>
      <c r="C55" s="61"/>
      <c r="D55" s="60"/>
      <c r="E55" s="59"/>
      <c r="F55" s="144"/>
      <c r="G55" s="61"/>
      <c r="H55" s="62"/>
      <c r="I55" s="63"/>
      <c r="J55" s="366"/>
      <c r="K55" s="367"/>
      <c r="M55" s="8"/>
      <c r="N55" s="8"/>
      <c r="O55" s="9"/>
      <c r="P55" s="9"/>
    </row>
    <row r="56" spans="1:17" ht="15" thickBot="1" x14ac:dyDescent="0.35">
      <c r="A56" s="153" t="s">
        <v>7</v>
      </c>
      <c r="B56" s="154"/>
      <c r="C56" s="157"/>
      <c r="D56" s="156"/>
      <c r="E56" s="157">
        <f>SUM(E13,E17,E21,E25,E29,E33,E37,E41,E45,E49,E52,E54)</f>
        <v>1485862.4299999983</v>
      </c>
      <c r="F56" s="157"/>
      <c r="G56" s="158">
        <f>SUM(G13:G54)</f>
        <v>7917043</v>
      </c>
      <c r="H56" s="159">
        <f>SUM(E56)/G56</f>
        <v>0.18767896422944758</v>
      </c>
      <c r="I56" s="160"/>
      <c r="J56" s="222">
        <f>(H56/H$3)*G56</f>
        <v>7308836.8178378297</v>
      </c>
      <c r="K56" s="161">
        <f>J56-G56</f>
        <v>-608206.1821621703</v>
      </c>
      <c r="M56" s="8"/>
      <c r="N56" s="8"/>
      <c r="O56" s="9"/>
      <c r="P56" s="9"/>
    </row>
    <row r="57" spans="1:17" ht="15" thickBot="1" x14ac:dyDescent="0.35">
      <c r="A57" s="57"/>
      <c r="B57" s="82"/>
      <c r="C57" s="61"/>
      <c r="D57" s="83"/>
      <c r="E57" s="61"/>
      <c r="F57" s="143"/>
      <c r="G57" s="61"/>
      <c r="H57" s="62"/>
      <c r="I57" s="63"/>
      <c r="J57" s="223"/>
      <c r="K57" s="163"/>
      <c r="M57" s="8"/>
      <c r="N57" s="8"/>
      <c r="O57" s="9"/>
      <c r="P57" s="9"/>
    </row>
    <row r="58" spans="1:17" ht="15" thickBot="1" x14ac:dyDescent="0.35">
      <c r="A58" s="153" t="s">
        <v>8</v>
      </c>
      <c r="B58" s="154"/>
      <c r="C58" s="155"/>
      <c r="D58" s="156"/>
      <c r="E58" s="157"/>
      <c r="F58" s="157">
        <f>SUM(F13,F17,F21,F25,F29,F33,F37,F41,F45,F49,F52)</f>
        <v>654418.02999999945</v>
      </c>
      <c r="G58" s="158"/>
      <c r="H58" s="159"/>
      <c r="I58" s="160"/>
      <c r="J58" s="222">
        <f>(H58/H$3)*G58</f>
        <v>0</v>
      </c>
      <c r="K58" s="161">
        <f>J58-G58</f>
        <v>0</v>
      </c>
      <c r="M58" s="8"/>
      <c r="N58" s="8"/>
      <c r="O58" s="9"/>
      <c r="P58" s="9"/>
    </row>
    <row r="59" spans="1:17" ht="15" thickBot="1" x14ac:dyDescent="0.35">
      <c r="A59" s="57"/>
      <c r="B59" s="82"/>
      <c r="D59" s="83"/>
      <c r="E59" s="61"/>
      <c r="F59" s="143"/>
      <c r="G59" s="61"/>
      <c r="H59" s="62"/>
      <c r="I59" s="63"/>
      <c r="J59" s="223"/>
      <c r="K59" s="163"/>
      <c r="M59" s="8"/>
      <c r="N59" s="8"/>
      <c r="O59" s="9"/>
      <c r="P59" s="9"/>
    </row>
    <row r="60" spans="1:17" ht="15" thickBot="1" x14ac:dyDescent="0.35">
      <c r="A60" s="153" t="s">
        <v>61</v>
      </c>
      <c r="B60" s="154">
        <f>SUM(B13,B17,B21,B25,B29,B33,B37,B41,B45,B49,B52,B54)</f>
        <v>4533</v>
      </c>
      <c r="C60" s="155">
        <f>SUM(C13,C17,C21,C25,C29,C33,C37,C41,C45,C49,C52,C54)</f>
        <v>2140280.4599999981</v>
      </c>
      <c r="D60" s="156"/>
      <c r="E60" s="157"/>
      <c r="F60" s="157">
        <f>SUM(E56:F59)</f>
        <v>2140280.4599999976</v>
      </c>
      <c r="G60" s="158">
        <f>SUM(G56:G59)</f>
        <v>7917043</v>
      </c>
      <c r="H60" s="159">
        <f>SUM(C60)/G60</f>
        <v>0.27033836496782931</v>
      </c>
      <c r="I60" s="160"/>
      <c r="J60" s="222">
        <f>(H60/H$3)*G60</f>
        <v>10527866.046486478</v>
      </c>
      <c r="K60" s="161">
        <f>J60-G60</f>
        <v>2610823.0464864783</v>
      </c>
      <c r="M60" s="8"/>
      <c r="N60" s="8"/>
      <c r="O60" s="9"/>
      <c r="P60" s="9"/>
    </row>
    <row r="61" spans="1:17" x14ac:dyDescent="0.3">
      <c r="C61" s="168"/>
      <c r="M61" s="8"/>
      <c r="N61" s="8"/>
      <c r="O61" s="9"/>
      <c r="P61" s="9"/>
    </row>
    <row r="62" spans="1:17" x14ac:dyDescent="0.3">
      <c r="B62" s="164"/>
      <c r="C62" s="165"/>
      <c r="D62" s="165"/>
      <c r="E62" s="165"/>
      <c r="F62" s="165"/>
      <c r="G62" s="165"/>
      <c r="H62" s="165"/>
      <c r="I62" s="165"/>
      <c r="J62" s="165"/>
      <c r="K62" s="165"/>
      <c r="M62" s="8"/>
      <c r="N62" s="8"/>
      <c r="O62" s="9"/>
      <c r="P62" s="9"/>
    </row>
    <row r="63" spans="1:17" ht="15" customHeight="1" x14ac:dyDescent="0.3">
      <c r="A63" s="335" t="s">
        <v>133</v>
      </c>
      <c r="B63" s="335"/>
      <c r="C63" s="335"/>
      <c r="D63" s="335"/>
      <c r="E63" s="335"/>
      <c r="F63" s="335"/>
      <c r="G63" s="335"/>
      <c r="H63" s="335"/>
      <c r="I63" s="313"/>
      <c r="J63" s="224"/>
      <c r="K63" s="313"/>
      <c r="M63" s="8"/>
      <c r="N63" s="8"/>
      <c r="O63" s="9"/>
      <c r="P63" s="9"/>
      <c r="Q63"/>
    </row>
    <row r="64" spans="1:17" x14ac:dyDescent="0.3">
      <c r="A64" s="336"/>
      <c r="B64" s="336"/>
      <c r="C64" s="336"/>
      <c r="D64" s="336"/>
      <c r="E64" s="336"/>
      <c r="F64" s="336"/>
      <c r="G64" s="336"/>
      <c r="H64" s="336"/>
      <c r="I64" s="313"/>
      <c r="J64" s="224"/>
      <c r="K64" s="313"/>
      <c r="L64" s="168"/>
      <c r="M64" s="8"/>
      <c r="N64" s="8"/>
      <c r="O64" s="9"/>
      <c r="P64" s="9"/>
    </row>
    <row r="65" spans="1:28" x14ac:dyDescent="0.3">
      <c r="M65" s="8"/>
      <c r="N65" s="8"/>
      <c r="O65" s="9"/>
      <c r="R65" s="8"/>
    </row>
    <row r="66" spans="1:28" ht="21" customHeight="1" x14ac:dyDescent="0.3">
      <c r="G66" s="168"/>
      <c r="M66" s="8"/>
      <c r="N66" s="8"/>
      <c r="O66" s="8"/>
      <c r="P66" s="8"/>
      <c r="Q66" s="8"/>
      <c r="R66" s="8"/>
    </row>
    <row r="67" spans="1:28" ht="21" customHeight="1" x14ac:dyDescent="0.3">
      <c r="G67"/>
      <c r="M67" s="8"/>
      <c r="N67" s="8"/>
      <c r="O67" s="8"/>
      <c r="P67" s="8"/>
      <c r="Q67" s="8"/>
      <c r="R67" s="8"/>
    </row>
    <row r="68" spans="1:28" s="173" customFormat="1" ht="39.75" customHeight="1" x14ac:dyDescent="0.3">
      <c r="A68"/>
      <c r="B68"/>
      <c r="C68"/>
      <c r="D68"/>
      <c r="E68"/>
      <c r="F68"/>
      <c r="G68" s="1"/>
      <c r="H68"/>
      <c r="I68"/>
      <c r="J68" s="214"/>
      <c r="K68"/>
      <c r="M68" s="8"/>
      <c r="N68" s="8"/>
      <c r="O68" s="8"/>
      <c r="P68" s="8"/>
      <c r="Q68" s="8"/>
      <c r="R68" s="8"/>
      <c r="T68"/>
      <c r="U68"/>
      <c r="V68"/>
      <c r="X68"/>
      <c r="Y68"/>
      <c r="Z68"/>
      <c r="AA68"/>
      <c r="AB68"/>
    </row>
    <row r="69" spans="1:28" s="173" customFormat="1" ht="39.75" hidden="1" customHeight="1" x14ac:dyDescent="0.25">
      <c r="A69" t="s">
        <v>62</v>
      </c>
      <c r="B69">
        <f t="shared" ref="B69:G69" si="20">SUM(B66:B68)</f>
        <v>0</v>
      </c>
      <c r="C69">
        <f t="shared" si="20"/>
        <v>0</v>
      </c>
      <c r="D69">
        <f t="shared" si="20"/>
        <v>0</v>
      </c>
      <c r="E69">
        <f t="shared" si="20"/>
        <v>0</v>
      </c>
      <c r="F69">
        <f t="shared" si="20"/>
        <v>0</v>
      </c>
      <c r="G69" s="1">
        <f t="shared" si="20"/>
        <v>0</v>
      </c>
      <c r="H69"/>
      <c r="I69"/>
      <c r="J69" s="214"/>
      <c r="K69"/>
      <c r="M69" s="172"/>
      <c r="O69" s="8"/>
      <c r="P69" s="8"/>
      <c r="Q69" s="8"/>
      <c r="R69"/>
      <c r="X69"/>
      <c r="Y69"/>
      <c r="Z69"/>
      <c r="AA69"/>
      <c r="AB69"/>
    </row>
    <row r="70" spans="1:28" ht="15" hidden="1" x14ac:dyDescent="0.25">
      <c r="O70" s="175"/>
      <c r="P70" s="175"/>
      <c r="T70" s="173"/>
      <c r="U70" s="173"/>
      <c r="V70" s="173"/>
      <c r="AB70" s="173"/>
    </row>
    <row r="71" spans="1:28" ht="15" hidden="1" x14ac:dyDescent="0.25">
      <c r="X71" s="173"/>
      <c r="Y71" s="173"/>
      <c r="Z71" s="173"/>
      <c r="AA71" s="173"/>
      <c r="AB71" s="173"/>
    </row>
    <row r="72" spans="1:2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28" ht="15" hidden="1" x14ac:dyDescent="0.25">
      <c r="A73" s="183"/>
      <c r="B73" s="184"/>
      <c r="C73" s="185"/>
      <c r="D73" s="185"/>
      <c r="E73" s="185"/>
      <c r="F73" s="185"/>
      <c r="G73" s="185"/>
      <c r="H73" s="185"/>
      <c r="I73" s="160"/>
      <c r="J73" s="226"/>
      <c r="K73" s="185"/>
    </row>
    <row r="74" spans="1:28" ht="15" hidden="1" x14ac:dyDescent="0.25"/>
    <row r="75" spans="1:2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2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2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28" ht="15" hidden="1" x14ac:dyDescent="0.25">
      <c r="A78" s="183"/>
      <c r="B78" s="184"/>
      <c r="C78" s="185"/>
      <c r="D78" s="185"/>
      <c r="E78" s="185"/>
      <c r="F78" s="185"/>
      <c r="G78" s="185"/>
      <c r="H78" s="160"/>
      <c r="I78" s="160"/>
      <c r="J78" s="226"/>
      <c r="K78" s="185"/>
    </row>
    <row r="79" spans="1:28" ht="15" hidden="1" x14ac:dyDescent="0.25">
      <c r="B79" s="164">
        <v>6196</v>
      </c>
      <c r="C79" s="1">
        <v>3871765.8300000052</v>
      </c>
      <c r="D79" s="1"/>
      <c r="E79" s="1"/>
      <c r="F79" s="1"/>
      <c r="G79" s="1">
        <v>7182150.0000000009</v>
      </c>
      <c r="H79" s="1"/>
      <c r="I79" s="1"/>
      <c r="J79" s="165">
        <v>7423408.4691351494</v>
      </c>
      <c r="K79" s="1">
        <v>241258.46913514897</v>
      </c>
    </row>
    <row r="80" spans="1:28"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416" priority="37" operator="greaterThan">
      <formula>$H$3</formula>
    </cfRule>
  </conditionalFormatting>
  <conditionalFormatting sqref="H13:I13">
    <cfRule type="cellIs" dxfId="415" priority="36" operator="greaterThan">
      <formula>$H$3</formula>
    </cfRule>
  </conditionalFormatting>
  <conditionalFormatting sqref="I75:I76">
    <cfRule type="cellIs" dxfId="414" priority="35" operator="greaterThan">
      <formula>$H$3</formula>
    </cfRule>
  </conditionalFormatting>
  <conditionalFormatting sqref="H75:H76">
    <cfRule type="cellIs" dxfId="413" priority="34" operator="greaterThan">
      <formula>$H$3</formula>
    </cfRule>
  </conditionalFormatting>
  <conditionalFormatting sqref="H54:I54">
    <cfRule type="cellIs" dxfId="412" priority="33" operator="greaterThan">
      <formula>$H$3</formula>
    </cfRule>
  </conditionalFormatting>
  <conditionalFormatting sqref="H43:H44">
    <cfRule type="cellIs" dxfId="411" priority="31" operator="greaterThan">
      <formula>$H$3</formula>
    </cfRule>
  </conditionalFormatting>
  <conditionalFormatting sqref="I43:I44">
    <cfRule type="cellIs" dxfId="410" priority="32" operator="greaterThan">
      <formula>$H$3</formula>
    </cfRule>
  </conditionalFormatting>
  <conditionalFormatting sqref="H16:I16">
    <cfRule type="cellIs" dxfId="409" priority="30" operator="greaterThan">
      <formula>$H$3</formula>
    </cfRule>
  </conditionalFormatting>
  <conditionalFormatting sqref="H23">
    <cfRule type="cellIs" dxfId="408" priority="29" operator="greaterThan">
      <formula>$H$3</formula>
    </cfRule>
  </conditionalFormatting>
  <conditionalFormatting sqref="H17:I17">
    <cfRule type="cellIs" dxfId="407" priority="27" operator="greaterThan">
      <formula>$H$3</formula>
    </cfRule>
  </conditionalFormatting>
  <conditionalFormatting sqref="H17:I17">
    <cfRule type="cellIs" dxfId="406" priority="28" operator="greaterThan">
      <formula>$H$3</formula>
    </cfRule>
  </conditionalFormatting>
  <conditionalFormatting sqref="H25:I25">
    <cfRule type="cellIs" dxfId="405" priority="25" operator="greaterThan">
      <formula>$H$3</formula>
    </cfRule>
  </conditionalFormatting>
  <conditionalFormatting sqref="H25:I25">
    <cfRule type="cellIs" dxfId="404" priority="26" operator="greaterThan">
      <formula>$H$3</formula>
    </cfRule>
  </conditionalFormatting>
  <conditionalFormatting sqref="H19:I19">
    <cfRule type="cellIs" dxfId="403" priority="24" operator="greaterThan">
      <formula>$H$3</formula>
    </cfRule>
  </conditionalFormatting>
  <conditionalFormatting sqref="H20:I20">
    <cfRule type="cellIs" dxfId="402" priority="23" operator="greaterThan">
      <formula>$H$3</formula>
    </cfRule>
  </conditionalFormatting>
  <conditionalFormatting sqref="H21:I21">
    <cfRule type="cellIs" dxfId="401" priority="21" operator="greaterThan">
      <formula>$H$3</formula>
    </cfRule>
  </conditionalFormatting>
  <conditionalFormatting sqref="H21:I21">
    <cfRule type="cellIs" dxfId="400" priority="22" operator="greaterThan">
      <formula>$H$3</formula>
    </cfRule>
  </conditionalFormatting>
  <conditionalFormatting sqref="H29:I29">
    <cfRule type="cellIs" dxfId="399" priority="19" operator="greaterThan">
      <formula>$H$3</formula>
    </cfRule>
  </conditionalFormatting>
  <conditionalFormatting sqref="H29:I29">
    <cfRule type="cellIs" dxfId="398" priority="20" operator="greaterThan">
      <formula>$H$3</formula>
    </cfRule>
  </conditionalFormatting>
  <conditionalFormatting sqref="H27:I27">
    <cfRule type="cellIs" dxfId="397" priority="18" operator="greaterThan">
      <formula>$H$3</formula>
    </cfRule>
  </conditionalFormatting>
  <conditionalFormatting sqref="H28:I28">
    <cfRule type="cellIs" dxfId="396" priority="17" operator="greaterThan">
      <formula>$H$3</formula>
    </cfRule>
  </conditionalFormatting>
  <conditionalFormatting sqref="H33:I33">
    <cfRule type="cellIs" dxfId="395" priority="15" operator="greaterThan">
      <formula>$H$3</formula>
    </cfRule>
  </conditionalFormatting>
  <conditionalFormatting sqref="H33:I33">
    <cfRule type="cellIs" dxfId="394" priority="16" operator="greaterThan">
      <formula>$H$3</formula>
    </cfRule>
  </conditionalFormatting>
  <conditionalFormatting sqref="H37:I37">
    <cfRule type="cellIs" dxfId="393" priority="13" operator="greaterThan">
      <formula>$H$3</formula>
    </cfRule>
  </conditionalFormatting>
  <conditionalFormatting sqref="H37:I37">
    <cfRule type="cellIs" dxfId="392" priority="14" operator="greaterThan">
      <formula>$H$3</formula>
    </cfRule>
  </conditionalFormatting>
  <conditionalFormatting sqref="H41:I41">
    <cfRule type="cellIs" dxfId="391" priority="11" operator="greaterThan">
      <formula>$H$3</formula>
    </cfRule>
  </conditionalFormatting>
  <conditionalFormatting sqref="H41:I41">
    <cfRule type="cellIs" dxfId="390" priority="12" operator="greaterThan">
      <formula>$H$3</formula>
    </cfRule>
  </conditionalFormatting>
  <conditionalFormatting sqref="H45:I45">
    <cfRule type="cellIs" dxfId="389" priority="9" operator="greaterThan">
      <formula>$H$3</formula>
    </cfRule>
  </conditionalFormatting>
  <conditionalFormatting sqref="H45:I45">
    <cfRule type="cellIs" dxfId="388" priority="10" operator="greaterThan">
      <formula>$H$3</formula>
    </cfRule>
  </conditionalFormatting>
  <conditionalFormatting sqref="H52:I52">
    <cfRule type="cellIs" dxfId="387" priority="7" operator="greaterThan">
      <formula>$H$3</formula>
    </cfRule>
  </conditionalFormatting>
  <conditionalFormatting sqref="H52:I52">
    <cfRule type="cellIs" dxfId="386" priority="8" operator="greaterThan">
      <formula>$H$3</formula>
    </cfRule>
  </conditionalFormatting>
  <conditionalFormatting sqref="H58:I58">
    <cfRule type="cellIs" dxfId="385" priority="6" operator="greaterThan">
      <formula>$H$3</formula>
    </cfRule>
  </conditionalFormatting>
  <conditionalFormatting sqref="H60:I60">
    <cfRule type="cellIs" dxfId="384" priority="5" operator="greaterThan">
      <formula>$H$3</formula>
    </cfRule>
  </conditionalFormatting>
  <conditionalFormatting sqref="H47:H48">
    <cfRule type="cellIs" dxfId="383" priority="3" operator="greaterThan">
      <formula>$H$3</formula>
    </cfRule>
  </conditionalFormatting>
  <conditionalFormatting sqref="I47:I48">
    <cfRule type="cellIs" dxfId="382" priority="4" operator="greaterThan">
      <formula>$H$3</formula>
    </cfRule>
  </conditionalFormatting>
  <conditionalFormatting sqref="H49:I49">
    <cfRule type="cellIs" dxfId="381" priority="1" operator="greaterThan">
      <formula>$H$3</formula>
    </cfRule>
  </conditionalFormatting>
  <conditionalFormatting sqref="H49:I49">
    <cfRule type="cellIs" dxfId="380" priority="2" operator="greaterThan">
      <formula>$H$3</formula>
    </cfRule>
  </conditionalFormatting>
  <pageMargins left="0.2" right="0.2" top="0.75" bottom="0.75" header="0.3" footer="0.3"/>
  <pageSetup scale="64"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C175"/>
  <sheetViews>
    <sheetView zoomScale="70" zoomScaleNormal="70" workbookViewId="0">
      <selection activeCell="B28" sqref="B26:L28"/>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9.88671875" customWidth="1"/>
    <col min="17" max="17" width="19.88671875" style="172" customWidth="1"/>
    <col min="18" max="18" width="19.88671875" customWidth="1"/>
    <col min="19" max="21" width="19.88671875" style="37" customWidth="1"/>
    <col min="22" max="32" width="19.88671875" customWidth="1"/>
  </cols>
  <sheetData>
    <row r="1" spans="2:29" ht="15.75" thickBot="1" x14ac:dyDescent="0.3">
      <c r="Q1" s="323" t="s">
        <v>0</v>
      </c>
      <c r="R1" s="324"/>
      <c r="S1" s="324"/>
      <c r="T1" s="324"/>
      <c r="U1" s="324"/>
      <c r="V1" s="324"/>
    </row>
    <row r="2" spans="2:29" ht="30" x14ac:dyDescent="0.25">
      <c r="B2" s="2"/>
      <c r="C2" s="3"/>
      <c r="D2" s="3"/>
      <c r="E2" s="3"/>
      <c r="F2" s="3"/>
      <c r="G2" s="3"/>
      <c r="H2" s="3"/>
      <c r="I2" s="3"/>
      <c r="J2" s="4" t="s">
        <v>1</v>
      </c>
      <c r="K2" s="308"/>
      <c r="L2" s="5" t="s">
        <v>2</v>
      </c>
      <c r="M2" s="6"/>
      <c r="N2" s="6"/>
      <c r="O2" s="6"/>
      <c r="Q2" s="7">
        <v>41456</v>
      </c>
      <c r="R2" s="8"/>
      <c r="S2" s="9"/>
      <c r="T2" s="9"/>
      <c r="U2" s="9"/>
      <c r="V2" s="8"/>
    </row>
    <row r="3" spans="2:29" ht="18.75" x14ac:dyDescent="0.3">
      <c r="B3" s="10" t="s">
        <v>129</v>
      </c>
      <c r="C3" s="11"/>
      <c r="D3" s="8"/>
      <c r="E3" s="8"/>
      <c r="F3" s="8"/>
      <c r="G3" s="8"/>
      <c r="H3" s="8"/>
      <c r="I3" s="8"/>
      <c r="J3" s="12">
        <v>41516</v>
      </c>
      <c r="K3" s="307"/>
      <c r="L3" s="13">
        <f>$Q$5/26</f>
        <v>0.16483516483516483</v>
      </c>
      <c r="M3" s="14"/>
      <c r="N3" s="14"/>
      <c r="O3" s="14"/>
      <c r="Q3" s="15"/>
      <c r="R3" s="8"/>
      <c r="S3" s="9"/>
      <c r="T3" s="9"/>
      <c r="U3" s="9"/>
      <c r="V3" s="8"/>
    </row>
    <row r="4" spans="2:29" ht="15.75" thickBot="1" x14ac:dyDescent="0.3">
      <c r="B4" s="16"/>
      <c r="C4" s="8"/>
      <c r="D4" s="8"/>
      <c r="E4" s="8"/>
      <c r="F4" s="17"/>
      <c r="G4" s="8"/>
      <c r="H4" s="8"/>
      <c r="I4" s="8"/>
      <c r="J4" s="306"/>
      <c r="K4" s="306"/>
      <c r="L4" s="19"/>
      <c r="M4" s="8"/>
      <c r="N4" s="8"/>
      <c r="O4" s="8"/>
      <c r="Q4" s="15">
        <f>J3-Q2</f>
        <v>60</v>
      </c>
      <c r="R4" s="8"/>
      <c r="S4" s="9"/>
      <c r="T4" s="9"/>
      <c r="U4" s="8"/>
      <c r="V4" s="8"/>
    </row>
    <row r="5" spans="2:29"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4.2857142857142856</v>
      </c>
      <c r="R5" s="8"/>
      <c r="S5" s="9"/>
      <c r="T5" s="9"/>
      <c r="U5" s="266" t="s">
        <v>101</v>
      </c>
      <c r="V5" s="266" t="s">
        <v>3</v>
      </c>
      <c r="W5" t="s">
        <v>13</v>
      </c>
      <c r="X5" t="s">
        <v>14</v>
      </c>
      <c r="Z5" t="s">
        <v>101</v>
      </c>
      <c r="AA5" t="s">
        <v>3</v>
      </c>
      <c r="AB5" t="s">
        <v>13</v>
      </c>
      <c r="AC5" t="s">
        <v>14</v>
      </c>
    </row>
    <row r="6" spans="2:29" x14ac:dyDescent="0.3">
      <c r="B6" s="294" t="s">
        <v>100</v>
      </c>
      <c r="C6" s="293">
        <v>49</v>
      </c>
      <c r="D6" s="113">
        <v>27295.86</v>
      </c>
      <c r="E6" s="292"/>
      <c r="F6" s="291">
        <v>1</v>
      </c>
      <c r="G6" s="290">
        <f t="shared" ref="G6:G19" si="0">D6*F6</f>
        <v>27295.86</v>
      </c>
      <c r="H6" s="288">
        <f t="shared" ref="H6:H19" si="1">D6-G6</f>
        <v>0</v>
      </c>
      <c r="I6" s="289"/>
      <c r="J6" s="325"/>
      <c r="K6" s="325"/>
      <c r="L6" s="327" t="e">
        <f>SUM(G6:G7)/J6</f>
        <v>#DIV/0!</v>
      </c>
      <c r="M6" s="268"/>
      <c r="N6" s="113" t="e">
        <f>(L6/L$3)*J6</f>
        <v>#DIV/0!</v>
      </c>
      <c r="O6" s="288" t="e">
        <f>N6-J6</f>
        <v>#DIV/0!</v>
      </c>
      <c r="Q6" s="36">
        <v>51000</v>
      </c>
      <c r="R6" s="8"/>
      <c r="S6" s="9"/>
      <c r="T6" s="9"/>
      <c r="U6" s="287">
        <v>1</v>
      </c>
      <c r="V6" s="266" t="s">
        <v>72</v>
      </c>
      <c r="W6">
        <v>49</v>
      </c>
      <c r="X6">
        <v>27295.86</v>
      </c>
      <c r="Z6">
        <v>1</v>
      </c>
      <c r="AA6" t="s">
        <v>72</v>
      </c>
      <c r="AB6">
        <v>49</v>
      </c>
      <c r="AC6">
        <v>27295.86</v>
      </c>
    </row>
    <row r="7" spans="2:29" x14ac:dyDescent="0.3">
      <c r="B7" s="272" t="s">
        <v>90</v>
      </c>
      <c r="C7" s="115">
        <v>23</v>
      </c>
      <c r="D7" s="64">
        <v>9740.2000000000007</v>
      </c>
      <c r="E7" s="271"/>
      <c r="F7" s="270">
        <v>0.3</v>
      </c>
      <c r="G7" s="269">
        <f t="shared" si="0"/>
        <v>2922.06</v>
      </c>
      <c r="H7" s="267">
        <f t="shared" si="1"/>
        <v>6818.1400000000012</v>
      </c>
      <c r="I7" s="8"/>
      <c r="J7" s="326"/>
      <c r="K7" s="326"/>
      <c r="L7" s="328"/>
      <c r="M7" s="268"/>
      <c r="N7" s="64"/>
      <c r="O7" s="267"/>
      <c r="Q7" s="36"/>
      <c r="R7" s="8"/>
      <c r="S7" s="9"/>
      <c r="T7" s="9"/>
      <c r="U7" s="264"/>
      <c r="V7" s="266" t="s">
        <v>31</v>
      </c>
      <c r="W7">
        <v>23</v>
      </c>
      <c r="X7">
        <v>9740.2000000000007</v>
      </c>
      <c r="AA7" t="s">
        <v>31</v>
      </c>
      <c r="AB7">
        <v>23</v>
      </c>
      <c r="AC7">
        <v>9740.2000000000007</v>
      </c>
    </row>
    <row r="8" spans="2:29" x14ac:dyDescent="0.3">
      <c r="B8" s="286" t="s">
        <v>99</v>
      </c>
      <c r="C8" s="285">
        <v>25</v>
      </c>
      <c r="D8" s="137">
        <v>10851.439999999993</v>
      </c>
      <c r="E8" s="284"/>
      <c r="F8" s="283">
        <v>1</v>
      </c>
      <c r="G8" s="282">
        <f t="shared" si="0"/>
        <v>10851.439999999993</v>
      </c>
      <c r="H8" s="280">
        <f t="shared" si="1"/>
        <v>0</v>
      </c>
      <c r="I8" s="281"/>
      <c r="J8" s="329"/>
      <c r="K8" s="329"/>
      <c r="L8" s="331" t="e">
        <f>SUM(G8:G9)/J8</f>
        <v>#DIV/0!</v>
      </c>
      <c r="M8" s="281"/>
      <c r="N8" s="137" t="e">
        <f>(L8/L$3)*J8</f>
        <v>#DIV/0!</v>
      </c>
      <c r="O8" s="280" t="e">
        <f>N8-J8</f>
        <v>#DIV/0!</v>
      </c>
      <c r="Q8" s="36">
        <v>37400</v>
      </c>
      <c r="R8" s="8"/>
      <c r="S8" s="9"/>
      <c r="T8" s="9"/>
      <c r="U8" s="287">
        <v>2</v>
      </c>
      <c r="V8" s="266" t="s">
        <v>72</v>
      </c>
      <c r="W8">
        <v>25</v>
      </c>
      <c r="X8">
        <v>10851.439999999993</v>
      </c>
      <c r="Z8">
        <v>2</v>
      </c>
      <c r="AA8" t="s">
        <v>72</v>
      </c>
      <c r="AB8">
        <v>25</v>
      </c>
      <c r="AC8">
        <v>10851.439999999993</v>
      </c>
    </row>
    <row r="9" spans="2:29" x14ac:dyDescent="0.3">
      <c r="B9" s="279" t="s">
        <v>90</v>
      </c>
      <c r="C9" s="278">
        <v>9</v>
      </c>
      <c r="D9" s="92">
        <v>575.38999999999987</v>
      </c>
      <c r="E9" s="277"/>
      <c r="F9" s="276">
        <v>0.3</v>
      </c>
      <c r="G9" s="275">
        <f t="shared" si="0"/>
        <v>172.61699999999996</v>
      </c>
      <c r="H9" s="273">
        <f t="shared" si="1"/>
        <v>402.77299999999991</v>
      </c>
      <c r="I9" s="274"/>
      <c r="J9" s="330"/>
      <c r="K9" s="330"/>
      <c r="L9" s="332"/>
      <c r="M9" s="274"/>
      <c r="N9" s="92"/>
      <c r="O9" s="273"/>
      <c r="Q9" s="36"/>
      <c r="R9" s="8"/>
      <c r="S9" s="9"/>
      <c r="T9" s="9"/>
      <c r="U9" s="264"/>
      <c r="V9" s="266" t="s">
        <v>31</v>
      </c>
      <c r="W9">
        <v>9</v>
      </c>
      <c r="X9">
        <v>575.38999999999987</v>
      </c>
      <c r="AA9" t="s">
        <v>31</v>
      </c>
      <c r="AB9">
        <v>9</v>
      </c>
      <c r="AC9">
        <v>575.38999999999987</v>
      </c>
    </row>
    <row r="10" spans="2:29" x14ac:dyDescent="0.3">
      <c r="B10" s="272" t="s">
        <v>98</v>
      </c>
      <c r="C10" s="115">
        <v>41</v>
      </c>
      <c r="D10" s="64">
        <v>28469.550000000003</v>
      </c>
      <c r="E10" s="271"/>
      <c r="F10" s="270">
        <v>1</v>
      </c>
      <c r="G10" s="269">
        <f t="shared" si="0"/>
        <v>28469.550000000003</v>
      </c>
      <c r="H10" s="267">
        <f t="shared" si="1"/>
        <v>0</v>
      </c>
      <c r="I10" s="8"/>
      <c r="J10" s="326"/>
      <c r="K10" s="326"/>
      <c r="L10" s="328"/>
      <c r="M10" s="268"/>
      <c r="N10" s="64"/>
      <c r="O10" s="267"/>
      <c r="Q10" s="36">
        <v>61200</v>
      </c>
      <c r="R10" s="8"/>
      <c r="S10" s="9"/>
      <c r="T10" s="9"/>
      <c r="U10" s="37">
        <v>3</v>
      </c>
      <c r="V10" t="s">
        <v>72</v>
      </c>
      <c r="W10">
        <v>41</v>
      </c>
      <c r="X10">
        <v>28469.550000000003</v>
      </c>
      <c r="Z10">
        <v>3</v>
      </c>
      <c r="AA10" t="s">
        <v>72</v>
      </c>
      <c r="AB10">
        <v>41</v>
      </c>
      <c r="AC10">
        <v>28469.550000000003</v>
      </c>
    </row>
    <row r="11" spans="2:29" x14ac:dyDescent="0.3">
      <c r="B11" s="272" t="s">
        <v>96</v>
      </c>
      <c r="C11" s="115">
        <v>14</v>
      </c>
      <c r="D11" s="64">
        <v>12458.5</v>
      </c>
      <c r="E11" s="271"/>
      <c r="F11" s="270">
        <v>0.3</v>
      </c>
      <c r="G11" s="269">
        <f t="shared" si="0"/>
        <v>3737.5499999999997</v>
      </c>
      <c r="H11" s="267">
        <f t="shared" si="1"/>
        <v>8720.9500000000007</v>
      </c>
      <c r="I11" s="8"/>
      <c r="J11" s="326"/>
      <c r="K11" s="326"/>
      <c r="L11" s="328"/>
      <c r="M11" s="268"/>
      <c r="N11" s="64"/>
      <c r="O11" s="267"/>
      <c r="P11" s="45"/>
      <c r="Q11" s="36"/>
      <c r="R11" s="8"/>
      <c r="S11" s="9"/>
      <c r="T11" s="9"/>
      <c r="V11" t="s">
        <v>31</v>
      </c>
      <c r="W11">
        <v>14</v>
      </c>
      <c r="X11">
        <v>12458.5</v>
      </c>
      <c r="AA11" t="s">
        <v>31</v>
      </c>
      <c r="AB11">
        <v>14</v>
      </c>
      <c r="AC11">
        <v>12458.5</v>
      </c>
    </row>
    <row r="12" spans="2:29" x14ac:dyDescent="0.3">
      <c r="B12" s="286" t="s">
        <v>97</v>
      </c>
      <c r="C12" s="285">
        <v>34</v>
      </c>
      <c r="D12" s="137">
        <v>17513.179999999997</v>
      </c>
      <c r="E12" s="284"/>
      <c r="F12" s="283">
        <v>1</v>
      </c>
      <c r="G12" s="282">
        <f t="shared" si="0"/>
        <v>17513.179999999997</v>
      </c>
      <c r="H12" s="280">
        <f t="shared" si="1"/>
        <v>0</v>
      </c>
      <c r="I12" s="281"/>
      <c r="J12" s="329"/>
      <c r="K12" s="329"/>
      <c r="L12" s="331"/>
      <c r="M12" s="281"/>
      <c r="N12" s="137"/>
      <c r="O12" s="280"/>
      <c r="P12" s="45"/>
      <c r="Q12" s="36">
        <v>68000</v>
      </c>
      <c r="R12" s="8"/>
      <c r="S12" s="9"/>
      <c r="T12" s="9"/>
      <c r="U12" s="37">
        <v>4</v>
      </c>
      <c r="V12" t="s">
        <v>72</v>
      </c>
      <c r="W12">
        <v>34</v>
      </c>
      <c r="X12">
        <v>17513.179999999997</v>
      </c>
      <c r="Z12">
        <v>4</v>
      </c>
      <c r="AA12" t="s">
        <v>72</v>
      </c>
      <c r="AB12">
        <v>34</v>
      </c>
      <c r="AC12">
        <v>17513.179999999997</v>
      </c>
    </row>
    <row r="13" spans="2:29" x14ac:dyDescent="0.3">
      <c r="B13" s="279" t="s">
        <v>96</v>
      </c>
      <c r="C13" s="278">
        <v>16</v>
      </c>
      <c r="D13" s="92">
        <v>11125.179999999998</v>
      </c>
      <c r="E13" s="277"/>
      <c r="F13" s="276">
        <v>0.3</v>
      </c>
      <c r="G13" s="275">
        <f t="shared" si="0"/>
        <v>3337.5539999999996</v>
      </c>
      <c r="H13" s="273">
        <f t="shared" si="1"/>
        <v>7787.6259999999984</v>
      </c>
      <c r="I13" s="274"/>
      <c r="J13" s="330"/>
      <c r="K13" s="330"/>
      <c r="L13" s="332"/>
      <c r="M13" s="274"/>
      <c r="N13" s="92"/>
      <c r="O13" s="273"/>
      <c r="P13" s="45"/>
      <c r="Q13" s="36"/>
      <c r="R13" s="8"/>
      <c r="S13" s="9"/>
      <c r="T13" s="9"/>
      <c r="V13" t="s">
        <v>31</v>
      </c>
      <c r="W13">
        <v>16</v>
      </c>
      <c r="X13">
        <v>11125.179999999998</v>
      </c>
      <c r="AA13" t="s">
        <v>31</v>
      </c>
      <c r="AB13">
        <v>16</v>
      </c>
      <c r="AC13">
        <v>11125.179999999998</v>
      </c>
    </row>
    <row r="14" spans="2:29" x14ac:dyDescent="0.3">
      <c r="B14" s="272" t="s">
        <v>95</v>
      </c>
      <c r="C14" s="115">
        <v>35</v>
      </c>
      <c r="D14" s="64">
        <v>10026.459999999999</v>
      </c>
      <c r="E14" s="271"/>
      <c r="F14" s="270">
        <v>1</v>
      </c>
      <c r="G14" s="269">
        <f t="shared" si="0"/>
        <v>10026.459999999999</v>
      </c>
      <c r="H14" s="267">
        <f t="shared" si="1"/>
        <v>0</v>
      </c>
      <c r="I14" s="8"/>
      <c r="J14" s="326"/>
      <c r="K14" s="326"/>
      <c r="L14" s="328" t="e">
        <f>SUM(G14:G15)/J14</f>
        <v>#DIV/0!</v>
      </c>
      <c r="M14" s="268"/>
      <c r="N14" s="64" t="e">
        <f>(L14/L$3)*J14</f>
        <v>#DIV/0!</v>
      </c>
      <c r="O14" s="267" t="e">
        <f>N14-J14</f>
        <v>#DIV/0!</v>
      </c>
      <c r="P14" s="45"/>
      <c r="Q14" s="36">
        <v>34000</v>
      </c>
      <c r="R14" s="8"/>
      <c r="S14" s="9"/>
      <c r="T14" s="9"/>
      <c r="U14" s="37">
        <v>5</v>
      </c>
      <c r="V14" t="s">
        <v>72</v>
      </c>
      <c r="W14">
        <v>35</v>
      </c>
      <c r="X14">
        <v>10026.459999999999</v>
      </c>
      <c r="Z14">
        <v>5</v>
      </c>
      <c r="AA14" t="s">
        <v>72</v>
      </c>
      <c r="AB14">
        <v>35</v>
      </c>
      <c r="AC14">
        <v>10026.459999999999</v>
      </c>
    </row>
    <row r="15" spans="2:29" x14ac:dyDescent="0.3">
      <c r="B15" s="272" t="s">
        <v>94</v>
      </c>
      <c r="C15" s="115">
        <v>2</v>
      </c>
      <c r="D15" s="64">
        <v>656.31999999999994</v>
      </c>
      <c r="E15" s="271"/>
      <c r="F15" s="270">
        <v>0.3</v>
      </c>
      <c r="G15" s="269">
        <f t="shared" si="0"/>
        <v>196.89599999999999</v>
      </c>
      <c r="H15" s="267">
        <f t="shared" si="1"/>
        <v>459.42399999999998</v>
      </c>
      <c r="I15" s="8"/>
      <c r="J15" s="326"/>
      <c r="K15" s="326"/>
      <c r="L15" s="328"/>
      <c r="M15" s="268"/>
      <c r="N15" s="64"/>
      <c r="O15" s="267"/>
      <c r="P15" s="45"/>
      <c r="Q15" s="36"/>
      <c r="R15" s="8"/>
      <c r="S15" s="9"/>
      <c r="T15" s="9"/>
      <c r="V15" t="s">
        <v>31</v>
      </c>
      <c r="W15">
        <v>2</v>
      </c>
      <c r="X15">
        <v>656.31999999999994</v>
      </c>
      <c r="AA15" t="s">
        <v>31</v>
      </c>
      <c r="AB15">
        <v>2</v>
      </c>
      <c r="AC15">
        <v>656.31999999999994</v>
      </c>
    </row>
    <row r="16" spans="2:29" x14ac:dyDescent="0.3">
      <c r="B16" s="286" t="s">
        <v>93</v>
      </c>
      <c r="C16" s="285">
        <v>19</v>
      </c>
      <c r="D16" s="137">
        <v>8761.1800000000021</v>
      </c>
      <c r="E16" s="284"/>
      <c r="F16" s="283">
        <v>1</v>
      </c>
      <c r="G16" s="282">
        <f t="shared" si="0"/>
        <v>8761.1800000000021</v>
      </c>
      <c r="H16" s="280">
        <f t="shared" si="1"/>
        <v>0</v>
      </c>
      <c r="I16" s="281"/>
      <c r="J16" s="329"/>
      <c r="K16" s="329"/>
      <c r="L16" s="331" t="e">
        <f>SUM(G16:G17)/J16</f>
        <v>#DIV/0!</v>
      </c>
      <c r="M16" s="281"/>
      <c r="N16" s="137" t="e">
        <f>(L16/L$3)*J16</f>
        <v>#DIV/0!</v>
      </c>
      <c r="O16" s="280" t="e">
        <f>N16-J16</f>
        <v>#DIV/0!</v>
      </c>
      <c r="P16" s="45"/>
      <c r="Q16" s="36">
        <v>27200</v>
      </c>
      <c r="R16" s="8"/>
      <c r="S16" s="9"/>
      <c r="T16" s="9"/>
      <c r="U16" s="37">
        <v>6</v>
      </c>
      <c r="V16" t="s">
        <v>72</v>
      </c>
      <c r="W16">
        <v>19</v>
      </c>
      <c r="X16">
        <v>8761.1800000000021</v>
      </c>
      <c r="Z16">
        <v>6</v>
      </c>
      <c r="AA16" t="s">
        <v>72</v>
      </c>
      <c r="AB16">
        <v>19</v>
      </c>
      <c r="AC16">
        <v>8761.1800000000021</v>
      </c>
    </row>
    <row r="17" spans="2:29" x14ac:dyDescent="0.3">
      <c r="B17" s="279" t="s">
        <v>92</v>
      </c>
      <c r="C17" s="278">
        <v>9</v>
      </c>
      <c r="D17" s="92">
        <v>3277.9300000000003</v>
      </c>
      <c r="E17" s="277"/>
      <c r="F17" s="276">
        <v>0.3</v>
      </c>
      <c r="G17" s="275">
        <f t="shared" si="0"/>
        <v>983.37900000000002</v>
      </c>
      <c r="H17" s="273">
        <f t="shared" si="1"/>
        <v>2294.5510000000004</v>
      </c>
      <c r="I17" s="274"/>
      <c r="J17" s="330"/>
      <c r="K17" s="330"/>
      <c r="L17" s="332"/>
      <c r="M17" s="274"/>
      <c r="N17" s="92"/>
      <c r="O17" s="273"/>
      <c r="P17" s="45"/>
      <c r="Q17" s="36"/>
      <c r="R17" s="8"/>
      <c r="S17" s="9"/>
      <c r="T17" s="9"/>
      <c r="V17" t="s">
        <v>31</v>
      </c>
      <c r="W17">
        <v>9</v>
      </c>
      <c r="X17">
        <v>3277.9300000000003</v>
      </c>
      <c r="AA17" t="s">
        <v>31</v>
      </c>
      <c r="AB17">
        <v>9</v>
      </c>
      <c r="AC17">
        <v>3277.9300000000003</v>
      </c>
    </row>
    <row r="18" spans="2:29" x14ac:dyDescent="0.3">
      <c r="B18" s="272" t="s">
        <v>91</v>
      </c>
      <c r="C18" s="115">
        <v>14</v>
      </c>
      <c r="D18" s="64">
        <v>2515.2299999999996</v>
      </c>
      <c r="E18" s="271"/>
      <c r="F18" s="270">
        <v>1</v>
      </c>
      <c r="G18" s="269">
        <f t="shared" si="0"/>
        <v>2515.2299999999996</v>
      </c>
      <c r="H18" s="267">
        <f t="shared" si="1"/>
        <v>0</v>
      </c>
      <c r="I18" s="8"/>
      <c r="J18" s="326"/>
      <c r="K18" s="326"/>
      <c r="L18" s="328" t="e">
        <f>SUM(G18:G19)/J18</f>
        <v>#DIV/0!</v>
      </c>
      <c r="M18" s="268"/>
      <c r="N18" s="64" t="e">
        <f>(L18/L$3)*J18</f>
        <v>#DIV/0!</v>
      </c>
      <c r="O18" s="267" t="e">
        <f>N18-J18</f>
        <v>#DIV/0!</v>
      </c>
      <c r="P18" s="45"/>
      <c r="Q18" s="36">
        <v>61200</v>
      </c>
      <c r="R18" s="8"/>
      <c r="S18" s="9"/>
      <c r="T18" s="9"/>
      <c r="U18" s="264">
        <v>7</v>
      </c>
      <c r="V18" s="266" t="s">
        <v>72</v>
      </c>
      <c r="W18">
        <v>14</v>
      </c>
      <c r="X18">
        <v>2515.2299999999996</v>
      </c>
      <c r="Z18">
        <v>7</v>
      </c>
      <c r="AA18" t="s">
        <v>72</v>
      </c>
      <c r="AB18">
        <v>14</v>
      </c>
      <c r="AC18">
        <v>2515.2299999999996</v>
      </c>
    </row>
    <row r="19" spans="2:29" ht="15" thickBot="1" x14ac:dyDescent="0.35">
      <c r="B19" s="272" t="s">
        <v>90</v>
      </c>
      <c r="C19" s="115"/>
      <c r="D19" s="64"/>
      <c r="E19" s="271"/>
      <c r="F19" s="270">
        <v>0.3</v>
      </c>
      <c r="G19" s="269">
        <f t="shared" si="0"/>
        <v>0</v>
      </c>
      <c r="H19" s="267">
        <f t="shared" si="1"/>
        <v>0</v>
      </c>
      <c r="I19" s="8"/>
      <c r="J19" s="333"/>
      <c r="K19" s="333"/>
      <c r="L19" s="334"/>
      <c r="M19" s="268"/>
      <c r="N19" s="64"/>
      <c r="O19" s="267"/>
      <c r="P19" s="45"/>
      <c r="Q19" s="36"/>
      <c r="R19" s="8"/>
      <c r="S19" s="9"/>
      <c r="T19" s="9"/>
    </row>
    <row r="20" spans="2:29" ht="15.75" thickBot="1" x14ac:dyDescent="0.3">
      <c r="B20" s="176" t="s">
        <v>61</v>
      </c>
      <c r="C20" s="263">
        <v>290</v>
      </c>
      <c r="D20" s="162">
        <v>143266.41999999998</v>
      </c>
      <c r="E20" s="179"/>
      <c r="F20" s="262">
        <f>G20/D20</f>
        <v>0.81514534948245387</v>
      </c>
      <c r="G20" s="179">
        <f>SUM(G6:G19)</f>
        <v>116782.95600000001</v>
      </c>
      <c r="H20" s="179">
        <f>SUM(H6:H19)</f>
        <v>26483.464</v>
      </c>
      <c r="I20" s="261"/>
      <c r="J20" s="162">
        <v>750000</v>
      </c>
      <c r="K20" s="182"/>
      <c r="L20" s="260">
        <f>SUM(G20)/J20</f>
        <v>0.155710608</v>
      </c>
      <c r="M20" s="247"/>
      <c r="N20" s="162">
        <f>(L20/L$3)*J20</f>
        <v>708483.26639999996</v>
      </c>
      <c r="O20" s="182">
        <f>N20-J20</f>
        <v>-41516.733600000036</v>
      </c>
      <c r="Q20" s="162">
        <f>SUM(Q6:Q19)</f>
        <v>340000</v>
      </c>
      <c r="R20" s="8"/>
      <c r="S20" s="9"/>
      <c r="T20" s="9"/>
      <c r="U20" s="37" t="s">
        <v>61</v>
      </c>
      <c r="W20">
        <v>290</v>
      </c>
      <c r="X20">
        <v>143266.41999999998</v>
      </c>
      <c r="Z20" t="s">
        <v>61</v>
      </c>
      <c r="AB20">
        <v>290</v>
      </c>
      <c r="AC20">
        <v>143266.41999999998</v>
      </c>
    </row>
    <row r="21" spans="2:29" ht="15" x14ac:dyDescent="0.25">
      <c r="B21" s="183"/>
      <c r="C21" s="249"/>
      <c r="D21" s="185"/>
      <c r="E21" s="185"/>
      <c r="F21" s="185"/>
      <c r="G21" s="185"/>
      <c r="H21" s="185"/>
      <c r="I21" s="248"/>
      <c r="J21" s="185"/>
      <c r="K21" s="185"/>
      <c r="L21" s="185"/>
      <c r="M21" s="247"/>
      <c r="N21" s="185"/>
      <c r="O21" s="185"/>
      <c r="Q21" s="166"/>
      <c r="R21" s="8"/>
      <c r="S21" s="9"/>
      <c r="T21" s="9"/>
      <c r="U21" s="264"/>
      <c r="V21" s="266"/>
    </row>
    <row r="22" spans="2:29" ht="15.75" thickBot="1" x14ac:dyDescent="0.3">
      <c r="N22" s="168"/>
      <c r="Q22" s="36"/>
      <c r="R22" s="8"/>
      <c r="S22" s="9"/>
      <c r="T22" s="9"/>
      <c r="U22" s="264"/>
    </row>
    <row r="23" spans="2:29" ht="15.75" thickBot="1" x14ac:dyDescent="0.3">
      <c r="B23" s="186" t="s">
        <v>63</v>
      </c>
      <c r="C23" s="259"/>
      <c r="D23" s="188"/>
      <c r="E23" s="189"/>
      <c r="F23" s="189"/>
      <c r="G23" s="189">
        <f>G20</f>
        <v>116782.95600000001</v>
      </c>
      <c r="H23" s="190"/>
      <c r="I23" s="258"/>
      <c r="J23" s="188">
        <f>J20</f>
        <v>750000</v>
      </c>
      <c r="K23" s="189"/>
      <c r="L23" s="257">
        <f>SUM(G23)/J23</f>
        <v>0.155710608</v>
      </c>
      <c r="M23" s="247"/>
      <c r="N23" s="162">
        <f>(L23/L$3)*J23</f>
        <v>708483.26639999996</v>
      </c>
      <c r="O23" s="182">
        <f>N23-J23</f>
        <v>-41516.733600000036</v>
      </c>
      <c r="Q23" s="166"/>
      <c r="R23" s="8"/>
      <c r="S23" s="9"/>
      <c r="T23" s="9"/>
      <c r="U23" s="264"/>
    </row>
    <row r="24" spans="2:29" ht="15.75" thickBot="1" x14ac:dyDescent="0.3">
      <c r="B24" s="192" t="s">
        <v>64</v>
      </c>
      <c r="C24" s="256"/>
      <c r="D24" s="194"/>
      <c r="E24" s="185"/>
      <c r="F24" s="185"/>
      <c r="G24" s="185"/>
      <c r="H24" s="195">
        <f>H20</f>
        <v>26483.464</v>
      </c>
      <c r="I24" s="255"/>
      <c r="J24" s="194"/>
      <c r="K24" s="185">
        <f>K20</f>
        <v>0</v>
      </c>
      <c r="L24" s="254" t="e">
        <f>SUM(H20)/K20</f>
        <v>#DIV/0!</v>
      </c>
      <c r="M24" s="247"/>
      <c r="N24" s="162" t="e">
        <f>(L24/L$3)*K24</f>
        <v>#DIV/0!</v>
      </c>
      <c r="O24" s="182" t="e">
        <f>N24-K24</f>
        <v>#DIV/0!</v>
      </c>
      <c r="Q24" s="166"/>
      <c r="R24" s="8"/>
      <c r="S24" s="9"/>
      <c r="T24" s="9"/>
    </row>
    <row r="25" spans="2:29" ht="15.75" thickBot="1" x14ac:dyDescent="0.3">
      <c r="B25" s="197" t="s">
        <v>65</v>
      </c>
      <c r="C25" s="253"/>
      <c r="D25" s="199">
        <f>SUM(G20:H20)</f>
        <v>143266.42000000001</v>
      </c>
      <c r="E25" s="200"/>
      <c r="F25" s="200"/>
      <c r="G25" s="200"/>
      <c r="H25" s="201"/>
      <c r="I25" s="252"/>
      <c r="J25" s="202"/>
      <c r="K25" s="180">
        <f>SUM(J20:K20)</f>
        <v>750000</v>
      </c>
      <c r="L25" s="251">
        <f>SUM(D25)/K25</f>
        <v>0.19102189333333336</v>
      </c>
      <c r="M25" s="247"/>
      <c r="N25" s="162">
        <f>(L25/L$3)*K25</f>
        <v>869149.61466666684</v>
      </c>
      <c r="O25" s="182">
        <f>N25-K25</f>
        <v>119149.61466666684</v>
      </c>
      <c r="P25" s="168"/>
      <c r="Q25" s="166"/>
      <c r="R25" s="8"/>
      <c r="S25" s="9"/>
    </row>
    <row r="26" spans="2:29" ht="15" x14ac:dyDescent="0.25">
      <c r="B26" s="183"/>
      <c r="C26" s="249"/>
      <c r="D26" s="185"/>
      <c r="E26" s="185"/>
      <c r="F26" s="185"/>
      <c r="G26" s="185"/>
      <c r="H26" s="185"/>
      <c r="I26" s="248"/>
      <c r="J26" s="185"/>
      <c r="K26" s="185"/>
      <c r="L26" s="247"/>
      <c r="M26" s="247"/>
      <c r="N26" s="185"/>
      <c r="O26" s="185"/>
      <c r="Q26" s="166"/>
      <c r="R26" s="8"/>
      <c r="S26" s="9"/>
      <c r="T26" s="9"/>
    </row>
    <row r="27" spans="2:29" ht="21" customHeight="1" thickBot="1" x14ac:dyDescent="0.3">
      <c r="C27" s="246"/>
      <c r="D27" s="214"/>
      <c r="E27" s="214"/>
      <c r="F27" s="214"/>
      <c r="G27" s="214"/>
      <c r="H27" s="214"/>
      <c r="I27" s="214"/>
      <c r="J27" s="214"/>
      <c r="K27" s="214"/>
      <c r="L27" s="214"/>
      <c r="M27" s="214"/>
      <c r="N27" s="214"/>
      <c r="O27" s="214"/>
      <c r="Q27" s="169"/>
      <c r="R27" s="170"/>
      <c r="S27" s="171"/>
      <c r="T27" s="171"/>
    </row>
    <row r="28" spans="2:29" ht="21" customHeight="1" x14ac:dyDescent="0.25">
      <c r="B28" s="335" t="s">
        <v>128</v>
      </c>
      <c r="C28" s="336"/>
      <c r="D28" s="336"/>
      <c r="E28" s="336"/>
      <c r="F28" s="336"/>
      <c r="G28" s="336"/>
      <c r="H28" s="336"/>
      <c r="I28" s="336"/>
      <c r="J28" s="336"/>
      <c r="K28" s="336"/>
      <c r="L28" s="336"/>
      <c r="M28" s="311"/>
      <c r="N28" s="311"/>
      <c r="O28" s="311"/>
      <c r="U28" s="264"/>
    </row>
    <row r="29" spans="2:29" s="173" customFormat="1" ht="39.75" customHeight="1" x14ac:dyDescent="0.25">
      <c r="B29" s="336" t="s">
        <v>89</v>
      </c>
      <c r="C29" s="336"/>
      <c r="D29" s="336"/>
      <c r="E29" s="336"/>
      <c r="F29" s="336"/>
      <c r="G29" s="336"/>
      <c r="H29" s="336"/>
      <c r="I29" s="336"/>
      <c r="J29" s="336"/>
      <c r="K29" s="336"/>
      <c r="L29" s="336"/>
      <c r="M29" s="311"/>
      <c r="N29" s="311"/>
      <c r="O29" s="311"/>
      <c r="Q29" s="172"/>
      <c r="R29" s="174"/>
      <c r="S29" s="175"/>
      <c r="T29" s="175"/>
      <c r="U29" s="264"/>
      <c r="V29"/>
    </row>
    <row r="30" spans="2:29" s="173" customFormat="1" ht="39.75" hidden="1" customHeight="1" x14ac:dyDescent="0.25">
      <c r="B30" t="s">
        <v>88</v>
      </c>
      <c r="C30"/>
      <c r="D30"/>
      <c r="E30"/>
      <c r="F30"/>
      <c r="G30"/>
      <c r="H30"/>
      <c r="I30"/>
      <c r="J30" s="234"/>
      <c r="K30" s="234"/>
      <c r="L30"/>
      <c r="M30"/>
      <c r="N30"/>
      <c r="O30"/>
      <c r="Q30" s="172"/>
      <c r="S30" s="175"/>
      <c r="T30" s="175"/>
      <c r="U30" s="264"/>
      <c r="V30"/>
    </row>
    <row r="31" spans="2:29" ht="15" hidden="1" x14ac:dyDescent="0.25">
      <c r="B31" t="s">
        <v>23</v>
      </c>
      <c r="C31">
        <v>2</v>
      </c>
      <c r="D31">
        <v>827.92</v>
      </c>
      <c r="J31">
        <v>340000</v>
      </c>
    </row>
    <row r="32" spans="2:29"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c r="S47"/>
      <c r="T47"/>
      <c r="U47"/>
    </row>
    <row r="48" spans="2:21"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ht="15" x14ac:dyDescent="0.25">
      <c r="S53"/>
      <c r="T53"/>
      <c r="U53"/>
    </row>
    <row r="54" spans="19:21" ht="15" x14ac:dyDescent="0.25">
      <c r="S54"/>
      <c r="T54"/>
      <c r="U54"/>
    </row>
    <row r="55" spans="19:21" ht="15" x14ac:dyDescent="0.25">
      <c r="S55"/>
      <c r="T55"/>
      <c r="U55"/>
    </row>
    <row r="56" spans="19:21" ht="15" x14ac:dyDescent="0.25">
      <c r="S56"/>
      <c r="T56"/>
      <c r="U56"/>
    </row>
    <row r="57" spans="19:21" ht="15" x14ac:dyDescent="0.25">
      <c r="S57"/>
      <c r="T57"/>
      <c r="U57"/>
    </row>
    <row r="58" spans="19:21" ht="15" x14ac:dyDescent="0.25">
      <c r="S58"/>
      <c r="T58"/>
      <c r="U58"/>
    </row>
    <row r="59" spans="19:21" ht="15" x14ac:dyDescent="0.25">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379" priority="15" operator="greaterThan">
      <formula>$L$3</formula>
    </cfRule>
  </conditionalFormatting>
  <conditionalFormatting sqref="L23:L24">
    <cfRule type="cellIs" dxfId="378" priority="14" operator="greaterThan">
      <formula>$L$3</formula>
    </cfRule>
  </conditionalFormatting>
  <conditionalFormatting sqref="M40:M41 L37:M37 M38 L42:M43">
    <cfRule type="cellIs" dxfId="377" priority="13" operator="greaterThan">
      <formula>$L$3</formula>
    </cfRule>
  </conditionalFormatting>
  <conditionalFormatting sqref="L40:L41">
    <cfRule type="cellIs" dxfId="376" priority="12" operator="greaterThan">
      <formula>$L$3</formula>
    </cfRule>
  </conditionalFormatting>
  <conditionalFormatting sqref="M6:M7">
    <cfRule type="cellIs" dxfId="375" priority="11" operator="greaterThan">
      <formula>$L$3</formula>
    </cfRule>
  </conditionalFormatting>
  <conditionalFormatting sqref="M10:M11">
    <cfRule type="cellIs" dxfId="374" priority="10" operator="greaterThan">
      <formula>$L$3</formula>
    </cfRule>
  </conditionalFormatting>
  <conditionalFormatting sqref="M14:M15">
    <cfRule type="cellIs" dxfId="373" priority="9" operator="greaterThan">
      <formula>$L$3</formula>
    </cfRule>
  </conditionalFormatting>
  <conditionalFormatting sqref="M18:M19">
    <cfRule type="cellIs" dxfId="372" priority="8" operator="greaterThan">
      <formula>$L$3</formula>
    </cfRule>
  </conditionalFormatting>
  <conditionalFormatting sqref="L6:L7">
    <cfRule type="cellIs" dxfId="371" priority="7" operator="greaterThan">
      <formula>$L$3</formula>
    </cfRule>
  </conditionalFormatting>
  <conditionalFormatting sqref="L8:L9">
    <cfRule type="cellIs" dxfId="370" priority="6" operator="greaterThan">
      <formula>$L$3</formula>
    </cfRule>
  </conditionalFormatting>
  <conditionalFormatting sqref="L10:L11">
    <cfRule type="cellIs" dxfId="369" priority="5" operator="greaterThan">
      <formula>$L$3</formula>
    </cfRule>
  </conditionalFormatting>
  <conditionalFormatting sqref="L12:L13">
    <cfRule type="cellIs" dxfId="368" priority="4" operator="greaterThan">
      <formula>$L$3</formula>
    </cfRule>
  </conditionalFormatting>
  <conditionalFormatting sqref="L14:L15">
    <cfRule type="cellIs" dxfId="367" priority="3" operator="greaterThan">
      <formula>$L$3</formula>
    </cfRule>
  </conditionalFormatting>
  <conditionalFormatting sqref="L16:L17">
    <cfRule type="cellIs" dxfId="366" priority="2" operator="greaterThan">
      <formula>$L$3</formula>
    </cfRule>
  </conditionalFormatting>
  <conditionalFormatting sqref="L18:L19">
    <cfRule type="cellIs" dxfId="365"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175"/>
  <sheetViews>
    <sheetView zoomScale="70" zoomScaleNormal="70" workbookViewId="0">
      <selection activeCell="B28" sqref="B26:L28"/>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6" width="18.109375" customWidth="1"/>
    <col min="17" max="17" width="18.109375" style="172" hidden="1" customWidth="1"/>
    <col min="18" max="18" width="18.109375" hidden="1" customWidth="1"/>
    <col min="19" max="21" width="18.109375" style="37" hidden="1" customWidth="1"/>
    <col min="22" max="33" width="18.109375" hidden="1" customWidth="1"/>
    <col min="34" max="34" width="18.109375" customWidth="1"/>
  </cols>
  <sheetData>
    <row r="1" spans="2:30" ht="15.75" thickBot="1" x14ac:dyDescent="0.3">
      <c r="Q1" s="323" t="s">
        <v>0</v>
      </c>
      <c r="R1" s="324"/>
      <c r="S1" s="324"/>
      <c r="T1" s="324"/>
      <c r="U1" s="324"/>
      <c r="V1" s="324"/>
    </row>
    <row r="2" spans="2:30" ht="30" x14ac:dyDescent="0.25">
      <c r="B2" s="2"/>
      <c r="C2" s="3"/>
      <c r="D2" s="3"/>
      <c r="E2" s="3"/>
      <c r="F2" s="3"/>
      <c r="G2" s="3"/>
      <c r="H2" s="3"/>
      <c r="I2" s="3"/>
      <c r="J2" s="4" t="s">
        <v>1</v>
      </c>
      <c r="K2" s="308"/>
      <c r="L2" s="5" t="s">
        <v>2</v>
      </c>
      <c r="M2" s="6"/>
      <c r="N2" s="6"/>
      <c r="O2" s="6"/>
      <c r="Q2" s="7">
        <v>41456</v>
      </c>
      <c r="R2" s="8"/>
      <c r="S2" s="9"/>
      <c r="T2" s="9"/>
      <c r="U2" s="9"/>
      <c r="V2" s="8"/>
    </row>
    <row r="3" spans="2:30" ht="18.75" x14ac:dyDescent="0.3">
      <c r="B3" s="10" t="s">
        <v>125</v>
      </c>
      <c r="C3" s="11"/>
      <c r="D3" s="8"/>
      <c r="E3" s="8"/>
      <c r="F3" s="8"/>
      <c r="G3" s="8"/>
      <c r="H3" s="8"/>
      <c r="I3" s="8"/>
      <c r="J3" s="12">
        <v>41516</v>
      </c>
      <c r="K3" s="307"/>
      <c r="L3" s="13">
        <f>$Q$5/26</f>
        <v>0.16483516483516483</v>
      </c>
      <c r="M3" s="14"/>
      <c r="N3" s="14"/>
      <c r="O3" s="14"/>
      <c r="Q3" s="15"/>
      <c r="R3" s="8"/>
      <c r="S3" s="9"/>
      <c r="T3" s="9"/>
      <c r="U3" s="9"/>
      <c r="V3" s="8"/>
    </row>
    <row r="4" spans="2:30" ht="15.75" thickBot="1" x14ac:dyDescent="0.3">
      <c r="B4" s="16"/>
      <c r="C4" s="8"/>
      <c r="D4" s="8"/>
      <c r="E4" s="8"/>
      <c r="F4" s="17"/>
      <c r="G4" s="8"/>
      <c r="H4" s="8"/>
      <c r="I4" s="8"/>
      <c r="J4" s="306"/>
      <c r="K4" s="306"/>
      <c r="L4" s="19"/>
      <c r="M4" s="8"/>
      <c r="N4" s="8"/>
      <c r="O4" s="8"/>
      <c r="Q4" s="15">
        <f>J3-Q2</f>
        <v>60</v>
      </c>
      <c r="R4" s="8"/>
      <c r="S4" s="9"/>
      <c r="T4" s="9"/>
      <c r="U4" s="8"/>
      <c r="V4" s="8"/>
    </row>
    <row r="5" spans="2:30"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4.2857142857142856</v>
      </c>
      <c r="R5" s="8"/>
      <c r="S5" s="9"/>
      <c r="T5" s="9"/>
      <c r="U5"/>
    </row>
    <row r="6" spans="2:30" x14ac:dyDescent="0.3">
      <c r="B6" s="294" t="s">
        <v>115</v>
      </c>
      <c r="C6" s="293">
        <v>6</v>
      </c>
      <c r="D6" s="113">
        <v>4655.7700000000004</v>
      </c>
      <c r="E6" s="292"/>
      <c r="F6" s="291">
        <v>1</v>
      </c>
      <c r="G6" s="290">
        <f t="shared" ref="G6:G19" si="0">D6*F6</f>
        <v>4655.7700000000004</v>
      </c>
      <c r="H6" s="288">
        <f t="shared" ref="H6:H19" si="1">D6-G6</f>
        <v>0</v>
      </c>
      <c r="I6" s="289"/>
      <c r="J6" s="325"/>
      <c r="K6" s="325"/>
      <c r="L6" s="327" t="e">
        <f>SUM(G6:G7)/J6</f>
        <v>#DIV/0!</v>
      </c>
      <c r="M6" s="268"/>
      <c r="N6" s="113" t="e">
        <f>(L6/L$3)*J6</f>
        <v>#DIV/0!</v>
      </c>
      <c r="O6" s="288" t="e">
        <f>N6-J6</f>
        <v>#DIV/0!</v>
      </c>
      <c r="Q6" s="36">
        <v>51000</v>
      </c>
      <c r="R6" s="8"/>
      <c r="S6" s="9"/>
      <c r="T6" s="9"/>
      <c r="U6" s="37" t="s">
        <v>101</v>
      </c>
      <c r="V6" t="s">
        <v>3</v>
      </c>
      <c r="W6" t="s">
        <v>13</v>
      </c>
      <c r="X6" t="s">
        <v>14</v>
      </c>
      <c r="AA6" t="s">
        <v>101</v>
      </c>
      <c r="AB6" t="s">
        <v>3</v>
      </c>
      <c r="AC6" t="s">
        <v>13</v>
      </c>
      <c r="AD6" t="s">
        <v>14</v>
      </c>
    </row>
    <row r="7" spans="2:30" x14ac:dyDescent="0.3">
      <c r="B7" s="272" t="s">
        <v>108</v>
      </c>
      <c r="C7" s="115">
        <v>18</v>
      </c>
      <c r="D7" s="64">
        <v>16905.599999999999</v>
      </c>
      <c r="E7" s="271"/>
      <c r="F7" s="270">
        <v>0.3</v>
      </c>
      <c r="G7" s="269">
        <f t="shared" si="0"/>
        <v>5071.6799999999994</v>
      </c>
      <c r="H7" s="267">
        <f t="shared" si="1"/>
        <v>11833.919999999998</v>
      </c>
      <c r="I7" s="8"/>
      <c r="J7" s="326"/>
      <c r="K7" s="326"/>
      <c r="L7" s="328"/>
      <c r="M7" s="268"/>
      <c r="N7" s="64"/>
      <c r="O7" s="267"/>
      <c r="Q7" s="36"/>
      <c r="R7" s="8"/>
      <c r="S7" s="9"/>
      <c r="T7" s="9"/>
      <c r="U7" s="37">
        <v>1</v>
      </c>
      <c r="V7" t="s">
        <v>53</v>
      </c>
      <c r="W7">
        <v>6</v>
      </c>
      <c r="X7">
        <v>4655.7700000000004</v>
      </c>
      <c r="AA7">
        <v>1</v>
      </c>
      <c r="AB7" t="s">
        <v>53</v>
      </c>
      <c r="AC7">
        <v>6</v>
      </c>
      <c r="AD7">
        <v>4655.7700000000004</v>
      </c>
    </row>
    <row r="8" spans="2:30" x14ac:dyDescent="0.3">
      <c r="B8" s="286" t="s">
        <v>114</v>
      </c>
      <c r="C8" s="285"/>
      <c r="D8" s="137"/>
      <c r="E8" s="284"/>
      <c r="F8" s="283">
        <v>1</v>
      </c>
      <c r="G8" s="282">
        <f t="shared" si="0"/>
        <v>0</v>
      </c>
      <c r="H8" s="280">
        <f t="shared" si="1"/>
        <v>0</v>
      </c>
      <c r="I8" s="281"/>
      <c r="J8" s="329"/>
      <c r="K8" s="329"/>
      <c r="L8" s="331" t="e">
        <f>SUM(G8:G9)/J8</f>
        <v>#DIV/0!</v>
      </c>
      <c r="M8" s="281"/>
      <c r="N8" s="137" t="e">
        <f>(L8/L$3)*J8</f>
        <v>#DIV/0!</v>
      </c>
      <c r="O8" s="280" t="e">
        <f>N8-J8</f>
        <v>#DIV/0!</v>
      </c>
      <c r="Q8" s="36">
        <v>37400</v>
      </c>
      <c r="R8" s="8"/>
      <c r="S8" s="9"/>
      <c r="T8" s="9"/>
      <c r="V8" t="s">
        <v>55</v>
      </c>
      <c r="W8">
        <v>18</v>
      </c>
      <c r="X8">
        <v>16905.599999999999</v>
      </c>
      <c r="AB8" t="s">
        <v>55</v>
      </c>
      <c r="AC8">
        <v>18</v>
      </c>
      <c r="AD8">
        <v>16905.599999999999</v>
      </c>
    </row>
    <row r="9" spans="2:30" x14ac:dyDescent="0.3">
      <c r="B9" s="279" t="s">
        <v>108</v>
      </c>
      <c r="C9" s="278"/>
      <c r="D9" s="92"/>
      <c r="E9" s="277"/>
      <c r="F9" s="276">
        <v>0.3</v>
      </c>
      <c r="G9" s="275">
        <f t="shared" si="0"/>
        <v>0</v>
      </c>
      <c r="H9" s="273">
        <f t="shared" si="1"/>
        <v>0</v>
      </c>
      <c r="I9" s="274"/>
      <c r="J9" s="330"/>
      <c r="K9" s="330"/>
      <c r="L9" s="332"/>
      <c r="M9" s="274"/>
      <c r="N9" s="92"/>
      <c r="O9" s="273"/>
      <c r="Q9" s="36"/>
      <c r="R9" s="8"/>
      <c r="S9" s="9"/>
      <c r="T9" s="9"/>
    </row>
    <row r="10" spans="2:30" x14ac:dyDescent="0.3">
      <c r="B10" s="272" t="s">
        <v>113</v>
      </c>
      <c r="C10" s="115">
        <v>3</v>
      </c>
      <c r="D10" s="64">
        <v>2710.6000000000008</v>
      </c>
      <c r="E10" s="271"/>
      <c r="F10" s="270">
        <v>1</v>
      </c>
      <c r="G10" s="269">
        <f t="shared" si="0"/>
        <v>2710.6000000000008</v>
      </c>
      <c r="H10" s="267">
        <f t="shared" si="1"/>
        <v>0</v>
      </c>
      <c r="I10" s="8"/>
      <c r="J10" s="326"/>
      <c r="K10" s="326"/>
      <c r="L10" s="328" t="e">
        <f>SUM(G10:G11)/J10</f>
        <v>#DIV/0!</v>
      </c>
      <c r="M10" s="268"/>
      <c r="N10" s="64" t="e">
        <f>(L10/L$3)*J10</f>
        <v>#DIV/0!</v>
      </c>
      <c r="O10" s="267" t="e">
        <f>N10-J10</f>
        <v>#DIV/0!</v>
      </c>
      <c r="Q10" s="36">
        <v>61200</v>
      </c>
      <c r="R10" s="8"/>
      <c r="S10" s="9"/>
      <c r="T10" s="9"/>
    </row>
    <row r="11" spans="2:30" x14ac:dyDescent="0.3">
      <c r="B11" s="272" t="s">
        <v>108</v>
      </c>
      <c r="C11" s="115">
        <v>1</v>
      </c>
      <c r="D11" s="64">
        <v>471.5</v>
      </c>
      <c r="E11" s="271"/>
      <c r="F11" s="270">
        <v>0.3</v>
      </c>
      <c r="G11" s="269">
        <f t="shared" si="0"/>
        <v>141.44999999999999</v>
      </c>
      <c r="H11" s="267">
        <f t="shared" si="1"/>
        <v>330.05</v>
      </c>
      <c r="I11" s="8"/>
      <c r="J11" s="326"/>
      <c r="K11" s="326"/>
      <c r="L11" s="328"/>
      <c r="M11" s="268"/>
      <c r="N11" s="64"/>
      <c r="O11" s="267"/>
      <c r="P11" s="45"/>
      <c r="Q11" s="36"/>
      <c r="R11" s="8"/>
      <c r="S11" s="9"/>
      <c r="T11" s="9"/>
      <c r="U11" s="37">
        <v>3</v>
      </c>
      <c r="V11" t="s">
        <v>53</v>
      </c>
      <c r="W11">
        <v>3</v>
      </c>
      <c r="X11">
        <v>2710.6000000000008</v>
      </c>
      <c r="AA11">
        <v>3</v>
      </c>
      <c r="AB11" t="s">
        <v>53</v>
      </c>
      <c r="AC11">
        <v>3</v>
      </c>
      <c r="AD11">
        <v>2710.6000000000008</v>
      </c>
    </row>
    <row r="12" spans="2:30" x14ac:dyDescent="0.3">
      <c r="B12" s="286" t="s">
        <v>112</v>
      </c>
      <c r="C12" s="285">
        <v>18</v>
      </c>
      <c r="D12" s="137">
        <v>18426.710000000003</v>
      </c>
      <c r="E12" s="284"/>
      <c r="F12" s="283">
        <v>1</v>
      </c>
      <c r="G12" s="282">
        <f t="shared" si="0"/>
        <v>18426.710000000003</v>
      </c>
      <c r="H12" s="280">
        <f t="shared" si="1"/>
        <v>0</v>
      </c>
      <c r="I12" s="281"/>
      <c r="J12" s="329"/>
      <c r="K12" s="329"/>
      <c r="L12" s="331" t="e">
        <f>SUM(G12:G13)/J12</f>
        <v>#DIV/0!</v>
      </c>
      <c r="M12" s="281"/>
      <c r="N12" s="137" t="e">
        <f>(L12/L$3)*J12</f>
        <v>#DIV/0!</v>
      </c>
      <c r="O12" s="280" t="e">
        <f>N12-J12</f>
        <v>#DIV/0!</v>
      </c>
      <c r="P12" s="45"/>
      <c r="Q12" s="36">
        <v>68000</v>
      </c>
      <c r="R12" s="8"/>
      <c r="S12" s="9"/>
      <c r="T12" s="9"/>
      <c r="V12" t="s">
        <v>55</v>
      </c>
      <c r="W12">
        <v>1</v>
      </c>
      <c r="X12">
        <v>471.5</v>
      </c>
      <c r="AB12" t="s">
        <v>55</v>
      </c>
      <c r="AC12">
        <v>1</v>
      </c>
      <c r="AD12">
        <v>471.5</v>
      </c>
    </row>
    <row r="13" spans="2:30" x14ac:dyDescent="0.3">
      <c r="B13" s="279" t="s">
        <v>108</v>
      </c>
      <c r="C13" s="278">
        <v>2</v>
      </c>
      <c r="D13" s="92">
        <v>2191.8500000000004</v>
      </c>
      <c r="E13" s="277"/>
      <c r="F13" s="276">
        <v>0.3</v>
      </c>
      <c r="G13" s="275">
        <f t="shared" si="0"/>
        <v>657.55500000000006</v>
      </c>
      <c r="H13" s="273">
        <f t="shared" si="1"/>
        <v>1534.2950000000003</v>
      </c>
      <c r="I13" s="274"/>
      <c r="J13" s="330"/>
      <c r="K13" s="330"/>
      <c r="L13" s="332"/>
      <c r="M13" s="274"/>
      <c r="N13" s="92"/>
      <c r="O13" s="273"/>
      <c r="P13" s="45"/>
      <c r="Q13" s="36"/>
      <c r="R13" s="8"/>
      <c r="S13" s="9"/>
      <c r="T13" s="9"/>
      <c r="U13" s="37">
        <v>4</v>
      </c>
      <c r="V13" t="s">
        <v>53</v>
      </c>
      <c r="W13">
        <v>18</v>
      </c>
      <c r="X13">
        <v>18426.710000000003</v>
      </c>
      <c r="AA13">
        <v>4</v>
      </c>
      <c r="AB13" t="s">
        <v>53</v>
      </c>
      <c r="AC13">
        <v>18</v>
      </c>
      <c r="AD13">
        <v>18426.710000000003</v>
      </c>
    </row>
    <row r="14" spans="2:30" x14ac:dyDescent="0.3">
      <c r="B14" s="272" t="s">
        <v>111</v>
      </c>
      <c r="C14" s="115">
        <v>6</v>
      </c>
      <c r="D14" s="64">
        <v>5527.2199999999993</v>
      </c>
      <c r="E14" s="271"/>
      <c r="F14" s="270">
        <v>1</v>
      </c>
      <c r="G14" s="269">
        <f t="shared" si="0"/>
        <v>5527.2199999999993</v>
      </c>
      <c r="H14" s="267">
        <f t="shared" si="1"/>
        <v>0</v>
      </c>
      <c r="I14" s="8"/>
      <c r="J14" s="326"/>
      <c r="K14" s="326"/>
      <c r="L14" s="328" t="e">
        <f>SUM(G14:G15)/J14</f>
        <v>#DIV/0!</v>
      </c>
      <c r="M14" s="268"/>
      <c r="N14" s="64" t="e">
        <f>(L14/L$3)*J14</f>
        <v>#DIV/0!</v>
      </c>
      <c r="O14" s="267" t="e">
        <f>N14-J14</f>
        <v>#DIV/0!</v>
      </c>
      <c r="P14" s="45"/>
      <c r="Q14" s="36">
        <v>34000</v>
      </c>
      <c r="R14" s="8"/>
      <c r="S14" s="9"/>
      <c r="T14" s="9"/>
      <c r="V14" t="s">
        <v>55</v>
      </c>
      <c r="W14">
        <v>2</v>
      </c>
      <c r="X14">
        <v>2191.8500000000004</v>
      </c>
      <c r="AB14" t="s">
        <v>55</v>
      </c>
      <c r="AC14">
        <v>2</v>
      </c>
      <c r="AD14">
        <v>2191.8500000000004</v>
      </c>
    </row>
    <row r="15" spans="2:30" x14ac:dyDescent="0.3">
      <c r="B15" s="272" t="s">
        <v>108</v>
      </c>
      <c r="C15" s="115">
        <v>3</v>
      </c>
      <c r="D15" s="64">
        <v>1121.5500000000002</v>
      </c>
      <c r="E15" s="271"/>
      <c r="F15" s="270">
        <v>0.3</v>
      </c>
      <c r="G15" s="269">
        <f t="shared" si="0"/>
        <v>336.46500000000003</v>
      </c>
      <c r="H15" s="267">
        <f t="shared" si="1"/>
        <v>785.08500000000015</v>
      </c>
      <c r="I15" s="8"/>
      <c r="J15" s="326"/>
      <c r="K15" s="326"/>
      <c r="L15" s="328"/>
      <c r="M15" s="268"/>
      <c r="N15" s="64"/>
      <c r="O15" s="267"/>
      <c r="P15" s="45"/>
      <c r="Q15" s="36"/>
      <c r="R15" s="8"/>
      <c r="S15" s="9"/>
      <c r="T15" s="9"/>
      <c r="U15" s="37">
        <v>5</v>
      </c>
      <c r="V15" t="s">
        <v>53</v>
      </c>
      <c r="W15">
        <v>6</v>
      </c>
      <c r="X15">
        <v>5527.2199999999993</v>
      </c>
      <c r="AA15">
        <v>5</v>
      </c>
      <c r="AB15" t="s">
        <v>53</v>
      </c>
      <c r="AC15">
        <v>6</v>
      </c>
      <c r="AD15">
        <v>5527.2199999999993</v>
      </c>
    </row>
    <row r="16" spans="2:30" x14ac:dyDescent="0.3">
      <c r="B16" s="286" t="s">
        <v>110</v>
      </c>
      <c r="C16" s="285">
        <v>8</v>
      </c>
      <c r="D16" s="137">
        <v>4684.76</v>
      </c>
      <c r="E16" s="284"/>
      <c r="F16" s="283">
        <v>1</v>
      </c>
      <c r="G16" s="282">
        <f t="shared" si="0"/>
        <v>4684.76</v>
      </c>
      <c r="H16" s="280">
        <f t="shared" si="1"/>
        <v>0</v>
      </c>
      <c r="I16" s="281"/>
      <c r="J16" s="329"/>
      <c r="K16" s="329"/>
      <c r="L16" s="331" t="e">
        <f>SUM(G16:G17)/J16</f>
        <v>#DIV/0!</v>
      </c>
      <c r="M16" s="281"/>
      <c r="N16" s="137" t="e">
        <f>(L16/L$3)*J16</f>
        <v>#DIV/0!</v>
      </c>
      <c r="O16" s="280" t="e">
        <f>N16-J16</f>
        <v>#DIV/0!</v>
      </c>
      <c r="P16" s="45"/>
      <c r="Q16" s="36">
        <v>27200</v>
      </c>
      <c r="R16" s="8"/>
      <c r="S16" s="9"/>
      <c r="T16" s="9"/>
      <c r="V16" t="s">
        <v>55</v>
      </c>
      <c r="W16">
        <v>3</v>
      </c>
      <c r="X16">
        <v>1121.5500000000002</v>
      </c>
      <c r="AB16" t="s">
        <v>55</v>
      </c>
      <c r="AC16">
        <v>3</v>
      </c>
      <c r="AD16">
        <v>1121.5500000000002</v>
      </c>
    </row>
    <row r="17" spans="2:30" x14ac:dyDescent="0.3">
      <c r="B17" s="279" t="s">
        <v>108</v>
      </c>
      <c r="C17" s="278"/>
      <c r="D17" s="92"/>
      <c r="E17" s="277"/>
      <c r="F17" s="276">
        <v>0.3</v>
      </c>
      <c r="G17" s="275">
        <f t="shared" si="0"/>
        <v>0</v>
      </c>
      <c r="H17" s="273">
        <f t="shared" si="1"/>
        <v>0</v>
      </c>
      <c r="I17" s="274"/>
      <c r="J17" s="330"/>
      <c r="K17" s="330"/>
      <c r="L17" s="332"/>
      <c r="M17" s="274"/>
      <c r="N17" s="92"/>
      <c r="O17" s="273"/>
      <c r="P17" s="45"/>
      <c r="Q17" s="36"/>
      <c r="R17" s="8"/>
      <c r="S17" s="9"/>
      <c r="T17" s="9"/>
      <c r="U17" s="37">
        <v>6</v>
      </c>
      <c r="V17" t="s">
        <v>53</v>
      </c>
      <c r="W17">
        <v>8</v>
      </c>
      <c r="X17">
        <v>4684.76</v>
      </c>
      <c r="AA17">
        <v>6</v>
      </c>
      <c r="AB17" t="s">
        <v>53</v>
      </c>
      <c r="AC17">
        <v>8</v>
      </c>
      <c r="AD17">
        <v>4684.76</v>
      </c>
    </row>
    <row r="18" spans="2:30" x14ac:dyDescent="0.3">
      <c r="B18" s="272" t="s">
        <v>109</v>
      </c>
      <c r="C18" s="115">
        <v>1</v>
      </c>
      <c r="D18" s="64">
        <v>65</v>
      </c>
      <c r="E18" s="271"/>
      <c r="F18" s="270">
        <v>1</v>
      </c>
      <c r="G18" s="269">
        <f t="shared" si="0"/>
        <v>65</v>
      </c>
      <c r="H18" s="267">
        <f t="shared" si="1"/>
        <v>0</v>
      </c>
      <c r="I18" s="8"/>
      <c r="J18" s="326"/>
      <c r="K18" s="326"/>
      <c r="L18" s="328" t="e">
        <f>SUM(G18:G19)/J18</f>
        <v>#DIV/0!</v>
      </c>
      <c r="M18" s="268"/>
      <c r="N18" s="64" t="e">
        <f>(L18/L$3)*J18</f>
        <v>#DIV/0!</v>
      </c>
      <c r="O18" s="267" t="e">
        <f>N18-J18</f>
        <v>#DIV/0!</v>
      </c>
      <c r="P18" s="45"/>
      <c r="Q18" s="36">
        <v>61200</v>
      </c>
      <c r="R18" s="8"/>
      <c r="S18" s="9"/>
      <c r="T18" s="9"/>
    </row>
    <row r="19" spans="2:30" ht="15" thickBot="1" x14ac:dyDescent="0.35">
      <c r="B19" s="272" t="s">
        <v>108</v>
      </c>
      <c r="C19" s="115">
        <v>4</v>
      </c>
      <c r="D19" s="64">
        <v>18364.199999999993</v>
      </c>
      <c r="E19" s="271"/>
      <c r="F19" s="270">
        <v>0.3</v>
      </c>
      <c r="G19" s="269">
        <f t="shared" si="0"/>
        <v>5509.2599999999975</v>
      </c>
      <c r="H19" s="267">
        <f t="shared" si="1"/>
        <v>12854.939999999995</v>
      </c>
      <c r="I19" s="8"/>
      <c r="J19" s="333"/>
      <c r="K19" s="333"/>
      <c r="L19" s="334"/>
      <c r="M19" s="268"/>
      <c r="N19" s="64"/>
      <c r="O19" s="267"/>
      <c r="P19" s="45"/>
      <c r="Q19" s="36"/>
      <c r="R19" s="8"/>
      <c r="S19" s="9"/>
      <c r="T19" s="9"/>
      <c r="U19" s="37">
        <v>7</v>
      </c>
      <c r="V19" t="s">
        <v>53</v>
      </c>
      <c r="W19">
        <v>1</v>
      </c>
      <c r="X19">
        <v>65</v>
      </c>
      <c r="AA19">
        <v>7</v>
      </c>
      <c r="AB19" t="s">
        <v>53</v>
      </c>
      <c r="AC19">
        <v>1</v>
      </c>
      <c r="AD19">
        <v>65</v>
      </c>
    </row>
    <row r="20" spans="2:30" ht="15.75" thickBot="1" x14ac:dyDescent="0.3">
      <c r="B20" s="176" t="s">
        <v>61</v>
      </c>
      <c r="C20" s="263">
        <v>70</v>
      </c>
      <c r="D20" s="162">
        <v>75124.760000000009</v>
      </c>
      <c r="E20" s="179"/>
      <c r="F20" s="262">
        <f>G20/D20</f>
        <v>0.63609481081869668</v>
      </c>
      <c r="G20" s="179">
        <f>SUM(G6:G19)</f>
        <v>47786.47</v>
      </c>
      <c r="H20" s="179">
        <f>SUM(H6:H19)</f>
        <v>27338.289999999994</v>
      </c>
      <c r="I20" s="261"/>
      <c r="J20" s="162">
        <v>300000</v>
      </c>
      <c r="K20" s="182"/>
      <c r="L20" s="260">
        <f>SUM(G20)/J20</f>
        <v>0.15928823333333333</v>
      </c>
      <c r="M20" s="247"/>
      <c r="N20" s="162">
        <f>(L20/L$3)*J20</f>
        <v>289904.58466666669</v>
      </c>
      <c r="O20" s="182">
        <f>N20-J20</f>
        <v>-10095.415333333309</v>
      </c>
      <c r="Q20" s="162">
        <f>SUM(Q6:Q19)</f>
        <v>340000</v>
      </c>
      <c r="R20" s="8"/>
      <c r="S20" s="9"/>
      <c r="T20" s="9"/>
      <c r="V20" t="s">
        <v>55</v>
      </c>
      <c r="W20">
        <v>4</v>
      </c>
      <c r="X20">
        <v>18364.199999999993</v>
      </c>
      <c r="AB20" t="s">
        <v>55</v>
      </c>
      <c r="AC20">
        <v>4</v>
      </c>
      <c r="AD20">
        <v>18364.199999999993</v>
      </c>
    </row>
    <row r="21" spans="2:30" ht="15" x14ac:dyDescent="0.25">
      <c r="B21" s="183"/>
      <c r="C21" s="249"/>
      <c r="D21" s="185"/>
      <c r="E21" s="185"/>
      <c r="F21" s="185"/>
      <c r="G21" s="185"/>
      <c r="H21" s="185"/>
      <c r="I21" s="248"/>
      <c r="J21" s="185"/>
      <c r="K21" s="185"/>
      <c r="L21" s="185"/>
      <c r="M21" s="247"/>
      <c r="N21" s="185"/>
      <c r="O21" s="185"/>
      <c r="Q21" s="166"/>
      <c r="R21" s="8"/>
      <c r="S21" s="9"/>
      <c r="T21" s="9"/>
      <c r="U21" s="37" t="s">
        <v>61</v>
      </c>
      <c r="W21">
        <v>70</v>
      </c>
      <c r="X21">
        <v>75124.760000000009</v>
      </c>
      <c r="AA21" t="s">
        <v>61</v>
      </c>
      <c r="AC21">
        <v>70</v>
      </c>
      <c r="AD21">
        <v>75124.760000000009</v>
      </c>
    </row>
    <row r="22" spans="2:30" ht="15.75" thickBot="1" x14ac:dyDescent="0.3">
      <c r="N22" s="168"/>
      <c r="Q22" s="36"/>
      <c r="R22" s="8"/>
      <c r="S22" s="9"/>
      <c r="T22" s="9"/>
    </row>
    <row r="23" spans="2:30" ht="15.75" thickBot="1" x14ac:dyDescent="0.3">
      <c r="B23" s="186" t="s">
        <v>63</v>
      </c>
      <c r="C23" s="259"/>
      <c r="D23" s="188"/>
      <c r="E23" s="189"/>
      <c r="F23" s="189"/>
      <c r="G23" s="189">
        <f>G20</f>
        <v>47786.47</v>
      </c>
      <c r="H23" s="190"/>
      <c r="I23" s="258"/>
      <c r="J23" s="188">
        <f>J20</f>
        <v>300000</v>
      </c>
      <c r="K23" s="189"/>
      <c r="L23" s="257">
        <f>SUM(G23)/J23</f>
        <v>0.15928823333333333</v>
      </c>
      <c r="M23" s="247"/>
      <c r="N23" s="162">
        <f>(L23/L$3)*J23</f>
        <v>289904.58466666669</v>
      </c>
      <c r="O23" s="182">
        <f>N23-J23</f>
        <v>-10095.415333333309</v>
      </c>
      <c r="Q23" s="166"/>
      <c r="R23" s="8"/>
      <c r="S23" s="9"/>
      <c r="T23" s="9"/>
    </row>
    <row r="24" spans="2:30" ht="15.75" thickBot="1" x14ac:dyDescent="0.3">
      <c r="B24" s="192" t="s">
        <v>64</v>
      </c>
      <c r="C24" s="256"/>
      <c r="D24" s="194"/>
      <c r="E24" s="185"/>
      <c r="F24" s="185"/>
      <c r="G24" s="185"/>
      <c r="H24" s="195">
        <f>H20</f>
        <v>27338.289999999994</v>
      </c>
      <c r="I24" s="255"/>
      <c r="J24" s="194"/>
      <c r="K24" s="185">
        <f>K20</f>
        <v>0</v>
      </c>
      <c r="L24" s="254" t="e">
        <f>SUM(H20)/K20</f>
        <v>#DIV/0!</v>
      </c>
      <c r="M24" s="247"/>
      <c r="N24" s="162" t="e">
        <f>(L24/L$3)*K24</f>
        <v>#DIV/0!</v>
      </c>
      <c r="O24" s="182" t="e">
        <f>N24-K24</f>
        <v>#DIV/0!</v>
      </c>
      <c r="Q24" s="166"/>
      <c r="R24" s="8"/>
      <c r="S24" s="9"/>
      <c r="T24" s="9"/>
    </row>
    <row r="25" spans="2:30" ht="15.75" thickBot="1" x14ac:dyDescent="0.3">
      <c r="B25" s="197" t="s">
        <v>65</v>
      </c>
      <c r="C25" s="253"/>
      <c r="D25" s="199">
        <f>SUM(G20:H20)</f>
        <v>75124.759999999995</v>
      </c>
      <c r="E25" s="200"/>
      <c r="F25" s="200"/>
      <c r="G25" s="200"/>
      <c r="H25" s="201"/>
      <c r="I25" s="252"/>
      <c r="J25" s="202"/>
      <c r="K25" s="180">
        <f>SUM(J20:K20)</f>
        <v>300000</v>
      </c>
      <c r="L25" s="251">
        <f>SUM(D25)/K25</f>
        <v>0.25041586666666665</v>
      </c>
      <c r="M25" s="247"/>
      <c r="N25" s="162">
        <f>(L25/L$3)*K25</f>
        <v>455756.87733333331</v>
      </c>
      <c r="O25" s="182">
        <f>N25-K25</f>
        <v>155756.87733333331</v>
      </c>
      <c r="P25" s="168"/>
      <c r="Q25" s="166"/>
      <c r="R25" s="8"/>
      <c r="S25" s="9"/>
    </row>
    <row r="26" spans="2:30" ht="15" x14ac:dyDescent="0.25">
      <c r="B26" s="183"/>
      <c r="C26" s="249"/>
      <c r="D26" s="185"/>
      <c r="E26" s="185"/>
      <c r="F26" s="185"/>
      <c r="G26" s="185"/>
      <c r="H26" s="185"/>
      <c r="I26" s="248"/>
      <c r="J26" s="185"/>
      <c r="K26" s="185"/>
      <c r="L26" s="247"/>
      <c r="M26" s="247"/>
      <c r="N26" s="185"/>
      <c r="O26" s="185"/>
      <c r="Q26" s="166"/>
      <c r="R26" s="8"/>
      <c r="S26" s="9"/>
      <c r="T26" s="9"/>
    </row>
    <row r="27" spans="2:30" ht="21" customHeight="1" thickBot="1" x14ac:dyDescent="0.3">
      <c r="C27" s="246"/>
      <c r="D27" s="214"/>
      <c r="E27" s="214"/>
      <c r="F27" s="214"/>
      <c r="G27" s="214"/>
      <c r="H27" s="214"/>
      <c r="I27" s="214"/>
      <c r="J27" s="214"/>
      <c r="K27" s="214"/>
      <c r="L27" s="214"/>
      <c r="M27" s="214"/>
      <c r="N27" s="214"/>
      <c r="O27" s="214"/>
      <c r="Q27" s="169"/>
      <c r="R27" s="170"/>
      <c r="S27" s="171"/>
      <c r="T27" s="171"/>
    </row>
    <row r="28" spans="2:30" ht="21" customHeight="1" x14ac:dyDescent="0.25">
      <c r="B28" s="335" t="s">
        <v>128</v>
      </c>
      <c r="C28" s="336"/>
      <c r="D28" s="336"/>
      <c r="E28" s="336"/>
      <c r="F28" s="336"/>
      <c r="G28" s="336"/>
      <c r="H28" s="336"/>
      <c r="I28" s="336"/>
      <c r="J28" s="336"/>
      <c r="K28" s="336"/>
      <c r="L28" s="336"/>
      <c r="M28" s="311"/>
      <c r="N28" s="311"/>
      <c r="O28" s="311"/>
    </row>
    <row r="29" spans="2:30" s="173" customFormat="1" ht="39.75" customHeight="1" x14ac:dyDescent="0.25">
      <c r="B29" s="336" t="s">
        <v>107</v>
      </c>
      <c r="C29" s="336"/>
      <c r="D29" s="336"/>
      <c r="E29" s="336"/>
      <c r="F29" s="336"/>
      <c r="G29" s="336"/>
      <c r="H29" s="336"/>
      <c r="I29" s="336"/>
      <c r="J29" s="336"/>
      <c r="K29" s="336"/>
      <c r="L29" s="336"/>
      <c r="M29" s="311"/>
      <c r="N29" s="311"/>
      <c r="O29" s="311"/>
      <c r="Q29" s="172"/>
      <c r="R29" s="174"/>
      <c r="S29" s="175"/>
      <c r="T29" s="175"/>
      <c r="U29" s="37"/>
      <c r="V29"/>
      <c r="W29"/>
      <c r="X29"/>
      <c r="Y29"/>
      <c r="AA29"/>
      <c r="AB29"/>
      <c r="AC29"/>
      <c r="AD29"/>
    </row>
    <row r="30" spans="2:30"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row>
    <row r="31" spans="2:30" ht="15" hidden="1" x14ac:dyDescent="0.25">
      <c r="B31" t="s">
        <v>23</v>
      </c>
      <c r="C31">
        <v>2</v>
      </c>
      <c r="D31">
        <v>827.92</v>
      </c>
      <c r="J31">
        <v>340000</v>
      </c>
    </row>
    <row r="32" spans="2:30" ht="15" hidden="1" x14ac:dyDescent="0.25">
      <c r="B32" t="s">
        <v>87</v>
      </c>
      <c r="C32">
        <v>83</v>
      </c>
      <c r="D32">
        <v>133749.80999999991</v>
      </c>
      <c r="J32">
        <v>250000</v>
      </c>
      <c r="U32"/>
      <c r="X32" s="173"/>
      <c r="Y32" s="173"/>
      <c r="AA32" s="173"/>
      <c r="AB32" s="173"/>
      <c r="AC32" s="173"/>
      <c r="AD32" s="173"/>
    </row>
    <row r="33" spans="2:30" ht="15" hidden="1" x14ac:dyDescent="0.25">
      <c r="X33" s="173"/>
      <c r="Y33" s="173"/>
      <c r="AA33" s="173"/>
      <c r="AB33" s="173"/>
      <c r="AC33" s="173"/>
      <c r="AD33" s="173"/>
    </row>
    <row r="34" spans="2:30"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0" ht="15" hidden="1" x14ac:dyDescent="0.25">
      <c r="U35"/>
    </row>
    <row r="36" spans="2:30" ht="15" hidden="1" x14ac:dyDescent="0.25">
      <c r="U36"/>
    </row>
    <row r="37" spans="2:30"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0" ht="15" hidden="1" x14ac:dyDescent="0.25">
      <c r="B38" s="183"/>
      <c r="C38" s="249"/>
      <c r="D38" s="185"/>
      <c r="E38" s="185"/>
      <c r="F38" s="185"/>
      <c r="G38" s="185"/>
      <c r="H38" s="185"/>
      <c r="I38" s="248"/>
      <c r="J38" s="185"/>
      <c r="K38" s="185"/>
      <c r="L38" s="185"/>
      <c r="M38" s="247"/>
      <c r="N38" s="185"/>
      <c r="O38" s="185"/>
      <c r="U38"/>
    </row>
    <row r="39" spans="2:30" ht="15" hidden="1" x14ac:dyDescent="0.25"/>
    <row r="40" spans="2:30"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0"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0"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0" ht="15" hidden="1" x14ac:dyDescent="0.25">
      <c r="B43" s="183"/>
      <c r="C43" s="249"/>
      <c r="D43" s="185"/>
      <c r="E43" s="185"/>
      <c r="F43" s="185"/>
      <c r="G43" s="185"/>
      <c r="H43" s="185"/>
      <c r="I43" s="248"/>
      <c r="J43" s="185"/>
      <c r="K43" s="185"/>
      <c r="L43" s="247"/>
      <c r="M43" s="247"/>
      <c r="N43" s="185"/>
      <c r="O43" s="185"/>
      <c r="U43"/>
    </row>
    <row r="44" spans="2:30"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0" ht="15" hidden="1" x14ac:dyDescent="0.25">
      <c r="U45"/>
    </row>
    <row r="46" spans="2:30" ht="15" x14ac:dyDescent="0.25">
      <c r="D46" s="168">
        <f>D20-D25</f>
        <v>0</v>
      </c>
      <c r="U46"/>
    </row>
    <row r="47" spans="2:30" ht="15" x14ac:dyDescent="0.25">
      <c r="C47" s="205"/>
    </row>
    <row r="48" spans="2:30" ht="15" x14ac:dyDescent="0.25">
      <c r="U48"/>
    </row>
    <row r="49" spans="20:23" ht="15" x14ac:dyDescent="0.25">
      <c r="U49"/>
    </row>
    <row r="50" spans="20:23" ht="15" x14ac:dyDescent="0.25">
      <c r="U50"/>
    </row>
    <row r="52" spans="20:23" ht="15" x14ac:dyDescent="0.25">
      <c r="U52"/>
    </row>
    <row r="53" spans="20:23" ht="15.75" thickBot="1" x14ac:dyDescent="0.3">
      <c r="U53"/>
    </row>
    <row r="54" spans="20:23" ht="15" x14ac:dyDescent="0.25">
      <c r="T54" s="245" t="s">
        <v>86</v>
      </c>
    </row>
    <row r="55" spans="20:23" ht="15" x14ac:dyDescent="0.25">
      <c r="T55" s="244">
        <v>1</v>
      </c>
      <c r="U55"/>
    </row>
    <row r="56" spans="20:23" ht="15" x14ac:dyDescent="0.25">
      <c r="T56" s="244">
        <v>2</v>
      </c>
      <c r="U56"/>
    </row>
    <row r="57" spans="20:23" ht="15" x14ac:dyDescent="0.25">
      <c r="T57" s="244">
        <v>3</v>
      </c>
      <c r="U57"/>
    </row>
    <row r="58" spans="20:23" ht="15" x14ac:dyDescent="0.25">
      <c r="T58" s="244">
        <v>4</v>
      </c>
      <c r="U58"/>
    </row>
    <row r="59" spans="20:23" ht="15" x14ac:dyDescent="0.25">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364" priority="15" operator="greaterThan">
      <formula>$L$3</formula>
    </cfRule>
  </conditionalFormatting>
  <conditionalFormatting sqref="L23:L24">
    <cfRule type="cellIs" dxfId="363" priority="14" operator="greaterThan">
      <formula>$L$3</formula>
    </cfRule>
  </conditionalFormatting>
  <conditionalFormatting sqref="M40:M41 L37:M37 M38 L42:M43">
    <cfRule type="cellIs" dxfId="362" priority="13" operator="greaterThan">
      <formula>$L$3</formula>
    </cfRule>
  </conditionalFormatting>
  <conditionalFormatting sqref="L40:L41">
    <cfRule type="cellIs" dxfId="361" priority="12" operator="greaterThan">
      <formula>$L$3</formula>
    </cfRule>
  </conditionalFormatting>
  <conditionalFormatting sqref="M6:M7">
    <cfRule type="cellIs" dxfId="360" priority="11" operator="greaterThan">
      <formula>$L$3</formula>
    </cfRule>
  </conditionalFormatting>
  <conditionalFormatting sqref="M10:M11">
    <cfRule type="cellIs" dxfId="359" priority="10" operator="greaterThan">
      <formula>$L$3</formula>
    </cfRule>
  </conditionalFormatting>
  <conditionalFormatting sqref="M14:M15">
    <cfRule type="cellIs" dxfId="358" priority="9" operator="greaterThan">
      <formula>$L$3</formula>
    </cfRule>
  </conditionalFormatting>
  <conditionalFormatting sqref="M18:M19">
    <cfRule type="cellIs" dxfId="357" priority="8" operator="greaterThan">
      <formula>$L$3</formula>
    </cfRule>
  </conditionalFormatting>
  <conditionalFormatting sqref="L6:L7">
    <cfRule type="cellIs" dxfId="356" priority="7" operator="greaterThan">
      <formula>$L$3</formula>
    </cfRule>
  </conditionalFormatting>
  <conditionalFormatting sqref="L8:L9">
    <cfRule type="cellIs" dxfId="355" priority="6" operator="greaterThan">
      <formula>$L$3</formula>
    </cfRule>
  </conditionalFormatting>
  <conditionalFormatting sqref="L10:L11">
    <cfRule type="cellIs" dxfId="354" priority="5" operator="greaterThan">
      <formula>$L$3</formula>
    </cfRule>
  </conditionalFormatting>
  <conditionalFormatting sqref="L12:L13">
    <cfRule type="cellIs" dxfId="353" priority="4" operator="greaterThan">
      <formula>$L$3</formula>
    </cfRule>
  </conditionalFormatting>
  <conditionalFormatting sqref="L14:L15">
    <cfRule type="cellIs" dxfId="352" priority="3" operator="greaterThan">
      <formula>$L$3</formula>
    </cfRule>
  </conditionalFormatting>
  <conditionalFormatting sqref="L16:L17">
    <cfRule type="cellIs" dxfId="351" priority="2" operator="greaterThan">
      <formula>$L$3</formula>
    </cfRule>
  </conditionalFormatting>
  <conditionalFormatting sqref="L18:L19">
    <cfRule type="cellIs" dxfId="350" priority="1" operator="greaterThan">
      <formula>$L$3</formula>
    </cfRule>
  </conditionalFormatting>
  <pageMargins left="0.2" right="0.2" top="0.75" bottom="0.75" header="0.3" footer="0.3"/>
  <pageSetup scale="92"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255"/>
  <sheetViews>
    <sheetView zoomScale="70" zoomScaleNormal="70" workbookViewId="0">
      <selection activeCell="B28" sqref="B26:L28"/>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0.44140625" customWidth="1"/>
    <col min="12" max="12" width="18.6640625" hidden="1" customWidth="1"/>
    <col min="13" max="13" width="18.6640625" style="172" hidden="1" customWidth="1"/>
    <col min="14" max="14" width="18.6640625" hidden="1" customWidth="1"/>
    <col min="15" max="17" width="18.6640625" style="37" hidden="1" customWidth="1"/>
    <col min="18" max="23" width="18.6640625" hidden="1" customWidth="1"/>
    <col min="24" max="24" width="51.44140625" hidden="1" customWidth="1"/>
    <col min="25" max="29" width="18.6640625" hidden="1" customWidth="1"/>
    <col min="30" max="30" width="51.44140625" hidden="1" customWidth="1"/>
    <col min="31" max="32" width="11" hidden="1" customWidth="1"/>
    <col min="33" max="42" width="0" hidden="1" customWidth="1"/>
    <col min="43" max="44" width="9.109375" hidden="1" customWidth="1"/>
  </cols>
  <sheetData>
    <row r="1" spans="1:33" ht="15.75" thickBot="1" x14ac:dyDescent="0.3">
      <c r="M1" s="347" t="s">
        <v>0</v>
      </c>
      <c r="N1" s="348"/>
      <c r="O1" s="348"/>
      <c r="P1" s="348"/>
      <c r="Q1" s="348"/>
      <c r="R1" s="348"/>
      <c r="S1" s="348"/>
      <c r="T1" s="348"/>
      <c r="U1" s="348"/>
      <c r="V1" s="348"/>
      <c r="W1" s="348"/>
      <c r="X1" s="348"/>
      <c r="Y1" s="348"/>
      <c r="Z1" s="348"/>
      <c r="AA1" s="348"/>
      <c r="AB1" s="348"/>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127</v>
      </c>
      <c r="B3" s="11"/>
      <c r="C3" s="8"/>
      <c r="D3" s="8"/>
      <c r="E3" s="8"/>
      <c r="F3" s="8"/>
      <c r="G3" s="12">
        <v>41516</v>
      </c>
      <c r="H3" s="13">
        <f>$M$5/26</f>
        <v>0.16483516483516483</v>
      </c>
      <c r="I3" s="14"/>
      <c r="J3" s="216"/>
      <c r="K3" s="14"/>
      <c r="M3" s="15"/>
      <c r="N3" s="8"/>
      <c r="O3" s="9"/>
      <c r="P3" s="9"/>
      <c r="Q3" s="9"/>
      <c r="R3" s="8"/>
    </row>
    <row r="4" spans="1:33" ht="15.75" thickBot="1" x14ac:dyDescent="0.3">
      <c r="A4" s="16"/>
      <c r="B4" s="8"/>
      <c r="C4" s="8"/>
      <c r="D4" s="17"/>
      <c r="E4" s="8"/>
      <c r="F4" s="8"/>
      <c r="G4" s="18"/>
      <c r="H4" s="19"/>
      <c r="I4" s="8"/>
      <c r="J4" s="217"/>
      <c r="K4" s="8"/>
      <c r="M4" s="15">
        <f>G3-M2</f>
        <v>60</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4.2857142857142856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38</v>
      </c>
      <c r="C6" s="30">
        <f t="shared" ref="C6:C12" si="0">Q9</f>
        <v>2426.3700000000003</v>
      </c>
      <c r="D6" s="31">
        <v>1</v>
      </c>
      <c r="E6" s="30">
        <f t="shared" ref="E6:E12" si="1">C6*D6</f>
        <v>2426.3700000000003</v>
      </c>
      <c r="F6" s="30">
        <f t="shared" ref="F6:F12" si="2">C6-E6</f>
        <v>0</v>
      </c>
      <c r="G6" s="32"/>
      <c r="H6" s="33"/>
      <c r="I6" s="34"/>
      <c r="J6" s="218"/>
      <c r="K6" s="35"/>
      <c r="M6" s="8"/>
      <c r="N6" s="8"/>
      <c r="O6" t="s">
        <v>71</v>
      </c>
      <c r="P6">
        <v>1</v>
      </c>
      <c r="Q6">
        <v>14480.940000000017</v>
      </c>
      <c r="T6" s="16" t="s">
        <v>71</v>
      </c>
      <c r="U6" s="8">
        <f>Y6</f>
        <v>1</v>
      </c>
      <c r="V6" s="310">
        <f t="shared" ref="V6:V31" si="3">AA6</f>
        <v>14480.940000000017</v>
      </c>
      <c r="X6" t="s">
        <v>71</v>
      </c>
      <c r="Y6">
        <v>1</v>
      </c>
      <c r="Z6" t="s">
        <v>71</v>
      </c>
      <c r="AA6">
        <v>14480.940000000017</v>
      </c>
      <c r="AB6" s="19"/>
      <c r="AD6" t="s">
        <v>71</v>
      </c>
      <c r="AE6">
        <v>1</v>
      </c>
      <c r="AF6" t="s">
        <v>71</v>
      </c>
      <c r="AG6">
        <v>14480.940000000017</v>
      </c>
    </row>
    <row r="7" spans="1:33" ht="15" x14ac:dyDescent="0.25">
      <c r="A7" s="38" t="s">
        <v>16</v>
      </c>
      <c r="B7" s="39">
        <f t="shared" ref="B7:B12" si="4">P10</f>
        <v>24</v>
      </c>
      <c r="C7" s="40">
        <f t="shared" si="0"/>
        <v>2491.5099999999989</v>
      </c>
      <c r="D7" s="41">
        <v>1</v>
      </c>
      <c r="E7" s="40">
        <f t="shared" si="1"/>
        <v>2491.5099999999989</v>
      </c>
      <c r="F7" s="40">
        <f t="shared" si="2"/>
        <v>0</v>
      </c>
      <c r="G7" s="32"/>
      <c r="H7" s="33"/>
      <c r="I7" s="34"/>
      <c r="J7" s="218"/>
      <c r="K7" s="35"/>
      <c r="M7" s="8"/>
      <c r="N7" s="8"/>
      <c r="O7" t="s">
        <v>24</v>
      </c>
      <c r="P7">
        <v>21</v>
      </c>
      <c r="Q7">
        <v>19071.849999999999</v>
      </c>
      <c r="T7" s="16" t="s">
        <v>24</v>
      </c>
      <c r="U7" s="8">
        <f t="shared" ref="U7:U31" si="5">Y7</f>
        <v>21</v>
      </c>
      <c r="V7" s="310">
        <f t="shared" si="3"/>
        <v>19071.849999999999</v>
      </c>
      <c r="X7" t="s">
        <v>24</v>
      </c>
      <c r="Y7">
        <v>21</v>
      </c>
      <c r="Z7" t="s">
        <v>24</v>
      </c>
      <c r="AA7">
        <v>19071.849999999999</v>
      </c>
      <c r="AB7" s="19"/>
      <c r="AD7" t="s">
        <v>24</v>
      </c>
      <c r="AE7">
        <v>21</v>
      </c>
      <c r="AF7" t="s">
        <v>24</v>
      </c>
      <c r="AG7">
        <v>19071.849999999999</v>
      </c>
    </row>
    <row r="8" spans="1:33" ht="15" x14ac:dyDescent="0.25">
      <c r="A8" s="38" t="s">
        <v>17</v>
      </c>
      <c r="B8" s="39">
        <f t="shared" si="4"/>
        <v>26</v>
      </c>
      <c r="C8" s="40">
        <f t="shared" si="0"/>
        <v>4984.3099999999977</v>
      </c>
      <c r="D8" s="41">
        <v>0.3</v>
      </c>
      <c r="E8" s="40">
        <f t="shared" si="1"/>
        <v>1495.2929999999992</v>
      </c>
      <c r="F8" s="40">
        <f t="shared" si="2"/>
        <v>3489.0169999999985</v>
      </c>
      <c r="G8" s="32"/>
      <c r="H8" s="33"/>
      <c r="I8" s="34"/>
      <c r="J8" s="218"/>
      <c r="K8" s="35"/>
      <c r="M8" s="8"/>
      <c r="N8" s="8"/>
      <c r="O8" t="s">
        <v>76</v>
      </c>
      <c r="P8">
        <v>1</v>
      </c>
      <c r="Q8">
        <v>2570.9099999999989</v>
      </c>
      <c r="T8" s="16" t="s">
        <v>76</v>
      </c>
      <c r="U8" s="8">
        <f t="shared" si="5"/>
        <v>1</v>
      </c>
      <c r="V8" s="310">
        <f t="shared" si="3"/>
        <v>2570.9099999999989</v>
      </c>
      <c r="X8" t="s">
        <v>76</v>
      </c>
      <c r="Y8">
        <v>1</v>
      </c>
      <c r="Z8" t="s">
        <v>76</v>
      </c>
      <c r="AA8">
        <v>2570.9099999999989</v>
      </c>
      <c r="AB8" s="19"/>
      <c r="AD8" t="s">
        <v>76</v>
      </c>
      <c r="AE8">
        <v>1</v>
      </c>
      <c r="AF8" t="s">
        <v>76</v>
      </c>
      <c r="AG8">
        <v>2570.9099999999989</v>
      </c>
    </row>
    <row r="9" spans="1:33" ht="15" x14ac:dyDescent="0.25">
      <c r="A9" s="38" t="s">
        <v>18</v>
      </c>
      <c r="B9" s="39">
        <f t="shared" si="4"/>
        <v>173</v>
      </c>
      <c r="C9" s="40">
        <f t="shared" si="0"/>
        <v>101008.38</v>
      </c>
      <c r="D9" s="41">
        <v>1</v>
      </c>
      <c r="E9" s="40">
        <f t="shared" si="1"/>
        <v>101008.38</v>
      </c>
      <c r="F9" s="40">
        <f t="shared" si="2"/>
        <v>0</v>
      </c>
      <c r="G9" s="32"/>
      <c r="H9" s="33"/>
      <c r="I9" s="34"/>
      <c r="J9" s="218"/>
      <c r="K9" s="35"/>
      <c r="M9" s="8"/>
      <c r="N9" s="8"/>
      <c r="O9" t="s">
        <v>15</v>
      </c>
      <c r="P9">
        <v>38</v>
      </c>
      <c r="Q9">
        <v>2426.3700000000003</v>
      </c>
      <c r="T9" s="16" t="s">
        <v>15</v>
      </c>
      <c r="U9" s="8">
        <f t="shared" si="5"/>
        <v>38</v>
      </c>
      <c r="V9" s="310">
        <f t="shared" si="3"/>
        <v>2426.3700000000003</v>
      </c>
      <c r="X9" t="s">
        <v>15</v>
      </c>
      <c r="Y9">
        <v>38</v>
      </c>
      <c r="Z9" t="s">
        <v>15</v>
      </c>
      <c r="AA9">
        <v>2426.3700000000003</v>
      </c>
      <c r="AB9" s="19"/>
      <c r="AD9" t="s">
        <v>15</v>
      </c>
      <c r="AE9">
        <v>38</v>
      </c>
      <c r="AF9" t="s">
        <v>15</v>
      </c>
      <c r="AG9">
        <v>2426.3700000000003</v>
      </c>
    </row>
    <row r="10" spans="1:33" ht="15" x14ac:dyDescent="0.25">
      <c r="A10" s="38" t="s">
        <v>19</v>
      </c>
      <c r="B10" s="39">
        <f t="shared" si="4"/>
        <v>27</v>
      </c>
      <c r="C10" s="40">
        <f t="shared" si="0"/>
        <v>23124.489999999994</v>
      </c>
      <c r="D10" s="41">
        <v>0.3</v>
      </c>
      <c r="E10" s="40">
        <f t="shared" si="1"/>
        <v>6937.3469999999979</v>
      </c>
      <c r="F10" s="40">
        <f t="shared" si="2"/>
        <v>16187.142999999996</v>
      </c>
      <c r="G10" s="32"/>
      <c r="H10" s="42"/>
      <c r="I10" s="43"/>
      <c r="J10" s="219"/>
      <c r="K10" s="44"/>
      <c r="L10" s="45"/>
      <c r="M10" s="8"/>
      <c r="N10" s="8"/>
      <c r="O10" s="38" t="s">
        <v>16</v>
      </c>
      <c r="P10">
        <v>24</v>
      </c>
      <c r="Q10">
        <v>2491.5099999999989</v>
      </c>
      <c r="T10" s="16" t="s">
        <v>16</v>
      </c>
      <c r="U10" s="8">
        <f t="shared" si="5"/>
        <v>24</v>
      </c>
      <c r="V10" s="310">
        <f t="shared" si="3"/>
        <v>2491.5099999999989</v>
      </c>
      <c r="X10" t="s">
        <v>16</v>
      </c>
      <c r="Y10">
        <v>24</v>
      </c>
      <c r="Z10" t="s">
        <v>16</v>
      </c>
      <c r="AA10">
        <v>2491.5099999999989</v>
      </c>
      <c r="AB10" s="19"/>
      <c r="AD10" t="s">
        <v>16</v>
      </c>
      <c r="AE10">
        <v>24</v>
      </c>
      <c r="AF10" t="s">
        <v>16</v>
      </c>
      <c r="AG10">
        <v>2491.5099999999989</v>
      </c>
    </row>
    <row r="11" spans="1:33" ht="15" x14ac:dyDescent="0.25">
      <c r="A11" s="38" t="s">
        <v>20</v>
      </c>
      <c r="B11" s="39">
        <f t="shared" si="4"/>
        <v>834</v>
      </c>
      <c r="C11" s="40">
        <f t="shared" si="0"/>
        <v>380072.86999999883</v>
      </c>
      <c r="D11" s="41">
        <v>1</v>
      </c>
      <c r="E11" s="40">
        <f t="shared" si="1"/>
        <v>380072.86999999883</v>
      </c>
      <c r="F11" s="40">
        <f t="shared" si="2"/>
        <v>0</v>
      </c>
      <c r="G11" s="32"/>
      <c r="H11" s="42"/>
      <c r="I11" s="43"/>
      <c r="J11" s="219"/>
      <c r="K11" s="44"/>
      <c r="M11" s="8"/>
      <c r="N11" s="8"/>
      <c r="O11" t="s">
        <v>17</v>
      </c>
      <c r="P11">
        <v>26</v>
      </c>
      <c r="Q11">
        <v>4984.3099999999977</v>
      </c>
      <c r="T11" s="16" t="s">
        <v>17</v>
      </c>
      <c r="U11" s="8">
        <f t="shared" si="5"/>
        <v>26</v>
      </c>
      <c r="V11" s="310">
        <f t="shared" si="3"/>
        <v>4984.3099999999977</v>
      </c>
      <c r="X11" t="s">
        <v>17</v>
      </c>
      <c r="Y11">
        <v>26</v>
      </c>
      <c r="Z11" t="s">
        <v>17</v>
      </c>
      <c r="AA11">
        <v>4984.3099999999977</v>
      </c>
      <c r="AB11" s="19"/>
      <c r="AD11" t="s">
        <v>17</v>
      </c>
      <c r="AE11">
        <v>26</v>
      </c>
      <c r="AF11" t="s">
        <v>17</v>
      </c>
      <c r="AG11">
        <v>4984.3099999999977</v>
      </c>
    </row>
    <row r="12" spans="1:33" ht="15" x14ac:dyDescent="0.25">
      <c r="A12" s="38" t="s">
        <v>21</v>
      </c>
      <c r="B12" s="39">
        <f t="shared" si="4"/>
        <v>97</v>
      </c>
      <c r="C12" s="40">
        <f t="shared" si="0"/>
        <v>53024.749999999993</v>
      </c>
      <c r="D12" s="41">
        <v>0.3</v>
      </c>
      <c r="E12" s="40">
        <f t="shared" si="1"/>
        <v>15907.424999999997</v>
      </c>
      <c r="F12" s="40">
        <f t="shared" si="2"/>
        <v>37117.324999999997</v>
      </c>
      <c r="G12" s="32"/>
      <c r="H12" s="42"/>
      <c r="I12" s="43"/>
      <c r="J12" s="219"/>
      <c r="K12" s="44"/>
      <c r="M12" s="8"/>
      <c r="N12" s="8"/>
      <c r="O12" t="s">
        <v>18</v>
      </c>
      <c r="P12">
        <v>173</v>
      </c>
      <c r="Q12">
        <v>101008.38</v>
      </c>
      <c r="T12" s="16" t="s">
        <v>18</v>
      </c>
      <c r="U12" s="8">
        <f t="shared" si="5"/>
        <v>173</v>
      </c>
      <c r="V12" s="310">
        <f t="shared" si="3"/>
        <v>101008.38</v>
      </c>
      <c r="X12" t="s">
        <v>18</v>
      </c>
      <c r="Y12">
        <v>173</v>
      </c>
      <c r="Z12" t="s">
        <v>18</v>
      </c>
      <c r="AA12">
        <v>101008.38</v>
      </c>
      <c r="AB12" s="19"/>
      <c r="AD12" t="s">
        <v>18</v>
      </c>
      <c r="AE12">
        <v>173</v>
      </c>
      <c r="AF12" t="s">
        <v>18</v>
      </c>
      <c r="AG12">
        <v>101008.38</v>
      </c>
    </row>
    <row r="13" spans="1:33" ht="15" customHeight="1" thickBot="1" x14ac:dyDescent="0.3">
      <c r="A13" s="46" t="s">
        <v>22</v>
      </c>
      <c r="B13" s="47">
        <f>SUM(B6:B12)</f>
        <v>1219</v>
      </c>
      <c r="C13" s="48">
        <f>SUM(C6:C12)</f>
        <v>567132.67999999877</v>
      </c>
      <c r="D13" s="49"/>
      <c r="E13" s="48">
        <f>SUM(E6:E12)</f>
        <v>510339.19499999884</v>
      </c>
      <c r="F13" s="50">
        <f>SUM(F6:F12)</f>
        <v>56793.484999999993</v>
      </c>
      <c r="G13" s="51">
        <v>2724921</v>
      </c>
      <c r="H13" s="52">
        <f>E13/G13</f>
        <v>0.18728586810406572</v>
      </c>
      <c r="I13" s="53"/>
      <c r="J13" s="220">
        <f>(H13/H$3)*G$13</f>
        <v>3096057.7829999933</v>
      </c>
      <c r="K13" s="55">
        <f>J13-G13</f>
        <v>371136.7829999933</v>
      </c>
      <c r="M13" s="8"/>
      <c r="N13" s="8"/>
      <c r="O13" t="s">
        <v>19</v>
      </c>
      <c r="P13">
        <v>27</v>
      </c>
      <c r="Q13">
        <v>23124.489999999994</v>
      </c>
      <c r="T13" s="16" t="s">
        <v>19</v>
      </c>
      <c r="U13" s="8">
        <f>Y13</f>
        <v>27</v>
      </c>
      <c r="V13" s="310">
        <f t="shared" si="3"/>
        <v>23124.489999999994</v>
      </c>
      <c r="X13" t="s">
        <v>19</v>
      </c>
      <c r="Y13">
        <v>27</v>
      </c>
      <c r="Z13" t="s">
        <v>19</v>
      </c>
      <c r="AA13">
        <v>23124.489999999994</v>
      </c>
      <c r="AB13" s="19"/>
      <c r="AD13" t="s">
        <v>19</v>
      </c>
      <c r="AE13">
        <v>27</v>
      </c>
      <c r="AF13" t="s">
        <v>19</v>
      </c>
      <c r="AG13">
        <v>23124.489999999994</v>
      </c>
    </row>
    <row r="14" spans="1:33" ht="15" thickBot="1" x14ac:dyDescent="0.35">
      <c r="A14" s="57"/>
      <c r="B14" s="58"/>
      <c r="C14" s="59"/>
      <c r="D14" s="60"/>
      <c r="E14" s="59"/>
      <c r="F14" s="59"/>
      <c r="G14" s="61"/>
      <c r="H14" s="62"/>
      <c r="I14" s="63"/>
      <c r="J14" s="349"/>
      <c r="K14" s="338"/>
      <c r="M14" s="8"/>
      <c r="N14" s="8"/>
      <c r="O14" t="s">
        <v>20</v>
      </c>
      <c r="P14">
        <v>834</v>
      </c>
      <c r="Q14">
        <v>380072.86999999883</v>
      </c>
      <c r="T14" s="16" t="s">
        <v>20</v>
      </c>
      <c r="U14" s="8">
        <f t="shared" si="5"/>
        <v>834</v>
      </c>
      <c r="V14" s="310">
        <f t="shared" si="3"/>
        <v>380072.86999999883</v>
      </c>
      <c r="X14" t="s">
        <v>20</v>
      </c>
      <c r="Y14">
        <v>834</v>
      </c>
      <c r="Z14" t="s">
        <v>20</v>
      </c>
      <c r="AA14">
        <v>380072.86999999883</v>
      </c>
      <c r="AB14" s="19"/>
      <c r="AD14" t="s">
        <v>20</v>
      </c>
      <c r="AE14">
        <v>834</v>
      </c>
      <c r="AF14" t="s">
        <v>20</v>
      </c>
      <c r="AG14">
        <v>380072.86999999883</v>
      </c>
    </row>
    <row r="15" spans="1:33" x14ac:dyDescent="0.3">
      <c r="A15" s="65" t="s">
        <v>23</v>
      </c>
      <c r="B15" s="66">
        <f>P7</f>
        <v>21</v>
      </c>
      <c r="C15" s="67">
        <f t="shared" ref="C15:C16" si="6">Q7</f>
        <v>19071.849999999999</v>
      </c>
      <c r="D15" s="68">
        <v>1</v>
      </c>
      <c r="E15" s="67">
        <f>C15*D15</f>
        <v>19071.849999999999</v>
      </c>
      <c r="F15" s="67">
        <v>0</v>
      </c>
      <c r="G15" s="69"/>
      <c r="H15" s="70"/>
      <c r="I15" s="71"/>
      <c r="J15" s="339"/>
      <c r="K15" s="340"/>
      <c r="M15" s="8"/>
      <c r="N15" s="8"/>
      <c r="O15" t="s">
        <v>21</v>
      </c>
      <c r="P15">
        <v>97</v>
      </c>
      <c r="Q15">
        <v>53024.749999999993</v>
      </c>
      <c r="T15" s="16" t="s">
        <v>21</v>
      </c>
      <c r="U15" s="8">
        <f t="shared" si="5"/>
        <v>97</v>
      </c>
      <c r="V15" s="310">
        <f t="shared" si="3"/>
        <v>53024.749999999993</v>
      </c>
      <c r="X15" t="s">
        <v>21</v>
      </c>
      <c r="Y15">
        <v>97</v>
      </c>
      <c r="Z15" t="s">
        <v>21</v>
      </c>
      <c r="AA15">
        <v>53024.749999999993</v>
      </c>
      <c r="AB15" s="19"/>
      <c r="AD15" t="s">
        <v>21</v>
      </c>
      <c r="AE15">
        <v>97</v>
      </c>
      <c r="AF15" t="s">
        <v>21</v>
      </c>
      <c r="AG15">
        <v>53024.749999999993</v>
      </c>
    </row>
    <row r="16" spans="1:33" x14ac:dyDescent="0.3">
      <c r="A16" s="72" t="s">
        <v>25</v>
      </c>
      <c r="B16" s="39">
        <f t="shared" ref="B16" si="7">P8</f>
        <v>1</v>
      </c>
      <c r="C16" s="40">
        <f t="shared" si="6"/>
        <v>2570.9099999999989</v>
      </c>
      <c r="D16" s="73">
        <v>0.3</v>
      </c>
      <c r="E16" s="40">
        <f>C16*D16</f>
        <v>771.27299999999968</v>
      </c>
      <c r="F16" s="40">
        <f>C16-E16</f>
        <v>1799.6369999999993</v>
      </c>
      <c r="G16" s="69"/>
      <c r="H16" s="70"/>
      <c r="I16" s="71"/>
      <c r="J16" s="341"/>
      <c r="K16" s="342"/>
      <c r="M16" s="8"/>
      <c r="N16" s="8"/>
      <c r="O16" s="16" t="s">
        <v>80</v>
      </c>
      <c r="P16">
        <v>0</v>
      </c>
      <c r="Q16">
        <v>0</v>
      </c>
      <c r="T16" s="16" t="s">
        <v>80</v>
      </c>
      <c r="U16" s="8">
        <f t="shared" si="5"/>
        <v>0</v>
      </c>
      <c r="V16" s="310">
        <f t="shared" si="3"/>
        <v>0</v>
      </c>
      <c r="AB16" s="19"/>
    </row>
    <row r="17" spans="1:33" ht="15" customHeight="1" thickBot="1" x14ac:dyDescent="0.3">
      <c r="A17" s="74" t="s">
        <v>26</v>
      </c>
      <c r="B17" s="75">
        <f>SUM(B15:B16)</f>
        <v>22</v>
      </c>
      <c r="C17" s="76">
        <f>SUM(C15:C16)</f>
        <v>21642.76</v>
      </c>
      <c r="D17" s="77"/>
      <c r="E17" s="76">
        <f>SUM(E15:E16)</f>
        <v>19843.123</v>
      </c>
      <c r="F17" s="76">
        <f>F16</f>
        <v>1799.6369999999993</v>
      </c>
      <c r="G17" s="78">
        <v>100000</v>
      </c>
      <c r="H17" s="79">
        <f>E17/G17</f>
        <v>0.19843122999999999</v>
      </c>
      <c r="I17" s="80"/>
      <c r="J17" s="221">
        <f>(H17/H$3)*G$13</f>
        <v>3280303.8491425021</v>
      </c>
      <c r="K17" s="81">
        <f>J17-G17</f>
        <v>3180303.8491425021</v>
      </c>
      <c r="M17" s="8"/>
      <c r="N17" s="8"/>
      <c r="O17" t="s">
        <v>72</v>
      </c>
      <c r="P17">
        <v>214</v>
      </c>
      <c r="Q17">
        <v>105432.89999999988</v>
      </c>
      <c r="T17" s="16" t="s">
        <v>72</v>
      </c>
      <c r="U17" s="8">
        <f t="shared" si="5"/>
        <v>214</v>
      </c>
      <c r="V17" s="310">
        <f t="shared" si="3"/>
        <v>105432.89999999988</v>
      </c>
      <c r="X17" t="s">
        <v>72</v>
      </c>
      <c r="Y17">
        <v>214</v>
      </c>
      <c r="Z17" t="s">
        <v>72</v>
      </c>
      <c r="AA17">
        <v>105432.89999999988</v>
      </c>
      <c r="AB17" s="19"/>
      <c r="AD17" t="s">
        <v>72</v>
      </c>
      <c r="AE17">
        <v>214</v>
      </c>
      <c r="AF17" t="s">
        <v>72</v>
      </c>
      <c r="AG17">
        <v>105432.89999999988</v>
      </c>
    </row>
    <row r="18" spans="1:33" ht="15" thickBot="1" x14ac:dyDescent="0.35">
      <c r="A18" s="57"/>
      <c r="B18" s="82"/>
      <c r="C18" s="61"/>
      <c r="D18" s="83"/>
      <c r="E18" s="61"/>
      <c r="F18" s="61"/>
      <c r="G18" s="61"/>
      <c r="H18" s="62"/>
      <c r="I18" s="63"/>
      <c r="J18" s="349"/>
      <c r="K18" s="338"/>
      <c r="M18" s="8"/>
      <c r="N18" s="8"/>
      <c r="O18" t="s">
        <v>31</v>
      </c>
      <c r="P18">
        <v>73</v>
      </c>
      <c r="Q18">
        <v>37833.520000000011</v>
      </c>
      <c r="T18" s="16" t="s">
        <v>31</v>
      </c>
      <c r="U18" s="8">
        <f t="shared" si="5"/>
        <v>73</v>
      </c>
      <c r="V18" s="310">
        <f t="shared" si="3"/>
        <v>37833.520000000011</v>
      </c>
      <c r="X18" t="s">
        <v>31</v>
      </c>
      <c r="Y18">
        <v>73</v>
      </c>
      <c r="Z18" t="s">
        <v>31</v>
      </c>
      <c r="AA18">
        <v>37833.520000000011</v>
      </c>
      <c r="AB18" s="19"/>
      <c r="AD18" t="s">
        <v>31</v>
      </c>
      <c r="AE18">
        <v>73</v>
      </c>
      <c r="AF18" t="s">
        <v>31</v>
      </c>
      <c r="AG18">
        <v>37833.520000000011</v>
      </c>
    </row>
    <row r="19" spans="1:33" x14ac:dyDescent="0.3">
      <c r="A19" s="65" t="s">
        <v>27</v>
      </c>
      <c r="B19" s="66"/>
      <c r="C19" s="67"/>
      <c r="D19" s="68">
        <v>1</v>
      </c>
      <c r="E19" s="67">
        <f>C19*D19</f>
        <v>0</v>
      </c>
      <c r="F19" s="67">
        <v>0</v>
      </c>
      <c r="G19" s="69"/>
      <c r="H19" s="70"/>
      <c r="I19" s="71"/>
      <c r="J19" s="339"/>
      <c r="K19" s="340"/>
      <c r="M19" s="8"/>
      <c r="N19" s="8"/>
      <c r="O19" t="s">
        <v>73</v>
      </c>
      <c r="P19">
        <v>132</v>
      </c>
      <c r="Q19">
        <v>93443.91</v>
      </c>
      <c r="T19" s="16" t="s">
        <v>73</v>
      </c>
      <c r="U19" s="8">
        <f t="shared" si="5"/>
        <v>132</v>
      </c>
      <c r="V19" s="310">
        <f t="shared" si="3"/>
        <v>93443.91</v>
      </c>
      <c r="X19" t="s">
        <v>73</v>
      </c>
      <c r="Y19">
        <v>132</v>
      </c>
      <c r="Z19" t="s">
        <v>73</v>
      </c>
      <c r="AA19">
        <v>93443.91</v>
      </c>
      <c r="AB19" s="19"/>
      <c r="AD19" t="s">
        <v>73</v>
      </c>
      <c r="AE19">
        <v>132</v>
      </c>
      <c r="AF19" t="s">
        <v>73</v>
      </c>
      <c r="AG19">
        <v>93443.91</v>
      </c>
    </row>
    <row r="20" spans="1:33" x14ac:dyDescent="0.3">
      <c r="A20" s="72" t="s">
        <v>28</v>
      </c>
      <c r="B20" s="39">
        <f>P6</f>
        <v>1</v>
      </c>
      <c r="C20" s="40">
        <f>Q6</f>
        <v>14480.940000000017</v>
      </c>
      <c r="D20" s="73">
        <v>0.3</v>
      </c>
      <c r="E20" s="40">
        <f>C20*D20</f>
        <v>4344.2820000000047</v>
      </c>
      <c r="F20" s="40">
        <f>C20-E20</f>
        <v>10136.658000000012</v>
      </c>
      <c r="G20" s="69"/>
      <c r="H20" s="70"/>
      <c r="I20" s="71"/>
      <c r="J20" s="341"/>
      <c r="K20" s="342"/>
      <c r="M20" s="8"/>
      <c r="N20" s="8"/>
      <c r="O20" t="s">
        <v>74</v>
      </c>
      <c r="P20">
        <v>22</v>
      </c>
      <c r="Q20">
        <v>16649.400000000001</v>
      </c>
      <c r="T20" s="16" t="s">
        <v>74</v>
      </c>
      <c r="U20" s="8">
        <f t="shared" si="5"/>
        <v>22</v>
      </c>
      <c r="V20" s="310">
        <f t="shared" si="3"/>
        <v>16649.400000000001</v>
      </c>
      <c r="X20" t="s">
        <v>74</v>
      </c>
      <c r="Y20">
        <v>22</v>
      </c>
      <c r="Z20" t="s">
        <v>74</v>
      </c>
      <c r="AA20">
        <v>16649.400000000001</v>
      </c>
      <c r="AB20" s="19"/>
      <c r="AD20" t="s">
        <v>74</v>
      </c>
      <c r="AE20">
        <v>22</v>
      </c>
      <c r="AF20" t="s">
        <v>74</v>
      </c>
      <c r="AG20">
        <v>16649.400000000001</v>
      </c>
    </row>
    <row r="21" spans="1:33" ht="15" customHeight="1" thickBot="1" x14ac:dyDescent="0.3">
      <c r="A21" s="74" t="s">
        <v>29</v>
      </c>
      <c r="B21" s="75">
        <f>SUM(B19:B20)</f>
        <v>1</v>
      </c>
      <c r="C21" s="76">
        <f>SUM(C19:C20)</f>
        <v>14480.940000000017</v>
      </c>
      <c r="D21" s="77"/>
      <c r="E21" s="76">
        <f>SUM(E19:E20)</f>
        <v>4344.2820000000047</v>
      </c>
      <c r="F21" s="76">
        <f>F20</f>
        <v>10136.658000000012</v>
      </c>
      <c r="G21" s="78">
        <v>100000</v>
      </c>
      <c r="H21" s="79">
        <f>E21/G21</f>
        <v>4.3442820000000049E-2</v>
      </c>
      <c r="I21" s="80"/>
      <c r="J21" s="221">
        <v>1210.4083079629038</v>
      </c>
      <c r="K21" s="81">
        <v>-399744.59169203712</v>
      </c>
      <c r="M21" s="8"/>
      <c r="N21" s="8"/>
      <c r="O21" t="s">
        <v>38</v>
      </c>
      <c r="P21">
        <v>389</v>
      </c>
      <c r="Q21">
        <v>140192.57999999978</v>
      </c>
      <c r="T21" s="16" t="s">
        <v>38</v>
      </c>
      <c r="U21" s="8">
        <f t="shared" si="5"/>
        <v>389</v>
      </c>
      <c r="V21" s="310">
        <f t="shared" si="3"/>
        <v>140192.57999999978</v>
      </c>
      <c r="X21" t="s">
        <v>38</v>
      </c>
      <c r="Y21">
        <v>389</v>
      </c>
      <c r="Z21" t="s">
        <v>38</v>
      </c>
      <c r="AA21">
        <v>140192.57999999978</v>
      </c>
      <c r="AB21" s="19"/>
      <c r="AD21" t="s">
        <v>38</v>
      </c>
      <c r="AE21">
        <v>389</v>
      </c>
      <c r="AF21" t="s">
        <v>38</v>
      </c>
      <c r="AG21">
        <v>140192.57999999978</v>
      </c>
    </row>
    <row r="22" spans="1:33" ht="15" thickBot="1" x14ac:dyDescent="0.35">
      <c r="A22" s="57"/>
      <c r="B22" s="82"/>
      <c r="C22" s="61"/>
      <c r="D22" s="83"/>
      <c r="E22" s="61"/>
      <c r="F22" s="61"/>
      <c r="G22" s="61"/>
      <c r="H22" s="62"/>
      <c r="I22" s="63"/>
      <c r="J22" s="349"/>
      <c r="K22" s="338"/>
      <c r="M22" s="8"/>
      <c r="N22" s="8"/>
      <c r="O22" t="s">
        <v>40</v>
      </c>
      <c r="P22">
        <v>53</v>
      </c>
      <c r="Q22">
        <v>51846.580000000024</v>
      </c>
      <c r="T22" s="16" t="s">
        <v>40</v>
      </c>
      <c r="U22" s="8">
        <f t="shared" si="5"/>
        <v>53</v>
      </c>
      <c r="V22" s="310">
        <f t="shared" si="3"/>
        <v>51846.580000000024</v>
      </c>
      <c r="X22" t="s">
        <v>40</v>
      </c>
      <c r="Y22">
        <v>53</v>
      </c>
      <c r="Z22" t="s">
        <v>40</v>
      </c>
      <c r="AA22">
        <v>51846.580000000024</v>
      </c>
      <c r="AB22" s="19"/>
      <c r="AD22" t="s">
        <v>40</v>
      </c>
      <c r="AE22">
        <v>53</v>
      </c>
      <c r="AF22" t="s">
        <v>40</v>
      </c>
      <c r="AG22">
        <v>51846.580000000024</v>
      </c>
    </row>
    <row r="23" spans="1:33" x14ac:dyDescent="0.3">
      <c r="A23" s="84" t="s">
        <v>30</v>
      </c>
      <c r="B23" s="85">
        <f>P17</f>
        <v>214</v>
      </c>
      <c r="C23" s="86">
        <f t="shared" ref="C23:C24" si="8">Q17</f>
        <v>105432.89999999988</v>
      </c>
      <c r="D23" s="87">
        <v>1</v>
      </c>
      <c r="E23" s="86">
        <f>C23*D23</f>
        <v>105432.89999999988</v>
      </c>
      <c r="F23" s="88"/>
      <c r="G23" s="89"/>
      <c r="H23" s="90"/>
      <c r="I23" s="91"/>
      <c r="J23" s="339"/>
      <c r="K23" s="340"/>
      <c r="M23" s="8"/>
      <c r="N23" s="8"/>
      <c r="O23" t="s">
        <v>58</v>
      </c>
      <c r="P23">
        <v>895</v>
      </c>
      <c r="Q23">
        <v>412182.31999999902</v>
      </c>
      <c r="T23" s="16" t="s">
        <v>58</v>
      </c>
      <c r="U23" s="8">
        <f t="shared" si="5"/>
        <v>895</v>
      </c>
      <c r="V23" s="310">
        <f t="shared" si="3"/>
        <v>412182.31999999902</v>
      </c>
      <c r="X23" t="s">
        <v>58</v>
      </c>
      <c r="Y23">
        <v>895</v>
      </c>
      <c r="Z23" t="s">
        <v>58</v>
      </c>
      <c r="AA23">
        <v>412182.31999999902</v>
      </c>
      <c r="AB23" s="19"/>
      <c r="AD23" t="s">
        <v>58</v>
      </c>
      <c r="AE23">
        <v>895</v>
      </c>
      <c r="AF23" t="s">
        <v>58</v>
      </c>
      <c r="AG23">
        <v>412182.31999999902</v>
      </c>
    </row>
    <row r="24" spans="1:33" x14ac:dyDescent="0.3">
      <c r="A24" s="84" t="s">
        <v>32</v>
      </c>
      <c r="B24" s="85">
        <f t="shared" ref="B24" si="9">P18</f>
        <v>73</v>
      </c>
      <c r="C24" s="93">
        <f t="shared" si="8"/>
        <v>37833.520000000011</v>
      </c>
      <c r="D24" s="94">
        <v>0.3</v>
      </c>
      <c r="E24" s="93">
        <f>C24*D24</f>
        <v>11350.056000000002</v>
      </c>
      <c r="F24" s="95">
        <f>C24-E24</f>
        <v>26483.464000000007</v>
      </c>
      <c r="G24" s="96"/>
      <c r="H24" s="97"/>
      <c r="I24" s="91"/>
      <c r="J24" s="341"/>
      <c r="K24" s="342"/>
      <c r="M24" s="8"/>
      <c r="N24" s="8"/>
      <c r="O24" t="s">
        <v>43</v>
      </c>
      <c r="P24">
        <v>129</v>
      </c>
      <c r="Q24">
        <v>135627.85999999996</v>
      </c>
      <c r="T24" s="16" t="s">
        <v>43</v>
      </c>
      <c r="U24" s="8">
        <f t="shared" si="5"/>
        <v>129</v>
      </c>
      <c r="V24" s="310">
        <f t="shared" si="3"/>
        <v>135627.85999999996</v>
      </c>
      <c r="X24" t="s">
        <v>43</v>
      </c>
      <c r="Y24">
        <v>129</v>
      </c>
      <c r="Z24" t="s">
        <v>43</v>
      </c>
      <c r="AA24">
        <v>135627.85999999996</v>
      </c>
      <c r="AB24" s="19"/>
      <c r="AD24" t="s">
        <v>43</v>
      </c>
      <c r="AE24">
        <v>129</v>
      </c>
      <c r="AF24" t="s">
        <v>43</v>
      </c>
      <c r="AG24">
        <v>135627.85999999996</v>
      </c>
    </row>
    <row r="25" spans="1:33" ht="15" customHeight="1" thickBot="1" x14ac:dyDescent="0.3">
      <c r="A25" s="74" t="s">
        <v>33</v>
      </c>
      <c r="B25" s="75">
        <f>SUM(B23:B24)</f>
        <v>287</v>
      </c>
      <c r="C25" s="76">
        <f>SUM(C23:C24)</f>
        <v>143266.4199999999</v>
      </c>
      <c r="D25" s="77"/>
      <c r="E25" s="76">
        <f>SUM(E23:E24)</f>
        <v>116782.95599999987</v>
      </c>
      <c r="F25" s="76">
        <f>F24</f>
        <v>26483.464000000007</v>
      </c>
      <c r="G25" s="78">
        <v>750000</v>
      </c>
      <c r="H25" s="79">
        <f>E25/G25</f>
        <v>0.15571060799999983</v>
      </c>
      <c r="I25" s="80"/>
      <c r="J25" s="221">
        <f>(H25/H$3)*G$13</f>
        <v>2574081.2410159367</v>
      </c>
      <c r="K25" s="81">
        <f>J25-G25</f>
        <v>1824081.2410159367</v>
      </c>
      <c r="M25" s="8"/>
      <c r="N25" s="8"/>
      <c r="O25" t="s">
        <v>45</v>
      </c>
      <c r="P25">
        <v>149</v>
      </c>
      <c r="Q25">
        <v>183415.58000000007</v>
      </c>
      <c r="T25" s="16" t="s">
        <v>45</v>
      </c>
      <c r="U25" s="8">
        <f t="shared" si="5"/>
        <v>149</v>
      </c>
      <c r="V25" s="310">
        <f t="shared" si="3"/>
        <v>183415.58000000007</v>
      </c>
      <c r="X25" t="s">
        <v>45</v>
      </c>
      <c r="Y25">
        <v>149</v>
      </c>
      <c r="Z25" t="s">
        <v>45</v>
      </c>
      <c r="AA25">
        <v>183415.58000000007</v>
      </c>
      <c r="AB25" s="19"/>
      <c r="AD25" t="s">
        <v>45</v>
      </c>
      <c r="AE25">
        <v>149</v>
      </c>
      <c r="AF25" t="s">
        <v>45</v>
      </c>
      <c r="AG25">
        <v>183415.58000000007</v>
      </c>
    </row>
    <row r="26" spans="1:33" ht="15" thickBot="1" x14ac:dyDescent="0.35">
      <c r="A26" s="57"/>
      <c r="B26" s="82"/>
      <c r="C26" s="61"/>
      <c r="D26" s="83"/>
      <c r="E26" s="61"/>
      <c r="F26" s="61"/>
      <c r="G26" s="61"/>
      <c r="H26" s="62"/>
      <c r="I26" s="63"/>
      <c r="J26" s="337"/>
      <c r="K26" s="350"/>
      <c r="M26" s="8"/>
      <c r="N26" s="8"/>
      <c r="O26" t="s">
        <v>48</v>
      </c>
      <c r="P26">
        <v>74</v>
      </c>
      <c r="Q26">
        <v>60519</v>
      </c>
      <c r="T26" s="16" t="s">
        <v>48</v>
      </c>
      <c r="U26" s="8">
        <f t="shared" si="5"/>
        <v>74</v>
      </c>
      <c r="V26" s="310">
        <f t="shared" si="3"/>
        <v>60519</v>
      </c>
      <c r="X26" t="s">
        <v>48</v>
      </c>
      <c r="Y26">
        <v>74</v>
      </c>
      <c r="Z26" t="s">
        <v>48</v>
      </c>
      <c r="AA26">
        <v>60519</v>
      </c>
      <c r="AB26" s="19"/>
      <c r="AD26" t="s">
        <v>48</v>
      </c>
      <c r="AE26">
        <v>74</v>
      </c>
      <c r="AF26" t="s">
        <v>48</v>
      </c>
      <c r="AG26">
        <v>60519</v>
      </c>
    </row>
    <row r="27" spans="1:33" x14ac:dyDescent="0.3">
      <c r="A27" s="65" t="s">
        <v>34</v>
      </c>
      <c r="B27" s="98">
        <f>P19</f>
        <v>132</v>
      </c>
      <c r="C27" s="99">
        <f t="shared" ref="C27:C28" si="10">Q19</f>
        <v>93443.91</v>
      </c>
      <c r="D27" s="100">
        <v>1</v>
      </c>
      <c r="E27" s="101">
        <f>C27*D27</f>
        <v>93443.91</v>
      </c>
      <c r="F27" s="101">
        <v>0</v>
      </c>
      <c r="G27" s="69"/>
      <c r="H27" s="70"/>
      <c r="I27" s="71"/>
      <c r="J27" s="351"/>
      <c r="K27" s="352"/>
      <c r="M27" s="8"/>
      <c r="N27" s="8"/>
      <c r="O27" t="s">
        <v>50</v>
      </c>
      <c r="P27">
        <v>24</v>
      </c>
      <c r="Q27">
        <v>13355.929999999998</v>
      </c>
      <c r="T27" s="16" t="s">
        <v>50</v>
      </c>
      <c r="U27" s="8">
        <f t="shared" si="5"/>
        <v>24</v>
      </c>
      <c r="V27" s="310">
        <f t="shared" si="3"/>
        <v>13355.929999999998</v>
      </c>
      <c r="X27" t="s">
        <v>50</v>
      </c>
      <c r="Y27">
        <v>24</v>
      </c>
      <c r="Z27" t="s">
        <v>50</v>
      </c>
      <c r="AA27">
        <v>13355.929999999998</v>
      </c>
      <c r="AB27" s="19"/>
      <c r="AD27" t="s">
        <v>50</v>
      </c>
      <c r="AE27">
        <v>24</v>
      </c>
      <c r="AF27" t="s">
        <v>50</v>
      </c>
      <c r="AG27">
        <v>13355.929999999998</v>
      </c>
    </row>
    <row r="28" spans="1:33" x14ac:dyDescent="0.3">
      <c r="A28" s="72" t="s">
        <v>35</v>
      </c>
      <c r="B28" s="102">
        <f t="shared" ref="B28" si="11">P20</f>
        <v>22</v>
      </c>
      <c r="C28" s="103">
        <f t="shared" si="10"/>
        <v>16649.400000000001</v>
      </c>
      <c r="D28" s="104">
        <v>0.3</v>
      </c>
      <c r="E28" s="105">
        <f>C28*D28</f>
        <v>4994.8200000000006</v>
      </c>
      <c r="F28" s="105">
        <f>C28-E28</f>
        <v>11654.580000000002</v>
      </c>
      <c r="G28" s="69"/>
      <c r="H28" s="70"/>
      <c r="I28" s="71"/>
      <c r="J28" s="353"/>
      <c r="K28" s="354"/>
      <c r="M28" s="8"/>
      <c r="N28" s="8"/>
      <c r="O28" t="s">
        <v>60</v>
      </c>
      <c r="P28">
        <v>881</v>
      </c>
      <c r="Q28">
        <v>11630.860000000039</v>
      </c>
      <c r="T28" s="16" t="s">
        <v>60</v>
      </c>
      <c r="U28" s="8">
        <f t="shared" si="5"/>
        <v>881</v>
      </c>
      <c r="V28" s="310">
        <f t="shared" si="3"/>
        <v>11630.860000000039</v>
      </c>
      <c r="X28" t="s">
        <v>60</v>
      </c>
      <c r="Y28">
        <v>881</v>
      </c>
      <c r="Z28" t="s">
        <v>60</v>
      </c>
      <c r="AA28">
        <v>11630.860000000039</v>
      </c>
      <c r="AB28" s="19"/>
      <c r="AD28" t="s">
        <v>60</v>
      </c>
      <c r="AE28">
        <v>881</v>
      </c>
      <c r="AF28" t="s">
        <v>60</v>
      </c>
      <c r="AG28">
        <v>11630.860000000039</v>
      </c>
    </row>
    <row r="29" spans="1:33" ht="15" customHeight="1" thickBot="1" x14ac:dyDescent="0.3">
      <c r="A29" s="74" t="s">
        <v>36</v>
      </c>
      <c r="B29" s="75">
        <f>SUM(B27:B28)</f>
        <v>154</v>
      </c>
      <c r="C29" s="76">
        <f>SUM(C27:C28)</f>
        <v>110093.31</v>
      </c>
      <c r="D29" s="77"/>
      <c r="E29" s="76">
        <f>SUM(E27:E28)</f>
        <v>98438.73000000001</v>
      </c>
      <c r="F29" s="76">
        <f>F28</f>
        <v>11654.580000000002</v>
      </c>
      <c r="G29" s="78">
        <v>429000</v>
      </c>
      <c r="H29" s="79">
        <f>E29/G29</f>
        <v>0.2294609090909091</v>
      </c>
      <c r="I29" s="80"/>
      <c r="J29" s="221">
        <f>(H29/H$3)*G$13</f>
        <v>3793261.2891561817</v>
      </c>
      <c r="K29" s="81">
        <f>J29-G29</f>
        <v>3364261.2891561817</v>
      </c>
      <c r="M29" s="8"/>
      <c r="N29" s="8"/>
      <c r="O29" t="s">
        <v>53</v>
      </c>
      <c r="P29">
        <v>41</v>
      </c>
      <c r="Q29">
        <v>36070.06</v>
      </c>
      <c r="T29" s="16" t="s">
        <v>53</v>
      </c>
      <c r="U29" s="8">
        <f t="shared" si="5"/>
        <v>41</v>
      </c>
      <c r="V29" s="310">
        <f t="shared" si="3"/>
        <v>36070.06</v>
      </c>
      <c r="X29" t="s">
        <v>53</v>
      </c>
      <c r="Y29">
        <v>41</v>
      </c>
      <c r="Z29" t="s">
        <v>53</v>
      </c>
      <c r="AA29">
        <v>36070.06</v>
      </c>
      <c r="AB29" s="19"/>
      <c r="AD29" t="s">
        <v>53</v>
      </c>
      <c r="AE29">
        <v>41</v>
      </c>
      <c r="AF29" t="s">
        <v>53</v>
      </c>
      <c r="AG29">
        <v>36070.06</v>
      </c>
    </row>
    <row r="30" spans="1:33" ht="15" thickBot="1" x14ac:dyDescent="0.35">
      <c r="A30" s="57"/>
      <c r="B30" s="82"/>
      <c r="C30" s="61"/>
      <c r="D30" s="83"/>
      <c r="E30" s="61"/>
      <c r="F30" s="61"/>
      <c r="G30" s="61"/>
      <c r="H30" s="62"/>
      <c r="I30" s="63"/>
      <c r="J30" s="355"/>
      <c r="K30" s="338"/>
      <c r="M30" s="8"/>
      <c r="N30" s="8"/>
      <c r="O30" t="s">
        <v>55</v>
      </c>
      <c r="P30">
        <v>28</v>
      </c>
      <c r="Q30">
        <v>39054.69999999999</v>
      </c>
      <c r="T30" s="16" t="s">
        <v>55</v>
      </c>
      <c r="U30" s="8">
        <f t="shared" si="5"/>
        <v>28</v>
      </c>
      <c r="V30" s="310">
        <f t="shared" si="3"/>
        <v>39054.69999999999</v>
      </c>
      <c r="X30" t="s">
        <v>55</v>
      </c>
      <c r="Y30">
        <v>28</v>
      </c>
      <c r="Z30" t="s">
        <v>55</v>
      </c>
      <c r="AA30">
        <v>39054.69999999999</v>
      </c>
      <c r="AB30" s="19"/>
      <c r="AD30" t="s">
        <v>55</v>
      </c>
      <c r="AE30">
        <v>28</v>
      </c>
      <c r="AF30" t="s">
        <v>55</v>
      </c>
      <c r="AG30">
        <v>39054.69999999999</v>
      </c>
    </row>
    <row r="31" spans="1:33" ht="15" thickBot="1" x14ac:dyDescent="0.35">
      <c r="A31" s="106" t="s">
        <v>37</v>
      </c>
      <c r="B31" s="107">
        <f>P21</f>
        <v>389</v>
      </c>
      <c r="C31" s="108">
        <f t="shared" ref="C31:C32" si="12">Q21</f>
        <v>140192.57999999978</v>
      </c>
      <c r="D31" s="109">
        <v>1</v>
      </c>
      <c r="E31" s="110">
        <f>C31*D31</f>
        <v>140192.57999999978</v>
      </c>
      <c r="F31" s="111"/>
      <c r="G31" s="358"/>
      <c r="H31" s="360"/>
      <c r="I31" s="112"/>
      <c r="J31" s="339"/>
      <c r="K31" s="340"/>
      <c r="M31" s="8"/>
      <c r="N31" s="8"/>
      <c r="O31" t="s">
        <v>61</v>
      </c>
      <c r="P31">
        <v>4346</v>
      </c>
      <c r="Q31">
        <v>1940511.5799999975</v>
      </c>
      <c r="T31" s="230" t="s">
        <v>61</v>
      </c>
      <c r="U31" s="8">
        <f t="shared" si="5"/>
        <v>4346</v>
      </c>
      <c r="V31" s="310">
        <f t="shared" si="3"/>
        <v>1940511.5799999975</v>
      </c>
      <c r="X31" t="s">
        <v>61</v>
      </c>
      <c r="Y31">
        <v>4346</v>
      </c>
      <c r="Z31" t="s">
        <v>61</v>
      </c>
      <c r="AA31">
        <v>1940511.5799999975</v>
      </c>
      <c r="AB31" s="231"/>
      <c r="AD31" t="s">
        <v>61</v>
      </c>
      <c r="AE31">
        <v>4346</v>
      </c>
      <c r="AF31" t="s">
        <v>61</v>
      </c>
      <c r="AG31">
        <v>1940511.5799999975</v>
      </c>
    </row>
    <row r="32" spans="1:33" x14ac:dyDescent="0.3">
      <c r="A32" s="114" t="s">
        <v>39</v>
      </c>
      <c r="B32" s="115">
        <f t="shared" ref="B32" si="13">P22</f>
        <v>53</v>
      </c>
      <c r="C32" s="64">
        <f t="shared" si="12"/>
        <v>51846.580000000024</v>
      </c>
      <c r="D32" s="116">
        <v>0.3</v>
      </c>
      <c r="E32" s="117">
        <f>C32*D32</f>
        <v>15553.974000000006</v>
      </c>
      <c r="F32" s="118">
        <f>C32-E32</f>
        <v>36292.606000000014</v>
      </c>
      <c r="G32" s="359"/>
      <c r="H32" s="361"/>
      <c r="I32" s="112"/>
      <c r="J32" s="341"/>
      <c r="K32" s="342"/>
      <c r="M32" s="8"/>
      <c r="N32" s="8"/>
      <c r="O32" s="9"/>
      <c r="P32" s="9"/>
    </row>
    <row r="33" spans="1:17" ht="15" customHeight="1" thickBot="1" x14ac:dyDescent="0.3">
      <c r="A33" s="119" t="s">
        <v>41</v>
      </c>
      <c r="B33" s="120">
        <f>SUM(B31:B32)</f>
        <v>442</v>
      </c>
      <c r="C33" s="78">
        <f>SUM(C31:C32)</f>
        <v>192039.1599999998</v>
      </c>
      <c r="D33" s="121"/>
      <c r="E33" s="78">
        <f>SUM(E31:E32)</f>
        <v>155746.5539999998</v>
      </c>
      <c r="F33" s="78">
        <f>F32</f>
        <v>36292.606000000014</v>
      </c>
      <c r="G33" s="78">
        <v>1000000</v>
      </c>
      <c r="H33" s="79">
        <f>E33/G33</f>
        <v>0.15574655399999979</v>
      </c>
      <c r="I33" s="80"/>
      <c r="J33" s="221">
        <f>(H33/H$3)*G$13</f>
        <v>2574675.4710782161</v>
      </c>
      <c r="K33" s="81">
        <f>J33-G33</f>
        <v>1574675.4710782161</v>
      </c>
      <c r="M33" s="8"/>
      <c r="N33" s="8"/>
      <c r="O33" s="9"/>
      <c r="P33" s="9"/>
    </row>
    <row r="34" spans="1:17" ht="15" thickBot="1" x14ac:dyDescent="0.35">
      <c r="A34" s="57"/>
      <c r="B34" s="82"/>
      <c r="C34" s="61"/>
      <c r="D34" s="83"/>
      <c r="E34" s="61"/>
      <c r="F34" s="61"/>
      <c r="G34" s="61"/>
      <c r="H34" s="62"/>
      <c r="I34" s="63"/>
      <c r="J34" s="337"/>
      <c r="K34" s="350"/>
      <c r="M34" s="8"/>
      <c r="N34" s="8"/>
      <c r="O34" s="9"/>
      <c r="P34" s="9"/>
    </row>
    <row r="35" spans="1:17" x14ac:dyDescent="0.3">
      <c r="A35" s="122" t="s">
        <v>42</v>
      </c>
      <c r="B35" s="123">
        <f>P24</f>
        <v>129</v>
      </c>
      <c r="C35" s="124">
        <f t="shared" ref="C35:C36" si="14">Q24</f>
        <v>135627.85999999996</v>
      </c>
      <c r="D35" s="125">
        <v>1</v>
      </c>
      <c r="E35" s="124">
        <f>C35*D35</f>
        <v>135627.85999999996</v>
      </c>
      <c r="F35" s="126"/>
      <c r="G35" s="362"/>
      <c r="H35" s="364"/>
      <c r="I35" s="127"/>
      <c r="J35" s="351"/>
      <c r="K35" s="352"/>
      <c r="M35" s="8"/>
      <c r="N35" s="8"/>
      <c r="O35" s="9"/>
      <c r="P35"/>
      <c r="Q35"/>
    </row>
    <row r="36" spans="1:17" x14ac:dyDescent="0.3">
      <c r="A36" s="129" t="s">
        <v>44</v>
      </c>
      <c r="B36" s="130">
        <f t="shared" ref="B36" si="15">P25</f>
        <v>149</v>
      </c>
      <c r="C36" s="131">
        <f t="shared" si="14"/>
        <v>183415.58000000007</v>
      </c>
      <c r="D36" s="132">
        <v>0.3</v>
      </c>
      <c r="E36" s="131">
        <f>C36*D36</f>
        <v>55024.674000000021</v>
      </c>
      <c r="F36" s="133">
        <f>C36-E36</f>
        <v>128390.90600000005</v>
      </c>
      <c r="G36" s="363"/>
      <c r="H36" s="365"/>
      <c r="I36" s="127"/>
      <c r="J36" s="353"/>
      <c r="K36" s="354"/>
      <c r="M36" s="8"/>
      <c r="N36" s="8"/>
      <c r="O36" s="9"/>
      <c r="P36" s="9"/>
    </row>
    <row r="37" spans="1:17" ht="15" customHeight="1" thickBot="1" x14ac:dyDescent="0.3">
      <c r="A37" s="74" t="s">
        <v>46</v>
      </c>
      <c r="B37" s="120">
        <f>SUM(B35:B36)</f>
        <v>278</v>
      </c>
      <c r="C37" s="78">
        <f>SUM(C35:C36)</f>
        <v>319043.44000000006</v>
      </c>
      <c r="D37" s="121"/>
      <c r="E37" s="78">
        <f>SUM(E35:E36)</f>
        <v>190652.53399999999</v>
      </c>
      <c r="F37" s="78">
        <f>F36</f>
        <v>128390.90600000005</v>
      </c>
      <c r="G37" s="78">
        <v>450000</v>
      </c>
      <c r="H37" s="79">
        <f>E37/G37</f>
        <v>0.42367229777777776</v>
      </c>
      <c r="I37" s="80"/>
      <c r="J37" s="221">
        <f>(H37/H$3)*G$13</f>
        <v>7003806.1507530482</v>
      </c>
      <c r="K37" s="81">
        <f>J37-G37</f>
        <v>6553806.1507530482</v>
      </c>
      <c r="M37" s="8"/>
      <c r="N37" s="8"/>
      <c r="O37" s="9"/>
      <c r="P37" s="9"/>
    </row>
    <row r="38" spans="1:17" ht="15" thickBot="1" x14ac:dyDescent="0.35">
      <c r="A38" s="57"/>
      <c r="B38" s="82"/>
      <c r="C38" s="61"/>
      <c r="D38" s="83"/>
      <c r="E38" s="61"/>
      <c r="F38" s="61"/>
      <c r="G38" s="61"/>
      <c r="H38" s="62"/>
      <c r="I38" s="63"/>
      <c r="J38" s="337"/>
      <c r="K38" s="338"/>
      <c r="M38" s="8"/>
      <c r="N38" s="8"/>
      <c r="O38" s="9"/>
      <c r="P38" s="9"/>
    </row>
    <row r="39" spans="1:17" x14ac:dyDescent="0.3">
      <c r="A39" s="134" t="s">
        <v>47</v>
      </c>
      <c r="B39" s="98">
        <f>P26</f>
        <v>74</v>
      </c>
      <c r="C39" s="135">
        <f t="shared" ref="C39:C40" si="16">Q26</f>
        <v>60519</v>
      </c>
      <c r="D39" s="136">
        <v>1</v>
      </c>
      <c r="E39" s="99">
        <f>C39*D39</f>
        <v>60519</v>
      </c>
      <c r="F39" s="101"/>
      <c r="G39" s="343"/>
      <c r="H39" s="345"/>
      <c r="I39" s="91"/>
      <c r="J39" s="339"/>
      <c r="K39" s="340"/>
      <c r="M39" s="8"/>
      <c r="N39" s="8"/>
      <c r="O39" s="9"/>
      <c r="P39" s="9"/>
    </row>
    <row r="40" spans="1:17" x14ac:dyDescent="0.3">
      <c r="A40" s="138" t="s">
        <v>49</v>
      </c>
      <c r="B40" s="85">
        <f t="shared" ref="B40" si="17">P27</f>
        <v>24</v>
      </c>
      <c r="C40" s="93">
        <f t="shared" si="16"/>
        <v>13355.929999999998</v>
      </c>
      <c r="D40" s="94">
        <v>0.3</v>
      </c>
      <c r="E40" s="139">
        <f>C40*D40</f>
        <v>4006.7789999999995</v>
      </c>
      <c r="F40" s="140">
        <f>C40-E40</f>
        <v>9349.150999999998</v>
      </c>
      <c r="G40" s="344"/>
      <c r="H40" s="346"/>
      <c r="I40" s="91"/>
      <c r="J40" s="341"/>
      <c r="K40" s="342"/>
      <c r="M40" s="8"/>
      <c r="N40" s="8"/>
      <c r="O40" s="9"/>
      <c r="P40" s="9"/>
    </row>
    <row r="41" spans="1:17" ht="15" customHeight="1" thickBot="1" x14ac:dyDescent="0.3">
      <c r="A41" s="119" t="s">
        <v>51</v>
      </c>
      <c r="B41" s="120">
        <f>SUM(B39:B40)</f>
        <v>98</v>
      </c>
      <c r="C41" s="78">
        <f>SUM(C39:C40)</f>
        <v>73874.929999999993</v>
      </c>
      <c r="D41" s="121"/>
      <c r="E41" s="78">
        <f>SUM(E39:E40)</f>
        <v>64525.779000000002</v>
      </c>
      <c r="F41" s="78">
        <f>F40</f>
        <v>9349.150999999998</v>
      </c>
      <c r="G41" s="78">
        <v>325000</v>
      </c>
      <c r="H41" s="79">
        <f>E41/G41</f>
        <v>0.19854085846153846</v>
      </c>
      <c r="I41" s="80"/>
      <c r="J41" s="221">
        <f>(H41/H$3)*G$13</f>
        <v>3282116.1377845681</v>
      </c>
      <c r="K41" s="81">
        <f>J41-G41</f>
        <v>2957116.1377845681</v>
      </c>
      <c r="M41" s="8"/>
      <c r="N41" s="8"/>
      <c r="O41" s="9"/>
      <c r="P41" s="9"/>
    </row>
    <row r="42" spans="1:17" ht="15" thickBot="1" x14ac:dyDescent="0.35">
      <c r="A42" s="57"/>
      <c r="B42" s="82"/>
      <c r="C42" s="61"/>
      <c r="D42" s="83"/>
      <c r="E42" s="61"/>
      <c r="F42" s="61"/>
      <c r="G42" s="61"/>
      <c r="H42" s="62"/>
      <c r="I42" s="63"/>
      <c r="J42" s="337"/>
      <c r="K42" s="350"/>
      <c r="M42" s="8"/>
      <c r="N42" s="8"/>
      <c r="O42" s="9"/>
      <c r="P42" s="9"/>
    </row>
    <row r="43" spans="1:17" x14ac:dyDescent="0.3">
      <c r="A43" s="141" t="s">
        <v>52</v>
      </c>
      <c r="B43" s="123">
        <f>P29</f>
        <v>41</v>
      </c>
      <c r="C43" s="124">
        <f t="shared" ref="C43:C44" si="18">Q29</f>
        <v>36070.06</v>
      </c>
      <c r="D43" s="109">
        <v>1</v>
      </c>
      <c r="E43" s="110">
        <f>C43*D43</f>
        <v>36070.06</v>
      </c>
      <c r="F43" s="142"/>
      <c r="G43" s="362"/>
      <c r="H43" s="364"/>
      <c r="I43" s="127"/>
      <c r="J43" s="351"/>
      <c r="K43" s="352"/>
      <c r="M43" s="8"/>
      <c r="N43" s="8"/>
      <c r="O43" s="9"/>
      <c r="P43" s="9"/>
    </row>
    <row r="44" spans="1:17" x14ac:dyDescent="0.3">
      <c r="A44" s="129" t="s">
        <v>54</v>
      </c>
      <c r="B44" s="130">
        <f t="shared" ref="B44" si="19">P30</f>
        <v>28</v>
      </c>
      <c r="C44" s="131">
        <f t="shared" si="18"/>
        <v>39054.69999999999</v>
      </c>
      <c r="D44" s="116">
        <v>0.3</v>
      </c>
      <c r="E44" s="117">
        <f>C44*D44</f>
        <v>11716.409999999996</v>
      </c>
      <c r="F44" s="97">
        <f>C44-E44</f>
        <v>27338.289999999994</v>
      </c>
      <c r="G44" s="363"/>
      <c r="H44" s="365"/>
      <c r="I44" s="127"/>
      <c r="J44" s="353"/>
      <c r="K44" s="354"/>
      <c r="M44" s="8"/>
      <c r="N44" s="8"/>
      <c r="O44" s="9"/>
      <c r="P44" s="9"/>
    </row>
    <row r="45" spans="1:17" ht="15" customHeight="1" thickBot="1" x14ac:dyDescent="0.3">
      <c r="A45" s="119" t="s">
        <v>56</v>
      </c>
      <c r="B45" s="120">
        <f>SUM(B43:B44)</f>
        <v>69</v>
      </c>
      <c r="C45" s="78">
        <f>SUM(C43:C44)</f>
        <v>75124.75999999998</v>
      </c>
      <c r="D45" s="121"/>
      <c r="E45" s="78">
        <f>SUM(E43:E44)</f>
        <v>47786.469999999994</v>
      </c>
      <c r="F45" s="78">
        <f>F44</f>
        <v>27338.289999999994</v>
      </c>
      <c r="G45" s="78">
        <v>300000</v>
      </c>
      <c r="H45" s="79">
        <f>E45/G45</f>
        <v>0.15928823333333331</v>
      </c>
      <c r="I45" s="80"/>
      <c r="J45" s="221">
        <f>(H45/H$3)*G$13</f>
        <v>2633223.6358482596</v>
      </c>
      <c r="K45" s="81">
        <f>J45-G45</f>
        <v>2333223.6358482596</v>
      </c>
      <c r="M45" s="8"/>
      <c r="N45" s="8"/>
      <c r="O45" s="9"/>
      <c r="P45" s="9"/>
    </row>
    <row r="46" spans="1:17" ht="15" thickBot="1" x14ac:dyDescent="0.35">
      <c r="A46" s="57"/>
      <c r="B46" s="82"/>
      <c r="C46" s="61"/>
      <c r="D46" s="83"/>
      <c r="E46" s="61"/>
      <c r="F46" s="143"/>
      <c r="G46" s="61"/>
      <c r="H46" s="62"/>
      <c r="I46" s="63"/>
      <c r="J46" s="337"/>
      <c r="K46" s="338"/>
      <c r="M46" s="8"/>
      <c r="N46" s="8"/>
      <c r="O46" s="9"/>
      <c r="P46" s="9"/>
    </row>
    <row r="47" spans="1:17" x14ac:dyDescent="0.3">
      <c r="A47" s="141" t="s">
        <v>66</v>
      </c>
      <c r="B47" s="123"/>
      <c r="C47" s="124"/>
      <c r="D47" s="109">
        <v>1</v>
      </c>
      <c r="E47" s="110">
        <f>C47*D47</f>
        <v>0</v>
      </c>
      <c r="F47" s="142"/>
      <c r="G47" s="362"/>
      <c r="H47" s="364"/>
      <c r="I47" s="127"/>
      <c r="J47" s="370"/>
      <c r="K47" s="340"/>
      <c r="M47" s="8"/>
      <c r="N47" s="8"/>
      <c r="O47" s="9"/>
      <c r="P47" s="9"/>
    </row>
    <row r="48" spans="1:17" x14ac:dyDescent="0.3">
      <c r="A48" s="129" t="s">
        <v>67</v>
      </c>
      <c r="B48" s="130"/>
      <c r="C48" s="131"/>
      <c r="D48" s="116">
        <v>0.3</v>
      </c>
      <c r="E48" s="117">
        <f>C48*D48</f>
        <v>0</v>
      </c>
      <c r="F48" s="97">
        <f>C48-E48</f>
        <v>0</v>
      </c>
      <c r="G48" s="363"/>
      <c r="H48" s="365"/>
      <c r="I48" s="127"/>
      <c r="J48" s="370"/>
      <c r="K48" s="340"/>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370"/>
      <c r="K49" s="340"/>
      <c r="M49" s="8"/>
      <c r="N49" s="8"/>
      <c r="O49" s="9"/>
      <c r="P49" s="9"/>
    </row>
    <row r="50" spans="1:17" ht="15" thickBot="1" x14ac:dyDescent="0.35">
      <c r="A50" s="57"/>
      <c r="B50" s="82"/>
      <c r="C50" s="61"/>
      <c r="D50" s="83"/>
      <c r="E50" s="61"/>
      <c r="F50" s="143"/>
      <c r="G50" s="61"/>
      <c r="H50" s="62"/>
      <c r="I50" s="63"/>
      <c r="J50" s="370"/>
      <c r="K50" s="340"/>
      <c r="M50" s="8"/>
      <c r="N50" s="8"/>
      <c r="O50" s="9"/>
      <c r="P50" s="9"/>
    </row>
    <row r="51" spans="1:17" ht="16.5" customHeight="1" x14ac:dyDescent="0.3">
      <c r="A51" s="106" t="s">
        <v>57</v>
      </c>
      <c r="B51" s="115">
        <f>P23</f>
        <v>895</v>
      </c>
      <c r="C51" s="64">
        <f>Q23</f>
        <v>412182.31999999902</v>
      </c>
      <c r="D51" s="116">
        <v>0.3</v>
      </c>
      <c r="E51" s="110">
        <f>C51*D51</f>
        <v>123654.69599999971</v>
      </c>
      <c r="F51" s="144">
        <f>C51-E51</f>
        <v>288527.62399999931</v>
      </c>
      <c r="G51" s="145"/>
      <c r="H51" s="146"/>
      <c r="I51" s="112"/>
      <c r="J51" s="341"/>
      <c r="K51" s="342"/>
      <c r="M51" s="8"/>
      <c r="N51" s="8"/>
      <c r="O51" s="9"/>
      <c r="P51" s="9"/>
    </row>
    <row r="52" spans="1:17" ht="15" customHeight="1" thickBot="1" x14ac:dyDescent="0.35">
      <c r="A52" s="119" t="s">
        <v>59</v>
      </c>
      <c r="B52" s="120">
        <f>B51</f>
        <v>895</v>
      </c>
      <c r="C52" s="78">
        <f>C51</f>
        <v>412182.31999999902</v>
      </c>
      <c r="D52" s="121"/>
      <c r="E52" s="78">
        <f>E51</f>
        <v>123654.69599999971</v>
      </c>
      <c r="F52" s="78">
        <f>F51</f>
        <v>288527.62399999931</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37"/>
      <c r="K53" s="350"/>
      <c r="M53" s="8"/>
      <c r="N53" s="8"/>
      <c r="O53" s="9"/>
      <c r="P53" s="9"/>
    </row>
    <row r="54" spans="1:17" ht="15" thickBot="1" x14ac:dyDescent="0.35">
      <c r="A54" s="147" t="s">
        <v>75</v>
      </c>
      <c r="B54" s="148">
        <f>P28</f>
        <v>881</v>
      </c>
      <c r="C54" s="54">
        <f>Q28</f>
        <v>11630.860000000039</v>
      </c>
      <c r="D54" s="149">
        <v>1</v>
      </c>
      <c r="E54" s="54">
        <f>C54*D54</f>
        <v>11630.860000000039</v>
      </c>
      <c r="F54" s="150"/>
      <c r="G54" s="151">
        <v>546455</v>
      </c>
      <c r="H54" s="152"/>
      <c r="I54" s="71"/>
      <c r="J54" s="351"/>
      <c r="K54" s="352"/>
      <c r="M54" s="8"/>
      <c r="N54" s="8"/>
      <c r="O54" s="9"/>
      <c r="P54" s="9"/>
    </row>
    <row r="55" spans="1:17" ht="15" thickBot="1" x14ac:dyDescent="0.35">
      <c r="A55" s="57"/>
      <c r="B55" s="82"/>
      <c r="C55" s="61"/>
      <c r="D55" s="60"/>
      <c r="E55" s="59"/>
      <c r="F55" s="144"/>
      <c r="G55" s="61"/>
      <c r="H55" s="62"/>
      <c r="I55" s="63"/>
      <c r="J55" s="366"/>
      <c r="K55" s="367"/>
      <c r="M55" s="8"/>
      <c r="N55" s="8"/>
      <c r="O55" s="9"/>
      <c r="P55" s="9"/>
    </row>
    <row r="56" spans="1:17" ht="15" thickBot="1" x14ac:dyDescent="0.35">
      <c r="A56" s="153" t="s">
        <v>7</v>
      </c>
      <c r="B56" s="154"/>
      <c r="C56" s="157"/>
      <c r="D56" s="156"/>
      <c r="E56" s="157">
        <f>SUM(E13,E17,E21,E25,E29,E33,E37,E41,E45,E49,E52,E54)</f>
        <v>1343745.1789999984</v>
      </c>
      <c r="F56" s="157"/>
      <c r="G56" s="158">
        <f>SUM(G13:G54)</f>
        <v>7917043</v>
      </c>
      <c r="H56" s="159">
        <f>SUM(E56)/G56</f>
        <v>0.16972816479587119</v>
      </c>
      <c r="I56" s="160"/>
      <c r="J56" s="222">
        <f>(H56/H$3)*G56</f>
        <v>8152054.0859333239</v>
      </c>
      <c r="K56" s="161">
        <f>J56-G56</f>
        <v>235011.08593332395</v>
      </c>
      <c r="M56" s="8"/>
      <c r="N56" s="8"/>
      <c r="O56" s="9"/>
      <c r="P56" s="9"/>
    </row>
    <row r="57" spans="1:17" ht="15" thickBot="1" x14ac:dyDescent="0.35">
      <c r="A57" s="57"/>
      <c r="B57" s="82"/>
      <c r="C57" s="61"/>
      <c r="D57" s="83"/>
      <c r="E57" s="61"/>
      <c r="F57" s="143"/>
      <c r="G57" s="61"/>
      <c r="H57" s="62"/>
      <c r="I57" s="63"/>
      <c r="J57" s="223"/>
      <c r="K57" s="163"/>
      <c r="M57" s="8"/>
      <c r="N57" s="8"/>
      <c r="O57" s="9"/>
      <c r="P57" s="9"/>
    </row>
    <row r="58" spans="1:17" ht="15" thickBot="1" x14ac:dyDescent="0.35">
      <c r="A58" s="153" t="s">
        <v>8</v>
      </c>
      <c r="B58" s="154"/>
      <c r="C58" s="155"/>
      <c r="D58" s="156"/>
      <c r="E58" s="157"/>
      <c r="F58" s="157">
        <f>SUM(F13,F17,F21,F25,F29,F33,F37,F41,F45,F49,F52)</f>
        <v>596766.40099999937</v>
      </c>
      <c r="G58" s="158"/>
      <c r="H58" s="159"/>
      <c r="I58" s="160"/>
      <c r="J58" s="222">
        <f>(H58/H$3)*G58</f>
        <v>0</v>
      </c>
      <c r="K58" s="161">
        <f>J58-G58</f>
        <v>0</v>
      </c>
      <c r="M58" s="8"/>
      <c r="N58" s="8"/>
      <c r="O58" s="9"/>
      <c r="P58" s="9"/>
    </row>
    <row r="59" spans="1:17" ht="15" thickBot="1" x14ac:dyDescent="0.35">
      <c r="A59" s="57"/>
      <c r="B59" s="82"/>
      <c r="D59" s="83"/>
      <c r="E59" s="61"/>
      <c r="F59" s="143"/>
      <c r="G59" s="61"/>
      <c r="H59" s="62"/>
      <c r="I59" s="63"/>
      <c r="J59" s="223"/>
      <c r="K59" s="163"/>
      <c r="M59" s="8"/>
      <c r="N59" s="8"/>
      <c r="O59" s="9"/>
      <c r="P59" s="9"/>
    </row>
    <row r="60" spans="1:17" ht="15" thickBot="1" x14ac:dyDescent="0.35">
      <c r="A60" s="153" t="s">
        <v>61</v>
      </c>
      <c r="B60" s="154">
        <f>SUM(B13,B17,B21,B25,B29,B33,B37,B41,B45,B49,B52,B54)</f>
        <v>4346</v>
      </c>
      <c r="C60" s="155">
        <f>SUM(C13,C17,C21,C25,C29,C33,C37,C41,C45,C49,C52,C54)</f>
        <v>1940511.5799999975</v>
      </c>
      <c r="D60" s="156"/>
      <c r="E60" s="157"/>
      <c r="F60" s="157">
        <f>SUM(E56:F59)</f>
        <v>1940511.5799999977</v>
      </c>
      <c r="G60" s="158">
        <f>SUM(G56:G59)</f>
        <v>7917043</v>
      </c>
      <c r="H60" s="159">
        <f>SUM(C60)/G60</f>
        <v>0.2451056006642881</v>
      </c>
      <c r="I60" s="160"/>
      <c r="J60" s="222">
        <f>(H60/H$3)*G60</f>
        <v>11772436.918666651</v>
      </c>
      <c r="K60" s="161">
        <f>J60-G60</f>
        <v>3855393.9186666515</v>
      </c>
      <c r="M60" s="8"/>
      <c r="N60" s="8"/>
      <c r="O60" s="9"/>
      <c r="P60" s="9"/>
    </row>
    <row r="61" spans="1:17" x14ac:dyDescent="0.3">
      <c r="C61" s="168"/>
      <c r="M61" s="8"/>
      <c r="N61" s="8"/>
      <c r="O61" s="9"/>
      <c r="P61" s="9"/>
    </row>
    <row r="62" spans="1:17" x14ac:dyDescent="0.3">
      <c r="B62" s="164"/>
      <c r="C62" s="165"/>
      <c r="D62" s="165"/>
      <c r="E62" s="165"/>
      <c r="F62" s="165"/>
      <c r="G62" s="165"/>
      <c r="H62" s="165"/>
      <c r="I62" s="165"/>
      <c r="J62" s="165"/>
      <c r="K62" s="165"/>
      <c r="M62" s="8"/>
      <c r="N62" s="8"/>
      <c r="O62" s="9"/>
      <c r="P62" s="9"/>
    </row>
    <row r="63" spans="1:17" ht="15" customHeight="1" x14ac:dyDescent="0.3">
      <c r="A63" s="335" t="s">
        <v>128</v>
      </c>
      <c r="B63" s="335"/>
      <c r="C63" s="335"/>
      <c r="D63" s="335"/>
      <c r="E63" s="335"/>
      <c r="F63" s="335"/>
      <c r="G63" s="335"/>
      <c r="H63" s="335"/>
      <c r="I63" s="311"/>
      <c r="J63" s="224"/>
      <c r="K63" s="311"/>
      <c r="M63" s="8"/>
      <c r="N63" s="8"/>
      <c r="O63" s="9"/>
      <c r="P63" s="9"/>
      <c r="Q63"/>
    </row>
    <row r="64" spans="1:17" x14ac:dyDescent="0.3">
      <c r="A64" s="336"/>
      <c r="B64" s="336"/>
      <c r="C64" s="336"/>
      <c r="D64" s="336"/>
      <c r="E64" s="336"/>
      <c r="F64" s="336"/>
      <c r="G64" s="336"/>
      <c r="H64" s="336"/>
      <c r="I64" s="311"/>
      <c r="J64" s="224"/>
      <c r="K64" s="311"/>
      <c r="L64" s="168"/>
      <c r="M64" s="8"/>
      <c r="N64" s="8"/>
      <c r="O64" s="9"/>
      <c r="P64" s="9"/>
    </row>
    <row r="65" spans="1:28" x14ac:dyDescent="0.3">
      <c r="M65" s="8"/>
      <c r="N65" s="8"/>
      <c r="O65" s="9"/>
      <c r="R65" s="8"/>
    </row>
    <row r="66" spans="1:28" ht="21" customHeight="1" x14ac:dyDescent="0.3">
      <c r="G66" s="168"/>
      <c r="M66" s="8"/>
      <c r="N66" s="8"/>
      <c r="O66" s="8"/>
      <c r="P66" s="8"/>
      <c r="Q66" s="8"/>
      <c r="R66" s="8"/>
    </row>
    <row r="67" spans="1:28" ht="21" customHeight="1" x14ac:dyDescent="0.3">
      <c r="G67"/>
      <c r="M67" s="8"/>
      <c r="N67" s="8"/>
      <c r="O67" s="8"/>
      <c r="P67" s="8"/>
      <c r="Q67" s="8"/>
      <c r="R67" s="8"/>
    </row>
    <row r="68" spans="1:28" s="173" customFormat="1" ht="39.75" customHeight="1" x14ac:dyDescent="0.3">
      <c r="A68"/>
      <c r="B68"/>
      <c r="C68"/>
      <c r="D68"/>
      <c r="E68"/>
      <c r="F68"/>
      <c r="G68" s="1"/>
      <c r="H68"/>
      <c r="I68"/>
      <c r="J68" s="214"/>
      <c r="K68"/>
      <c r="M68" s="8"/>
      <c r="N68" s="8"/>
      <c r="O68" s="8"/>
      <c r="P68" s="8"/>
      <c r="Q68" s="8"/>
      <c r="R68" s="8"/>
      <c r="T68"/>
      <c r="U68"/>
      <c r="V68"/>
      <c r="X68"/>
      <c r="Y68"/>
      <c r="Z68"/>
      <c r="AA68"/>
      <c r="AB68"/>
    </row>
    <row r="69" spans="1:28" s="173" customFormat="1" ht="39.75" hidden="1" customHeight="1" x14ac:dyDescent="0.25">
      <c r="A69" t="s">
        <v>62</v>
      </c>
      <c r="B69">
        <f t="shared" ref="B69:G69" si="20">SUM(B66:B68)</f>
        <v>0</v>
      </c>
      <c r="C69">
        <f t="shared" si="20"/>
        <v>0</v>
      </c>
      <c r="D69">
        <f t="shared" si="20"/>
        <v>0</v>
      </c>
      <c r="E69">
        <f t="shared" si="20"/>
        <v>0</v>
      </c>
      <c r="F69">
        <f t="shared" si="20"/>
        <v>0</v>
      </c>
      <c r="G69" s="1">
        <f t="shared" si="20"/>
        <v>0</v>
      </c>
      <c r="H69"/>
      <c r="I69"/>
      <c r="J69" s="214"/>
      <c r="K69"/>
      <c r="M69" s="172"/>
      <c r="O69" s="8"/>
      <c r="P69" s="8"/>
      <c r="Q69" s="8"/>
      <c r="R69"/>
      <c r="X69"/>
      <c r="Y69"/>
      <c r="Z69"/>
      <c r="AA69"/>
      <c r="AB69"/>
    </row>
    <row r="70" spans="1:28" ht="15" hidden="1" x14ac:dyDescent="0.25">
      <c r="O70" s="175"/>
      <c r="P70" s="175"/>
      <c r="T70" s="173"/>
      <c r="U70" s="173"/>
      <c r="V70" s="173"/>
      <c r="AB70" s="173"/>
    </row>
    <row r="71" spans="1:28" ht="15" hidden="1" x14ac:dyDescent="0.25">
      <c r="X71" s="173"/>
      <c r="Y71" s="173"/>
      <c r="Z71" s="173"/>
      <c r="AA71" s="173"/>
      <c r="AB71" s="173"/>
    </row>
    <row r="72" spans="1:2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28" ht="15" hidden="1" x14ac:dyDescent="0.25">
      <c r="A73" s="183"/>
      <c r="B73" s="184"/>
      <c r="C73" s="185"/>
      <c r="D73" s="185"/>
      <c r="E73" s="185"/>
      <c r="F73" s="185"/>
      <c r="G73" s="185"/>
      <c r="H73" s="185"/>
      <c r="I73" s="160"/>
      <c r="J73" s="226"/>
      <c r="K73" s="185"/>
    </row>
    <row r="74" spans="1:28" ht="15" hidden="1" x14ac:dyDescent="0.25"/>
    <row r="75" spans="1:2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2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2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28" ht="15" hidden="1" x14ac:dyDescent="0.25">
      <c r="A78" s="183"/>
      <c r="B78" s="184"/>
      <c r="C78" s="185"/>
      <c r="D78" s="185"/>
      <c r="E78" s="185"/>
      <c r="F78" s="185"/>
      <c r="G78" s="185"/>
      <c r="H78" s="160"/>
      <c r="I78" s="160"/>
      <c r="J78" s="226"/>
      <c r="K78" s="185"/>
    </row>
    <row r="79" spans="1:28" ht="15" hidden="1" x14ac:dyDescent="0.25">
      <c r="B79" s="164">
        <v>6196</v>
      </c>
      <c r="C79" s="1">
        <v>3871765.8300000052</v>
      </c>
      <c r="D79" s="1"/>
      <c r="E79" s="1"/>
      <c r="F79" s="1"/>
      <c r="G79" s="1">
        <v>7182150.0000000009</v>
      </c>
      <c r="H79" s="1"/>
      <c r="I79" s="1"/>
      <c r="J79" s="165">
        <v>7423408.4691351494</v>
      </c>
      <c r="K79" s="1">
        <v>241258.46913514897</v>
      </c>
    </row>
    <row r="80" spans="1:28"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349" priority="37" operator="greaterThan">
      <formula>$H$3</formula>
    </cfRule>
  </conditionalFormatting>
  <conditionalFormatting sqref="H13:I13">
    <cfRule type="cellIs" dxfId="348" priority="36" operator="greaterThan">
      <formula>$H$3</formula>
    </cfRule>
  </conditionalFormatting>
  <conditionalFormatting sqref="I75:I76">
    <cfRule type="cellIs" dxfId="347" priority="35" operator="greaterThan">
      <formula>$H$3</formula>
    </cfRule>
  </conditionalFormatting>
  <conditionalFormatting sqref="H75:H76">
    <cfRule type="cellIs" dxfId="346" priority="34" operator="greaterThan">
      <formula>$H$3</formula>
    </cfRule>
  </conditionalFormatting>
  <conditionalFormatting sqref="H54:I54">
    <cfRule type="cellIs" dxfId="345" priority="33" operator="greaterThan">
      <formula>$H$3</formula>
    </cfRule>
  </conditionalFormatting>
  <conditionalFormatting sqref="H43:H44">
    <cfRule type="cellIs" dxfId="344" priority="31" operator="greaterThan">
      <formula>$H$3</formula>
    </cfRule>
  </conditionalFormatting>
  <conditionalFormatting sqref="I43:I44">
    <cfRule type="cellIs" dxfId="343" priority="32" operator="greaterThan">
      <formula>$H$3</formula>
    </cfRule>
  </conditionalFormatting>
  <conditionalFormatting sqref="H16:I16">
    <cfRule type="cellIs" dxfId="342" priority="30" operator="greaterThan">
      <formula>$H$3</formula>
    </cfRule>
  </conditionalFormatting>
  <conditionalFormatting sqref="H23">
    <cfRule type="cellIs" dxfId="341" priority="29" operator="greaterThan">
      <formula>$H$3</formula>
    </cfRule>
  </conditionalFormatting>
  <conditionalFormatting sqref="H17:I17">
    <cfRule type="cellIs" dxfId="340" priority="27" operator="greaterThan">
      <formula>$H$3</formula>
    </cfRule>
  </conditionalFormatting>
  <conditionalFormatting sqref="H17:I17">
    <cfRule type="cellIs" dxfId="339" priority="28" operator="greaterThan">
      <formula>$H$3</formula>
    </cfRule>
  </conditionalFormatting>
  <conditionalFormatting sqref="H25:I25">
    <cfRule type="cellIs" dxfId="338" priority="25" operator="greaterThan">
      <formula>$H$3</formula>
    </cfRule>
  </conditionalFormatting>
  <conditionalFormatting sqref="H25:I25">
    <cfRule type="cellIs" dxfId="337" priority="26" operator="greaterThan">
      <formula>$H$3</formula>
    </cfRule>
  </conditionalFormatting>
  <conditionalFormatting sqref="H19:I19">
    <cfRule type="cellIs" dxfId="336" priority="24" operator="greaterThan">
      <formula>$H$3</formula>
    </cfRule>
  </conditionalFormatting>
  <conditionalFormatting sqref="H20:I20">
    <cfRule type="cellIs" dxfId="335" priority="23" operator="greaterThan">
      <formula>$H$3</formula>
    </cfRule>
  </conditionalFormatting>
  <conditionalFormatting sqref="H21:I21">
    <cfRule type="cellIs" dxfId="334" priority="21" operator="greaterThan">
      <formula>$H$3</formula>
    </cfRule>
  </conditionalFormatting>
  <conditionalFormatting sqref="H21:I21">
    <cfRule type="cellIs" dxfId="333" priority="22" operator="greaterThan">
      <formula>$H$3</formula>
    </cfRule>
  </conditionalFormatting>
  <conditionalFormatting sqref="H29:I29">
    <cfRule type="cellIs" dxfId="332" priority="19" operator="greaterThan">
      <formula>$H$3</formula>
    </cfRule>
  </conditionalFormatting>
  <conditionalFormatting sqref="H29:I29">
    <cfRule type="cellIs" dxfId="331" priority="20" operator="greaterThan">
      <formula>$H$3</formula>
    </cfRule>
  </conditionalFormatting>
  <conditionalFormatting sqref="H27:I27">
    <cfRule type="cellIs" dxfId="330" priority="18" operator="greaterThan">
      <formula>$H$3</formula>
    </cfRule>
  </conditionalFormatting>
  <conditionalFormatting sqref="H28:I28">
    <cfRule type="cellIs" dxfId="329" priority="17" operator="greaterThan">
      <formula>$H$3</formula>
    </cfRule>
  </conditionalFormatting>
  <conditionalFormatting sqref="H33:I33">
    <cfRule type="cellIs" dxfId="328" priority="15" operator="greaterThan">
      <formula>$H$3</formula>
    </cfRule>
  </conditionalFormatting>
  <conditionalFormatting sqref="H33:I33">
    <cfRule type="cellIs" dxfId="327" priority="16" operator="greaterThan">
      <formula>$H$3</formula>
    </cfRule>
  </conditionalFormatting>
  <conditionalFormatting sqref="H37:I37">
    <cfRule type="cellIs" dxfId="326" priority="13" operator="greaterThan">
      <formula>$H$3</formula>
    </cfRule>
  </conditionalFormatting>
  <conditionalFormatting sqref="H37:I37">
    <cfRule type="cellIs" dxfId="325" priority="14" operator="greaterThan">
      <formula>$H$3</formula>
    </cfRule>
  </conditionalFormatting>
  <conditionalFormatting sqref="H41:I41">
    <cfRule type="cellIs" dxfId="324" priority="11" operator="greaterThan">
      <formula>$H$3</formula>
    </cfRule>
  </conditionalFormatting>
  <conditionalFormatting sqref="H41:I41">
    <cfRule type="cellIs" dxfId="323" priority="12" operator="greaterThan">
      <formula>$H$3</formula>
    </cfRule>
  </conditionalFormatting>
  <conditionalFormatting sqref="H45:I45">
    <cfRule type="cellIs" dxfId="322" priority="9" operator="greaterThan">
      <formula>$H$3</formula>
    </cfRule>
  </conditionalFormatting>
  <conditionalFormatting sqref="H45:I45">
    <cfRule type="cellIs" dxfId="321" priority="10" operator="greaterThan">
      <formula>$H$3</formula>
    </cfRule>
  </conditionalFormatting>
  <conditionalFormatting sqref="H52:I52">
    <cfRule type="cellIs" dxfId="320" priority="7" operator="greaterThan">
      <formula>$H$3</formula>
    </cfRule>
  </conditionalFormatting>
  <conditionalFormatting sqref="H52:I52">
    <cfRule type="cellIs" dxfId="319" priority="8" operator="greaterThan">
      <formula>$H$3</formula>
    </cfRule>
  </conditionalFormatting>
  <conditionalFormatting sqref="H58:I58">
    <cfRule type="cellIs" dxfId="318" priority="6" operator="greaterThan">
      <formula>$H$3</formula>
    </cfRule>
  </conditionalFormatting>
  <conditionalFormatting sqref="H60:I60">
    <cfRule type="cellIs" dxfId="317" priority="5" operator="greaterThan">
      <formula>$H$3</formula>
    </cfRule>
  </conditionalFormatting>
  <conditionalFormatting sqref="H47:H48">
    <cfRule type="cellIs" dxfId="316" priority="3" operator="greaterThan">
      <formula>$H$3</formula>
    </cfRule>
  </conditionalFormatting>
  <conditionalFormatting sqref="I47:I48">
    <cfRule type="cellIs" dxfId="315" priority="4" operator="greaterThan">
      <formula>$H$3</formula>
    </cfRule>
  </conditionalFormatting>
  <conditionalFormatting sqref="H49:I49">
    <cfRule type="cellIs" dxfId="314" priority="1" operator="greaterThan">
      <formula>$H$3</formula>
    </cfRule>
  </conditionalFormatting>
  <conditionalFormatting sqref="H49:I49">
    <cfRule type="cellIs" dxfId="313" priority="2" operator="greaterThan">
      <formula>$H$3</formula>
    </cfRule>
  </conditionalFormatting>
  <pageMargins left="0.2" right="0.2" top="0.75" bottom="0.75" header="0.3" footer="0.3"/>
  <pageSetup scale="64"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AH255"/>
  <sheetViews>
    <sheetView zoomScale="70" zoomScaleNormal="70" workbookViewId="0">
      <selection activeCell="B28" sqref="B26:L28"/>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hidden="1" customWidth="1"/>
    <col min="10" max="10" width="20.44140625" style="214" hidden="1" customWidth="1"/>
    <col min="11" max="12" width="19.44140625" hidden="1" customWidth="1"/>
    <col min="13" max="13" width="19.44140625" style="172" hidden="1" customWidth="1"/>
    <col min="14" max="14" width="19.44140625" hidden="1" customWidth="1"/>
    <col min="15" max="17" width="19.44140625" style="37" hidden="1" customWidth="1"/>
    <col min="18" max="23" width="19.44140625" hidden="1" customWidth="1"/>
    <col min="24" max="24" width="51.44140625" hidden="1" customWidth="1"/>
    <col min="25" max="29" width="19.44140625" hidden="1" customWidth="1"/>
    <col min="30" max="30" width="51.44140625" hidden="1" customWidth="1"/>
    <col min="31" max="34" width="19.44140625" hidden="1" customWidth="1"/>
    <col min="35" max="45" width="19.44140625" customWidth="1"/>
  </cols>
  <sheetData>
    <row r="1" spans="1:33" ht="15.75" thickBot="1" x14ac:dyDescent="0.3">
      <c r="M1" s="347" t="s">
        <v>0</v>
      </c>
      <c r="N1" s="348"/>
      <c r="O1" s="348"/>
      <c r="P1" s="348"/>
      <c r="Q1" s="348"/>
      <c r="R1" s="348"/>
      <c r="S1" s="348"/>
      <c r="T1" s="348"/>
      <c r="U1" s="348"/>
      <c r="V1" s="348"/>
      <c r="W1" s="348"/>
      <c r="X1" s="348"/>
      <c r="Y1" s="348"/>
      <c r="Z1" s="348"/>
      <c r="AA1" s="348"/>
      <c r="AB1" s="348"/>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127</v>
      </c>
      <c r="B3" s="11" t="s">
        <v>130</v>
      </c>
      <c r="C3" s="8"/>
      <c r="D3" s="8"/>
      <c r="E3" s="8"/>
      <c r="F3" s="8"/>
      <c r="G3" s="12">
        <v>41516</v>
      </c>
      <c r="H3" s="13">
        <f>$M$5/26</f>
        <v>0.16483516483516483</v>
      </c>
      <c r="I3" s="14"/>
      <c r="J3" s="216"/>
      <c r="K3" s="14"/>
      <c r="M3" s="15"/>
      <c r="N3" s="8"/>
      <c r="O3" s="9"/>
      <c r="P3" s="9"/>
      <c r="Q3" s="9"/>
      <c r="R3" s="8"/>
    </row>
    <row r="4" spans="1:33" ht="15.75" thickBot="1" x14ac:dyDescent="0.3">
      <c r="A4" s="16"/>
      <c r="B4" s="8"/>
      <c r="C4" s="8"/>
      <c r="D4" s="17"/>
      <c r="E4" s="8"/>
      <c r="F4" s="8"/>
      <c r="G4" s="18"/>
      <c r="H4" s="19"/>
      <c r="I4" s="8"/>
      <c r="J4" s="217"/>
      <c r="K4" s="8"/>
      <c r="M4" s="15">
        <f>G3-M2</f>
        <v>60</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4.2857142857142856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 t="shared" ref="B6:C12" si="0">P9</f>
        <v>4</v>
      </c>
      <c r="C6" s="30">
        <f t="shared" si="0"/>
        <v>257.66000000000003</v>
      </c>
      <c r="D6" s="31">
        <v>1</v>
      </c>
      <c r="E6" s="30">
        <f t="shared" ref="E6:E12" si="1">C6*D6</f>
        <v>257.66000000000003</v>
      </c>
      <c r="F6" s="30">
        <f t="shared" ref="F6:F12" si="2">C6-E6</f>
        <v>0</v>
      </c>
      <c r="G6" s="32"/>
      <c r="H6" s="33"/>
      <c r="I6" s="34"/>
      <c r="J6" s="218"/>
      <c r="K6" s="35"/>
      <c r="M6" s="8"/>
      <c r="N6" s="8"/>
      <c r="O6" t="s">
        <v>71</v>
      </c>
      <c r="P6">
        <v>0</v>
      </c>
      <c r="Q6">
        <v>0</v>
      </c>
      <c r="T6" s="16" t="s">
        <v>71</v>
      </c>
      <c r="U6" s="8">
        <f t="shared" ref="U6:U31" si="3">Y6</f>
        <v>0</v>
      </c>
      <c r="V6" s="310">
        <f t="shared" ref="V6:V31" si="4">AA6</f>
        <v>0</v>
      </c>
      <c r="AB6" s="19"/>
    </row>
    <row r="7" spans="1:33" ht="15" x14ac:dyDescent="0.25">
      <c r="A7" s="38" t="s">
        <v>16</v>
      </c>
      <c r="B7" s="39">
        <f t="shared" si="0"/>
        <v>0</v>
      </c>
      <c r="C7" s="40">
        <f t="shared" si="0"/>
        <v>0</v>
      </c>
      <c r="D7" s="41">
        <v>1</v>
      </c>
      <c r="E7" s="40">
        <f t="shared" si="1"/>
        <v>0</v>
      </c>
      <c r="F7" s="40">
        <f t="shared" si="2"/>
        <v>0</v>
      </c>
      <c r="G7" s="32"/>
      <c r="H7" s="33"/>
      <c r="I7" s="34"/>
      <c r="J7" s="218"/>
      <c r="K7" s="35"/>
      <c r="M7" s="8"/>
      <c r="N7" s="8"/>
      <c r="O7" t="s">
        <v>24</v>
      </c>
      <c r="P7">
        <v>4</v>
      </c>
      <c r="Q7">
        <v>7395.89</v>
      </c>
      <c r="T7" s="16" t="s">
        <v>24</v>
      </c>
      <c r="U7" s="8">
        <f t="shared" si="3"/>
        <v>4</v>
      </c>
      <c r="V7" s="310">
        <f t="shared" si="4"/>
        <v>7395.89</v>
      </c>
      <c r="X7" t="s">
        <v>24</v>
      </c>
      <c r="Y7">
        <v>4</v>
      </c>
      <c r="Z7" t="s">
        <v>24</v>
      </c>
      <c r="AA7">
        <v>7395.89</v>
      </c>
      <c r="AB7" s="19"/>
      <c r="AD7" t="s">
        <v>24</v>
      </c>
      <c r="AE7">
        <v>4</v>
      </c>
      <c r="AF7" t="s">
        <v>24</v>
      </c>
      <c r="AG7">
        <v>7395.89</v>
      </c>
    </row>
    <row r="8" spans="1:33" ht="15" x14ac:dyDescent="0.25">
      <c r="A8" s="38" t="s">
        <v>17</v>
      </c>
      <c r="B8" s="39">
        <f t="shared" si="0"/>
        <v>1</v>
      </c>
      <c r="C8" s="40">
        <f t="shared" si="0"/>
        <v>11.81</v>
      </c>
      <c r="D8" s="41">
        <v>0.3</v>
      </c>
      <c r="E8" s="40">
        <f t="shared" si="1"/>
        <v>3.5430000000000001</v>
      </c>
      <c r="F8" s="40">
        <f t="shared" si="2"/>
        <v>8.2669999999999995</v>
      </c>
      <c r="G8" s="32"/>
      <c r="H8" s="33"/>
      <c r="I8" s="34"/>
      <c r="J8" s="218"/>
      <c r="K8" s="35"/>
      <c r="M8" s="8"/>
      <c r="N8" s="8"/>
      <c r="O8" t="s">
        <v>76</v>
      </c>
      <c r="P8">
        <v>0</v>
      </c>
      <c r="Q8">
        <v>0</v>
      </c>
      <c r="T8" s="16" t="s">
        <v>76</v>
      </c>
      <c r="U8" s="8">
        <f t="shared" si="3"/>
        <v>0</v>
      </c>
      <c r="V8" s="310">
        <f t="shared" si="4"/>
        <v>0</v>
      </c>
      <c r="AB8" s="19"/>
    </row>
    <row r="9" spans="1:33" ht="15" x14ac:dyDescent="0.25">
      <c r="A9" s="38" t="s">
        <v>18</v>
      </c>
      <c r="B9" s="39">
        <f t="shared" si="0"/>
        <v>12</v>
      </c>
      <c r="C9" s="40">
        <f t="shared" si="0"/>
        <v>8231.68</v>
      </c>
      <c r="D9" s="41">
        <v>1</v>
      </c>
      <c r="E9" s="40">
        <f t="shared" si="1"/>
        <v>8231.68</v>
      </c>
      <c r="F9" s="40">
        <f t="shared" si="2"/>
        <v>0</v>
      </c>
      <c r="G9" s="32"/>
      <c r="H9" s="33"/>
      <c r="I9" s="34"/>
      <c r="J9" s="218"/>
      <c r="K9" s="35"/>
      <c r="M9" s="8"/>
      <c r="N9" s="8"/>
      <c r="O9" t="s">
        <v>15</v>
      </c>
      <c r="P9">
        <v>4</v>
      </c>
      <c r="Q9">
        <v>257.66000000000003</v>
      </c>
      <c r="T9" s="16" t="s">
        <v>15</v>
      </c>
      <c r="U9" s="8">
        <f t="shared" si="3"/>
        <v>4</v>
      </c>
      <c r="V9" s="310">
        <f t="shared" si="4"/>
        <v>257.66000000000003</v>
      </c>
      <c r="X9" t="s">
        <v>15</v>
      </c>
      <c r="Y9">
        <v>4</v>
      </c>
      <c r="Z9" t="s">
        <v>15</v>
      </c>
      <c r="AA9">
        <v>257.66000000000003</v>
      </c>
      <c r="AB9" s="19"/>
      <c r="AD9" t="s">
        <v>15</v>
      </c>
      <c r="AE9">
        <v>4</v>
      </c>
      <c r="AF9" t="s">
        <v>15</v>
      </c>
      <c r="AG9">
        <v>257.66000000000003</v>
      </c>
    </row>
    <row r="10" spans="1:33" ht="15" x14ac:dyDescent="0.25">
      <c r="A10" s="38" t="s">
        <v>19</v>
      </c>
      <c r="B10" s="39">
        <f t="shared" si="0"/>
        <v>0</v>
      </c>
      <c r="C10" s="40">
        <f t="shared" si="0"/>
        <v>0</v>
      </c>
      <c r="D10" s="41">
        <v>0.3</v>
      </c>
      <c r="E10" s="40">
        <f t="shared" si="1"/>
        <v>0</v>
      </c>
      <c r="F10" s="40">
        <f t="shared" si="2"/>
        <v>0</v>
      </c>
      <c r="G10" s="32"/>
      <c r="H10" s="42"/>
      <c r="I10" s="43"/>
      <c r="J10" s="219"/>
      <c r="K10" s="44"/>
      <c r="L10" s="45"/>
      <c r="M10" s="8"/>
      <c r="N10" s="8"/>
      <c r="O10" s="38" t="s">
        <v>16</v>
      </c>
      <c r="P10">
        <v>0</v>
      </c>
      <c r="Q10">
        <v>0</v>
      </c>
      <c r="T10" s="16" t="s">
        <v>16</v>
      </c>
      <c r="U10" s="8">
        <f t="shared" si="3"/>
        <v>0</v>
      </c>
      <c r="V10" s="310">
        <f t="shared" si="4"/>
        <v>0</v>
      </c>
      <c r="AB10" s="19"/>
    </row>
    <row r="11" spans="1:33" ht="15" x14ac:dyDescent="0.25">
      <c r="A11" s="38" t="s">
        <v>20</v>
      </c>
      <c r="B11" s="39">
        <f t="shared" si="0"/>
        <v>241</v>
      </c>
      <c r="C11" s="40">
        <f t="shared" si="0"/>
        <v>90111.039999999906</v>
      </c>
      <c r="D11" s="41">
        <v>1</v>
      </c>
      <c r="E11" s="40">
        <f t="shared" si="1"/>
        <v>90111.039999999906</v>
      </c>
      <c r="F11" s="40">
        <f t="shared" si="2"/>
        <v>0</v>
      </c>
      <c r="G11" s="32"/>
      <c r="H11" s="42"/>
      <c r="I11" s="43"/>
      <c r="J11" s="219"/>
      <c r="K11" s="44"/>
      <c r="M11" s="8"/>
      <c r="N11" s="8"/>
      <c r="O11" t="s">
        <v>17</v>
      </c>
      <c r="P11">
        <v>1</v>
      </c>
      <c r="Q11">
        <v>11.81</v>
      </c>
      <c r="T11" s="16" t="s">
        <v>17</v>
      </c>
      <c r="U11" s="8">
        <f t="shared" si="3"/>
        <v>1</v>
      </c>
      <c r="V11" s="310">
        <f t="shared" si="4"/>
        <v>11.81</v>
      </c>
      <c r="X11" t="s">
        <v>17</v>
      </c>
      <c r="Y11">
        <v>1</v>
      </c>
      <c r="Z11" t="s">
        <v>17</v>
      </c>
      <c r="AA11">
        <v>11.81</v>
      </c>
      <c r="AB11" s="19"/>
      <c r="AD11" t="s">
        <v>17</v>
      </c>
      <c r="AE11">
        <v>1</v>
      </c>
      <c r="AF11" t="s">
        <v>17</v>
      </c>
      <c r="AG11">
        <v>11.81</v>
      </c>
    </row>
    <row r="12" spans="1:33" ht="15" x14ac:dyDescent="0.25">
      <c r="A12" s="38" t="s">
        <v>21</v>
      </c>
      <c r="B12" s="39">
        <f t="shared" si="0"/>
        <v>35</v>
      </c>
      <c r="C12" s="40">
        <f t="shared" si="0"/>
        <v>17519.890000000003</v>
      </c>
      <c r="D12" s="41">
        <v>0.3</v>
      </c>
      <c r="E12" s="40">
        <f t="shared" si="1"/>
        <v>5255.9670000000006</v>
      </c>
      <c r="F12" s="40">
        <f t="shared" si="2"/>
        <v>12263.923000000003</v>
      </c>
      <c r="G12" s="32"/>
      <c r="H12" s="42"/>
      <c r="I12" s="43"/>
      <c r="J12" s="219"/>
      <c r="K12" s="44"/>
      <c r="M12" s="8"/>
      <c r="N12" s="8"/>
      <c r="O12" t="s">
        <v>18</v>
      </c>
      <c r="P12">
        <v>12</v>
      </c>
      <c r="Q12">
        <v>8231.68</v>
      </c>
      <c r="T12" s="16" t="s">
        <v>18</v>
      </c>
      <c r="U12" s="8">
        <f t="shared" si="3"/>
        <v>12</v>
      </c>
      <c r="V12" s="310">
        <f t="shared" si="4"/>
        <v>8231.68</v>
      </c>
      <c r="X12" t="s">
        <v>18</v>
      </c>
      <c r="Y12">
        <v>12</v>
      </c>
      <c r="Z12" t="s">
        <v>18</v>
      </c>
      <c r="AA12">
        <v>8231.68</v>
      </c>
      <c r="AB12" s="19"/>
      <c r="AD12" t="s">
        <v>18</v>
      </c>
      <c r="AE12">
        <v>12</v>
      </c>
      <c r="AF12" t="s">
        <v>18</v>
      </c>
      <c r="AG12">
        <v>8231.68</v>
      </c>
    </row>
    <row r="13" spans="1:33" ht="15" customHeight="1" thickBot="1" x14ac:dyDescent="0.3">
      <c r="A13" s="46" t="s">
        <v>22</v>
      </c>
      <c r="B13" s="47">
        <f>SUM(B6:B12)</f>
        <v>293</v>
      </c>
      <c r="C13" s="48">
        <f>SUM(C6:C12)</f>
        <v>116132.0799999999</v>
      </c>
      <c r="D13" s="49"/>
      <c r="E13" s="48">
        <f>SUM(E6:E12)</f>
        <v>103859.88999999991</v>
      </c>
      <c r="F13" s="50">
        <f>SUM(F6:F12)</f>
        <v>12272.190000000002</v>
      </c>
      <c r="G13" s="51">
        <v>2724921</v>
      </c>
      <c r="H13" s="52">
        <f>E13/G13</f>
        <v>3.811482608119645E-2</v>
      </c>
      <c r="I13" s="53"/>
      <c r="J13" s="220">
        <f>(H13/H$3)*G$13</f>
        <v>630083.33266666613</v>
      </c>
      <c r="K13" s="55">
        <f>J13-G13</f>
        <v>-2094837.6673333338</v>
      </c>
      <c r="M13" s="8"/>
      <c r="N13" s="8"/>
      <c r="O13" t="s">
        <v>19</v>
      </c>
      <c r="P13">
        <v>0</v>
      </c>
      <c r="Q13">
        <v>0</v>
      </c>
      <c r="T13" s="16" t="s">
        <v>19</v>
      </c>
      <c r="U13" s="8">
        <f t="shared" si="3"/>
        <v>0</v>
      </c>
      <c r="V13" s="310">
        <f t="shared" si="4"/>
        <v>0</v>
      </c>
      <c r="AB13" s="19"/>
    </row>
    <row r="14" spans="1:33" ht="15" thickBot="1" x14ac:dyDescent="0.35">
      <c r="A14" s="57"/>
      <c r="B14" s="58"/>
      <c r="C14" s="59"/>
      <c r="D14" s="60"/>
      <c r="E14" s="59"/>
      <c r="F14" s="59"/>
      <c r="G14" s="61"/>
      <c r="H14" s="62"/>
      <c r="I14" s="63"/>
      <c r="J14" s="349"/>
      <c r="K14" s="338"/>
      <c r="M14" s="8"/>
      <c r="N14" s="8"/>
      <c r="O14" t="s">
        <v>20</v>
      </c>
      <c r="P14">
        <v>241</v>
      </c>
      <c r="Q14">
        <v>90111.039999999906</v>
      </c>
      <c r="T14" s="16" t="s">
        <v>20</v>
      </c>
      <c r="U14" s="8">
        <f t="shared" si="3"/>
        <v>241</v>
      </c>
      <c r="V14" s="310">
        <f t="shared" si="4"/>
        <v>90111.039999999906</v>
      </c>
      <c r="X14" t="s">
        <v>20</v>
      </c>
      <c r="Y14">
        <v>241</v>
      </c>
      <c r="Z14" t="s">
        <v>20</v>
      </c>
      <c r="AA14">
        <v>90111.039999999906</v>
      </c>
      <c r="AB14" s="19"/>
      <c r="AD14" t="s">
        <v>20</v>
      </c>
      <c r="AE14">
        <v>241</v>
      </c>
      <c r="AF14" t="s">
        <v>20</v>
      </c>
      <c r="AG14">
        <v>90111.039999999906</v>
      </c>
    </row>
    <row r="15" spans="1:33" x14ac:dyDescent="0.3">
      <c r="A15" s="65" t="s">
        <v>23</v>
      </c>
      <c r="B15" s="66">
        <f>P7</f>
        <v>4</v>
      </c>
      <c r="C15" s="67">
        <f>Q7</f>
        <v>7395.89</v>
      </c>
      <c r="D15" s="68">
        <v>1</v>
      </c>
      <c r="E15" s="67">
        <f>C15*D15</f>
        <v>7395.89</v>
      </c>
      <c r="F15" s="67">
        <v>0</v>
      </c>
      <c r="G15" s="69"/>
      <c r="H15" s="70"/>
      <c r="I15" s="71"/>
      <c r="J15" s="339"/>
      <c r="K15" s="340"/>
      <c r="M15" s="8"/>
      <c r="N15" s="8"/>
      <c r="O15" t="s">
        <v>21</v>
      </c>
      <c r="P15">
        <v>35</v>
      </c>
      <c r="Q15">
        <v>17519.890000000003</v>
      </c>
      <c r="T15" s="16" t="s">
        <v>21</v>
      </c>
      <c r="U15" s="8">
        <f t="shared" si="3"/>
        <v>35</v>
      </c>
      <c r="V15" s="310">
        <f t="shared" si="4"/>
        <v>17519.890000000003</v>
      </c>
      <c r="X15" t="s">
        <v>21</v>
      </c>
      <c r="Y15">
        <v>35</v>
      </c>
      <c r="Z15" t="s">
        <v>21</v>
      </c>
      <c r="AA15">
        <v>17519.890000000003</v>
      </c>
      <c r="AB15" s="19"/>
      <c r="AD15" t="s">
        <v>21</v>
      </c>
      <c r="AE15">
        <v>35</v>
      </c>
      <c r="AF15" t="s">
        <v>21</v>
      </c>
      <c r="AG15">
        <v>17519.890000000003</v>
      </c>
    </row>
    <row r="16" spans="1:33" x14ac:dyDescent="0.3">
      <c r="A16" s="72" t="s">
        <v>25</v>
      </c>
      <c r="B16" s="39">
        <f>P8</f>
        <v>0</v>
      </c>
      <c r="C16" s="40">
        <f>Q8</f>
        <v>0</v>
      </c>
      <c r="D16" s="73">
        <v>0.3</v>
      </c>
      <c r="E16" s="40">
        <f>C16*D16</f>
        <v>0</v>
      </c>
      <c r="F16" s="40">
        <f>C16-E16</f>
        <v>0</v>
      </c>
      <c r="G16" s="69"/>
      <c r="H16" s="70"/>
      <c r="I16" s="71"/>
      <c r="J16" s="341"/>
      <c r="K16" s="342"/>
      <c r="M16" s="8"/>
      <c r="N16" s="8"/>
      <c r="O16" s="16" t="s">
        <v>80</v>
      </c>
      <c r="P16">
        <v>0</v>
      </c>
      <c r="Q16">
        <v>0</v>
      </c>
      <c r="T16" s="16" t="s">
        <v>80</v>
      </c>
      <c r="U16" s="8">
        <f t="shared" si="3"/>
        <v>0</v>
      </c>
      <c r="V16" s="310">
        <f t="shared" si="4"/>
        <v>0</v>
      </c>
      <c r="AB16" s="19"/>
    </row>
    <row r="17" spans="1:33" ht="15" customHeight="1" thickBot="1" x14ac:dyDescent="0.3">
      <c r="A17" s="74" t="s">
        <v>26</v>
      </c>
      <c r="B17" s="75">
        <f>SUM(B15:B16)</f>
        <v>4</v>
      </c>
      <c r="C17" s="76">
        <f>SUM(C15:C16)</f>
        <v>7395.89</v>
      </c>
      <c r="D17" s="77"/>
      <c r="E17" s="76">
        <f>SUM(E15:E16)</f>
        <v>7395.89</v>
      </c>
      <c r="F17" s="76">
        <f>F16</f>
        <v>0</v>
      </c>
      <c r="G17" s="78">
        <v>100000</v>
      </c>
      <c r="H17" s="79">
        <f>E17/G17</f>
        <v>7.3958900000000008E-2</v>
      </c>
      <c r="I17" s="80"/>
      <c r="J17" s="221">
        <f>(H17/H$3)*G$13</f>
        <v>1222628.4357978601</v>
      </c>
      <c r="K17" s="81">
        <f>J17-G17</f>
        <v>1122628.4357978601</v>
      </c>
      <c r="M17" s="8"/>
      <c r="N17" s="8"/>
      <c r="O17" t="s">
        <v>72</v>
      </c>
      <c r="P17">
        <v>14</v>
      </c>
      <c r="Q17">
        <v>2515.2299999999996</v>
      </c>
      <c r="T17" s="16" t="s">
        <v>72</v>
      </c>
      <c r="U17" s="8">
        <f t="shared" si="3"/>
        <v>14</v>
      </c>
      <c r="V17" s="310">
        <f t="shared" si="4"/>
        <v>2515.2299999999996</v>
      </c>
      <c r="X17" t="s">
        <v>72</v>
      </c>
      <c r="Y17">
        <v>14</v>
      </c>
      <c r="Z17" t="s">
        <v>72</v>
      </c>
      <c r="AA17">
        <v>2515.2299999999996</v>
      </c>
      <c r="AB17" s="19"/>
      <c r="AD17" t="s">
        <v>72</v>
      </c>
      <c r="AE17">
        <v>14</v>
      </c>
      <c r="AF17" t="s">
        <v>72</v>
      </c>
      <c r="AG17">
        <v>2515.2299999999996</v>
      </c>
    </row>
    <row r="18" spans="1:33" ht="15" thickBot="1" x14ac:dyDescent="0.35">
      <c r="A18" s="57"/>
      <c r="B18" s="82"/>
      <c r="C18" s="61"/>
      <c r="D18" s="83"/>
      <c r="E18" s="61"/>
      <c r="F18" s="61"/>
      <c r="G18" s="61"/>
      <c r="H18" s="62"/>
      <c r="I18" s="63"/>
      <c r="J18" s="349"/>
      <c r="K18" s="338"/>
      <c r="M18" s="8"/>
      <c r="N18" s="8"/>
      <c r="O18" t="s">
        <v>31</v>
      </c>
      <c r="P18">
        <v>0</v>
      </c>
      <c r="Q18">
        <v>0</v>
      </c>
      <c r="T18" s="16" t="s">
        <v>31</v>
      </c>
      <c r="U18" s="8">
        <f t="shared" si="3"/>
        <v>0</v>
      </c>
      <c r="V18" s="310">
        <f t="shared" si="4"/>
        <v>0</v>
      </c>
      <c r="AB18" s="19"/>
    </row>
    <row r="19" spans="1:33" x14ac:dyDescent="0.3">
      <c r="A19" s="65" t="s">
        <v>27</v>
      </c>
      <c r="B19" s="66"/>
      <c r="C19" s="67"/>
      <c r="D19" s="68">
        <v>1</v>
      </c>
      <c r="E19" s="67">
        <f>C19*D19</f>
        <v>0</v>
      </c>
      <c r="F19" s="67">
        <v>0</v>
      </c>
      <c r="G19" s="69"/>
      <c r="H19" s="70"/>
      <c r="I19" s="71"/>
      <c r="J19" s="339"/>
      <c r="K19" s="340"/>
      <c r="M19" s="8"/>
      <c r="N19" s="8"/>
      <c r="O19" t="s">
        <v>73</v>
      </c>
      <c r="P19">
        <v>32</v>
      </c>
      <c r="Q19">
        <v>14730.47</v>
      </c>
      <c r="T19" s="16" t="s">
        <v>73</v>
      </c>
      <c r="U19" s="8">
        <f t="shared" si="3"/>
        <v>32</v>
      </c>
      <c r="V19" s="310">
        <f t="shared" si="4"/>
        <v>14730.47</v>
      </c>
      <c r="X19" t="s">
        <v>73</v>
      </c>
      <c r="Y19">
        <v>32</v>
      </c>
      <c r="Z19" t="s">
        <v>73</v>
      </c>
      <c r="AA19">
        <v>14730.47</v>
      </c>
      <c r="AB19" s="19"/>
      <c r="AD19" t="s">
        <v>73</v>
      </c>
      <c r="AE19">
        <v>32</v>
      </c>
      <c r="AF19" t="s">
        <v>73</v>
      </c>
      <c r="AG19">
        <v>14730.47</v>
      </c>
    </row>
    <row r="20" spans="1:33" x14ac:dyDescent="0.3">
      <c r="A20" s="72" t="s">
        <v>28</v>
      </c>
      <c r="B20" s="39">
        <f>P6</f>
        <v>0</v>
      </c>
      <c r="C20" s="40">
        <f>Q6</f>
        <v>0</v>
      </c>
      <c r="D20" s="73">
        <v>0.3</v>
      </c>
      <c r="E20" s="40">
        <f>C20*D20</f>
        <v>0</v>
      </c>
      <c r="F20" s="40">
        <f>C20-E20</f>
        <v>0</v>
      </c>
      <c r="G20" s="69"/>
      <c r="H20" s="70"/>
      <c r="I20" s="71"/>
      <c r="J20" s="341"/>
      <c r="K20" s="342"/>
      <c r="M20" s="8"/>
      <c r="N20" s="8"/>
      <c r="O20" t="s">
        <v>74</v>
      </c>
      <c r="P20">
        <v>5</v>
      </c>
      <c r="Q20">
        <v>3255.69</v>
      </c>
      <c r="T20" s="16" t="s">
        <v>74</v>
      </c>
      <c r="U20" s="8">
        <f t="shared" si="3"/>
        <v>5</v>
      </c>
      <c r="V20" s="310">
        <f t="shared" si="4"/>
        <v>3255.69</v>
      </c>
      <c r="X20" t="s">
        <v>74</v>
      </c>
      <c r="Y20">
        <v>5</v>
      </c>
      <c r="Z20" t="s">
        <v>74</v>
      </c>
      <c r="AA20">
        <v>3255.69</v>
      </c>
      <c r="AB20" s="19"/>
      <c r="AD20" t="s">
        <v>74</v>
      </c>
      <c r="AE20">
        <v>5</v>
      </c>
      <c r="AF20" t="s">
        <v>74</v>
      </c>
      <c r="AG20">
        <v>3255.69</v>
      </c>
    </row>
    <row r="21" spans="1:33" ht="15" customHeight="1" thickBot="1" x14ac:dyDescent="0.3">
      <c r="A21" s="74" t="s">
        <v>29</v>
      </c>
      <c r="B21" s="75">
        <f>SUM(B19:B20)</f>
        <v>0</v>
      </c>
      <c r="C21" s="76">
        <f>SUM(C19:C20)</f>
        <v>0</v>
      </c>
      <c r="D21" s="77"/>
      <c r="E21" s="76">
        <f>SUM(E19:E20)</f>
        <v>0</v>
      </c>
      <c r="F21" s="76">
        <f>F20</f>
        <v>0</v>
      </c>
      <c r="G21" s="78">
        <v>100000</v>
      </c>
      <c r="H21" s="79">
        <f>E21/G21</f>
        <v>0</v>
      </c>
      <c r="I21" s="80"/>
      <c r="J21" s="221">
        <v>1210.4083079629038</v>
      </c>
      <c r="K21" s="81">
        <v>-399744.59169203712</v>
      </c>
      <c r="M21" s="8"/>
      <c r="N21" s="8"/>
      <c r="O21" t="s">
        <v>38</v>
      </c>
      <c r="P21">
        <v>50</v>
      </c>
      <c r="Q21">
        <v>22462.390000000014</v>
      </c>
      <c r="T21" s="16" t="s">
        <v>38</v>
      </c>
      <c r="U21" s="8">
        <f t="shared" si="3"/>
        <v>50</v>
      </c>
      <c r="V21" s="310">
        <f t="shared" si="4"/>
        <v>22462.390000000014</v>
      </c>
      <c r="X21" t="s">
        <v>38</v>
      </c>
      <c r="Y21">
        <v>50</v>
      </c>
      <c r="Z21" t="s">
        <v>38</v>
      </c>
      <c r="AA21">
        <v>22462.390000000014</v>
      </c>
      <c r="AB21" s="19"/>
      <c r="AD21" t="s">
        <v>38</v>
      </c>
      <c r="AE21">
        <v>50</v>
      </c>
      <c r="AF21" t="s">
        <v>38</v>
      </c>
      <c r="AG21">
        <v>22462.390000000014</v>
      </c>
    </row>
    <row r="22" spans="1:33" ht="15" thickBot="1" x14ac:dyDescent="0.35">
      <c r="A22" s="57"/>
      <c r="B22" s="82"/>
      <c r="C22" s="61"/>
      <c r="D22" s="83"/>
      <c r="E22" s="61"/>
      <c r="F22" s="61"/>
      <c r="G22" s="61"/>
      <c r="H22" s="62"/>
      <c r="I22" s="63"/>
      <c r="J22" s="349"/>
      <c r="K22" s="338"/>
      <c r="M22" s="8"/>
      <c r="N22" s="8"/>
      <c r="O22" t="s">
        <v>40</v>
      </c>
      <c r="P22">
        <v>9</v>
      </c>
      <c r="Q22">
        <v>4823.5299999999988</v>
      </c>
      <c r="T22" s="16" t="s">
        <v>40</v>
      </c>
      <c r="U22" s="8">
        <f t="shared" si="3"/>
        <v>9</v>
      </c>
      <c r="V22" s="310">
        <f t="shared" si="4"/>
        <v>4823.5299999999988</v>
      </c>
      <c r="X22" t="s">
        <v>40</v>
      </c>
      <c r="Y22">
        <v>9</v>
      </c>
      <c r="Z22" t="s">
        <v>40</v>
      </c>
      <c r="AA22">
        <v>4823.5299999999988</v>
      </c>
      <c r="AB22" s="19"/>
      <c r="AD22" t="s">
        <v>40</v>
      </c>
      <c r="AE22">
        <v>9</v>
      </c>
      <c r="AF22" t="s">
        <v>40</v>
      </c>
      <c r="AG22">
        <v>4823.5299999999988</v>
      </c>
    </row>
    <row r="23" spans="1:33" x14ac:dyDescent="0.3">
      <c r="A23" s="84" t="s">
        <v>30</v>
      </c>
      <c r="B23" s="85">
        <f>P17</f>
        <v>14</v>
      </c>
      <c r="C23" s="86">
        <f>Q17</f>
        <v>2515.2299999999996</v>
      </c>
      <c r="D23" s="87">
        <v>1</v>
      </c>
      <c r="E23" s="86">
        <f>C23*D23</f>
        <v>2515.2299999999996</v>
      </c>
      <c r="F23" s="88"/>
      <c r="G23" s="89"/>
      <c r="H23" s="90"/>
      <c r="I23" s="91"/>
      <c r="J23" s="339"/>
      <c r="K23" s="340"/>
      <c r="M23" s="8"/>
      <c r="N23" s="8"/>
      <c r="O23" t="s">
        <v>58</v>
      </c>
      <c r="P23">
        <v>86</v>
      </c>
      <c r="Q23">
        <v>25961.44000000001</v>
      </c>
      <c r="T23" s="16" t="s">
        <v>58</v>
      </c>
      <c r="U23" s="8">
        <f t="shared" si="3"/>
        <v>86</v>
      </c>
      <c r="V23" s="310">
        <f t="shared" si="4"/>
        <v>25961.44000000001</v>
      </c>
      <c r="X23" t="s">
        <v>58</v>
      </c>
      <c r="Y23">
        <v>86</v>
      </c>
      <c r="Z23" t="s">
        <v>58</v>
      </c>
      <c r="AA23">
        <v>25961.44000000001</v>
      </c>
      <c r="AB23" s="19"/>
      <c r="AD23" t="s">
        <v>58</v>
      </c>
      <c r="AE23">
        <v>86</v>
      </c>
      <c r="AF23" t="s">
        <v>58</v>
      </c>
      <c r="AG23">
        <v>25961.44000000001</v>
      </c>
    </row>
    <row r="24" spans="1:33" x14ac:dyDescent="0.3">
      <c r="A24" s="84" t="s">
        <v>32</v>
      </c>
      <c r="B24" s="85">
        <f>P18</f>
        <v>0</v>
      </c>
      <c r="C24" s="93">
        <f>Q18</f>
        <v>0</v>
      </c>
      <c r="D24" s="94">
        <v>0.3</v>
      </c>
      <c r="E24" s="93">
        <f>C24*D24</f>
        <v>0</v>
      </c>
      <c r="F24" s="95">
        <f>C24-E24</f>
        <v>0</v>
      </c>
      <c r="G24" s="96"/>
      <c r="H24" s="97"/>
      <c r="I24" s="91"/>
      <c r="J24" s="341"/>
      <c r="K24" s="342"/>
      <c r="M24" s="8"/>
      <c r="N24" s="8"/>
      <c r="O24" t="s">
        <v>43</v>
      </c>
      <c r="P24">
        <v>12</v>
      </c>
      <c r="Q24">
        <v>6225.65</v>
      </c>
      <c r="T24" s="16" t="s">
        <v>43</v>
      </c>
      <c r="U24" s="8">
        <f t="shared" si="3"/>
        <v>12</v>
      </c>
      <c r="V24" s="310">
        <f t="shared" si="4"/>
        <v>6225.65</v>
      </c>
      <c r="X24" t="s">
        <v>43</v>
      </c>
      <c r="Y24">
        <v>12</v>
      </c>
      <c r="Z24" t="s">
        <v>43</v>
      </c>
      <c r="AA24">
        <v>6225.65</v>
      </c>
      <c r="AB24" s="19"/>
      <c r="AD24" t="s">
        <v>43</v>
      </c>
      <c r="AE24">
        <v>12</v>
      </c>
      <c r="AF24" t="s">
        <v>43</v>
      </c>
      <c r="AG24">
        <v>6225.65</v>
      </c>
    </row>
    <row r="25" spans="1:33" ht="15" customHeight="1" thickBot="1" x14ac:dyDescent="0.3">
      <c r="A25" s="74" t="s">
        <v>33</v>
      </c>
      <c r="B25" s="75">
        <f>SUM(B23:B24)</f>
        <v>14</v>
      </c>
      <c r="C25" s="76">
        <f>SUM(C23:C24)</f>
        <v>2515.2299999999996</v>
      </c>
      <c r="D25" s="77"/>
      <c r="E25" s="76">
        <f>SUM(E23:E24)</f>
        <v>2515.2299999999996</v>
      </c>
      <c r="F25" s="76">
        <f>F24</f>
        <v>0</v>
      </c>
      <c r="G25" s="78">
        <v>750000</v>
      </c>
      <c r="H25" s="79">
        <f>E25/G25</f>
        <v>3.3536399999999993E-3</v>
      </c>
      <c r="I25" s="80"/>
      <c r="J25" s="221">
        <f>(H25/H$3)*G$13</f>
        <v>55439.651312135982</v>
      </c>
      <c r="K25" s="81">
        <f>J25-G25</f>
        <v>-694560.34868786403</v>
      </c>
      <c r="M25" s="8"/>
      <c r="N25" s="8"/>
      <c r="O25" t="s">
        <v>45</v>
      </c>
      <c r="P25">
        <v>12</v>
      </c>
      <c r="Q25">
        <v>9239.4999999999982</v>
      </c>
      <c r="T25" s="16" t="s">
        <v>45</v>
      </c>
      <c r="U25" s="8">
        <f t="shared" si="3"/>
        <v>12</v>
      </c>
      <c r="V25" s="310">
        <f t="shared" si="4"/>
        <v>9239.4999999999982</v>
      </c>
      <c r="X25" t="s">
        <v>45</v>
      </c>
      <c r="Y25">
        <v>12</v>
      </c>
      <c r="Z25" t="s">
        <v>45</v>
      </c>
      <c r="AA25">
        <v>9239.4999999999982</v>
      </c>
      <c r="AB25" s="19"/>
      <c r="AD25" t="s">
        <v>45</v>
      </c>
      <c r="AE25">
        <v>12</v>
      </c>
      <c r="AF25" t="s">
        <v>45</v>
      </c>
      <c r="AG25">
        <v>9239.4999999999982</v>
      </c>
    </row>
    <row r="26" spans="1:33" ht="15" thickBot="1" x14ac:dyDescent="0.35">
      <c r="A26" s="57"/>
      <c r="B26" s="82"/>
      <c r="C26" s="61"/>
      <c r="D26" s="83"/>
      <c r="E26" s="61"/>
      <c r="F26" s="61"/>
      <c r="G26" s="61"/>
      <c r="H26" s="62"/>
      <c r="I26" s="63"/>
      <c r="J26" s="337"/>
      <c r="K26" s="350"/>
      <c r="M26" s="8"/>
      <c r="N26" s="8"/>
      <c r="O26" t="s">
        <v>48</v>
      </c>
      <c r="P26">
        <v>8</v>
      </c>
      <c r="Q26">
        <v>4668.6899999999996</v>
      </c>
      <c r="T26" s="16" t="s">
        <v>48</v>
      </c>
      <c r="U26" s="8">
        <f t="shared" si="3"/>
        <v>8</v>
      </c>
      <c r="V26" s="310">
        <f t="shared" si="4"/>
        <v>4668.6899999999996</v>
      </c>
      <c r="X26" t="s">
        <v>48</v>
      </c>
      <c r="Y26">
        <v>8</v>
      </c>
      <c r="Z26" t="s">
        <v>48</v>
      </c>
      <c r="AA26">
        <v>4668.6899999999996</v>
      </c>
      <c r="AB26" s="19"/>
      <c r="AD26" t="s">
        <v>48</v>
      </c>
      <c r="AE26">
        <v>8</v>
      </c>
      <c r="AF26" t="s">
        <v>48</v>
      </c>
      <c r="AG26">
        <v>4668.6899999999996</v>
      </c>
    </row>
    <row r="27" spans="1:33" x14ac:dyDescent="0.3">
      <c r="A27" s="65" t="s">
        <v>34</v>
      </c>
      <c r="B27" s="98">
        <f>P19</f>
        <v>32</v>
      </c>
      <c r="C27" s="99">
        <f>Q19</f>
        <v>14730.47</v>
      </c>
      <c r="D27" s="100">
        <v>1</v>
      </c>
      <c r="E27" s="101">
        <f>C27*D27</f>
        <v>14730.47</v>
      </c>
      <c r="F27" s="101">
        <v>0</v>
      </c>
      <c r="G27" s="69"/>
      <c r="H27" s="70"/>
      <c r="I27" s="71"/>
      <c r="J27" s="351"/>
      <c r="K27" s="352"/>
      <c r="M27" s="8"/>
      <c r="N27" s="8"/>
      <c r="O27" t="s">
        <v>50</v>
      </c>
      <c r="P27">
        <v>3</v>
      </c>
      <c r="Q27">
        <v>1161.0099999999998</v>
      </c>
      <c r="T27" s="16" t="s">
        <v>50</v>
      </c>
      <c r="U27" s="8">
        <f t="shared" si="3"/>
        <v>3</v>
      </c>
      <c r="V27" s="310">
        <f t="shared" si="4"/>
        <v>1161.0099999999998</v>
      </c>
      <c r="X27" t="s">
        <v>50</v>
      </c>
      <c r="Y27">
        <v>3</v>
      </c>
      <c r="Z27" t="s">
        <v>50</v>
      </c>
      <c r="AA27">
        <v>1161.0099999999998</v>
      </c>
      <c r="AB27" s="19"/>
      <c r="AD27" t="s">
        <v>50</v>
      </c>
      <c r="AE27">
        <v>3</v>
      </c>
      <c r="AF27" t="s">
        <v>50</v>
      </c>
      <c r="AG27">
        <v>1161.0099999999998</v>
      </c>
    </row>
    <row r="28" spans="1:33" x14ac:dyDescent="0.3">
      <c r="A28" s="72" t="s">
        <v>35</v>
      </c>
      <c r="B28" s="102">
        <f>P20</f>
        <v>5</v>
      </c>
      <c r="C28" s="103">
        <f>Q20</f>
        <v>3255.69</v>
      </c>
      <c r="D28" s="104">
        <v>0.3</v>
      </c>
      <c r="E28" s="105">
        <f>C28*D28</f>
        <v>976.70699999999999</v>
      </c>
      <c r="F28" s="105">
        <f>C28-E28</f>
        <v>2278.9830000000002</v>
      </c>
      <c r="G28" s="69"/>
      <c r="H28" s="70"/>
      <c r="I28" s="71"/>
      <c r="J28" s="353"/>
      <c r="K28" s="354"/>
      <c r="M28" s="8"/>
      <c r="N28" s="8"/>
      <c r="O28" t="s">
        <v>60</v>
      </c>
      <c r="P28">
        <v>101</v>
      </c>
      <c r="Q28">
        <v>1351.6999999999985</v>
      </c>
      <c r="T28" s="16" t="s">
        <v>60</v>
      </c>
      <c r="U28" s="8">
        <f t="shared" si="3"/>
        <v>101</v>
      </c>
      <c r="V28" s="310">
        <f t="shared" si="4"/>
        <v>1351.6999999999985</v>
      </c>
      <c r="X28" t="s">
        <v>60</v>
      </c>
      <c r="Y28">
        <v>101</v>
      </c>
      <c r="Z28" t="s">
        <v>60</v>
      </c>
      <c r="AA28">
        <v>1351.6999999999985</v>
      </c>
      <c r="AB28" s="19"/>
      <c r="AD28" t="s">
        <v>60</v>
      </c>
      <c r="AE28">
        <v>101</v>
      </c>
      <c r="AF28" t="s">
        <v>60</v>
      </c>
      <c r="AG28">
        <v>1351.6999999999985</v>
      </c>
    </row>
    <row r="29" spans="1:33" ht="15" customHeight="1" thickBot="1" x14ac:dyDescent="0.3">
      <c r="A29" s="74" t="s">
        <v>36</v>
      </c>
      <c r="B29" s="75">
        <f>SUM(B27:B28)</f>
        <v>37</v>
      </c>
      <c r="C29" s="76">
        <f>SUM(C27:C28)</f>
        <v>17986.16</v>
      </c>
      <c r="D29" s="77"/>
      <c r="E29" s="76">
        <f>SUM(E27:E28)</f>
        <v>15707.177</v>
      </c>
      <c r="F29" s="76">
        <f>F28</f>
        <v>2278.9830000000002</v>
      </c>
      <c r="G29" s="78">
        <v>429000</v>
      </c>
      <c r="H29" s="79">
        <f>E29/G29</f>
        <v>3.6613466200466196E-2</v>
      </c>
      <c r="I29" s="80"/>
      <c r="J29" s="221">
        <f>(H29/H$3)*G$13</f>
        <v>605264.07112347265</v>
      </c>
      <c r="K29" s="81">
        <f>J29-G29</f>
        <v>176264.07112347265</v>
      </c>
      <c r="M29" s="8"/>
      <c r="N29" s="8"/>
      <c r="O29" t="s">
        <v>53</v>
      </c>
      <c r="P29">
        <v>1</v>
      </c>
      <c r="Q29">
        <v>65</v>
      </c>
      <c r="T29" s="16" t="s">
        <v>53</v>
      </c>
      <c r="U29" s="8">
        <f t="shared" si="3"/>
        <v>1</v>
      </c>
      <c r="V29" s="310">
        <f t="shared" si="4"/>
        <v>65</v>
      </c>
      <c r="X29" t="s">
        <v>53</v>
      </c>
      <c r="Y29">
        <v>1</v>
      </c>
      <c r="Z29" t="s">
        <v>53</v>
      </c>
      <c r="AA29">
        <v>65</v>
      </c>
      <c r="AB29" s="19"/>
      <c r="AD29" t="s">
        <v>53</v>
      </c>
      <c r="AE29">
        <v>1</v>
      </c>
      <c r="AF29" t="s">
        <v>53</v>
      </c>
      <c r="AG29">
        <v>65</v>
      </c>
    </row>
    <row r="30" spans="1:33" ht="15" thickBot="1" x14ac:dyDescent="0.35">
      <c r="A30" s="57"/>
      <c r="B30" s="82"/>
      <c r="C30" s="61"/>
      <c r="D30" s="83"/>
      <c r="E30" s="61"/>
      <c r="F30" s="61"/>
      <c r="G30" s="61"/>
      <c r="H30" s="62"/>
      <c r="I30" s="63"/>
      <c r="J30" s="355"/>
      <c r="K30" s="338"/>
      <c r="M30" s="8"/>
      <c r="N30" s="8"/>
      <c r="O30" t="s">
        <v>55</v>
      </c>
      <c r="P30">
        <v>4</v>
      </c>
      <c r="Q30">
        <v>18364.199999999993</v>
      </c>
      <c r="T30" s="16" t="s">
        <v>55</v>
      </c>
      <c r="U30" s="8">
        <f t="shared" si="3"/>
        <v>4</v>
      </c>
      <c r="V30" s="310">
        <f t="shared" si="4"/>
        <v>18364.199999999993</v>
      </c>
      <c r="X30" t="s">
        <v>55</v>
      </c>
      <c r="Y30">
        <v>4</v>
      </c>
      <c r="Z30" t="s">
        <v>55</v>
      </c>
      <c r="AA30">
        <v>18364.199999999993</v>
      </c>
      <c r="AB30" s="19"/>
      <c r="AD30" t="s">
        <v>55</v>
      </c>
      <c r="AE30">
        <v>4</v>
      </c>
      <c r="AF30" t="s">
        <v>55</v>
      </c>
      <c r="AG30">
        <v>18364.199999999993</v>
      </c>
    </row>
    <row r="31" spans="1:33" ht="15" thickBot="1" x14ac:dyDescent="0.35">
      <c r="A31" s="106" t="s">
        <v>37</v>
      </c>
      <c r="B31" s="107">
        <f>P21</f>
        <v>50</v>
      </c>
      <c r="C31" s="108">
        <f>Q21</f>
        <v>22462.390000000014</v>
      </c>
      <c r="D31" s="109">
        <v>1</v>
      </c>
      <c r="E31" s="110">
        <f>C31*D31</f>
        <v>22462.390000000014</v>
      </c>
      <c r="F31" s="111"/>
      <c r="G31" s="358"/>
      <c r="H31" s="360"/>
      <c r="I31" s="112"/>
      <c r="J31" s="339"/>
      <c r="K31" s="340"/>
      <c r="M31" s="8"/>
      <c r="N31" s="8"/>
      <c r="O31" t="s">
        <v>61</v>
      </c>
      <c r="P31">
        <v>634</v>
      </c>
      <c r="Q31">
        <v>238352.46999999991</v>
      </c>
      <c r="T31" s="230" t="s">
        <v>61</v>
      </c>
      <c r="U31" s="8">
        <f t="shared" si="3"/>
        <v>634</v>
      </c>
      <c r="V31" s="310">
        <f t="shared" si="4"/>
        <v>238352.46999999991</v>
      </c>
      <c r="X31" t="s">
        <v>61</v>
      </c>
      <c r="Y31">
        <v>634</v>
      </c>
      <c r="Z31" t="s">
        <v>61</v>
      </c>
      <c r="AA31">
        <v>238352.46999999991</v>
      </c>
      <c r="AB31" s="231"/>
      <c r="AD31" t="s">
        <v>61</v>
      </c>
      <c r="AE31">
        <v>634</v>
      </c>
      <c r="AF31" t="s">
        <v>61</v>
      </c>
      <c r="AG31">
        <v>238352.46999999991</v>
      </c>
    </row>
    <row r="32" spans="1:33" x14ac:dyDescent="0.3">
      <c r="A32" s="114" t="s">
        <v>39</v>
      </c>
      <c r="B32" s="115">
        <f>P22</f>
        <v>9</v>
      </c>
      <c r="C32" s="64">
        <f>Q22</f>
        <v>4823.5299999999988</v>
      </c>
      <c r="D32" s="116">
        <v>0.3</v>
      </c>
      <c r="E32" s="117">
        <f>C32*D32</f>
        <v>1447.0589999999995</v>
      </c>
      <c r="F32" s="118">
        <f>C32-E32</f>
        <v>3376.4709999999995</v>
      </c>
      <c r="G32" s="359"/>
      <c r="H32" s="361"/>
      <c r="I32" s="112"/>
      <c r="J32" s="341"/>
      <c r="K32" s="342"/>
      <c r="M32" s="8"/>
      <c r="N32" s="8"/>
      <c r="O32" s="9"/>
      <c r="P32" s="9"/>
    </row>
    <row r="33" spans="1:17" ht="15" customHeight="1" thickBot="1" x14ac:dyDescent="0.3">
      <c r="A33" s="119" t="s">
        <v>41</v>
      </c>
      <c r="B33" s="120">
        <f>SUM(B31:B32)</f>
        <v>59</v>
      </c>
      <c r="C33" s="78">
        <f>SUM(C31:C32)</f>
        <v>27285.920000000013</v>
      </c>
      <c r="D33" s="121"/>
      <c r="E33" s="78">
        <f>SUM(E31:E32)</f>
        <v>23909.449000000015</v>
      </c>
      <c r="F33" s="78">
        <f>F32</f>
        <v>3376.4709999999995</v>
      </c>
      <c r="G33" s="78">
        <v>1000000</v>
      </c>
      <c r="H33" s="79">
        <f>E33/G33</f>
        <v>2.3909449000000017E-2</v>
      </c>
      <c r="I33" s="80"/>
      <c r="J33" s="221">
        <f>(H33/H$3)*G$13</f>
        <v>395251.58204974286</v>
      </c>
      <c r="K33" s="81">
        <f>J33-G33</f>
        <v>-604748.41795025719</v>
      </c>
      <c r="M33" s="8"/>
      <c r="N33" s="8"/>
      <c r="O33" s="9"/>
      <c r="P33" s="9"/>
    </row>
    <row r="34" spans="1:17" ht="15" thickBot="1" x14ac:dyDescent="0.35">
      <c r="A34" s="57"/>
      <c r="B34" s="82"/>
      <c r="C34" s="61"/>
      <c r="D34" s="83"/>
      <c r="E34" s="61"/>
      <c r="F34" s="61"/>
      <c r="G34" s="61"/>
      <c r="H34" s="62"/>
      <c r="I34" s="63"/>
      <c r="J34" s="337"/>
      <c r="K34" s="350"/>
      <c r="M34" s="8"/>
      <c r="N34" s="8"/>
      <c r="O34" s="9"/>
      <c r="P34" s="9"/>
    </row>
    <row r="35" spans="1:17" x14ac:dyDescent="0.3">
      <c r="A35" s="122" t="s">
        <v>42</v>
      </c>
      <c r="B35" s="123">
        <f>P24</f>
        <v>12</v>
      </c>
      <c r="C35" s="124">
        <f>Q24</f>
        <v>6225.65</v>
      </c>
      <c r="D35" s="125">
        <v>1</v>
      </c>
      <c r="E35" s="124">
        <f>C35*D35</f>
        <v>6225.65</v>
      </c>
      <c r="F35" s="126"/>
      <c r="G35" s="362"/>
      <c r="H35" s="364"/>
      <c r="I35" s="127"/>
      <c r="J35" s="351"/>
      <c r="K35" s="352"/>
      <c r="M35" s="8"/>
      <c r="N35" s="8"/>
      <c r="O35" s="9"/>
      <c r="P35"/>
      <c r="Q35"/>
    </row>
    <row r="36" spans="1:17" x14ac:dyDescent="0.3">
      <c r="A36" s="129" t="s">
        <v>44</v>
      </c>
      <c r="B36" s="130">
        <f>P25</f>
        <v>12</v>
      </c>
      <c r="C36" s="131">
        <f>Q25</f>
        <v>9239.4999999999982</v>
      </c>
      <c r="D36" s="132">
        <v>0.3</v>
      </c>
      <c r="E36" s="131">
        <f>C36*D36</f>
        <v>2771.8499999999995</v>
      </c>
      <c r="F36" s="133">
        <f>C36-E36</f>
        <v>6467.6499999999987</v>
      </c>
      <c r="G36" s="363"/>
      <c r="H36" s="365"/>
      <c r="I36" s="127"/>
      <c r="J36" s="353"/>
      <c r="K36" s="354"/>
      <c r="M36" s="8"/>
      <c r="N36" s="8"/>
      <c r="O36" s="9"/>
      <c r="P36" s="9"/>
    </row>
    <row r="37" spans="1:17" ht="15" customHeight="1" thickBot="1" x14ac:dyDescent="0.3">
      <c r="A37" s="74" t="s">
        <v>46</v>
      </c>
      <c r="B37" s="120">
        <f>SUM(B35:B36)</f>
        <v>24</v>
      </c>
      <c r="C37" s="78">
        <f>SUM(C35:C36)</f>
        <v>15465.149999999998</v>
      </c>
      <c r="D37" s="121"/>
      <c r="E37" s="78">
        <f>SUM(E35:E36)</f>
        <v>8997.5</v>
      </c>
      <c r="F37" s="78">
        <f>F36</f>
        <v>6467.6499999999987</v>
      </c>
      <c r="G37" s="78">
        <v>450000</v>
      </c>
      <c r="H37" s="79">
        <f>E37/G37</f>
        <v>1.9994444444444443E-2</v>
      </c>
      <c r="I37" s="80"/>
      <c r="J37" s="221">
        <f>(H37/H$3)*G$13</f>
        <v>330531.90806999995</v>
      </c>
      <c r="K37" s="81">
        <f>J37-G37</f>
        <v>-119468.09193000005</v>
      </c>
      <c r="M37" s="8"/>
      <c r="N37" s="8"/>
      <c r="O37" s="9"/>
      <c r="P37" s="9"/>
    </row>
    <row r="38" spans="1:17" ht="15" thickBot="1" x14ac:dyDescent="0.35">
      <c r="A38" s="57"/>
      <c r="B38" s="82"/>
      <c r="C38" s="61"/>
      <c r="D38" s="83"/>
      <c r="E38" s="61"/>
      <c r="F38" s="61"/>
      <c r="G38" s="61"/>
      <c r="H38" s="62"/>
      <c r="I38" s="63"/>
      <c r="J38" s="337"/>
      <c r="K38" s="338"/>
      <c r="M38" s="8"/>
      <c r="N38" s="8"/>
      <c r="O38" s="9"/>
      <c r="P38" s="9"/>
    </row>
    <row r="39" spans="1:17" x14ac:dyDescent="0.3">
      <c r="A39" s="134" t="s">
        <v>47</v>
      </c>
      <c r="B39" s="98">
        <f>P26</f>
        <v>8</v>
      </c>
      <c r="C39" s="135">
        <f>Q26</f>
        <v>4668.6899999999996</v>
      </c>
      <c r="D39" s="136">
        <v>1</v>
      </c>
      <c r="E39" s="99">
        <f>C39*D39</f>
        <v>4668.6899999999996</v>
      </c>
      <c r="F39" s="101"/>
      <c r="G39" s="343"/>
      <c r="H39" s="345"/>
      <c r="I39" s="91"/>
      <c r="J39" s="339"/>
      <c r="K39" s="340"/>
      <c r="M39" s="8"/>
      <c r="N39" s="8"/>
      <c r="O39" s="9"/>
      <c r="P39" s="9"/>
    </row>
    <row r="40" spans="1:17" x14ac:dyDescent="0.3">
      <c r="A40" s="138" t="s">
        <v>49</v>
      </c>
      <c r="B40" s="85">
        <f>P27</f>
        <v>3</v>
      </c>
      <c r="C40" s="93">
        <f>Q27</f>
        <v>1161.0099999999998</v>
      </c>
      <c r="D40" s="94">
        <v>0.3</v>
      </c>
      <c r="E40" s="139">
        <f>C40*D40</f>
        <v>348.30299999999994</v>
      </c>
      <c r="F40" s="140">
        <f>C40-E40</f>
        <v>812.70699999999988</v>
      </c>
      <c r="G40" s="344"/>
      <c r="H40" s="346"/>
      <c r="I40" s="91"/>
      <c r="J40" s="341"/>
      <c r="K40" s="342"/>
      <c r="M40" s="8"/>
      <c r="N40" s="8"/>
      <c r="O40" s="9"/>
      <c r="P40" s="9"/>
    </row>
    <row r="41" spans="1:17" ht="15" customHeight="1" thickBot="1" x14ac:dyDescent="0.3">
      <c r="A41" s="119" t="s">
        <v>51</v>
      </c>
      <c r="B41" s="120">
        <f>SUM(B39:B40)</f>
        <v>11</v>
      </c>
      <c r="C41" s="78">
        <f>SUM(C39:C40)</f>
        <v>5829.6999999999989</v>
      </c>
      <c r="D41" s="121"/>
      <c r="E41" s="78">
        <f>SUM(E39:E40)</f>
        <v>5016.9929999999995</v>
      </c>
      <c r="F41" s="78">
        <f>F40</f>
        <v>812.70699999999988</v>
      </c>
      <c r="G41" s="78">
        <v>325000</v>
      </c>
      <c r="H41" s="79">
        <f>E41/G41</f>
        <v>1.5436901538461537E-2</v>
      </c>
      <c r="I41" s="80"/>
      <c r="J41" s="221">
        <f>(H41/H$3)*G$13</f>
        <v>255190.31220765598</v>
      </c>
      <c r="K41" s="81">
        <f>J41-G41</f>
        <v>-69809.687792344019</v>
      </c>
      <c r="M41" s="8"/>
      <c r="N41" s="8"/>
      <c r="O41" s="9"/>
      <c r="P41" s="9"/>
    </row>
    <row r="42" spans="1:17" ht="15" thickBot="1" x14ac:dyDescent="0.35">
      <c r="A42" s="57"/>
      <c r="B42" s="82"/>
      <c r="C42" s="61"/>
      <c r="D42" s="83"/>
      <c r="E42" s="61"/>
      <c r="F42" s="61"/>
      <c r="G42" s="61"/>
      <c r="H42" s="62"/>
      <c r="I42" s="63"/>
      <c r="J42" s="337"/>
      <c r="K42" s="350"/>
      <c r="M42" s="8"/>
      <c r="N42" s="8"/>
      <c r="O42" s="9"/>
      <c r="P42" s="9"/>
    </row>
    <row r="43" spans="1:17" x14ac:dyDescent="0.3">
      <c r="A43" s="141" t="s">
        <v>52</v>
      </c>
      <c r="B43" s="123">
        <f>P29</f>
        <v>1</v>
      </c>
      <c r="C43" s="124">
        <f>Q29</f>
        <v>65</v>
      </c>
      <c r="D43" s="109">
        <v>1</v>
      </c>
      <c r="E43" s="110">
        <f>C43*D43</f>
        <v>65</v>
      </c>
      <c r="F43" s="142"/>
      <c r="G43" s="362"/>
      <c r="H43" s="364"/>
      <c r="I43" s="127"/>
      <c r="J43" s="351"/>
      <c r="K43" s="352"/>
      <c r="M43" s="8"/>
      <c r="N43" s="8"/>
      <c r="O43" s="9"/>
      <c r="P43" s="9"/>
    </row>
    <row r="44" spans="1:17" x14ac:dyDescent="0.3">
      <c r="A44" s="129" t="s">
        <v>54</v>
      </c>
      <c r="B44" s="130">
        <f>P30</f>
        <v>4</v>
      </c>
      <c r="C44" s="131">
        <f>Q30</f>
        <v>18364.199999999993</v>
      </c>
      <c r="D44" s="116">
        <v>0.3</v>
      </c>
      <c r="E44" s="117">
        <f>C44*D44</f>
        <v>5509.2599999999975</v>
      </c>
      <c r="F44" s="97">
        <f>C44-E44</f>
        <v>12854.939999999995</v>
      </c>
      <c r="G44" s="363"/>
      <c r="H44" s="365"/>
      <c r="I44" s="127"/>
      <c r="J44" s="353"/>
      <c r="K44" s="354"/>
      <c r="M44" s="8"/>
      <c r="N44" s="8"/>
      <c r="O44" s="9"/>
      <c r="P44" s="9"/>
    </row>
    <row r="45" spans="1:17" ht="15" customHeight="1" thickBot="1" x14ac:dyDescent="0.3">
      <c r="A45" s="119" t="s">
        <v>56</v>
      </c>
      <c r="B45" s="120">
        <f>SUM(B43:B44)</f>
        <v>5</v>
      </c>
      <c r="C45" s="78">
        <f>SUM(C43:C44)</f>
        <v>18429.199999999993</v>
      </c>
      <c r="D45" s="121"/>
      <c r="E45" s="78">
        <f>SUM(E43:E44)</f>
        <v>5574.2599999999975</v>
      </c>
      <c r="F45" s="78">
        <f>F44</f>
        <v>12854.939999999995</v>
      </c>
      <c r="G45" s="78">
        <v>300000</v>
      </c>
      <c r="H45" s="79">
        <f>E45/G45</f>
        <v>1.8580866666666657E-2</v>
      </c>
      <c r="I45" s="80"/>
      <c r="J45" s="221">
        <f>(H45/H$3)*G$13</f>
        <v>307163.78892107983</v>
      </c>
      <c r="K45" s="81">
        <f>J45-G45</f>
        <v>7163.7889210798312</v>
      </c>
      <c r="M45" s="8"/>
      <c r="N45" s="8"/>
      <c r="O45" s="9"/>
      <c r="P45" s="9"/>
    </row>
    <row r="46" spans="1:17" ht="15" thickBot="1" x14ac:dyDescent="0.35">
      <c r="A46" s="57"/>
      <c r="B46" s="82"/>
      <c r="C46" s="61"/>
      <c r="D46" s="83"/>
      <c r="E46" s="61"/>
      <c r="F46" s="143"/>
      <c r="G46" s="61"/>
      <c r="H46" s="62"/>
      <c r="I46" s="63"/>
      <c r="J46" s="337"/>
      <c r="K46" s="338"/>
      <c r="M46" s="8"/>
      <c r="N46" s="8"/>
      <c r="O46" s="9"/>
      <c r="P46" s="9"/>
    </row>
    <row r="47" spans="1:17" x14ac:dyDescent="0.3">
      <c r="A47" s="141" t="s">
        <v>66</v>
      </c>
      <c r="B47" s="123"/>
      <c r="C47" s="124"/>
      <c r="D47" s="109">
        <v>1</v>
      </c>
      <c r="E47" s="110">
        <f>C47*D47</f>
        <v>0</v>
      </c>
      <c r="F47" s="142"/>
      <c r="G47" s="362"/>
      <c r="H47" s="364"/>
      <c r="I47" s="127"/>
      <c r="J47" s="370"/>
      <c r="K47" s="340"/>
      <c r="M47" s="8"/>
      <c r="N47" s="8"/>
      <c r="O47" s="9"/>
      <c r="P47" s="9"/>
    </row>
    <row r="48" spans="1:17" x14ac:dyDescent="0.3">
      <c r="A48" s="129" t="s">
        <v>67</v>
      </c>
      <c r="B48" s="130"/>
      <c r="C48" s="131"/>
      <c r="D48" s="116">
        <v>0.3</v>
      </c>
      <c r="E48" s="117">
        <f>C48*D48</f>
        <v>0</v>
      </c>
      <c r="F48" s="97">
        <f>C48-E48</f>
        <v>0</v>
      </c>
      <c r="G48" s="363"/>
      <c r="H48" s="365"/>
      <c r="I48" s="127"/>
      <c r="J48" s="370"/>
      <c r="K48" s="340"/>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370"/>
      <c r="K49" s="340"/>
      <c r="M49" s="8"/>
      <c r="N49" s="8"/>
      <c r="O49" s="9"/>
      <c r="P49" s="9"/>
    </row>
    <row r="50" spans="1:17" ht="15" thickBot="1" x14ac:dyDescent="0.35">
      <c r="A50" s="57"/>
      <c r="B50" s="82"/>
      <c r="C50" s="61"/>
      <c r="D50" s="83"/>
      <c r="E50" s="61"/>
      <c r="F50" s="143"/>
      <c r="G50" s="61"/>
      <c r="H50" s="62"/>
      <c r="I50" s="63"/>
      <c r="J50" s="370"/>
      <c r="K50" s="340"/>
      <c r="M50" s="8"/>
      <c r="N50" s="8"/>
      <c r="O50" s="9"/>
      <c r="P50" s="9"/>
    </row>
    <row r="51" spans="1:17" ht="16.5" customHeight="1" x14ac:dyDescent="0.3">
      <c r="A51" s="106" t="s">
        <v>57</v>
      </c>
      <c r="B51" s="115">
        <f>P23</f>
        <v>86</v>
      </c>
      <c r="C51" s="64">
        <f>Q23</f>
        <v>25961.44000000001</v>
      </c>
      <c r="D51" s="116">
        <v>0.3</v>
      </c>
      <c r="E51" s="110">
        <f>C51*D51</f>
        <v>7788.4320000000025</v>
      </c>
      <c r="F51" s="144">
        <f>C51-E51</f>
        <v>18173.008000000009</v>
      </c>
      <c r="G51" s="145"/>
      <c r="H51" s="146"/>
      <c r="I51" s="112"/>
      <c r="J51" s="341"/>
      <c r="K51" s="342"/>
      <c r="M51" s="8"/>
      <c r="N51" s="8"/>
      <c r="O51" s="9"/>
      <c r="P51" s="9"/>
    </row>
    <row r="52" spans="1:17" ht="15" customHeight="1" thickBot="1" x14ac:dyDescent="0.35">
      <c r="A52" s="119" t="s">
        <v>59</v>
      </c>
      <c r="B52" s="120">
        <f>B51</f>
        <v>86</v>
      </c>
      <c r="C52" s="78">
        <f>C51</f>
        <v>25961.44000000001</v>
      </c>
      <c r="D52" s="121"/>
      <c r="E52" s="78">
        <f>E51</f>
        <v>7788.4320000000025</v>
      </c>
      <c r="F52" s="78">
        <f>F51</f>
        <v>18173.008000000009</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37"/>
      <c r="K53" s="350"/>
      <c r="M53" s="8"/>
      <c r="N53" s="8"/>
      <c r="O53" s="9"/>
      <c r="P53" s="9"/>
    </row>
    <row r="54" spans="1:17" ht="15" thickBot="1" x14ac:dyDescent="0.35">
      <c r="A54" s="147" t="s">
        <v>75</v>
      </c>
      <c r="B54" s="148">
        <f>P28</f>
        <v>101</v>
      </c>
      <c r="C54" s="54">
        <f>Q28</f>
        <v>1351.6999999999985</v>
      </c>
      <c r="D54" s="149">
        <v>1</v>
      </c>
      <c r="E54" s="54">
        <f>C54*D54</f>
        <v>1351.6999999999985</v>
      </c>
      <c r="F54" s="150"/>
      <c r="G54" s="151">
        <v>546455</v>
      </c>
      <c r="H54" s="152"/>
      <c r="I54" s="71"/>
      <c r="J54" s="351"/>
      <c r="K54" s="352"/>
      <c r="M54" s="8"/>
      <c r="N54" s="8"/>
      <c r="O54" s="9"/>
      <c r="P54" s="9"/>
    </row>
    <row r="55" spans="1:17" ht="15" thickBot="1" x14ac:dyDescent="0.35">
      <c r="A55" s="57"/>
      <c r="B55" s="82"/>
      <c r="C55" s="61"/>
      <c r="D55" s="60"/>
      <c r="E55" s="59"/>
      <c r="F55" s="144"/>
      <c r="G55" s="61"/>
      <c r="H55" s="62"/>
      <c r="I55" s="63"/>
      <c r="J55" s="366"/>
      <c r="K55" s="367"/>
      <c r="M55" s="8"/>
      <c r="N55" s="8"/>
      <c r="O55" s="9"/>
      <c r="P55" s="9"/>
    </row>
    <row r="56" spans="1:17" ht="15" thickBot="1" x14ac:dyDescent="0.35">
      <c r="A56" s="153" t="s">
        <v>7</v>
      </c>
      <c r="B56" s="154"/>
      <c r="C56" s="157"/>
      <c r="D56" s="156"/>
      <c r="E56" s="157">
        <f>SUM(E13,E17,E21,E25,E29,E33,E37,E41,E45,E49,E52,E54)</f>
        <v>182116.52099999992</v>
      </c>
      <c r="F56" s="157"/>
      <c r="G56" s="158">
        <f>SUM(G13:G54)</f>
        <v>7917043</v>
      </c>
      <c r="H56" s="159">
        <f>SUM(E56)/G56</f>
        <v>2.3003098631648195E-2</v>
      </c>
      <c r="I56" s="160"/>
      <c r="J56" s="222">
        <f>(H56/H$3)*G56</f>
        <v>1104840.2273999997</v>
      </c>
      <c r="K56" s="161">
        <f>J56-G56</f>
        <v>-6812202.7726000007</v>
      </c>
      <c r="M56" s="8"/>
      <c r="N56" s="8"/>
      <c r="O56" s="9"/>
      <c r="P56" s="9"/>
    </row>
    <row r="57" spans="1:17" ht="15" thickBot="1" x14ac:dyDescent="0.35">
      <c r="A57" s="57"/>
      <c r="B57" s="82"/>
      <c r="C57" s="61"/>
      <c r="D57" s="83"/>
      <c r="E57" s="61"/>
      <c r="F57" s="143"/>
      <c r="G57" s="61"/>
      <c r="H57" s="62"/>
      <c r="I57" s="63"/>
      <c r="J57" s="223"/>
      <c r="K57" s="163"/>
      <c r="M57" s="8"/>
      <c r="N57" s="8"/>
      <c r="O57" s="9"/>
      <c r="P57" s="9"/>
    </row>
    <row r="58" spans="1:17" ht="15" thickBot="1" x14ac:dyDescent="0.35">
      <c r="A58" s="153" t="s">
        <v>8</v>
      </c>
      <c r="B58" s="154"/>
      <c r="C58" s="155"/>
      <c r="D58" s="156"/>
      <c r="E58" s="157"/>
      <c r="F58" s="157">
        <f>SUM(F13,F17,F21,F25,F29,F33,F37,F41,F45,F49,F52)</f>
        <v>56235.949000000001</v>
      </c>
      <c r="G58" s="158"/>
      <c r="H58" s="159"/>
      <c r="I58" s="160"/>
      <c r="J58" s="222">
        <f>(H58/H$3)*G58</f>
        <v>0</v>
      </c>
      <c r="K58" s="161">
        <f>J58-G58</f>
        <v>0</v>
      </c>
      <c r="M58" s="8"/>
      <c r="N58" s="8"/>
      <c r="O58" s="9"/>
      <c r="P58" s="9"/>
    </row>
    <row r="59" spans="1:17" ht="15" thickBot="1" x14ac:dyDescent="0.35">
      <c r="A59" s="57"/>
      <c r="B59" s="82"/>
      <c r="D59" s="83"/>
      <c r="E59" s="61"/>
      <c r="F59" s="143"/>
      <c r="G59" s="61"/>
      <c r="H59" s="62"/>
      <c r="I59" s="63"/>
      <c r="J59" s="223"/>
      <c r="K59" s="163"/>
      <c r="M59" s="8"/>
      <c r="N59" s="8"/>
      <c r="O59" s="9"/>
      <c r="P59" s="9"/>
    </row>
    <row r="60" spans="1:17" ht="15" thickBot="1" x14ac:dyDescent="0.35">
      <c r="A60" s="153" t="s">
        <v>61</v>
      </c>
      <c r="B60" s="154">
        <f>SUM(B13,B17,B21,B25,B29,B33,B37,B41,B45,B49,B52,B54)</f>
        <v>634</v>
      </c>
      <c r="C60" s="155">
        <f>SUM(C13,C17,C21,C25,C29,C33,C37,C41,C45,C49,C52,C54)</f>
        <v>238352.46999999991</v>
      </c>
      <c r="D60" s="156"/>
      <c r="E60" s="157"/>
      <c r="F60" s="157">
        <f>SUM(E56:F59)</f>
        <v>238352.46999999991</v>
      </c>
      <c r="G60" s="158">
        <f>SUM(G56:G59)</f>
        <v>7917043</v>
      </c>
      <c r="H60" s="159">
        <f>SUM(C60)/G60</f>
        <v>3.0106249265034926E-2</v>
      </c>
      <c r="I60" s="160"/>
      <c r="J60" s="222">
        <f>(H60/H$3)*G60</f>
        <v>1446004.984666666</v>
      </c>
      <c r="K60" s="161">
        <f>J60-G60</f>
        <v>-6471038.015333334</v>
      </c>
      <c r="M60" s="8"/>
      <c r="N60" s="8"/>
      <c r="O60" s="9"/>
      <c r="P60" s="9"/>
    </row>
    <row r="61" spans="1:17" x14ac:dyDescent="0.3">
      <c r="C61" s="168"/>
      <c r="M61" s="8"/>
      <c r="N61" s="8"/>
      <c r="O61" s="9"/>
      <c r="P61" s="9"/>
    </row>
    <row r="62" spans="1:17" x14ac:dyDescent="0.3">
      <c r="B62" s="164"/>
      <c r="C62" s="165"/>
      <c r="D62" s="165"/>
      <c r="E62" s="165"/>
      <c r="F62" s="165"/>
      <c r="G62" s="165"/>
      <c r="H62" s="165"/>
      <c r="I62" s="165"/>
      <c r="J62" s="165"/>
      <c r="K62" s="165"/>
      <c r="M62" s="8"/>
      <c r="N62" s="8"/>
      <c r="O62" s="9"/>
      <c r="P62" s="9"/>
    </row>
    <row r="63" spans="1:17" ht="15" customHeight="1" x14ac:dyDescent="0.3">
      <c r="A63" s="335" t="s">
        <v>128</v>
      </c>
      <c r="B63" s="335"/>
      <c r="C63" s="335"/>
      <c r="D63" s="335"/>
      <c r="E63" s="335"/>
      <c r="F63" s="335"/>
      <c r="G63" s="335"/>
      <c r="H63" s="335"/>
      <c r="I63" s="312"/>
      <c r="J63" s="224"/>
      <c r="K63" s="312"/>
      <c r="M63" s="8"/>
      <c r="N63" s="8"/>
      <c r="O63" s="9"/>
      <c r="P63" s="9"/>
      <c r="Q63"/>
    </row>
    <row r="64" spans="1:17" x14ac:dyDescent="0.3">
      <c r="A64" s="336"/>
      <c r="B64" s="336"/>
      <c r="C64" s="336"/>
      <c r="D64" s="336"/>
      <c r="E64" s="336"/>
      <c r="F64" s="336"/>
      <c r="G64" s="336"/>
      <c r="H64" s="336"/>
      <c r="I64" s="312"/>
      <c r="J64" s="224"/>
      <c r="K64" s="312"/>
      <c r="L64" s="168"/>
      <c r="M64" s="8"/>
      <c r="N64" s="8"/>
      <c r="O64" s="9"/>
      <c r="P64" s="9"/>
    </row>
    <row r="65" spans="1:33" x14ac:dyDescent="0.3">
      <c r="M65" s="8"/>
      <c r="N65" s="8"/>
      <c r="O65" s="9"/>
      <c r="R65" s="8"/>
    </row>
    <row r="66" spans="1:33" ht="21" customHeight="1" x14ac:dyDescent="0.3">
      <c r="G66" s="168"/>
      <c r="M66" s="8"/>
      <c r="N66" s="8"/>
      <c r="O66" s="8"/>
      <c r="P66" s="8"/>
      <c r="Q66" s="8"/>
      <c r="R66" s="8"/>
    </row>
    <row r="67" spans="1:33" ht="21" customHeight="1" x14ac:dyDescent="0.3">
      <c r="G67"/>
      <c r="M67" s="8"/>
      <c r="N67" s="8"/>
      <c r="O67" s="8"/>
      <c r="P67" s="8"/>
      <c r="Q67" s="8"/>
      <c r="R67" s="8"/>
    </row>
    <row r="68" spans="1:33" s="173" customFormat="1" ht="39.75" customHeight="1" x14ac:dyDescent="0.3">
      <c r="A68"/>
      <c r="B68"/>
      <c r="C68"/>
      <c r="D68"/>
      <c r="E68"/>
      <c r="F68"/>
      <c r="G68" s="1"/>
      <c r="H68"/>
      <c r="I68"/>
      <c r="J68" s="214"/>
      <c r="K68"/>
      <c r="M68" s="8"/>
      <c r="N68" s="8"/>
      <c r="O68" s="8"/>
      <c r="P68" s="8"/>
      <c r="Q68" s="8"/>
      <c r="R68" s="8"/>
      <c r="T68"/>
      <c r="U68"/>
      <c r="V68"/>
      <c r="X68"/>
      <c r="Y68"/>
      <c r="Z68"/>
      <c r="AA68"/>
      <c r="AB68"/>
      <c r="AD68"/>
      <c r="AE68"/>
      <c r="AF68"/>
      <c r="AG68"/>
    </row>
    <row r="69" spans="1:33" s="173" customFormat="1" ht="39.75" hidden="1" customHeight="1" x14ac:dyDescent="0.25">
      <c r="A69" t="s">
        <v>62</v>
      </c>
      <c r="B69">
        <f t="shared" ref="B69:G69" si="5">SUM(B66:B68)</f>
        <v>0</v>
      </c>
      <c r="C69">
        <f t="shared" si="5"/>
        <v>0</v>
      </c>
      <c r="D69">
        <f t="shared" si="5"/>
        <v>0</v>
      </c>
      <c r="E69">
        <f t="shared" si="5"/>
        <v>0</v>
      </c>
      <c r="F69">
        <f t="shared" si="5"/>
        <v>0</v>
      </c>
      <c r="G69" s="1">
        <f t="shared" si="5"/>
        <v>0</v>
      </c>
      <c r="H69"/>
      <c r="I69"/>
      <c r="J69" s="214"/>
      <c r="K69"/>
      <c r="M69" s="172"/>
      <c r="O69" s="8"/>
      <c r="P69" s="8"/>
      <c r="Q69" s="8"/>
      <c r="R69"/>
      <c r="X69"/>
      <c r="Y69"/>
      <c r="Z69"/>
      <c r="AA69"/>
      <c r="AB69"/>
      <c r="AD69"/>
      <c r="AE69"/>
      <c r="AF69"/>
      <c r="AG69"/>
    </row>
    <row r="70" spans="1:33" ht="15" hidden="1" x14ac:dyDescent="0.25">
      <c r="O70" s="175"/>
      <c r="P70" s="175"/>
      <c r="T70" s="173"/>
      <c r="U70" s="173"/>
      <c r="V70" s="173"/>
      <c r="AB70" s="173"/>
    </row>
    <row r="71" spans="1:33" ht="15" hidden="1" x14ac:dyDescent="0.25">
      <c r="X71" s="173"/>
      <c r="Y71" s="173"/>
      <c r="Z71" s="173"/>
      <c r="AA71" s="173"/>
      <c r="AB71" s="173"/>
    </row>
    <row r="72" spans="1:33"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33" ht="15" hidden="1" x14ac:dyDescent="0.25">
      <c r="A73" s="183"/>
      <c r="B73" s="184"/>
      <c r="C73" s="185"/>
      <c r="D73" s="185"/>
      <c r="E73" s="185"/>
      <c r="F73" s="185"/>
      <c r="G73" s="185"/>
      <c r="H73" s="185"/>
      <c r="I73" s="160"/>
      <c r="J73" s="226"/>
      <c r="K73" s="185"/>
    </row>
    <row r="74" spans="1:33" ht="15" hidden="1" x14ac:dyDescent="0.25">
      <c r="AD74" s="173"/>
      <c r="AE74" s="173"/>
      <c r="AF74" s="173"/>
      <c r="AG74" s="173"/>
    </row>
    <row r="75" spans="1:33"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c r="AD75" s="173"/>
      <c r="AE75" s="173"/>
      <c r="AF75" s="173"/>
      <c r="AG75" s="173"/>
    </row>
    <row r="76" spans="1:33"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33"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33" ht="15" hidden="1" x14ac:dyDescent="0.25">
      <c r="A78" s="183"/>
      <c r="B78" s="184"/>
      <c r="C78" s="185"/>
      <c r="D78" s="185"/>
      <c r="E78" s="185"/>
      <c r="F78" s="185"/>
      <c r="G78" s="185"/>
      <c r="H78" s="160"/>
      <c r="I78" s="160"/>
      <c r="J78" s="226"/>
      <c r="K78" s="185"/>
    </row>
    <row r="79" spans="1:33" ht="15" hidden="1" x14ac:dyDescent="0.25">
      <c r="B79" s="164">
        <v>6196</v>
      </c>
      <c r="C79" s="1">
        <v>3871765.8300000052</v>
      </c>
      <c r="D79" s="1"/>
      <c r="E79" s="1"/>
      <c r="F79" s="1"/>
      <c r="G79" s="1">
        <v>7182150.0000000009</v>
      </c>
      <c r="H79" s="1"/>
      <c r="I79" s="1"/>
      <c r="J79" s="165">
        <v>7423408.4691351494</v>
      </c>
      <c r="K79" s="1">
        <v>241258.46913514897</v>
      </c>
    </row>
    <row r="80" spans="1:33"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53:K55"/>
    <mergeCell ref="A63:H63"/>
    <mergeCell ref="A64:H64"/>
    <mergeCell ref="J42:K44"/>
    <mergeCell ref="G43:G44"/>
    <mergeCell ref="H43:H44"/>
    <mergeCell ref="J46:K51"/>
    <mergeCell ref="G47:G48"/>
    <mergeCell ref="H47:H48"/>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s>
  <conditionalFormatting sqref="H13:I13 H56:I56 H15:I15 H24 H72:I72 I73 H77:I78 H31:I32 H35:I36 H39:I40">
    <cfRule type="cellIs" dxfId="312" priority="37" operator="greaterThan">
      <formula>$H$3</formula>
    </cfRule>
  </conditionalFormatting>
  <conditionalFormatting sqref="H13:I13">
    <cfRule type="cellIs" dxfId="311" priority="36" operator="greaterThan">
      <formula>$H$3</formula>
    </cfRule>
  </conditionalFormatting>
  <conditionalFormatting sqref="I75:I76">
    <cfRule type="cellIs" dxfId="310" priority="35" operator="greaterThan">
      <formula>$H$3</formula>
    </cfRule>
  </conditionalFormatting>
  <conditionalFormatting sqref="H75:H76">
    <cfRule type="cellIs" dxfId="309" priority="34" operator="greaterThan">
      <formula>$H$3</formula>
    </cfRule>
  </conditionalFormatting>
  <conditionalFormatting sqref="H54:I54">
    <cfRule type="cellIs" dxfId="308" priority="33" operator="greaterThan">
      <formula>$H$3</formula>
    </cfRule>
  </conditionalFormatting>
  <conditionalFormatting sqref="H43:H44">
    <cfRule type="cellIs" dxfId="307" priority="31" operator="greaterThan">
      <formula>$H$3</formula>
    </cfRule>
  </conditionalFormatting>
  <conditionalFormatting sqref="I43:I44">
    <cfRule type="cellIs" dxfId="306" priority="32" operator="greaterThan">
      <formula>$H$3</formula>
    </cfRule>
  </conditionalFormatting>
  <conditionalFormatting sqref="H16:I16">
    <cfRule type="cellIs" dxfId="305" priority="30" operator="greaterThan">
      <formula>$H$3</formula>
    </cfRule>
  </conditionalFormatting>
  <conditionalFormatting sqref="H23">
    <cfRule type="cellIs" dxfId="304" priority="29" operator="greaterThan">
      <formula>$H$3</formula>
    </cfRule>
  </conditionalFormatting>
  <conditionalFormatting sqref="H17:I17">
    <cfRule type="cellIs" dxfId="303" priority="27" operator="greaterThan">
      <formula>$H$3</formula>
    </cfRule>
  </conditionalFormatting>
  <conditionalFormatting sqref="H17:I17">
    <cfRule type="cellIs" dxfId="302" priority="28" operator="greaterThan">
      <formula>$H$3</formula>
    </cfRule>
  </conditionalFormatting>
  <conditionalFormatting sqref="H25:I25">
    <cfRule type="cellIs" dxfId="301" priority="25" operator="greaterThan">
      <formula>$H$3</formula>
    </cfRule>
  </conditionalFormatting>
  <conditionalFormatting sqref="H25:I25">
    <cfRule type="cellIs" dxfId="300" priority="26" operator="greaterThan">
      <formula>$H$3</formula>
    </cfRule>
  </conditionalFormatting>
  <conditionalFormatting sqref="H19:I19">
    <cfRule type="cellIs" dxfId="299" priority="24" operator="greaterThan">
      <formula>$H$3</formula>
    </cfRule>
  </conditionalFormatting>
  <conditionalFormatting sqref="H20:I20">
    <cfRule type="cellIs" dxfId="298" priority="23" operator="greaterThan">
      <formula>$H$3</formula>
    </cfRule>
  </conditionalFormatting>
  <conditionalFormatting sqref="H21:I21">
    <cfRule type="cellIs" dxfId="297" priority="21" operator="greaterThan">
      <formula>$H$3</formula>
    </cfRule>
  </conditionalFormatting>
  <conditionalFormatting sqref="H21:I21">
    <cfRule type="cellIs" dxfId="296" priority="22" operator="greaterThan">
      <formula>$H$3</formula>
    </cfRule>
  </conditionalFormatting>
  <conditionalFormatting sqref="H29:I29">
    <cfRule type="cellIs" dxfId="295" priority="19" operator="greaterThan">
      <formula>$H$3</formula>
    </cfRule>
  </conditionalFormatting>
  <conditionalFormatting sqref="H29:I29">
    <cfRule type="cellIs" dxfId="294" priority="20" operator="greaterThan">
      <formula>$H$3</formula>
    </cfRule>
  </conditionalFormatting>
  <conditionalFormatting sqref="H27:I27">
    <cfRule type="cellIs" dxfId="293" priority="18" operator="greaterThan">
      <formula>$H$3</formula>
    </cfRule>
  </conditionalFormatting>
  <conditionalFormatting sqref="H28:I28">
    <cfRule type="cellIs" dxfId="292" priority="17" operator="greaterThan">
      <formula>$H$3</formula>
    </cfRule>
  </conditionalFormatting>
  <conditionalFormatting sqref="H33:I33">
    <cfRule type="cellIs" dxfId="291" priority="15" operator="greaterThan">
      <formula>$H$3</formula>
    </cfRule>
  </conditionalFormatting>
  <conditionalFormatting sqref="H33:I33">
    <cfRule type="cellIs" dxfId="290" priority="16" operator="greaterThan">
      <formula>$H$3</formula>
    </cfRule>
  </conditionalFormatting>
  <conditionalFormatting sqref="H37:I37">
    <cfRule type="cellIs" dxfId="289" priority="13" operator="greaterThan">
      <formula>$H$3</formula>
    </cfRule>
  </conditionalFormatting>
  <conditionalFormatting sqref="H37:I37">
    <cfRule type="cellIs" dxfId="288" priority="14" operator="greaterThan">
      <formula>$H$3</formula>
    </cfRule>
  </conditionalFormatting>
  <conditionalFormatting sqref="H41:I41">
    <cfRule type="cellIs" dxfId="287" priority="11" operator="greaterThan">
      <formula>$H$3</formula>
    </cfRule>
  </conditionalFormatting>
  <conditionalFormatting sqref="H41:I41">
    <cfRule type="cellIs" dxfId="286" priority="12" operator="greaterThan">
      <formula>$H$3</formula>
    </cfRule>
  </conditionalFormatting>
  <conditionalFormatting sqref="H45:I45">
    <cfRule type="cellIs" dxfId="285" priority="9" operator="greaterThan">
      <formula>$H$3</formula>
    </cfRule>
  </conditionalFormatting>
  <conditionalFormatting sqref="H45:I45">
    <cfRule type="cellIs" dxfId="284" priority="10" operator="greaterThan">
      <formula>$H$3</formula>
    </cfRule>
  </conditionalFormatting>
  <conditionalFormatting sqref="H52:I52">
    <cfRule type="cellIs" dxfId="283" priority="7" operator="greaterThan">
      <formula>$H$3</formula>
    </cfRule>
  </conditionalFormatting>
  <conditionalFormatting sqref="H52:I52">
    <cfRule type="cellIs" dxfId="282" priority="8" operator="greaterThan">
      <formula>$H$3</formula>
    </cfRule>
  </conditionalFormatting>
  <conditionalFormatting sqref="H58:I58">
    <cfRule type="cellIs" dxfId="281" priority="6" operator="greaterThan">
      <formula>$H$3</formula>
    </cfRule>
  </conditionalFormatting>
  <conditionalFormatting sqref="H60:I60">
    <cfRule type="cellIs" dxfId="280" priority="5" operator="greaterThan">
      <formula>$H$3</formula>
    </cfRule>
  </conditionalFormatting>
  <conditionalFormatting sqref="H47:H48">
    <cfRule type="cellIs" dxfId="279" priority="3" operator="greaterThan">
      <formula>$H$3</formula>
    </cfRule>
  </conditionalFormatting>
  <conditionalFormatting sqref="I47:I48">
    <cfRule type="cellIs" dxfId="278" priority="4" operator="greaterThan">
      <formula>$H$3</formula>
    </cfRule>
  </conditionalFormatting>
  <conditionalFormatting sqref="H49:I49">
    <cfRule type="cellIs" dxfId="277" priority="1" operator="greaterThan">
      <formula>$H$3</formula>
    </cfRule>
  </conditionalFormatting>
  <conditionalFormatting sqref="H49:I49">
    <cfRule type="cellIs" dxfId="276" priority="2" operator="greaterThan">
      <formula>$H$3</formula>
    </cfRule>
  </conditionalFormatting>
  <pageMargins left="0.2" right="0.2" top="0.75" bottom="0.75" header="0.3" footer="0.3"/>
  <pageSetup scale="64" orientation="landscape"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AF255"/>
  <sheetViews>
    <sheetView zoomScale="70" zoomScaleNormal="70" workbookViewId="0">
      <selection activeCell="B3" sqref="B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20.88671875" hidden="1" customWidth="1"/>
    <col min="8" max="8" width="20.88671875" style="214" hidden="1" customWidth="1"/>
    <col min="9" max="10" width="20.88671875" hidden="1" customWidth="1"/>
    <col min="11" max="11" width="20.88671875" style="172" hidden="1" customWidth="1"/>
    <col min="12" max="12" width="20.88671875" hidden="1" customWidth="1"/>
    <col min="13" max="15" width="20.88671875" style="37" hidden="1" customWidth="1"/>
    <col min="16" max="21" width="20.88671875" hidden="1" customWidth="1"/>
    <col min="22" max="22" width="51.44140625" hidden="1" customWidth="1"/>
    <col min="23" max="27" width="20.88671875" hidden="1" customWidth="1"/>
    <col min="28" max="28" width="51.44140625" hidden="1" customWidth="1"/>
    <col min="29" max="32" width="20.88671875" hidden="1" customWidth="1"/>
    <col min="33" max="33" width="20.88671875" customWidth="1"/>
    <col min="34" max="43" width="19.44140625" customWidth="1"/>
  </cols>
  <sheetData>
    <row r="1" spans="1:31" ht="15.75" thickBot="1" x14ac:dyDescent="0.3">
      <c r="K1" s="347" t="s">
        <v>0</v>
      </c>
      <c r="L1" s="348"/>
      <c r="M1" s="348"/>
      <c r="N1" s="348"/>
      <c r="O1" s="348"/>
      <c r="P1" s="348"/>
      <c r="Q1" s="348"/>
      <c r="R1" s="348"/>
      <c r="S1" s="348"/>
      <c r="T1" s="348"/>
      <c r="U1" s="348"/>
      <c r="V1" s="348"/>
      <c r="W1" s="348"/>
      <c r="X1" s="348"/>
      <c r="Y1" s="348"/>
      <c r="Z1" s="348"/>
    </row>
    <row r="2" spans="1:31" ht="30" x14ac:dyDescent="0.25">
      <c r="A2" s="2"/>
      <c r="B2" s="3"/>
      <c r="C2" s="3"/>
      <c r="D2" s="3"/>
      <c r="E2" s="4" t="s">
        <v>1</v>
      </c>
      <c r="F2" s="5" t="s">
        <v>2</v>
      </c>
      <c r="G2" s="6"/>
      <c r="H2" s="215"/>
      <c r="I2" s="6"/>
      <c r="K2" s="7">
        <v>41456</v>
      </c>
      <c r="L2" s="8"/>
      <c r="M2" s="9"/>
      <c r="N2" s="9"/>
      <c r="O2" s="9"/>
      <c r="P2" s="8"/>
    </row>
    <row r="3" spans="1:31" ht="19.5" thickBot="1" x14ac:dyDescent="0.35">
      <c r="A3" s="10" t="s">
        <v>127</v>
      </c>
      <c r="B3" s="11" t="s">
        <v>131</v>
      </c>
      <c r="C3" s="8"/>
      <c r="D3" s="8"/>
      <c r="E3" s="12">
        <v>41516</v>
      </c>
      <c r="F3" s="13">
        <f>$K$5/26</f>
        <v>0.16483516483516483</v>
      </c>
      <c r="G3" s="14"/>
      <c r="H3" s="216"/>
      <c r="I3" s="14"/>
      <c r="K3" s="15"/>
      <c r="L3" s="8"/>
      <c r="M3" s="9"/>
      <c r="N3" s="9"/>
      <c r="O3" s="9"/>
      <c r="P3" s="8"/>
    </row>
    <row r="4" spans="1:31" ht="15.75" thickBot="1" x14ac:dyDescent="0.3">
      <c r="A4" s="16"/>
      <c r="B4" s="8"/>
      <c r="C4" s="8"/>
      <c r="D4" s="17"/>
      <c r="E4" s="8"/>
      <c r="F4" s="8"/>
      <c r="G4" s="8"/>
      <c r="H4" s="217"/>
      <c r="I4" s="8"/>
      <c r="K4" s="15">
        <f>E3-K2</f>
        <v>60</v>
      </c>
      <c r="L4" s="8"/>
      <c r="M4" s="9" t="s">
        <v>79</v>
      </c>
      <c r="N4" s="9"/>
      <c r="O4" s="8"/>
      <c r="P4" s="8"/>
      <c r="R4" s="2" t="s">
        <v>78</v>
      </c>
      <c r="S4" s="3"/>
      <c r="T4" s="229"/>
      <c r="V4" s="2" t="s">
        <v>77</v>
      </c>
      <c r="W4" s="3"/>
      <c r="X4" s="3"/>
      <c r="Y4" s="3"/>
      <c r="Z4" s="229"/>
    </row>
    <row r="5" spans="1:31" ht="30.75" thickBot="1" x14ac:dyDescent="0.3">
      <c r="A5" s="20" t="s">
        <v>3</v>
      </c>
      <c r="B5" s="21" t="s">
        <v>4</v>
      </c>
      <c r="C5" s="21" t="s">
        <v>5</v>
      </c>
      <c r="D5" s="21" t="s">
        <v>6</v>
      </c>
      <c r="E5" s="22" t="s">
        <v>7</v>
      </c>
      <c r="F5" s="21" t="s">
        <v>8</v>
      </c>
      <c r="G5" s="25"/>
      <c r="H5" s="26" t="s">
        <v>10</v>
      </c>
      <c r="I5" s="26" t="s">
        <v>11</v>
      </c>
      <c r="K5" s="27">
        <f>K4/14</f>
        <v>4.2857142857142856</v>
      </c>
      <c r="L5" s="8"/>
      <c r="M5" t="s">
        <v>12</v>
      </c>
      <c r="N5" t="s">
        <v>13</v>
      </c>
      <c r="O5" t="s">
        <v>14</v>
      </c>
      <c r="R5" s="16" t="s">
        <v>12</v>
      </c>
      <c r="S5" s="8" t="s">
        <v>13</v>
      </c>
      <c r="T5" s="310" t="s">
        <v>14</v>
      </c>
      <c r="V5" t="s">
        <v>12</v>
      </c>
      <c r="W5" t="s">
        <v>13</v>
      </c>
      <c r="X5" t="s">
        <v>12</v>
      </c>
      <c r="Y5" t="s">
        <v>14</v>
      </c>
      <c r="Z5" s="19"/>
      <c r="AB5" t="s">
        <v>12</v>
      </c>
      <c r="AC5" t="s">
        <v>13</v>
      </c>
      <c r="AD5" t="s">
        <v>12</v>
      </c>
      <c r="AE5" t="s">
        <v>14</v>
      </c>
    </row>
    <row r="6" spans="1:31" ht="15" x14ac:dyDescent="0.25">
      <c r="A6" s="28" t="s">
        <v>15</v>
      </c>
      <c r="B6" s="29">
        <f t="shared" ref="B6:C12" si="0">N9</f>
        <v>2</v>
      </c>
      <c r="C6" s="30">
        <f t="shared" si="0"/>
        <v>310.25</v>
      </c>
      <c r="D6" s="31">
        <v>1</v>
      </c>
      <c r="E6" s="30">
        <f t="shared" ref="E6:E12" si="1">C6*D6</f>
        <v>310.25</v>
      </c>
      <c r="F6" s="30">
        <f t="shared" ref="F6:F12" si="2">C6-E6</f>
        <v>0</v>
      </c>
      <c r="G6" s="34"/>
      <c r="H6" s="218"/>
      <c r="I6" s="35"/>
      <c r="K6" s="8"/>
      <c r="L6" s="8"/>
      <c r="M6" t="s">
        <v>71</v>
      </c>
      <c r="N6">
        <v>0</v>
      </c>
      <c r="O6">
        <v>0</v>
      </c>
      <c r="R6" s="16" t="s">
        <v>71</v>
      </c>
      <c r="S6" s="8">
        <f t="shared" ref="S6:S31" si="3">W6</f>
        <v>0</v>
      </c>
      <c r="T6" s="310">
        <f t="shared" ref="T6:T31" si="4">Y6</f>
        <v>0</v>
      </c>
      <c r="Z6" s="19"/>
    </row>
    <row r="7" spans="1:31" ht="15" x14ac:dyDescent="0.25">
      <c r="A7" s="38" t="s">
        <v>16</v>
      </c>
      <c r="B7" s="39">
        <f t="shared" si="0"/>
        <v>0</v>
      </c>
      <c r="C7" s="40">
        <f t="shared" si="0"/>
        <v>0</v>
      </c>
      <c r="D7" s="41">
        <v>1</v>
      </c>
      <c r="E7" s="40">
        <f t="shared" si="1"/>
        <v>0</v>
      </c>
      <c r="F7" s="40">
        <f t="shared" si="2"/>
        <v>0</v>
      </c>
      <c r="G7" s="34"/>
      <c r="H7" s="218"/>
      <c r="I7" s="35"/>
      <c r="K7" s="8"/>
      <c r="L7" s="8"/>
      <c r="M7" t="s">
        <v>24</v>
      </c>
      <c r="N7">
        <v>1</v>
      </c>
      <c r="O7">
        <v>2311.96</v>
      </c>
      <c r="R7" s="16" t="s">
        <v>24</v>
      </c>
      <c r="S7" s="8">
        <f t="shared" si="3"/>
        <v>1</v>
      </c>
      <c r="T7" s="310">
        <f t="shared" si="4"/>
        <v>2311.96</v>
      </c>
      <c r="V7" t="s">
        <v>24</v>
      </c>
      <c r="W7">
        <v>1</v>
      </c>
      <c r="X7" t="s">
        <v>24</v>
      </c>
      <c r="Y7">
        <v>2311.96</v>
      </c>
      <c r="Z7" s="19"/>
      <c r="AB7" t="s">
        <v>24</v>
      </c>
      <c r="AC7">
        <v>1</v>
      </c>
      <c r="AD7" t="s">
        <v>24</v>
      </c>
      <c r="AE7">
        <v>2311.96</v>
      </c>
    </row>
    <row r="8" spans="1:31" ht="15" x14ac:dyDescent="0.25">
      <c r="A8" s="38" t="s">
        <v>17</v>
      </c>
      <c r="B8" s="39">
        <f t="shared" si="0"/>
        <v>0</v>
      </c>
      <c r="C8" s="40">
        <f t="shared" si="0"/>
        <v>0</v>
      </c>
      <c r="D8" s="41">
        <v>0.3</v>
      </c>
      <c r="E8" s="40">
        <f t="shared" si="1"/>
        <v>0</v>
      </c>
      <c r="F8" s="40">
        <f t="shared" si="2"/>
        <v>0</v>
      </c>
      <c r="G8" s="34"/>
      <c r="H8" s="218"/>
      <c r="I8" s="35"/>
      <c r="K8" s="8"/>
      <c r="L8" s="8"/>
      <c r="M8" t="s">
        <v>76</v>
      </c>
      <c r="N8">
        <v>0</v>
      </c>
      <c r="O8">
        <v>0</v>
      </c>
      <c r="R8" s="16" t="s">
        <v>76</v>
      </c>
      <c r="S8" s="8">
        <f t="shared" si="3"/>
        <v>0</v>
      </c>
      <c r="T8" s="310">
        <f t="shared" si="4"/>
        <v>0</v>
      </c>
      <c r="Z8" s="19"/>
    </row>
    <row r="9" spans="1:31" ht="15" x14ac:dyDescent="0.25">
      <c r="A9" s="38" t="s">
        <v>18</v>
      </c>
      <c r="B9" s="39">
        <f t="shared" si="0"/>
        <v>18</v>
      </c>
      <c r="C9" s="40">
        <f t="shared" si="0"/>
        <v>8735.2199999999993</v>
      </c>
      <c r="D9" s="41">
        <v>1</v>
      </c>
      <c r="E9" s="40">
        <f t="shared" si="1"/>
        <v>8735.2199999999993</v>
      </c>
      <c r="F9" s="40">
        <f t="shared" si="2"/>
        <v>0</v>
      </c>
      <c r="G9" s="34"/>
      <c r="H9" s="218"/>
      <c r="I9" s="35"/>
      <c r="K9" s="8"/>
      <c r="L9" s="8"/>
      <c r="M9" t="s">
        <v>15</v>
      </c>
      <c r="N9">
        <v>2</v>
      </c>
      <c r="O9">
        <v>310.25</v>
      </c>
      <c r="R9" s="16" t="s">
        <v>15</v>
      </c>
      <c r="S9" s="8">
        <f t="shared" si="3"/>
        <v>2</v>
      </c>
      <c r="T9" s="310">
        <f t="shared" si="4"/>
        <v>310.25</v>
      </c>
      <c r="V9" t="s">
        <v>15</v>
      </c>
      <c r="W9">
        <v>2</v>
      </c>
      <c r="X9" t="s">
        <v>15</v>
      </c>
      <c r="Y9">
        <v>310.25</v>
      </c>
      <c r="Z9" s="19"/>
      <c r="AB9" t="s">
        <v>15</v>
      </c>
      <c r="AC9">
        <v>2</v>
      </c>
      <c r="AD9" t="s">
        <v>15</v>
      </c>
      <c r="AE9">
        <v>310.25</v>
      </c>
    </row>
    <row r="10" spans="1:31" ht="15" x14ac:dyDescent="0.25">
      <c r="A10" s="38" t="s">
        <v>19</v>
      </c>
      <c r="B10" s="39">
        <f t="shared" si="0"/>
        <v>0</v>
      </c>
      <c r="C10" s="40">
        <f t="shared" si="0"/>
        <v>0</v>
      </c>
      <c r="D10" s="41">
        <v>0.3</v>
      </c>
      <c r="E10" s="40">
        <f t="shared" si="1"/>
        <v>0</v>
      </c>
      <c r="F10" s="40">
        <f t="shared" si="2"/>
        <v>0</v>
      </c>
      <c r="G10" s="43"/>
      <c r="H10" s="219"/>
      <c r="I10" s="44"/>
      <c r="J10" s="45"/>
      <c r="K10" s="8"/>
      <c r="L10" s="8"/>
      <c r="M10" s="38" t="s">
        <v>16</v>
      </c>
      <c r="N10">
        <v>0</v>
      </c>
      <c r="O10">
        <v>0</v>
      </c>
      <c r="R10" s="16" t="s">
        <v>16</v>
      </c>
      <c r="S10" s="8">
        <f t="shared" si="3"/>
        <v>0</v>
      </c>
      <c r="T10" s="310">
        <f t="shared" si="4"/>
        <v>0</v>
      </c>
      <c r="Z10" s="19"/>
    </row>
    <row r="11" spans="1:31" ht="15" x14ac:dyDescent="0.25">
      <c r="A11" s="38" t="s">
        <v>20</v>
      </c>
      <c r="B11" s="39">
        <f t="shared" si="0"/>
        <v>67</v>
      </c>
      <c r="C11" s="40">
        <f t="shared" si="0"/>
        <v>31982.779999999995</v>
      </c>
      <c r="D11" s="41">
        <v>1</v>
      </c>
      <c r="E11" s="40">
        <f t="shared" si="1"/>
        <v>31982.779999999995</v>
      </c>
      <c r="F11" s="40">
        <f t="shared" si="2"/>
        <v>0</v>
      </c>
      <c r="G11" s="43"/>
      <c r="H11" s="219"/>
      <c r="I11" s="44"/>
      <c r="K11" s="8"/>
      <c r="L11" s="8"/>
      <c r="M11" t="s">
        <v>17</v>
      </c>
      <c r="N11">
        <v>0</v>
      </c>
      <c r="O11">
        <v>0</v>
      </c>
      <c r="R11" s="16" t="s">
        <v>17</v>
      </c>
      <c r="S11" s="8">
        <f t="shared" si="3"/>
        <v>0</v>
      </c>
      <c r="T11" s="310">
        <f t="shared" si="4"/>
        <v>0</v>
      </c>
      <c r="Z11" s="19"/>
    </row>
    <row r="12" spans="1:31" ht="15" x14ac:dyDescent="0.25">
      <c r="A12" s="38" t="s">
        <v>21</v>
      </c>
      <c r="B12" s="39">
        <f t="shared" si="0"/>
        <v>6</v>
      </c>
      <c r="C12" s="40">
        <f t="shared" si="0"/>
        <v>2051.71</v>
      </c>
      <c r="D12" s="41">
        <v>0.3</v>
      </c>
      <c r="E12" s="40">
        <f t="shared" si="1"/>
        <v>615.51300000000003</v>
      </c>
      <c r="F12" s="40">
        <f t="shared" si="2"/>
        <v>1436.1970000000001</v>
      </c>
      <c r="G12" s="43"/>
      <c r="H12" s="219"/>
      <c r="I12" s="44"/>
      <c r="K12" s="8"/>
      <c r="L12" s="8"/>
      <c r="M12" t="s">
        <v>18</v>
      </c>
      <c r="N12">
        <v>18</v>
      </c>
      <c r="O12">
        <v>8735.2199999999993</v>
      </c>
      <c r="R12" s="16" t="s">
        <v>18</v>
      </c>
      <c r="S12" s="8">
        <f t="shared" si="3"/>
        <v>18</v>
      </c>
      <c r="T12" s="310">
        <f t="shared" si="4"/>
        <v>8735.2199999999993</v>
      </c>
      <c r="V12" t="s">
        <v>18</v>
      </c>
      <c r="W12">
        <v>18</v>
      </c>
      <c r="X12" t="s">
        <v>18</v>
      </c>
      <c r="Y12">
        <v>8735.2199999999993</v>
      </c>
      <c r="Z12" s="19"/>
      <c r="AB12" t="s">
        <v>18</v>
      </c>
      <c r="AC12">
        <v>18</v>
      </c>
      <c r="AD12" t="s">
        <v>18</v>
      </c>
      <c r="AE12">
        <v>8735.2199999999993</v>
      </c>
    </row>
    <row r="13" spans="1:31" ht="15" customHeight="1" thickBot="1" x14ac:dyDescent="0.3">
      <c r="A13" s="46" t="s">
        <v>22</v>
      </c>
      <c r="B13" s="47">
        <f>SUM(B6:B12)</f>
        <v>93</v>
      </c>
      <c r="C13" s="48">
        <f>SUM(C6:C12)</f>
        <v>43079.959999999992</v>
      </c>
      <c r="D13" s="49"/>
      <c r="E13" s="48">
        <f>SUM(E6:E12)</f>
        <v>41643.762999999992</v>
      </c>
      <c r="F13" s="50">
        <f>SUM(F6:F12)</f>
        <v>1436.1970000000001</v>
      </c>
      <c r="G13" s="53"/>
      <c r="H13" s="220" t="e">
        <f>(#REF!/F$3)*#REF!</f>
        <v>#REF!</v>
      </c>
      <c r="I13" s="55" t="e">
        <f>H13-#REF!</f>
        <v>#REF!</v>
      </c>
      <c r="K13" s="8"/>
      <c r="L13" s="8"/>
      <c r="M13" t="s">
        <v>19</v>
      </c>
      <c r="N13">
        <v>0</v>
      </c>
      <c r="O13">
        <v>0</v>
      </c>
      <c r="R13" s="16" t="s">
        <v>19</v>
      </c>
      <c r="S13" s="8">
        <f t="shared" si="3"/>
        <v>0</v>
      </c>
      <c r="T13" s="310">
        <f t="shared" si="4"/>
        <v>0</v>
      </c>
      <c r="Z13" s="19"/>
    </row>
    <row r="14" spans="1:31" ht="15" thickBot="1" x14ac:dyDescent="0.35">
      <c r="A14" s="57"/>
      <c r="B14" s="58"/>
      <c r="C14" s="59"/>
      <c r="D14" s="60"/>
      <c r="E14" s="59"/>
      <c r="F14" s="59"/>
      <c r="G14" s="63"/>
      <c r="H14" s="349"/>
      <c r="I14" s="338"/>
      <c r="K14" s="8"/>
      <c r="L14" s="8"/>
      <c r="M14" t="s">
        <v>20</v>
      </c>
      <c r="N14">
        <v>67</v>
      </c>
      <c r="O14">
        <v>31982.779999999995</v>
      </c>
      <c r="R14" s="16" t="s">
        <v>20</v>
      </c>
      <c r="S14" s="8">
        <f t="shared" si="3"/>
        <v>67</v>
      </c>
      <c r="T14" s="310">
        <f t="shared" si="4"/>
        <v>31982.779999999995</v>
      </c>
      <c r="V14" t="s">
        <v>20</v>
      </c>
      <c r="W14">
        <v>67</v>
      </c>
      <c r="X14" t="s">
        <v>20</v>
      </c>
      <c r="Y14">
        <v>31982.779999999995</v>
      </c>
      <c r="Z14" s="19"/>
      <c r="AB14" t="s">
        <v>20</v>
      </c>
      <c r="AC14">
        <v>67</v>
      </c>
      <c r="AD14" t="s">
        <v>20</v>
      </c>
      <c r="AE14">
        <v>31982.779999999995</v>
      </c>
    </row>
    <row r="15" spans="1:31" x14ac:dyDescent="0.3">
      <c r="A15" s="65" t="s">
        <v>23</v>
      </c>
      <c r="B15" s="66">
        <f>N7</f>
        <v>1</v>
      </c>
      <c r="C15" s="67">
        <f>O7</f>
        <v>2311.96</v>
      </c>
      <c r="D15" s="68">
        <v>1</v>
      </c>
      <c r="E15" s="67">
        <f>C15*D15</f>
        <v>2311.96</v>
      </c>
      <c r="F15" s="67">
        <v>0</v>
      </c>
      <c r="G15" s="71"/>
      <c r="H15" s="339"/>
      <c r="I15" s="340"/>
      <c r="K15" s="8"/>
      <c r="L15" s="8"/>
      <c r="M15" t="s">
        <v>21</v>
      </c>
      <c r="N15">
        <v>6</v>
      </c>
      <c r="O15">
        <v>2051.71</v>
      </c>
      <c r="R15" s="16" t="s">
        <v>21</v>
      </c>
      <c r="S15" s="8">
        <f t="shared" si="3"/>
        <v>6</v>
      </c>
      <c r="T15" s="310">
        <f t="shared" si="4"/>
        <v>2051.71</v>
      </c>
      <c r="V15" t="s">
        <v>21</v>
      </c>
      <c r="W15">
        <v>6</v>
      </c>
      <c r="X15" t="s">
        <v>21</v>
      </c>
      <c r="Y15">
        <v>2051.71</v>
      </c>
      <c r="Z15" s="19"/>
      <c r="AB15" t="s">
        <v>21</v>
      </c>
      <c r="AC15">
        <v>6</v>
      </c>
      <c r="AD15" t="s">
        <v>21</v>
      </c>
      <c r="AE15">
        <v>2051.71</v>
      </c>
    </row>
    <row r="16" spans="1:31" x14ac:dyDescent="0.3">
      <c r="A16" s="72" t="s">
        <v>25</v>
      </c>
      <c r="B16" s="39">
        <f>N8</f>
        <v>0</v>
      </c>
      <c r="C16" s="40">
        <f>O8</f>
        <v>0</v>
      </c>
      <c r="D16" s="73">
        <v>0.3</v>
      </c>
      <c r="E16" s="40">
        <f>C16*D16</f>
        <v>0</v>
      </c>
      <c r="F16" s="40">
        <f>C16-E16</f>
        <v>0</v>
      </c>
      <c r="G16" s="71"/>
      <c r="H16" s="341"/>
      <c r="I16" s="342"/>
      <c r="K16" s="8"/>
      <c r="L16" s="8"/>
      <c r="M16" s="16" t="s">
        <v>80</v>
      </c>
      <c r="N16">
        <v>0</v>
      </c>
      <c r="O16">
        <v>0</v>
      </c>
      <c r="R16" s="16" t="s">
        <v>80</v>
      </c>
      <c r="S16" s="8">
        <f t="shared" si="3"/>
        <v>0</v>
      </c>
      <c r="T16" s="310">
        <f t="shared" si="4"/>
        <v>0</v>
      </c>
      <c r="Z16" s="19"/>
    </row>
    <row r="17" spans="1:31" ht="15" customHeight="1" thickBot="1" x14ac:dyDescent="0.3">
      <c r="A17" s="74" t="s">
        <v>26</v>
      </c>
      <c r="B17" s="75">
        <f>SUM(B15:B16)</f>
        <v>1</v>
      </c>
      <c r="C17" s="76">
        <f>SUM(C15:C16)</f>
        <v>2311.96</v>
      </c>
      <c r="D17" s="77"/>
      <c r="E17" s="76">
        <f>SUM(E15:E16)</f>
        <v>2311.96</v>
      </c>
      <c r="F17" s="76">
        <f>F16</f>
        <v>0</v>
      </c>
      <c r="G17" s="80"/>
      <c r="H17" s="221" t="e">
        <f>(#REF!/F$3)*#REF!</f>
        <v>#REF!</v>
      </c>
      <c r="I17" s="81" t="e">
        <f>H17-#REF!</f>
        <v>#REF!</v>
      </c>
      <c r="K17" s="8"/>
      <c r="L17" s="8"/>
      <c r="M17" t="s">
        <v>72</v>
      </c>
      <c r="N17">
        <v>19</v>
      </c>
      <c r="O17">
        <v>8761.1800000000021</v>
      </c>
      <c r="R17" s="16" t="s">
        <v>72</v>
      </c>
      <c r="S17" s="8">
        <f t="shared" si="3"/>
        <v>19</v>
      </c>
      <c r="T17" s="310">
        <f t="shared" si="4"/>
        <v>8761.1800000000021</v>
      </c>
      <c r="V17" t="s">
        <v>72</v>
      </c>
      <c r="W17">
        <v>19</v>
      </c>
      <c r="X17" t="s">
        <v>72</v>
      </c>
      <c r="Y17">
        <v>8761.1800000000021</v>
      </c>
      <c r="Z17" s="19"/>
      <c r="AB17" t="s">
        <v>72</v>
      </c>
      <c r="AC17">
        <v>19</v>
      </c>
      <c r="AD17" t="s">
        <v>72</v>
      </c>
      <c r="AE17">
        <v>8761.1800000000021</v>
      </c>
    </row>
    <row r="18" spans="1:31" ht="15" thickBot="1" x14ac:dyDescent="0.35">
      <c r="A18" s="57"/>
      <c r="B18" s="82"/>
      <c r="C18" s="61"/>
      <c r="D18" s="83"/>
      <c r="E18" s="61"/>
      <c r="F18" s="61"/>
      <c r="G18" s="63"/>
      <c r="H18" s="349"/>
      <c r="I18" s="338"/>
      <c r="K18" s="8"/>
      <c r="L18" s="8"/>
      <c r="M18" t="s">
        <v>31</v>
      </c>
      <c r="N18">
        <v>0</v>
      </c>
      <c r="O18">
        <v>0</v>
      </c>
      <c r="R18" s="16" t="s">
        <v>31</v>
      </c>
      <c r="S18" s="8">
        <f t="shared" si="3"/>
        <v>0</v>
      </c>
      <c r="T18" s="310">
        <f t="shared" si="4"/>
        <v>0</v>
      </c>
      <c r="Z18" s="19"/>
    </row>
    <row r="19" spans="1:31" x14ac:dyDescent="0.3">
      <c r="A19" s="65" t="s">
        <v>27</v>
      </c>
      <c r="B19" s="66"/>
      <c r="C19" s="67"/>
      <c r="D19" s="68">
        <v>1</v>
      </c>
      <c r="E19" s="67">
        <f>C19*D19</f>
        <v>0</v>
      </c>
      <c r="F19" s="67">
        <v>0</v>
      </c>
      <c r="G19" s="71"/>
      <c r="H19" s="339"/>
      <c r="I19" s="340"/>
      <c r="K19" s="8"/>
      <c r="L19" s="8"/>
      <c r="M19" t="s">
        <v>73</v>
      </c>
      <c r="N19">
        <v>17</v>
      </c>
      <c r="O19">
        <v>12051.789999999999</v>
      </c>
      <c r="R19" s="16" t="s">
        <v>73</v>
      </c>
      <c r="S19" s="8">
        <f t="shared" si="3"/>
        <v>17</v>
      </c>
      <c r="T19" s="310">
        <f t="shared" si="4"/>
        <v>12051.789999999999</v>
      </c>
      <c r="V19" t="s">
        <v>73</v>
      </c>
      <c r="W19">
        <v>17</v>
      </c>
      <c r="X19" t="s">
        <v>73</v>
      </c>
      <c r="Y19">
        <v>12051.789999999999</v>
      </c>
      <c r="Z19" s="19"/>
      <c r="AB19" t="s">
        <v>73</v>
      </c>
      <c r="AC19">
        <v>17</v>
      </c>
      <c r="AD19" t="s">
        <v>73</v>
      </c>
      <c r="AE19">
        <v>12051.789999999999</v>
      </c>
    </row>
    <row r="20" spans="1:31" x14ac:dyDescent="0.3">
      <c r="A20" s="72" t="s">
        <v>28</v>
      </c>
      <c r="B20" s="39">
        <f>N6</f>
        <v>0</v>
      </c>
      <c r="C20" s="40">
        <f>O6</f>
        <v>0</v>
      </c>
      <c r="D20" s="73">
        <v>0.3</v>
      </c>
      <c r="E20" s="40">
        <f>C20*D20</f>
        <v>0</v>
      </c>
      <c r="F20" s="40">
        <f>C20-E20</f>
        <v>0</v>
      </c>
      <c r="G20" s="71"/>
      <c r="H20" s="341"/>
      <c r="I20" s="342"/>
      <c r="K20" s="8"/>
      <c r="L20" s="8"/>
      <c r="M20" t="s">
        <v>74</v>
      </c>
      <c r="N20">
        <v>2</v>
      </c>
      <c r="O20">
        <v>2094.56</v>
      </c>
      <c r="R20" s="16" t="s">
        <v>74</v>
      </c>
      <c r="S20" s="8">
        <f t="shared" si="3"/>
        <v>2</v>
      </c>
      <c r="T20" s="310">
        <f t="shared" si="4"/>
        <v>2094.56</v>
      </c>
      <c r="V20" t="s">
        <v>74</v>
      </c>
      <c r="W20">
        <v>2</v>
      </c>
      <c r="X20" t="s">
        <v>74</v>
      </c>
      <c r="Y20">
        <v>2094.56</v>
      </c>
      <c r="Z20" s="19"/>
      <c r="AB20" t="s">
        <v>74</v>
      </c>
      <c r="AC20">
        <v>2</v>
      </c>
      <c r="AD20" t="s">
        <v>74</v>
      </c>
      <c r="AE20">
        <v>2094.56</v>
      </c>
    </row>
    <row r="21" spans="1:31" ht="15" customHeight="1" thickBot="1" x14ac:dyDescent="0.3">
      <c r="A21" s="74" t="s">
        <v>29</v>
      </c>
      <c r="B21" s="75">
        <f>SUM(B19:B20)</f>
        <v>0</v>
      </c>
      <c r="C21" s="76">
        <f>SUM(C19:C20)</f>
        <v>0</v>
      </c>
      <c r="D21" s="77"/>
      <c r="E21" s="76">
        <f>SUM(E19:E20)</f>
        <v>0</v>
      </c>
      <c r="F21" s="76">
        <f>F20</f>
        <v>0</v>
      </c>
      <c r="G21" s="80"/>
      <c r="H21" s="221">
        <v>1210.4083079629038</v>
      </c>
      <c r="I21" s="81">
        <v>-399744.59169203712</v>
      </c>
      <c r="K21" s="8"/>
      <c r="L21" s="8"/>
      <c r="M21" t="s">
        <v>38</v>
      </c>
      <c r="N21">
        <v>32</v>
      </c>
      <c r="O21">
        <v>7002.9700000000012</v>
      </c>
      <c r="R21" s="16" t="s">
        <v>38</v>
      </c>
      <c r="S21" s="8">
        <f t="shared" si="3"/>
        <v>32</v>
      </c>
      <c r="T21" s="310">
        <f t="shared" si="4"/>
        <v>7002.9700000000012</v>
      </c>
      <c r="V21" t="s">
        <v>38</v>
      </c>
      <c r="W21">
        <v>32</v>
      </c>
      <c r="X21" t="s">
        <v>38</v>
      </c>
      <c r="Y21">
        <v>7002.9700000000012</v>
      </c>
      <c r="Z21" s="19"/>
      <c r="AB21" t="s">
        <v>38</v>
      </c>
      <c r="AC21">
        <v>32</v>
      </c>
      <c r="AD21" t="s">
        <v>38</v>
      </c>
      <c r="AE21">
        <v>7002.9700000000012</v>
      </c>
    </row>
    <row r="22" spans="1:31" ht="15" thickBot="1" x14ac:dyDescent="0.35">
      <c r="A22" s="57"/>
      <c r="B22" s="82"/>
      <c r="C22" s="61"/>
      <c r="D22" s="83"/>
      <c r="E22" s="61"/>
      <c r="F22" s="61"/>
      <c r="G22" s="63"/>
      <c r="H22" s="349"/>
      <c r="I22" s="338"/>
      <c r="K22" s="8"/>
      <c r="L22" s="8"/>
      <c r="M22" t="s">
        <v>40</v>
      </c>
      <c r="N22">
        <v>3</v>
      </c>
      <c r="O22">
        <v>1991.9899999999996</v>
      </c>
      <c r="R22" s="16" t="s">
        <v>40</v>
      </c>
      <c r="S22" s="8">
        <f t="shared" si="3"/>
        <v>3</v>
      </c>
      <c r="T22" s="310">
        <f t="shared" si="4"/>
        <v>1991.9899999999996</v>
      </c>
      <c r="V22" t="s">
        <v>40</v>
      </c>
      <c r="W22">
        <v>3</v>
      </c>
      <c r="X22" t="s">
        <v>40</v>
      </c>
      <c r="Y22">
        <v>1991.9899999999996</v>
      </c>
      <c r="Z22" s="19"/>
      <c r="AB22" t="s">
        <v>40</v>
      </c>
      <c r="AC22">
        <v>3</v>
      </c>
      <c r="AD22" t="s">
        <v>40</v>
      </c>
      <c r="AE22">
        <v>1991.9899999999996</v>
      </c>
    </row>
    <row r="23" spans="1:31" x14ac:dyDescent="0.3">
      <c r="A23" s="84" t="s">
        <v>30</v>
      </c>
      <c r="B23" s="85">
        <f>N17</f>
        <v>19</v>
      </c>
      <c r="C23" s="86">
        <f>O17</f>
        <v>8761.1800000000021</v>
      </c>
      <c r="D23" s="87">
        <v>1</v>
      </c>
      <c r="E23" s="86">
        <f>C23*D23</f>
        <v>8761.1800000000021</v>
      </c>
      <c r="F23" s="88"/>
      <c r="G23" s="91"/>
      <c r="H23" s="339"/>
      <c r="I23" s="340"/>
      <c r="K23" s="8"/>
      <c r="L23" s="8"/>
      <c r="M23" t="s">
        <v>58</v>
      </c>
      <c r="N23">
        <v>99</v>
      </c>
      <c r="O23">
        <v>49805.950000000019</v>
      </c>
      <c r="R23" s="16" t="s">
        <v>58</v>
      </c>
      <c r="S23" s="8">
        <f t="shared" si="3"/>
        <v>99</v>
      </c>
      <c r="T23" s="310">
        <f t="shared" si="4"/>
        <v>49805.950000000019</v>
      </c>
      <c r="V23" t="s">
        <v>58</v>
      </c>
      <c r="W23">
        <v>99</v>
      </c>
      <c r="X23" t="s">
        <v>58</v>
      </c>
      <c r="Y23">
        <v>49805.950000000019</v>
      </c>
      <c r="Z23" s="19"/>
      <c r="AB23" t="s">
        <v>58</v>
      </c>
      <c r="AC23">
        <v>99</v>
      </c>
      <c r="AD23" t="s">
        <v>58</v>
      </c>
      <c r="AE23">
        <v>49805.950000000019</v>
      </c>
    </row>
    <row r="24" spans="1:31" x14ac:dyDescent="0.3">
      <c r="A24" s="84" t="s">
        <v>32</v>
      </c>
      <c r="B24" s="85">
        <f>N18</f>
        <v>0</v>
      </c>
      <c r="C24" s="93">
        <f>O18</f>
        <v>0</v>
      </c>
      <c r="D24" s="94">
        <v>0.3</v>
      </c>
      <c r="E24" s="93">
        <f>C24*D24</f>
        <v>0</v>
      </c>
      <c r="F24" s="95">
        <f>C24-E24</f>
        <v>0</v>
      </c>
      <c r="G24" s="91"/>
      <c r="H24" s="341"/>
      <c r="I24" s="342"/>
      <c r="K24" s="8"/>
      <c r="L24" s="8"/>
      <c r="M24" t="s">
        <v>43</v>
      </c>
      <c r="N24">
        <v>19</v>
      </c>
      <c r="O24">
        <v>19573.900000000001</v>
      </c>
      <c r="R24" s="16" t="s">
        <v>43</v>
      </c>
      <c r="S24" s="8">
        <f t="shared" si="3"/>
        <v>19</v>
      </c>
      <c r="T24" s="310">
        <f t="shared" si="4"/>
        <v>19573.900000000001</v>
      </c>
      <c r="V24" t="s">
        <v>43</v>
      </c>
      <c r="W24">
        <v>19</v>
      </c>
      <c r="X24" t="s">
        <v>43</v>
      </c>
      <c r="Y24">
        <v>19573.900000000001</v>
      </c>
      <c r="Z24" s="19"/>
      <c r="AB24" t="s">
        <v>43</v>
      </c>
      <c r="AC24">
        <v>19</v>
      </c>
      <c r="AD24" t="s">
        <v>43</v>
      </c>
      <c r="AE24">
        <v>19573.900000000001</v>
      </c>
    </row>
    <row r="25" spans="1:31" ht="15" customHeight="1" thickBot="1" x14ac:dyDescent="0.3">
      <c r="A25" s="74" t="s">
        <v>33</v>
      </c>
      <c r="B25" s="75">
        <f>SUM(B23:B24)</f>
        <v>19</v>
      </c>
      <c r="C25" s="76">
        <f>SUM(C23:C24)</f>
        <v>8761.1800000000021</v>
      </c>
      <c r="D25" s="77"/>
      <c r="E25" s="76">
        <f>SUM(E23:E24)</f>
        <v>8761.1800000000021</v>
      </c>
      <c r="F25" s="76">
        <f>F24</f>
        <v>0</v>
      </c>
      <c r="G25" s="80"/>
      <c r="H25" s="221" t="e">
        <f>(#REF!/F$3)*#REF!</f>
        <v>#REF!</v>
      </c>
      <c r="I25" s="81" t="e">
        <f>H25-#REF!</f>
        <v>#REF!</v>
      </c>
      <c r="K25" s="8"/>
      <c r="L25" s="8"/>
      <c r="M25" t="s">
        <v>45</v>
      </c>
      <c r="N25">
        <v>8</v>
      </c>
      <c r="O25">
        <v>2060.86</v>
      </c>
      <c r="R25" s="16" t="s">
        <v>45</v>
      </c>
      <c r="S25" s="8">
        <f t="shared" si="3"/>
        <v>8</v>
      </c>
      <c r="T25" s="310">
        <f t="shared" si="4"/>
        <v>2060.86</v>
      </c>
      <c r="V25" t="s">
        <v>45</v>
      </c>
      <c r="W25">
        <v>8</v>
      </c>
      <c r="X25" t="s">
        <v>45</v>
      </c>
      <c r="Y25">
        <v>2060.86</v>
      </c>
      <c r="Z25" s="19"/>
      <c r="AB25" t="s">
        <v>45</v>
      </c>
      <c r="AC25">
        <v>8</v>
      </c>
      <c r="AD25" t="s">
        <v>45</v>
      </c>
      <c r="AE25">
        <v>2060.86</v>
      </c>
    </row>
    <row r="26" spans="1:31" ht="15" thickBot="1" x14ac:dyDescent="0.35">
      <c r="A26" s="57"/>
      <c r="B26" s="82"/>
      <c r="C26" s="61"/>
      <c r="D26" s="83"/>
      <c r="E26" s="61"/>
      <c r="F26" s="61"/>
      <c r="G26" s="63"/>
      <c r="H26" s="337"/>
      <c r="I26" s="350"/>
      <c r="K26" s="8"/>
      <c r="L26" s="8"/>
      <c r="M26" t="s">
        <v>48</v>
      </c>
      <c r="N26">
        <v>15</v>
      </c>
      <c r="O26">
        <v>7298.3300000000008</v>
      </c>
      <c r="R26" s="16" t="s">
        <v>48</v>
      </c>
      <c r="S26" s="8">
        <f t="shared" si="3"/>
        <v>15</v>
      </c>
      <c r="T26" s="310">
        <f t="shared" si="4"/>
        <v>7298.3300000000008</v>
      </c>
      <c r="V26" t="s">
        <v>48</v>
      </c>
      <c r="W26">
        <v>15</v>
      </c>
      <c r="X26" t="s">
        <v>48</v>
      </c>
      <c r="Y26">
        <v>7298.3300000000008</v>
      </c>
      <c r="Z26" s="19"/>
      <c r="AB26" t="s">
        <v>48</v>
      </c>
      <c r="AC26">
        <v>15</v>
      </c>
      <c r="AD26" t="s">
        <v>48</v>
      </c>
      <c r="AE26">
        <v>7298.3300000000008</v>
      </c>
    </row>
    <row r="27" spans="1:31" x14ac:dyDescent="0.3">
      <c r="A27" s="65" t="s">
        <v>34</v>
      </c>
      <c r="B27" s="98">
        <f>N19</f>
        <v>17</v>
      </c>
      <c r="C27" s="99">
        <f>O19</f>
        <v>12051.789999999999</v>
      </c>
      <c r="D27" s="100">
        <v>1</v>
      </c>
      <c r="E27" s="101">
        <f>C27*D27</f>
        <v>12051.789999999999</v>
      </c>
      <c r="F27" s="101">
        <v>0</v>
      </c>
      <c r="G27" s="71"/>
      <c r="H27" s="351"/>
      <c r="I27" s="352"/>
      <c r="K27" s="8"/>
      <c r="L27" s="8"/>
      <c r="M27" t="s">
        <v>50</v>
      </c>
      <c r="N27">
        <v>7</v>
      </c>
      <c r="O27">
        <v>2334.36</v>
      </c>
      <c r="R27" s="16" t="s">
        <v>50</v>
      </c>
      <c r="S27" s="8">
        <f t="shared" si="3"/>
        <v>7</v>
      </c>
      <c r="T27" s="310">
        <f t="shared" si="4"/>
        <v>2334.36</v>
      </c>
      <c r="V27" t="s">
        <v>50</v>
      </c>
      <c r="W27">
        <v>7</v>
      </c>
      <c r="X27" t="s">
        <v>50</v>
      </c>
      <c r="Y27">
        <v>2334.36</v>
      </c>
      <c r="Z27" s="19"/>
      <c r="AB27" t="s">
        <v>50</v>
      </c>
      <c r="AC27">
        <v>7</v>
      </c>
      <c r="AD27" t="s">
        <v>50</v>
      </c>
      <c r="AE27">
        <v>2334.36</v>
      </c>
    </row>
    <row r="28" spans="1:31" x14ac:dyDescent="0.3">
      <c r="A28" s="72" t="s">
        <v>35</v>
      </c>
      <c r="B28" s="102">
        <f>N20</f>
        <v>2</v>
      </c>
      <c r="C28" s="103">
        <f>O20</f>
        <v>2094.56</v>
      </c>
      <c r="D28" s="104">
        <v>0.3</v>
      </c>
      <c r="E28" s="105">
        <f>C28*D28</f>
        <v>628.36799999999994</v>
      </c>
      <c r="F28" s="105">
        <f>C28-E28</f>
        <v>1466.192</v>
      </c>
      <c r="G28" s="71"/>
      <c r="H28" s="353"/>
      <c r="I28" s="354"/>
      <c r="K28" s="8"/>
      <c r="L28" s="8"/>
      <c r="M28" t="s">
        <v>60</v>
      </c>
      <c r="N28">
        <v>96</v>
      </c>
      <c r="O28">
        <v>1530.2299999999989</v>
      </c>
      <c r="R28" s="16" t="s">
        <v>60</v>
      </c>
      <c r="S28" s="8">
        <f t="shared" si="3"/>
        <v>96</v>
      </c>
      <c r="T28" s="310">
        <f t="shared" si="4"/>
        <v>1530.2299999999989</v>
      </c>
      <c r="V28" t="s">
        <v>60</v>
      </c>
      <c r="W28">
        <v>96</v>
      </c>
      <c r="X28" t="s">
        <v>60</v>
      </c>
      <c r="Y28">
        <v>1530.2299999999989</v>
      </c>
      <c r="Z28" s="19"/>
      <c r="AB28" t="s">
        <v>60</v>
      </c>
      <c r="AC28">
        <v>96</v>
      </c>
      <c r="AD28" t="s">
        <v>60</v>
      </c>
      <c r="AE28">
        <v>1530.2299999999989</v>
      </c>
    </row>
    <row r="29" spans="1:31" ht="15" customHeight="1" thickBot="1" x14ac:dyDescent="0.3">
      <c r="A29" s="74" t="s">
        <v>36</v>
      </c>
      <c r="B29" s="75">
        <f>SUM(B27:B28)</f>
        <v>19</v>
      </c>
      <c r="C29" s="76">
        <f>SUM(C27:C28)</f>
        <v>14146.349999999999</v>
      </c>
      <c r="D29" s="77"/>
      <c r="E29" s="76">
        <f>SUM(E27:E28)</f>
        <v>12680.157999999999</v>
      </c>
      <c r="F29" s="76">
        <f>F28</f>
        <v>1466.192</v>
      </c>
      <c r="G29" s="80"/>
      <c r="H29" s="221" t="e">
        <f>(#REF!/F$3)*#REF!</f>
        <v>#REF!</v>
      </c>
      <c r="I29" s="81" t="e">
        <f>H29-#REF!</f>
        <v>#REF!</v>
      </c>
      <c r="K29" s="8"/>
      <c r="L29" s="8"/>
      <c r="M29" t="s">
        <v>53</v>
      </c>
      <c r="N29">
        <v>8</v>
      </c>
      <c r="O29">
        <v>4684.7599999999993</v>
      </c>
      <c r="R29" s="16" t="s">
        <v>53</v>
      </c>
      <c r="S29" s="8">
        <f t="shared" si="3"/>
        <v>8</v>
      </c>
      <c r="T29" s="310">
        <f t="shared" si="4"/>
        <v>4684.7599999999993</v>
      </c>
      <c r="V29" t="s">
        <v>53</v>
      </c>
      <c r="W29">
        <v>8</v>
      </c>
      <c r="X29" t="s">
        <v>53</v>
      </c>
      <c r="Y29">
        <v>4684.7599999999993</v>
      </c>
      <c r="Z29" s="19"/>
      <c r="AB29" t="s">
        <v>53</v>
      </c>
      <c r="AC29">
        <v>8</v>
      </c>
      <c r="AD29" t="s">
        <v>53</v>
      </c>
      <c r="AE29">
        <v>4684.7599999999993</v>
      </c>
    </row>
    <row r="30" spans="1:31" ht="15" thickBot="1" x14ac:dyDescent="0.35">
      <c r="A30" s="57"/>
      <c r="B30" s="82"/>
      <c r="C30" s="61"/>
      <c r="D30" s="83"/>
      <c r="E30" s="61"/>
      <c r="F30" s="61"/>
      <c r="G30" s="63"/>
      <c r="H30" s="355"/>
      <c r="I30" s="338"/>
      <c r="K30" s="8"/>
      <c r="L30" s="8"/>
      <c r="M30" t="s">
        <v>55</v>
      </c>
      <c r="N30">
        <v>0</v>
      </c>
      <c r="O30">
        <v>0</v>
      </c>
      <c r="R30" s="16" t="s">
        <v>55</v>
      </c>
      <c r="S30" s="8">
        <f t="shared" si="3"/>
        <v>0</v>
      </c>
      <c r="T30" s="310">
        <f t="shared" si="4"/>
        <v>0</v>
      </c>
      <c r="Z30" s="19"/>
    </row>
    <row r="31" spans="1:31" ht="15" thickBot="1" x14ac:dyDescent="0.35">
      <c r="A31" s="106" t="s">
        <v>37</v>
      </c>
      <c r="B31" s="107">
        <f>N21</f>
        <v>32</v>
      </c>
      <c r="C31" s="108">
        <f>O21</f>
        <v>7002.9700000000012</v>
      </c>
      <c r="D31" s="109">
        <v>1</v>
      </c>
      <c r="E31" s="110">
        <f>C31*D31</f>
        <v>7002.9700000000012</v>
      </c>
      <c r="F31" s="111"/>
      <c r="G31" s="112"/>
      <c r="H31" s="339"/>
      <c r="I31" s="340"/>
      <c r="K31" s="8"/>
      <c r="L31" s="8"/>
      <c r="M31" t="s">
        <v>61</v>
      </c>
      <c r="N31">
        <v>419</v>
      </c>
      <c r="O31">
        <v>164582.79999999999</v>
      </c>
      <c r="R31" s="230" t="s">
        <v>61</v>
      </c>
      <c r="S31" s="8">
        <f t="shared" si="3"/>
        <v>419</v>
      </c>
      <c r="T31" s="310">
        <f t="shared" si="4"/>
        <v>164582.79999999999</v>
      </c>
      <c r="V31" t="s">
        <v>61</v>
      </c>
      <c r="W31">
        <v>419</v>
      </c>
      <c r="X31" t="s">
        <v>61</v>
      </c>
      <c r="Y31">
        <v>164582.79999999999</v>
      </c>
      <c r="Z31" s="231"/>
      <c r="AB31" t="s">
        <v>61</v>
      </c>
      <c r="AC31">
        <v>419</v>
      </c>
      <c r="AD31" t="s">
        <v>61</v>
      </c>
      <c r="AE31">
        <v>164582.79999999999</v>
      </c>
    </row>
    <row r="32" spans="1:31" x14ac:dyDescent="0.3">
      <c r="A32" s="114" t="s">
        <v>39</v>
      </c>
      <c r="B32" s="115">
        <f>N22</f>
        <v>3</v>
      </c>
      <c r="C32" s="64">
        <f>O22</f>
        <v>1991.9899999999996</v>
      </c>
      <c r="D32" s="116">
        <v>0.3</v>
      </c>
      <c r="E32" s="117">
        <f>C32*D32</f>
        <v>597.59699999999987</v>
      </c>
      <c r="F32" s="118">
        <f>C32-E32</f>
        <v>1394.3929999999996</v>
      </c>
      <c r="G32" s="112"/>
      <c r="H32" s="341"/>
      <c r="I32" s="342"/>
      <c r="K32" s="8"/>
      <c r="L32" s="8"/>
      <c r="M32" s="9"/>
      <c r="N32" s="9"/>
    </row>
    <row r="33" spans="1:15" ht="15" customHeight="1" thickBot="1" x14ac:dyDescent="0.3">
      <c r="A33" s="119" t="s">
        <v>41</v>
      </c>
      <c r="B33" s="120">
        <f>SUM(B31:B32)</f>
        <v>35</v>
      </c>
      <c r="C33" s="78">
        <f>SUM(C31:C32)</f>
        <v>8994.9600000000009</v>
      </c>
      <c r="D33" s="121"/>
      <c r="E33" s="78">
        <f>SUM(E31:E32)</f>
        <v>7600.5670000000009</v>
      </c>
      <c r="F33" s="78">
        <f>F32</f>
        <v>1394.3929999999996</v>
      </c>
      <c r="G33" s="80"/>
      <c r="H33" s="221" t="e">
        <f>(#REF!/F$3)*#REF!</f>
        <v>#REF!</v>
      </c>
      <c r="I33" s="81" t="e">
        <f>H33-#REF!</f>
        <v>#REF!</v>
      </c>
      <c r="K33" s="8"/>
      <c r="L33" s="8"/>
      <c r="M33" s="9"/>
      <c r="N33" s="9"/>
    </row>
    <row r="34" spans="1:15" ht="15" thickBot="1" x14ac:dyDescent="0.35">
      <c r="A34" s="57"/>
      <c r="B34" s="82"/>
      <c r="C34" s="61"/>
      <c r="D34" s="83"/>
      <c r="E34" s="61"/>
      <c r="F34" s="61"/>
      <c r="G34" s="63"/>
      <c r="H34" s="337"/>
      <c r="I34" s="350"/>
      <c r="K34" s="8"/>
      <c r="L34" s="8"/>
      <c r="M34" s="9"/>
      <c r="N34" s="9"/>
    </row>
    <row r="35" spans="1:15" x14ac:dyDescent="0.3">
      <c r="A35" s="122" t="s">
        <v>42</v>
      </c>
      <c r="B35" s="123">
        <f>N24</f>
        <v>19</v>
      </c>
      <c r="C35" s="124">
        <f>O24</f>
        <v>19573.900000000001</v>
      </c>
      <c r="D35" s="125">
        <v>1</v>
      </c>
      <c r="E35" s="124">
        <f>C35*D35</f>
        <v>19573.900000000001</v>
      </c>
      <c r="F35" s="126"/>
      <c r="G35" s="127"/>
      <c r="H35" s="351"/>
      <c r="I35" s="352"/>
      <c r="K35" s="8"/>
      <c r="L35" s="8"/>
      <c r="M35" s="9"/>
      <c r="N35"/>
      <c r="O35"/>
    </row>
    <row r="36" spans="1:15" x14ac:dyDescent="0.3">
      <c r="A36" s="129" t="s">
        <v>44</v>
      </c>
      <c r="B36" s="130">
        <f>N25</f>
        <v>8</v>
      </c>
      <c r="C36" s="131">
        <f>O25</f>
        <v>2060.86</v>
      </c>
      <c r="D36" s="132">
        <v>0.3</v>
      </c>
      <c r="E36" s="131">
        <f>C36*D36</f>
        <v>618.25800000000004</v>
      </c>
      <c r="F36" s="133">
        <f>C36-E36</f>
        <v>1442.6020000000001</v>
      </c>
      <c r="G36" s="127"/>
      <c r="H36" s="353"/>
      <c r="I36" s="354"/>
      <c r="K36" s="8"/>
      <c r="L36" s="8"/>
      <c r="M36" s="9"/>
      <c r="N36" s="9"/>
    </row>
    <row r="37" spans="1:15" ht="15" customHeight="1" thickBot="1" x14ac:dyDescent="0.3">
      <c r="A37" s="74" t="s">
        <v>46</v>
      </c>
      <c r="B37" s="120">
        <f>SUM(B35:B36)</f>
        <v>27</v>
      </c>
      <c r="C37" s="78">
        <f>SUM(C35:C36)</f>
        <v>21634.760000000002</v>
      </c>
      <c r="D37" s="121"/>
      <c r="E37" s="78">
        <f>SUM(E35:E36)</f>
        <v>20192.158000000003</v>
      </c>
      <c r="F37" s="78">
        <f>F36</f>
        <v>1442.6020000000001</v>
      </c>
      <c r="G37" s="80"/>
      <c r="H37" s="221" t="e">
        <f>(#REF!/F$3)*#REF!</f>
        <v>#REF!</v>
      </c>
      <c r="I37" s="81" t="e">
        <f>H37-#REF!</f>
        <v>#REF!</v>
      </c>
      <c r="K37" s="8"/>
      <c r="L37" s="8"/>
      <c r="M37" s="9"/>
      <c r="N37" s="9"/>
    </row>
    <row r="38" spans="1:15" ht="15" thickBot="1" x14ac:dyDescent="0.35">
      <c r="A38" s="57"/>
      <c r="B38" s="82"/>
      <c r="C38" s="61"/>
      <c r="D38" s="83"/>
      <c r="E38" s="61"/>
      <c r="F38" s="61"/>
      <c r="G38" s="63"/>
      <c r="H38" s="337"/>
      <c r="I38" s="338"/>
      <c r="K38" s="8"/>
      <c r="L38" s="8"/>
      <c r="M38" s="9"/>
      <c r="N38" s="9"/>
    </row>
    <row r="39" spans="1:15" x14ac:dyDescent="0.3">
      <c r="A39" s="134" t="s">
        <v>47</v>
      </c>
      <c r="B39" s="98">
        <f>N26</f>
        <v>15</v>
      </c>
      <c r="C39" s="135">
        <f>O26</f>
        <v>7298.3300000000008</v>
      </c>
      <c r="D39" s="136">
        <v>1</v>
      </c>
      <c r="E39" s="99">
        <f>C39*D39</f>
        <v>7298.3300000000008</v>
      </c>
      <c r="F39" s="101"/>
      <c r="G39" s="91"/>
      <c r="H39" s="339"/>
      <c r="I39" s="340"/>
      <c r="K39" s="8"/>
      <c r="L39" s="8"/>
      <c r="M39" s="9"/>
      <c r="N39" s="9"/>
    </row>
    <row r="40" spans="1:15" x14ac:dyDescent="0.3">
      <c r="A40" s="138" t="s">
        <v>49</v>
      </c>
      <c r="B40" s="85">
        <f>N27</f>
        <v>7</v>
      </c>
      <c r="C40" s="93">
        <f>O27</f>
        <v>2334.36</v>
      </c>
      <c r="D40" s="94">
        <v>0.3</v>
      </c>
      <c r="E40" s="139">
        <f>C40*D40</f>
        <v>700.30799999999999</v>
      </c>
      <c r="F40" s="140">
        <f>C40-E40</f>
        <v>1634.0520000000001</v>
      </c>
      <c r="G40" s="91"/>
      <c r="H40" s="341"/>
      <c r="I40" s="342"/>
      <c r="K40" s="8"/>
      <c r="L40" s="8"/>
      <c r="M40" s="9"/>
      <c r="N40" s="9"/>
    </row>
    <row r="41" spans="1:15" ht="15" customHeight="1" thickBot="1" x14ac:dyDescent="0.3">
      <c r="A41" s="119" t="s">
        <v>51</v>
      </c>
      <c r="B41" s="120">
        <f>SUM(B39:B40)</f>
        <v>22</v>
      </c>
      <c r="C41" s="78">
        <f>SUM(C39:C40)</f>
        <v>9632.69</v>
      </c>
      <c r="D41" s="121"/>
      <c r="E41" s="78">
        <f>SUM(E39:E40)</f>
        <v>7998.6380000000008</v>
      </c>
      <c r="F41" s="78">
        <f>F40</f>
        <v>1634.0520000000001</v>
      </c>
      <c r="G41" s="80"/>
      <c r="H41" s="221" t="e">
        <f>(#REF!/F$3)*#REF!</f>
        <v>#REF!</v>
      </c>
      <c r="I41" s="81" t="e">
        <f>H41-#REF!</f>
        <v>#REF!</v>
      </c>
      <c r="K41" s="8"/>
      <c r="L41" s="8"/>
      <c r="M41" s="9"/>
      <c r="N41" s="9"/>
    </row>
    <row r="42" spans="1:15" ht="15" thickBot="1" x14ac:dyDescent="0.35">
      <c r="A42" s="57"/>
      <c r="B42" s="82"/>
      <c r="C42" s="61"/>
      <c r="D42" s="83"/>
      <c r="E42" s="61"/>
      <c r="F42" s="61"/>
      <c r="G42" s="63"/>
      <c r="H42" s="337"/>
      <c r="I42" s="350"/>
      <c r="K42" s="8"/>
      <c r="L42" s="8"/>
      <c r="M42" s="9"/>
      <c r="N42" s="9"/>
    </row>
    <row r="43" spans="1:15" x14ac:dyDescent="0.3">
      <c r="A43" s="141" t="s">
        <v>52</v>
      </c>
      <c r="B43" s="123">
        <f>N29</f>
        <v>8</v>
      </c>
      <c r="C43" s="124">
        <f>O29</f>
        <v>4684.7599999999993</v>
      </c>
      <c r="D43" s="109">
        <v>1</v>
      </c>
      <c r="E43" s="110">
        <f>C43*D43</f>
        <v>4684.7599999999993</v>
      </c>
      <c r="F43" s="142"/>
      <c r="G43" s="127"/>
      <c r="H43" s="351"/>
      <c r="I43" s="352"/>
      <c r="K43" s="8"/>
      <c r="L43" s="8"/>
      <c r="M43" s="9"/>
      <c r="N43" s="9"/>
    </row>
    <row r="44" spans="1:15" x14ac:dyDescent="0.3">
      <c r="A44" s="129" t="s">
        <v>54</v>
      </c>
      <c r="B44" s="130">
        <f>N30</f>
        <v>0</v>
      </c>
      <c r="C44" s="131">
        <f>O30</f>
        <v>0</v>
      </c>
      <c r="D44" s="116">
        <v>0.3</v>
      </c>
      <c r="E44" s="117">
        <f>C44*D44</f>
        <v>0</v>
      </c>
      <c r="F44" s="97">
        <f>C44-E44</f>
        <v>0</v>
      </c>
      <c r="G44" s="127"/>
      <c r="H44" s="353"/>
      <c r="I44" s="354"/>
      <c r="K44" s="8"/>
      <c r="L44" s="8"/>
      <c r="M44" s="9"/>
      <c r="N44" s="9"/>
    </row>
    <row r="45" spans="1:15" ht="15" customHeight="1" thickBot="1" x14ac:dyDescent="0.3">
      <c r="A45" s="119" t="s">
        <v>56</v>
      </c>
      <c r="B45" s="120">
        <f>SUM(B43:B44)</f>
        <v>8</v>
      </c>
      <c r="C45" s="78">
        <f>SUM(C43:C44)</f>
        <v>4684.7599999999993</v>
      </c>
      <c r="D45" s="121"/>
      <c r="E45" s="78">
        <f>SUM(E43:E44)</f>
        <v>4684.7599999999993</v>
      </c>
      <c r="F45" s="78">
        <f>F44</f>
        <v>0</v>
      </c>
      <c r="G45" s="80"/>
      <c r="H45" s="221" t="e">
        <f>(#REF!/F$3)*#REF!</f>
        <v>#REF!</v>
      </c>
      <c r="I45" s="81" t="e">
        <f>H45-#REF!</f>
        <v>#REF!</v>
      </c>
      <c r="K45" s="8"/>
      <c r="L45" s="8"/>
      <c r="M45" s="9"/>
      <c r="N45" s="9"/>
    </row>
    <row r="46" spans="1:15" ht="15" thickBot="1" x14ac:dyDescent="0.35">
      <c r="A46" s="57"/>
      <c r="B46" s="82"/>
      <c r="C46" s="61"/>
      <c r="D46" s="83"/>
      <c r="E46" s="61"/>
      <c r="F46" s="143"/>
      <c r="G46" s="63"/>
      <c r="H46" s="337"/>
      <c r="I46" s="338"/>
      <c r="K46" s="8"/>
      <c r="L46" s="8"/>
      <c r="M46" s="9"/>
      <c r="N46" s="9"/>
    </row>
    <row r="47" spans="1:15" x14ac:dyDescent="0.3">
      <c r="A47" s="141" t="s">
        <v>66</v>
      </c>
      <c r="B47" s="123"/>
      <c r="C47" s="124"/>
      <c r="D47" s="109">
        <v>1</v>
      </c>
      <c r="E47" s="110">
        <f>C47*D47</f>
        <v>0</v>
      </c>
      <c r="F47" s="142"/>
      <c r="G47" s="127"/>
      <c r="H47" s="370"/>
      <c r="I47" s="340"/>
      <c r="K47" s="8"/>
      <c r="L47" s="8"/>
      <c r="M47" s="9"/>
      <c r="N47" s="9"/>
    </row>
    <row r="48" spans="1:15" x14ac:dyDescent="0.3">
      <c r="A48" s="129" t="s">
        <v>67</v>
      </c>
      <c r="B48" s="130"/>
      <c r="C48" s="131"/>
      <c r="D48" s="116">
        <v>0.3</v>
      </c>
      <c r="E48" s="117">
        <f>C48*D48</f>
        <v>0</v>
      </c>
      <c r="F48" s="97">
        <f>C48-E48</f>
        <v>0</v>
      </c>
      <c r="G48" s="127"/>
      <c r="H48" s="370"/>
      <c r="I48" s="340"/>
      <c r="K48" s="8"/>
      <c r="L48" s="8"/>
      <c r="M48" s="9"/>
      <c r="N48" s="9"/>
    </row>
    <row r="49" spans="1:15" ht="15" customHeight="1" thickBot="1" x14ac:dyDescent="0.35">
      <c r="A49" s="119" t="s">
        <v>68</v>
      </c>
      <c r="B49" s="120">
        <f>SUM(B47:B48)</f>
        <v>0</v>
      </c>
      <c r="C49" s="78">
        <f>SUM(C47:C48)</f>
        <v>0</v>
      </c>
      <c r="D49" s="121"/>
      <c r="E49" s="78">
        <f>SUM(E47:E48)</f>
        <v>0</v>
      </c>
      <c r="F49" s="78">
        <f>F48</f>
        <v>0</v>
      </c>
      <c r="G49" s="80"/>
      <c r="H49" s="370"/>
      <c r="I49" s="340"/>
      <c r="K49" s="8"/>
      <c r="L49" s="8"/>
      <c r="M49" s="9"/>
      <c r="N49" s="9"/>
    </row>
    <row r="50" spans="1:15" ht="15" thickBot="1" x14ac:dyDescent="0.35">
      <c r="A50" s="57"/>
      <c r="B50" s="82"/>
      <c r="C50" s="61"/>
      <c r="D50" s="83"/>
      <c r="E50" s="61"/>
      <c r="F50" s="143"/>
      <c r="G50" s="63"/>
      <c r="H50" s="370"/>
      <c r="I50" s="340"/>
      <c r="K50" s="8"/>
      <c r="L50" s="8"/>
      <c r="M50" s="9"/>
      <c r="N50" s="9"/>
    </row>
    <row r="51" spans="1:15" ht="16.5" customHeight="1" x14ac:dyDescent="0.3">
      <c r="A51" s="106" t="s">
        <v>57</v>
      </c>
      <c r="B51" s="115">
        <f>N23</f>
        <v>99</v>
      </c>
      <c r="C51" s="64">
        <f>O23</f>
        <v>49805.950000000019</v>
      </c>
      <c r="D51" s="116">
        <v>0.3</v>
      </c>
      <c r="E51" s="110">
        <f>C51*D51</f>
        <v>14941.785000000005</v>
      </c>
      <c r="F51" s="144">
        <f>C51-E51</f>
        <v>34864.165000000015</v>
      </c>
      <c r="G51" s="112"/>
      <c r="H51" s="341"/>
      <c r="I51" s="342"/>
      <c r="K51" s="8"/>
      <c r="L51" s="8"/>
      <c r="M51" s="9"/>
      <c r="N51" s="9"/>
    </row>
    <row r="52" spans="1:15" ht="15" customHeight="1" thickBot="1" x14ac:dyDescent="0.35">
      <c r="A52" s="119" t="s">
        <v>59</v>
      </c>
      <c r="B52" s="120">
        <f>B51</f>
        <v>99</v>
      </c>
      <c r="C52" s="78">
        <f>C51</f>
        <v>49805.950000000019</v>
      </c>
      <c r="D52" s="121"/>
      <c r="E52" s="78">
        <f>E51</f>
        <v>14941.785000000005</v>
      </c>
      <c r="F52" s="78">
        <f>F51</f>
        <v>34864.165000000015</v>
      </c>
      <c r="G52" s="80"/>
      <c r="H52" s="221" t="e">
        <f>(#REF!/F$3)*#REF!</f>
        <v>#REF!</v>
      </c>
      <c r="I52" s="81" t="e">
        <f>H52-#REF!</f>
        <v>#REF!</v>
      </c>
      <c r="K52" s="8"/>
      <c r="L52" s="8"/>
      <c r="M52" s="9"/>
      <c r="N52" s="9"/>
    </row>
    <row r="53" spans="1:15" ht="15" thickBot="1" x14ac:dyDescent="0.35">
      <c r="A53" s="57"/>
      <c r="B53" s="82"/>
      <c r="C53" s="61"/>
      <c r="D53" s="83"/>
      <c r="E53" s="61"/>
      <c r="F53" s="143"/>
      <c r="G53" s="63"/>
      <c r="H53" s="337"/>
      <c r="I53" s="350"/>
      <c r="K53" s="8"/>
      <c r="L53" s="8"/>
      <c r="M53" s="9"/>
      <c r="N53" s="9"/>
    </row>
    <row r="54" spans="1:15" ht="15" thickBot="1" x14ac:dyDescent="0.35">
      <c r="A54" s="147" t="s">
        <v>75</v>
      </c>
      <c r="B54" s="148">
        <f>N28</f>
        <v>96</v>
      </c>
      <c r="C54" s="54">
        <f>O28</f>
        <v>1530.2299999999989</v>
      </c>
      <c r="D54" s="149">
        <v>1</v>
      </c>
      <c r="E54" s="54">
        <f>C54*D54</f>
        <v>1530.2299999999989</v>
      </c>
      <c r="F54" s="150"/>
      <c r="G54" s="71"/>
      <c r="H54" s="351"/>
      <c r="I54" s="352"/>
      <c r="K54" s="8"/>
      <c r="L54" s="8"/>
      <c r="M54" s="9"/>
      <c r="N54" s="9"/>
    </row>
    <row r="55" spans="1:15" ht="15" thickBot="1" x14ac:dyDescent="0.35">
      <c r="A55" s="57"/>
      <c r="B55" s="82"/>
      <c r="C55" s="61"/>
      <c r="D55" s="60"/>
      <c r="E55" s="59"/>
      <c r="F55" s="144"/>
      <c r="G55" s="63"/>
      <c r="H55" s="366"/>
      <c r="I55" s="367"/>
      <c r="K55" s="8"/>
      <c r="L55" s="8"/>
      <c r="M55" s="9"/>
      <c r="N55" s="9"/>
    </row>
    <row r="56" spans="1:15" ht="15" thickBot="1" x14ac:dyDescent="0.35">
      <c r="A56" s="153" t="s">
        <v>7</v>
      </c>
      <c r="B56" s="154"/>
      <c r="C56" s="157"/>
      <c r="D56" s="156"/>
      <c r="E56" s="157">
        <f>SUM(E13,E17,E21,E25,E29,E33,E37,E41,E45,E49,E52,E54)</f>
        <v>122345.19899999999</v>
      </c>
      <c r="F56" s="157"/>
      <c r="G56" s="160"/>
      <c r="H56" s="222" t="e">
        <f>(#REF!/F$3)*#REF!</f>
        <v>#REF!</v>
      </c>
      <c r="I56" s="161" t="e">
        <f>H56-#REF!</f>
        <v>#REF!</v>
      </c>
      <c r="K56" s="8"/>
      <c r="L56" s="8"/>
      <c r="M56" s="9"/>
      <c r="N56" s="9"/>
    </row>
    <row r="57" spans="1:15" ht="15" thickBot="1" x14ac:dyDescent="0.35">
      <c r="A57" s="57"/>
      <c r="B57" s="82"/>
      <c r="C57" s="61"/>
      <c r="D57" s="83"/>
      <c r="E57" s="61"/>
      <c r="F57" s="143"/>
      <c r="G57" s="63"/>
      <c r="H57" s="223"/>
      <c r="I57" s="163"/>
      <c r="K57" s="8"/>
      <c r="L57" s="8"/>
      <c r="M57" s="9"/>
      <c r="N57" s="9"/>
    </row>
    <row r="58" spans="1:15" ht="15" thickBot="1" x14ac:dyDescent="0.35">
      <c r="A58" s="153" t="s">
        <v>8</v>
      </c>
      <c r="B58" s="154"/>
      <c r="C58" s="155"/>
      <c r="D58" s="156"/>
      <c r="E58" s="157"/>
      <c r="F58" s="157">
        <f>SUM(F13,F17,F21,F25,F29,F33,F37,F41,F45,F49,F52)</f>
        <v>42237.601000000017</v>
      </c>
      <c r="G58" s="160"/>
      <c r="H58" s="222" t="e">
        <f>(#REF!/F$3)*#REF!</f>
        <v>#REF!</v>
      </c>
      <c r="I58" s="161" t="e">
        <f>H58-#REF!</f>
        <v>#REF!</v>
      </c>
      <c r="K58" s="8"/>
      <c r="L58" s="8"/>
      <c r="M58" s="9"/>
      <c r="N58" s="9"/>
    </row>
    <row r="59" spans="1:15" ht="15" thickBot="1" x14ac:dyDescent="0.35">
      <c r="A59" s="57"/>
      <c r="B59" s="82"/>
      <c r="D59" s="83"/>
      <c r="E59" s="61"/>
      <c r="F59" s="143"/>
      <c r="G59" s="63"/>
      <c r="H59" s="223"/>
      <c r="I59" s="163"/>
      <c r="K59" s="8"/>
      <c r="L59" s="8"/>
      <c r="M59" s="9"/>
      <c r="N59" s="9"/>
    </row>
    <row r="60" spans="1:15" ht="15" thickBot="1" x14ac:dyDescent="0.35">
      <c r="A60" s="153" t="s">
        <v>61</v>
      </c>
      <c r="B60" s="154">
        <f>SUM(B13,B17,B21,B25,B29,B33,B37,B41,B45,B49,B52,B54)</f>
        <v>419</v>
      </c>
      <c r="C60" s="155">
        <f>SUM(C13,C17,C21,C25,C29,C33,C37,C41,C45,C49,C52,C54)</f>
        <v>164582.80000000002</v>
      </c>
      <c r="D60" s="156"/>
      <c r="E60" s="157"/>
      <c r="F60" s="157">
        <f>SUM(E56:F59)</f>
        <v>164582.80000000002</v>
      </c>
      <c r="G60" s="160"/>
      <c r="H60" s="222" t="e">
        <f>(#REF!/F$3)*#REF!</f>
        <v>#REF!</v>
      </c>
      <c r="I60" s="161" t="e">
        <f>H60-#REF!</f>
        <v>#REF!</v>
      </c>
      <c r="K60" s="8"/>
      <c r="L60" s="8"/>
      <c r="M60" s="9"/>
      <c r="N60" s="9"/>
    </row>
    <row r="61" spans="1:15" x14ac:dyDescent="0.3">
      <c r="C61" s="168"/>
      <c r="K61" s="8"/>
      <c r="L61" s="8"/>
      <c r="M61" s="9"/>
      <c r="N61" s="9"/>
    </row>
    <row r="62" spans="1:15" x14ac:dyDescent="0.3">
      <c r="B62" s="164"/>
      <c r="C62" s="165"/>
      <c r="D62" s="165"/>
      <c r="E62" s="165"/>
      <c r="F62" s="165"/>
      <c r="G62" s="165"/>
      <c r="H62" s="165"/>
      <c r="I62" s="165"/>
      <c r="K62" s="8"/>
      <c r="L62" s="8"/>
      <c r="M62" s="9"/>
      <c r="N62" s="9"/>
    </row>
    <row r="63" spans="1:15" ht="15" customHeight="1" x14ac:dyDescent="0.3">
      <c r="A63" s="335" t="s">
        <v>128</v>
      </c>
      <c r="B63" s="335"/>
      <c r="C63" s="335"/>
      <c r="D63" s="335"/>
      <c r="E63" s="335"/>
      <c r="F63" s="335"/>
      <c r="G63" s="312"/>
      <c r="H63" s="224"/>
      <c r="I63" s="312"/>
      <c r="K63" s="8"/>
      <c r="L63" s="8"/>
      <c r="M63" s="9"/>
      <c r="N63" s="9"/>
      <c r="O63"/>
    </row>
    <row r="64" spans="1:15" x14ac:dyDescent="0.3">
      <c r="A64" s="336"/>
      <c r="B64" s="336"/>
      <c r="C64" s="336"/>
      <c r="D64" s="336"/>
      <c r="E64" s="336"/>
      <c r="F64" s="336"/>
      <c r="G64" s="312"/>
      <c r="H64" s="224"/>
      <c r="I64" s="312"/>
      <c r="J64" s="168"/>
      <c r="K64" s="8"/>
      <c r="L64" s="8"/>
      <c r="M64" s="9"/>
      <c r="N64" s="9"/>
    </row>
    <row r="65" spans="1:32" x14ac:dyDescent="0.3">
      <c r="K65" s="8"/>
      <c r="L65" s="8"/>
      <c r="M65" s="9"/>
      <c r="P65" s="8"/>
    </row>
    <row r="66" spans="1:32" ht="21" customHeight="1" x14ac:dyDescent="0.3">
      <c r="K66" s="8"/>
      <c r="L66" s="8"/>
      <c r="M66" s="8"/>
      <c r="N66" s="8"/>
      <c r="O66" s="8"/>
      <c r="P66" s="8"/>
    </row>
    <row r="67" spans="1:32" ht="21" customHeight="1" x14ac:dyDescent="0.3">
      <c r="K67" s="8"/>
      <c r="L67" s="8"/>
      <c r="M67" s="8"/>
      <c r="N67" s="8"/>
      <c r="O67" s="8"/>
      <c r="P67" s="8"/>
    </row>
    <row r="68" spans="1:32" s="173" customFormat="1" ht="39.75" customHeight="1" x14ac:dyDescent="0.3">
      <c r="A68"/>
      <c r="B68"/>
      <c r="C68"/>
      <c r="D68"/>
      <c r="E68"/>
      <c r="F68"/>
      <c r="G68"/>
      <c r="H68" s="214"/>
      <c r="I68"/>
      <c r="K68" s="8"/>
      <c r="L68" s="8"/>
      <c r="M68" s="8"/>
      <c r="N68" s="8"/>
      <c r="O68" s="8"/>
      <c r="P68" s="8"/>
      <c r="R68"/>
      <c r="S68"/>
      <c r="T68"/>
      <c r="V68"/>
      <c r="W68"/>
      <c r="X68"/>
      <c r="Y68"/>
      <c r="Z68"/>
      <c r="AB68"/>
      <c r="AC68"/>
      <c r="AD68"/>
      <c r="AE68"/>
      <c r="AF68"/>
    </row>
    <row r="69" spans="1:32" s="173" customFormat="1" ht="39.75" hidden="1" customHeight="1" x14ac:dyDescent="0.25">
      <c r="A69" t="s">
        <v>62</v>
      </c>
      <c r="B69">
        <f>SUM(B66:B68)</f>
        <v>0</v>
      </c>
      <c r="C69">
        <f>SUM(C66:C68)</f>
        <v>0</v>
      </c>
      <c r="D69">
        <f>SUM(D66:D68)</f>
        <v>0</v>
      </c>
      <c r="E69">
        <f>SUM(E66:E68)</f>
        <v>0</v>
      </c>
      <c r="F69">
        <f>SUM(F66:F68)</f>
        <v>0</v>
      </c>
      <c r="G69"/>
      <c r="H69" s="214"/>
      <c r="I69"/>
      <c r="K69" s="172"/>
      <c r="M69" s="8"/>
      <c r="N69" s="8"/>
      <c r="O69" s="8"/>
      <c r="P69"/>
      <c r="V69"/>
      <c r="W69"/>
      <c r="X69"/>
      <c r="Y69"/>
      <c r="Z69"/>
      <c r="AB69"/>
      <c r="AC69"/>
      <c r="AD69"/>
      <c r="AE69"/>
    </row>
    <row r="70" spans="1:32" ht="15" hidden="1" x14ac:dyDescent="0.25">
      <c r="M70" s="175"/>
      <c r="N70" s="175"/>
      <c r="R70" s="173"/>
      <c r="S70" s="173"/>
      <c r="T70" s="173"/>
      <c r="Z70" s="173"/>
      <c r="AF70" s="173"/>
    </row>
    <row r="71" spans="1:32" ht="15" hidden="1" x14ac:dyDescent="0.25">
      <c r="V71" s="173"/>
      <c r="W71" s="173"/>
      <c r="X71" s="173"/>
      <c r="Y71" s="173"/>
      <c r="Z71" s="173"/>
    </row>
    <row r="72" spans="1:32" ht="15.75" hidden="1" thickBot="1" x14ac:dyDescent="0.3">
      <c r="A72" s="176" t="s">
        <v>61</v>
      </c>
      <c r="B72" s="177">
        <v>6196</v>
      </c>
      <c r="C72" s="162">
        <v>3871765.8300001109</v>
      </c>
      <c r="D72" s="178">
        <v>0.78696050117264404</v>
      </c>
      <c r="E72" s="179">
        <v>3046926.7780000055</v>
      </c>
      <c r="F72" s="180">
        <v>824839.05199999909</v>
      </c>
      <c r="G72" s="160"/>
      <c r="H72" s="225">
        <v>7493792.8864324465</v>
      </c>
      <c r="I72" s="182">
        <v>311642.88643244561</v>
      </c>
      <c r="V72" s="173"/>
      <c r="W72" s="173"/>
      <c r="X72" s="173"/>
      <c r="Y72" s="173"/>
    </row>
    <row r="73" spans="1:32" ht="15" hidden="1" x14ac:dyDescent="0.25">
      <c r="A73" s="183"/>
      <c r="B73" s="184"/>
      <c r="C73" s="185"/>
      <c r="D73" s="185"/>
      <c r="E73" s="185"/>
      <c r="F73" s="185"/>
      <c r="G73" s="160"/>
      <c r="H73" s="226"/>
      <c r="I73" s="185"/>
    </row>
    <row r="74" spans="1:32" ht="15" hidden="1" x14ac:dyDescent="0.25"/>
    <row r="75" spans="1:32" ht="15.75" hidden="1" thickBot="1" x14ac:dyDescent="0.3">
      <c r="A75" s="186" t="s">
        <v>63</v>
      </c>
      <c r="B75" s="187"/>
      <c r="C75" s="188"/>
      <c r="D75" s="189"/>
      <c r="E75" s="189">
        <v>3046926.7780000055</v>
      </c>
      <c r="F75" s="190"/>
      <c r="G75" s="160"/>
      <c r="H75" s="225">
        <v>7493792.8864324465</v>
      </c>
      <c r="I75" s="182">
        <v>311642.88643244561</v>
      </c>
    </row>
    <row r="76" spans="1:32" ht="15.75" hidden="1" thickBot="1" x14ac:dyDescent="0.3">
      <c r="A76" s="192" t="s">
        <v>64</v>
      </c>
      <c r="B76" s="193"/>
      <c r="C76" s="194"/>
      <c r="D76" s="185"/>
      <c r="E76" s="185"/>
      <c r="F76" s="195">
        <v>824839.05199999909</v>
      </c>
      <c r="G76" s="160"/>
      <c r="H76" s="225">
        <v>2028658.2089729707</v>
      </c>
      <c r="I76" s="182">
        <v>-801341.79102702928</v>
      </c>
    </row>
    <row r="77" spans="1:32" ht="15.75" hidden="1" thickBot="1" x14ac:dyDescent="0.3">
      <c r="A77" s="197" t="s">
        <v>65</v>
      </c>
      <c r="B77" s="198"/>
      <c r="C77" s="199">
        <v>3871765.8300000047</v>
      </c>
      <c r="D77" s="200"/>
      <c r="E77" s="200"/>
      <c r="F77" s="201"/>
      <c r="G77" s="160"/>
      <c r="H77" s="225">
        <v>9522451.0954054166</v>
      </c>
      <c r="I77" s="182">
        <v>-489698.90459458344</v>
      </c>
    </row>
    <row r="78" spans="1:32" ht="15" hidden="1" x14ac:dyDescent="0.25">
      <c r="A78" s="183"/>
      <c r="B78" s="184"/>
      <c r="C78" s="185"/>
      <c r="D78" s="185"/>
      <c r="E78" s="185"/>
      <c r="F78" s="185"/>
      <c r="G78" s="160"/>
      <c r="H78" s="226"/>
      <c r="I78" s="185"/>
    </row>
    <row r="79" spans="1:32" ht="15" hidden="1" x14ac:dyDescent="0.25">
      <c r="B79" s="164">
        <v>6196</v>
      </c>
      <c r="C79" s="1">
        <v>3871765.8300000052</v>
      </c>
      <c r="D79" s="1"/>
      <c r="E79" s="1"/>
      <c r="F79" s="1"/>
      <c r="G79" s="1"/>
      <c r="H79" s="165">
        <v>7423408.4691351494</v>
      </c>
      <c r="I79" s="1">
        <v>241258.46913514897</v>
      </c>
    </row>
    <row r="80" spans="1:32" ht="15" hidden="1" x14ac:dyDescent="0.25"/>
    <row r="81" spans="1:31" ht="15" hidden="1" x14ac:dyDescent="0.25">
      <c r="C81" s="168"/>
      <c r="O81"/>
    </row>
    <row r="82" spans="1:31" ht="15" hidden="1" x14ac:dyDescent="0.25">
      <c r="A82" s="204"/>
      <c r="B82" s="205"/>
      <c r="AB82" s="173"/>
      <c r="AC82" s="173"/>
      <c r="AD82" s="173"/>
      <c r="AE82" s="173"/>
    </row>
    <row r="83" spans="1:31" ht="15" hidden="1" x14ac:dyDescent="0.25">
      <c r="AB83" s="173"/>
      <c r="AC83" s="173"/>
      <c r="AD83" s="173"/>
      <c r="AE83" s="173"/>
    </row>
    <row r="84" spans="1:31" ht="15" hidden="1" x14ac:dyDescent="0.25"/>
    <row r="85" spans="1:31" x14ac:dyDescent="0.3">
      <c r="K85" s="8"/>
      <c r="L85" s="8"/>
      <c r="P85" s="8"/>
      <c r="Q85" s="8"/>
    </row>
    <row r="86" spans="1:31" x14ac:dyDescent="0.3">
      <c r="K86" s="8"/>
      <c r="L86" s="8"/>
      <c r="M86" s="8"/>
      <c r="N86" s="8"/>
      <c r="O86" s="8"/>
      <c r="P86" s="8"/>
      <c r="Q86" s="8"/>
      <c r="R86" s="8"/>
      <c r="S86" s="8"/>
    </row>
    <row r="87" spans="1:31" x14ac:dyDescent="0.3">
      <c r="K87" s="8"/>
      <c r="L87" s="8"/>
      <c r="M87" s="8"/>
      <c r="N87" s="8"/>
      <c r="O87" s="8"/>
      <c r="P87" s="8"/>
      <c r="Q87" s="8"/>
      <c r="R87" s="8"/>
      <c r="S87" s="8"/>
    </row>
    <row r="88" spans="1:31" x14ac:dyDescent="0.3">
      <c r="K88" s="8"/>
      <c r="L88" s="8"/>
      <c r="M88" s="8"/>
      <c r="N88" s="8"/>
      <c r="O88" s="8"/>
      <c r="P88" s="8"/>
      <c r="Q88" s="8"/>
      <c r="R88" s="8"/>
      <c r="S88" s="8"/>
    </row>
    <row r="89" spans="1:31" x14ac:dyDescent="0.3">
      <c r="K89" s="8"/>
      <c r="L89" s="8"/>
      <c r="M89" s="8"/>
      <c r="N89" s="8"/>
      <c r="O89" s="8"/>
      <c r="P89" s="8"/>
      <c r="Q89" s="8"/>
      <c r="R89" s="8"/>
      <c r="S89" s="8"/>
    </row>
    <row r="90" spans="1:31" x14ac:dyDescent="0.3">
      <c r="K90" s="8"/>
      <c r="L90" s="8"/>
      <c r="M90" s="8"/>
      <c r="N90" s="8"/>
      <c r="O90" s="8"/>
      <c r="P90" s="8"/>
      <c r="Q90" s="8"/>
      <c r="R90" s="8"/>
      <c r="S90" s="8"/>
    </row>
    <row r="91" spans="1:31" x14ac:dyDescent="0.3">
      <c r="K91" s="8"/>
      <c r="L91" s="8"/>
      <c r="M91" s="8"/>
      <c r="N91" s="8"/>
      <c r="O91" s="8"/>
      <c r="P91" s="8"/>
      <c r="Q91" s="8"/>
      <c r="R91" s="8"/>
      <c r="S91" s="8"/>
    </row>
    <row r="92" spans="1:31" x14ac:dyDescent="0.3">
      <c r="K92" s="8"/>
      <c r="L92" s="8"/>
      <c r="M92" s="8"/>
      <c r="N92" s="8"/>
      <c r="O92" s="8"/>
      <c r="P92" s="8"/>
      <c r="Q92" s="8"/>
      <c r="R92" s="8"/>
      <c r="S92" s="8"/>
    </row>
    <row r="93" spans="1:31" x14ac:dyDescent="0.3">
      <c r="K93" s="8"/>
      <c r="L93" s="8"/>
      <c r="M93" s="8"/>
      <c r="N93" s="8"/>
      <c r="O93" s="8"/>
      <c r="P93" s="8"/>
      <c r="Q93" s="8"/>
      <c r="R93" s="8"/>
      <c r="S93" s="8"/>
    </row>
    <row r="94" spans="1:31" x14ac:dyDescent="0.3">
      <c r="K94" s="8"/>
      <c r="L94" s="8"/>
      <c r="M94" s="8"/>
      <c r="N94" s="8"/>
      <c r="O94" s="8"/>
      <c r="P94" s="8"/>
      <c r="Q94" s="8"/>
      <c r="R94" s="8"/>
      <c r="S94" s="8"/>
    </row>
    <row r="95" spans="1:31" x14ac:dyDescent="0.3">
      <c r="K95" s="8"/>
      <c r="L95" s="8"/>
      <c r="M95" s="8"/>
      <c r="N95" s="8"/>
      <c r="O95" s="8"/>
      <c r="P95" s="8"/>
      <c r="Q95" s="8"/>
      <c r="R95" s="8"/>
      <c r="S95" s="8"/>
    </row>
    <row r="96" spans="1:31" x14ac:dyDescent="0.3">
      <c r="K96" s="8"/>
      <c r="L96" s="8"/>
      <c r="M96" s="8"/>
      <c r="N96" s="8"/>
      <c r="O96" s="8"/>
      <c r="P96" s="8"/>
      <c r="Q96" s="8"/>
      <c r="R96" s="8"/>
      <c r="S96" s="8"/>
    </row>
    <row r="97" spans="11:19" x14ac:dyDescent="0.3">
      <c r="K97" s="8"/>
      <c r="L97" s="8"/>
      <c r="M97" s="8"/>
      <c r="N97" s="8"/>
      <c r="O97" s="8"/>
      <c r="P97" s="8"/>
      <c r="Q97" s="8"/>
      <c r="R97" s="8"/>
      <c r="S97" s="8"/>
    </row>
    <row r="98" spans="11:19" x14ac:dyDescent="0.3">
      <c r="K98" s="8"/>
      <c r="L98" s="8"/>
      <c r="M98" s="8"/>
      <c r="N98" s="8"/>
      <c r="O98" s="8"/>
      <c r="P98" s="8"/>
      <c r="Q98" s="8"/>
      <c r="R98" s="8"/>
      <c r="S98" s="8"/>
    </row>
    <row r="99" spans="11:19" x14ac:dyDescent="0.3">
      <c r="K99" s="8"/>
      <c r="L99" s="8"/>
      <c r="M99" s="8"/>
      <c r="N99" s="8"/>
      <c r="O99" s="8"/>
      <c r="P99" s="8"/>
      <c r="Q99" s="8"/>
      <c r="R99" s="8"/>
      <c r="S99" s="8"/>
    </row>
    <row r="100" spans="11:19" x14ac:dyDescent="0.3">
      <c r="K100" s="8"/>
      <c r="L100" s="8"/>
      <c r="M100" s="8"/>
      <c r="N100" s="8"/>
      <c r="O100" s="8"/>
      <c r="P100" s="8"/>
      <c r="Q100" s="8"/>
      <c r="R100" s="8"/>
      <c r="S100" s="8"/>
    </row>
    <row r="101" spans="11:19" x14ac:dyDescent="0.3">
      <c r="K101" s="8"/>
      <c r="L101" s="8"/>
      <c r="M101" s="8"/>
      <c r="N101" s="8"/>
      <c r="O101" s="8"/>
      <c r="P101" s="8"/>
      <c r="Q101" s="8"/>
      <c r="R101" s="8"/>
      <c r="S101" s="8"/>
    </row>
    <row r="102" spans="11:19" x14ac:dyDescent="0.3">
      <c r="K102" s="8"/>
      <c r="L102" s="8"/>
      <c r="M102" s="8"/>
      <c r="N102" s="8"/>
      <c r="O102" s="8"/>
      <c r="P102" s="8"/>
      <c r="Q102" s="8"/>
      <c r="R102" s="8"/>
      <c r="S102" s="8"/>
    </row>
    <row r="103" spans="11:19" x14ac:dyDescent="0.3">
      <c r="K103" s="8"/>
      <c r="L103" s="8"/>
      <c r="M103" s="8"/>
      <c r="N103" s="8"/>
      <c r="O103" s="8"/>
      <c r="P103" s="8"/>
      <c r="Q103" s="8"/>
      <c r="R103" s="8"/>
      <c r="S103" s="8"/>
    </row>
    <row r="104" spans="11:19" x14ac:dyDescent="0.3">
      <c r="K104" s="8"/>
      <c r="L104" s="8"/>
      <c r="M104" s="8"/>
      <c r="N104" s="8"/>
      <c r="O104" s="8"/>
      <c r="P104" s="8"/>
      <c r="Q104" s="8"/>
      <c r="R104" s="8"/>
      <c r="S104" s="8"/>
    </row>
    <row r="105" spans="11:19" x14ac:dyDescent="0.3">
      <c r="K105" s="8"/>
      <c r="L105" s="8"/>
      <c r="M105" s="8"/>
      <c r="N105" s="8"/>
      <c r="O105" s="8"/>
      <c r="P105" s="8"/>
      <c r="Q105" s="8"/>
      <c r="R105" s="8"/>
      <c r="S105" s="8"/>
    </row>
    <row r="106" spans="11:19" x14ac:dyDescent="0.3">
      <c r="K106" s="8"/>
      <c r="L106" s="8"/>
      <c r="M106" s="8"/>
      <c r="N106" s="8"/>
      <c r="O106" s="8"/>
      <c r="P106" s="8"/>
      <c r="Q106" s="8"/>
      <c r="R106" s="8"/>
      <c r="S106" s="8"/>
    </row>
    <row r="107" spans="11:19" x14ac:dyDescent="0.3">
      <c r="K107" s="8"/>
      <c r="L107" s="8"/>
      <c r="M107" s="8"/>
      <c r="N107" s="8"/>
      <c r="O107" s="8"/>
      <c r="P107" s="8"/>
      <c r="Q107" s="8"/>
      <c r="R107" s="8"/>
      <c r="S107" s="8"/>
    </row>
    <row r="108" spans="11:19" x14ac:dyDescent="0.3">
      <c r="K108" s="8"/>
      <c r="L108" s="8"/>
      <c r="M108" s="8"/>
      <c r="N108" s="8"/>
      <c r="O108" s="8"/>
      <c r="P108" s="8"/>
      <c r="Q108" s="8"/>
      <c r="R108" s="8"/>
      <c r="S108" s="8"/>
    </row>
    <row r="109" spans="11:19" x14ac:dyDescent="0.3">
      <c r="K109" s="8"/>
      <c r="L109" s="8"/>
      <c r="M109" s="8"/>
      <c r="N109" s="8"/>
      <c r="O109" s="8"/>
      <c r="P109" s="8"/>
      <c r="Q109" s="8"/>
      <c r="R109" s="8"/>
      <c r="S109" s="8"/>
    </row>
    <row r="110" spans="11:19" x14ac:dyDescent="0.3">
      <c r="K110" s="8"/>
      <c r="L110" s="8"/>
      <c r="M110" s="8"/>
      <c r="N110" s="8"/>
      <c r="O110" s="8"/>
      <c r="P110" s="8"/>
      <c r="Q110" s="8"/>
      <c r="R110" s="8"/>
      <c r="S110" s="8"/>
    </row>
    <row r="111" spans="11:19" x14ac:dyDescent="0.3">
      <c r="K111" s="8"/>
      <c r="L111" s="8"/>
      <c r="M111" s="8"/>
      <c r="N111" s="8"/>
      <c r="O111" s="8"/>
      <c r="P111" s="8"/>
      <c r="Q111" s="8"/>
      <c r="R111" s="8"/>
      <c r="S111" s="8"/>
    </row>
    <row r="112" spans="11:19" x14ac:dyDescent="0.3">
      <c r="K112" s="8"/>
      <c r="L112" s="8"/>
      <c r="M112" s="8"/>
      <c r="N112" s="8"/>
      <c r="O112" s="8"/>
      <c r="P112" s="8"/>
      <c r="Q112" s="8"/>
      <c r="R112" s="8"/>
      <c r="S112" s="8"/>
    </row>
    <row r="113" spans="11:19" x14ac:dyDescent="0.3">
      <c r="K113" s="8"/>
      <c r="L113" s="8"/>
      <c r="M113" s="8"/>
      <c r="N113" s="8"/>
      <c r="O113" s="8"/>
      <c r="P113" s="8"/>
      <c r="Q113" s="8"/>
      <c r="R113" s="8"/>
      <c r="S113" s="8"/>
    </row>
    <row r="114" spans="11:19" x14ac:dyDescent="0.3">
      <c r="K114" s="8"/>
      <c r="L114" s="8"/>
      <c r="M114" s="8"/>
      <c r="N114" s="8"/>
      <c r="O114" s="8"/>
      <c r="P114" s="8"/>
      <c r="Q114" s="8"/>
      <c r="R114" s="8"/>
      <c r="S114" s="8"/>
    </row>
    <row r="115" spans="11:19" x14ac:dyDescent="0.3">
      <c r="K115" s="8"/>
      <c r="L115" s="8"/>
      <c r="M115" s="8"/>
      <c r="N115" s="8"/>
      <c r="O115" s="8"/>
      <c r="P115" s="8"/>
      <c r="Q115" s="8"/>
      <c r="R115" s="8"/>
      <c r="S115" s="8"/>
    </row>
    <row r="116" spans="11:19" x14ac:dyDescent="0.3">
      <c r="K116" s="8"/>
      <c r="L116" s="8"/>
      <c r="M116" s="8"/>
      <c r="N116" s="8"/>
      <c r="O116" s="8"/>
      <c r="P116" s="8"/>
      <c r="Q116" s="8"/>
      <c r="R116" s="8"/>
      <c r="S116" s="8"/>
    </row>
    <row r="117" spans="11:19" x14ac:dyDescent="0.3">
      <c r="K117" s="8"/>
      <c r="L117" s="8"/>
      <c r="M117" s="8"/>
      <c r="N117" s="8"/>
      <c r="O117" s="8"/>
      <c r="P117" s="8"/>
      <c r="Q117" s="8"/>
      <c r="R117" s="8"/>
      <c r="S117" s="8"/>
    </row>
    <row r="118" spans="11:19" x14ac:dyDescent="0.3">
      <c r="K118" s="8"/>
      <c r="L118" s="8"/>
      <c r="M118" s="8"/>
      <c r="N118" s="8"/>
      <c r="O118" s="8"/>
      <c r="P118" s="8"/>
      <c r="Q118" s="8"/>
      <c r="R118" s="8"/>
      <c r="S118" s="8"/>
    </row>
    <row r="119" spans="11:19" x14ac:dyDescent="0.3">
      <c r="K119" s="8"/>
      <c r="L119" s="8"/>
      <c r="M119" s="8"/>
      <c r="N119" s="8"/>
      <c r="O119" s="8"/>
      <c r="P119" s="8"/>
      <c r="Q119" s="8"/>
      <c r="R119" s="8"/>
      <c r="S119" s="8"/>
    </row>
    <row r="120" spans="11:19" x14ac:dyDescent="0.3">
      <c r="K120" s="8"/>
      <c r="L120" s="8"/>
      <c r="M120" s="8"/>
      <c r="N120" s="8"/>
      <c r="O120" s="8"/>
      <c r="P120" s="8"/>
      <c r="Q120" s="8"/>
      <c r="R120" s="8"/>
      <c r="S120" s="8"/>
    </row>
    <row r="121" spans="11:19" x14ac:dyDescent="0.3">
      <c r="K121" s="8"/>
      <c r="L121" s="8"/>
      <c r="M121" s="8"/>
      <c r="N121" s="8"/>
      <c r="O121" s="8"/>
      <c r="P121" s="8"/>
      <c r="Q121" s="8"/>
      <c r="R121" s="8"/>
      <c r="S121" s="8"/>
    </row>
    <row r="122" spans="11:19" x14ac:dyDescent="0.3">
      <c r="K122" s="8"/>
      <c r="L122" s="8"/>
      <c r="M122" s="8"/>
      <c r="N122" s="8"/>
      <c r="O122" s="8"/>
      <c r="P122" s="8"/>
      <c r="Q122" s="8"/>
      <c r="R122" s="8"/>
      <c r="S122" s="8"/>
    </row>
    <row r="123" spans="11:19" x14ac:dyDescent="0.3">
      <c r="K123" s="8"/>
      <c r="L123" s="8"/>
      <c r="M123" s="8"/>
      <c r="N123" s="8"/>
      <c r="O123" s="8"/>
      <c r="P123" s="8"/>
      <c r="Q123" s="8"/>
      <c r="R123" s="8"/>
      <c r="S123" s="8"/>
    </row>
    <row r="124" spans="11:19" x14ac:dyDescent="0.3">
      <c r="K124" s="8"/>
      <c r="L124" s="8"/>
      <c r="M124" s="8"/>
      <c r="N124" s="8"/>
      <c r="O124" s="8"/>
      <c r="P124" s="8"/>
      <c r="Q124" s="8"/>
      <c r="R124" s="8"/>
      <c r="S124" s="8"/>
    </row>
    <row r="125" spans="11:19" x14ac:dyDescent="0.3">
      <c r="K125" s="8"/>
      <c r="L125" s="8"/>
      <c r="M125" s="8"/>
      <c r="N125" s="8"/>
      <c r="O125" s="8"/>
      <c r="P125" s="8"/>
      <c r="Q125" s="8"/>
      <c r="R125" s="8"/>
      <c r="S125" s="8"/>
    </row>
    <row r="126" spans="11:19" x14ac:dyDescent="0.3">
      <c r="K126" s="8"/>
      <c r="L126" s="8"/>
      <c r="M126" s="8"/>
      <c r="N126" s="8"/>
      <c r="O126" s="8"/>
      <c r="P126" s="8"/>
      <c r="Q126" s="8"/>
      <c r="R126" s="8"/>
      <c r="S126" s="8"/>
    </row>
    <row r="127" spans="11:19" x14ac:dyDescent="0.3">
      <c r="K127" s="8"/>
      <c r="L127" s="8"/>
      <c r="M127" s="8"/>
      <c r="N127" s="8"/>
      <c r="O127" s="8"/>
      <c r="P127" s="8"/>
      <c r="Q127" s="8"/>
      <c r="R127" s="8"/>
      <c r="S127" s="8"/>
    </row>
    <row r="128" spans="11:19" x14ac:dyDescent="0.3">
      <c r="K128" s="8"/>
      <c r="L128" s="8"/>
      <c r="M128" s="8"/>
      <c r="N128" s="8"/>
      <c r="O128" s="8"/>
      <c r="P128" s="8"/>
      <c r="Q128" s="8"/>
      <c r="R128" s="8"/>
      <c r="S128" s="8"/>
    </row>
    <row r="129" spans="11:19" x14ac:dyDescent="0.3">
      <c r="K129" s="8"/>
      <c r="L129" s="8"/>
      <c r="M129" s="8"/>
      <c r="N129" s="8"/>
      <c r="O129" s="8"/>
      <c r="P129" s="8"/>
      <c r="Q129" s="8"/>
      <c r="R129" s="8"/>
      <c r="S129" s="8"/>
    </row>
    <row r="130" spans="11:19" x14ac:dyDescent="0.3">
      <c r="K130" s="8"/>
      <c r="L130" s="8"/>
      <c r="M130" s="8"/>
      <c r="N130" s="8"/>
      <c r="O130" s="8"/>
      <c r="P130" s="8"/>
      <c r="Q130" s="8"/>
      <c r="R130" s="8"/>
      <c r="S130" s="8"/>
    </row>
    <row r="131" spans="11:19" x14ac:dyDescent="0.3">
      <c r="K131" s="8"/>
      <c r="L131" s="8"/>
      <c r="M131" s="8"/>
      <c r="N131" s="8"/>
      <c r="O131" s="8"/>
      <c r="P131" s="8"/>
      <c r="Q131" s="8"/>
      <c r="R131" s="8"/>
      <c r="S131" s="8"/>
    </row>
    <row r="132" spans="11:19" x14ac:dyDescent="0.3">
      <c r="K132" s="8"/>
      <c r="L132" s="8"/>
      <c r="M132" s="8"/>
      <c r="N132" s="8"/>
      <c r="O132" s="8"/>
      <c r="P132" s="8"/>
      <c r="Q132" s="8"/>
      <c r="R132" s="8"/>
      <c r="S132" s="8"/>
    </row>
    <row r="133" spans="11:19" x14ac:dyDescent="0.3">
      <c r="K133" s="8"/>
      <c r="L133" s="8"/>
      <c r="M133" s="8"/>
      <c r="N133" s="8"/>
      <c r="O133" s="8"/>
      <c r="P133" s="8"/>
      <c r="Q133" s="8"/>
      <c r="R133" s="8"/>
      <c r="S133" s="8"/>
    </row>
    <row r="134" spans="11:19" x14ac:dyDescent="0.3">
      <c r="K134" s="8"/>
      <c r="L134" s="8"/>
      <c r="M134" s="8"/>
      <c r="N134" s="8"/>
      <c r="O134" s="8"/>
      <c r="P134" s="8"/>
      <c r="Q134" s="8"/>
      <c r="R134" s="8"/>
      <c r="S134" s="8"/>
    </row>
    <row r="135" spans="11:19" x14ac:dyDescent="0.3">
      <c r="K135" s="8"/>
      <c r="L135" s="8"/>
      <c r="M135" s="8"/>
      <c r="N135" s="8"/>
      <c r="O135" s="8"/>
      <c r="P135" s="8"/>
      <c r="Q135" s="8"/>
      <c r="R135" s="8"/>
      <c r="S135" s="8"/>
    </row>
    <row r="136" spans="11:19" x14ac:dyDescent="0.3">
      <c r="K136" s="8"/>
      <c r="L136" s="8"/>
      <c r="M136" s="8"/>
      <c r="N136" s="8"/>
      <c r="O136" s="8"/>
      <c r="P136" s="8"/>
      <c r="Q136" s="8"/>
      <c r="R136" s="8"/>
      <c r="S136" s="8"/>
    </row>
    <row r="137" spans="11:19" x14ac:dyDescent="0.3">
      <c r="K137" s="8"/>
      <c r="L137" s="8"/>
      <c r="M137" s="8"/>
      <c r="N137" s="8"/>
      <c r="O137" s="8"/>
      <c r="P137" s="8"/>
      <c r="Q137" s="8"/>
      <c r="R137" s="8"/>
      <c r="S137" s="8"/>
    </row>
    <row r="138" spans="11:19" x14ac:dyDescent="0.3">
      <c r="K138" s="8"/>
      <c r="L138" s="8"/>
      <c r="M138" s="8"/>
      <c r="N138" s="8"/>
      <c r="O138" s="8"/>
      <c r="P138" s="8"/>
      <c r="Q138" s="8"/>
      <c r="R138" s="8"/>
      <c r="S138" s="8"/>
    </row>
    <row r="139" spans="11:19" x14ac:dyDescent="0.3">
      <c r="K139" s="8"/>
      <c r="L139" s="8"/>
      <c r="M139" s="8"/>
      <c r="N139" s="8"/>
      <c r="O139" s="8"/>
      <c r="P139" s="8"/>
      <c r="Q139" s="8"/>
      <c r="R139" s="8"/>
      <c r="S139" s="8"/>
    </row>
    <row r="140" spans="11:19" x14ac:dyDescent="0.3">
      <c r="K140" s="8"/>
      <c r="L140" s="8"/>
      <c r="M140" s="8"/>
      <c r="N140" s="8"/>
      <c r="O140" s="8"/>
      <c r="P140" s="8"/>
      <c r="Q140" s="8"/>
      <c r="R140" s="8"/>
      <c r="S140" s="8"/>
    </row>
    <row r="141" spans="11:19" x14ac:dyDescent="0.3">
      <c r="K141" s="8"/>
      <c r="L141" s="8"/>
      <c r="M141" s="8"/>
      <c r="N141" s="8"/>
      <c r="O141" s="8"/>
      <c r="P141" s="8"/>
      <c r="Q141" s="8"/>
      <c r="R141" s="8"/>
      <c r="S141" s="8"/>
    </row>
    <row r="142" spans="11:19" x14ac:dyDescent="0.3">
      <c r="K142" s="8"/>
      <c r="L142" s="8"/>
      <c r="M142" s="8"/>
      <c r="N142" s="8"/>
      <c r="O142" s="8"/>
      <c r="P142" s="8"/>
      <c r="Q142" s="8"/>
      <c r="R142" s="8"/>
      <c r="S142" s="8"/>
    </row>
    <row r="143" spans="11:19" x14ac:dyDescent="0.3">
      <c r="K143" s="8"/>
      <c r="L143" s="8"/>
      <c r="M143" s="8"/>
      <c r="N143" s="8"/>
      <c r="O143" s="8"/>
      <c r="P143" s="8">
        <f>SUM(P31:P140)</f>
        <v>0</v>
      </c>
      <c r="Q143" s="8"/>
      <c r="R143" s="8"/>
      <c r="S143" s="8"/>
    </row>
    <row r="144" spans="11:19" x14ac:dyDescent="0.3">
      <c r="K144" s="8"/>
      <c r="L144" s="8"/>
      <c r="M144" s="8"/>
      <c r="N144" s="8"/>
      <c r="O144" s="8"/>
      <c r="P144" s="8"/>
      <c r="Q144" s="8"/>
      <c r="R144" s="8"/>
      <c r="S144" s="8"/>
    </row>
    <row r="145" spans="11:19" x14ac:dyDescent="0.3">
      <c r="K145" s="8"/>
      <c r="L145" s="8"/>
      <c r="M145" s="8"/>
      <c r="N145" s="8"/>
      <c r="O145" s="8"/>
      <c r="P145" s="8"/>
      <c r="Q145" s="8"/>
      <c r="R145" s="8"/>
      <c r="S145" s="8"/>
    </row>
    <row r="146" spans="11:19" x14ac:dyDescent="0.3">
      <c r="K146" s="8"/>
      <c r="L146" s="8"/>
      <c r="M146" s="8"/>
      <c r="N146" s="8"/>
      <c r="O146" s="8"/>
      <c r="P146" s="8"/>
      <c r="Q146" s="8"/>
      <c r="R146" s="8"/>
      <c r="S146" s="8"/>
    </row>
    <row r="147" spans="11:19" x14ac:dyDescent="0.3">
      <c r="K147" s="8"/>
      <c r="L147" s="8"/>
      <c r="M147" s="8"/>
      <c r="N147" s="8"/>
      <c r="O147" s="8"/>
      <c r="P147" s="8"/>
      <c r="Q147" s="8"/>
      <c r="R147" s="8"/>
      <c r="S147" s="8"/>
    </row>
    <row r="148" spans="11:19" x14ac:dyDescent="0.3">
      <c r="K148" s="8"/>
      <c r="L148" s="8"/>
      <c r="M148" s="8"/>
      <c r="N148" s="8"/>
      <c r="O148" s="8"/>
      <c r="P148" s="8"/>
      <c r="Q148" s="8"/>
      <c r="R148" s="8"/>
      <c r="S148" s="8"/>
    </row>
    <row r="149" spans="11:19" x14ac:dyDescent="0.3">
      <c r="K149" s="8"/>
      <c r="L149" s="8"/>
      <c r="M149" s="8"/>
      <c r="N149" s="8"/>
      <c r="O149" s="8"/>
      <c r="P149" s="8"/>
      <c r="Q149" s="8"/>
      <c r="R149" s="8"/>
      <c r="S149" s="8"/>
    </row>
    <row r="150" spans="11:19" x14ac:dyDescent="0.3">
      <c r="K150" s="8"/>
      <c r="L150" s="8"/>
      <c r="M150" s="8"/>
      <c r="N150" s="8"/>
      <c r="O150" s="8"/>
      <c r="P150" s="8"/>
      <c r="Q150" s="8"/>
      <c r="R150" s="8"/>
      <c r="S150" s="8"/>
    </row>
    <row r="151" spans="11:19" x14ac:dyDescent="0.3">
      <c r="K151" s="8"/>
      <c r="L151" s="8"/>
      <c r="M151" s="8"/>
      <c r="N151" s="8"/>
      <c r="O151" s="8"/>
      <c r="P151" s="8"/>
      <c r="Q151" s="8"/>
      <c r="R151" s="8"/>
      <c r="S151" s="8"/>
    </row>
    <row r="152" spans="11:19" x14ac:dyDescent="0.3">
      <c r="K152" s="8"/>
      <c r="L152" s="8"/>
      <c r="M152" s="8"/>
      <c r="N152" s="8"/>
      <c r="O152" s="8"/>
      <c r="P152" s="8"/>
      <c r="Q152" s="8"/>
      <c r="R152" s="8"/>
      <c r="S152" s="8"/>
    </row>
    <row r="153" spans="11:19" x14ac:dyDescent="0.3">
      <c r="K153" s="8"/>
      <c r="L153" s="8"/>
      <c r="M153" s="8"/>
      <c r="N153" s="8"/>
      <c r="O153" s="8"/>
      <c r="P153" s="8"/>
      <c r="Q153" s="8"/>
      <c r="R153" s="8"/>
      <c r="S153" s="8"/>
    </row>
    <row r="154" spans="11:19" x14ac:dyDescent="0.3">
      <c r="K154" s="8"/>
      <c r="L154" s="8"/>
      <c r="M154" s="8"/>
      <c r="N154" s="8"/>
      <c r="O154" s="8"/>
      <c r="P154" s="8"/>
      <c r="Q154" s="8"/>
      <c r="R154" s="8"/>
      <c r="S154" s="8"/>
    </row>
    <row r="155" spans="11:19" x14ac:dyDescent="0.3">
      <c r="K155" s="8"/>
      <c r="L155" s="8"/>
      <c r="M155" s="8"/>
      <c r="N155" s="8"/>
      <c r="O155" s="8"/>
      <c r="P155" s="8"/>
      <c r="Q155" s="8"/>
      <c r="R155" s="8"/>
      <c r="S155" s="8"/>
    </row>
    <row r="156" spans="11:19" x14ac:dyDescent="0.3">
      <c r="K156" s="8"/>
      <c r="L156" s="8"/>
      <c r="M156" s="8"/>
      <c r="N156" s="8"/>
      <c r="O156" s="8"/>
      <c r="P156" s="8"/>
      <c r="Q156" s="8"/>
      <c r="R156" s="8"/>
      <c r="S156" s="8"/>
    </row>
    <row r="157" spans="11:19" x14ac:dyDescent="0.3">
      <c r="K157" s="8"/>
      <c r="L157" s="8"/>
      <c r="M157" s="8"/>
      <c r="N157" s="8"/>
      <c r="O157" s="8"/>
      <c r="P157" s="8"/>
      <c r="Q157" s="8"/>
      <c r="R157" s="8"/>
      <c r="S157" s="8"/>
    </row>
    <row r="158" spans="11:19" x14ac:dyDescent="0.3">
      <c r="K158" s="8"/>
      <c r="L158" s="8"/>
      <c r="M158" s="8"/>
      <c r="N158" s="8"/>
      <c r="O158" s="8"/>
      <c r="P158" s="8"/>
      <c r="Q158" s="8"/>
      <c r="R158" s="8"/>
      <c r="S158" s="8"/>
    </row>
    <row r="159" spans="11:19" x14ac:dyDescent="0.3">
      <c r="K159" s="8"/>
      <c r="L159" s="8"/>
      <c r="M159" s="8"/>
      <c r="N159" s="8"/>
      <c r="O159" s="8"/>
      <c r="P159" s="8"/>
      <c r="Q159" s="8"/>
      <c r="R159" s="8"/>
      <c r="S159" s="8"/>
    </row>
    <row r="160" spans="11:19" x14ac:dyDescent="0.3">
      <c r="K160" s="8"/>
      <c r="L160" s="8"/>
      <c r="M160" s="8"/>
      <c r="N160" s="8"/>
      <c r="O160" s="8"/>
      <c r="P160" s="8"/>
      <c r="Q160" s="8"/>
      <c r="R160" s="8"/>
      <c r="S160" s="8"/>
    </row>
    <row r="161" spans="11:19" x14ac:dyDescent="0.3">
      <c r="K161" s="8"/>
      <c r="L161" s="8"/>
      <c r="M161" s="8"/>
      <c r="N161" s="8"/>
      <c r="O161" s="8"/>
      <c r="P161" s="8"/>
      <c r="Q161" s="8"/>
      <c r="R161" s="8"/>
      <c r="S161" s="8"/>
    </row>
    <row r="162" spans="11:19" x14ac:dyDescent="0.3">
      <c r="K162" s="8"/>
      <c r="L162" s="8"/>
      <c r="M162" s="8"/>
      <c r="N162" s="8"/>
      <c r="O162" s="8"/>
      <c r="P162" s="8"/>
      <c r="Q162" s="8"/>
      <c r="R162" s="8"/>
      <c r="S162" s="8"/>
    </row>
    <row r="163" spans="11:19" x14ac:dyDescent="0.3">
      <c r="K163" s="8"/>
      <c r="L163" s="8"/>
      <c r="M163" s="8"/>
      <c r="N163" s="8"/>
      <c r="O163" s="8"/>
      <c r="P163" s="8"/>
      <c r="Q163" s="8"/>
      <c r="R163" s="8"/>
      <c r="S163" s="8"/>
    </row>
    <row r="164" spans="11:19" x14ac:dyDescent="0.3">
      <c r="K164" s="8"/>
      <c r="L164" s="8"/>
      <c r="M164" s="8"/>
      <c r="N164" s="8"/>
      <c r="O164" s="8"/>
      <c r="P164" s="8"/>
      <c r="Q164" s="8"/>
      <c r="R164" s="8"/>
      <c r="S164" s="8"/>
    </row>
    <row r="165" spans="11:19" x14ac:dyDescent="0.3">
      <c r="K165" s="8"/>
      <c r="L165" s="8"/>
      <c r="M165" s="8"/>
      <c r="N165" s="8"/>
      <c r="O165" s="8"/>
      <c r="P165" s="8"/>
      <c r="Q165" s="8"/>
      <c r="R165" s="8"/>
      <c r="S165" s="8"/>
    </row>
    <row r="166" spans="11:19" x14ac:dyDescent="0.3">
      <c r="K166" s="8"/>
      <c r="L166" s="8"/>
      <c r="M166" s="8"/>
      <c r="N166" s="8"/>
      <c r="O166" s="8"/>
      <c r="P166" s="8"/>
      <c r="Q166" s="8"/>
      <c r="R166" s="8"/>
      <c r="S166" s="8"/>
    </row>
    <row r="167" spans="11:19" x14ac:dyDescent="0.3">
      <c r="K167" s="8"/>
      <c r="L167" s="8"/>
      <c r="M167" s="8"/>
      <c r="N167" s="8"/>
      <c r="O167" s="8"/>
      <c r="P167" s="8"/>
      <c r="Q167" s="8"/>
      <c r="R167" s="8"/>
      <c r="S167" s="8"/>
    </row>
    <row r="168" spans="11:19" x14ac:dyDescent="0.3">
      <c r="K168" s="8"/>
      <c r="L168" s="8"/>
      <c r="M168" s="8"/>
      <c r="N168" s="8"/>
      <c r="O168" s="8"/>
      <c r="P168" s="8"/>
      <c r="Q168" s="8"/>
      <c r="R168" s="8"/>
      <c r="S168" s="8"/>
    </row>
    <row r="169" spans="11:19" x14ac:dyDescent="0.3">
      <c r="K169" s="8"/>
      <c r="L169" s="8"/>
      <c r="M169" s="8"/>
      <c r="N169" s="8"/>
      <c r="O169" s="8"/>
      <c r="P169" s="8"/>
      <c r="Q169" s="8"/>
      <c r="R169" s="8"/>
      <c r="S169" s="8"/>
    </row>
    <row r="170" spans="11:19" x14ac:dyDescent="0.3">
      <c r="K170" s="8"/>
      <c r="L170" s="8"/>
      <c r="M170" s="8"/>
      <c r="N170" s="8"/>
      <c r="O170" s="8"/>
      <c r="P170" s="8"/>
      <c r="Q170" s="8"/>
      <c r="R170" s="8"/>
      <c r="S170" s="8"/>
    </row>
    <row r="171" spans="11:19" x14ac:dyDescent="0.3">
      <c r="K171" s="8"/>
      <c r="L171" s="8"/>
      <c r="M171" s="8"/>
      <c r="N171" s="8"/>
      <c r="O171" s="8"/>
      <c r="P171" s="8"/>
      <c r="Q171" s="8"/>
      <c r="R171" s="8"/>
      <c r="S171" s="8"/>
    </row>
    <row r="172" spans="11:19" x14ac:dyDescent="0.3">
      <c r="K172" s="8"/>
      <c r="L172" s="8"/>
      <c r="M172" s="8"/>
      <c r="N172" s="8"/>
      <c r="O172" s="8"/>
      <c r="P172" s="8"/>
      <c r="Q172" s="8"/>
      <c r="R172" s="8"/>
      <c r="S172" s="8"/>
    </row>
    <row r="173" spans="11:19" x14ac:dyDescent="0.3">
      <c r="K173" s="8"/>
      <c r="L173" s="8"/>
      <c r="M173" s="8"/>
      <c r="N173" s="8"/>
      <c r="O173" s="8"/>
      <c r="P173" s="8"/>
      <c r="Q173" s="8"/>
      <c r="R173" s="8"/>
      <c r="S173" s="8"/>
    </row>
    <row r="174" spans="11:19" x14ac:dyDescent="0.3">
      <c r="K174" s="8"/>
      <c r="L174" s="8"/>
      <c r="M174" s="8"/>
      <c r="N174" s="8"/>
      <c r="O174" s="8"/>
      <c r="P174" s="8"/>
      <c r="Q174" s="8"/>
      <c r="R174" s="8"/>
      <c r="S174" s="8"/>
    </row>
    <row r="175" spans="11:19" x14ac:dyDescent="0.3">
      <c r="K175" s="8"/>
      <c r="L175" s="8"/>
      <c r="M175" s="8"/>
      <c r="N175" s="8"/>
      <c r="O175" s="8"/>
      <c r="P175" s="8"/>
      <c r="Q175" s="8"/>
      <c r="R175" s="8"/>
      <c r="S175" s="8"/>
    </row>
    <row r="176" spans="11:19" x14ac:dyDescent="0.3">
      <c r="K176" s="8"/>
      <c r="L176" s="8"/>
      <c r="M176" s="8"/>
      <c r="N176" s="8"/>
      <c r="O176" s="8"/>
      <c r="P176" s="8"/>
      <c r="Q176" s="8"/>
      <c r="R176" s="8"/>
      <c r="S176" s="8"/>
    </row>
    <row r="177" spans="11:19" x14ac:dyDescent="0.3">
      <c r="K177" s="8"/>
      <c r="L177" s="8"/>
      <c r="M177" s="8"/>
      <c r="N177" s="8"/>
      <c r="O177" s="8"/>
      <c r="P177" s="8"/>
      <c r="Q177" s="8"/>
      <c r="R177" s="8"/>
      <c r="S177" s="8"/>
    </row>
    <row r="178" spans="11:19" x14ac:dyDescent="0.3">
      <c r="K178" s="8"/>
      <c r="L178" s="8"/>
      <c r="M178" s="8"/>
      <c r="N178" s="8"/>
      <c r="O178" s="8"/>
      <c r="P178" s="8"/>
      <c r="Q178" s="8"/>
      <c r="R178" s="8"/>
      <c r="S178" s="8"/>
    </row>
    <row r="179" spans="11:19" x14ac:dyDescent="0.3">
      <c r="K179" s="8"/>
      <c r="L179" s="8"/>
      <c r="M179" s="8"/>
      <c r="N179" s="8"/>
      <c r="O179" s="8"/>
      <c r="P179" s="8"/>
      <c r="Q179" s="8"/>
      <c r="R179" s="8"/>
      <c r="S179" s="8"/>
    </row>
    <row r="180" spans="11:19" x14ac:dyDescent="0.3">
      <c r="K180" s="8"/>
      <c r="L180" s="8"/>
      <c r="M180" s="8"/>
      <c r="N180" s="8"/>
      <c r="O180" s="8"/>
      <c r="P180" s="8"/>
      <c r="Q180" s="8"/>
      <c r="R180" s="8"/>
      <c r="S180" s="8"/>
    </row>
    <row r="181" spans="11:19" x14ac:dyDescent="0.3">
      <c r="K181" s="8"/>
      <c r="L181" s="8"/>
      <c r="M181" s="8"/>
      <c r="N181" s="8"/>
      <c r="O181" s="8"/>
      <c r="P181" s="8"/>
      <c r="Q181" s="8"/>
      <c r="R181" s="8"/>
      <c r="S181" s="8"/>
    </row>
    <row r="182" spans="11:19" x14ac:dyDescent="0.3">
      <c r="K182" s="8"/>
      <c r="L182" s="8"/>
      <c r="M182" s="8"/>
      <c r="N182" s="8"/>
      <c r="O182" s="8"/>
      <c r="P182" s="8"/>
      <c r="Q182" s="8"/>
      <c r="R182" s="8"/>
      <c r="S182" s="8"/>
    </row>
    <row r="183" spans="11:19" x14ac:dyDescent="0.3">
      <c r="K183" s="8"/>
      <c r="L183" s="8"/>
      <c r="M183" s="8"/>
      <c r="N183" s="8"/>
      <c r="O183" s="8"/>
      <c r="P183" s="8"/>
      <c r="Q183" s="8"/>
      <c r="R183" s="8"/>
      <c r="S183" s="8"/>
    </row>
    <row r="184" spans="11:19" x14ac:dyDescent="0.3">
      <c r="K184" s="8"/>
      <c r="L184" s="8"/>
      <c r="M184" s="8"/>
      <c r="N184" s="8"/>
      <c r="O184" s="8"/>
      <c r="P184" s="8"/>
      <c r="Q184" s="8"/>
      <c r="R184" s="8"/>
      <c r="S184" s="8"/>
    </row>
    <row r="185" spans="11:19" x14ac:dyDescent="0.3">
      <c r="K185" s="8"/>
      <c r="L185" s="8"/>
      <c r="M185" s="8"/>
      <c r="N185" s="8"/>
      <c r="O185" s="8"/>
      <c r="P185" s="8"/>
      <c r="Q185" s="8"/>
      <c r="R185" s="8"/>
      <c r="S185" s="8"/>
    </row>
    <row r="186" spans="11:19" x14ac:dyDescent="0.3">
      <c r="K186" s="8"/>
      <c r="L186" s="8"/>
      <c r="M186" s="8"/>
      <c r="N186" s="8"/>
      <c r="O186" s="8"/>
      <c r="P186" s="8"/>
      <c r="Q186" s="8"/>
      <c r="R186" s="8"/>
      <c r="S186" s="8"/>
    </row>
    <row r="187" spans="11:19" x14ac:dyDescent="0.3">
      <c r="K187" s="8"/>
      <c r="L187" s="8"/>
      <c r="M187" s="8"/>
      <c r="N187" s="8"/>
      <c r="O187" s="8"/>
      <c r="P187" s="8"/>
      <c r="Q187" s="8"/>
      <c r="R187" s="8"/>
      <c r="S187" s="8"/>
    </row>
    <row r="188" spans="11:19" x14ac:dyDescent="0.3">
      <c r="K188" s="8"/>
      <c r="L188" s="8"/>
      <c r="M188" s="8"/>
      <c r="N188" s="8"/>
      <c r="O188" s="8"/>
      <c r="P188" s="8"/>
      <c r="Q188" s="8"/>
      <c r="R188" s="8"/>
      <c r="S188" s="8"/>
    </row>
    <row r="189" spans="11:19" x14ac:dyDescent="0.3">
      <c r="K189" s="8"/>
      <c r="L189" s="8"/>
      <c r="M189" s="8"/>
      <c r="N189" s="8"/>
      <c r="O189" s="8"/>
      <c r="P189" s="8"/>
      <c r="Q189" s="8"/>
      <c r="R189" s="8"/>
      <c r="S189" s="8"/>
    </row>
    <row r="190" spans="11:19" x14ac:dyDescent="0.3">
      <c r="K190" s="8"/>
      <c r="L190" s="8"/>
      <c r="M190" s="8"/>
      <c r="N190" s="8"/>
      <c r="O190" s="8"/>
      <c r="P190" s="8"/>
      <c r="Q190" s="8"/>
      <c r="R190" s="8"/>
      <c r="S190" s="8"/>
    </row>
    <row r="191" spans="11:19" x14ac:dyDescent="0.3">
      <c r="K191" s="8"/>
      <c r="L191" s="8"/>
      <c r="M191" s="8"/>
      <c r="N191" s="8"/>
      <c r="O191" s="8"/>
      <c r="P191" s="8"/>
      <c r="Q191" s="8"/>
      <c r="R191" s="8"/>
      <c r="S191" s="8"/>
    </row>
    <row r="192" spans="11:19" x14ac:dyDescent="0.3">
      <c r="K192" s="8"/>
      <c r="L192" s="8"/>
      <c r="M192" s="8"/>
      <c r="N192" s="8"/>
      <c r="O192" s="8"/>
      <c r="P192" s="8"/>
      <c r="Q192" s="8"/>
      <c r="R192" s="8"/>
      <c r="S192" s="8"/>
    </row>
    <row r="193" spans="11:19" x14ac:dyDescent="0.3">
      <c r="K193" s="8"/>
      <c r="L193" s="8"/>
      <c r="M193" s="8"/>
      <c r="N193" s="8"/>
      <c r="O193" s="8"/>
      <c r="P193" s="8"/>
      <c r="Q193" s="8"/>
      <c r="R193" s="8"/>
      <c r="S193" s="8"/>
    </row>
    <row r="194" spans="11:19" x14ac:dyDescent="0.3">
      <c r="K194" s="8"/>
      <c r="L194" s="8"/>
      <c r="M194" s="8"/>
      <c r="N194" s="8"/>
      <c r="O194" s="8"/>
      <c r="P194" s="8"/>
      <c r="Q194" s="8"/>
      <c r="R194" s="8"/>
      <c r="S194" s="8"/>
    </row>
    <row r="195" spans="11:19" x14ac:dyDescent="0.3">
      <c r="K195" s="8"/>
      <c r="L195" s="8"/>
      <c r="M195" s="8"/>
      <c r="N195" s="8"/>
      <c r="O195" s="8"/>
      <c r="P195" s="8"/>
      <c r="Q195" s="8"/>
      <c r="R195" s="8"/>
      <c r="S195" s="8"/>
    </row>
    <row r="196" spans="11:19" x14ac:dyDescent="0.3">
      <c r="K196" s="8"/>
      <c r="L196" s="8"/>
      <c r="M196" s="8"/>
      <c r="N196" s="8"/>
      <c r="O196" s="8"/>
      <c r="P196" s="8"/>
      <c r="Q196" s="8"/>
      <c r="R196" s="8"/>
      <c r="S196" s="8"/>
    </row>
    <row r="197" spans="11:19" x14ac:dyDescent="0.3">
      <c r="K197" s="8"/>
      <c r="L197" s="8"/>
      <c r="M197" s="8"/>
      <c r="N197" s="8"/>
      <c r="O197" s="8"/>
      <c r="P197" s="8"/>
      <c r="Q197" s="8"/>
      <c r="R197" s="8"/>
      <c r="S197" s="8"/>
    </row>
    <row r="198" spans="11:19" x14ac:dyDescent="0.3">
      <c r="K198" s="8"/>
      <c r="L198" s="8"/>
      <c r="M198" s="8"/>
      <c r="N198" s="8"/>
      <c r="O198" s="8"/>
      <c r="P198" s="8"/>
      <c r="Q198" s="8"/>
      <c r="R198" s="8"/>
      <c r="S198" s="8"/>
    </row>
    <row r="199" spans="11:19" x14ac:dyDescent="0.3">
      <c r="K199" s="8"/>
      <c r="L199" s="8"/>
      <c r="M199" s="8"/>
      <c r="N199" s="8"/>
      <c r="O199" s="8"/>
      <c r="P199" s="8"/>
      <c r="Q199" s="8"/>
      <c r="R199" s="8"/>
      <c r="S199" s="8"/>
    </row>
    <row r="200" spans="11:19" x14ac:dyDescent="0.3">
      <c r="K200" s="8"/>
      <c r="L200" s="8"/>
      <c r="M200" s="8"/>
      <c r="N200" s="8"/>
      <c r="O200" s="8"/>
      <c r="P200" s="8"/>
      <c r="Q200" s="8"/>
      <c r="R200" s="8"/>
      <c r="S200" s="8"/>
    </row>
    <row r="201" spans="11:19" x14ac:dyDescent="0.3">
      <c r="K201" s="8"/>
      <c r="L201" s="8"/>
      <c r="M201" s="8"/>
      <c r="N201" s="8"/>
      <c r="O201" s="8"/>
      <c r="P201" s="8"/>
      <c r="Q201" s="8"/>
      <c r="R201" s="8"/>
      <c r="S201" s="8"/>
    </row>
    <row r="202" spans="11:19" x14ac:dyDescent="0.3">
      <c r="K202" s="8"/>
      <c r="L202" s="8"/>
      <c r="M202" s="8"/>
      <c r="N202" s="8"/>
      <c r="O202" s="8"/>
      <c r="P202" s="8"/>
      <c r="Q202" s="8"/>
      <c r="R202" s="8"/>
      <c r="S202" s="8"/>
    </row>
    <row r="203" spans="11:19" x14ac:dyDescent="0.3">
      <c r="K203" s="8"/>
      <c r="L203" s="8"/>
      <c r="M203" s="8"/>
      <c r="N203" s="8"/>
      <c r="O203" s="8"/>
      <c r="P203" s="8"/>
      <c r="Q203" s="8"/>
      <c r="R203" s="8"/>
      <c r="S203" s="8"/>
    </row>
    <row r="204" spans="11:19" x14ac:dyDescent="0.3">
      <c r="K204" s="8"/>
      <c r="L204" s="8"/>
      <c r="M204" s="8"/>
      <c r="N204" s="8"/>
      <c r="O204" s="8"/>
      <c r="P204" s="8"/>
      <c r="Q204" s="8"/>
      <c r="R204" s="8"/>
      <c r="S204" s="8"/>
    </row>
    <row r="205" spans="11:19" x14ac:dyDescent="0.3">
      <c r="K205" s="8"/>
      <c r="L205" s="8"/>
      <c r="M205" s="8"/>
      <c r="N205" s="8"/>
      <c r="O205" s="8"/>
      <c r="P205" s="8"/>
      <c r="Q205" s="8"/>
      <c r="R205" s="8"/>
      <c r="S205" s="8"/>
    </row>
    <row r="206" spans="11:19" x14ac:dyDescent="0.3">
      <c r="K206" s="8"/>
      <c r="L206" s="8"/>
      <c r="M206" s="8"/>
      <c r="N206" s="8"/>
      <c r="O206" s="8"/>
      <c r="P206" s="8"/>
      <c r="Q206" s="8"/>
      <c r="R206" s="8"/>
      <c r="S206" s="8"/>
    </row>
    <row r="207" spans="11:19" x14ac:dyDescent="0.3">
      <c r="K207" s="8"/>
      <c r="L207" s="8"/>
      <c r="M207" s="8"/>
      <c r="N207" s="8"/>
      <c r="O207" s="8"/>
      <c r="P207" s="8"/>
      <c r="Q207" s="8"/>
      <c r="R207" s="8"/>
      <c r="S207" s="8"/>
    </row>
    <row r="208" spans="11:19" x14ac:dyDescent="0.3">
      <c r="K208" s="8"/>
      <c r="L208" s="8"/>
      <c r="M208" s="8"/>
      <c r="N208" s="8"/>
      <c r="O208" s="8"/>
      <c r="P208" s="8"/>
      <c r="Q208" s="8"/>
      <c r="R208" s="8"/>
      <c r="S208" s="8"/>
    </row>
    <row r="209" spans="11:19" x14ac:dyDescent="0.3">
      <c r="K209" s="8"/>
      <c r="L209" s="8"/>
      <c r="M209" s="8"/>
      <c r="N209" s="8"/>
      <c r="O209" s="8"/>
      <c r="P209" s="8"/>
      <c r="Q209" s="8"/>
      <c r="R209" s="8"/>
      <c r="S209" s="8"/>
    </row>
    <row r="210" spans="11:19" x14ac:dyDescent="0.3">
      <c r="K210" s="8"/>
      <c r="L210" s="8"/>
      <c r="M210" s="8"/>
      <c r="N210" s="8"/>
      <c r="O210" s="8"/>
      <c r="P210" s="8"/>
      <c r="Q210" s="8"/>
      <c r="R210" s="8"/>
      <c r="S210" s="8"/>
    </row>
    <row r="211" spans="11:19" x14ac:dyDescent="0.3">
      <c r="K211" s="8"/>
      <c r="L211" s="8"/>
      <c r="M211" s="8"/>
      <c r="N211" s="8"/>
      <c r="O211" s="8"/>
      <c r="P211" s="8"/>
      <c r="Q211" s="8"/>
      <c r="R211" s="8"/>
      <c r="S211" s="8"/>
    </row>
    <row r="212" spans="11:19" x14ac:dyDescent="0.3">
      <c r="K212" s="8"/>
      <c r="L212" s="8"/>
      <c r="M212" s="8"/>
      <c r="N212" s="8"/>
      <c r="O212" s="8"/>
      <c r="P212" s="8"/>
      <c r="Q212" s="8"/>
      <c r="R212" s="8"/>
      <c r="S212" s="8"/>
    </row>
    <row r="213" spans="11:19" x14ac:dyDescent="0.3">
      <c r="K213" s="8"/>
      <c r="L213" s="8"/>
      <c r="M213" s="8"/>
      <c r="N213" s="8"/>
      <c r="O213" s="8"/>
      <c r="P213" s="8"/>
      <c r="Q213" s="8"/>
      <c r="R213" s="8"/>
      <c r="S213" s="8"/>
    </row>
    <row r="214" spans="11:19" x14ac:dyDescent="0.3">
      <c r="K214" s="8"/>
      <c r="L214" s="8"/>
      <c r="M214" s="8"/>
      <c r="N214" s="8"/>
      <c r="O214" s="8"/>
      <c r="P214" s="8"/>
      <c r="Q214" s="8"/>
      <c r="R214" s="8"/>
      <c r="S214" s="8"/>
    </row>
    <row r="215" spans="11:19" x14ac:dyDescent="0.3">
      <c r="K215" s="8"/>
      <c r="L215" s="8"/>
      <c r="M215" s="8"/>
      <c r="N215" s="8"/>
      <c r="O215" s="8"/>
      <c r="P215" s="8"/>
      <c r="Q215" s="8"/>
      <c r="R215" s="8"/>
      <c r="S215" s="8"/>
    </row>
    <row r="216" spans="11:19" x14ac:dyDescent="0.3">
      <c r="K216" s="8"/>
      <c r="L216" s="8"/>
      <c r="M216" s="8"/>
      <c r="N216" s="8"/>
      <c r="O216" s="8"/>
      <c r="P216" s="8"/>
      <c r="Q216" s="8"/>
      <c r="R216" s="8"/>
      <c r="S216" s="8"/>
    </row>
    <row r="217" spans="11:19" x14ac:dyDescent="0.3">
      <c r="K217" s="8"/>
      <c r="L217" s="8"/>
      <c r="M217" s="8"/>
      <c r="N217" s="8"/>
      <c r="O217" s="8"/>
      <c r="P217" s="8"/>
      <c r="Q217" s="8"/>
      <c r="R217" s="8"/>
      <c r="S217" s="8"/>
    </row>
    <row r="218" spans="11:19" x14ac:dyDescent="0.3">
      <c r="K218" s="8"/>
      <c r="L218" s="8"/>
      <c r="M218" s="8"/>
      <c r="N218" s="8"/>
      <c r="O218" s="8"/>
      <c r="P218" s="8"/>
      <c r="Q218" s="8"/>
      <c r="R218" s="8"/>
      <c r="S218" s="8"/>
    </row>
    <row r="219" spans="11:19" x14ac:dyDescent="0.3">
      <c r="K219" s="8"/>
      <c r="L219" s="8"/>
      <c r="M219" s="8"/>
      <c r="N219" s="8"/>
      <c r="O219" s="8"/>
      <c r="P219" s="8"/>
      <c r="Q219" s="8"/>
      <c r="R219" s="8"/>
      <c r="S219" s="8"/>
    </row>
    <row r="220" spans="11:19" x14ac:dyDescent="0.3">
      <c r="K220" s="8"/>
      <c r="L220" s="8"/>
      <c r="M220" s="8"/>
      <c r="N220" s="8"/>
      <c r="O220" s="8"/>
      <c r="P220" s="8"/>
      <c r="Q220" s="8"/>
      <c r="R220" s="8"/>
      <c r="S220" s="8"/>
    </row>
    <row r="221" spans="11:19" x14ac:dyDescent="0.3">
      <c r="K221" s="8"/>
      <c r="L221" s="8"/>
      <c r="M221" s="8"/>
      <c r="N221" s="8"/>
      <c r="O221" s="8"/>
      <c r="P221" s="8"/>
      <c r="Q221" s="8"/>
      <c r="R221" s="8"/>
      <c r="S221" s="8"/>
    </row>
    <row r="222" spans="11:19" x14ac:dyDescent="0.3">
      <c r="K222" s="8"/>
      <c r="L222" s="8"/>
      <c r="M222" s="8"/>
      <c r="N222" s="8"/>
      <c r="O222" s="8"/>
      <c r="P222" s="8"/>
      <c r="Q222" s="8"/>
      <c r="R222" s="8"/>
      <c r="S222" s="8"/>
    </row>
    <row r="223" spans="11:19" x14ac:dyDescent="0.3">
      <c r="K223" s="8"/>
      <c r="L223" s="8"/>
      <c r="M223" s="8"/>
      <c r="N223" s="8"/>
      <c r="O223" s="8"/>
      <c r="P223" s="8"/>
      <c r="Q223" s="8"/>
      <c r="R223" s="8"/>
      <c r="S223" s="8"/>
    </row>
    <row r="224" spans="11:19" x14ac:dyDescent="0.3">
      <c r="K224" s="8"/>
      <c r="L224" s="8"/>
      <c r="M224" s="8"/>
      <c r="N224" s="8"/>
      <c r="O224" s="8"/>
      <c r="P224" s="8"/>
      <c r="Q224" s="8"/>
      <c r="R224" s="8"/>
      <c r="S224" s="8"/>
    </row>
    <row r="225" spans="11:19" x14ac:dyDescent="0.3">
      <c r="K225" s="8"/>
      <c r="L225" s="8"/>
      <c r="M225" s="8"/>
      <c r="N225" s="8"/>
      <c r="O225" s="8"/>
      <c r="P225" s="8"/>
      <c r="Q225" s="8"/>
      <c r="R225" s="8"/>
      <c r="S225" s="8"/>
    </row>
    <row r="226" spans="11:19" x14ac:dyDescent="0.3">
      <c r="K226" s="8"/>
      <c r="L226" s="8"/>
      <c r="M226" s="8"/>
      <c r="N226" s="8"/>
      <c r="O226" s="8"/>
      <c r="P226" s="8"/>
      <c r="Q226" s="8"/>
      <c r="R226" s="8"/>
      <c r="S226" s="8"/>
    </row>
    <row r="227" spans="11:19" x14ac:dyDescent="0.3">
      <c r="K227" s="8"/>
      <c r="L227" s="8"/>
      <c r="M227" s="8"/>
      <c r="N227" s="8"/>
      <c r="O227" s="8"/>
      <c r="P227" s="8"/>
      <c r="Q227" s="8"/>
      <c r="R227" s="8"/>
      <c r="S227" s="8"/>
    </row>
    <row r="228" spans="11:19" x14ac:dyDescent="0.3">
      <c r="K228" s="8"/>
      <c r="L228" s="8"/>
      <c r="M228" s="8"/>
      <c r="N228" s="8"/>
      <c r="O228" s="8"/>
      <c r="P228" s="8"/>
      <c r="Q228" s="8"/>
      <c r="R228" s="8"/>
      <c r="S228" s="8"/>
    </row>
    <row r="229" spans="11:19" x14ac:dyDescent="0.3">
      <c r="K229" s="8"/>
      <c r="L229" s="8"/>
      <c r="M229" s="8"/>
      <c r="N229" s="8"/>
      <c r="O229" s="8"/>
      <c r="P229" s="8"/>
      <c r="Q229" s="8"/>
      <c r="R229" s="8"/>
      <c r="S229" s="8"/>
    </row>
    <row r="230" spans="11:19" x14ac:dyDescent="0.3">
      <c r="K230" s="8"/>
      <c r="L230" s="8"/>
      <c r="M230" s="8"/>
      <c r="N230" s="8"/>
      <c r="O230" s="8"/>
      <c r="P230" s="8"/>
      <c r="Q230" s="8"/>
      <c r="R230" s="8"/>
      <c r="S230" s="8"/>
    </row>
    <row r="231" spans="11:19" x14ac:dyDescent="0.3">
      <c r="K231" s="8"/>
      <c r="L231" s="8"/>
      <c r="M231" s="8"/>
      <c r="N231" s="8"/>
      <c r="O231" s="8"/>
      <c r="P231" s="8"/>
      <c r="Q231" s="8"/>
      <c r="R231" s="8"/>
      <c r="S231" s="8"/>
    </row>
    <row r="232" spans="11:19" x14ac:dyDescent="0.3">
      <c r="K232" s="8"/>
      <c r="L232" s="8"/>
      <c r="M232" s="8"/>
      <c r="N232" s="8"/>
      <c r="O232" s="8"/>
      <c r="P232" s="8"/>
      <c r="Q232" s="8"/>
      <c r="R232" s="8"/>
      <c r="S232" s="8"/>
    </row>
    <row r="233" spans="11:19" x14ac:dyDescent="0.3">
      <c r="K233" s="8"/>
      <c r="L233" s="8"/>
      <c r="M233" s="8"/>
      <c r="N233" s="8"/>
      <c r="O233" s="8"/>
      <c r="P233" s="8"/>
      <c r="Q233" s="8"/>
      <c r="R233" s="8"/>
      <c r="S233" s="8"/>
    </row>
    <row r="234" spans="11:19" x14ac:dyDescent="0.3">
      <c r="K234" s="8"/>
      <c r="L234" s="8"/>
      <c r="M234" s="8"/>
      <c r="N234" s="8"/>
      <c r="O234" s="8"/>
      <c r="P234" s="8"/>
      <c r="Q234" s="8"/>
      <c r="R234" s="8"/>
      <c r="S234" s="8"/>
    </row>
    <row r="235" spans="11:19" x14ac:dyDescent="0.3">
      <c r="K235" s="8"/>
      <c r="L235" s="8"/>
      <c r="M235" s="8"/>
      <c r="N235" s="8"/>
      <c r="O235" s="8"/>
      <c r="P235" s="8"/>
      <c r="Q235" s="8"/>
      <c r="R235" s="8"/>
      <c r="S235" s="8"/>
    </row>
    <row r="236" spans="11:19" x14ac:dyDescent="0.3">
      <c r="K236" s="8"/>
      <c r="L236" s="8"/>
      <c r="M236" s="8"/>
      <c r="N236" s="8"/>
      <c r="O236" s="8"/>
      <c r="P236" s="8"/>
      <c r="Q236" s="8"/>
      <c r="R236" s="8"/>
      <c r="S236" s="8"/>
    </row>
    <row r="237" spans="11:19" x14ac:dyDescent="0.3">
      <c r="K237" s="8"/>
      <c r="L237" s="8"/>
      <c r="M237" s="8"/>
      <c r="N237" s="8"/>
      <c r="O237" s="8"/>
      <c r="P237" s="8"/>
      <c r="Q237" s="8"/>
      <c r="R237" s="8"/>
      <c r="S237" s="8"/>
    </row>
    <row r="238" spans="11:19" x14ac:dyDescent="0.3">
      <c r="K238" s="8"/>
      <c r="L238" s="8"/>
      <c r="M238" s="8"/>
      <c r="N238" s="8"/>
      <c r="O238" s="8"/>
      <c r="P238" s="8"/>
      <c r="Q238" s="8"/>
      <c r="R238" s="8"/>
      <c r="S238" s="8"/>
    </row>
    <row r="239" spans="11:19" x14ac:dyDescent="0.3">
      <c r="K239" s="8"/>
      <c r="L239" s="8"/>
      <c r="M239" s="8"/>
      <c r="N239" s="8"/>
      <c r="O239" s="8"/>
      <c r="P239" s="8"/>
      <c r="Q239" s="8"/>
      <c r="R239" s="8"/>
      <c r="S239" s="8"/>
    </row>
    <row r="240" spans="11:19" x14ac:dyDescent="0.3">
      <c r="K240" s="8"/>
      <c r="L240" s="8"/>
      <c r="M240" s="8"/>
      <c r="N240" s="8"/>
      <c r="O240" s="8"/>
      <c r="P240" s="8"/>
      <c r="Q240" s="8"/>
      <c r="R240" s="8"/>
      <c r="S240" s="8"/>
    </row>
    <row r="241" spans="11:19" x14ac:dyDescent="0.3">
      <c r="K241" s="8"/>
      <c r="L241" s="8"/>
      <c r="M241" s="8"/>
      <c r="N241" s="8"/>
      <c r="O241" s="8"/>
      <c r="P241" s="8"/>
      <c r="Q241" s="8"/>
      <c r="R241" s="8"/>
      <c r="S241" s="8"/>
    </row>
    <row r="242" spans="11:19" x14ac:dyDescent="0.3">
      <c r="K242" s="8"/>
      <c r="L242" s="8"/>
      <c r="M242" s="8"/>
      <c r="N242" s="8"/>
      <c r="O242" s="8"/>
      <c r="P242" s="8"/>
      <c r="Q242" s="8"/>
      <c r="R242" s="8"/>
      <c r="S242" s="8"/>
    </row>
    <row r="243" spans="11:19" x14ac:dyDescent="0.3">
      <c r="K243" s="8"/>
      <c r="L243" s="8"/>
      <c r="M243" s="8"/>
      <c r="N243" s="8"/>
      <c r="O243" s="8"/>
      <c r="P243" s="8"/>
      <c r="Q243" s="8"/>
      <c r="R243" s="8"/>
      <c r="S243" s="8"/>
    </row>
    <row r="244" spans="11:19" x14ac:dyDescent="0.3">
      <c r="K244" s="8"/>
      <c r="L244" s="8"/>
      <c r="M244" s="8"/>
      <c r="N244" s="8"/>
      <c r="O244" s="8"/>
      <c r="P244" s="8"/>
      <c r="Q244" s="8"/>
      <c r="R244" s="8"/>
      <c r="S244" s="8"/>
    </row>
    <row r="245" spans="11:19" x14ac:dyDescent="0.3">
      <c r="K245" s="8"/>
      <c r="L245" s="8"/>
      <c r="M245" s="8"/>
      <c r="N245" s="8"/>
      <c r="O245" s="8"/>
      <c r="P245" s="8"/>
      <c r="Q245" s="8"/>
      <c r="R245" s="8"/>
      <c r="S245" s="8"/>
    </row>
    <row r="246" spans="11:19" x14ac:dyDescent="0.3">
      <c r="K246" s="8"/>
      <c r="L246" s="8"/>
      <c r="M246" s="8"/>
      <c r="N246" s="8"/>
      <c r="O246" s="8"/>
      <c r="P246" s="8"/>
      <c r="Q246" s="8"/>
      <c r="R246" s="8"/>
      <c r="S246" s="8"/>
    </row>
    <row r="247" spans="11:19" x14ac:dyDescent="0.3">
      <c r="K247" s="8"/>
      <c r="L247" s="8"/>
      <c r="M247" s="8"/>
      <c r="N247" s="8"/>
      <c r="O247" s="8"/>
      <c r="P247" s="8"/>
      <c r="Q247" s="8"/>
      <c r="R247" s="8"/>
      <c r="S247" s="8"/>
    </row>
    <row r="248" spans="11:19" x14ac:dyDescent="0.3">
      <c r="K248" s="8"/>
      <c r="L248" s="8"/>
      <c r="M248" s="8"/>
      <c r="N248" s="8"/>
      <c r="O248" s="8"/>
      <c r="P248" s="8"/>
      <c r="Q248" s="8"/>
      <c r="R248" s="8"/>
      <c r="S248" s="8"/>
    </row>
    <row r="249" spans="11:19" x14ac:dyDescent="0.3">
      <c r="K249" s="8"/>
      <c r="L249" s="8"/>
      <c r="M249" s="8"/>
      <c r="N249" s="8"/>
      <c r="O249" s="8"/>
      <c r="P249" s="8"/>
      <c r="Q249" s="8"/>
      <c r="R249" s="8"/>
      <c r="S249" s="8"/>
    </row>
    <row r="250" spans="11:19" x14ac:dyDescent="0.3">
      <c r="K250" s="8"/>
      <c r="L250" s="8"/>
      <c r="M250" s="8"/>
      <c r="N250" s="8"/>
      <c r="O250" s="8"/>
      <c r="P250" s="8"/>
      <c r="Q250" s="8"/>
      <c r="R250" s="8"/>
      <c r="S250" s="8"/>
    </row>
    <row r="251" spans="11:19" x14ac:dyDescent="0.3">
      <c r="K251" s="8"/>
      <c r="L251" s="8"/>
      <c r="M251" s="8"/>
      <c r="N251" s="8"/>
      <c r="O251" s="8"/>
      <c r="P251" s="8"/>
      <c r="Q251" s="8"/>
      <c r="R251" s="8"/>
      <c r="S251" s="8"/>
    </row>
    <row r="252" spans="11:19" x14ac:dyDescent="0.3">
      <c r="K252" s="8"/>
      <c r="L252" s="8"/>
      <c r="M252" s="8"/>
      <c r="N252" s="8"/>
      <c r="O252" s="8"/>
      <c r="P252" s="8"/>
      <c r="Q252" s="8"/>
      <c r="R252" s="8"/>
      <c r="S252" s="8"/>
    </row>
    <row r="253" spans="11:19" x14ac:dyDescent="0.3">
      <c r="K253" s="8"/>
      <c r="L253" s="8"/>
      <c r="M253" s="8"/>
      <c r="N253" s="8"/>
      <c r="O253" s="8"/>
      <c r="P253" s="8"/>
      <c r="Q253" s="8"/>
      <c r="R253" s="8"/>
      <c r="S253" s="8"/>
    </row>
    <row r="254" spans="11:19" x14ac:dyDescent="0.3">
      <c r="K254" s="8"/>
      <c r="L254" s="8"/>
      <c r="M254" s="8"/>
      <c r="N254" s="8"/>
      <c r="O254" s="8"/>
      <c r="P254" s="8"/>
      <c r="Q254" s="8"/>
      <c r="R254" s="8"/>
      <c r="S254" s="8"/>
    </row>
    <row r="255" spans="11:19" x14ac:dyDescent="0.3">
      <c r="M255" s="8"/>
      <c r="N255" s="8"/>
      <c r="O255" s="8"/>
      <c r="R255" s="8"/>
      <c r="S255" s="8"/>
    </row>
  </sheetData>
  <mergeCells count="13">
    <mergeCell ref="H53:I55"/>
    <mergeCell ref="A63:F63"/>
    <mergeCell ref="A64:F64"/>
    <mergeCell ref="H42:I44"/>
    <mergeCell ref="H46:I51"/>
    <mergeCell ref="H34:I36"/>
    <mergeCell ref="H38:I40"/>
    <mergeCell ref="K1:Z1"/>
    <mergeCell ref="H14:I16"/>
    <mergeCell ref="H18:I20"/>
    <mergeCell ref="H22:I24"/>
    <mergeCell ref="H26:I28"/>
    <mergeCell ref="H30:I32"/>
  </mergeCells>
  <conditionalFormatting sqref="G56 G72:G73 G13 G75:G78 G54 G43:G45 G15:G17 G25 G19:G21 G27:G29 G31:G33 G35:G37 G39:G41 G52 G58 G60 G47:G49">
    <cfRule type="cellIs" dxfId="275" priority="1" operator="greaterThan">
      <formula>$F$3</formula>
    </cfRule>
  </conditionalFormatting>
  <pageMargins left="0.2" right="0.2" top="0.75" bottom="0.75" header="0.3" footer="0.3"/>
  <pageSetup scale="64" orientation="landscape"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A175"/>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7" customWidth="1"/>
    <col min="17" max="17" width="17" style="172" hidden="1" customWidth="1"/>
    <col min="18" max="18" width="17" hidden="1" customWidth="1"/>
    <col min="19" max="21" width="17" style="37" hidden="1" customWidth="1"/>
    <col min="22" max="22" width="17" hidden="1" customWidth="1"/>
    <col min="23" max="23" width="9.88671875" hidden="1" customWidth="1"/>
    <col min="24" max="25" width="0" hidden="1" customWidth="1"/>
    <col min="26" max="27" width="9.109375" hidden="1" customWidth="1"/>
  </cols>
  <sheetData>
    <row r="1" spans="2:24" ht="15.75" thickBot="1" x14ac:dyDescent="0.3">
      <c r="Q1" s="323" t="s">
        <v>0</v>
      </c>
      <c r="R1" s="324"/>
      <c r="S1" s="324"/>
      <c r="T1" s="324"/>
      <c r="U1" s="324"/>
      <c r="V1" s="324"/>
    </row>
    <row r="2" spans="2:24" ht="30" x14ac:dyDescent="0.25">
      <c r="B2" s="2"/>
      <c r="C2" s="3"/>
      <c r="D2" s="3"/>
      <c r="E2" s="3"/>
      <c r="F2" s="3"/>
      <c r="G2" s="3"/>
      <c r="H2" s="3"/>
      <c r="I2" s="3"/>
      <c r="J2" s="4" t="s">
        <v>1</v>
      </c>
      <c r="K2" s="308"/>
      <c r="L2" s="5" t="s">
        <v>2</v>
      </c>
      <c r="M2" s="6"/>
      <c r="N2" s="6"/>
      <c r="O2" s="6"/>
      <c r="Q2" s="7">
        <v>41456</v>
      </c>
      <c r="R2" s="8"/>
      <c r="S2" s="9"/>
      <c r="T2" s="9"/>
      <c r="U2" s="9"/>
      <c r="V2" s="8"/>
    </row>
    <row r="3" spans="2:24" ht="18.75" x14ac:dyDescent="0.3">
      <c r="B3" s="10" t="s">
        <v>126</v>
      </c>
      <c r="C3" s="11"/>
      <c r="D3" s="8"/>
      <c r="E3" s="8"/>
      <c r="F3" s="8"/>
      <c r="G3" s="8"/>
      <c r="H3" s="8"/>
      <c r="I3" s="8"/>
      <c r="J3" s="12">
        <v>41502</v>
      </c>
      <c r="K3" s="307"/>
      <c r="L3" s="13">
        <f>$Q$5/26</f>
        <v>0.12637362637362637</v>
      </c>
      <c r="M3" s="14"/>
      <c r="N3" s="14"/>
      <c r="O3" s="14"/>
      <c r="Q3" s="15"/>
      <c r="R3" s="8"/>
      <c r="S3" s="9"/>
      <c r="T3" s="9"/>
      <c r="U3" s="9"/>
      <c r="V3" s="8"/>
    </row>
    <row r="4" spans="2:24" ht="15.75" thickBot="1" x14ac:dyDescent="0.3">
      <c r="B4" s="16"/>
      <c r="C4" s="8"/>
      <c r="D4" s="8"/>
      <c r="E4" s="8"/>
      <c r="F4" s="17"/>
      <c r="G4" s="8"/>
      <c r="H4" s="8"/>
      <c r="I4" s="8"/>
      <c r="J4" s="306"/>
      <c r="K4" s="306"/>
      <c r="L4" s="19"/>
      <c r="M4" s="8"/>
      <c r="N4" s="8"/>
      <c r="O4" s="8"/>
      <c r="Q4" s="15">
        <f>J3-Q2</f>
        <v>46</v>
      </c>
      <c r="R4" s="8"/>
      <c r="S4" s="9"/>
      <c r="T4" s="9"/>
      <c r="U4" s="8"/>
      <c r="V4" s="8"/>
    </row>
    <row r="5" spans="2:24"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3.2857142857142856</v>
      </c>
      <c r="R5" s="8"/>
      <c r="S5" s="9"/>
      <c r="T5" s="9"/>
      <c r="U5" s="266" t="s">
        <v>101</v>
      </c>
      <c r="V5" s="266" t="s">
        <v>3</v>
      </c>
      <c r="W5" t="s">
        <v>13</v>
      </c>
      <c r="X5" t="s">
        <v>14</v>
      </c>
    </row>
    <row r="6" spans="2:24" x14ac:dyDescent="0.3">
      <c r="B6" s="294" t="s">
        <v>100</v>
      </c>
      <c r="C6" s="293">
        <v>48</v>
      </c>
      <c r="D6" s="113">
        <v>22517.580000000005</v>
      </c>
      <c r="E6" s="292"/>
      <c r="F6" s="291">
        <v>1</v>
      </c>
      <c r="G6" s="290">
        <f t="shared" ref="G6:G19" si="0">D6*F6</f>
        <v>22517.580000000005</v>
      </c>
      <c r="H6" s="288">
        <f t="shared" ref="H6:H19" si="1">D6-G6</f>
        <v>0</v>
      </c>
      <c r="I6" s="289"/>
      <c r="J6" s="325"/>
      <c r="K6" s="325"/>
      <c r="L6" s="327" t="e">
        <f>SUM(G6:G7)/J6</f>
        <v>#DIV/0!</v>
      </c>
      <c r="M6" s="268"/>
      <c r="N6" s="113" t="e">
        <f>(L6/L$3)*J6</f>
        <v>#DIV/0!</v>
      </c>
      <c r="O6" s="288" t="e">
        <f>N6-J6</f>
        <v>#DIV/0!</v>
      </c>
      <c r="Q6" s="36">
        <v>51000</v>
      </c>
      <c r="R6" s="8"/>
      <c r="S6" s="9"/>
      <c r="T6" s="9"/>
      <c r="U6" s="287">
        <v>1</v>
      </c>
      <c r="V6" s="266" t="s">
        <v>72</v>
      </c>
      <c r="W6">
        <v>48</v>
      </c>
      <c r="X6">
        <v>22517.580000000005</v>
      </c>
    </row>
    <row r="7" spans="2:24" x14ac:dyDescent="0.3">
      <c r="B7" s="272" t="s">
        <v>90</v>
      </c>
      <c r="C7" s="115">
        <v>23</v>
      </c>
      <c r="D7" s="64">
        <v>7731.45</v>
      </c>
      <c r="E7" s="271"/>
      <c r="F7" s="270">
        <v>0.3</v>
      </c>
      <c r="G7" s="269">
        <f t="shared" si="0"/>
        <v>2319.4349999999999</v>
      </c>
      <c r="H7" s="267">
        <f t="shared" si="1"/>
        <v>5412.0149999999994</v>
      </c>
      <c r="I7" s="8"/>
      <c r="J7" s="326"/>
      <c r="K7" s="326"/>
      <c r="L7" s="328"/>
      <c r="M7" s="268"/>
      <c r="N7" s="64"/>
      <c r="O7" s="267"/>
      <c r="Q7" s="36"/>
      <c r="R7" s="8"/>
      <c r="S7" s="9"/>
      <c r="T7" s="9"/>
      <c r="U7" s="264"/>
      <c r="V7" s="266" t="s">
        <v>31</v>
      </c>
      <c r="W7">
        <v>23</v>
      </c>
      <c r="X7">
        <v>7731.45</v>
      </c>
    </row>
    <row r="8" spans="2:24" x14ac:dyDescent="0.3">
      <c r="B8" s="286" t="s">
        <v>99</v>
      </c>
      <c r="C8" s="285">
        <v>22</v>
      </c>
      <c r="D8" s="137">
        <v>8784.4299999999985</v>
      </c>
      <c r="E8" s="284"/>
      <c r="F8" s="283">
        <v>1</v>
      </c>
      <c r="G8" s="282">
        <f t="shared" si="0"/>
        <v>8784.4299999999985</v>
      </c>
      <c r="H8" s="280">
        <f t="shared" si="1"/>
        <v>0</v>
      </c>
      <c r="I8" s="281"/>
      <c r="J8" s="329"/>
      <c r="K8" s="329"/>
      <c r="L8" s="331" t="e">
        <f>SUM(G8:G9)/J8</f>
        <v>#DIV/0!</v>
      </c>
      <c r="M8" s="281"/>
      <c r="N8" s="137" t="e">
        <f>(L8/L$3)*J8</f>
        <v>#DIV/0!</v>
      </c>
      <c r="O8" s="280" t="e">
        <f>N8-J8</f>
        <v>#DIV/0!</v>
      </c>
      <c r="Q8" s="36">
        <v>37400</v>
      </c>
      <c r="R8" s="8"/>
      <c r="S8" s="9"/>
      <c r="T8" s="9"/>
      <c r="U8" s="287">
        <v>2</v>
      </c>
      <c r="V8" s="266" t="s">
        <v>72</v>
      </c>
      <c r="W8">
        <v>22</v>
      </c>
      <c r="X8">
        <v>8784.4299999999985</v>
      </c>
    </row>
    <row r="9" spans="2:24" x14ac:dyDescent="0.3">
      <c r="B9" s="279" t="s">
        <v>90</v>
      </c>
      <c r="C9" s="278">
        <v>8</v>
      </c>
      <c r="D9" s="92">
        <v>551.77</v>
      </c>
      <c r="E9" s="277"/>
      <c r="F9" s="276">
        <v>0.3</v>
      </c>
      <c r="G9" s="275">
        <f t="shared" si="0"/>
        <v>165.53099999999998</v>
      </c>
      <c r="H9" s="273">
        <f t="shared" si="1"/>
        <v>386.23900000000003</v>
      </c>
      <c r="I9" s="274"/>
      <c r="J9" s="330"/>
      <c r="K9" s="330"/>
      <c r="L9" s="332"/>
      <c r="M9" s="274"/>
      <c r="N9" s="92"/>
      <c r="O9" s="273"/>
      <c r="Q9" s="36"/>
      <c r="R9" s="8"/>
      <c r="S9" s="9"/>
      <c r="T9" s="9"/>
      <c r="U9" s="264"/>
      <c r="V9" s="266" t="s">
        <v>31</v>
      </c>
      <c r="W9">
        <v>8</v>
      </c>
      <c r="X9">
        <v>551.77</v>
      </c>
    </row>
    <row r="10" spans="2:24" x14ac:dyDescent="0.3">
      <c r="B10" s="272" t="s">
        <v>98</v>
      </c>
      <c r="C10" s="115">
        <v>35</v>
      </c>
      <c r="D10" s="64">
        <v>23527.14</v>
      </c>
      <c r="E10" s="271"/>
      <c r="F10" s="270">
        <v>1</v>
      </c>
      <c r="G10" s="269">
        <f t="shared" si="0"/>
        <v>23527.14</v>
      </c>
      <c r="H10" s="267">
        <f t="shared" si="1"/>
        <v>0</v>
      </c>
      <c r="I10" s="8"/>
      <c r="J10" s="326"/>
      <c r="K10" s="326"/>
      <c r="L10" s="328"/>
      <c r="M10" s="268"/>
      <c r="N10" s="64"/>
      <c r="O10" s="267"/>
      <c r="Q10" s="36">
        <v>61200</v>
      </c>
      <c r="R10" s="8"/>
      <c r="S10" s="9"/>
      <c r="T10" s="9"/>
      <c r="U10" s="37">
        <v>3</v>
      </c>
      <c r="V10" t="s">
        <v>72</v>
      </c>
      <c r="W10">
        <v>35</v>
      </c>
      <c r="X10">
        <v>23527.14</v>
      </c>
    </row>
    <row r="11" spans="2:24" x14ac:dyDescent="0.3">
      <c r="B11" s="272" t="s">
        <v>96</v>
      </c>
      <c r="C11" s="115">
        <v>13</v>
      </c>
      <c r="D11" s="64">
        <v>11081.310000000001</v>
      </c>
      <c r="E11" s="271"/>
      <c r="F11" s="270">
        <v>0.3</v>
      </c>
      <c r="G11" s="269">
        <f t="shared" si="0"/>
        <v>3324.3930000000005</v>
      </c>
      <c r="H11" s="267">
        <f t="shared" si="1"/>
        <v>7756.9170000000013</v>
      </c>
      <c r="I11" s="8"/>
      <c r="J11" s="326"/>
      <c r="K11" s="326"/>
      <c r="L11" s="328"/>
      <c r="M11" s="268"/>
      <c r="N11" s="64"/>
      <c r="O11" s="267"/>
      <c r="P11" s="45"/>
      <c r="Q11" s="36"/>
      <c r="R11" s="8"/>
      <c r="S11" s="9"/>
      <c r="T11" s="9"/>
      <c r="V11" t="s">
        <v>31</v>
      </c>
      <c r="W11">
        <v>13</v>
      </c>
      <c r="X11">
        <v>11081.310000000001</v>
      </c>
    </row>
    <row r="12" spans="2:24" x14ac:dyDescent="0.3">
      <c r="B12" s="286" t="s">
        <v>97</v>
      </c>
      <c r="C12" s="285">
        <v>30</v>
      </c>
      <c r="D12" s="137">
        <v>15261.530000000002</v>
      </c>
      <c r="E12" s="284"/>
      <c r="F12" s="283">
        <v>1</v>
      </c>
      <c r="G12" s="282">
        <f t="shared" si="0"/>
        <v>15261.530000000002</v>
      </c>
      <c r="H12" s="280">
        <f t="shared" si="1"/>
        <v>0</v>
      </c>
      <c r="I12" s="281"/>
      <c r="J12" s="329"/>
      <c r="K12" s="329"/>
      <c r="L12" s="331"/>
      <c r="M12" s="281"/>
      <c r="N12" s="137"/>
      <c r="O12" s="280"/>
      <c r="P12" s="45"/>
      <c r="Q12" s="36">
        <v>68000</v>
      </c>
      <c r="R12" s="8"/>
      <c r="S12" s="9"/>
      <c r="T12" s="9"/>
      <c r="U12" s="37">
        <v>4</v>
      </c>
      <c r="V12" t="s">
        <v>72</v>
      </c>
      <c r="W12">
        <v>30</v>
      </c>
      <c r="X12">
        <v>15261.530000000002</v>
      </c>
    </row>
    <row r="13" spans="2:24" x14ac:dyDescent="0.3">
      <c r="B13" s="279" t="s">
        <v>96</v>
      </c>
      <c r="C13" s="278">
        <v>16</v>
      </c>
      <c r="D13" s="92">
        <v>9943.1999999999971</v>
      </c>
      <c r="E13" s="277"/>
      <c r="F13" s="276">
        <v>0.3</v>
      </c>
      <c r="G13" s="275">
        <f t="shared" si="0"/>
        <v>2982.9599999999991</v>
      </c>
      <c r="H13" s="273">
        <f t="shared" si="1"/>
        <v>6960.239999999998</v>
      </c>
      <c r="I13" s="274"/>
      <c r="J13" s="330"/>
      <c r="K13" s="330"/>
      <c r="L13" s="332"/>
      <c r="M13" s="274"/>
      <c r="N13" s="92"/>
      <c r="O13" s="273"/>
      <c r="P13" s="45"/>
      <c r="Q13" s="36"/>
      <c r="R13" s="8"/>
      <c r="S13" s="9"/>
      <c r="T13" s="9"/>
      <c r="V13" t="s">
        <v>31</v>
      </c>
      <c r="W13">
        <v>16</v>
      </c>
      <c r="X13">
        <v>9943.1999999999971</v>
      </c>
    </row>
    <row r="14" spans="2:24" x14ac:dyDescent="0.3">
      <c r="B14" s="272" t="s">
        <v>95</v>
      </c>
      <c r="C14" s="115">
        <v>32</v>
      </c>
      <c r="D14" s="64">
        <v>7871.6800000000012</v>
      </c>
      <c r="E14" s="271"/>
      <c r="F14" s="270">
        <v>1</v>
      </c>
      <c r="G14" s="269">
        <f t="shared" si="0"/>
        <v>7871.6800000000012</v>
      </c>
      <c r="H14" s="267">
        <f t="shared" si="1"/>
        <v>0</v>
      </c>
      <c r="I14" s="8"/>
      <c r="J14" s="326"/>
      <c r="K14" s="326"/>
      <c r="L14" s="328" t="e">
        <f>SUM(G14:G15)/J14</f>
        <v>#DIV/0!</v>
      </c>
      <c r="M14" s="268"/>
      <c r="N14" s="64" t="e">
        <f>(L14/L$3)*J14</f>
        <v>#DIV/0!</v>
      </c>
      <c r="O14" s="267" t="e">
        <f>N14-J14</f>
        <v>#DIV/0!</v>
      </c>
      <c r="P14" s="45"/>
      <c r="Q14" s="36">
        <v>34000</v>
      </c>
      <c r="R14" s="8"/>
      <c r="S14" s="9"/>
      <c r="T14" s="9"/>
      <c r="U14" s="37">
        <v>5</v>
      </c>
      <c r="V14" t="s">
        <v>72</v>
      </c>
      <c r="W14">
        <v>32</v>
      </c>
      <c r="X14">
        <v>7871.6800000000012</v>
      </c>
    </row>
    <row r="15" spans="2:24" x14ac:dyDescent="0.3">
      <c r="B15" s="272" t="s">
        <v>94</v>
      </c>
      <c r="C15" s="115">
        <v>2</v>
      </c>
      <c r="D15" s="64">
        <v>479.92</v>
      </c>
      <c r="E15" s="271"/>
      <c r="F15" s="270">
        <v>0.3</v>
      </c>
      <c r="G15" s="269">
        <f t="shared" si="0"/>
        <v>143.976</v>
      </c>
      <c r="H15" s="267">
        <f t="shared" si="1"/>
        <v>335.94400000000002</v>
      </c>
      <c r="I15" s="8"/>
      <c r="J15" s="326"/>
      <c r="K15" s="326"/>
      <c r="L15" s="328"/>
      <c r="M15" s="268"/>
      <c r="N15" s="64"/>
      <c r="O15" s="267"/>
      <c r="P15" s="45"/>
      <c r="Q15" s="36"/>
      <c r="R15" s="8"/>
      <c r="S15" s="9"/>
      <c r="T15" s="9"/>
      <c r="V15" t="s">
        <v>31</v>
      </c>
      <c r="W15">
        <v>2</v>
      </c>
      <c r="X15">
        <v>479.92</v>
      </c>
    </row>
    <row r="16" spans="2:24" x14ac:dyDescent="0.3">
      <c r="B16" s="286" t="s">
        <v>93</v>
      </c>
      <c r="C16" s="285">
        <v>19</v>
      </c>
      <c r="D16" s="137">
        <v>6630.98</v>
      </c>
      <c r="E16" s="284"/>
      <c r="F16" s="283">
        <v>1</v>
      </c>
      <c r="G16" s="282">
        <f t="shared" si="0"/>
        <v>6630.98</v>
      </c>
      <c r="H16" s="280">
        <f t="shared" si="1"/>
        <v>0</v>
      </c>
      <c r="I16" s="281"/>
      <c r="J16" s="329"/>
      <c r="K16" s="329"/>
      <c r="L16" s="331" t="e">
        <f>SUM(G16:G17)/J16</f>
        <v>#DIV/0!</v>
      </c>
      <c r="M16" s="281"/>
      <c r="N16" s="137" t="e">
        <f>(L16/L$3)*J16</f>
        <v>#DIV/0!</v>
      </c>
      <c r="O16" s="280" t="e">
        <f>N16-J16</f>
        <v>#DIV/0!</v>
      </c>
      <c r="P16" s="45"/>
      <c r="Q16" s="36">
        <v>27200</v>
      </c>
      <c r="R16" s="8"/>
      <c r="S16" s="9"/>
      <c r="T16" s="9"/>
      <c r="U16" s="37">
        <v>6</v>
      </c>
      <c r="V16" t="s">
        <v>72</v>
      </c>
      <c r="W16">
        <v>19</v>
      </c>
      <c r="X16">
        <v>6630.98</v>
      </c>
    </row>
    <row r="17" spans="2:24" x14ac:dyDescent="0.3">
      <c r="B17" s="279" t="s">
        <v>92</v>
      </c>
      <c r="C17" s="278">
        <v>8</v>
      </c>
      <c r="D17" s="92">
        <v>2333.2099999999996</v>
      </c>
      <c r="E17" s="277"/>
      <c r="F17" s="276">
        <v>0.3</v>
      </c>
      <c r="G17" s="275">
        <f t="shared" si="0"/>
        <v>699.96299999999985</v>
      </c>
      <c r="H17" s="273">
        <f t="shared" si="1"/>
        <v>1633.2469999999998</v>
      </c>
      <c r="I17" s="274"/>
      <c r="J17" s="330"/>
      <c r="K17" s="330"/>
      <c r="L17" s="332"/>
      <c r="M17" s="274"/>
      <c r="N17" s="92"/>
      <c r="O17" s="273"/>
      <c r="P17" s="45"/>
      <c r="Q17" s="36"/>
      <c r="R17" s="8"/>
      <c r="S17" s="9"/>
      <c r="T17" s="9"/>
      <c r="V17" t="s">
        <v>31</v>
      </c>
      <c r="W17">
        <v>8</v>
      </c>
      <c r="X17">
        <v>2333.2099999999996</v>
      </c>
    </row>
    <row r="18" spans="2:24" x14ac:dyDescent="0.3">
      <c r="B18" s="272" t="s">
        <v>91</v>
      </c>
      <c r="C18" s="115">
        <v>13</v>
      </c>
      <c r="D18" s="64">
        <v>2317.6599999999994</v>
      </c>
      <c r="E18" s="271"/>
      <c r="F18" s="270">
        <v>1</v>
      </c>
      <c r="G18" s="269">
        <f t="shared" si="0"/>
        <v>2317.6599999999994</v>
      </c>
      <c r="H18" s="267">
        <f t="shared" si="1"/>
        <v>0</v>
      </c>
      <c r="I18" s="8"/>
      <c r="J18" s="326"/>
      <c r="K18" s="326"/>
      <c r="L18" s="328" t="e">
        <f>SUM(G18:G19)/J18</f>
        <v>#DIV/0!</v>
      </c>
      <c r="M18" s="268"/>
      <c r="N18" s="64" t="e">
        <f>(L18/L$3)*J18</f>
        <v>#DIV/0!</v>
      </c>
      <c r="O18" s="267" t="e">
        <f>N18-J18</f>
        <v>#DIV/0!</v>
      </c>
      <c r="P18" s="45"/>
      <c r="Q18" s="36">
        <v>61200</v>
      </c>
      <c r="R18" s="8"/>
      <c r="S18" s="9"/>
      <c r="T18" s="9"/>
      <c r="U18" s="264">
        <v>7</v>
      </c>
      <c r="V18" s="266" t="s">
        <v>72</v>
      </c>
      <c r="W18">
        <v>13</v>
      </c>
      <c r="X18">
        <v>2317.6599999999994</v>
      </c>
    </row>
    <row r="19" spans="2:24" ht="15" thickBot="1" x14ac:dyDescent="0.35">
      <c r="B19" s="272" t="s">
        <v>90</v>
      </c>
      <c r="C19" s="115"/>
      <c r="D19" s="64"/>
      <c r="E19" s="271"/>
      <c r="F19" s="270">
        <v>0.3</v>
      </c>
      <c r="G19" s="269">
        <f t="shared" si="0"/>
        <v>0</v>
      </c>
      <c r="H19" s="267">
        <f t="shared" si="1"/>
        <v>0</v>
      </c>
      <c r="I19" s="8"/>
      <c r="J19" s="333"/>
      <c r="K19" s="333"/>
      <c r="L19" s="334"/>
      <c r="M19" s="268"/>
      <c r="N19" s="64"/>
      <c r="O19" s="267"/>
      <c r="P19" s="45"/>
      <c r="Q19" s="36"/>
      <c r="R19" s="8"/>
      <c r="S19" s="9"/>
      <c r="T19" s="9"/>
    </row>
    <row r="20" spans="2:24" ht="15.75" thickBot="1" x14ac:dyDescent="0.3">
      <c r="B20" s="176" t="s">
        <v>61</v>
      </c>
      <c r="C20" s="263">
        <v>269</v>
      </c>
      <c r="D20" s="162">
        <v>119031.86000000002</v>
      </c>
      <c r="E20" s="179"/>
      <c r="F20" s="262">
        <f>G20/D20</f>
        <v>0.8111043379478402</v>
      </c>
      <c r="G20" s="179">
        <f>SUM(G6:G19)</f>
        <v>96547.258000000016</v>
      </c>
      <c r="H20" s="179">
        <f>SUM(H6:H19)</f>
        <v>22484.601999999999</v>
      </c>
      <c r="I20" s="261"/>
      <c r="J20" s="162">
        <v>750000</v>
      </c>
      <c r="K20" s="182"/>
      <c r="L20" s="260">
        <f>SUM(G20)/J20</f>
        <v>0.12872967733333335</v>
      </c>
      <c r="M20" s="247"/>
      <c r="N20" s="162">
        <f>(L20/L$3)*J20</f>
        <v>763982.65026086976</v>
      </c>
      <c r="O20" s="182">
        <f>N20-J20</f>
        <v>13982.650260869763</v>
      </c>
      <c r="Q20" s="162">
        <f>SUM(Q6:Q19)</f>
        <v>340000</v>
      </c>
      <c r="R20" s="8"/>
      <c r="S20" s="9"/>
      <c r="T20" s="9"/>
      <c r="U20" s="37" t="s">
        <v>61</v>
      </c>
      <c r="W20">
        <v>269</v>
      </c>
      <c r="X20">
        <v>119031.86000000002</v>
      </c>
    </row>
    <row r="21" spans="2:24" ht="15" x14ac:dyDescent="0.25">
      <c r="B21" s="183"/>
      <c r="C21" s="249"/>
      <c r="D21" s="185"/>
      <c r="E21" s="185"/>
      <c r="F21" s="185"/>
      <c r="G21" s="185"/>
      <c r="H21" s="185"/>
      <c r="I21" s="248"/>
      <c r="J21" s="185"/>
      <c r="K21" s="185"/>
      <c r="L21" s="185"/>
      <c r="M21" s="247"/>
      <c r="N21" s="185"/>
      <c r="O21" s="185"/>
      <c r="Q21" s="166"/>
      <c r="R21" s="8"/>
      <c r="S21" s="9"/>
      <c r="T21" s="9"/>
      <c r="U21" s="264"/>
      <c r="V21" s="266"/>
    </row>
    <row r="22" spans="2:24" ht="15.75" thickBot="1" x14ac:dyDescent="0.3">
      <c r="N22" s="168"/>
      <c r="Q22" s="36"/>
      <c r="R22" s="8"/>
      <c r="S22" s="9"/>
      <c r="T22" s="9"/>
      <c r="U22" s="264"/>
    </row>
    <row r="23" spans="2:24" ht="15.75" thickBot="1" x14ac:dyDescent="0.3">
      <c r="B23" s="186" t="s">
        <v>63</v>
      </c>
      <c r="C23" s="259"/>
      <c r="D23" s="188"/>
      <c r="E23" s="189"/>
      <c r="F23" s="189"/>
      <c r="G23" s="189">
        <f>G20</f>
        <v>96547.258000000016</v>
      </c>
      <c r="H23" s="190"/>
      <c r="I23" s="258"/>
      <c r="J23" s="188">
        <f>J20</f>
        <v>750000</v>
      </c>
      <c r="K23" s="189"/>
      <c r="L23" s="257">
        <f>SUM(G23)/J23</f>
        <v>0.12872967733333335</v>
      </c>
      <c r="M23" s="247"/>
      <c r="N23" s="162">
        <f>(L23/L$3)*J23</f>
        <v>763982.65026086976</v>
      </c>
      <c r="O23" s="182">
        <f>N23-J23</f>
        <v>13982.650260869763</v>
      </c>
      <c r="Q23" s="166"/>
      <c r="R23" s="8"/>
      <c r="S23" s="9"/>
      <c r="T23" s="9"/>
      <c r="U23" s="264"/>
    </row>
    <row r="24" spans="2:24" ht="15.75" thickBot="1" x14ac:dyDescent="0.3">
      <c r="B24" s="192" t="s">
        <v>64</v>
      </c>
      <c r="C24" s="256"/>
      <c r="D24" s="194"/>
      <c r="E24" s="185"/>
      <c r="F24" s="185"/>
      <c r="G24" s="185"/>
      <c r="H24" s="195">
        <f>H20</f>
        <v>22484.601999999999</v>
      </c>
      <c r="I24" s="255"/>
      <c r="J24" s="194"/>
      <c r="K24" s="185">
        <f>K20</f>
        <v>0</v>
      </c>
      <c r="L24" s="254" t="e">
        <f>SUM(H20)/K20</f>
        <v>#DIV/0!</v>
      </c>
      <c r="M24" s="247"/>
      <c r="N24" s="162" t="e">
        <f>(L24/L$3)*K24</f>
        <v>#DIV/0!</v>
      </c>
      <c r="O24" s="182" t="e">
        <f>N24-K24</f>
        <v>#DIV/0!</v>
      </c>
      <c r="Q24" s="166"/>
      <c r="R24" s="8"/>
      <c r="S24" s="9"/>
      <c r="T24" s="9"/>
    </row>
    <row r="25" spans="2:24" ht="15.75" thickBot="1" x14ac:dyDescent="0.3">
      <c r="B25" s="197" t="s">
        <v>65</v>
      </c>
      <c r="C25" s="253"/>
      <c r="D25" s="199">
        <f>SUM(G20:H20)</f>
        <v>119031.86000000002</v>
      </c>
      <c r="E25" s="200"/>
      <c r="F25" s="200"/>
      <c r="G25" s="200"/>
      <c r="H25" s="201"/>
      <c r="I25" s="252"/>
      <c r="J25" s="202"/>
      <c r="K25" s="180">
        <f>SUM(J20:K20)</f>
        <v>750000</v>
      </c>
      <c r="L25" s="251">
        <f>SUM(D25)/K25</f>
        <v>0.15870914666666669</v>
      </c>
      <c r="M25" s="247"/>
      <c r="N25" s="162">
        <f>(L25/L$3)*K25</f>
        <v>941904.28347826109</v>
      </c>
      <c r="O25" s="182">
        <f>N25-K25</f>
        <v>191904.28347826109</v>
      </c>
      <c r="P25" s="168"/>
      <c r="Q25" s="166"/>
      <c r="R25" s="8"/>
      <c r="S25" s="9"/>
    </row>
    <row r="26" spans="2:24" ht="15" x14ac:dyDescent="0.25">
      <c r="B26" s="183"/>
      <c r="C26" s="249"/>
      <c r="D26" s="185"/>
      <c r="E26" s="185"/>
      <c r="F26" s="185"/>
      <c r="G26" s="185"/>
      <c r="H26" s="185"/>
      <c r="I26" s="248"/>
      <c r="J26" s="185"/>
      <c r="K26" s="185"/>
      <c r="L26" s="247"/>
      <c r="M26" s="247"/>
      <c r="N26" s="185"/>
      <c r="O26" s="185"/>
      <c r="Q26" s="166"/>
      <c r="R26" s="8"/>
      <c r="S26" s="9"/>
      <c r="T26" s="9"/>
    </row>
    <row r="27" spans="2:24" ht="21" customHeight="1" thickBot="1" x14ac:dyDescent="0.3">
      <c r="C27" s="246"/>
      <c r="D27" s="214"/>
      <c r="E27" s="214"/>
      <c r="F27" s="214"/>
      <c r="G27" s="214"/>
      <c r="H27" s="214"/>
      <c r="I27" s="214"/>
      <c r="J27" s="214"/>
      <c r="K27" s="214"/>
      <c r="L27" s="214"/>
      <c r="M27" s="214"/>
      <c r="N27" s="214"/>
      <c r="O27" s="214"/>
      <c r="Q27" s="169"/>
      <c r="R27" s="170"/>
      <c r="S27" s="171"/>
      <c r="T27" s="171"/>
    </row>
    <row r="28" spans="2:24" ht="21" customHeight="1" x14ac:dyDescent="0.25">
      <c r="B28" s="335" t="s">
        <v>124</v>
      </c>
      <c r="C28" s="336"/>
      <c r="D28" s="336"/>
      <c r="E28" s="336"/>
      <c r="F28" s="336"/>
      <c r="G28" s="336"/>
      <c r="H28" s="336"/>
      <c r="I28" s="336"/>
      <c r="J28" s="336"/>
      <c r="K28" s="336"/>
      <c r="L28" s="336"/>
      <c r="M28" s="309"/>
      <c r="N28" s="309"/>
      <c r="O28" s="309"/>
      <c r="U28" s="264"/>
    </row>
    <row r="29" spans="2:24" s="173" customFormat="1" ht="39.75" customHeight="1" x14ac:dyDescent="0.25">
      <c r="B29" s="336" t="s">
        <v>89</v>
      </c>
      <c r="C29" s="336"/>
      <c r="D29" s="336"/>
      <c r="E29" s="336"/>
      <c r="F29" s="336"/>
      <c r="G29" s="336"/>
      <c r="H29" s="336"/>
      <c r="I29" s="336"/>
      <c r="J29" s="336"/>
      <c r="K29" s="336"/>
      <c r="L29" s="336"/>
      <c r="M29" s="309"/>
      <c r="N29" s="309"/>
      <c r="O29" s="309"/>
      <c r="Q29" s="172"/>
      <c r="R29" s="174"/>
      <c r="S29" s="175"/>
      <c r="T29" s="175"/>
      <c r="U29" s="264"/>
      <c r="V29"/>
    </row>
    <row r="30" spans="2:24" s="173" customFormat="1" ht="39.75" hidden="1" customHeight="1" x14ac:dyDescent="0.25">
      <c r="B30" t="s">
        <v>88</v>
      </c>
      <c r="C30"/>
      <c r="D30"/>
      <c r="E30"/>
      <c r="F30"/>
      <c r="G30"/>
      <c r="H30"/>
      <c r="I30"/>
      <c r="J30" s="234"/>
      <c r="K30" s="234"/>
      <c r="L30"/>
      <c r="M30"/>
      <c r="N30"/>
      <c r="O30"/>
      <c r="Q30" s="172"/>
      <c r="S30" s="175"/>
      <c r="T30" s="175"/>
      <c r="U30" s="264"/>
      <c r="V30"/>
    </row>
    <row r="31" spans="2:24" ht="15" hidden="1" x14ac:dyDescent="0.25">
      <c r="B31" t="s">
        <v>23</v>
      </c>
      <c r="C31">
        <v>2</v>
      </c>
      <c r="D31">
        <v>827.92</v>
      </c>
      <c r="J31">
        <v>340000</v>
      </c>
    </row>
    <row r="32" spans="2:24"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c r="S47"/>
      <c r="T47"/>
      <c r="U47"/>
    </row>
    <row r="48" spans="2:21" ht="15" x14ac:dyDescent="0.25">
      <c r="S48"/>
      <c r="T48"/>
      <c r="U48"/>
    </row>
    <row r="49" spans="19:21" ht="15" x14ac:dyDescent="0.25">
      <c r="S49"/>
      <c r="T49"/>
      <c r="U49"/>
    </row>
    <row r="50" spans="19:21" ht="15" x14ac:dyDescent="0.25">
      <c r="S50"/>
      <c r="T50"/>
      <c r="U50"/>
    </row>
    <row r="51" spans="19:21" ht="15" x14ac:dyDescent="0.25">
      <c r="S51"/>
      <c r="T51"/>
      <c r="U51"/>
    </row>
    <row r="52" spans="19:21" ht="15" x14ac:dyDescent="0.25">
      <c r="S52"/>
      <c r="T52"/>
      <c r="U52"/>
    </row>
    <row r="53" spans="19:21" ht="15" x14ac:dyDescent="0.25">
      <c r="S53"/>
      <c r="T53"/>
      <c r="U53"/>
    </row>
    <row r="54" spans="19:21" ht="15" x14ac:dyDescent="0.25">
      <c r="S54"/>
      <c r="T54"/>
      <c r="U54"/>
    </row>
    <row r="55" spans="19:21" ht="15" x14ac:dyDescent="0.25">
      <c r="S55"/>
      <c r="T55"/>
      <c r="U55"/>
    </row>
    <row r="56" spans="19:21" ht="15" x14ac:dyDescent="0.25">
      <c r="S56"/>
      <c r="T56"/>
      <c r="U56"/>
    </row>
    <row r="57" spans="19:21" ht="15" x14ac:dyDescent="0.25">
      <c r="S57"/>
      <c r="T57"/>
      <c r="U57"/>
    </row>
    <row r="58" spans="19:21" ht="15" x14ac:dyDescent="0.25">
      <c r="S58"/>
      <c r="T58"/>
      <c r="U58"/>
    </row>
    <row r="59" spans="19:21" ht="15" x14ac:dyDescent="0.25">
      <c r="S59"/>
      <c r="T59"/>
      <c r="U59"/>
    </row>
    <row r="60" spans="19:21" x14ac:dyDescent="0.3">
      <c r="S60"/>
      <c r="T60"/>
      <c r="U60"/>
    </row>
    <row r="61" spans="19:21" x14ac:dyDescent="0.3">
      <c r="S61"/>
      <c r="T61"/>
      <c r="U61"/>
    </row>
    <row r="62" spans="19:21" x14ac:dyDescent="0.3">
      <c r="S62"/>
      <c r="T62"/>
      <c r="U62"/>
    </row>
    <row r="63" spans="19:21" x14ac:dyDescent="0.3">
      <c r="S63"/>
      <c r="T63"/>
      <c r="U63"/>
    </row>
    <row r="64" spans="19:21" x14ac:dyDescent="0.3">
      <c r="S64"/>
      <c r="T64"/>
      <c r="U64"/>
    </row>
    <row r="65" spans="19:22" x14ac:dyDescent="0.3">
      <c r="S65"/>
      <c r="T65"/>
      <c r="U65"/>
    </row>
    <row r="66" spans="19:22" x14ac:dyDescent="0.3">
      <c r="S66"/>
      <c r="T66"/>
      <c r="U66"/>
    </row>
    <row r="67" spans="19:22" x14ac:dyDescent="0.3">
      <c r="S67"/>
      <c r="T67"/>
      <c r="U67"/>
    </row>
    <row r="68" spans="19:22" x14ac:dyDescent="0.3">
      <c r="S68"/>
      <c r="T68"/>
      <c r="U68"/>
    </row>
    <row r="69" spans="19:22" x14ac:dyDescent="0.3">
      <c r="S69"/>
      <c r="T69"/>
      <c r="U69"/>
    </row>
    <row r="70" spans="19:22" x14ac:dyDescent="0.3">
      <c r="S70"/>
      <c r="T70"/>
      <c r="U70"/>
    </row>
    <row r="71" spans="19:22" x14ac:dyDescent="0.3">
      <c r="S71"/>
      <c r="T71"/>
      <c r="U71"/>
    </row>
    <row r="72" spans="19:22" x14ac:dyDescent="0.3">
      <c r="S72"/>
      <c r="T72"/>
      <c r="U72"/>
    </row>
    <row r="73" spans="19:22" x14ac:dyDescent="0.3">
      <c r="S73"/>
      <c r="T73"/>
      <c r="U73"/>
    </row>
    <row r="74" spans="19:22" x14ac:dyDescent="0.3">
      <c r="U74"/>
    </row>
    <row r="75" spans="19:22" x14ac:dyDescent="0.3">
      <c r="U75"/>
    </row>
    <row r="77" spans="19:22" x14ac:dyDescent="0.3">
      <c r="V77" s="8"/>
    </row>
    <row r="78" spans="19:22" x14ac:dyDescent="0.3">
      <c r="V78" s="8"/>
    </row>
    <row r="79" spans="19:22" x14ac:dyDescent="0.3">
      <c r="U79" s="9"/>
      <c r="V79" s="8"/>
    </row>
    <row r="80" spans="19:22"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274" priority="15" operator="greaterThan">
      <formula>$L$3</formula>
    </cfRule>
  </conditionalFormatting>
  <conditionalFormatting sqref="L23:L24">
    <cfRule type="cellIs" dxfId="273" priority="14" operator="greaterThan">
      <formula>$L$3</formula>
    </cfRule>
  </conditionalFormatting>
  <conditionalFormatting sqref="M40:M41 L37:M37 M38 L42:M43">
    <cfRule type="cellIs" dxfId="272" priority="13" operator="greaterThan">
      <formula>$L$3</formula>
    </cfRule>
  </conditionalFormatting>
  <conditionalFormatting sqref="L40:L41">
    <cfRule type="cellIs" dxfId="271" priority="12" operator="greaterThan">
      <formula>$L$3</formula>
    </cfRule>
  </conditionalFormatting>
  <conditionalFormatting sqref="M6:M7">
    <cfRule type="cellIs" dxfId="270" priority="11" operator="greaterThan">
      <formula>$L$3</formula>
    </cfRule>
  </conditionalFormatting>
  <conditionalFormatting sqref="M10:M11">
    <cfRule type="cellIs" dxfId="269" priority="10" operator="greaterThan">
      <formula>$L$3</formula>
    </cfRule>
  </conditionalFormatting>
  <conditionalFormatting sqref="M14:M15">
    <cfRule type="cellIs" dxfId="268" priority="9" operator="greaterThan">
      <formula>$L$3</formula>
    </cfRule>
  </conditionalFormatting>
  <conditionalFormatting sqref="M18:M19">
    <cfRule type="cellIs" dxfId="267" priority="8" operator="greaterThan">
      <formula>$L$3</formula>
    </cfRule>
  </conditionalFormatting>
  <conditionalFormatting sqref="L6:L7">
    <cfRule type="cellIs" dxfId="266" priority="7" operator="greaterThan">
      <formula>$L$3</formula>
    </cfRule>
  </conditionalFormatting>
  <conditionalFormatting sqref="L8:L9">
    <cfRule type="cellIs" dxfId="265" priority="6" operator="greaterThan">
      <formula>$L$3</formula>
    </cfRule>
  </conditionalFormatting>
  <conditionalFormatting sqref="L10:L11">
    <cfRule type="cellIs" dxfId="264" priority="5" operator="greaterThan">
      <formula>$L$3</formula>
    </cfRule>
  </conditionalFormatting>
  <conditionalFormatting sqref="L12:L13">
    <cfRule type="cellIs" dxfId="263" priority="4" operator="greaterThan">
      <formula>$L$3</formula>
    </cfRule>
  </conditionalFormatting>
  <conditionalFormatting sqref="L14:L15">
    <cfRule type="cellIs" dxfId="262" priority="3" operator="greaterThan">
      <formula>$L$3</formula>
    </cfRule>
  </conditionalFormatting>
  <conditionalFormatting sqref="L16:L17">
    <cfRule type="cellIs" dxfId="261" priority="2" operator="greaterThan">
      <formula>$L$3</formula>
    </cfRule>
  </conditionalFormatting>
  <conditionalFormatting sqref="L18:L19">
    <cfRule type="cellIs" dxfId="260"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F175"/>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 customWidth="1"/>
    <col min="16" max="16" width="12.44140625" customWidth="1"/>
    <col min="17" max="17" width="12.44140625" style="172" hidden="1" customWidth="1"/>
    <col min="18" max="18" width="12.44140625" hidden="1" customWidth="1"/>
    <col min="19" max="21" width="12.44140625" style="37" hidden="1" customWidth="1"/>
    <col min="22" max="27" width="12.44140625" hidden="1" customWidth="1"/>
    <col min="28" max="30" width="0" hidden="1" customWidth="1"/>
    <col min="31" max="31" width="9.109375" hidden="1" customWidth="1"/>
    <col min="32" max="32" width="17.33203125" hidden="1" customWidth="1"/>
  </cols>
  <sheetData>
    <row r="1" spans="2:30" ht="15.75" thickBot="1" x14ac:dyDescent="0.3">
      <c r="Q1" s="323" t="s">
        <v>0</v>
      </c>
      <c r="R1" s="324"/>
      <c r="S1" s="324"/>
      <c r="T1" s="324"/>
      <c r="U1" s="324"/>
      <c r="V1" s="324"/>
    </row>
    <row r="2" spans="2:30" ht="30" x14ac:dyDescent="0.25">
      <c r="B2" s="2"/>
      <c r="C2" s="3"/>
      <c r="D2" s="3"/>
      <c r="E2" s="3"/>
      <c r="F2" s="3"/>
      <c r="G2" s="3"/>
      <c r="H2" s="3"/>
      <c r="I2" s="3"/>
      <c r="J2" s="4" t="s">
        <v>1</v>
      </c>
      <c r="K2" s="308"/>
      <c r="L2" s="5" t="s">
        <v>2</v>
      </c>
      <c r="M2" s="6"/>
      <c r="N2" s="6"/>
      <c r="O2" s="6"/>
      <c r="Q2" s="7">
        <v>41456</v>
      </c>
      <c r="R2" s="8"/>
      <c r="S2" s="9"/>
      <c r="T2" s="9"/>
      <c r="U2" s="9"/>
      <c r="V2" s="8"/>
    </row>
    <row r="3" spans="2:30" ht="18.75" x14ac:dyDescent="0.3">
      <c r="B3" s="10" t="s">
        <v>125</v>
      </c>
      <c r="C3" s="11"/>
      <c r="D3" s="8"/>
      <c r="E3" s="8"/>
      <c r="F3" s="8"/>
      <c r="G3" s="8"/>
      <c r="H3" s="8"/>
      <c r="I3" s="8"/>
      <c r="J3" s="12">
        <v>41502</v>
      </c>
      <c r="K3" s="307"/>
      <c r="L3" s="13">
        <f>$Q$5/26</f>
        <v>0.12637362637362637</v>
      </c>
      <c r="M3" s="14"/>
      <c r="N3" s="14"/>
      <c r="O3" s="14"/>
      <c r="Q3" s="15"/>
      <c r="R3" s="8"/>
      <c r="S3" s="9"/>
      <c r="T3" s="9"/>
      <c r="U3" s="9"/>
      <c r="V3" s="8"/>
    </row>
    <row r="4" spans="2:30" ht="15.75" thickBot="1" x14ac:dyDescent="0.3">
      <c r="B4" s="16"/>
      <c r="C4" s="8"/>
      <c r="D4" s="8"/>
      <c r="E4" s="8"/>
      <c r="F4" s="17"/>
      <c r="G4" s="8"/>
      <c r="H4" s="8"/>
      <c r="I4" s="8"/>
      <c r="J4" s="306"/>
      <c r="K4" s="306"/>
      <c r="L4" s="19"/>
      <c r="M4" s="8"/>
      <c r="N4" s="8"/>
      <c r="O4" s="8"/>
      <c r="Q4" s="15">
        <f>J3-Q2</f>
        <v>46</v>
      </c>
      <c r="R4" s="8"/>
      <c r="S4" s="9"/>
      <c r="T4" s="9"/>
      <c r="U4" s="8"/>
      <c r="V4" s="8"/>
    </row>
    <row r="5" spans="2:30" ht="48.75" customHeight="1"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3.2857142857142856</v>
      </c>
      <c r="R5" s="8"/>
      <c r="S5" s="9"/>
      <c r="T5" s="9"/>
      <c r="U5"/>
    </row>
    <row r="6" spans="2:30" x14ac:dyDescent="0.3">
      <c r="B6" s="294" t="s">
        <v>115</v>
      </c>
      <c r="C6" s="293">
        <v>6</v>
      </c>
      <c r="D6" s="113">
        <v>3687.2900000000009</v>
      </c>
      <c r="E6" s="292"/>
      <c r="F6" s="291">
        <v>1</v>
      </c>
      <c r="G6" s="290">
        <f t="shared" ref="G6:G19" si="0">D6*F6</f>
        <v>3687.2900000000009</v>
      </c>
      <c r="H6" s="288">
        <f t="shared" ref="H6:H19" si="1">D6-G6</f>
        <v>0</v>
      </c>
      <c r="I6" s="289"/>
      <c r="J6" s="325"/>
      <c r="K6" s="325"/>
      <c r="L6" s="327" t="e">
        <f>SUM(G6:G7)/J6</f>
        <v>#DIV/0!</v>
      </c>
      <c r="M6" s="268"/>
      <c r="N6" s="113" t="e">
        <f>(L6/L$3)*J6</f>
        <v>#DIV/0!</v>
      </c>
      <c r="O6" s="288" t="e">
        <f>N6-J6</f>
        <v>#DIV/0!</v>
      </c>
      <c r="Q6" s="36">
        <v>51000</v>
      </c>
      <c r="R6" s="8"/>
      <c r="S6" s="9"/>
      <c r="T6" s="9"/>
      <c r="U6" s="37" t="s">
        <v>101</v>
      </c>
      <c r="V6" t="s">
        <v>3</v>
      </c>
      <c r="W6" t="s">
        <v>13</v>
      </c>
      <c r="X6" t="s">
        <v>14</v>
      </c>
      <c r="AA6" t="s">
        <v>101</v>
      </c>
      <c r="AB6" t="s">
        <v>3</v>
      </c>
      <c r="AC6" t="s">
        <v>13</v>
      </c>
      <c r="AD6" t="s">
        <v>14</v>
      </c>
    </row>
    <row r="7" spans="2:30" x14ac:dyDescent="0.3">
      <c r="B7" s="272" t="s">
        <v>108</v>
      </c>
      <c r="C7" s="115">
        <v>14</v>
      </c>
      <c r="D7" s="64">
        <v>12692.920000000002</v>
      </c>
      <c r="E7" s="271"/>
      <c r="F7" s="270">
        <v>0.3</v>
      </c>
      <c r="G7" s="269">
        <f t="shared" si="0"/>
        <v>3807.8760000000002</v>
      </c>
      <c r="H7" s="267">
        <f t="shared" si="1"/>
        <v>8885.0440000000017</v>
      </c>
      <c r="I7" s="8"/>
      <c r="J7" s="326"/>
      <c r="K7" s="326"/>
      <c r="L7" s="328"/>
      <c r="M7" s="268"/>
      <c r="N7" s="64"/>
      <c r="O7" s="267"/>
      <c r="Q7" s="36"/>
      <c r="R7" s="8"/>
      <c r="S7" s="9"/>
      <c r="T7" s="9"/>
      <c r="U7" s="37">
        <v>1</v>
      </c>
      <c r="V7" t="s">
        <v>53</v>
      </c>
      <c r="W7">
        <v>6</v>
      </c>
      <c r="X7">
        <v>3687.2900000000009</v>
      </c>
      <c r="AA7">
        <v>1</v>
      </c>
      <c r="AB7" t="s">
        <v>53</v>
      </c>
      <c r="AC7">
        <v>6</v>
      </c>
      <c r="AD7">
        <v>3687.2900000000009</v>
      </c>
    </row>
    <row r="8" spans="2:30" x14ac:dyDescent="0.3">
      <c r="B8" s="286" t="s">
        <v>114</v>
      </c>
      <c r="C8" s="285"/>
      <c r="D8" s="137"/>
      <c r="E8" s="284"/>
      <c r="F8" s="283">
        <v>1</v>
      </c>
      <c r="G8" s="282">
        <f t="shared" si="0"/>
        <v>0</v>
      </c>
      <c r="H8" s="280">
        <f t="shared" si="1"/>
        <v>0</v>
      </c>
      <c r="I8" s="281"/>
      <c r="J8" s="329"/>
      <c r="K8" s="329"/>
      <c r="L8" s="331" t="e">
        <f>SUM(G8:G9)/J8</f>
        <v>#DIV/0!</v>
      </c>
      <c r="M8" s="281"/>
      <c r="N8" s="137" t="e">
        <f>(L8/L$3)*J8</f>
        <v>#DIV/0!</v>
      </c>
      <c r="O8" s="280" t="e">
        <f>N8-J8</f>
        <v>#DIV/0!</v>
      </c>
      <c r="Q8" s="36">
        <v>37400</v>
      </c>
      <c r="R8" s="8"/>
      <c r="S8" s="9"/>
      <c r="T8" s="9"/>
      <c r="V8" t="s">
        <v>55</v>
      </c>
      <c r="W8">
        <v>14</v>
      </c>
      <c r="X8">
        <v>12692.920000000002</v>
      </c>
      <c r="AB8" t="s">
        <v>55</v>
      </c>
      <c r="AC8">
        <v>14</v>
      </c>
      <c r="AD8">
        <v>12692.920000000002</v>
      </c>
    </row>
    <row r="9" spans="2:30" x14ac:dyDescent="0.3">
      <c r="B9" s="279" t="s">
        <v>108</v>
      </c>
      <c r="C9" s="278"/>
      <c r="D9" s="92"/>
      <c r="E9" s="277"/>
      <c r="F9" s="276">
        <v>0.3</v>
      </c>
      <c r="G9" s="275">
        <f t="shared" si="0"/>
        <v>0</v>
      </c>
      <c r="H9" s="273">
        <f t="shared" si="1"/>
        <v>0</v>
      </c>
      <c r="I9" s="274"/>
      <c r="J9" s="330"/>
      <c r="K9" s="330"/>
      <c r="L9" s="332"/>
      <c r="M9" s="274"/>
      <c r="N9" s="92"/>
      <c r="O9" s="273"/>
      <c r="Q9" s="36"/>
      <c r="R9" s="8"/>
      <c r="S9" s="9"/>
      <c r="T9" s="9"/>
    </row>
    <row r="10" spans="2:30" x14ac:dyDescent="0.3">
      <c r="B10" s="272" t="s">
        <v>113</v>
      </c>
      <c r="C10" s="115">
        <v>1</v>
      </c>
      <c r="D10" s="64">
        <v>2534.6000000000008</v>
      </c>
      <c r="E10" s="271"/>
      <c r="F10" s="270">
        <v>1</v>
      </c>
      <c r="G10" s="269">
        <f t="shared" si="0"/>
        <v>2534.6000000000008</v>
      </c>
      <c r="H10" s="267">
        <f t="shared" si="1"/>
        <v>0</v>
      </c>
      <c r="I10" s="8"/>
      <c r="J10" s="326"/>
      <c r="K10" s="326"/>
      <c r="L10" s="328" t="e">
        <f>SUM(G10:G11)/J10</f>
        <v>#DIV/0!</v>
      </c>
      <c r="M10" s="268"/>
      <c r="N10" s="64" t="e">
        <f>(L10/L$3)*J10</f>
        <v>#DIV/0!</v>
      </c>
      <c r="O10" s="267" t="e">
        <f>N10-J10</f>
        <v>#DIV/0!</v>
      </c>
      <c r="Q10" s="36">
        <v>61200</v>
      </c>
      <c r="R10" s="8"/>
      <c r="S10" s="9"/>
      <c r="T10" s="9"/>
    </row>
    <row r="11" spans="2:30" x14ac:dyDescent="0.3">
      <c r="B11" s="272" t="s">
        <v>108</v>
      </c>
      <c r="C11" s="115">
        <v>1</v>
      </c>
      <c r="D11" s="64">
        <v>471.5</v>
      </c>
      <c r="E11" s="271"/>
      <c r="F11" s="270">
        <v>0.3</v>
      </c>
      <c r="G11" s="269">
        <f t="shared" si="0"/>
        <v>141.44999999999999</v>
      </c>
      <c r="H11" s="267">
        <f t="shared" si="1"/>
        <v>330.05</v>
      </c>
      <c r="I11" s="8"/>
      <c r="J11" s="326"/>
      <c r="K11" s="326"/>
      <c r="L11" s="328"/>
      <c r="M11" s="268"/>
      <c r="N11" s="64"/>
      <c r="O11" s="267"/>
      <c r="P11" s="45"/>
      <c r="Q11" s="36"/>
      <c r="R11" s="8"/>
      <c r="S11" s="9"/>
      <c r="T11" s="9"/>
      <c r="U11" s="37">
        <v>3</v>
      </c>
      <c r="V11" t="s">
        <v>53</v>
      </c>
      <c r="W11">
        <v>1</v>
      </c>
      <c r="X11">
        <v>2534.6000000000008</v>
      </c>
      <c r="AA11">
        <v>3</v>
      </c>
      <c r="AB11" t="s">
        <v>53</v>
      </c>
      <c r="AC11">
        <v>1</v>
      </c>
      <c r="AD11">
        <v>2534.6000000000008</v>
      </c>
    </row>
    <row r="12" spans="2:30" x14ac:dyDescent="0.3">
      <c r="B12" s="286" t="s">
        <v>112</v>
      </c>
      <c r="C12" s="285">
        <v>18</v>
      </c>
      <c r="D12" s="137">
        <v>16508.240000000002</v>
      </c>
      <c r="E12" s="284"/>
      <c r="F12" s="283">
        <v>1</v>
      </c>
      <c r="G12" s="282">
        <f t="shared" si="0"/>
        <v>16508.240000000002</v>
      </c>
      <c r="H12" s="280">
        <f t="shared" si="1"/>
        <v>0</v>
      </c>
      <c r="I12" s="281"/>
      <c r="J12" s="329"/>
      <c r="K12" s="329"/>
      <c r="L12" s="331" t="e">
        <f>SUM(G12:G13)/J12</f>
        <v>#DIV/0!</v>
      </c>
      <c r="M12" s="281"/>
      <c r="N12" s="137" t="e">
        <f>(L12/L$3)*J12</f>
        <v>#DIV/0!</v>
      </c>
      <c r="O12" s="280" t="e">
        <f>N12-J12</f>
        <v>#DIV/0!</v>
      </c>
      <c r="P12" s="45"/>
      <c r="Q12" s="36">
        <v>68000</v>
      </c>
      <c r="R12" s="8"/>
      <c r="S12" s="9"/>
      <c r="T12" s="9"/>
      <c r="V12" t="s">
        <v>55</v>
      </c>
      <c r="W12">
        <v>1</v>
      </c>
      <c r="X12">
        <v>471.5</v>
      </c>
      <c r="AB12" t="s">
        <v>55</v>
      </c>
      <c r="AC12">
        <v>1</v>
      </c>
      <c r="AD12">
        <v>471.5</v>
      </c>
    </row>
    <row r="13" spans="2:30" x14ac:dyDescent="0.3">
      <c r="B13" s="279" t="s">
        <v>108</v>
      </c>
      <c r="C13" s="278">
        <v>2</v>
      </c>
      <c r="D13" s="92">
        <v>2072.7599999999998</v>
      </c>
      <c r="E13" s="277"/>
      <c r="F13" s="276">
        <v>0.3</v>
      </c>
      <c r="G13" s="275">
        <f t="shared" si="0"/>
        <v>621.82799999999986</v>
      </c>
      <c r="H13" s="273">
        <f t="shared" si="1"/>
        <v>1450.9319999999998</v>
      </c>
      <c r="I13" s="274"/>
      <c r="J13" s="330"/>
      <c r="K13" s="330"/>
      <c r="L13" s="332"/>
      <c r="M13" s="274"/>
      <c r="N13" s="92"/>
      <c r="O13" s="273"/>
      <c r="P13" s="45"/>
      <c r="Q13" s="36"/>
      <c r="R13" s="8"/>
      <c r="S13" s="9"/>
      <c r="T13" s="9"/>
      <c r="U13" s="37">
        <v>4</v>
      </c>
      <c r="V13" t="s">
        <v>53</v>
      </c>
      <c r="W13">
        <v>18</v>
      </c>
      <c r="X13">
        <v>16508.240000000002</v>
      </c>
      <c r="AA13">
        <v>4</v>
      </c>
      <c r="AB13" t="s">
        <v>53</v>
      </c>
      <c r="AC13">
        <v>18</v>
      </c>
      <c r="AD13">
        <v>16508.240000000002</v>
      </c>
    </row>
    <row r="14" spans="2:30" x14ac:dyDescent="0.3">
      <c r="B14" s="272" t="s">
        <v>111</v>
      </c>
      <c r="C14" s="115">
        <v>6</v>
      </c>
      <c r="D14" s="64">
        <v>5023.1899999999987</v>
      </c>
      <c r="E14" s="271"/>
      <c r="F14" s="270">
        <v>1</v>
      </c>
      <c r="G14" s="269">
        <f t="shared" si="0"/>
        <v>5023.1899999999987</v>
      </c>
      <c r="H14" s="267">
        <f t="shared" si="1"/>
        <v>0</v>
      </c>
      <c r="I14" s="8"/>
      <c r="J14" s="326"/>
      <c r="K14" s="326"/>
      <c r="L14" s="328" t="e">
        <f>SUM(G14:G15)/J14</f>
        <v>#DIV/0!</v>
      </c>
      <c r="M14" s="268"/>
      <c r="N14" s="64" t="e">
        <f>(L14/L$3)*J14</f>
        <v>#DIV/0!</v>
      </c>
      <c r="O14" s="267" t="e">
        <f>N14-J14</f>
        <v>#DIV/0!</v>
      </c>
      <c r="P14" s="45"/>
      <c r="Q14" s="36">
        <v>34000</v>
      </c>
      <c r="R14" s="8"/>
      <c r="S14" s="9"/>
      <c r="T14" s="9"/>
      <c r="V14" t="s">
        <v>55</v>
      </c>
      <c r="W14">
        <v>2</v>
      </c>
      <c r="X14">
        <v>2072.7599999999998</v>
      </c>
      <c r="AB14" t="s">
        <v>55</v>
      </c>
      <c r="AC14">
        <v>2</v>
      </c>
      <c r="AD14">
        <v>2072.7599999999998</v>
      </c>
    </row>
    <row r="15" spans="2:30" x14ac:dyDescent="0.3">
      <c r="B15" s="272" t="s">
        <v>108</v>
      </c>
      <c r="C15" s="115">
        <v>2</v>
      </c>
      <c r="D15" s="64">
        <v>1056.5500000000002</v>
      </c>
      <c r="E15" s="271"/>
      <c r="F15" s="270">
        <v>0.3</v>
      </c>
      <c r="G15" s="269">
        <f t="shared" si="0"/>
        <v>316.96500000000003</v>
      </c>
      <c r="H15" s="267">
        <f t="shared" si="1"/>
        <v>739.58500000000015</v>
      </c>
      <c r="I15" s="8"/>
      <c r="J15" s="326"/>
      <c r="K15" s="326"/>
      <c r="L15" s="328"/>
      <c r="M15" s="268"/>
      <c r="N15" s="64"/>
      <c r="O15" s="267"/>
      <c r="P15" s="45"/>
      <c r="Q15" s="36"/>
      <c r="R15" s="8"/>
      <c r="S15" s="9"/>
      <c r="T15" s="9"/>
      <c r="U15" s="37">
        <v>5</v>
      </c>
      <c r="V15" t="s">
        <v>53</v>
      </c>
      <c r="W15">
        <v>6</v>
      </c>
      <c r="X15">
        <v>5023.1899999999987</v>
      </c>
      <c r="AA15">
        <v>5</v>
      </c>
      <c r="AB15" t="s">
        <v>53</v>
      </c>
      <c r="AC15">
        <v>6</v>
      </c>
      <c r="AD15">
        <v>5023.1899999999987</v>
      </c>
    </row>
    <row r="16" spans="2:30" x14ac:dyDescent="0.3">
      <c r="B16" s="286" t="s">
        <v>110</v>
      </c>
      <c r="C16" s="285">
        <v>7</v>
      </c>
      <c r="D16" s="137">
        <v>4273.5899999999992</v>
      </c>
      <c r="E16" s="284"/>
      <c r="F16" s="283">
        <v>1</v>
      </c>
      <c r="G16" s="282">
        <f t="shared" si="0"/>
        <v>4273.5899999999992</v>
      </c>
      <c r="H16" s="280">
        <f t="shared" si="1"/>
        <v>0</v>
      </c>
      <c r="I16" s="281"/>
      <c r="J16" s="329"/>
      <c r="K16" s="329"/>
      <c r="L16" s="331" t="e">
        <f>SUM(G16:G17)/J16</f>
        <v>#DIV/0!</v>
      </c>
      <c r="M16" s="281"/>
      <c r="N16" s="137" t="e">
        <f>(L16/L$3)*J16</f>
        <v>#DIV/0!</v>
      </c>
      <c r="O16" s="280" t="e">
        <f>N16-J16</f>
        <v>#DIV/0!</v>
      </c>
      <c r="P16" s="45"/>
      <c r="Q16" s="36">
        <v>27200</v>
      </c>
      <c r="R16" s="8"/>
      <c r="S16" s="9"/>
      <c r="T16" s="9"/>
      <c r="V16" t="s">
        <v>55</v>
      </c>
      <c r="W16">
        <v>2</v>
      </c>
      <c r="X16">
        <v>1056.5500000000002</v>
      </c>
      <c r="AB16" t="s">
        <v>55</v>
      </c>
      <c r="AC16">
        <v>2</v>
      </c>
      <c r="AD16">
        <v>1056.5500000000002</v>
      </c>
    </row>
    <row r="17" spans="2:30" x14ac:dyDescent="0.3">
      <c r="B17" s="279" t="s">
        <v>108</v>
      </c>
      <c r="C17" s="278"/>
      <c r="D17" s="92"/>
      <c r="E17" s="277"/>
      <c r="F17" s="276">
        <v>0.3</v>
      </c>
      <c r="G17" s="275">
        <f t="shared" si="0"/>
        <v>0</v>
      </c>
      <c r="H17" s="273">
        <f t="shared" si="1"/>
        <v>0</v>
      </c>
      <c r="I17" s="274"/>
      <c r="J17" s="330"/>
      <c r="K17" s="330"/>
      <c r="L17" s="332"/>
      <c r="M17" s="274"/>
      <c r="N17" s="92"/>
      <c r="O17" s="273"/>
      <c r="P17" s="45"/>
      <c r="Q17" s="36"/>
      <c r="R17" s="8"/>
      <c r="S17" s="9"/>
      <c r="T17" s="9"/>
      <c r="U17" s="37">
        <v>6</v>
      </c>
      <c r="V17" t="s">
        <v>53</v>
      </c>
      <c r="W17">
        <v>7</v>
      </c>
      <c r="X17">
        <v>4273.5899999999992</v>
      </c>
      <c r="AA17">
        <v>6</v>
      </c>
      <c r="AB17" t="s">
        <v>53</v>
      </c>
      <c r="AC17">
        <v>7</v>
      </c>
      <c r="AD17">
        <v>4273.5899999999992</v>
      </c>
    </row>
    <row r="18" spans="2:30" x14ac:dyDescent="0.3">
      <c r="B18" s="272" t="s">
        <v>109</v>
      </c>
      <c r="C18" s="115">
        <v>2</v>
      </c>
      <c r="D18" s="64">
        <v>130</v>
      </c>
      <c r="E18" s="271"/>
      <c r="F18" s="270">
        <v>1</v>
      </c>
      <c r="G18" s="269">
        <f t="shared" si="0"/>
        <v>130</v>
      </c>
      <c r="H18" s="267">
        <f t="shared" si="1"/>
        <v>0</v>
      </c>
      <c r="I18" s="8"/>
      <c r="J18" s="326"/>
      <c r="K18" s="326"/>
      <c r="L18" s="328" t="e">
        <f>SUM(G18:G19)/J18</f>
        <v>#DIV/0!</v>
      </c>
      <c r="M18" s="268"/>
      <c r="N18" s="64" t="e">
        <f>(L18/L$3)*J18</f>
        <v>#DIV/0!</v>
      </c>
      <c r="O18" s="267" t="e">
        <f>N18-J18</f>
        <v>#DIV/0!</v>
      </c>
      <c r="P18" s="45"/>
      <c r="Q18" s="36">
        <v>61200</v>
      </c>
      <c r="R18" s="8"/>
      <c r="S18" s="9"/>
      <c r="T18" s="9"/>
    </row>
    <row r="19" spans="2:30" ht="15" thickBot="1" x14ac:dyDescent="0.35">
      <c r="B19" s="272" t="s">
        <v>108</v>
      </c>
      <c r="C19" s="115">
        <v>4</v>
      </c>
      <c r="D19" s="64">
        <v>13072.199999999995</v>
      </c>
      <c r="E19" s="271"/>
      <c r="F19" s="270">
        <v>0.3</v>
      </c>
      <c r="G19" s="269">
        <f t="shared" si="0"/>
        <v>3921.6599999999985</v>
      </c>
      <c r="H19" s="267">
        <f t="shared" si="1"/>
        <v>9150.5399999999972</v>
      </c>
      <c r="I19" s="8"/>
      <c r="J19" s="333"/>
      <c r="K19" s="333"/>
      <c r="L19" s="334"/>
      <c r="M19" s="268"/>
      <c r="N19" s="64"/>
      <c r="O19" s="267"/>
      <c r="P19" s="45"/>
      <c r="Q19" s="36"/>
      <c r="R19" s="8"/>
      <c r="S19" s="9"/>
      <c r="T19" s="9"/>
      <c r="U19" s="37">
        <v>7</v>
      </c>
      <c r="V19" t="s">
        <v>53</v>
      </c>
      <c r="W19">
        <v>2</v>
      </c>
      <c r="X19">
        <v>130</v>
      </c>
      <c r="AA19">
        <v>7</v>
      </c>
      <c r="AB19" t="s">
        <v>53</v>
      </c>
      <c r="AC19">
        <v>2</v>
      </c>
      <c r="AD19">
        <v>130</v>
      </c>
    </row>
    <row r="20" spans="2:30" ht="15.75" thickBot="1" x14ac:dyDescent="0.3">
      <c r="B20" s="176" t="s">
        <v>61</v>
      </c>
      <c r="C20" s="263">
        <v>63</v>
      </c>
      <c r="D20" s="162">
        <v>61522.84</v>
      </c>
      <c r="E20" s="179"/>
      <c r="F20" s="262">
        <f>G20/D20</f>
        <v>0.66587772931158573</v>
      </c>
      <c r="G20" s="179">
        <f>SUM(G6:G19)</f>
        <v>40966.688999999998</v>
      </c>
      <c r="H20" s="179">
        <f>SUM(H6:H19)</f>
        <v>20556.150999999998</v>
      </c>
      <c r="I20" s="261"/>
      <c r="J20" s="162">
        <v>300000</v>
      </c>
      <c r="K20" s="182"/>
      <c r="L20" s="260">
        <f>SUM(G20)/J20</f>
        <v>0.13655562999999998</v>
      </c>
      <c r="M20" s="247"/>
      <c r="N20" s="162">
        <f>(L20/L$3)*J20</f>
        <v>324171.19121739129</v>
      </c>
      <c r="O20" s="182">
        <f>N20-J20</f>
        <v>24171.191217391286</v>
      </c>
      <c r="Q20" s="162">
        <f>SUM(Q6:Q19)</f>
        <v>340000</v>
      </c>
      <c r="R20" s="8"/>
      <c r="S20" s="9"/>
      <c r="T20" s="9"/>
      <c r="V20" t="s">
        <v>55</v>
      </c>
      <c r="W20">
        <v>4</v>
      </c>
      <c r="X20">
        <v>13072.199999999995</v>
      </c>
      <c r="AB20" t="s">
        <v>55</v>
      </c>
      <c r="AC20">
        <v>4</v>
      </c>
      <c r="AD20">
        <v>13072.199999999995</v>
      </c>
    </row>
    <row r="21" spans="2:30" ht="15" x14ac:dyDescent="0.25">
      <c r="B21" s="183"/>
      <c r="C21" s="249"/>
      <c r="D21" s="185"/>
      <c r="E21" s="185"/>
      <c r="F21" s="185"/>
      <c r="G21" s="185"/>
      <c r="H21" s="185"/>
      <c r="I21" s="248"/>
      <c r="J21" s="185"/>
      <c r="K21" s="185"/>
      <c r="L21" s="185"/>
      <c r="M21" s="247"/>
      <c r="N21" s="185"/>
      <c r="O21" s="185"/>
      <c r="Q21" s="166"/>
      <c r="R21" s="8"/>
      <c r="S21" s="9"/>
      <c r="T21" s="9"/>
      <c r="U21" s="37" t="s">
        <v>61</v>
      </c>
      <c r="W21">
        <v>63</v>
      </c>
      <c r="X21">
        <v>61522.84</v>
      </c>
      <c r="AA21" t="s">
        <v>61</v>
      </c>
      <c r="AC21">
        <v>63</v>
      </c>
      <c r="AD21">
        <v>61522.84</v>
      </c>
    </row>
    <row r="22" spans="2:30" ht="15.75" thickBot="1" x14ac:dyDescent="0.3">
      <c r="N22" s="168"/>
      <c r="Q22" s="36"/>
      <c r="R22" s="8"/>
      <c r="S22" s="9"/>
      <c r="T22" s="9"/>
    </row>
    <row r="23" spans="2:30" ht="15.75" thickBot="1" x14ac:dyDescent="0.3">
      <c r="B23" s="186" t="s">
        <v>63</v>
      </c>
      <c r="C23" s="259"/>
      <c r="D23" s="188"/>
      <c r="E23" s="189"/>
      <c r="F23" s="189"/>
      <c r="G23" s="189">
        <f>G20</f>
        <v>40966.688999999998</v>
      </c>
      <c r="H23" s="190"/>
      <c r="I23" s="258"/>
      <c r="J23" s="188">
        <f>J20</f>
        <v>300000</v>
      </c>
      <c r="K23" s="189"/>
      <c r="L23" s="257">
        <f>SUM(G23)/J23</f>
        <v>0.13655562999999998</v>
      </c>
      <c r="M23" s="247"/>
      <c r="N23" s="162">
        <f>(L23/L$3)*J23</f>
        <v>324171.19121739129</v>
      </c>
      <c r="O23" s="182">
        <f>N23-J23</f>
        <v>24171.191217391286</v>
      </c>
      <c r="Q23" s="166"/>
      <c r="R23" s="8"/>
      <c r="S23" s="9"/>
      <c r="T23" s="9"/>
    </row>
    <row r="24" spans="2:30" ht="15.75" thickBot="1" x14ac:dyDescent="0.3">
      <c r="B24" s="192" t="s">
        <v>64</v>
      </c>
      <c r="C24" s="256"/>
      <c r="D24" s="194"/>
      <c r="E24" s="185"/>
      <c r="F24" s="185"/>
      <c r="G24" s="185"/>
      <c r="H24" s="195">
        <f>H20</f>
        <v>20556.150999999998</v>
      </c>
      <c r="I24" s="255"/>
      <c r="J24" s="194"/>
      <c r="K24" s="185">
        <f>K20</f>
        <v>0</v>
      </c>
      <c r="L24" s="254" t="e">
        <f>SUM(H20)/K20</f>
        <v>#DIV/0!</v>
      </c>
      <c r="M24" s="247"/>
      <c r="N24" s="162" t="e">
        <f>(L24/L$3)*K24</f>
        <v>#DIV/0!</v>
      </c>
      <c r="O24" s="182" t="e">
        <f>N24-K24</f>
        <v>#DIV/0!</v>
      </c>
      <c r="Q24" s="166"/>
      <c r="R24" s="8"/>
      <c r="S24" s="9"/>
      <c r="T24" s="9"/>
    </row>
    <row r="25" spans="2:30" ht="15.75" thickBot="1" x14ac:dyDescent="0.3">
      <c r="B25" s="197" t="s">
        <v>65</v>
      </c>
      <c r="C25" s="253"/>
      <c r="D25" s="199">
        <f>SUM(G20:H20)</f>
        <v>61522.84</v>
      </c>
      <c r="E25" s="200"/>
      <c r="F25" s="200"/>
      <c r="G25" s="200"/>
      <c r="H25" s="201"/>
      <c r="I25" s="252"/>
      <c r="J25" s="202"/>
      <c r="K25" s="180">
        <f>SUM(J20:K20)</f>
        <v>300000</v>
      </c>
      <c r="L25" s="251">
        <f>SUM(D25)/K25</f>
        <v>0.20507613333333333</v>
      </c>
      <c r="M25" s="247"/>
      <c r="N25" s="162">
        <f>(L25/L$3)*K25</f>
        <v>486832.90782608697</v>
      </c>
      <c r="O25" s="182">
        <f>N25-K25</f>
        <v>186832.90782608697</v>
      </c>
      <c r="P25" s="168"/>
      <c r="Q25" s="166"/>
      <c r="R25" s="8"/>
      <c r="S25" s="9"/>
    </row>
    <row r="26" spans="2:30" ht="15" x14ac:dyDescent="0.25">
      <c r="B26" s="183"/>
      <c r="C26" s="249"/>
      <c r="D26" s="185"/>
      <c r="E26" s="185"/>
      <c r="F26" s="185"/>
      <c r="G26" s="185"/>
      <c r="H26" s="185"/>
      <c r="I26" s="248"/>
      <c r="J26" s="185"/>
      <c r="K26" s="185"/>
      <c r="L26" s="247"/>
      <c r="M26" s="247"/>
      <c r="N26" s="185"/>
      <c r="O26" s="185"/>
      <c r="Q26" s="166"/>
      <c r="R26" s="8"/>
      <c r="S26" s="9"/>
      <c r="T26" s="9"/>
    </row>
    <row r="27" spans="2:30" ht="21" customHeight="1" thickBot="1" x14ac:dyDescent="0.3">
      <c r="C27" s="246"/>
      <c r="D27" s="214"/>
      <c r="E27" s="214"/>
      <c r="F27" s="214"/>
      <c r="G27" s="214"/>
      <c r="H27" s="214"/>
      <c r="I27" s="214"/>
      <c r="J27" s="214"/>
      <c r="K27" s="214"/>
      <c r="L27" s="214"/>
      <c r="M27" s="214"/>
      <c r="N27" s="214"/>
      <c r="O27" s="214"/>
      <c r="Q27" s="169"/>
      <c r="R27" s="170"/>
      <c r="S27" s="171"/>
      <c r="T27" s="171"/>
    </row>
    <row r="28" spans="2:30" ht="21" customHeight="1" x14ac:dyDescent="0.25">
      <c r="B28" s="335" t="s">
        <v>124</v>
      </c>
      <c r="C28" s="336"/>
      <c r="D28" s="336"/>
      <c r="E28" s="336"/>
      <c r="F28" s="336"/>
      <c r="G28" s="336"/>
      <c r="H28" s="336"/>
      <c r="I28" s="336"/>
      <c r="J28" s="336"/>
      <c r="K28" s="336"/>
      <c r="L28" s="336"/>
      <c r="M28" s="309"/>
      <c r="N28" s="309"/>
      <c r="O28" s="309"/>
    </row>
    <row r="29" spans="2:30" s="173" customFormat="1" ht="39.75" customHeight="1" x14ac:dyDescent="0.25">
      <c r="B29" s="336" t="s">
        <v>107</v>
      </c>
      <c r="C29" s="336"/>
      <c r="D29" s="336"/>
      <c r="E29" s="336"/>
      <c r="F29" s="336"/>
      <c r="G29" s="336"/>
      <c r="H29" s="336"/>
      <c r="I29" s="336"/>
      <c r="J29" s="336"/>
      <c r="K29" s="336"/>
      <c r="L29" s="336"/>
      <c r="M29" s="309"/>
      <c r="N29" s="309"/>
      <c r="O29" s="309"/>
      <c r="Q29" s="172"/>
      <c r="R29" s="174"/>
      <c r="S29" s="175"/>
      <c r="T29" s="175"/>
      <c r="U29" s="37"/>
      <c r="V29"/>
      <c r="W29"/>
      <c r="X29"/>
      <c r="Y29"/>
      <c r="AA29"/>
      <c r="AB29"/>
      <c r="AC29"/>
      <c r="AD29"/>
    </row>
    <row r="30" spans="2:30" s="173" customFormat="1" ht="39.75" hidden="1" customHeight="1" x14ac:dyDescent="0.25">
      <c r="B30" t="s">
        <v>88</v>
      </c>
      <c r="C30"/>
      <c r="D30"/>
      <c r="E30"/>
      <c r="F30"/>
      <c r="G30"/>
      <c r="H30"/>
      <c r="I30"/>
      <c r="J30" s="234"/>
      <c r="K30" s="234"/>
      <c r="L30"/>
      <c r="M30"/>
      <c r="N30"/>
      <c r="O30"/>
      <c r="Q30" s="172"/>
      <c r="S30" s="175"/>
      <c r="T30" s="175"/>
      <c r="U30" s="37"/>
      <c r="V30"/>
      <c r="W30"/>
      <c r="X30"/>
      <c r="Y30"/>
      <c r="AA30"/>
      <c r="AB30"/>
      <c r="AC30"/>
      <c r="AD30"/>
    </row>
    <row r="31" spans="2:30" ht="15" hidden="1" x14ac:dyDescent="0.25">
      <c r="B31" t="s">
        <v>23</v>
      </c>
      <c r="C31">
        <v>2</v>
      </c>
      <c r="D31">
        <v>827.92</v>
      </c>
      <c r="J31">
        <v>340000</v>
      </c>
    </row>
    <row r="32" spans="2:30" ht="15" hidden="1" x14ac:dyDescent="0.25">
      <c r="B32" t="s">
        <v>87</v>
      </c>
      <c r="C32">
        <v>83</v>
      </c>
      <c r="D32">
        <v>133749.80999999991</v>
      </c>
      <c r="J32">
        <v>250000</v>
      </c>
      <c r="U32"/>
      <c r="X32" s="173"/>
      <c r="Y32" s="173"/>
      <c r="AA32" s="173"/>
      <c r="AB32" s="173"/>
      <c r="AC32" s="173"/>
      <c r="AD32" s="173"/>
    </row>
    <row r="33" spans="2:30" ht="15" hidden="1" x14ac:dyDescent="0.25">
      <c r="X33" s="173"/>
      <c r="Y33" s="173"/>
      <c r="AA33" s="173"/>
      <c r="AB33" s="173"/>
      <c r="AC33" s="173"/>
      <c r="AD33" s="173"/>
    </row>
    <row r="34" spans="2:30"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30" ht="15" hidden="1" x14ac:dyDescent="0.25">
      <c r="U35"/>
    </row>
    <row r="36" spans="2:30" ht="15" hidden="1" x14ac:dyDescent="0.25">
      <c r="U36"/>
    </row>
    <row r="37" spans="2:30"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30" ht="15" hidden="1" x14ac:dyDescent="0.25">
      <c r="B38" s="183"/>
      <c r="C38" s="249"/>
      <c r="D38" s="185"/>
      <c r="E38" s="185"/>
      <c r="F38" s="185"/>
      <c r="G38" s="185"/>
      <c r="H38" s="185"/>
      <c r="I38" s="248"/>
      <c r="J38" s="185"/>
      <c r="K38" s="185"/>
      <c r="L38" s="185"/>
      <c r="M38" s="247"/>
      <c r="N38" s="185"/>
      <c r="O38" s="185"/>
      <c r="U38"/>
    </row>
    <row r="39" spans="2:30" ht="15" hidden="1" x14ac:dyDescent="0.25"/>
    <row r="40" spans="2:30"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30"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30"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30" ht="15" hidden="1" x14ac:dyDescent="0.25">
      <c r="B43" s="183"/>
      <c r="C43" s="249"/>
      <c r="D43" s="185"/>
      <c r="E43" s="185"/>
      <c r="F43" s="185"/>
      <c r="G43" s="185"/>
      <c r="H43" s="185"/>
      <c r="I43" s="248"/>
      <c r="J43" s="185"/>
      <c r="K43" s="185"/>
      <c r="L43" s="247"/>
      <c r="M43" s="247"/>
      <c r="N43" s="185"/>
      <c r="O43" s="185"/>
      <c r="U43"/>
    </row>
    <row r="44" spans="2:30"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30" ht="15" hidden="1" x14ac:dyDescent="0.25">
      <c r="U45"/>
    </row>
    <row r="46" spans="2:30" ht="15" x14ac:dyDescent="0.25">
      <c r="D46" s="168">
        <f>D20-D25</f>
        <v>0</v>
      </c>
      <c r="U46"/>
    </row>
    <row r="47" spans="2:30" ht="15" x14ac:dyDescent="0.25">
      <c r="C47" s="205"/>
    </row>
    <row r="48" spans="2:30" ht="15" x14ac:dyDescent="0.25">
      <c r="U48"/>
    </row>
    <row r="49" spans="20:23" ht="15" x14ac:dyDescent="0.25">
      <c r="U49"/>
    </row>
    <row r="50" spans="20:23" ht="15" x14ac:dyDescent="0.25">
      <c r="U50"/>
    </row>
    <row r="52" spans="20:23" ht="15" x14ac:dyDescent="0.25">
      <c r="U52"/>
    </row>
    <row r="53" spans="20:23" ht="15.75" thickBot="1" x14ac:dyDescent="0.3">
      <c r="U53"/>
    </row>
    <row r="54" spans="20:23" ht="15" x14ac:dyDescent="0.25">
      <c r="T54" s="245" t="s">
        <v>86</v>
      </c>
    </row>
    <row r="55" spans="20:23" ht="15" x14ac:dyDescent="0.25">
      <c r="T55" s="244">
        <v>1</v>
      </c>
      <c r="U55"/>
    </row>
    <row r="56" spans="20:23" ht="15" x14ac:dyDescent="0.25">
      <c r="T56" s="244">
        <v>2</v>
      </c>
      <c r="U56"/>
    </row>
    <row r="57" spans="20:23" ht="15" x14ac:dyDescent="0.25">
      <c r="T57" s="244">
        <v>3</v>
      </c>
      <c r="U57"/>
    </row>
    <row r="58" spans="20:23" ht="15" x14ac:dyDescent="0.25">
      <c r="T58" s="244">
        <v>4</v>
      </c>
      <c r="U58"/>
    </row>
    <row r="59" spans="20:23" ht="15" x14ac:dyDescent="0.25">
      <c r="T59" s="244">
        <v>5</v>
      </c>
      <c r="U59" s="206"/>
    </row>
    <row r="60" spans="20:23" ht="15" thickBot="1" x14ac:dyDescent="0.35">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259" priority="15" operator="greaterThan">
      <formula>$L$3</formula>
    </cfRule>
  </conditionalFormatting>
  <conditionalFormatting sqref="L23:L24">
    <cfRule type="cellIs" dxfId="258" priority="14" operator="greaterThan">
      <formula>$L$3</formula>
    </cfRule>
  </conditionalFormatting>
  <conditionalFormatting sqref="M40:M41 L37:M37 M38 L42:M43">
    <cfRule type="cellIs" dxfId="257" priority="13" operator="greaterThan">
      <formula>$L$3</formula>
    </cfRule>
  </conditionalFormatting>
  <conditionalFormatting sqref="L40:L41">
    <cfRule type="cellIs" dxfId="256" priority="12" operator="greaterThan">
      <formula>$L$3</formula>
    </cfRule>
  </conditionalFormatting>
  <conditionalFormatting sqref="M6:M7">
    <cfRule type="cellIs" dxfId="255" priority="11" operator="greaterThan">
      <formula>$L$3</formula>
    </cfRule>
  </conditionalFormatting>
  <conditionalFormatting sqref="M10:M11">
    <cfRule type="cellIs" dxfId="254" priority="10" operator="greaterThan">
      <formula>$L$3</formula>
    </cfRule>
  </conditionalFormatting>
  <conditionalFormatting sqref="M14:M15">
    <cfRule type="cellIs" dxfId="253" priority="9" operator="greaterThan">
      <formula>$L$3</formula>
    </cfRule>
  </conditionalFormatting>
  <conditionalFormatting sqref="M18:M19">
    <cfRule type="cellIs" dxfId="252" priority="8" operator="greaterThan">
      <formula>$L$3</formula>
    </cfRule>
  </conditionalFormatting>
  <conditionalFormatting sqref="L6:L7">
    <cfRule type="cellIs" dxfId="251" priority="7" operator="greaterThan">
      <formula>$L$3</formula>
    </cfRule>
  </conditionalFormatting>
  <conditionalFormatting sqref="L8:L9">
    <cfRule type="cellIs" dxfId="250" priority="6" operator="greaterThan">
      <formula>$L$3</formula>
    </cfRule>
  </conditionalFormatting>
  <conditionalFormatting sqref="L10:L11">
    <cfRule type="cellIs" dxfId="249" priority="5" operator="greaterThan">
      <formula>$L$3</formula>
    </cfRule>
  </conditionalFormatting>
  <conditionalFormatting sqref="L12:L13">
    <cfRule type="cellIs" dxfId="248" priority="4" operator="greaterThan">
      <formula>$L$3</formula>
    </cfRule>
  </conditionalFormatting>
  <conditionalFormatting sqref="L14:L15">
    <cfRule type="cellIs" dxfId="247" priority="3" operator="greaterThan">
      <formula>$L$3</formula>
    </cfRule>
  </conditionalFormatting>
  <conditionalFormatting sqref="L16:L17">
    <cfRule type="cellIs" dxfId="246" priority="2" operator="greaterThan">
      <formula>$L$3</formula>
    </cfRule>
  </conditionalFormatting>
  <conditionalFormatting sqref="L18:L19">
    <cfRule type="cellIs" dxfId="245" priority="1" operator="greaterThan">
      <formula>$L$3</formula>
    </cfRule>
  </conditionalFormatting>
  <pageMargins left="0.2" right="0.2" top="0.75" bottom="0.75" header="0.3" footer="0.3"/>
  <pageSetup scale="92" orientation="landscape"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255"/>
  <sheetViews>
    <sheetView topLeftCell="A19" zoomScale="70" zoomScaleNormal="70" workbookViewId="0">
      <selection activeCell="A63" sqref="A63:H6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0.44140625" customWidth="1"/>
    <col min="12" max="12" width="18.6640625" customWidth="1"/>
    <col min="13" max="13" width="18.6640625" style="172" customWidth="1"/>
    <col min="14" max="14" width="18.6640625" customWidth="1"/>
    <col min="15" max="17" width="18.6640625" style="37" customWidth="1"/>
    <col min="18" max="23" width="18.6640625" customWidth="1"/>
    <col min="24" max="24" width="51.44140625" bestFit="1" customWidth="1"/>
    <col min="25" max="29" width="18.6640625" customWidth="1"/>
    <col min="30" max="30" width="33.5546875" customWidth="1"/>
    <col min="31" max="32" width="11" customWidth="1"/>
  </cols>
  <sheetData>
    <row r="1" spans="1:33" ht="15.75" thickBot="1" x14ac:dyDescent="0.3">
      <c r="M1" s="347" t="s">
        <v>0</v>
      </c>
      <c r="N1" s="348"/>
      <c r="O1" s="348"/>
      <c r="P1" s="348"/>
      <c r="Q1" s="348"/>
      <c r="R1" s="348"/>
      <c r="S1" s="348"/>
      <c r="T1" s="348"/>
      <c r="U1" s="348"/>
      <c r="V1" s="348"/>
      <c r="W1" s="348"/>
      <c r="X1" s="348"/>
      <c r="Y1" s="348"/>
      <c r="Z1" s="348"/>
      <c r="AA1" s="348"/>
      <c r="AB1" s="348"/>
    </row>
    <row r="2" spans="1:33" ht="30" x14ac:dyDescent="0.25">
      <c r="A2" s="2"/>
      <c r="B2" s="3"/>
      <c r="C2" s="3"/>
      <c r="D2" s="3"/>
      <c r="E2" s="3"/>
      <c r="F2" s="3"/>
      <c r="G2" s="4" t="s">
        <v>1</v>
      </c>
      <c r="H2" s="5" t="s">
        <v>2</v>
      </c>
      <c r="I2" s="6"/>
      <c r="J2" s="215"/>
      <c r="K2" s="6"/>
      <c r="M2" s="7">
        <v>41456</v>
      </c>
      <c r="N2" s="8"/>
      <c r="O2" s="9"/>
      <c r="P2" s="9"/>
      <c r="Q2" s="9"/>
      <c r="R2" s="8"/>
    </row>
    <row r="3" spans="1:33" ht="19.5" thickBot="1" x14ac:dyDescent="0.35">
      <c r="A3" s="10" t="s">
        <v>123</v>
      </c>
      <c r="B3" s="11"/>
      <c r="C3" s="8"/>
      <c r="D3" s="8"/>
      <c r="E3" s="8"/>
      <c r="F3" s="8"/>
      <c r="G3" s="12">
        <v>41502</v>
      </c>
      <c r="H3" s="13">
        <f>$M$5/26</f>
        <v>0.12637362637362637</v>
      </c>
      <c r="I3" s="14"/>
      <c r="J3" s="216"/>
      <c r="K3" s="14"/>
      <c r="M3" s="15"/>
      <c r="N3" s="8"/>
      <c r="O3" s="9"/>
      <c r="P3" s="9"/>
      <c r="Q3" s="9"/>
      <c r="R3" s="8"/>
    </row>
    <row r="4" spans="1:33" ht="15.75" thickBot="1" x14ac:dyDescent="0.3">
      <c r="A4" s="16"/>
      <c r="B4" s="8"/>
      <c r="C4" s="8"/>
      <c r="D4" s="17"/>
      <c r="E4" s="8"/>
      <c r="F4" s="8"/>
      <c r="G4" s="18"/>
      <c r="H4" s="19"/>
      <c r="I4" s="8"/>
      <c r="J4" s="217"/>
      <c r="K4" s="8"/>
      <c r="M4" s="15">
        <f>G3-M2</f>
        <v>46</v>
      </c>
      <c r="N4" s="8"/>
      <c r="O4" s="9" t="s">
        <v>79</v>
      </c>
      <c r="P4" s="9"/>
      <c r="Q4" s="8"/>
      <c r="R4" s="8"/>
      <c r="T4" s="2" t="s">
        <v>78</v>
      </c>
      <c r="U4" s="3"/>
      <c r="V4" s="229"/>
      <c r="X4" s="2" t="s">
        <v>77</v>
      </c>
      <c r="Y4" s="3"/>
      <c r="Z4" s="3"/>
      <c r="AA4" s="3"/>
      <c r="AB4" s="229"/>
    </row>
    <row r="5" spans="1:33" ht="30.75" thickBot="1" x14ac:dyDescent="0.3">
      <c r="A5" s="20" t="s">
        <v>3</v>
      </c>
      <c r="B5" s="21" t="s">
        <v>4</v>
      </c>
      <c r="C5" s="21" t="s">
        <v>5</v>
      </c>
      <c r="D5" s="21" t="s">
        <v>6</v>
      </c>
      <c r="E5" s="22" t="s">
        <v>7</v>
      </c>
      <c r="F5" s="21" t="s">
        <v>8</v>
      </c>
      <c r="G5" s="23" t="s">
        <v>9</v>
      </c>
      <c r="H5" s="24" t="s">
        <v>69</v>
      </c>
      <c r="I5" s="25"/>
      <c r="J5" s="26" t="s">
        <v>10</v>
      </c>
      <c r="K5" s="26" t="s">
        <v>11</v>
      </c>
      <c r="M5" s="27">
        <f>M4/14</f>
        <v>3.2857142857142856</v>
      </c>
      <c r="N5" s="8"/>
      <c r="O5" t="s">
        <v>12</v>
      </c>
      <c r="P5" t="s">
        <v>13</v>
      </c>
      <c r="Q5" t="s">
        <v>14</v>
      </c>
      <c r="T5" s="16" t="s">
        <v>12</v>
      </c>
      <c r="U5" s="8" t="s">
        <v>13</v>
      </c>
      <c r="V5" s="310" t="s">
        <v>14</v>
      </c>
      <c r="X5" t="s">
        <v>12</v>
      </c>
      <c r="Y5" t="s">
        <v>13</v>
      </c>
      <c r="Z5" t="s">
        <v>12</v>
      </c>
      <c r="AA5" t="s">
        <v>14</v>
      </c>
      <c r="AB5" s="19"/>
      <c r="AD5" t="s">
        <v>12</v>
      </c>
      <c r="AE5" t="s">
        <v>13</v>
      </c>
      <c r="AF5" t="s">
        <v>12</v>
      </c>
      <c r="AG5" t="s">
        <v>14</v>
      </c>
    </row>
    <row r="6" spans="1:33" ht="15" x14ac:dyDescent="0.25">
      <c r="A6" s="28" t="s">
        <v>15</v>
      </c>
      <c r="B6" s="29">
        <f>P9</f>
        <v>34</v>
      </c>
      <c r="C6" s="30">
        <f t="shared" ref="C6:C12" si="0">Q9</f>
        <v>2119.3100000000004</v>
      </c>
      <c r="D6" s="31">
        <v>1</v>
      </c>
      <c r="E6" s="30">
        <f t="shared" ref="E6:E12" si="1">C6*D6</f>
        <v>2119.3100000000004</v>
      </c>
      <c r="F6" s="30">
        <f t="shared" ref="F6:F12" si="2">C6-E6</f>
        <v>0</v>
      </c>
      <c r="G6" s="32"/>
      <c r="H6" s="33"/>
      <c r="I6" s="34"/>
      <c r="J6" s="218"/>
      <c r="K6" s="35"/>
      <c r="M6" s="8"/>
      <c r="N6" s="8"/>
      <c r="O6" t="s">
        <v>71</v>
      </c>
      <c r="P6">
        <v>1</v>
      </c>
      <c r="Q6">
        <v>12461.010000000011</v>
      </c>
      <c r="T6" s="16" t="s">
        <v>71</v>
      </c>
      <c r="U6" s="8">
        <f>Y6</f>
        <v>1</v>
      </c>
      <c r="V6" s="310">
        <f t="shared" ref="V6:V31" si="3">AA6</f>
        <v>12461.010000000011</v>
      </c>
      <c r="X6" t="s">
        <v>71</v>
      </c>
      <c r="Y6">
        <v>1</v>
      </c>
      <c r="Z6" t="s">
        <v>71</v>
      </c>
      <c r="AA6">
        <v>12461.010000000011</v>
      </c>
      <c r="AB6" s="19"/>
      <c r="AD6" t="s">
        <v>71</v>
      </c>
      <c r="AE6">
        <v>1</v>
      </c>
      <c r="AF6" t="s">
        <v>71</v>
      </c>
      <c r="AG6">
        <v>12461.010000000011</v>
      </c>
    </row>
    <row r="7" spans="1:33" ht="15" x14ac:dyDescent="0.25">
      <c r="A7" s="38" t="s">
        <v>16</v>
      </c>
      <c r="B7" s="39">
        <f t="shared" ref="B7:B12" si="4">P10</f>
        <v>24</v>
      </c>
      <c r="C7" s="40">
        <f t="shared" si="0"/>
        <v>2304.389999999999</v>
      </c>
      <c r="D7" s="41">
        <v>1</v>
      </c>
      <c r="E7" s="40">
        <f t="shared" si="1"/>
        <v>2304.389999999999</v>
      </c>
      <c r="F7" s="40">
        <f t="shared" si="2"/>
        <v>0</v>
      </c>
      <c r="G7" s="32"/>
      <c r="H7" s="33"/>
      <c r="I7" s="34"/>
      <c r="J7" s="218"/>
      <c r="K7" s="35"/>
      <c r="M7" s="8"/>
      <c r="N7" s="8"/>
      <c r="O7" t="s">
        <v>24</v>
      </c>
      <c r="P7">
        <v>19</v>
      </c>
      <c r="Q7">
        <v>10883.58</v>
      </c>
      <c r="T7" s="16" t="s">
        <v>24</v>
      </c>
      <c r="U7" s="8">
        <f t="shared" ref="U7:U31" si="5">Y7</f>
        <v>19</v>
      </c>
      <c r="V7" s="310">
        <f t="shared" si="3"/>
        <v>10883.58</v>
      </c>
      <c r="X7" t="s">
        <v>24</v>
      </c>
      <c r="Y7">
        <v>19</v>
      </c>
      <c r="Z7" t="s">
        <v>24</v>
      </c>
      <c r="AA7">
        <v>10883.58</v>
      </c>
      <c r="AB7" s="19"/>
      <c r="AD7" t="s">
        <v>24</v>
      </c>
      <c r="AE7">
        <v>19</v>
      </c>
      <c r="AF7" t="s">
        <v>24</v>
      </c>
      <c r="AG7">
        <v>10883.58</v>
      </c>
    </row>
    <row r="8" spans="1:33" ht="15" x14ac:dyDescent="0.25">
      <c r="A8" s="38" t="s">
        <v>17</v>
      </c>
      <c r="B8" s="39">
        <f t="shared" si="4"/>
        <v>26</v>
      </c>
      <c r="C8" s="40">
        <f t="shared" si="0"/>
        <v>4158.8599999999997</v>
      </c>
      <c r="D8" s="41">
        <v>0.3</v>
      </c>
      <c r="E8" s="40">
        <f t="shared" si="1"/>
        <v>1247.6579999999999</v>
      </c>
      <c r="F8" s="40">
        <f t="shared" si="2"/>
        <v>2911.2019999999998</v>
      </c>
      <c r="G8" s="32"/>
      <c r="H8" s="33"/>
      <c r="I8" s="34"/>
      <c r="J8" s="218"/>
      <c r="K8" s="35"/>
      <c r="M8" s="8"/>
      <c r="N8" s="8"/>
      <c r="O8" t="s">
        <v>76</v>
      </c>
      <c r="P8">
        <v>1</v>
      </c>
      <c r="Q8">
        <v>2018.3200000000002</v>
      </c>
      <c r="T8" s="16" t="s">
        <v>76</v>
      </c>
      <c r="U8" s="8">
        <f t="shared" si="5"/>
        <v>1</v>
      </c>
      <c r="V8" s="310">
        <f t="shared" si="3"/>
        <v>2018.3200000000002</v>
      </c>
      <c r="X8" t="s">
        <v>76</v>
      </c>
      <c r="Y8">
        <v>1</v>
      </c>
      <c r="Z8" t="s">
        <v>76</v>
      </c>
      <c r="AA8">
        <v>2018.3200000000002</v>
      </c>
      <c r="AB8" s="19"/>
      <c r="AD8" t="s">
        <v>76</v>
      </c>
      <c r="AE8">
        <v>1</v>
      </c>
      <c r="AF8" t="s">
        <v>76</v>
      </c>
      <c r="AG8">
        <v>2018.3200000000002</v>
      </c>
    </row>
    <row r="9" spans="1:33" ht="15" x14ac:dyDescent="0.25">
      <c r="A9" s="38" t="s">
        <v>18</v>
      </c>
      <c r="B9" s="39">
        <f t="shared" si="4"/>
        <v>161</v>
      </c>
      <c r="C9" s="40">
        <f t="shared" si="0"/>
        <v>83159.849999999948</v>
      </c>
      <c r="D9" s="41">
        <v>1</v>
      </c>
      <c r="E9" s="40">
        <f t="shared" si="1"/>
        <v>83159.849999999948</v>
      </c>
      <c r="F9" s="40">
        <f t="shared" si="2"/>
        <v>0</v>
      </c>
      <c r="G9" s="32"/>
      <c r="H9" s="33"/>
      <c r="I9" s="34"/>
      <c r="J9" s="218"/>
      <c r="K9" s="35"/>
      <c r="M9" s="8"/>
      <c r="N9" s="8"/>
      <c r="O9" t="s">
        <v>15</v>
      </c>
      <c r="P9">
        <v>34</v>
      </c>
      <c r="Q9">
        <v>2119.3100000000004</v>
      </c>
      <c r="T9" s="16" t="s">
        <v>15</v>
      </c>
      <c r="U9" s="8">
        <f t="shared" si="5"/>
        <v>34</v>
      </c>
      <c r="V9" s="310">
        <f t="shared" si="3"/>
        <v>2119.3100000000004</v>
      </c>
      <c r="X9" t="s">
        <v>15</v>
      </c>
      <c r="Y9">
        <v>34</v>
      </c>
      <c r="Z9" t="s">
        <v>15</v>
      </c>
      <c r="AA9">
        <v>2119.3100000000004</v>
      </c>
      <c r="AB9" s="19"/>
      <c r="AD9" t="s">
        <v>15</v>
      </c>
      <c r="AE9">
        <v>34</v>
      </c>
      <c r="AF9" t="s">
        <v>15</v>
      </c>
      <c r="AG9">
        <v>2119.3100000000004</v>
      </c>
    </row>
    <row r="10" spans="1:33" ht="15" x14ac:dyDescent="0.25">
      <c r="A10" s="38" t="s">
        <v>19</v>
      </c>
      <c r="B10" s="39">
        <f t="shared" si="4"/>
        <v>26</v>
      </c>
      <c r="C10" s="40">
        <f t="shared" si="0"/>
        <v>19297.019999999997</v>
      </c>
      <c r="D10" s="41">
        <v>0.3</v>
      </c>
      <c r="E10" s="40">
        <f t="shared" si="1"/>
        <v>5789.1059999999989</v>
      </c>
      <c r="F10" s="40">
        <f t="shared" si="2"/>
        <v>13507.913999999997</v>
      </c>
      <c r="G10" s="32"/>
      <c r="H10" s="42"/>
      <c r="I10" s="43"/>
      <c r="J10" s="219"/>
      <c r="K10" s="44"/>
      <c r="L10" s="45"/>
      <c r="M10" s="8"/>
      <c r="N10" s="8"/>
      <c r="O10" s="38" t="s">
        <v>16</v>
      </c>
      <c r="P10">
        <v>24</v>
      </c>
      <c r="Q10">
        <v>2304.389999999999</v>
      </c>
      <c r="T10" s="16" t="s">
        <v>16</v>
      </c>
      <c r="U10" s="8">
        <f t="shared" si="5"/>
        <v>24</v>
      </c>
      <c r="V10" s="310">
        <f t="shared" si="3"/>
        <v>2304.389999999999</v>
      </c>
      <c r="X10" t="s">
        <v>16</v>
      </c>
      <c r="Y10">
        <v>24</v>
      </c>
      <c r="Z10" t="s">
        <v>16</v>
      </c>
      <c r="AA10">
        <v>2304.389999999999</v>
      </c>
      <c r="AB10" s="19"/>
      <c r="AD10" t="s">
        <v>16</v>
      </c>
      <c r="AE10">
        <v>24</v>
      </c>
      <c r="AF10" t="s">
        <v>16</v>
      </c>
      <c r="AG10">
        <v>2304.389999999999</v>
      </c>
    </row>
    <row r="11" spans="1:33" ht="15" x14ac:dyDescent="0.25">
      <c r="A11" s="38" t="s">
        <v>20</v>
      </c>
      <c r="B11" s="39">
        <f t="shared" si="4"/>
        <v>786</v>
      </c>
      <c r="C11" s="40">
        <f t="shared" si="0"/>
        <v>313761.58999999886</v>
      </c>
      <c r="D11" s="41">
        <v>1</v>
      </c>
      <c r="E11" s="40">
        <f t="shared" si="1"/>
        <v>313761.58999999886</v>
      </c>
      <c r="F11" s="40">
        <f t="shared" si="2"/>
        <v>0</v>
      </c>
      <c r="G11" s="32"/>
      <c r="H11" s="42"/>
      <c r="I11" s="43"/>
      <c r="J11" s="219"/>
      <c r="K11" s="44"/>
      <c r="M11" s="8"/>
      <c r="N11" s="8"/>
      <c r="O11" t="s">
        <v>17</v>
      </c>
      <c r="P11">
        <v>26</v>
      </c>
      <c r="Q11">
        <v>4158.8599999999997</v>
      </c>
      <c r="T11" s="16" t="s">
        <v>17</v>
      </c>
      <c r="U11" s="8">
        <f t="shared" si="5"/>
        <v>26</v>
      </c>
      <c r="V11" s="310">
        <f t="shared" si="3"/>
        <v>4158.8599999999997</v>
      </c>
      <c r="X11" t="s">
        <v>17</v>
      </c>
      <c r="Y11">
        <v>26</v>
      </c>
      <c r="Z11" t="s">
        <v>17</v>
      </c>
      <c r="AA11">
        <v>4158.8599999999997</v>
      </c>
      <c r="AB11" s="19"/>
      <c r="AD11" t="s">
        <v>17</v>
      </c>
      <c r="AE11">
        <v>26</v>
      </c>
      <c r="AF11" t="s">
        <v>17</v>
      </c>
      <c r="AG11">
        <v>4158.8599999999997</v>
      </c>
    </row>
    <row r="12" spans="1:33" ht="15" x14ac:dyDescent="0.25">
      <c r="A12" s="38" t="s">
        <v>21</v>
      </c>
      <c r="B12" s="39">
        <f t="shared" si="4"/>
        <v>90</v>
      </c>
      <c r="C12" s="40">
        <f t="shared" si="0"/>
        <v>42382.580000000009</v>
      </c>
      <c r="D12" s="41">
        <v>0.3</v>
      </c>
      <c r="E12" s="40">
        <f t="shared" si="1"/>
        <v>12714.774000000003</v>
      </c>
      <c r="F12" s="40">
        <f t="shared" si="2"/>
        <v>29667.806000000004</v>
      </c>
      <c r="G12" s="32"/>
      <c r="H12" s="42"/>
      <c r="I12" s="43"/>
      <c r="J12" s="219"/>
      <c r="K12" s="44"/>
      <c r="M12" s="8"/>
      <c r="N12" s="8"/>
      <c r="O12" t="s">
        <v>18</v>
      </c>
      <c r="P12">
        <v>161</v>
      </c>
      <c r="Q12">
        <v>83159.849999999948</v>
      </c>
      <c r="T12" s="16" t="s">
        <v>18</v>
      </c>
      <c r="U12" s="8">
        <f t="shared" si="5"/>
        <v>161</v>
      </c>
      <c r="V12" s="310">
        <f t="shared" si="3"/>
        <v>83159.849999999948</v>
      </c>
      <c r="X12" t="s">
        <v>18</v>
      </c>
      <c r="Y12">
        <v>161</v>
      </c>
      <c r="Z12" t="s">
        <v>18</v>
      </c>
      <c r="AA12">
        <v>83159.849999999948</v>
      </c>
      <c r="AB12" s="19"/>
      <c r="AD12" t="s">
        <v>18</v>
      </c>
      <c r="AE12">
        <v>161</v>
      </c>
      <c r="AF12" t="s">
        <v>18</v>
      </c>
      <c r="AG12">
        <v>83159.849999999948</v>
      </c>
    </row>
    <row r="13" spans="1:33" ht="15" customHeight="1" thickBot="1" x14ac:dyDescent="0.3">
      <c r="A13" s="46" t="s">
        <v>22</v>
      </c>
      <c r="B13" s="47">
        <f>SUM(B6:B12)</f>
        <v>1147</v>
      </c>
      <c r="C13" s="48">
        <f>SUM(C6:C12)</f>
        <v>467183.59999999881</v>
      </c>
      <c r="D13" s="49"/>
      <c r="E13" s="48">
        <f>SUM(E6:E12)</f>
        <v>421096.67799999879</v>
      </c>
      <c r="F13" s="50">
        <f>SUM(F6:F12)</f>
        <v>46086.922000000006</v>
      </c>
      <c r="G13" s="51">
        <v>2724921</v>
      </c>
      <c r="H13" s="52">
        <f>E13/G13</f>
        <v>0.15453537111718058</v>
      </c>
      <c r="I13" s="53"/>
      <c r="J13" s="220">
        <f>(H13/H$3)*G$13</f>
        <v>3332156.321565208</v>
      </c>
      <c r="K13" s="55">
        <f>J13-G13</f>
        <v>607235.32156520803</v>
      </c>
      <c r="M13" s="8"/>
      <c r="N13" s="8"/>
      <c r="O13" t="s">
        <v>19</v>
      </c>
      <c r="P13">
        <v>26</v>
      </c>
      <c r="Q13">
        <v>19297.019999999997</v>
      </c>
      <c r="T13" s="16" t="s">
        <v>19</v>
      </c>
      <c r="U13" s="8">
        <f>Y13</f>
        <v>26</v>
      </c>
      <c r="V13" s="310">
        <f t="shared" si="3"/>
        <v>19297.019999999997</v>
      </c>
      <c r="X13" t="s">
        <v>19</v>
      </c>
      <c r="Y13">
        <v>26</v>
      </c>
      <c r="Z13" t="s">
        <v>19</v>
      </c>
      <c r="AA13">
        <v>19297.019999999997</v>
      </c>
      <c r="AB13" s="19"/>
      <c r="AD13" t="s">
        <v>19</v>
      </c>
      <c r="AE13">
        <v>26</v>
      </c>
      <c r="AF13" t="s">
        <v>19</v>
      </c>
      <c r="AG13">
        <v>19297.019999999997</v>
      </c>
    </row>
    <row r="14" spans="1:33" ht="15" thickBot="1" x14ac:dyDescent="0.35">
      <c r="A14" s="57"/>
      <c r="B14" s="58"/>
      <c r="C14" s="59"/>
      <c r="D14" s="60"/>
      <c r="E14" s="59"/>
      <c r="F14" s="59"/>
      <c r="G14" s="61"/>
      <c r="H14" s="62"/>
      <c r="I14" s="63"/>
      <c r="J14" s="349"/>
      <c r="K14" s="338"/>
      <c r="M14" s="8"/>
      <c r="N14" s="8"/>
      <c r="O14" t="s">
        <v>20</v>
      </c>
      <c r="P14">
        <v>786</v>
      </c>
      <c r="Q14">
        <v>313761.58999999886</v>
      </c>
      <c r="T14" s="16" t="s">
        <v>20</v>
      </c>
      <c r="U14" s="8">
        <f t="shared" si="5"/>
        <v>786</v>
      </c>
      <c r="V14" s="310">
        <f t="shared" si="3"/>
        <v>313761.58999999886</v>
      </c>
      <c r="X14" t="s">
        <v>20</v>
      </c>
      <c r="Y14">
        <v>786</v>
      </c>
      <c r="Z14" t="s">
        <v>20</v>
      </c>
      <c r="AA14">
        <v>313761.58999999886</v>
      </c>
      <c r="AB14" s="19"/>
      <c r="AD14" t="s">
        <v>20</v>
      </c>
      <c r="AE14">
        <v>786</v>
      </c>
      <c r="AF14" t="s">
        <v>20</v>
      </c>
      <c r="AG14">
        <v>313761.58999999886</v>
      </c>
    </row>
    <row r="15" spans="1:33" x14ac:dyDescent="0.3">
      <c r="A15" s="65" t="s">
        <v>23</v>
      </c>
      <c r="B15" s="66">
        <f>P7</f>
        <v>19</v>
      </c>
      <c r="C15" s="67">
        <f t="shared" ref="C15:C16" si="6">Q7</f>
        <v>10883.58</v>
      </c>
      <c r="D15" s="68">
        <v>1</v>
      </c>
      <c r="E15" s="67">
        <f>C15*D15</f>
        <v>10883.58</v>
      </c>
      <c r="F15" s="67">
        <v>0</v>
      </c>
      <c r="G15" s="69"/>
      <c r="H15" s="70"/>
      <c r="I15" s="71"/>
      <c r="J15" s="339"/>
      <c r="K15" s="340"/>
      <c r="M15" s="8"/>
      <c r="N15" s="8"/>
      <c r="O15" t="s">
        <v>21</v>
      </c>
      <c r="P15">
        <v>90</v>
      </c>
      <c r="Q15">
        <v>42382.580000000009</v>
      </c>
      <c r="T15" s="16" t="s">
        <v>21</v>
      </c>
      <c r="U15" s="8">
        <f t="shared" si="5"/>
        <v>90</v>
      </c>
      <c r="V15" s="310">
        <f t="shared" si="3"/>
        <v>42382.580000000009</v>
      </c>
      <c r="X15" t="s">
        <v>21</v>
      </c>
      <c r="Y15">
        <v>90</v>
      </c>
      <c r="Z15" t="s">
        <v>21</v>
      </c>
      <c r="AA15">
        <v>42382.580000000009</v>
      </c>
      <c r="AB15" s="19"/>
      <c r="AD15" t="s">
        <v>21</v>
      </c>
      <c r="AE15">
        <v>90</v>
      </c>
      <c r="AF15" t="s">
        <v>21</v>
      </c>
      <c r="AG15">
        <v>42382.580000000009</v>
      </c>
    </row>
    <row r="16" spans="1:33" x14ac:dyDescent="0.3">
      <c r="A16" s="72" t="s">
        <v>25</v>
      </c>
      <c r="B16" s="39">
        <f t="shared" ref="B16" si="7">P8</f>
        <v>1</v>
      </c>
      <c r="C16" s="40">
        <f t="shared" si="6"/>
        <v>2018.3200000000002</v>
      </c>
      <c r="D16" s="73">
        <v>0.3</v>
      </c>
      <c r="E16" s="40">
        <f>C16*D16</f>
        <v>605.49599999999998</v>
      </c>
      <c r="F16" s="40">
        <f>C16-E16</f>
        <v>1412.8240000000001</v>
      </c>
      <c r="G16" s="69"/>
      <c r="H16" s="70"/>
      <c r="I16" s="71"/>
      <c r="J16" s="341"/>
      <c r="K16" s="342"/>
      <c r="M16" s="8"/>
      <c r="N16" s="8"/>
      <c r="O16" s="16" t="s">
        <v>80</v>
      </c>
      <c r="P16">
        <v>39</v>
      </c>
      <c r="Q16">
        <v>33354.709999999992</v>
      </c>
      <c r="T16" s="16" t="s">
        <v>80</v>
      </c>
      <c r="U16" s="8">
        <f t="shared" si="5"/>
        <v>39</v>
      </c>
      <c r="V16" s="310">
        <f t="shared" si="3"/>
        <v>33354.709999999992</v>
      </c>
      <c r="X16" t="s">
        <v>80</v>
      </c>
      <c r="Y16">
        <v>39</v>
      </c>
      <c r="Z16" t="s">
        <v>80</v>
      </c>
      <c r="AA16">
        <v>33354.709999999992</v>
      </c>
      <c r="AB16" s="19"/>
      <c r="AD16" t="s">
        <v>80</v>
      </c>
      <c r="AE16">
        <v>39</v>
      </c>
      <c r="AF16" t="s">
        <v>80</v>
      </c>
      <c r="AG16">
        <v>33354.709999999992</v>
      </c>
    </row>
    <row r="17" spans="1:33" ht="15" customHeight="1" thickBot="1" x14ac:dyDescent="0.3">
      <c r="A17" s="74" t="s">
        <v>26</v>
      </c>
      <c r="B17" s="75">
        <f>SUM(B15:B16)</f>
        <v>20</v>
      </c>
      <c r="C17" s="76">
        <f>SUM(C15:C16)</f>
        <v>12901.9</v>
      </c>
      <c r="D17" s="77"/>
      <c r="E17" s="76">
        <f>SUM(E15:E16)</f>
        <v>11489.075999999999</v>
      </c>
      <c r="F17" s="76">
        <f>F16</f>
        <v>1412.8240000000001</v>
      </c>
      <c r="G17" s="78">
        <v>100000</v>
      </c>
      <c r="H17" s="79">
        <f>E17/G17</f>
        <v>0.11489075999999999</v>
      </c>
      <c r="I17" s="80"/>
      <c r="J17" s="221">
        <f>(H17/H$3)*G$13</f>
        <v>2477322.6314196833</v>
      </c>
      <c r="K17" s="81">
        <f>J17-G17</f>
        <v>2377322.6314196833</v>
      </c>
      <c r="M17" s="8"/>
      <c r="N17" s="8"/>
      <c r="O17" t="s">
        <v>72</v>
      </c>
      <c r="P17">
        <v>197</v>
      </c>
      <c r="Q17">
        <v>86910.999999999898</v>
      </c>
      <c r="T17" s="16" t="s">
        <v>72</v>
      </c>
      <c r="U17" s="8">
        <f t="shared" si="5"/>
        <v>197</v>
      </c>
      <c r="V17" s="310">
        <f t="shared" si="3"/>
        <v>86910.999999999898</v>
      </c>
      <c r="X17" t="s">
        <v>72</v>
      </c>
      <c r="Y17">
        <v>197</v>
      </c>
      <c r="Z17" t="s">
        <v>72</v>
      </c>
      <c r="AA17">
        <v>86910.999999999898</v>
      </c>
      <c r="AB17" s="19"/>
      <c r="AD17" t="s">
        <v>72</v>
      </c>
      <c r="AE17">
        <v>197</v>
      </c>
      <c r="AF17" t="s">
        <v>72</v>
      </c>
      <c r="AG17">
        <v>86910.999999999898</v>
      </c>
    </row>
    <row r="18" spans="1:33" ht="15" thickBot="1" x14ac:dyDescent="0.35">
      <c r="A18" s="57"/>
      <c r="B18" s="82"/>
      <c r="C18" s="61"/>
      <c r="D18" s="83"/>
      <c r="E18" s="61"/>
      <c r="F18" s="61"/>
      <c r="G18" s="61"/>
      <c r="H18" s="62"/>
      <c r="I18" s="63"/>
      <c r="J18" s="349"/>
      <c r="K18" s="338"/>
      <c r="M18" s="8"/>
      <c r="N18" s="8"/>
      <c r="O18" t="s">
        <v>31</v>
      </c>
      <c r="P18">
        <v>70</v>
      </c>
      <c r="Q18">
        <v>32120.859999999997</v>
      </c>
      <c r="T18" s="16" t="s">
        <v>31</v>
      </c>
      <c r="U18" s="8">
        <f t="shared" si="5"/>
        <v>70</v>
      </c>
      <c r="V18" s="310">
        <f t="shared" si="3"/>
        <v>32120.859999999997</v>
      </c>
      <c r="X18" t="s">
        <v>31</v>
      </c>
      <c r="Y18">
        <v>70</v>
      </c>
      <c r="Z18" t="s">
        <v>31</v>
      </c>
      <c r="AA18">
        <v>32120.859999999997</v>
      </c>
      <c r="AB18" s="19"/>
      <c r="AD18" t="s">
        <v>31</v>
      </c>
      <c r="AE18">
        <v>70</v>
      </c>
      <c r="AF18" t="s">
        <v>31</v>
      </c>
      <c r="AG18">
        <v>32120.859999999997</v>
      </c>
    </row>
    <row r="19" spans="1:33" x14ac:dyDescent="0.3">
      <c r="A19" s="65" t="s">
        <v>27</v>
      </c>
      <c r="B19" s="66"/>
      <c r="C19" s="67"/>
      <c r="D19" s="68">
        <v>1</v>
      </c>
      <c r="E19" s="67">
        <f>C19*D19</f>
        <v>0</v>
      </c>
      <c r="F19" s="67">
        <v>0</v>
      </c>
      <c r="G19" s="69"/>
      <c r="H19" s="70"/>
      <c r="I19" s="71"/>
      <c r="J19" s="339"/>
      <c r="K19" s="340"/>
      <c r="M19" s="8"/>
      <c r="N19" s="8"/>
      <c r="O19" t="s">
        <v>73</v>
      </c>
      <c r="P19">
        <v>121</v>
      </c>
      <c r="Q19">
        <v>75441.359999999971</v>
      </c>
      <c r="T19" s="16" t="s">
        <v>73</v>
      </c>
      <c r="U19" s="8">
        <f t="shared" si="5"/>
        <v>121</v>
      </c>
      <c r="V19" s="310">
        <f t="shared" si="3"/>
        <v>75441.359999999971</v>
      </c>
      <c r="X19" t="s">
        <v>73</v>
      </c>
      <c r="Y19">
        <v>121</v>
      </c>
      <c r="Z19" t="s">
        <v>73</v>
      </c>
      <c r="AA19">
        <v>75441.359999999971</v>
      </c>
      <c r="AB19" s="19"/>
      <c r="AD19" t="s">
        <v>73</v>
      </c>
      <c r="AE19">
        <v>121</v>
      </c>
      <c r="AF19" t="s">
        <v>73</v>
      </c>
      <c r="AG19">
        <v>75441.359999999971</v>
      </c>
    </row>
    <row r="20" spans="1:33" x14ac:dyDescent="0.3">
      <c r="A20" s="72" t="s">
        <v>28</v>
      </c>
      <c r="B20" s="39">
        <f>P6</f>
        <v>1</v>
      </c>
      <c r="C20" s="40">
        <f>Q6</f>
        <v>12461.010000000011</v>
      </c>
      <c r="D20" s="73">
        <v>0.3</v>
      </c>
      <c r="E20" s="40">
        <f>C20*D20</f>
        <v>3738.3030000000031</v>
      </c>
      <c r="F20" s="40">
        <f>C20-E20</f>
        <v>8722.7070000000076</v>
      </c>
      <c r="G20" s="69"/>
      <c r="H20" s="70"/>
      <c r="I20" s="71"/>
      <c r="J20" s="341"/>
      <c r="K20" s="342"/>
      <c r="M20" s="8"/>
      <c r="N20" s="8"/>
      <c r="O20" t="s">
        <v>74</v>
      </c>
      <c r="P20">
        <v>21</v>
      </c>
      <c r="Q20">
        <v>12424.920000000002</v>
      </c>
      <c r="T20" s="16" t="s">
        <v>74</v>
      </c>
      <c r="U20" s="8">
        <f t="shared" si="5"/>
        <v>21</v>
      </c>
      <c r="V20" s="310">
        <f t="shared" si="3"/>
        <v>12424.920000000002</v>
      </c>
      <c r="X20" t="s">
        <v>74</v>
      </c>
      <c r="Y20">
        <v>21</v>
      </c>
      <c r="Z20" t="s">
        <v>74</v>
      </c>
      <c r="AA20">
        <v>12424.920000000002</v>
      </c>
      <c r="AB20" s="19"/>
      <c r="AD20" t="s">
        <v>74</v>
      </c>
      <c r="AE20">
        <v>21</v>
      </c>
      <c r="AF20" t="s">
        <v>74</v>
      </c>
      <c r="AG20">
        <v>12424.920000000002</v>
      </c>
    </row>
    <row r="21" spans="1:33" ht="15" customHeight="1" thickBot="1" x14ac:dyDescent="0.3">
      <c r="A21" s="74" t="s">
        <v>29</v>
      </c>
      <c r="B21" s="75">
        <f>SUM(B19:B20)</f>
        <v>1</v>
      </c>
      <c r="C21" s="76">
        <f>SUM(C19:C20)</f>
        <v>12461.010000000011</v>
      </c>
      <c r="D21" s="77"/>
      <c r="E21" s="76">
        <f>SUM(E19:E20)</f>
        <v>3738.3030000000031</v>
      </c>
      <c r="F21" s="76">
        <f>F20</f>
        <v>8722.7070000000076</v>
      </c>
      <c r="G21" s="78">
        <v>100000</v>
      </c>
      <c r="H21" s="79">
        <f>E21/G21</f>
        <v>3.7383030000000032E-2</v>
      </c>
      <c r="I21" s="80"/>
      <c r="J21" s="221">
        <v>1210.4083079629038</v>
      </c>
      <c r="K21" s="81">
        <v>-399744.59169203712</v>
      </c>
      <c r="M21" s="8"/>
      <c r="N21" s="8"/>
      <c r="O21" t="s">
        <v>38</v>
      </c>
      <c r="P21">
        <v>361</v>
      </c>
      <c r="Q21">
        <v>108110.97999999988</v>
      </c>
      <c r="T21" s="16" t="s">
        <v>38</v>
      </c>
      <c r="U21" s="8">
        <f t="shared" si="5"/>
        <v>361</v>
      </c>
      <c r="V21" s="310">
        <f t="shared" si="3"/>
        <v>108110.97999999988</v>
      </c>
      <c r="X21" t="s">
        <v>38</v>
      </c>
      <c r="Y21">
        <v>361</v>
      </c>
      <c r="Z21" t="s">
        <v>38</v>
      </c>
      <c r="AA21">
        <v>108110.97999999988</v>
      </c>
      <c r="AB21" s="19"/>
      <c r="AD21" t="s">
        <v>38</v>
      </c>
      <c r="AE21">
        <v>361</v>
      </c>
      <c r="AF21" t="s">
        <v>38</v>
      </c>
      <c r="AG21">
        <v>108110.97999999988</v>
      </c>
    </row>
    <row r="22" spans="1:33" ht="15" thickBot="1" x14ac:dyDescent="0.35">
      <c r="A22" s="57"/>
      <c r="B22" s="82"/>
      <c r="C22" s="61"/>
      <c r="D22" s="83"/>
      <c r="E22" s="61"/>
      <c r="F22" s="61"/>
      <c r="G22" s="61"/>
      <c r="H22" s="62"/>
      <c r="I22" s="63"/>
      <c r="J22" s="349"/>
      <c r="K22" s="338"/>
      <c r="M22" s="8"/>
      <c r="N22" s="8"/>
      <c r="O22" t="s">
        <v>40</v>
      </c>
      <c r="P22">
        <v>46</v>
      </c>
      <c r="Q22">
        <v>40703.10000000002</v>
      </c>
      <c r="T22" s="16" t="s">
        <v>40</v>
      </c>
      <c r="U22" s="8">
        <f t="shared" si="5"/>
        <v>46</v>
      </c>
      <c r="V22" s="310">
        <f t="shared" si="3"/>
        <v>40703.10000000002</v>
      </c>
      <c r="X22" t="s">
        <v>40</v>
      </c>
      <c r="Y22">
        <v>46</v>
      </c>
      <c r="Z22" t="s">
        <v>40</v>
      </c>
      <c r="AA22">
        <v>40703.10000000002</v>
      </c>
      <c r="AB22" s="19"/>
      <c r="AD22" t="s">
        <v>40</v>
      </c>
      <c r="AE22">
        <v>46</v>
      </c>
      <c r="AF22" t="s">
        <v>40</v>
      </c>
      <c r="AG22">
        <v>40703.10000000002</v>
      </c>
    </row>
    <row r="23" spans="1:33" x14ac:dyDescent="0.3">
      <c r="A23" s="84" t="s">
        <v>30</v>
      </c>
      <c r="B23" s="85">
        <f>P17</f>
        <v>197</v>
      </c>
      <c r="C23" s="86">
        <f t="shared" ref="C23:C24" si="8">Q17</f>
        <v>86910.999999999898</v>
      </c>
      <c r="D23" s="87">
        <v>1</v>
      </c>
      <c r="E23" s="86">
        <f>C23*D23</f>
        <v>86910.999999999898</v>
      </c>
      <c r="F23" s="88"/>
      <c r="G23" s="89"/>
      <c r="H23" s="90"/>
      <c r="I23" s="91"/>
      <c r="J23" s="339"/>
      <c r="K23" s="340"/>
      <c r="M23" s="8"/>
      <c r="N23" s="8"/>
      <c r="O23" t="s">
        <v>58</v>
      </c>
      <c r="P23">
        <v>854</v>
      </c>
      <c r="Q23">
        <v>344394.61999999901</v>
      </c>
      <c r="T23" s="16" t="s">
        <v>58</v>
      </c>
      <c r="U23" s="8">
        <f t="shared" si="5"/>
        <v>854</v>
      </c>
      <c r="V23" s="310">
        <f t="shared" si="3"/>
        <v>344394.61999999901</v>
      </c>
      <c r="X23" t="s">
        <v>58</v>
      </c>
      <c r="Y23">
        <v>854</v>
      </c>
      <c r="Z23" t="s">
        <v>58</v>
      </c>
      <c r="AA23">
        <v>344394.61999999901</v>
      </c>
      <c r="AB23" s="19"/>
      <c r="AD23" t="s">
        <v>58</v>
      </c>
      <c r="AE23">
        <v>854</v>
      </c>
      <c r="AF23" t="s">
        <v>58</v>
      </c>
      <c r="AG23">
        <v>344394.61999999901</v>
      </c>
    </row>
    <row r="24" spans="1:33" x14ac:dyDescent="0.3">
      <c r="A24" s="84" t="s">
        <v>32</v>
      </c>
      <c r="B24" s="85">
        <f t="shared" ref="B24" si="9">P18</f>
        <v>70</v>
      </c>
      <c r="C24" s="93">
        <f t="shared" si="8"/>
        <v>32120.859999999997</v>
      </c>
      <c r="D24" s="94">
        <v>0.3</v>
      </c>
      <c r="E24" s="93">
        <f>C24*D24</f>
        <v>9636.257999999998</v>
      </c>
      <c r="F24" s="95">
        <f>C24-E24</f>
        <v>22484.601999999999</v>
      </c>
      <c r="G24" s="96"/>
      <c r="H24" s="97"/>
      <c r="I24" s="91"/>
      <c r="J24" s="341"/>
      <c r="K24" s="342"/>
      <c r="M24" s="8"/>
      <c r="N24" s="8"/>
      <c r="O24" t="s">
        <v>43</v>
      </c>
      <c r="P24">
        <v>118</v>
      </c>
      <c r="Q24">
        <v>119505.88999999998</v>
      </c>
      <c r="T24" s="16" t="s">
        <v>43</v>
      </c>
      <c r="U24" s="8">
        <f t="shared" si="5"/>
        <v>118</v>
      </c>
      <c r="V24" s="310">
        <f t="shared" si="3"/>
        <v>119505.88999999998</v>
      </c>
      <c r="X24" t="s">
        <v>43</v>
      </c>
      <c r="Y24">
        <v>118</v>
      </c>
      <c r="Z24" t="s">
        <v>43</v>
      </c>
      <c r="AA24">
        <v>119505.88999999998</v>
      </c>
      <c r="AB24" s="19"/>
      <c r="AD24" t="s">
        <v>43</v>
      </c>
      <c r="AE24">
        <v>118</v>
      </c>
      <c r="AF24" t="s">
        <v>43</v>
      </c>
      <c r="AG24">
        <v>119505.88999999998</v>
      </c>
    </row>
    <row r="25" spans="1:33" ht="15" customHeight="1" thickBot="1" x14ac:dyDescent="0.3">
      <c r="A25" s="74" t="s">
        <v>33</v>
      </c>
      <c r="B25" s="75">
        <f>SUM(B23:B24)</f>
        <v>267</v>
      </c>
      <c r="C25" s="76">
        <f>SUM(C23:C24)</f>
        <v>119031.8599999999</v>
      </c>
      <c r="D25" s="77"/>
      <c r="E25" s="76">
        <f>SUM(E23:E24)</f>
        <v>96547.2579999999</v>
      </c>
      <c r="F25" s="76">
        <f>F24</f>
        <v>22484.601999999999</v>
      </c>
      <c r="G25" s="78">
        <v>750000</v>
      </c>
      <c r="H25" s="79">
        <f>E25/G25</f>
        <v>0.12872967733333321</v>
      </c>
      <c r="I25" s="80"/>
      <c r="J25" s="221">
        <f>(H25/H$3)*G$13</f>
        <v>2775723.1564419963</v>
      </c>
      <c r="K25" s="81">
        <f>J25-G25</f>
        <v>2025723.1564419963</v>
      </c>
      <c r="M25" s="8"/>
      <c r="N25" s="8"/>
      <c r="O25" t="s">
        <v>45</v>
      </c>
      <c r="P25">
        <v>140</v>
      </c>
      <c r="Q25">
        <v>153398.40999999997</v>
      </c>
      <c r="T25" s="16" t="s">
        <v>45</v>
      </c>
      <c r="U25" s="8">
        <f t="shared" si="5"/>
        <v>140</v>
      </c>
      <c r="V25" s="310">
        <f t="shared" si="3"/>
        <v>153398.40999999997</v>
      </c>
      <c r="X25" t="s">
        <v>45</v>
      </c>
      <c r="Y25">
        <v>140</v>
      </c>
      <c r="Z25" t="s">
        <v>45</v>
      </c>
      <c r="AA25">
        <v>153398.40999999997</v>
      </c>
      <c r="AB25" s="19"/>
      <c r="AD25" t="s">
        <v>45</v>
      </c>
      <c r="AE25">
        <v>140</v>
      </c>
      <c r="AF25" t="s">
        <v>45</v>
      </c>
      <c r="AG25">
        <v>153398.40999999997</v>
      </c>
    </row>
    <row r="26" spans="1:33" ht="15" thickBot="1" x14ac:dyDescent="0.35">
      <c r="A26" s="57"/>
      <c r="B26" s="82"/>
      <c r="C26" s="61"/>
      <c r="D26" s="83"/>
      <c r="E26" s="61"/>
      <c r="F26" s="61"/>
      <c r="G26" s="61"/>
      <c r="H26" s="62"/>
      <c r="I26" s="63"/>
      <c r="J26" s="337"/>
      <c r="K26" s="350"/>
      <c r="M26" s="8"/>
      <c r="N26" s="8"/>
      <c r="O26" t="s">
        <v>48</v>
      </c>
      <c r="P26">
        <v>65</v>
      </c>
      <c r="Q26">
        <v>49161.919999999998</v>
      </c>
      <c r="T26" s="16" t="s">
        <v>48</v>
      </c>
      <c r="U26" s="8">
        <f t="shared" si="5"/>
        <v>65</v>
      </c>
      <c r="V26" s="310">
        <f t="shared" si="3"/>
        <v>49161.919999999998</v>
      </c>
      <c r="X26" t="s">
        <v>48</v>
      </c>
      <c r="Y26">
        <v>65</v>
      </c>
      <c r="Z26" t="s">
        <v>48</v>
      </c>
      <c r="AA26">
        <v>49161.919999999998</v>
      </c>
      <c r="AB26" s="19"/>
      <c r="AD26" t="s">
        <v>48</v>
      </c>
      <c r="AE26">
        <v>65</v>
      </c>
      <c r="AF26" t="s">
        <v>48</v>
      </c>
      <c r="AG26">
        <v>49161.919999999998</v>
      </c>
    </row>
    <row r="27" spans="1:33" x14ac:dyDescent="0.3">
      <c r="A27" s="65" t="s">
        <v>34</v>
      </c>
      <c r="B27" s="98">
        <f>P19</f>
        <v>121</v>
      </c>
      <c r="C27" s="99">
        <f t="shared" ref="C27:C28" si="10">Q19</f>
        <v>75441.359999999971</v>
      </c>
      <c r="D27" s="100">
        <v>1</v>
      </c>
      <c r="E27" s="101">
        <f>C27*D27</f>
        <v>75441.359999999971</v>
      </c>
      <c r="F27" s="101">
        <v>0</v>
      </c>
      <c r="G27" s="69"/>
      <c r="H27" s="70"/>
      <c r="I27" s="71"/>
      <c r="J27" s="351"/>
      <c r="K27" s="352"/>
      <c r="M27" s="8"/>
      <c r="N27" s="8"/>
      <c r="O27" t="s">
        <v>50</v>
      </c>
      <c r="P27">
        <v>23</v>
      </c>
      <c r="Q27">
        <v>10941.78</v>
      </c>
      <c r="T27" s="16" t="s">
        <v>50</v>
      </c>
      <c r="U27" s="8">
        <f t="shared" si="5"/>
        <v>23</v>
      </c>
      <c r="V27" s="310">
        <f t="shared" si="3"/>
        <v>10941.78</v>
      </c>
      <c r="X27" t="s">
        <v>50</v>
      </c>
      <c r="Y27">
        <v>23</v>
      </c>
      <c r="Z27" t="s">
        <v>50</v>
      </c>
      <c r="AA27">
        <v>10941.78</v>
      </c>
      <c r="AB27" s="19"/>
      <c r="AD27" t="s">
        <v>50</v>
      </c>
      <c r="AE27">
        <v>23</v>
      </c>
      <c r="AF27" t="s">
        <v>50</v>
      </c>
      <c r="AG27">
        <v>10941.78</v>
      </c>
    </row>
    <row r="28" spans="1:33" x14ac:dyDescent="0.3">
      <c r="A28" s="72" t="s">
        <v>35</v>
      </c>
      <c r="B28" s="102">
        <f t="shared" ref="B28" si="11">P20</f>
        <v>21</v>
      </c>
      <c r="C28" s="103">
        <f t="shared" si="10"/>
        <v>12424.920000000002</v>
      </c>
      <c r="D28" s="104">
        <v>0.3</v>
      </c>
      <c r="E28" s="105">
        <f>C28*D28</f>
        <v>3727.4760000000006</v>
      </c>
      <c r="F28" s="105">
        <f>C28-E28</f>
        <v>8697.4440000000013</v>
      </c>
      <c r="G28" s="69"/>
      <c r="H28" s="70"/>
      <c r="I28" s="71"/>
      <c r="J28" s="353"/>
      <c r="K28" s="354"/>
      <c r="M28" s="8"/>
      <c r="N28" s="8"/>
      <c r="O28" t="s">
        <v>60</v>
      </c>
      <c r="P28">
        <v>723</v>
      </c>
      <c r="Q28">
        <v>9567.0100000000457</v>
      </c>
      <c r="T28" s="16" t="s">
        <v>60</v>
      </c>
      <c r="U28" s="8">
        <f t="shared" si="5"/>
        <v>723</v>
      </c>
      <c r="V28" s="310">
        <f t="shared" si="3"/>
        <v>9567.0100000000457</v>
      </c>
      <c r="X28" t="s">
        <v>60</v>
      </c>
      <c r="Y28">
        <v>723</v>
      </c>
      <c r="Z28" t="s">
        <v>60</v>
      </c>
      <c r="AA28">
        <v>9567.0100000000457</v>
      </c>
      <c r="AB28" s="19"/>
      <c r="AD28" t="s">
        <v>60</v>
      </c>
      <c r="AE28">
        <v>723</v>
      </c>
      <c r="AF28" t="s">
        <v>60</v>
      </c>
      <c r="AG28">
        <v>9567.0100000000457</v>
      </c>
    </row>
    <row r="29" spans="1:33" ht="15" customHeight="1" thickBot="1" x14ac:dyDescent="0.3">
      <c r="A29" s="74" t="s">
        <v>36</v>
      </c>
      <c r="B29" s="75">
        <f>SUM(B27:B28)</f>
        <v>142</v>
      </c>
      <c r="C29" s="76">
        <f>SUM(C27:C28)</f>
        <v>87866.27999999997</v>
      </c>
      <c r="D29" s="77"/>
      <c r="E29" s="76">
        <f>SUM(E27:E28)</f>
        <v>79168.835999999967</v>
      </c>
      <c r="F29" s="76">
        <f>F28</f>
        <v>8697.4440000000013</v>
      </c>
      <c r="G29" s="78">
        <v>429000</v>
      </c>
      <c r="H29" s="79">
        <f>E29/G29</f>
        <v>0.18454274125874118</v>
      </c>
      <c r="I29" s="80"/>
      <c r="J29" s="221">
        <f>(H29/H$3)*G$13</f>
        <v>3979187.7900756029</v>
      </c>
      <c r="K29" s="81">
        <f>J29-G29</f>
        <v>3550187.7900756029</v>
      </c>
      <c r="M29" s="8"/>
      <c r="N29" s="8"/>
      <c r="O29" t="s">
        <v>53</v>
      </c>
      <c r="P29">
        <v>39</v>
      </c>
      <c r="Q29">
        <v>32156.909999999996</v>
      </c>
      <c r="T29" s="16" t="s">
        <v>53</v>
      </c>
      <c r="U29" s="8">
        <f t="shared" si="5"/>
        <v>39</v>
      </c>
      <c r="V29" s="310">
        <f t="shared" si="3"/>
        <v>32156.909999999996</v>
      </c>
      <c r="X29" t="s">
        <v>53</v>
      </c>
      <c r="Y29">
        <v>39</v>
      </c>
      <c r="Z29" t="s">
        <v>53</v>
      </c>
      <c r="AA29">
        <v>32156.909999999996</v>
      </c>
      <c r="AB29" s="19"/>
      <c r="AD29" t="s">
        <v>53</v>
      </c>
      <c r="AE29">
        <v>39</v>
      </c>
      <c r="AF29" t="s">
        <v>53</v>
      </c>
      <c r="AG29">
        <v>32156.909999999996</v>
      </c>
    </row>
    <row r="30" spans="1:33" ht="15" thickBot="1" x14ac:dyDescent="0.35">
      <c r="A30" s="57"/>
      <c r="B30" s="82"/>
      <c r="C30" s="61"/>
      <c r="D30" s="83"/>
      <c r="E30" s="61"/>
      <c r="F30" s="61"/>
      <c r="G30" s="61"/>
      <c r="H30" s="62"/>
      <c r="I30" s="63"/>
      <c r="J30" s="355"/>
      <c r="K30" s="338"/>
      <c r="M30" s="8"/>
      <c r="N30" s="8"/>
      <c r="O30" t="s">
        <v>55</v>
      </c>
      <c r="P30">
        <v>23</v>
      </c>
      <c r="Q30">
        <v>29365.929999999993</v>
      </c>
      <c r="T30" s="16" t="s">
        <v>55</v>
      </c>
      <c r="U30" s="8">
        <f t="shared" si="5"/>
        <v>23</v>
      </c>
      <c r="V30" s="310">
        <f t="shared" si="3"/>
        <v>29365.929999999993</v>
      </c>
      <c r="X30" t="s">
        <v>55</v>
      </c>
      <c r="Y30">
        <v>23</v>
      </c>
      <c r="Z30" t="s">
        <v>55</v>
      </c>
      <c r="AA30">
        <v>29365.929999999993</v>
      </c>
      <c r="AB30" s="19"/>
      <c r="AD30" t="s">
        <v>55</v>
      </c>
      <c r="AE30">
        <v>23</v>
      </c>
      <c r="AF30" t="s">
        <v>55</v>
      </c>
      <c r="AG30">
        <v>29365.929999999993</v>
      </c>
    </row>
    <row r="31" spans="1:33" ht="15" thickBot="1" x14ac:dyDescent="0.35">
      <c r="A31" s="106" t="s">
        <v>37</v>
      </c>
      <c r="B31" s="107">
        <f>P21</f>
        <v>361</v>
      </c>
      <c r="C31" s="108">
        <f t="shared" ref="C31:C32" si="12">Q21</f>
        <v>108110.97999999988</v>
      </c>
      <c r="D31" s="109">
        <v>1</v>
      </c>
      <c r="E31" s="110">
        <f>C31*D31</f>
        <v>108110.97999999988</v>
      </c>
      <c r="F31" s="111"/>
      <c r="G31" s="358"/>
      <c r="H31" s="360"/>
      <c r="I31" s="112"/>
      <c r="J31" s="339"/>
      <c r="K31" s="340"/>
      <c r="M31" s="8"/>
      <c r="N31" s="8"/>
      <c r="O31" t="s">
        <v>61</v>
      </c>
      <c r="P31">
        <v>4008</v>
      </c>
      <c r="Q31">
        <v>1630105.9099999971</v>
      </c>
      <c r="T31" s="230" t="s">
        <v>61</v>
      </c>
      <c r="U31" s="8">
        <f t="shared" si="5"/>
        <v>4008</v>
      </c>
      <c r="V31" s="310">
        <f t="shared" si="3"/>
        <v>1630105.9099999971</v>
      </c>
      <c r="X31" t="s">
        <v>61</v>
      </c>
      <c r="Y31">
        <v>4008</v>
      </c>
      <c r="Z31" t="s">
        <v>61</v>
      </c>
      <c r="AA31">
        <v>1630105.9099999971</v>
      </c>
      <c r="AB31" s="231"/>
      <c r="AD31" t="s">
        <v>61</v>
      </c>
      <c r="AE31">
        <v>4008</v>
      </c>
      <c r="AF31" t="s">
        <v>61</v>
      </c>
      <c r="AG31">
        <v>1630105.9099999971</v>
      </c>
    </row>
    <row r="32" spans="1:33" x14ac:dyDescent="0.3">
      <c r="A32" s="114" t="s">
        <v>39</v>
      </c>
      <c r="B32" s="115">
        <f t="shared" ref="B32" si="13">P22</f>
        <v>46</v>
      </c>
      <c r="C32" s="64">
        <f t="shared" si="12"/>
        <v>40703.10000000002</v>
      </c>
      <c r="D32" s="116">
        <v>0.3</v>
      </c>
      <c r="E32" s="117">
        <f>C32*D32</f>
        <v>12210.930000000006</v>
      </c>
      <c r="F32" s="118">
        <f>C32-E32</f>
        <v>28492.170000000013</v>
      </c>
      <c r="G32" s="359"/>
      <c r="H32" s="361"/>
      <c r="I32" s="112"/>
      <c r="J32" s="341"/>
      <c r="K32" s="342"/>
      <c r="M32" s="8"/>
      <c r="N32" s="8"/>
      <c r="O32" s="9"/>
      <c r="P32" s="9"/>
    </row>
    <row r="33" spans="1:17" ht="15" customHeight="1" thickBot="1" x14ac:dyDescent="0.3">
      <c r="A33" s="119" t="s">
        <v>41</v>
      </c>
      <c r="B33" s="120">
        <f>SUM(B31:B32)</f>
        <v>407</v>
      </c>
      <c r="C33" s="78">
        <f>SUM(C31:C32)</f>
        <v>148814.0799999999</v>
      </c>
      <c r="D33" s="121"/>
      <c r="E33" s="78">
        <f>SUM(E31:E32)</f>
        <v>120321.90999999989</v>
      </c>
      <c r="F33" s="78">
        <f>F32</f>
        <v>28492.170000000013</v>
      </c>
      <c r="G33" s="78">
        <v>1000000</v>
      </c>
      <c r="H33" s="79">
        <f>E33/G33</f>
        <v>0.12032190999999989</v>
      </c>
      <c r="I33" s="80"/>
      <c r="J33" s="221">
        <f>(H33/H$3)*G$13</f>
        <v>2594431.359829477</v>
      </c>
      <c r="K33" s="81">
        <f>J33-G33</f>
        <v>1594431.359829477</v>
      </c>
      <c r="M33" s="8"/>
      <c r="N33" s="8"/>
      <c r="O33" s="9"/>
      <c r="P33" s="9"/>
    </row>
    <row r="34" spans="1:17" ht="15" thickBot="1" x14ac:dyDescent="0.35">
      <c r="A34" s="57"/>
      <c r="B34" s="82"/>
      <c r="C34" s="61"/>
      <c r="D34" s="83"/>
      <c r="E34" s="61"/>
      <c r="F34" s="61"/>
      <c r="G34" s="61"/>
      <c r="H34" s="62"/>
      <c r="I34" s="63"/>
      <c r="J34" s="337"/>
      <c r="K34" s="350"/>
      <c r="M34" s="8"/>
      <c r="N34" s="8"/>
      <c r="O34" s="9"/>
      <c r="P34" s="9"/>
    </row>
    <row r="35" spans="1:17" x14ac:dyDescent="0.3">
      <c r="A35" s="122" t="s">
        <v>42</v>
      </c>
      <c r="B35" s="123">
        <f>P24</f>
        <v>118</v>
      </c>
      <c r="C35" s="124">
        <f t="shared" ref="C35:C36" si="14">Q24</f>
        <v>119505.88999999998</v>
      </c>
      <c r="D35" s="125">
        <v>1</v>
      </c>
      <c r="E35" s="124">
        <f>C35*D35</f>
        <v>119505.88999999998</v>
      </c>
      <c r="F35" s="126"/>
      <c r="G35" s="362"/>
      <c r="H35" s="364"/>
      <c r="I35" s="127"/>
      <c r="J35" s="351"/>
      <c r="K35" s="352"/>
      <c r="M35" s="8"/>
      <c r="N35" s="8"/>
      <c r="O35" s="9"/>
      <c r="P35"/>
      <c r="Q35"/>
    </row>
    <row r="36" spans="1:17" x14ac:dyDescent="0.3">
      <c r="A36" s="129" t="s">
        <v>44</v>
      </c>
      <c r="B36" s="130">
        <f t="shared" ref="B36" si="15">P25</f>
        <v>140</v>
      </c>
      <c r="C36" s="131">
        <f t="shared" si="14"/>
        <v>153398.40999999997</v>
      </c>
      <c r="D36" s="132">
        <v>0.3</v>
      </c>
      <c r="E36" s="131">
        <f>C36*D36</f>
        <v>46019.522999999994</v>
      </c>
      <c r="F36" s="133">
        <f>C36-E36</f>
        <v>107378.88699999999</v>
      </c>
      <c r="G36" s="363"/>
      <c r="H36" s="365"/>
      <c r="I36" s="127"/>
      <c r="J36" s="353"/>
      <c r="K36" s="354"/>
      <c r="M36" s="8"/>
      <c r="N36" s="8"/>
      <c r="O36" s="9"/>
      <c r="P36" s="9"/>
    </row>
    <row r="37" spans="1:17" ht="15" customHeight="1" thickBot="1" x14ac:dyDescent="0.3">
      <c r="A37" s="74" t="s">
        <v>46</v>
      </c>
      <c r="B37" s="120">
        <f>SUM(B35:B36)</f>
        <v>258</v>
      </c>
      <c r="C37" s="78">
        <f>SUM(C35:C36)</f>
        <v>272904.29999999993</v>
      </c>
      <c r="D37" s="121"/>
      <c r="E37" s="78">
        <f>SUM(E35:E36)</f>
        <v>165525.41299999997</v>
      </c>
      <c r="F37" s="78">
        <f>F36</f>
        <v>107378.88699999999</v>
      </c>
      <c r="G37" s="78">
        <v>450000</v>
      </c>
      <c r="H37" s="79">
        <f>E37/G37</f>
        <v>0.36783425111111107</v>
      </c>
      <c r="I37" s="80"/>
      <c r="J37" s="221">
        <f>(H37/H$3)*G$13</f>
        <v>7931396.0051170895</v>
      </c>
      <c r="K37" s="81">
        <f>J37-G37</f>
        <v>7481396.0051170895</v>
      </c>
      <c r="M37" s="8"/>
      <c r="N37" s="8"/>
      <c r="O37" s="9"/>
      <c r="P37" s="9"/>
    </row>
    <row r="38" spans="1:17" ht="15" thickBot="1" x14ac:dyDescent="0.35">
      <c r="A38" s="57"/>
      <c r="B38" s="82"/>
      <c r="C38" s="61"/>
      <c r="D38" s="83"/>
      <c r="E38" s="61"/>
      <c r="F38" s="61"/>
      <c r="G38" s="61"/>
      <c r="H38" s="62"/>
      <c r="I38" s="63"/>
      <c r="J38" s="337"/>
      <c r="K38" s="338"/>
      <c r="M38" s="8"/>
      <c r="N38" s="8"/>
      <c r="O38" s="9"/>
      <c r="P38" s="9"/>
    </row>
    <row r="39" spans="1:17" x14ac:dyDescent="0.3">
      <c r="A39" s="134" t="s">
        <v>47</v>
      </c>
      <c r="B39" s="98">
        <f>P26</f>
        <v>65</v>
      </c>
      <c r="C39" s="135">
        <f t="shared" ref="C39:C40" si="16">Q26</f>
        <v>49161.919999999998</v>
      </c>
      <c r="D39" s="136">
        <v>1</v>
      </c>
      <c r="E39" s="99">
        <f>C39*D39</f>
        <v>49161.919999999998</v>
      </c>
      <c r="F39" s="101"/>
      <c r="G39" s="343"/>
      <c r="H39" s="345"/>
      <c r="I39" s="91"/>
      <c r="J39" s="339"/>
      <c r="K39" s="340"/>
      <c r="M39" s="8"/>
      <c r="N39" s="8"/>
      <c r="O39" s="9"/>
      <c r="P39" s="9"/>
    </row>
    <row r="40" spans="1:17" x14ac:dyDescent="0.3">
      <c r="A40" s="138" t="s">
        <v>49</v>
      </c>
      <c r="B40" s="85">
        <f t="shared" ref="B40" si="17">P27</f>
        <v>23</v>
      </c>
      <c r="C40" s="93">
        <f t="shared" si="16"/>
        <v>10941.78</v>
      </c>
      <c r="D40" s="94">
        <v>0.3</v>
      </c>
      <c r="E40" s="139">
        <f>C40*D40</f>
        <v>3282.5340000000001</v>
      </c>
      <c r="F40" s="140">
        <f>C40-E40</f>
        <v>7659.246000000001</v>
      </c>
      <c r="G40" s="344"/>
      <c r="H40" s="346"/>
      <c r="I40" s="91"/>
      <c r="J40" s="341"/>
      <c r="K40" s="342"/>
      <c r="M40" s="8"/>
      <c r="N40" s="8"/>
      <c r="O40" s="9"/>
      <c r="P40" s="9"/>
    </row>
    <row r="41" spans="1:17" ht="15" customHeight="1" thickBot="1" x14ac:dyDescent="0.3">
      <c r="A41" s="119" t="s">
        <v>51</v>
      </c>
      <c r="B41" s="120">
        <f>SUM(B39:B40)</f>
        <v>88</v>
      </c>
      <c r="C41" s="78">
        <f>SUM(C39:C40)</f>
        <v>60103.7</v>
      </c>
      <c r="D41" s="121"/>
      <c r="E41" s="78">
        <f>SUM(E39:E40)</f>
        <v>52444.453999999998</v>
      </c>
      <c r="F41" s="78">
        <f>F40</f>
        <v>7659.246000000001</v>
      </c>
      <c r="G41" s="78">
        <v>325000</v>
      </c>
      <c r="H41" s="79">
        <f>E41/G41</f>
        <v>0.16136755076923076</v>
      </c>
      <c r="I41" s="80"/>
      <c r="J41" s="221">
        <f>(H41/H$3)*G$13</f>
        <v>3479474.6374502191</v>
      </c>
      <c r="K41" s="81">
        <f>J41-G41</f>
        <v>3154474.6374502191</v>
      </c>
      <c r="M41" s="8"/>
      <c r="N41" s="8"/>
      <c r="O41" s="9"/>
      <c r="P41" s="9"/>
    </row>
    <row r="42" spans="1:17" ht="15" thickBot="1" x14ac:dyDescent="0.35">
      <c r="A42" s="57"/>
      <c r="B42" s="82"/>
      <c r="C42" s="61"/>
      <c r="D42" s="83"/>
      <c r="E42" s="61"/>
      <c r="F42" s="61"/>
      <c r="G42" s="61"/>
      <c r="H42" s="62"/>
      <c r="I42" s="63"/>
      <c r="J42" s="337"/>
      <c r="K42" s="350"/>
      <c r="M42" s="8"/>
      <c r="N42" s="8"/>
      <c r="O42" s="9"/>
      <c r="P42" s="9"/>
    </row>
    <row r="43" spans="1:17" x14ac:dyDescent="0.3">
      <c r="A43" s="141" t="s">
        <v>52</v>
      </c>
      <c r="B43" s="123">
        <f>P29</f>
        <v>39</v>
      </c>
      <c r="C43" s="124">
        <f t="shared" ref="C43:C44" si="18">Q29</f>
        <v>32156.909999999996</v>
      </c>
      <c r="D43" s="109">
        <v>1</v>
      </c>
      <c r="E43" s="110">
        <f>C43*D43</f>
        <v>32156.909999999996</v>
      </c>
      <c r="F43" s="142"/>
      <c r="G43" s="362"/>
      <c r="H43" s="364"/>
      <c r="I43" s="127"/>
      <c r="J43" s="351"/>
      <c r="K43" s="352"/>
      <c r="M43" s="8"/>
      <c r="N43" s="8"/>
      <c r="O43" s="9"/>
      <c r="P43" s="9"/>
    </row>
    <row r="44" spans="1:17" x14ac:dyDescent="0.3">
      <c r="A44" s="129" t="s">
        <v>54</v>
      </c>
      <c r="B44" s="130">
        <f t="shared" ref="B44" si="19">P30</f>
        <v>23</v>
      </c>
      <c r="C44" s="131">
        <f t="shared" si="18"/>
        <v>29365.929999999993</v>
      </c>
      <c r="D44" s="116">
        <v>0.3</v>
      </c>
      <c r="E44" s="117">
        <f>C44*D44</f>
        <v>8809.7789999999968</v>
      </c>
      <c r="F44" s="97">
        <f>C44-E44</f>
        <v>20556.150999999998</v>
      </c>
      <c r="G44" s="363"/>
      <c r="H44" s="365"/>
      <c r="I44" s="127"/>
      <c r="J44" s="353"/>
      <c r="K44" s="354"/>
      <c r="M44" s="8"/>
      <c r="N44" s="8"/>
      <c r="O44" s="9"/>
      <c r="P44" s="9"/>
    </row>
    <row r="45" spans="1:17" ht="15" customHeight="1" thickBot="1" x14ac:dyDescent="0.3">
      <c r="A45" s="119" t="s">
        <v>56</v>
      </c>
      <c r="B45" s="120">
        <f>SUM(B43:B44)</f>
        <v>62</v>
      </c>
      <c r="C45" s="78">
        <f>SUM(C43:C44)</f>
        <v>61522.839999999989</v>
      </c>
      <c r="D45" s="121"/>
      <c r="E45" s="78">
        <f>SUM(E43:E44)</f>
        <v>40966.688999999991</v>
      </c>
      <c r="F45" s="78">
        <f>F44</f>
        <v>20556.150999999998</v>
      </c>
      <c r="G45" s="78">
        <v>300000</v>
      </c>
      <c r="H45" s="79">
        <f>E45/G45</f>
        <v>0.13655562999999998</v>
      </c>
      <c r="I45" s="80"/>
      <c r="J45" s="221">
        <f>(H45/H$3)*G$13</f>
        <v>2944469.6218109499</v>
      </c>
      <c r="K45" s="81">
        <f>J45-G45</f>
        <v>2644469.6218109499</v>
      </c>
      <c r="M45" s="8"/>
      <c r="N45" s="8"/>
      <c r="O45" s="9"/>
      <c r="P45" s="9"/>
    </row>
    <row r="46" spans="1:17" ht="15" thickBot="1" x14ac:dyDescent="0.35">
      <c r="A46" s="57"/>
      <c r="B46" s="82"/>
      <c r="C46" s="61"/>
      <c r="D46" s="83"/>
      <c r="E46" s="61"/>
      <c r="F46" s="143"/>
      <c r="G46" s="61"/>
      <c r="H46" s="62"/>
      <c r="I46" s="63"/>
      <c r="J46" s="337"/>
      <c r="K46" s="338"/>
      <c r="M46" s="8"/>
      <c r="N46" s="8"/>
      <c r="O46" s="9"/>
      <c r="P46" s="9"/>
    </row>
    <row r="47" spans="1:17" x14ac:dyDescent="0.3">
      <c r="A47" s="141" t="s">
        <v>66</v>
      </c>
      <c r="B47" s="123"/>
      <c r="C47" s="124"/>
      <c r="D47" s="109">
        <v>1</v>
      </c>
      <c r="E47" s="110">
        <f>C47*D47</f>
        <v>0</v>
      </c>
      <c r="F47" s="142"/>
      <c r="G47" s="362"/>
      <c r="H47" s="364"/>
      <c r="I47" s="127"/>
      <c r="J47" s="370"/>
      <c r="K47" s="340"/>
      <c r="M47" s="8"/>
      <c r="N47" s="8"/>
      <c r="O47" s="9"/>
      <c r="P47" s="9"/>
    </row>
    <row r="48" spans="1:17" x14ac:dyDescent="0.3">
      <c r="A48" s="129" t="s">
        <v>67</v>
      </c>
      <c r="B48" s="130"/>
      <c r="C48" s="131"/>
      <c r="D48" s="116">
        <v>0.3</v>
      </c>
      <c r="E48" s="117">
        <f>C48*D48</f>
        <v>0</v>
      </c>
      <c r="F48" s="97">
        <f>C48-E48</f>
        <v>0</v>
      </c>
      <c r="G48" s="363"/>
      <c r="H48" s="365"/>
      <c r="I48" s="127"/>
      <c r="J48" s="370"/>
      <c r="K48" s="340"/>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370"/>
      <c r="K49" s="340"/>
      <c r="M49" s="8"/>
      <c r="N49" s="8"/>
      <c r="O49" s="9"/>
      <c r="P49" s="9"/>
    </row>
    <row r="50" spans="1:17" ht="15" thickBot="1" x14ac:dyDescent="0.35">
      <c r="A50" s="57"/>
      <c r="B50" s="82"/>
      <c r="C50" s="61"/>
      <c r="D50" s="83"/>
      <c r="E50" s="61"/>
      <c r="F50" s="143"/>
      <c r="G50" s="61"/>
      <c r="H50" s="62"/>
      <c r="I50" s="63"/>
      <c r="J50" s="370"/>
      <c r="K50" s="340"/>
      <c r="M50" s="8"/>
      <c r="N50" s="8"/>
      <c r="O50" s="9"/>
      <c r="P50" s="9"/>
    </row>
    <row r="51" spans="1:17" ht="16.5" customHeight="1" x14ac:dyDescent="0.3">
      <c r="A51" s="106" t="s">
        <v>57</v>
      </c>
      <c r="B51" s="115">
        <f>P23</f>
        <v>854</v>
      </c>
      <c r="C51" s="64">
        <f>Q23</f>
        <v>344394.61999999901</v>
      </c>
      <c r="D51" s="116">
        <v>0.3</v>
      </c>
      <c r="E51" s="110">
        <f>C51*D51</f>
        <v>103318.38599999969</v>
      </c>
      <c r="F51" s="144">
        <f>C51-E51</f>
        <v>241076.2339999993</v>
      </c>
      <c r="G51" s="145"/>
      <c r="H51" s="146"/>
      <c r="I51" s="112"/>
      <c r="J51" s="341"/>
      <c r="K51" s="342"/>
      <c r="M51" s="8"/>
      <c r="N51" s="8"/>
      <c r="O51" s="9"/>
      <c r="P51" s="9"/>
    </row>
    <row r="52" spans="1:17" ht="15" customHeight="1" thickBot="1" x14ac:dyDescent="0.3">
      <c r="A52" s="119" t="s">
        <v>59</v>
      </c>
      <c r="B52" s="120">
        <f>B51</f>
        <v>854</v>
      </c>
      <c r="C52" s="78">
        <f>C51</f>
        <v>344394.61999999901</v>
      </c>
      <c r="D52" s="121"/>
      <c r="E52" s="78">
        <f>E51</f>
        <v>103318.38599999969</v>
      </c>
      <c r="F52" s="78">
        <f>F51</f>
        <v>241076.2339999993</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37"/>
      <c r="K53" s="350"/>
      <c r="M53" s="8"/>
      <c r="N53" s="8"/>
      <c r="O53" s="9"/>
      <c r="P53" s="9"/>
    </row>
    <row r="54" spans="1:17" ht="15" thickBot="1" x14ac:dyDescent="0.35">
      <c r="A54" s="147" t="s">
        <v>75</v>
      </c>
      <c r="B54" s="148">
        <f>P28</f>
        <v>723</v>
      </c>
      <c r="C54" s="54">
        <f>Q28</f>
        <v>9567.0100000000457</v>
      </c>
      <c r="D54" s="149">
        <v>1</v>
      </c>
      <c r="E54" s="54">
        <f>C54*D54</f>
        <v>9567.0100000000457</v>
      </c>
      <c r="F54" s="150"/>
      <c r="G54" s="151">
        <v>546455</v>
      </c>
      <c r="H54" s="152"/>
      <c r="I54" s="71"/>
      <c r="J54" s="351"/>
      <c r="K54" s="352"/>
      <c r="M54" s="8"/>
      <c r="N54" s="8"/>
      <c r="O54" s="9"/>
      <c r="P54" s="9"/>
    </row>
    <row r="55" spans="1:17" ht="15" thickBot="1" x14ac:dyDescent="0.35">
      <c r="A55" s="57"/>
      <c r="B55" s="82"/>
      <c r="C55" s="61"/>
      <c r="D55" s="60"/>
      <c r="E55" s="59"/>
      <c r="F55" s="144"/>
      <c r="G55" s="61"/>
      <c r="H55" s="62"/>
      <c r="I55" s="63"/>
      <c r="J55" s="366"/>
      <c r="K55" s="367"/>
      <c r="M55" s="8"/>
      <c r="N55" s="8"/>
      <c r="O55" s="9"/>
      <c r="P55" s="9"/>
    </row>
    <row r="56" spans="1:17" ht="15.75" thickBot="1" x14ac:dyDescent="0.3">
      <c r="A56" s="153" t="s">
        <v>7</v>
      </c>
      <c r="B56" s="154"/>
      <c r="C56" s="157"/>
      <c r="D56" s="156"/>
      <c r="E56" s="157">
        <f>SUM(E13,E17,E21,E25,E29,E33,E37,E41,E45,E49,E52,E54)</f>
        <v>1104184.0129999982</v>
      </c>
      <c r="F56" s="157"/>
      <c r="G56" s="158">
        <f>SUM(G13:G54)</f>
        <v>7917043</v>
      </c>
      <c r="H56" s="159">
        <f>SUM(E56)/G56</f>
        <v>0.1394692453988185</v>
      </c>
      <c r="I56" s="160"/>
      <c r="J56" s="222">
        <f>(H56/H$3)*G56</f>
        <v>8737456.1028695498</v>
      </c>
      <c r="K56" s="161">
        <f>J56-G56</f>
        <v>820413.10286954977</v>
      </c>
      <c r="M56" s="8"/>
      <c r="N56" s="8"/>
      <c r="O56" s="9"/>
      <c r="P56" s="9"/>
    </row>
    <row r="57" spans="1:17" ht="15.75" thickBot="1" x14ac:dyDescent="0.3">
      <c r="A57" s="57"/>
      <c r="B57" s="82"/>
      <c r="C57" s="61"/>
      <c r="D57" s="83"/>
      <c r="E57" s="61"/>
      <c r="F57" s="143"/>
      <c r="G57" s="61"/>
      <c r="H57" s="62"/>
      <c r="I57" s="63"/>
      <c r="J57" s="223"/>
      <c r="K57" s="163"/>
      <c r="M57" s="8"/>
      <c r="N57" s="8"/>
      <c r="O57" s="9"/>
      <c r="P57" s="9"/>
    </row>
    <row r="58" spans="1:17" ht="15.75" thickBot="1" x14ac:dyDescent="0.3">
      <c r="A58" s="153" t="s">
        <v>8</v>
      </c>
      <c r="B58" s="154"/>
      <c r="C58" s="155"/>
      <c r="D58" s="156"/>
      <c r="E58" s="157"/>
      <c r="F58" s="157">
        <f>SUM(F13,F17,F21,F25,F29,F33,F37,F41,F45,F49,F52)</f>
        <v>492567.18699999934</v>
      </c>
      <c r="G58" s="158"/>
      <c r="H58" s="159"/>
      <c r="I58" s="160"/>
      <c r="J58" s="222">
        <f>(H58/H$3)*G58</f>
        <v>0</v>
      </c>
      <c r="K58" s="161">
        <f>J58-G58</f>
        <v>0</v>
      </c>
      <c r="M58" s="8"/>
      <c r="N58" s="8"/>
      <c r="O58" s="9"/>
      <c r="P58" s="9"/>
    </row>
    <row r="59" spans="1:17" ht="15.75" thickBot="1" x14ac:dyDescent="0.3">
      <c r="A59" s="57"/>
      <c r="B59" s="82"/>
      <c r="D59" s="83"/>
      <c r="E59" s="61"/>
      <c r="F59" s="143"/>
      <c r="G59" s="61"/>
      <c r="H59" s="62"/>
      <c r="I59" s="63"/>
      <c r="J59" s="223"/>
      <c r="K59" s="163"/>
      <c r="M59" s="8"/>
      <c r="N59" s="8"/>
      <c r="O59" s="9"/>
      <c r="P59" s="9"/>
    </row>
    <row r="60" spans="1:17" ht="15.75" thickBot="1" x14ac:dyDescent="0.3">
      <c r="A60" s="153" t="s">
        <v>61</v>
      </c>
      <c r="B60" s="154">
        <f>SUM(B13,B17,B21,B25,B29,B33,B37,B41,B45,B49,B52,B54)</f>
        <v>3969</v>
      </c>
      <c r="C60" s="155">
        <f>SUM(C13,C17,C21,C25,C29,C33,C37,C41,C45,C49,C52,C54)</f>
        <v>1596751.1999999974</v>
      </c>
      <c r="D60" s="156"/>
      <c r="E60" s="157"/>
      <c r="F60" s="157">
        <f>SUM(E56:F59)</f>
        <v>1596751.1999999974</v>
      </c>
      <c r="G60" s="158">
        <f>SUM(G56:G59)</f>
        <v>7917043</v>
      </c>
      <c r="H60" s="159">
        <f>SUM(C60)/G60</f>
        <v>0.20168530093874662</v>
      </c>
      <c r="I60" s="160"/>
      <c r="J60" s="222">
        <f>(H60/H$3)*G60</f>
        <v>12635161.669565197</v>
      </c>
      <c r="K60" s="161">
        <f>J60-G60</f>
        <v>4718118.6695651971</v>
      </c>
      <c r="M60" s="8"/>
      <c r="N60" s="8"/>
      <c r="O60" s="9"/>
      <c r="P60" s="9"/>
    </row>
    <row r="61" spans="1:17" ht="15" x14ac:dyDescent="0.25">
      <c r="C61" s="168"/>
      <c r="M61" s="8"/>
      <c r="N61" s="8"/>
      <c r="O61" s="9"/>
      <c r="P61" s="9"/>
    </row>
    <row r="62" spans="1:17" ht="15" x14ac:dyDescent="0.25">
      <c r="B62" s="164"/>
      <c r="C62" s="165"/>
      <c r="D62" s="165"/>
      <c r="E62" s="165"/>
      <c r="F62" s="165"/>
      <c r="G62" s="165"/>
      <c r="H62" s="165"/>
      <c r="I62" s="165"/>
      <c r="J62" s="165"/>
      <c r="K62" s="165"/>
      <c r="M62" s="8"/>
      <c r="N62" s="8"/>
      <c r="O62" s="9"/>
      <c r="P62" s="9"/>
    </row>
    <row r="63" spans="1:17" ht="15" customHeight="1" x14ac:dyDescent="0.25">
      <c r="A63" s="335" t="s">
        <v>124</v>
      </c>
      <c r="B63" s="335"/>
      <c r="C63" s="335"/>
      <c r="D63" s="335"/>
      <c r="E63" s="335"/>
      <c r="F63" s="335"/>
      <c r="G63" s="335"/>
      <c r="H63" s="335"/>
      <c r="I63" s="309"/>
      <c r="J63" s="224"/>
      <c r="K63" s="309"/>
      <c r="M63" s="8"/>
      <c r="N63" s="8"/>
      <c r="O63" s="9"/>
      <c r="P63" s="9"/>
      <c r="Q63"/>
    </row>
    <row r="64" spans="1:17" ht="15" x14ac:dyDescent="0.25">
      <c r="A64" s="336"/>
      <c r="B64" s="336"/>
      <c r="C64" s="336"/>
      <c r="D64" s="336"/>
      <c r="E64" s="336"/>
      <c r="F64" s="336"/>
      <c r="G64" s="336"/>
      <c r="H64" s="336"/>
      <c r="I64" s="309"/>
      <c r="J64" s="224"/>
      <c r="K64" s="309"/>
      <c r="L64" s="168"/>
      <c r="M64" s="8"/>
      <c r="N64" s="8"/>
      <c r="O64" s="9"/>
      <c r="P64" s="9"/>
    </row>
    <row r="65" spans="1:28" ht="15" x14ac:dyDescent="0.25">
      <c r="M65" s="8"/>
      <c r="N65" s="8"/>
      <c r="O65" s="9"/>
      <c r="R65" s="8"/>
    </row>
    <row r="66" spans="1:28" ht="21" customHeight="1" x14ac:dyDescent="0.25">
      <c r="G66" s="168"/>
      <c r="M66" s="8"/>
      <c r="N66" s="8"/>
      <c r="O66" s="8"/>
      <c r="P66" s="8"/>
      <c r="Q66" s="8"/>
      <c r="R66" s="8"/>
    </row>
    <row r="67" spans="1:28" ht="21" customHeight="1" x14ac:dyDescent="0.3">
      <c r="G67"/>
      <c r="M67" s="8"/>
      <c r="N67" s="8"/>
      <c r="O67" s="8"/>
      <c r="P67" s="8"/>
      <c r="Q67" s="8"/>
      <c r="R67" s="8"/>
    </row>
    <row r="68" spans="1:28" s="173" customFormat="1" ht="39.75" customHeight="1" x14ac:dyDescent="0.3">
      <c r="A68"/>
      <c r="B68"/>
      <c r="C68"/>
      <c r="D68"/>
      <c r="E68"/>
      <c r="F68"/>
      <c r="G68" s="1"/>
      <c r="H68"/>
      <c r="I68"/>
      <c r="J68" s="214"/>
      <c r="K68"/>
      <c r="M68" s="8"/>
      <c r="N68" s="8"/>
      <c r="O68" s="8"/>
      <c r="P68" s="8"/>
      <c r="Q68" s="8"/>
      <c r="R68" s="8"/>
      <c r="T68"/>
      <c r="U68"/>
      <c r="V68"/>
      <c r="X68"/>
      <c r="Y68"/>
      <c r="Z68"/>
      <c r="AA68"/>
      <c r="AB68"/>
    </row>
    <row r="69" spans="1:28" s="173" customFormat="1" ht="39.75" hidden="1" customHeight="1" x14ac:dyDescent="0.25">
      <c r="A69" t="s">
        <v>62</v>
      </c>
      <c r="B69">
        <f t="shared" ref="B69:G69" si="20">SUM(B66:B68)</f>
        <v>0</v>
      </c>
      <c r="C69">
        <f t="shared" si="20"/>
        <v>0</v>
      </c>
      <c r="D69">
        <f t="shared" si="20"/>
        <v>0</v>
      </c>
      <c r="E69">
        <f t="shared" si="20"/>
        <v>0</v>
      </c>
      <c r="F69">
        <f t="shared" si="20"/>
        <v>0</v>
      </c>
      <c r="G69" s="1">
        <f t="shared" si="20"/>
        <v>0</v>
      </c>
      <c r="H69"/>
      <c r="I69"/>
      <c r="J69" s="214"/>
      <c r="K69"/>
      <c r="M69" s="172"/>
      <c r="O69" s="8"/>
      <c r="P69" s="8"/>
      <c r="Q69" s="8"/>
      <c r="R69"/>
      <c r="X69"/>
      <c r="Y69"/>
      <c r="Z69"/>
      <c r="AA69"/>
      <c r="AB69"/>
    </row>
    <row r="70" spans="1:28" ht="15" hidden="1" x14ac:dyDescent="0.25">
      <c r="O70" s="175"/>
      <c r="P70" s="175"/>
      <c r="T70" s="173"/>
      <c r="U70" s="173"/>
      <c r="V70" s="173"/>
      <c r="AB70" s="173"/>
    </row>
    <row r="71" spans="1:28" ht="15" hidden="1" x14ac:dyDescent="0.25">
      <c r="X71" s="173"/>
      <c r="Y71" s="173"/>
      <c r="Z71" s="173"/>
      <c r="AA71" s="173"/>
      <c r="AB71" s="173"/>
    </row>
    <row r="72" spans="1:2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28" ht="15" hidden="1" x14ac:dyDescent="0.25">
      <c r="A73" s="183"/>
      <c r="B73" s="184"/>
      <c r="C73" s="185"/>
      <c r="D73" s="185"/>
      <c r="E73" s="185"/>
      <c r="F73" s="185"/>
      <c r="G73" s="185"/>
      <c r="H73" s="185"/>
      <c r="I73" s="160"/>
      <c r="J73" s="226"/>
      <c r="K73" s="185"/>
    </row>
    <row r="74" spans="1:28" ht="15" hidden="1" x14ac:dyDescent="0.25"/>
    <row r="75" spans="1:2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2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2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28" ht="15" hidden="1" x14ac:dyDescent="0.25">
      <c r="A78" s="183"/>
      <c r="B78" s="184"/>
      <c r="C78" s="185"/>
      <c r="D78" s="185"/>
      <c r="E78" s="185"/>
      <c r="F78" s="185"/>
      <c r="G78" s="185"/>
      <c r="H78" s="160"/>
      <c r="I78" s="160"/>
      <c r="J78" s="226"/>
      <c r="K78" s="185"/>
    </row>
    <row r="79" spans="1:28" ht="15" hidden="1" x14ac:dyDescent="0.25">
      <c r="B79" s="164">
        <v>6196</v>
      </c>
      <c r="C79" s="1">
        <v>3871765.8300000052</v>
      </c>
      <c r="D79" s="1"/>
      <c r="E79" s="1"/>
      <c r="F79" s="1"/>
      <c r="G79" s="1">
        <v>7182150.0000000009</v>
      </c>
      <c r="H79" s="1"/>
      <c r="I79" s="1"/>
      <c r="J79" s="165">
        <v>7423408.4691351494</v>
      </c>
      <c r="K79" s="1">
        <v>241258.46913514897</v>
      </c>
    </row>
    <row r="80" spans="1:28"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53:K55"/>
    <mergeCell ref="A63:H63"/>
    <mergeCell ref="A64:H64"/>
    <mergeCell ref="J42:K44"/>
    <mergeCell ref="G43:G44"/>
    <mergeCell ref="H43:H44"/>
    <mergeCell ref="J46:K51"/>
    <mergeCell ref="G47:G48"/>
    <mergeCell ref="H47:H48"/>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s>
  <conditionalFormatting sqref="H13:I13 H56:I56 H15:I15 H24 H72:I72 I73 H77:I78 H31:I32 H35:I36 H39:I40">
    <cfRule type="cellIs" dxfId="244" priority="37" operator="greaterThan">
      <formula>$H$3</formula>
    </cfRule>
  </conditionalFormatting>
  <conditionalFormatting sqref="H13:I13">
    <cfRule type="cellIs" dxfId="243" priority="36" operator="greaterThan">
      <formula>$H$3</formula>
    </cfRule>
  </conditionalFormatting>
  <conditionalFormatting sqref="I75:I76">
    <cfRule type="cellIs" dxfId="242" priority="35" operator="greaterThan">
      <formula>$H$3</formula>
    </cfRule>
  </conditionalFormatting>
  <conditionalFormatting sqref="H75:H76">
    <cfRule type="cellIs" dxfId="241" priority="34" operator="greaterThan">
      <formula>$H$3</formula>
    </cfRule>
  </conditionalFormatting>
  <conditionalFormatting sqref="H54:I54">
    <cfRule type="cellIs" dxfId="240" priority="33" operator="greaterThan">
      <formula>$H$3</formula>
    </cfRule>
  </conditionalFormatting>
  <conditionalFormatting sqref="H43:H44">
    <cfRule type="cellIs" dxfId="239" priority="31" operator="greaterThan">
      <formula>$H$3</formula>
    </cfRule>
  </conditionalFormatting>
  <conditionalFormatting sqref="I43:I44">
    <cfRule type="cellIs" dxfId="238" priority="32" operator="greaterThan">
      <formula>$H$3</formula>
    </cfRule>
  </conditionalFormatting>
  <conditionalFormatting sqref="H16:I16">
    <cfRule type="cellIs" dxfId="237" priority="30" operator="greaterThan">
      <formula>$H$3</formula>
    </cfRule>
  </conditionalFormatting>
  <conditionalFormatting sqref="H23">
    <cfRule type="cellIs" dxfId="236" priority="29" operator="greaterThan">
      <formula>$H$3</formula>
    </cfRule>
  </conditionalFormatting>
  <conditionalFormatting sqref="H17:I17">
    <cfRule type="cellIs" dxfId="235" priority="27" operator="greaterThan">
      <formula>$H$3</formula>
    </cfRule>
  </conditionalFormatting>
  <conditionalFormatting sqref="H17:I17">
    <cfRule type="cellIs" dxfId="234" priority="28" operator="greaterThan">
      <formula>$H$3</formula>
    </cfRule>
  </conditionalFormatting>
  <conditionalFormatting sqref="H25:I25">
    <cfRule type="cellIs" dxfId="233" priority="25" operator="greaterThan">
      <formula>$H$3</formula>
    </cfRule>
  </conditionalFormatting>
  <conditionalFormatting sqref="H25:I25">
    <cfRule type="cellIs" dxfId="232" priority="26" operator="greaterThan">
      <formula>$H$3</formula>
    </cfRule>
  </conditionalFormatting>
  <conditionalFormatting sqref="H19:I19">
    <cfRule type="cellIs" dxfId="231" priority="24" operator="greaterThan">
      <formula>$H$3</formula>
    </cfRule>
  </conditionalFormatting>
  <conditionalFormatting sqref="H20:I20">
    <cfRule type="cellIs" dxfId="230" priority="23" operator="greaterThan">
      <formula>$H$3</formula>
    </cfRule>
  </conditionalFormatting>
  <conditionalFormatting sqref="H21:I21">
    <cfRule type="cellIs" dxfId="229" priority="21" operator="greaterThan">
      <formula>$H$3</formula>
    </cfRule>
  </conditionalFormatting>
  <conditionalFormatting sqref="H21:I21">
    <cfRule type="cellIs" dxfId="228" priority="22" operator="greaterThan">
      <formula>$H$3</formula>
    </cfRule>
  </conditionalFormatting>
  <conditionalFormatting sqref="H29:I29">
    <cfRule type="cellIs" dxfId="227" priority="19" operator="greaterThan">
      <formula>$H$3</formula>
    </cfRule>
  </conditionalFormatting>
  <conditionalFormatting sqref="H29:I29">
    <cfRule type="cellIs" dxfId="226" priority="20" operator="greaterThan">
      <formula>$H$3</formula>
    </cfRule>
  </conditionalFormatting>
  <conditionalFormatting sqref="H27:I27">
    <cfRule type="cellIs" dxfId="225" priority="18" operator="greaterThan">
      <formula>$H$3</formula>
    </cfRule>
  </conditionalFormatting>
  <conditionalFormatting sqref="H28:I28">
    <cfRule type="cellIs" dxfId="224" priority="17" operator="greaterThan">
      <formula>$H$3</formula>
    </cfRule>
  </conditionalFormatting>
  <conditionalFormatting sqref="H33:I33">
    <cfRule type="cellIs" dxfId="223" priority="15" operator="greaterThan">
      <formula>$H$3</formula>
    </cfRule>
  </conditionalFormatting>
  <conditionalFormatting sqref="H33:I33">
    <cfRule type="cellIs" dxfId="222" priority="16" operator="greaterThan">
      <formula>$H$3</formula>
    </cfRule>
  </conditionalFormatting>
  <conditionalFormatting sqref="H37:I37">
    <cfRule type="cellIs" dxfId="221" priority="13" operator="greaterThan">
      <formula>$H$3</formula>
    </cfRule>
  </conditionalFormatting>
  <conditionalFormatting sqref="H37:I37">
    <cfRule type="cellIs" dxfId="220" priority="14" operator="greaterThan">
      <formula>$H$3</formula>
    </cfRule>
  </conditionalFormatting>
  <conditionalFormatting sqref="H41:I41">
    <cfRule type="cellIs" dxfId="219" priority="11" operator="greaterThan">
      <formula>$H$3</formula>
    </cfRule>
  </conditionalFormatting>
  <conditionalFormatting sqref="H41:I41">
    <cfRule type="cellIs" dxfId="218" priority="12" operator="greaterThan">
      <formula>$H$3</formula>
    </cfRule>
  </conditionalFormatting>
  <conditionalFormatting sqref="H45:I45">
    <cfRule type="cellIs" dxfId="217" priority="9" operator="greaterThan">
      <formula>$H$3</formula>
    </cfRule>
  </conditionalFormatting>
  <conditionalFormatting sqref="H45:I45">
    <cfRule type="cellIs" dxfId="216" priority="10" operator="greaterThan">
      <formula>$H$3</formula>
    </cfRule>
  </conditionalFormatting>
  <conditionalFormatting sqref="H52:I52">
    <cfRule type="cellIs" dxfId="215" priority="7" operator="greaterThan">
      <formula>$H$3</formula>
    </cfRule>
  </conditionalFormatting>
  <conditionalFormatting sqref="H52:I52">
    <cfRule type="cellIs" dxfId="214" priority="8" operator="greaterThan">
      <formula>$H$3</formula>
    </cfRule>
  </conditionalFormatting>
  <conditionalFormatting sqref="H58:I58">
    <cfRule type="cellIs" dxfId="213" priority="6" operator="greaterThan">
      <formula>$H$3</formula>
    </cfRule>
  </conditionalFormatting>
  <conditionalFormatting sqref="H60:I60">
    <cfRule type="cellIs" dxfId="212" priority="5" operator="greaterThan">
      <formula>$H$3</formula>
    </cfRule>
  </conditionalFormatting>
  <conditionalFormatting sqref="H47:H48">
    <cfRule type="cellIs" dxfId="211" priority="3" operator="greaterThan">
      <formula>$H$3</formula>
    </cfRule>
  </conditionalFormatting>
  <conditionalFormatting sqref="I47:I48">
    <cfRule type="cellIs" dxfId="210" priority="4" operator="greaterThan">
      <formula>$H$3</formula>
    </cfRule>
  </conditionalFormatting>
  <conditionalFormatting sqref="H49:I49">
    <cfRule type="cellIs" dxfId="209" priority="1" operator="greaterThan">
      <formula>$H$3</formula>
    </cfRule>
  </conditionalFormatting>
  <conditionalFormatting sqref="H49:I49">
    <cfRule type="cellIs" dxfId="208" priority="2" operator="greaterThan">
      <formula>$H$3</formula>
    </cfRule>
  </conditionalFormatting>
  <pageMargins left="0.2" right="0.2" top="0.75" bottom="0.75" header="0.3" footer="0.3"/>
  <pageSetup scale="64" orientation="landscape"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175"/>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7.5546875" customWidth="1"/>
    <col min="17" max="17" width="17.5546875" style="172" customWidth="1"/>
    <col min="18" max="18" width="17.5546875" customWidth="1"/>
    <col min="19" max="21" width="17.5546875" style="37" customWidth="1"/>
    <col min="22" max="30" width="17.5546875" customWidth="1"/>
  </cols>
  <sheetData>
    <row r="1" spans="2:24" ht="15.75" thickBot="1" x14ac:dyDescent="0.3">
      <c r="Q1" s="323" t="s">
        <v>0</v>
      </c>
      <c r="R1" s="324"/>
      <c r="S1" s="324"/>
      <c r="T1" s="324"/>
      <c r="U1" s="324"/>
      <c r="V1" s="324"/>
    </row>
    <row r="2" spans="2:24" ht="30" x14ac:dyDescent="0.25">
      <c r="B2" s="2"/>
      <c r="C2" s="3"/>
      <c r="D2" s="3"/>
      <c r="E2" s="3"/>
      <c r="F2" s="3"/>
      <c r="G2" s="3"/>
      <c r="H2" s="3"/>
      <c r="I2" s="3"/>
      <c r="J2" s="4" t="s">
        <v>1</v>
      </c>
      <c r="K2" s="308"/>
      <c r="L2" s="5" t="s">
        <v>2</v>
      </c>
      <c r="M2" s="6"/>
      <c r="N2" s="6"/>
      <c r="O2" s="6"/>
      <c r="Q2" s="7">
        <v>41456</v>
      </c>
      <c r="R2" s="8"/>
      <c r="S2" s="9"/>
      <c r="T2" s="9"/>
      <c r="U2" s="9"/>
      <c r="V2" s="8"/>
    </row>
    <row r="3" spans="2:24" ht="18.75" x14ac:dyDescent="0.3">
      <c r="B3" s="10" t="s">
        <v>122</v>
      </c>
      <c r="C3" s="11"/>
      <c r="D3" s="8"/>
      <c r="E3" s="8"/>
      <c r="F3" s="8"/>
      <c r="G3" s="8"/>
      <c r="H3" s="8"/>
      <c r="I3" s="8"/>
      <c r="J3" s="12">
        <v>41491</v>
      </c>
      <c r="K3" s="307"/>
      <c r="L3" s="13">
        <f>$Q$5/26</f>
        <v>9.6153846153846159E-2</v>
      </c>
      <c r="M3" s="14"/>
      <c r="N3" s="14"/>
      <c r="O3" s="14"/>
      <c r="Q3" s="15"/>
      <c r="R3" s="8"/>
      <c r="S3" s="9"/>
      <c r="T3" s="9"/>
      <c r="U3" s="9"/>
      <c r="V3" s="8"/>
    </row>
    <row r="4" spans="2:24" ht="15.75" thickBot="1" x14ac:dyDescent="0.3">
      <c r="B4" s="16"/>
      <c r="C4" s="8"/>
      <c r="D4" s="8"/>
      <c r="E4" s="8"/>
      <c r="F4" s="17"/>
      <c r="G4" s="8"/>
      <c r="H4" s="8"/>
      <c r="I4" s="8"/>
      <c r="J4" s="306"/>
      <c r="K4" s="306"/>
      <c r="L4" s="19"/>
      <c r="M4" s="8"/>
      <c r="N4" s="8"/>
      <c r="O4" s="8"/>
      <c r="Q4" s="15">
        <f>J3-Q2</f>
        <v>35</v>
      </c>
      <c r="R4" s="8"/>
      <c r="S4" s="9"/>
      <c r="T4" s="9"/>
      <c r="U4" s="8"/>
      <c r="V4" s="8"/>
    </row>
    <row r="5" spans="2:24"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2.5</v>
      </c>
      <c r="R5" s="8"/>
      <c r="S5" s="9"/>
      <c r="T5" s="9"/>
      <c r="U5" s="266" t="s">
        <v>101</v>
      </c>
      <c r="V5" s="266" t="s">
        <v>3</v>
      </c>
      <c r="W5" s="266" t="s">
        <v>13</v>
      </c>
      <c r="X5" t="s">
        <v>14</v>
      </c>
    </row>
    <row r="6" spans="2:24" x14ac:dyDescent="0.3">
      <c r="B6" s="294" t="s">
        <v>100</v>
      </c>
      <c r="C6" s="293">
        <v>32</v>
      </c>
      <c r="D6" s="113">
        <v>11861.259999999998</v>
      </c>
      <c r="E6" s="292"/>
      <c r="F6" s="291">
        <v>1</v>
      </c>
      <c r="G6" s="290">
        <f t="shared" ref="G6:G19" si="0">D6*F6</f>
        <v>11861.259999999998</v>
      </c>
      <c r="H6" s="288">
        <f t="shared" ref="H6:H19" si="1">D6-G6</f>
        <v>0</v>
      </c>
      <c r="I6" s="289"/>
      <c r="J6" s="325"/>
      <c r="K6" s="325"/>
      <c r="L6" s="327" t="e">
        <f>SUM(G6:G7)/J6</f>
        <v>#DIV/0!</v>
      </c>
      <c r="M6" s="268"/>
      <c r="N6" s="113" t="e">
        <f>(L6/L$3)*J6</f>
        <v>#DIV/0!</v>
      </c>
      <c r="O6" s="288" t="e">
        <f>N6-J6</f>
        <v>#DIV/0!</v>
      </c>
      <c r="Q6" s="36">
        <v>51000</v>
      </c>
      <c r="R6" s="8"/>
      <c r="S6" s="9"/>
      <c r="T6" s="9"/>
      <c r="U6" s="287">
        <v>1</v>
      </c>
      <c r="V6" s="266" t="s">
        <v>72</v>
      </c>
      <c r="W6" s="265">
        <v>32</v>
      </c>
      <c r="X6">
        <v>11861.259999999998</v>
      </c>
    </row>
    <row r="7" spans="2:24" x14ac:dyDescent="0.3">
      <c r="B7" s="272" t="s">
        <v>90</v>
      </c>
      <c r="C7" s="115">
        <v>17</v>
      </c>
      <c r="D7" s="64">
        <v>3863.8399999999997</v>
      </c>
      <c r="E7" s="271"/>
      <c r="F7" s="270">
        <v>0.3</v>
      </c>
      <c r="G7" s="269">
        <f t="shared" si="0"/>
        <v>1159.1519999999998</v>
      </c>
      <c r="H7" s="267">
        <f t="shared" si="1"/>
        <v>2704.6880000000001</v>
      </c>
      <c r="I7" s="8"/>
      <c r="J7" s="326"/>
      <c r="K7" s="326"/>
      <c r="L7" s="328"/>
      <c r="M7" s="268"/>
      <c r="N7" s="64"/>
      <c r="O7" s="267"/>
      <c r="Q7" s="36"/>
      <c r="R7" s="8"/>
      <c r="S7" s="9"/>
      <c r="T7" s="9"/>
      <c r="U7" s="264"/>
      <c r="V7" s="266" t="s">
        <v>31</v>
      </c>
      <c r="W7" s="265">
        <v>17</v>
      </c>
      <c r="X7">
        <v>3863.8399999999997</v>
      </c>
    </row>
    <row r="8" spans="2:24" x14ac:dyDescent="0.3">
      <c r="B8" s="286" t="s">
        <v>99</v>
      </c>
      <c r="C8" s="285">
        <v>15</v>
      </c>
      <c r="D8" s="137">
        <v>4581.3</v>
      </c>
      <c r="E8" s="284"/>
      <c r="F8" s="283">
        <v>1</v>
      </c>
      <c r="G8" s="282">
        <f t="shared" si="0"/>
        <v>4581.3</v>
      </c>
      <c r="H8" s="280">
        <f t="shared" si="1"/>
        <v>0</v>
      </c>
      <c r="I8" s="281"/>
      <c r="J8" s="329"/>
      <c r="K8" s="329"/>
      <c r="L8" s="331" t="e">
        <f>SUM(G8:G9)/J8</f>
        <v>#DIV/0!</v>
      </c>
      <c r="M8" s="281"/>
      <c r="N8" s="137" t="e">
        <f>(L8/L$3)*J8</f>
        <v>#DIV/0!</v>
      </c>
      <c r="O8" s="280" t="e">
        <f>N8-J8</f>
        <v>#DIV/0!</v>
      </c>
      <c r="Q8" s="36">
        <v>37400</v>
      </c>
      <c r="R8" s="8"/>
      <c r="S8" s="9"/>
      <c r="T8" s="9"/>
      <c r="U8" s="287">
        <v>2</v>
      </c>
      <c r="V8" s="266" t="s">
        <v>72</v>
      </c>
      <c r="W8" s="265">
        <v>15</v>
      </c>
      <c r="X8">
        <v>4581.3</v>
      </c>
    </row>
    <row r="9" spans="2:24" x14ac:dyDescent="0.3">
      <c r="B9" s="279" t="s">
        <v>90</v>
      </c>
      <c r="C9" s="278">
        <v>5</v>
      </c>
      <c r="D9" s="92">
        <v>170.06</v>
      </c>
      <c r="E9" s="277"/>
      <c r="F9" s="276">
        <v>0.3</v>
      </c>
      <c r="G9" s="275">
        <f t="shared" si="0"/>
        <v>51.018000000000001</v>
      </c>
      <c r="H9" s="273">
        <f t="shared" si="1"/>
        <v>119.042</v>
      </c>
      <c r="I9" s="274"/>
      <c r="J9" s="330"/>
      <c r="K9" s="330"/>
      <c r="L9" s="332"/>
      <c r="M9" s="274"/>
      <c r="N9" s="92"/>
      <c r="O9" s="273"/>
      <c r="Q9" s="36"/>
      <c r="R9" s="8"/>
      <c r="S9" s="9"/>
      <c r="T9" s="9"/>
      <c r="U9" s="264"/>
      <c r="V9" s="266" t="s">
        <v>31</v>
      </c>
      <c r="W9" s="265">
        <v>5</v>
      </c>
      <c r="X9">
        <v>170.06</v>
      </c>
    </row>
    <row r="10" spans="2:24" x14ac:dyDescent="0.3">
      <c r="B10" s="272" t="s">
        <v>98</v>
      </c>
      <c r="C10" s="115">
        <v>24</v>
      </c>
      <c r="D10" s="64">
        <v>12732.449999999999</v>
      </c>
      <c r="E10" s="271"/>
      <c r="F10" s="270">
        <v>1</v>
      </c>
      <c r="G10" s="269">
        <f t="shared" si="0"/>
        <v>12732.449999999999</v>
      </c>
      <c r="H10" s="267">
        <f t="shared" si="1"/>
        <v>0</v>
      </c>
      <c r="I10" s="8"/>
      <c r="J10" s="326"/>
      <c r="K10" s="326"/>
      <c r="L10" s="328"/>
      <c r="M10" s="268"/>
      <c r="N10" s="64"/>
      <c r="O10" s="267"/>
      <c r="Q10" s="36">
        <v>61200</v>
      </c>
      <c r="R10" s="8"/>
      <c r="S10" s="9"/>
      <c r="T10" s="9"/>
      <c r="U10" s="37">
        <v>3</v>
      </c>
      <c r="V10" t="s">
        <v>72</v>
      </c>
      <c r="W10">
        <v>24</v>
      </c>
      <c r="X10">
        <v>12732.449999999999</v>
      </c>
    </row>
    <row r="11" spans="2:24" x14ac:dyDescent="0.3">
      <c r="B11" s="272" t="s">
        <v>96</v>
      </c>
      <c r="C11" s="115">
        <v>10</v>
      </c>
      <c r="D11" s="64">
        <v>5437.57</v>
      </c>
      <c r="E11" s="271"/>
      <c r="F11" s="270">
        <v>0.3</v>
      </c>
      <c r="G11" s="269">
        <f t="shared" si="0"/>
        <v>1631.271</v>
      </c>
      <c r="H11" s="267">
        <f t="shared" si="1"/>
        <v>3806.299</v>
      </c>
      <c r="I11" s="8"/>
      <c r="J11" s="326"/>
      <c r="K11" s="326"/>
      <c r="L11" s="328"/>
      <c r="M11" s="268"/>
      <c r="N11" s="64"/>
      <c r="O11" s="267"/>
      <c r="P11" s="45"/>
      <c r="Q11" s="36"/>
      <c r="R11" s="8"/>
      <c r="S11" s="9"/>
      <c r="T11" s="9"/>
      <c r="V11" t="s">
        <v>31</v>
      </c>
      <c r="W11">
        <v>10</v>
      </c>
      <c r="X11">
        <v>5437.57</v>
      </c>
    </row>
    <row r="12" spans="2:24" x14ac:dyDescent="0.3">
      <c r="B12" s="286" t="s">
        <v>97</v>
      </c>
      <c r="C12" s="285">
        <v>16</v>
      </c>
      <c r="D12" s="137">
        <v>7584.0400000000009</v>
      </c>
      <c r="E12" s="284"/>
      <c r="F12" s="283">
        <v>1</v>
      </c>
      <c r="G12" s="282">
        <f t="shared" si="0"/>
        <v>7584.0400000000009</v>
      </c>
      <c r="H12" s="280">
        <f t="shared" si="1"/>
        <v>0</v>
      </c>
      <c r="I12" s="281"/>
      <c r="J12" s="329"/>
      <c r="K12" s="329"/>
      <c r="L12" s="331"/>
      <c r="M12" s="281"/>
      <c r="N12" s="137"/>
      <c r="O12" s="280"/>
      <c r="P12" s="45"/>
      <c r="Q12" s="36">
        <v>68000</v>
      </c>
      <c r="R12" s="8"/>
      <c r="S12" s="9"/>
      <c r="T12" s="9"/>
      <c r="U12" s="37">
        <v>4</v>
      </c>
      <c r="V12" t="s">
        <v>72</v>
      </c>
      <c r="W12">
        <v>16</v>
      </c>
      <c r="X12">
        <v>7584.0400000000009</v>
      </c>
    </row>
    <row r="13" spans="2:24" x14ac:dyDescent="0.3">
      <c r="B13" s="279" t="s">
        <v>96</v>
      </c>
      <c r="C13" s="278">
        <v>11</v>
      </c>
      <c r="D13" s="92">
        <v>3951.09</v>
      </c>
      <c r="E13" s="277"/>
      <c r="F13" s="276">
        <v>0.3</v>
      </c>
      <c r="G13" s="275">
        <f t="shared" si="0"/>
        <v>1185.327</v>
      </c>
      <c r="H13" s="273">
        <f t="shared" si="1"/>
        <v>2765.7629999999999</v>
      </c>
      <c r="I13" s="274"/>
      <c r="J13" s="330"/>
      <c r="K13" s="330"/>
      <c r="L13" s="332"/>
      <c r="M13" s="274"/>
      <c r="N13" s="92"/>
      <c r="O13" s="273"/>
      <c r="P13" s="45"/>
      <c r="Q13" s="36"/>
      <c r="R13" s="8"/>
      <c r="S13" s="9"/>
      <c r="T13" s="9"/>
      <c r="V13" t="s">
        <v>31</v>
      </c>
      <c r="W13">
        <v>11</v>
      </c>
      <c r="X13">
        <v>3951.09</v>
      </c>
    </row>
    <row r="14" spans="2:24" x14ac:dyDescent="0.3">
      <c r="B14" s="272" t="s">
        <v>95</v>
      </c>
      <c r="C14" s="115">
        <v>25</v>
      </c>
      <c r="D14" s="64">
        <v>4888.2700000000004</v>
      </c>
      <c r="E14" s="271"/>
      <c r="F14" s="270">
        <v>1</v>
      </c>
      <c r="G14" s="269">
        <f t="shared" si="0"/>
        <v>4888.2700000000004</v>
      </c>
      <c r="H14" s="267">
        <f t="shared" si="1"/>
        <v>0</v>
      </c>
      <c r="I14" s="8"/>
      <c r="J14" s="326"/>
      <c r="K14" s="326"/>
      <c r="L14" s="328" t="e">
        <f>SUM(G14:G15)/J14</f>
        <v>#DIV/0!</v>
      </c>
      <c r="M14" s="268"/>
      <c r="N14" s="64" t="e">
        <f>(L14/L$3)*J14</f>
        <v>#DIV/0!</v>
      </c>
      <c r="O14" s="267" t="e">
        <f>N14-J14</f>
        <v>#DIV/0!</v>
      </c>
      <c r="P14" s="45"/>
      <c r="Q14" s="36">
        <v>34000</v>
      </c>
      <c r="R14" s="8"/>
      <c r="S14" s="9"/>
      <c r="T14" s="9"/>
      <c r="U14" s="37">
        <v>5</v>
      </c>
      <c r="V14" t="s">
        <v>72</v>
      </c>
      <c r="W14">
        <v>25</v>
      </c>
      <c r="X14">
        <v>4888.2700000000004</v>
      </c>
    </row>
    <row r="15" spans="2:24" x14ac:dyDescent="0.3">
      <c r="B15" s="272" t="s">
        <v>94</v>
      </c>
      <c r="C15" s="115">
        <v>2</v>
      </c>
      <c r="D15" s="64">
        <v>35.43</v>
      </c>
      <c r="E15" s="271"/>
      <c r="F15" s="270">
        <v>0.3</v>
      </c>
      <c r="G15" s="269">
        <f t="shared" si="0"/>
        <v>10.629</v>
      </c>
      <c r="H15" s="267">
        <f t="shared" si="1"/>
        <v>24.801000000000002</v>
      </c>
      <c r="I15" s="8"/>
      <c r="J15" s="326"/>
      <c r="K15" s="326"/>
      <c r="L15" s="328"/>
      <c r="M15" s="268"/>
      <c r="N15" s="64"/>
      <c r="O15" s="267"/>
      <c r="P15" s="45"/>
      <c r="Q15" s="36"/>
      <c r="R15" s="8"/>
      <c r="S15" s="9"/>
      <c r="T15" s="9"/>
      <c r="V15" t="s">
        <v>31</v>
      </c>
      <c r="W15">
        <v>2</v>
      </c>
      <c r="X15">
        <v>35.43</v>
      </c>
    </row>
    <row r="16" spans="2:24" x14ac:dyDescent="0.3">
      <c r="B16" s="286" t="s">
        <v>93</v>
      </c>
      <c r="C16" s="285">
        <v>16</v>
      </c>
      <c r="D16" s="137">
        <v>3560.37</v>
      </c>
      <c r="E16" s="284"/>
      <c r="F16" s="283">
        <v>1</v>
      </c>
      <c r="G16" s="282">
        <f t="shared" si="0"/>
        <v>3560.37</v>
      </c>
      <c r="H16" s="280">
        <f t="shared" si="1"/>
        <v>0</v>
      </c>
      <c r="I16" s="281"/>
      <c r="J16" s="329"/>
      <c r="K16" s="329"/>
      <c r="L16" s="331" t="e">
        <f>SUM(G16:G17)/J16</f>
        <v>#DIV/0!</v>
      </c>
      <c r="M16" s="281"/>
      <c r="N16" s="137" t="e">
        <f>(L16/L$3)*J16</f>
        <v>#DIV/0!</v>
      </c>
      <c r="O16" s="280" t="e">
        <f>N16-J16</f>
        <v>#DIV/0!</v>
      </c>
      <c r="P16" s="45"/>
      <c r="Q16" s="36">
        <v>27200</v>
      </c>
      <c r="R16" s="8"/>
      <c r="S16" s="9"/>
      <c r="T16" s="9"/>
      <c r="U16" s="37">
        <v>6</v>
      </c>
      <c r="V16" t="s">
        <v>72</v>
      </c>
      <c r="W16">
        <v>16</v>
      </c>
      <c r="X16">
        <v>3560.37</v>
      </c>
    </row>
    <row r="17" spans="2:24" x14ac:dyDescent="0.3">
      <c r="B17" s="279" t="s">
        <v>92</v>
      </c>
      <c r="C17" s="278">
        <v>6</v>
      </c>
      <c r="D17" s="92">
        <v>885.89</v>
      </c>
      <c r="E17" s="277"/>
      <c r="F17" s="276">
        <v>0.3</v>
      </c>
      <c r="G17" s="275">
        <f t="shared" si="0"/>
        <v>265.767</v>
      </c>
      <c r="H17" s="273">
        <f t="shared" si="1"/>
        <v>620.12300000000005</v>
      </c>
      <c r="I17" s="274"/>
      <c r="J17" s="330"/>
      <c r="K17" s="330"/>
      <c r="L17" s="332"/>
      <c r="M17" s="274"/>
      <c r="N17" s="92"/>
      <c r="O17" s="273"/>
      <c r="P17" s="45"/>
      <c r="Q17" s="36"/>
      <c r="R17" s="8"/>
      <c r="S17" s="9"/>
      <c r="T17" s="9"/>
      <c r="V17" t="s">
        <v>31</v>
      </c>
      <c r="W17">
        <v>6</v>
      </c>
      <c r="X17">
        <v>885.89</v>
      </c>
    </row>
    <row r="18" spans="2:24" x14ac:dyDescent="0.3">
      <c r="B18" s="272" t="s">
        <v>91</v>
      </c>
      <c r="C18" s="115">
        <v>9</v>
      </c>
      <c r="D18" s="64">
        <v>1458.3099999999997</v>
      </c>
      <c r="E18" s="271"/>
      <c r="F18" s="270">
        <v>1</v>
      </c>
      <c r="G18" s="269">
        <f t="shared" si="0"/>
        <v>1458.3099999999997</v>
      </c>
      <c r="H18" s="267">
        <f t="shared" si="1"/>
        <v>0</v>
      </c>
      <c r="I18" s="8"/>
      <c r="J18" s="326"/>
      <c r="K18" s="326"/>
      <c r="L18" s="328" t="e">
        <f>SUM(G18:G19)/J18</f>
        <v>#DIV/0!</v>
      </c>
      <c r="M18" s="268"/>
      <c r="N18" s="64" t="e">
        <f>(L18/L$3)*J18</f>
        <v>#DIV/0!</v>
      </c>
      <c r="O18" s="267" t="e">
        <f>N18-J18</f>
        <v>#DIV/0!</v>
      </c>
      <c r="P18" s="45"/>
      <c r="Q18" s="36">
        <v>61200</v>
      </c>
      <c r="R18" s="8"/>
      <c r="S18" s="9"/>
      <c r="T18" s="9"/>
      <c r="U18" s="264">
        <v>7</v>
      </c>
      <c r="V18" s="266" t="s">
        <v>72</v>
      </c>
      <c r="W18" s="265">
        <v>9</v>
      </c>
      <c r="X18">
        <v>1458.3099999999997</v>
      </c>
    </row>
    <row r="19" spans="2:24" ht="15" thickBot="1" x14ac:dyDescent="0.35">
      <c r="B19" s="272" t="s">
        <v>90</v>
      </c>
      <c r="C19" s="115"/>
      <c r="D19" s="64"/>
      <c r="E19" s="271"/>
      <c r="F19" s="270">
        <v>0.3</v>
      </c>
      <c r="G19" s="269">
        <f t="shared" si="0"/>
        <v>0</v>
      </c>
      <c r="H19" s="267">
        <f t="shared" si="1"/>
        <v>0</v>
      </c>
      <c r="I19" s="8"/>
      <c r="J19" s="333"/>
      <c r="K19" s="333"/>
      <c r="L19" s="334"/>
      <c r="M19" s="268"/>
      <c r="N19" s="64"/>
      <c r="O19" s="267"/>
      <c r="P19" s="45"/>
      <c r="Q19" s="36"/>
      <c r="R19" s="8"/>
      <c r="S19" s="9"/>
      <c r="T19" s="9"/>
    </row>
    <row r="20" spans="2:24" ht="15.75" thickBot="1" x14ac:dyDescent="0.3">
      <c r="B20" s="176" t="s">
        <v>61</v>
      </c>
      <c r="C20" s="263">
        <v>188</v>
      </c>
      <c r="D20" s="162">
        <v>61009.880000000005</v>
      </c>
      <c r="E20" s="179"/>
      <c r="F20" s="262">
        <f>G20/D20</f>
        <v>0.83542475415457296</v>
      </c>
      <c r="G20" s="179">
        <f>SUM(G6:G19)</f>
        <v>50969.164000000004</v>
      </c>
      <c r="H20" s="179">
        <f>SUM(H6:H19)</f>
        <v>10040.716</v>
      </c>
      <c r="I20" s="261"/>
      <c r="J20" s="162">
        <f>SUM(J6:J19)</f>
        <v>0</v>
      </c>
      <c r="K20" s="182"/>
      <c r="L20" s="260" t="e">
        <f>SUM(G20)/J20</f>
        <v>#DIV/0!</v>
      </c>
      <c r="M20" s="247"/>
      <c r="N20" s="162" t="e">
        <f>(L20/L$3)*J20</f>
        <v>#DIV/0!</v>
      </c>
      <c r="O20" s="182" t="e">
        <f>N20-J20</f>
        <v>#DIV/0!</v>
      </c>
      <c r="Q20" s="162">
        <f>SUM(Q6:Q19)</f>
        <v>340000</v>
      </c>
      <c r="R20" s="8"/>
      <c r="S20" s="9"/>
      <c r="T20" s="9"/>
      <c r="U20" s="37" t="s">
        <v>61</v>
      </c>
      <c r="W20">
        <v>188</v>
      </c>
      <c r="X20">
        <v>61009.880000000005</v>
      </c>
    </row>
    <row r="21" spans="2:24" ht="15" x14ac:dyDescent="0.25">
      <c r="B21" s="183"/>
      <c r="C21" s="249"/>
      <c r="D21" s="185"/>
      <c r="E21" s="185"/>
      <c r="F21" s="185"/>
      <c r="G21" s="185"/>
      <c r="H21" s="185"/>
      <c r="I21" s="248"/>
      <c r="J21" s="185"/>
      <c r="K21" s="185"/>
      <c r="L21" s="185"/>
      <c r="M21" s="247"/>
      <c r="N21" s="185"/>
      <c r="O21" s="185"/>
      <c r="Q21" s="166"/>
      <c r="R21" s="8"/>
      <c r="S21" s="9"/>
      <c r="T21" s="9"/>
      <c r="U21" s="264"/>
      <c r="V21" s="266"/>
      <c r="W21" s="265"/>
    </row>
    <row r="22" spans="2:24" ht="15.75" thickBot="1" x14ac:dyDescent="0.3">
      <c r="N22" s="168"/>
      <c r="Q22" s="36"/>
      <c r="R22" s="8"/>
      <c r="S22" s="9"/>
      <c r="T22" s="9"/>
      <c r="U22" s="264"/>
    </row>
    <row r="23" spans="2:24" ht="15.75" thickBot="1" x14ac:dyDescent="0.3">
      <c r="B23" s="186" t="s">
        <v>63</v>
      </c>
      <c r="C23" s="259"/>
      <c r="D23" s="188"/>
      <c r="E23" s="189"/>
      <c r="F23" s="189"/>
      <c r="G23" s="189">
        <f>G20</f>
        <v>50969.164000000004</v>
      </c>
      <c r="H23" s="190"/>
      <c r="I23" s="258"/>
      <c r="J23" s="188">
        <f>J20</f>
        <v>0</v>
      </c>
      <c r="K23" s="189"/>
      <c r="L23" s="257" t="e">
        <f>SUM(G23)/J23</f>
        <v>#DIV/0!</v>
      </c>
      <c r="M23" s="247"/>
      <c r="N23" s="162" t="e">
        <f>(L23/L$3)*J23</f>
        <v>#DIV/0!</v>
      </c>
      <c r="O23" s="182" t="e">
        <f>N23-J23</f>
        <v>#DIV/0!</v>
      </c>
      <c r="Q23" s="166"/>
      <c r="R23" s="8"/>
      <c r="S23" s="9"/>
      <c r="T23" s="9"/>
      <c r="U23" s="264"/>
    </row>
    <row r="24" spans="2:24" ht="15.75" thickBot="1" x14ac:dyDescent="0.3">
      <c r="B24" s="192" t="s">
        <v>64</v>
      </c>
      <c r="C24" s="256"/>
      <c r="D24" s="194"/>
      <c r="E24" s="185"/>
      <c r="F24" s="185"/>
      <c r="G24" s="185"/>
      <c r="H24" s="195">
        <f>H20</f>
        <v>10040.716</v>
      </c>
      <c r="I24" s="255"/>
      <c r="J24" s="194"/>
      <c r="K24" s="185">
        <f>K20</f>
        <v>0</v>
      </c>
      <c r="L24" s="254" t="e">
        <f>SUM(H20)/K20</f>
        <v>#DIV/0!</v>
      </c>
      <c r="M24" s="247"/>
      <c r="N24" s="162" t="e">
        <f>(L24/L$3)*K24</f>
        <v>#DIV/0!</v>
      </c>
      <c r="O24" s="182" t="e">
        <f>N24-K24</f>
        <v>#DIV/0!</v>
      </c>
      <c r="Q24" s="166"/>
      <c r="R24" s="8"/>
      <c r="S24" s="9"/>
      <c r="T24" s="9"/>
    </row>
    <row r="25" spans="2:24" ht="15.75" thickBot="1" x14ac:dyDescent="0.3">
      <c r="B25" s="197" t="s">
        <v>65</v>
      </c>
      <c r="C25" s="253"/>
      <c r="D25" s="199">
        <f>SUM(G20:H20)</f>
        <v>61009.880000000005</v>
      </c>
      <c r="E25" s="200"/>
      <c r="F25" s="200"/>
      <c r="G25" s="200"/>
      <c r="H25" s="201"/>
      <c r="I25" s="252"/>
      <c r="J25" s="202"/>
      <c r="K25" s="180">
        <f>SUM(J20:K20)</f>
        <v>0</v>
      </c>
      <c r="L25" s="251" t="e">
        <f>SUM(D25)/K25</f>
        <v>#DIV/0!</v>
      </c>
      <c r="M25" s="247"/>
      <c r="N25" s="162" t="e">
        <f>(L25/L$3)*K25</f>
        <v>#DIV/0!</v>
      </c>
      <c r="O25" s="182" t="e">
        <f>N25-K25</f>
        <v>#DIV/0!</v>
      </c>
      <c r="P25" s="168"/>
      <c r="Q25" s="166"/>
      <c r="R25" s="8"/>
      <c r="S25" s="9"/>
    </row>
    <row r="26" spans="2:24" ht="15" x14ac:dyDescent="0.25">
      <c r="B26" s="183"/>
      <c r="C26" s="249"/>
      <c r="D26" s="185"/>
      <c r="E26" s="185"/>
      <c r="F26" s="185"/>
      <c r="G26" s="185"/>
      <c r="H26" s="185"/>
      <c r="I26" s="248"/>
      <c r="J26" s="185"/>
      <c r="K26" s="185"/>
      <c r="L26" s="247"/>
      <c r="M26" s="247"/>
      <c r="N26" s="185"/>
      <c r="O26" s="185"/>
      <c r="Q26" s="166"/>
      <c r="R26" s="8"/>
      <c r="S26" s="9"/>
      <c r="T26" s="9"/>
    </row>
    <row r="27" spans="2:24" ht="21" customHeight="1" thickBot="1" x14ac:dyDescent="0.3">
      <c r="C27" s="246"/>
      <c r="D27" s="214"/>
      <c r="E27" s="214"/>
      <c r="F27" s="214"/>
      <c r="G27" s="214"/>
      <c r="H27" s="214"/>
      <c r="I27" s="214"/>
      <c r="J27" s="214"/>
      <c r="K27" s="214"/>
      <c r="L27" s="214"/>
      <c r="M27" s="214"/>
      <c r="N27" s="214"/>
      <c r="O27" s="214"/>
      <c r="Q27" s="169"/>
      <c r="R27" s="170"/>
      <c r="S27" s="171"/>
      <c r="T27" s="171"/>
    </row>
    <row r="28" spans="2:24" ht="21" customHeight="1" x14ac:dyDescent="0.25">
      <c r="B28" s="335" t="s">
        <v>120</v>
      </c>
      <c r="C28" s="336"/>
      <c r="D28" s="336"/>
      <c r="E28" s="336"/>
      <c r="F28" s="336"/>
      <c r="G28" s="336"/>
      <c r="H28" s="336"/>
      <c r="I28" s="336"/>
      <c r="J28" s="336"/>
      <c r="K28" s="336"/>
      <c r="L28" s="336"/>
      <c r="M28" s="233"/>
      <c r="N28" s="233"/>
      <c r="O28" s="233"/>
      <c r="U28" s="264"/>
    </row>
    <row r="29" spans="2:24" s="173" customFormat="1" ht="39.75" customHeight="1" x14ac:dyDescent="0.25">
      <c r="B29" s="336" t="s">
        <v>89</v>
      </c>
      <c r="C29" s="336"/>
      <c r="D29" s="336"/>
      <c r="E29" s="336"/>
      <c r="F29" s="336"/>
      <c r="G29" s="336"/>
      <c r="H29" s="336"/>
      <c r="I29" s="336"/>
      <c r="J29" s="336"/>
      <c r="K29" s="336"/>
      <c r="L29" s="336"/>
      <c r="M29" s="233"/>
      <c r="N29" s="233"/>
      <c r="O29" s="233"/>
      <c r="Q29" s="172"/>
      <c r="R29" s="174"/>
      <c r="S29" s="175"/>
      <c r="T29" s="175"/>
      <c r="U29" s="264"/>
      <c r="V29"/>
      <c r="W29"/>
    </row>
    <row r="30" spans="2:24" s="173" customFormat="1" ht="39.75" hidden="1" customHeight="1" x14ac:dyDescent="0.25">
      <c r="B30" t="s">
        <v>88</v>
      </c>
      <c r="C30"/>
      <c r="D30"/>
      <c r="E30"/>
      <c r="F30"/>
      <c r="G30"/>
      <c r="H30"/>
      <c r="I30"/>
      <c r="J30" s="234"/>
      <c r="K30" s="234"/>
      <c r="L30"/>
      <c r="M30"/>
      <c r="N30"/>
      <c r="O30"/>
      <c r="Q30" s="172"/>
      <c r="S30" s="175"/>
      <c r="T30" s="175"/>
      <c r="U30" s="264"/>
      <c r="V30"/>
      <c r="W30"/>
    </row>
    <row r="31" spans="2:24" ht="15" hidden="1" x14ac:dyDescent="0.25">
      <c r="B31" t="s">
        <v>23</v>
      </c>
      <c r="C31">
        <v>2</v>
      </c>
      <c r="D31">
        <v>827.92</v>
      </c>
      <c r="J31">
        <v>340000</v>
      </c>
    </row>
    <row r="32" spans="2:24"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row>
    <row r="48" spans="2:21" ht="15" x14ac:dyDescent="0.25">
      <c r="U48"/>
    </row>
    <row r="49" spans="20:23" ht="15" x14ac:dyDescent="0.25">
      <c r="U49"/>
    </row>
    <row r="50" spans="20:23" ht="15" x14ac:dyDescent="0.25">
      <c r="U50"/>
    </row>
    <row r="51" spans="20:23" ht="15.75" thickBot="1" x14ac:dyDescent="0.3"/>
    <row r="52" spans="20:23" ht="15" x14ac:dyDescent="0.25">
      <c r="T52" s="245" t="s">
        <v>86</v>
      </c>
      <c r="U52"/>
    </row>
    <row r="53" spans="20:23" ht="15" x14ac:dyDescent="0.25">
      <c r="T53" s="244">
        <v>1</v>
      </c>
      <c r="U53"/>
    </row>
    <row r="54" spans="20:23" ht="15" x14ac:dyDescent="0.25">
      <c r="T54" s="244">
        <v>2</v>
      </c>
    </row>
    <row r="55" spans="20:23" ht="15" x14ac:dyDescent="0.25">
      <c r="T55" s="244">
        <v>3</v>
      </c>
      <c r="U55"/>
    </row>
    <row r="56" spans="20:23" ht="15" x14ac:dyDescent="0.25">
      <c r="T56" s="244">
        <v>4</v>
      </c>
      <c r="U56"/>
    </row>
    <row r="57" spans="20:23" ht="15" x14ac:dyDescent="0.25">
      <c r="T57" s="244">
        <v>5</v>
      </c>
      <c r="U57"/>
    </row>
    <row r="58" spans="20:23" ht="15" x14ac:dyDescent="0.25">
      <c r="T58" s="244">
        <v>6</v>
      </c>
      <c r="U58"/>
      <c r="W58" s="173"/>
    </row>
    <row r="59" spans="20:23" ht="15.75" thickBot="1" x14ac:dyDescent="0.3">
      <c r="T59" s="244">
        <v>7</v>
      </c>
      <c r="U59"/>
      <c r="V59" s="207"/>
      <c r="W59" s="173"/>
    </row>
    <row r="60" spans="20:23" ht="15" thickBot="1" x14ac:dyDescent="0.35">
      <c r="T60" s="243" t="s">
        <v>85</v>
      </c>
      <c r="U60"/>
      <c r="V60" s="241" t="s">
        <v>84</v>
      </c>
      <c r="W60" s="242" t="s">
        <v>83</v>
      </c>
    </row>
    <row r="61" spans="20:23" ht="15" thickBot="1" x14ac:dyDescent="0.35">
      <c r="U61" s="206"/>
      <c r="V61" s="240">
        <v>51000</v>
      </c>
      <c r="W61" s="239">
        <v>22</v>
      </c>
    </row>
    <row r="62" spans="20:23" x14ac:dyDescent="0.3">
      <c r="U62" s="241" t="s">
        <v>82</v>
      </c>
      <c r="V62" s="240">
        <v>37400</v>
      </c>
      <c r="W62" s="239">
        <v>16</v>
      </c>
    </row>
    <row r="63" spans="20:23" x14ac:dyDescent="0.3">
      <c r="U63" s="236">
        <v>0.15</v>
      </c>
      <c r="V63" s="240">
        <v>61200</v>
      </c>
      <c r="W63" s="239">
        <v>26</v>
      </c>
    </row>
    <row r="64" spans="20:23" x14ac:dyDescent="0.3">
      <c r="U64" s="236">
        <v>0.11</v>
      </c>
      <c r="V64" s="240">
        <v>68000</v>
      </c>
      <c r="W64" s="239">
        <v>29</v>
      </c>
    </row>
    <row r="65" spans="21:23" x14ac:dyDescent="0.3">
      <c r="U65" s="236">
        <v>0.18</v>
      </c>
      <c r="V65" s="240">
        <v>34000</v>
      </c>
      <c r="W65" s="239">
        <v>14</v>
      </c>
    </row>
    <row r="66" spans="21:23" x14ac:dyDescent="0.3">
      <c r="U66" s="236">
        <v>0.2</v>
      </c>
      <c r="V66" s="240">
        <v>27200</v>
      </c>
      <c r="W66" s="239">
        <v>11</v>
      </c>
    </row>
    <row r="67" spans="21:23" ht="15" thickBot="1" x14ac:dyDescent="0.35">
      <c r="U67" s="236">
        <v>0.1</v>
      </c>
      <c r="V67" s="240">
        <v>61200</v>
      </c>
      <c r="W67" s="239">
        <v>26</v>
      </c>
    </row>
    <row r="68" spans="21:23" ht="15" thickBot="1" x14ac:dyDescent="0.35">
      <c r="U68" s="236">
        <v>0.08</v>
      </c>
      <c r="V68" s="238">
        <v>340000</v>
      </c>
      <c r="W68" s="237">
        <v>144</v>
      </c>
    </row>
    <row r="69" spans="21:23" ht="15" thickBot="1" x14ac:dyDescent="0.35">
      <c r="U69" s="236">
        <v>0.18</v>
      </c>
    </row>
    <row r="70" spans="21:23" ht="15" thickBot="1" x14ac:dyDescent="0.35">
      <c r="U70" s="235"/>
    </row>
    <row r="71" spans="21:23" x14ac:dyDescent="0.3">
      <c r="U71"/>
    </row>
    <row r="72" spans="21:23" x14ac:dyDescent="0.3">
      <c r="U72"/>
    </row>
    <row r="73" spans="21:23" x14ac:dyDescent="0.3">
      <c r="U73"/>
    </row>
    <row r="74" spans="21:23" x14ac:dyDescent="0.3">
      <c r="U74"/>
    </row>
    <row r="75" spans="21:23" x14ac:dyDescent="0.3">
      <c r="U75"/>
    </row>
    <row r="77" spans="21:23" x14ac:dyDescent="0.3">
      <c r="V77" s="8"/>
    </row>
    <row r="78" spans="21:23" x14ac:dyDescent="0.3">
      <c r="V78" s="8"/>
    </row>
    <row r="79" spans="21:23" x14ac:dyDescent="0.3">
      <c r="U79" s="9"/>
      <c r="V79" s="8"/>
    </row>
    <row r="80" spans="21:23"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207" priority="15" operator="greaterThan">
      <formula>$L$3</formula>
    </cfRule>
  </conditionalFormatting>
  <conditionalFormatting sqref="L23:L24">
    <cfRule type="cellIs" dxfId="206" priority="14" operator="greaterThan">
      <formula>$L$3</formula>
    </cfRule>
  </conditionalFormatting>
  <conditionalFormatting sqref="M40:M41 L37:M37 M38 L42:M43">
    <cfRule type="cellIs" dxfId="205" priority="13" operator="greaterThan">
      <formula>$L$3</formula>
    </cfRule>
  </conditionalFormatting>
  <conditionalFormatting sqref="L40:L41">
    <cfRule type="cellIs" dxfId="204" priority="12" operator="greaterThan">
      <formula>$L$3</formula>
    </cfRule>
  </conditionalFormatting>
  <conditionalFormatting sqref="M6:M7">
    <cfRule type="cellIs" dxfId="203" priority="11" operator="greaterThan">
      <formula>$L$3</formula>
    </cfRule>
  </conditionalFormatting>
  <conditionalFormatting sqref="M10:M11">
    <cfRule type="cellIs" dxfId="202" priority="10" operator="greaterThan">
      <formula>$L$3</formula>
    </cfRule>
  </conditionalFormatting>
  <conditionalFormatting sqref="M14:M15">
    <cfRule type="cellIs" dxfId="201" priority="9" operator="greaterThan">
      <formula>$L$3</formula>
    </cfRule>
  </conditionalFormatting>
  <conditionalFormatting sqref="M18:M19">
    <cfRule type="cellIs" dxfId="200" priority="8" operator="greaterThan">
      <formula>$L$3</formula>
    </cfRule>
  </conditionalFormatting>
  <conditionalFormatting sqref="L6:L7">
    <cfRule type="cellIs" dxfId="199" priority="7" operator="greaterThan">
      <formula>$L$3</formula>
    </cfRule>
  </conditionalFormatting>
  <conditionalFormatting sqref="L8:L9">
    <cfRule type="cellIs" dxfId="198" priority="6" operator="greaterThan">
      <formula>$L$3</formula>
    </cfRule>
  </conditionalFormatting>
  <conditionalFormatting sqref="L10:L11">
    <cfRule type="cellIs" dxfId="197" priority="5" operator="greaterThan">
      <formula>$L$3</formula>
    </cfRule>
  </conditionalFormatting>
  <conditionalFormatting sqref="L12:L13">
    <cfRule type="cellIs" dxfId="196" priority="4" operator="greaterThan">
      <formula>$L$3</formula>
    </cfRule>
  </conditionalFormatting>
  <conditionalFormatting sqref="L14:L15">
    <cfRule type="cellIs" dxfId="195" priority="3" operator="greaterThan">
      <formula>$L$3</formula>
    </cfRule>
  </conditionalFormatting>
  <conditionalFormatting sqref="L16:L17">
    <cfRule type="cellIs" dxfId="194" priority="2" operator="greaterThan">
      <formula>$L$3</formula>
    </cfRule>
  </conditionalFormatting>
  <conditionalFormatting sqref="L18:L19">
    <cfRule type="cellIs" dxfId="193"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175"/>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 customWidth="1"/>
    <col min="16" max="16" width="12.44140625" customWidth="1"/>
    <col min="17" max="17" width="12.44140625" style="172" customWidth="1"/>
    <col min="18" max="18" width="12.44140625" customWidth="1"/>
    <col min="19" max="21" width="12.44140625" style="37" customWidth="1"/>
    <col min="22" max="27" width="12.44140625" customWidth="1"/>
    <col min="34" max="34" width="17.33203125" customWidth="1"/>
  </cols>
  <sheetData>
    <row r="1" spans="2:24" ht="15.75" thickBot="1" x14ac:dyDescent="0.3">
      <c r="Q1" s="323" t="s">
        <v>0</v>
      </c>
      <c r="R1" s="324"/>
      <c r="S1" s="324"/>
      <c r="T1" s="324"/>
      <c r="U1" s="324"/>
      <c r="V1" s="324"/>
    </row>
    <row r="2" spans="2:24" ht="30" x14ac:dyDescent="0.25">
      <c r="B2" s="2"/>
      <c r="C2" s="3"/>
      <c r="D2" s="3"/>
      <c r="E2" s="3"/>
      <c r="F2" s="3"/>
      <c r="G2" s="3"/>
      <c r="H2" s="3"/>
      <c r="I2" s="3"/>
      <c r="J2" s="4" t="s">
        <v>1</v>
      </c>
      <c r="K2" s="308"/>
      <c r="L2" s="5" t="s">
        <v>2</v>
      </c>
      <c r="M2" s="6"/>
      <c r="N2" s="6"/>
      <c r="O2" s="6"/>
      <c r="Q2" s="7">
        <v>41456</v>
      </c>
      <c r="R2" s="8"/>
      <c r="S2" s="9"/>
      <c r="T2" s="9"/>
      <c r="U2" s="9"/>
      <c r="V2" s="8"/>
    </row>
    <row r="3" spans="2:24" ht="18.75" x14ac:dyDescent="0.3">
      <c r="B3" s="10" t="s">
        <v>121</v>
      </c>
      <c r="C3" s="11"/>
      <c r="D3" s="8"/>
      <c r="E3" s="8"/>
      <c r="F3" s="8"/>
      <c r="G3" s="8"/>
      <c r="H3" s="8"/>
      <c r="I3" s="8"/>
      <c r="J3" s="12">
        <v>41489</v>
      </c>
      <c r="K3" s="307"/>
      <c r="L3" s="13">
        <f>$Q$5/26</f>
        <v>9.0659340659340656E-2</v>
      </c>
      <c r="M3" s="14"/>
      <c r="N3" s="14"/>
      <c r="O3" s="14"/>
      <c r="Q3" s="15"/>
      <c r="R3" s="8"/>
      <c r="S3" s="9"/>
      <c r="T3" s="9"/>
      <c r="U3" s="9"/>
      <c r="V3" s="8"/>
    </row>
    <row r="4" spans="2:24" ht="15.75" thickBot="1" x14ac:dyDescent="0.3">
      <c r="B4" s="16"/>
      <c r="C4" s="8"/>
      <c r="D4" s="8"/>
      <c r="E4" s="8"/>
      <c r="F4" s="17"/>
      <c r="G4" s="8"/>
      <c r="H4" s="8"/>
      <c r="I4" s="8"/>
      <c r="J4" s="306"/>
      <c r="K4" s="306"/>
      <c r="L4" s="19"/>
      <c r="M4" s="8"/>
      <c r="N4" s="8"/>
      <c r="O4" s="8"/>
      <c r="Q4" s="15">
        <f>J3-Q2</f>
        <v>33</v>
      </c>
      <c r="R4" s="8"/>
      <c r="S4" s="9"/>
      <c r="T4" s="9"/>
      <c r="U4" s="8"/>
      <c r="V4" s="8"/>
    </row>
    <row r="5" spans="2:24" ht="30.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2.3571428571428572</v>
      </c>
      <c r="R5" s="8"/>
      <c r="S5" s="9"/>
      <c r="T5" s="9"/>
      <c r="U5"/>
    </row>
    <row r="6" spans="2:24" x14ac:dyDescent="0.3">
      <c r="B6" s="294" t="s">
        <v>115</v>
      </c>
      <c r="C6" s="293">
        <v>5</v>
      </c>
      <c r="D6" s="113">
        <v>1840.4099999999999</v>
      </c>
      <c r="E6" s="292"/>
      <c r="F6" s="291">
        <v>1</v>
      </c>
      <c r="G6" s="290">
        <f t="shared" ref="G6:G19" si="0">D6*F6</f>
        <v>1840.4099999999999</v>
      </c>
      <c r="H6" s="288">
        <f t="shared" ref="H6:H19" si="1">D6-G6</f>
        <v>0</v>
      </c>
      <c r="I6" s="289"/>
      <c r="J6" s="325"/>
      <c r="K6" s="325"/>
      <c r="L6" s="327" t="e">
        <f>SUM(G6:G7)/J6</f>
        <v>#DIV/0!</v>
      </c>
      <c r="M6" s="268"/>
      <c r="N6" s="113" t="e">
        <f>(L6/L$3)*J6</f>
        <v>#DIV/0!</v>
      </c>
      <c r="O6" s="288" t="e">
        <f>N6-J6</f>
        <v>#DIV/0!</v>
      </c>
      <c r="Q6" s="36">
        <v>51000</v>
      </c>
      <c r="R6" s="8"/>
      <c r="S6" s="9"/>
      <c r="T6" s="9"/>
      <c r="U6" s="37" t="s">
        <v>101</v>
      </c>
      <c r="V6" t="s">
        <v>3</v>
      </c>
      <c r="W6" t="s">
        <v>13</v>
      </c>
      <c r="X6" t="s">
        <v>14</v>
      </c>
    </row>
    <row r="7" spans="2:24" x14ac:dyDescent="0.3">
      <c r="B7" s="272" t="s">
        <v>108</v>
      </c>
      <c r="C7" s="115">
        <v>11</v>
      </c>
      <c r="D7" s="64">
        <v>6912.35</v>
      </c>
      <c r="E7" s="271"/>
      <c r="F7" s="270">
        <v>0.3</v>
      </c>
      <c r="G7" s="269">
        <f t="shared" si="0"/>
        <v>2073.7049999999999</v>
      </c>
      <c r="H7" s="267">
        <f t="shared" si="1"/>
        <v>4838.6450000000004</v>
      </c>
      <c r="I7" s="8"/>
      <c r="J7" s="326"/>
      <c r="K7" s="326"/>
      <c r="L7" s="328"/>
      <c r="M7" s="268"/>
      <c r="N7" s="64"/>
      <c r="O7" s="267"/>
      <c r="Q7" s="36"/>
      <c r="R7" s="8"/>
      <c r="S7" s="9"/>
      <c r="T7" s="9"/>
      <c r="U7" s="37">
        <v>1</v>
      </c>
      <c r="V7" t="s">
        <v>53</v>
      </c>
      <c r="W7">
        <v>5</v>
      </c>
      <c r="X7">
        <v>1840.4099999999999</v>
      </c>
    </row>
    <row r="8" spans="2:24" x14ac:dyDescent="0.3">
      <c r="B8" s="286" t="s">
        <v>114</v>
      </c>
      <c r="C8" s="285"/>
      <c r="D8" s="137"/>
      <c r="E8" s="284"/>
      <c r="F8" s="283">
        <v>1</v>
      </c>
      <c r="G8" s="282">
        <f t="shared" si="0"/>
        <v>0</v>
      </c>
      <c r="H8" s="280">
        <f t="shared" si="1"/>
        <v>0</v>
      </c>
      <c r="I8" s="281"/>
      <c r="J8" s="329"/>
      <c r="K8" s="329"/>
      <c r="L8" s="331" t="e">
        <f>SUM(G8:G9)/J8</f>
        <v>#DIV/0!</v>
      </c>
      <c r="M8" s="281"/>
      <c r="N8" s="137" t="e">
        <f>(L8/L$3)*J8</f>
        <v>#DIV/0!</v>
      </c>
      <c r="O8" s="280" t="e">
        <f>N8-J8</f>
        <v>#DIV/0!</v>
      </c>
      <c r="Q8" s="36">
        <v>37400</v>
      </c>
      <c r="R8" s="8"/>
      <c r="S8" s="9"/>
      <c r="T8" s="9"/>
      <c r="V8" t="s">
        <v>55</v>
      </c>
      <c r="W8">
        <v>11</v>
      </c>
      <c r="X8">
        <v>6912.35</v>
      </c>
    </row>
    <row r="9" spans="2:24" x14ac:dyDescent="0.3">
      <c r="B9" s="279" t="s">
        <v>108</v>
      </c>
      <c r="C9" s="278"/>
      <c r="D9" s="92"/>
      <c r="E9" s="277"/>
      <c r="F9" s="276">
        <v>0.3</v>
      </c>
      <c r="G9" s="275">
        <f t="shared" si="0"/>
        <v>0</v>
      </c>
      <c r="H9" s="273">
        <f t="shared" si="1"/>
        <v>0</v>
      </c>
      <c r="I9" s="274"/>
      <c r="J9" s="330"/>
      <c r="K9" s="330"/>
      <c r="L9" s="332"/>
      <c r="M9" s="274"/>
      <c r="N9" s="92"/>
      <c r="O9" s="273"/>
      <c r="Q9" s="36"/>
      <c r="R9" s="8"/>
      <c r="S9" s="9"/>
      <c r="T9" s="9"/>
    </row>
    <row r="10" spans="2:24" x14ac:dyDescent="0.3">
      <c r="B10" s="272" t="s">
        <v>113</v>
      </c>
      <c r="C10" s="115">
        <v>1</v>
      </c>
      <c r="D10" s="64">
        <v>1652.6000000000004</v>
      </c>
      <c r="E10" s="271"/>
      <c r="F10" s="270">
        <v>1</v>
      </c>
      <c r="G10" s="269">
        <f t="shared" si="0"/>
        <v>1652.6000000000004</v>
      </c>
      <c r="H10" s="267">
        <f t="shared" si="1"/>
        <v>0</v>
      </c>
      <c r="I10" s="8"/>
      <c r="J10" s="326"/>
      <c r="K10" s="326"/>
      <c r="L10" s="328" t="e">
        <f>SUM(G10:G11)/J10</f>
        <v>#DIV/0!</v>
      </c>
      <c r="M10" s="268"/>
      <c r="N10" s="64" t="e">
        <f>(L10/L$3)*J10</f>
        <v>#DIV/0!</v>
      </c>
      <c r="O10" s="267" t="e">
        <f>N10-J10</f>
        <v>#DIV/0!</v>
      </c>
      <c r="Q10" s="36">
        <v>61200</v>
      </c>
      <c r="R10" s="8"/>
      <c r="S10" s="9"/>
      <c r="T10" s="9"/>
    </row>
    <row r="11" spans="2:24" x14ac:dyDescent="0.3">
      <c r="B11" s="272" t="s">
        <v>108</v>
      </c>
      <c r="C11" s="115">
        <v>1</v>
      </c>
      <c r="D11" s="64">
        <v>345</v>
      </c>
      <c r="E11" s="271"/>
      <c r="F11" s="270">
        <v>0.3</v>
      </c>
      <c r="G11" s="269">
        <f t="shared" si="0"/>
        <v>103.5</v>
      </c>
      <c r="H11" s="267">
        <f t="shared" si="1"/>
        <v>241.5</v>
      </c>
      <c r="I11" s="8"/>
      <c r="J11" s="326"/>
      <c r="K11" s="326"/>
      <c r="L11" s="328"/>
      <c r="M11" s="268"/>
      <c r="N11" s="64"/>
      <c r="O11" s="267"/>
      <c r="P11" s="45"/>
      <c r="Q11" s="36"/>
      <c r="R11" s="8"/>
      <c r="S11" s="9"/>
      <c r="T11" s="9"/>
      <c r="U11" s="37">
        <v>3</v>
      </c>
      <c r="V11" t="s">
        <v>53</v>
      </c>
      <c r="W11">
        <v>1</v>
      </c>
      <c r="X11">
        <v>1652.6000000000004</v>
      </c>
    </row>
    <row r="12" spans="2:24" x14ac:dyDescent="0.3">
      <c r="B12" s="286" t="s">
        <v>112</v>
      </c>
      <c r="C12" s="285">
        <v>17</v>
      </c>
      <c r="D12" s="137">
        <v>8881.3500000000022</v>
      </c>
      <c r="E12" s="284"/>
      <c r="F12" s="283">
        <v>1</v>
      </c>
      <c r="G12" s="282">
        <f t="shared" si="0"/>
        <v>8881.3500000000022</v>
      </c>
      <c r="H12" s="280">
        <f t="shared" si="1"/>
        <v>0</v>
      </c>
      <c r="I12" s="281"/>
      <c r="J12" s="329"/>
      <c r="K12" s="329"/>
      <c r="L12" s="331" t="e">
        <f>SUM(G12:G13)/J12</f>
        <v>#DIV/0!</v>
      </c>
      <c r="M12" s="281"/>
      <c r="N12" s="137" t="e">
        <f>(L12/L$3)*J12</f>
        <v>#DIV/0!</v>
      </c>
      <c r="O12" s="280" t="e">
        <f>N12-J12</f>
        <v>#DIV/0!</v>
      </c>
      <c r="P12" s="45"/>
      <c r="Q12" s="36">
        <v>68000</v>
      </c>
      <c r="R12" s="8"/>
      <c r="S12" s="9"/>
      <c r="T12" s="9"/>
      <c r="V12" t="s">
        <v>55</v>
      </c>
      <c r="W12">
        <v>1</v>
      </c>
      <c r="X12">
        <v>345</v>
      </c>
    </row>
    <row r="13" spans="2:24" x14ac:dyDescent="0.3">
      <c r="B13" s="279" t="s">
        <v>108</v>
      </c>
      <c r="C13" s="278">
        <v>2</v>
      </c>
      <c r="D13" s="92">
        <v>1059.74</v>
      </c>
      <c r="E13" s="277"/>
      <c r="F13" s="276">
        <v>0.3</v>
      </c>
      <c r="G13" s="275">
        <f t="shared" si="0"/>
        <v>317.92199999999997</v>
      </c>
      <c r="H13" s="273">
        <f t="shared" si="1"/>
        <v>741.81799999999998</v>
      </c>
      <c r="I13" s="274"/>
      <c r="J13" s="330"/>
      <c r="K13" s="330"/>
      <c r="L13" s="332"/>
      <c r="M13" s="274"/>
      <c r="N13" s="92"/>
      <c r="O13" s="273"/>
      <c r="P13" s="45"/>
      <c r="Q13" s="36"/>
      <c r="R13" s="8"/>
      <c r="S13" s="9"/>
      <c r="T13" s="9"/>
      <c r="U13" s="37">
        <v>4</v>
      </c>
      <c r="V13" t="s">
        <v>53</v>
      </c>
      <c r="W13">
        <v>17</v>
      </c>
      <c r="X13">
        <v>8881.3500000000022</v>
      </c>
    </row>
    <row r="14" spans="2:24" x14ac:dyDescent="0.3">
      <c r="B14" s="272" t="s">
        <v>111</v>
      </c>
      <c r="C14" s="115">
        <v>5</v>
      </c>
      <c r="D14" s="64">
        <v>2369.7399999999998</v>
      </c>
      <c r="E14" s="271"/>
      <c r="F14" s="270">
        <v>1</v>
      </c>
      <c r="G14" s="269">
        <f t="shared" si="0"/>
        <v>2369.7399999999998</v>
      </c>
      <c r="H14" s="267">
        <f t="shared" si="1"/>
        <v>0</v>
      </c>
      <c r="I14" s="8"/>
      <c r="J14" s="326"/>
      <c r="K14" s="326"/>
      <c r="L14" s="328" t="e">
        <f>SUM(G14:G15)/J14</f>
        <v>#DIV/0!</v>
      </c>
      <c r="M14" s="268"/>
      <c r="N14" s="64" t="e">
        <f>(L14/L$3)*J14</f>
        <v>#DIV/0!</v>
      </c>
      <c r="O14" s="267" t="e">
        <f>N14-J14</f>
        <v>#DIV/0!</v>
      </c>
      <c r="P14" s="45"/>
      <c r="Q14" s="36">
        <v>34000</v>
      </c>
      <c r="R14" s="8"/>
      <c r="S14" s="9"/>
      <c r="T14" s="9"/>
      <c r="V14" t="s">
        <v>55</v>
      </c>
      <c r="W14">
        <v>2</v>
      </c>
      <c r="X14">
        <v>1059.74</v>
      </c>
    </row>
    <row r="15" spans="2:24" x14ac:dyDescent="0.3">
      <c r="B15" s="272" t="s">
        <v>108</v>
      </c>
      <c r="C15" s="115">
        <v>2</v>
      </c>
      <c r="D15" s="64">
        <v>434.85000000000008</v>
      </c>
      <c r="E15" s="271"/>
      <c r="F15" s="270">
        <v>0.3</v>
      </c>
      <c r="G15" s="269">
        <f t="shared" si="0"/>
        <v>130.45500000000001</v>
      </c>
      <c r="H15" s="267">
        <f t="shared" si="1"/>
        <v>304.3950000000001</v>
      </c>
      <c r="I15" s="8"/>
      <c r="J15" s="326"/>
      <c r="K15" s="326"/>
      <c r="L15" s="328"/>
      <c r="M15" s="268"/>
      <c r="N15" s="64"/>
      <c r="O15" s="267"/>
      <c r="P15" s="45"/>
      <c r="Q15" s="36"/>
      <c r="R15" s="8"/>
      <c r="S15" s="9"/>
      <c r="T15" s="9"/>
      <c r="U15" s="37">
        <v>5</v>
      </c>
      <c r="V15" t="s">
        <v>53</v>
      </c>
      <c r="W15">
        <v>5</v>
      </c>
      <c r="X15">
        <v>2369.7399999999998</v>
      </c>
    </row>
    <row r="16" spans="2:24" x14ac:dyDescent="0.3">
      <c r="B16" s="286" t="s">
        <v>110</v>
      </c>
      <c r="C16" s="285">
        <v>5</v>
      </c>
      <c r="D16" s="137">
        <v>1593.4399999999998</v>
      </c>
      <c r="E16" s="284"/>
      <c r="F16" s="283">
        <v>1</v>
      </c>
      <c r="G16" s="282">
        <f t="shared" si="0"/>
        <v>1593.4399999999998</v>
      </c>
      <c r="H16" s="280">
        <f t="shared" si="1"/>
        <v>0</v>
      </c>
      <c r="I16" s="281"/>
      <c r="J16" s="329"/>
      <c r="K16" s="329"/>
      <c r="L16" s="331" t="e">
        <f>SUM(G16:G17)/J16</f>
        <v>#DIV/0!</v>
      </c>
      <c r="M16" s="281"/>
      <c r="N16" s="137" t="e">
        <f>(L16/L$3)*J16</f>
        <v>#DIV/0!</v>
      </c>
      <c r="O16" s="280" t="e">
        <f>N16-J16</f>
        <v>#DIV/0!</v>
      </c>
      <c r="P16" s="45"/>
      <c r="Q16" s="36">
        <v>27200</v>
      </c>
      <c r="R16" s="8"/>
      <c r="S16" s="9"/>
      <c r="T16" s="9"/>
      <c r="V16" t="s">
        <v>55</v>
      </c>
      <c r="W16">
        <v>2</v>
      </c>
      <c r="X16">
        <v>434.85000000000008</v>
      </c>
    </row>
    <row r="17" spans="2:25" x14ac:dyDescent="0.3">
      <c r="B17" s="279" t="s">
        <v>108</v>
      </c>
      <c r="C17" s="278"/>
      <c r="D17" s="92"/>
      <c r="E17" s="277"/>
      <c r="F17" s="276">
        <v>0.3</v>
      </c>
      <c r="G17" s="275">
        <f t="shared" si="0"/>
        <v>0</v>
      </c>
      <c r="H17" s="273">
        <f t="shared" si="1"/>
        <v>0</v>
      </c>
      <c r="I17" s="274"/>
      <c r="J17" s="330"/>
      <c r="K17" s="330"/>
      <c r="L17" s="332"/>
      <c r="M17" s="274"/>
      <c r="N17" s="92"/>
      <c r="O17" s="273"/>
      <c r="P17" s="45"/>
      <c r="Q17" s="36"/>
      <c r="R17" s="8"/>
      <c r="S17" s="9"/>
      <c r="T17" s="9"/>
      <c r="U17" s="37">
        <v>6</v>
      </c>
      <c r="V17" t="s">
        <v>53</v>
      </c>
      <c r="W17">
        <v>5</v>
      </c>
      <c r="X17">
        <v>1593.4399999999998</v>
      </c>
    </row>
    <row r="18" spans="2:25" x14ac:dyDescent="0.3">
      <c r="B18" s="272" t="s">
        <v>109</v>
      </c>
      <c r="C18" s="115">
        <v>2</v>
      </c>
      <c r="D18" s="64">
        <v>130</v>
      </c>
      <c r="E18" s="271"/>
      <c r="F18" s="270">
        <v>1</v>
      </c>
      <c r="G18" s="269">
        <f t="shared" si="0"/>
        <v>130</v>
      </c>
      <c r="H18" s="267">
        <f t="shared" si="1"/>
        <v>0</v>
      </c>
      <c r="I18" s="8"/>
      <c r="J18" s="326"/>
      <c r="K18" s="326"/>
      <c r="L18" s="328" t="e">
        <f>SUM(G18:G19)/J18</f>
        <v>#DIV/0!</v>
      </c>
      <c r="M18" s="268"/>
      <c r="N18" s="64" t="e">
        <f>(L18/L$3)*J18</f>
        <v>#DIV/0!</v>
      </c>
      <c r="O18" s="267" t="e">
        <f>N18-J18</f>
        <v>#DIV/0!</v>
      </c>
      <c r="P18" s="45"/>
      <c r="Q18" s="36">
        <v>61200</v>
      </c>
      <c r="R18" s="8"/>
      <c r="S18" s="9"/>
      <c r="T18" s="9"/>
    </row>
    <row r="19" spans="2:25" ht="15" thickBot="1" x14ac:dyDescent="0.35">
      <c r="B19" s="272" t="s">
        <v>108</v>
      </c>
      <c r="C19" s="115">
        <v>4</v>
      </c>
      <c r="D19" s="64">
        <v>7427.3999999999951</v>
      </c>
      <c r="E19" s="271"/>
      <c r="F19" s="270">
        <v>0.3</v>
      </c>
      <c r="G19" s="269">
        <f t="shared" si="0"/>
        <v>2228.2199999999984</v>
      </c>
      <c r="H19" s="267">
        <f t="shared" si="1"/>
        <v>5199.1799999999967</v>
      </c>
      <c r="I19" s="8"/>
      <c r="J19" s="333"/>
      <c r="K19" s="333"/>
      <c r="L19" s="334"/>
      <c r="M19" s="268"/>
      <c r="N19" s="64"/>
      <c r="O19" s="267"/>
      <c r="P19" s="45"/>
      <c r="Q19" s="36"/>
      <c r="R19" s="8"/>
      <c r="S19" s="9"/>
      <c r="T19" s="9"/>
      <c r="U19" s="37">
        <v>7</v>
      </c>
      <c r="V19" t="s">
        <v>53</v>
      </c>
      <c r="W19">
        <v>2</v>
      </c>
      <c r="X19">
        <v>130</v>
      </c>
    </row>
    <row r="20" spans="2:25" ht="15.75" thickBot="1" x14ac:dyDescent="0.3">
      <c r="B20" s="176" t="s">
        <v>61</v>
      </c>
      <c r="C20" s="263">
        <v>55</v>
      </c>
      <c r="D20" s="162">
        <v>32646.879999999994</v>
      </c>
      <c r="E20" s="179"/>
      <c r="F20" s="262">
        <f>G20/D20</f>
        <v>0.65308972863563086</v>
      </c>
      <c r="G20" s="179">
        <f>SUM(G6:G19)</f>
        <v>21321.342000000001</v>
      </c>
      <c r="H20" s="179">
        <f>SUM(H6:H19)</f>
        <v>11325.537999999997</v>
      </c>
      <c r="I20" s="261"/>
      <c r="J20" s="162">
        <f>SUM(J6:J19)</f>
        <v>0</v>
      </c>
      <c r="K20" s="182"/>
      <c r="L20" s="260" t="e">
        <f>SUM(G20)/J20</f>
        <v>#DIV/0!</v>
      </c>
      <c r="M20" s="247"/>
      <c r="N20" s="162" t="e">
        <f>(L20/L$3)*J20</f>
        <v>#DIV/0!</v>
      </c>
      <c r="O20" s="182" t="e">
        <f>N20-J20</f>
        <v>#DIV/0!</v>
      </c>
      <c r="Q20" s="162">
        <f>SUM(Q6:Q19)</f>
        <v>340000</v>
      </c>
      <c r="R20" s="8"/>
      <c r="S20" s="9"/>
      <c r="T20" s="9"/>
      <c r="V20" t="s">
        <v>55</v>
      </c>
      <c r="W20">
        <v>4</v>
      </c>
      <c r="X20">
        <v>7427.3999999999951</v>
      </c>
    </row>
    <row r="21" spans="2:25" ht="15" x14ac:dyDescent="0.25">
      <c r="B21" s="183"/>
      <c r="C21" s="249"/>
      <c r="D21" s="185"/>
      <c r="E21" s="185"/>
      <c r="F21" s="185"/>
      <c r="G21" s="185"/>
      <c r="H21" s="185"/>
      <c r="I21" s="248"/>
      <c r="J21" s="185"/>
      <c r="K21" s="185"/>
      <c r="L21" s="185"/>
      <c r="M21" s="247"/>
      <c r="N21" s="185"/>
      <c r="O21" s="185"/>
      <c r="Q21" s="166"/>
      <c r="R21" s="8"/>
      <c r="S21" s="9"/>
      <c r="T21" s="9"/>
      <c r="U21" s="37" t="s">
        <v>61</v>
      </c>
      <c r="W21">
        <v>55</v>
      </c>
      <c r="X21">
        <v>32646.879999999994</v>
      </c>
    </row>
    <row r="22" spans="2:25" ht="15.75" thickBot="1" x14ac:dyDescent="0.3">
      <c r="N22" s="168"/>
      <c r="Q22" s="36"/>
      <c r="R22" s="8"/>
      <c r="S22" s="9"/>
      <c r="T22" s="9"/>
    </row>
    <row r="23" spans="2:25" ht="15.75" thickBot="1" x14ac:dyDescent="0.3">
      <c r="B23" s="186" t="s">
        <v>63</v>
      </c>
      <c r="C23" s="259"/>
      <c r="D23" s="188"/>
      <c r="E23" s="189"/>
      <c r="F23" s="189"/>
      <c r="G23" s="189">
        <f>G20</f>
        <v>21321.342000000001</v>
      </c>
      <c r="H23" s="190"/>
      <c r="I23" s="258"/>
      <c r="J23" s="188">
        <f>J20</f>
        <v>0</v>
      </c>
      <c r="K23" s="189"/>
      <c r="L23" s="257" t="e">
        <f>SUM(G23)/J23</f>
        <v>#DIV/0!</v>
      </c>
      <c r="M23" s="247"/>
      <c r="N23" s="162" t="e">
        <f>(L23/L$3)*J23</f>
        <v>#DIV/0!</v>
      </c>
      <c r="O23" s="182" t="e">
        <f>N23-J23</f>
        <v>#DIV/0!</v>
      </c>
      <c r="Q23" s="166"/>
      <c r="R23" s="8"/>
      <c r="S23" s="9"/>
      <c r="T23" s="9"/>
    </row>
    <row r="24" spans="2:25" ht="15.75" thickBot="1" x14ac:dyDescent="0.3">
      <c r="B24" s="192" t="s">
        <v>64</v>
      </c>
      <c r="C24" s="256"/>
      <c r="D24" s="194"/>
      <c r="E24" s="185"/>
      <c r="F24" s="185"/>
      <c r="G24" s="185"/>
      <c r="H24" s="195">
        <f>H20</f>
        <v>11325.537999999997</v>
      </c>
      <c r="I24" s="255"/>
      <c r="J24" s="194"/>
      <c r="K24" s="185">
        <f>K20</f>
        <v>0</v>
      </c>
      <c r="L24" s="254" t="e">
        <f>SUM(H20)/K20</f>
        <v>#DIV/0!</v>
      </c>
      <c r="M24" s="247"/>
      <c r="N24" s="162" t="e">
        <f>(L24/L$3)*K24</f>
        <v>#DIV/0!</v>
      </c>
      <c r="O24" s="182" t="e">
        <f>N24-K24</f>
        <v>#DIV/0!</v>
      </c>
      <c r="Q24" s="166"/>
      <c r="R24" s="8"/>
      <c r="S24" s="9"/>
      <c r="T24" s="9"/>
    </row>
    <row r="25" spans="2:25" ht="15.75" thickBot="1" x14ac:dyDescent="0.3">
      <c r="B25" s="197" t="s">
        <v>65</v>
      </c>
      <c r="C25" s="253"/>
      <c r="D25" s="199">
        <f>SUM(G20:H20)</f>
        <v>32646.879999999997</v>
      </c>
      <c r="E25" s="200"/>
      <c r="F25" s="200"/>
      <c r="G25" s="200"/>
      <c r="H25" s="201"/>
      <c r="I25" s="252"/>
      <c r="J25" s="202"/>
      <c r="K25" s="180">
        <f>SUM(J20:K20)</f>
        <v>0</v>
      </c>
      <c r="L25" s="251" t="e">
        <f>SUM(D25)/K25</f>
        <v>#DIV/0!</v>
      </c>
      <c r="M25" s="247"/>
      <c r="N25" s="162" t="e">
        <f>(L25/L$3)*K25</f>
        <v>#DIV/0!</v>
      </c>
      <c r="O25" s="182" t="e">
        <f>N25-K25</f>
        <v>#DIV/0!</v>
      </c>
      <c r="P25" s="168"/>
      <c r="Q25" s="166"/>
      <c r="R25" s="8"/>
      <c r="S25" s="9"/>
    </row>
    <row r="26" spans="2:25" ht="15" x14ac:dyDescent="0.25">
      <c r="B26" s="183"/>
      <c r="C26" s="249"/>
      <c r="D26" s="185"/>
      <c r="E26" s="185"/>
      <c r="F26" s="185"/>
      <c r="G26" s="185"/>
      <c r="H26" s="185"/>
      <c r="I26" s="248"/>
      <c r="J26" s="185"/>
      <c r="K26" s="185"/>
      <c r="L26" s="247"/>
      <c r="M26" s="247"/>
      <c r="N26" s="185"/>
      <c r="O26" s="185"/>
      <c r="Q26" s="166"/>
      <c r="R26" s="8"/>
      <c r="S26" s="9"/>
      <c r="T26" s="9"/>
    </row>
    <row r="27" spans="2:25" ht="21" customHeight="1" thickBot="1" x14ac:dyDescent="0.3">
      <c r="C27" s="246"/>
      <c r="D27" s="214"/>
      <c r="E27" s="214"/>
      <c r="F27" s="214"/>
      <c r="G27" s="214"/>
      <c r="H27" s="214"/>
      <c r="I27" s="214"/>
      <c r="J27" s="214"/>
      <c r="K27" s="214"/>
      <c r="L27" s="214"/>
      <c r="M27" s="214"/>
      <c r="N27" s="214"/>
      <c r="O27" s="214"/>
      <c r="Q27" s="169"/>
      <c r="R27" s="170"/>
      <c r="S27" s="171"/>
      <c r="T27" s="171"/>
    </row>
    <row r="28" spans="2:25" ht="21" customHeight="1" x14ac:dyDescent="0.25">
      <c r="B28" s="335" t="s">
        <v>120</v>
      </c>
      <c r="C28" s="336"/>
      <c r="D28" s="336"/>
      <c r="E28" s="336"/>
      <c r="F28" s="336"/>
      <c r="G28" s="336"/>
      <c r="H28" s="336"/>
      <c r="I28" s="336"/>
      <c r="J28" s="336"/>
      <c r="K28" s="336"/>
      <c r="L28" s="336"/>
      <c r="M28" s="233"/>
      <c r="N28" s="233"/>
      <c r="O28" s="233"/>
    </row>
    <row r="29" spans="2:25" s="173" customFormat="1" ht="39.75" customHeight="1" x14ac:dyDescent="0.25">
      <c r="B29" s="336" t="s">
        <v>107</v>
      </c>
      <c r="C29" s="336"/>
      <c r="D29" s="336"/>
      <c r="E29" s="336"/>
      <c r="F29" s="336"/>
      <c r="G29" s="336"/>
      <c r="H29" s="336"/>
      <c r="I29" s="336"/>
      <c r="J29" s="336"/>
      <c r="K29" s="336"/>
      <c r="L29" s="336"/>
      <c r="M29" s="233"/>
      <c r="N29" s="233"/>
      <c r="O29" s="233"/>
      <c r="Q29" s="172"/>
      <c r="R29" s="174"/>
      <c r="S29" s="175"/>
      <c r="T29" s="175"/>
      <c r="U29" s="37"/>
      <c r="V29"/>
      <c r="W29"/>
      <c r="X29"/>
      <c r="Y29"/>
    </row>
    <row r="30" spans="2:25" s="173" customFormat="1" ht="39.75" hidden="1" customHeight="1" x14ac:dyDescent="0.25">
      <c r="B30" t="s">
        <v>88</v>
      </c>
      <c r="C30"/>
      <c r="D30"/>
      <c r="E30"/>
      <c r="F30"/>
      <c r="G30"/>
      <c r="H30"/>
      <c r="I30"/>
      <c r="J30" s="234"/>
      <c r="K30" s="234"/>
      <c r="L30"/>
      <c r="M30"/>
      <c r="N30"/>
      <c r="O30"/>
      <c r="Q30" s="172"/>
      <c r="S30" s="175"/>
      <c r="T30" s="175"/>
      <c r="U30" s="37"/>
      <c r="V30"/>
      <c r="W30"/>
      <c r="X30"/>
      <c r="Y30"/>
    </row>
    <row r="31" spans="2:25" ht="15" hidden="1" x14ac:dyDescent="0.25">
      <c r="B31" t="s">
        <v>23</v>
      </c>
      <c r="C31">
        <v>2</v>
      </c>
      <c r="D31">
        <v>827.92</v>
      </c>
      <c r="J31">
        <v>340000</v>
      </c>
    </row>
    <row r="32" spans="2:25" ht="15" hidden="1" x14ac:dyDescent="0.25">
      <c r="B32" t="s">
        <v>87</v>
      </c>
      <c r="C32">
        <v>83</v>
      </c>
      <c r="D32">
        <v>133749.80999999991</v>
      </c>
      <c r="J32">
        <v>250000</v>
      </c>
      <c r="U32"/>
      <c r="X32" s="173"/>
      <c r="Y32" s="173"/>
    </row>
    <row r="33" spans="2:25" ht="15" hidden="1" x14ac:dyDescent="0.25">
      <c r="X33" s="173"/>
      <c r="Y33" s="173"/>
    </row>
    <row r="34" spans="2:25"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5" ht="15" hidden="1" x14ac:dyDescent="0.25">
      <c r="U35"/>
    </row>
    <row r="36" spans="2:25" ht="15" hidden="1" x14ac:dyDescent="0.25">
      <c r="U36"/>
    </row>
    <row r="37" spans="2:25"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5" ht="15" hidden="1" x14ac:dyDescent="0.25">
      <c r="B38" s="183"/>
      <c r="C38" s="249"/>
      <c r="D38" s="185"/>
      <c r="E38" s="185"/>
      <c r="F38" s="185"/>
      <c r="G38" s="185"/>
      <c r="H38" s="185"/>
      <c r="I38" s="248"/>
      <c r="J38" s="185"/>
      <c r="K38" s="185"/>
      <c r="L38" s="185"/>
      <c r="M38" s="247"/>
      <c r="N38" s="185"/>
      <c r="O38" s="185"/>
      <c r="U38"/>
    </row>
    <row r="39" spans="2:25" ht="15" hidden="1" x14ac:dyDescent="0.25"/>
    <row r="40" spans="2:25"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5"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5"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5" ht="15" hidden="1" x14ac:dyDescent="0.25">
      <c r="B43" s="183"/>
      <c r="C43" s="249"/>
      <c r="D43" s="185"/>
      <c r="E43" s="185"/>
      <c r="F43" s="185"/>
      <c r="G43" s="185"/>
      <c r="H43" s="185"/>
      <c r="I43" s="248"/>
      <c r="J43" s="185"/>
      <c r="K43" s="185"/>
      <c r="L43" s="247"/>
      <c r="M43" s="247"/>
      <c r="N43" s="185"/>
      <c r="O43" s="185"/>
      <c r="U43"/>
    </row>
    <row r="44" spans="2:25"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5" ht="15" hidden="1" x14ac:dyDescent="0.25">
      <c r="U45"/>
    </row>
    <row r="46" spans="2:25" ht="15" x14ac:dyDescent="0.25">
      <c r="D46" s="168">
        <f>D20-D25</f>
        <v>0</v>
      </c>
      <c r="U46"/>
    </row>
    <row r="47" spans="2:25" ht="15" x14ac:dyDescent="0.25">
      <c r="C47" s="205"/>
    </row>
    <row r="48" spans="2:25" ht="15" x14ac:dyDescent="0.25">
      <c r="U48"/>
    </row>
    <row r="49" spans="20:23" ht="15" x14ac:dyDescent="0.25">
      <c r="U49"/>
    </row>
    <row r="50" spans="20:23" ht="15" x14ac:dyDescent="0.25">
      <c r="U50"/>
    </row>
    <row r="52" spans="20:23" ht="15" x14ac:dyDescent="0.25">
      <c r="U52"/>
    </row>
    <row r="53" spans="20:23" ht="15.75" thickBot="1" x14ac:dyDescent="0.3">
      <c r="U53"/>
    </row>
    <row r="54" spans="20:23" ht="15" x14ac:dyDescent="0.25">
      <c r="T54" s="245" t="s">
        <v>86</v>
      </c>
    </row>
    <row r="55" spans="20:23" ht="15" x14ac:dyDescent="0.25">
      <c r="T55" s="244">
        <v>1</v>
      </c>
      <c r="U55"/>
    </row>
    <row r="56" spans="20:23" ht="15" x14ac:dyDescent="0.25">
      <c r="T56" s="244">
        <v>2</v>
      </c>
      <c r="U56"/>
    </row>
    <row r="57" spans="20:23" ht="15" x14ac:dyDescent="0.25">
      <c r="T57" s="244">
        <v>3</v>
      </c>
      <c r="U57"/>
    </row>
    <row r="58" spans="20:23" ht="15" x14ac:dyDescent="0.25">
      <c r="T58" s="244">
        <v>4</v>
      </c>
      <c r="U58"/>
    </row>
    <row r="59" spans="20:23" ht="15" x14ac:dyDescent="0.25">
      <c r="T59" s="244">
        <v>5</v>
      </c>
      <c r="U59" s="206"/>
    </row>
    <row r="60" spans="20:23" ht="15.75" thickBot="1" x14ac:dyDescent="0.3">
      <c r="T60" s="244">
        <v>6</v>
      </c>
      <c r="U60" s="206"/>
      <c r="V60" s="207"/>
      <c r="W60" s="173"/>
    </row>
    <row r="61" spans="20:23" ht="15" thickBot="1" x14ac:dyDescent="0.35">
      <c r="T61" s="244">
        <v>7</v>
      </c>
      <c r="U61" s="241" t="s">
        <v>82</v>
      </c>
      <c r="V61" s="207"/>
    </row>
    <row r="62" spans="20:23" ht="15" thickBot="1" x14ac:dyDescent="0.35">
      <c r="T62" s="243" t="s">
        <v>85</v>
      </c>
      <c r="U62" s="236">
        <v>0.15</v>
      </c>
      <c r="V62" s="241" t="s">
        <v>84</v>
      </c>
      <c r="W62" s="242" t="s">
        <v>83</v>
      </c>
    </row>
    <row r="63" spans="20:23" x14ac:dyDescent="0.3">
      <c r="U63" s="236">
        <v>0.11</v>
      </c>
      <c r="V63" s="240">
        <v>51000</v>
      </c>
      <c r="W63" s="239">
        <v>22</v>
      </c>
    </row>
    <row r="64" spans="20:23" x14ac:dyDescent="0.3">
      <c r="U64" s="236">
        <v>0.18</v>
      </c>
      <c r="V64" s="240">
        <v>37400</v>
      </c>
      <c r="W64" s="239">
        <v>16</v>
      </c>
    </row>
    <row r="65" spans="21:23" x14ac:dyDescent="0.3">
      <c r="U65" s="236">
        <v>0.2</v>
      </c>
      <c r="V65" s="240">
        <v>61200</v>
      </c>
      <c r="W65" s="239">
        <v>26</v>
      </c>
    </row>
    <row r="66" spans="21:23" x14ac:dyDescent="0.3">
      <c r="U66" s="236">
        <v>0.1</v>
      </c>
      <c r="V66" s="240">
        <v>68000</v>
      </c>
      <c r="W66" s="239">
        <v>29</v>
      </c>
    </row>
    <row r="67" spans="21:23" x14ac:dyDescent="0.3">
      <c r="U67" s="236">
        <v>0.08</v>
      </c>
      <c r="V67" s="240">
        <v>34000</v>
      </c>
      <c r="W67" s="239">
        <v>14</v>
      </c>
    </row>
    <row r="68" spans="21:23" ht="15" thickBot="1" x14ac:dyDescent="0.35">
      <c r="U68" s="236">
        <v>0.18</v>
      </c>
      <c r="V68" s="240">
        <v>27200</v>
      </c>
      <c r="W68" s="239">
        <v>11</v>
      </c>
    </row>
    <row r="69" spans="21:23" ht="15" thickBot="1" x14ac:dyDescent="0.35">
      <c r="U69" s="235"/>
      <c r="V69" s="240">
        <v>61200</v>
      </c>
      <c r="W69" s="239">
        <v>26</v>
      </c>
    </row>
    <row r="70" spans="21:23" ht="15" thickBot="1" x14ac:dyDescent="0.35">
      <c r="U70"/>
      <c r="V70" s="238">
        <v>340000</v>
      </c>
      <c r="W70" s="237">
        <v>144</v>
      </c>
    </row>
    <row r="71" spans="21:23" x14ac:dyDescent="0.3">
      <c r="U71"/>
    </row>
    <row r="72" spans="21:23" x14ac:dyDescent="0.3">
      <c r="U72"/>
    </row>
    <row r="73" spans="21:23" x14ac:dyDescent="0.3">
      <c r="U73"/>
    </row>
    <row r="74" spans="21:23" x14ac:dyDescent="0.3">
      <c r="U74"/>
    </row>
    <row r="78" spans="21:23" x14ac:dyDescent="0.3">
      <c r="U78" s="9"/>
    </row>
    <row r="79" spans="21:23" x14ac:dyDescent="0.3">
      <c r="U79" s="9"/>
      <c r="V79" s="8"/>
    </row>
    <row r="80" spans="21:23" x14ac:dyDescent="0.3">
      <c r="U80" s="9"/>
      <c r="V80" s="8"/>
    </row>
    <row r="81" spans="21:22" x14ac:dyDescent="0.3">
      <c r="V81" s="8"/>
    </row>
    <row r="82" spans="21:22" x14ac:dyDescent="0.3">
      <c r="U82" s="9"/>
    </row>
    <row r="83" spans="21:22" x14ac:dyDescent="0.3">
      <c r="U83" s="209"/>
      <c r="V83" s="8"/>
    </row>
    <row r="84" spans="21:22" x14ac:dyDescent="0.3">
      <c r="V84" s="210"/>
    </row>
    <row r="85" spans="21:22" x14ac:dyDescent="0.3">
      <c r="U85" s="9"/>
    </row>
    <row r="86" spans="21:22" x14ac:dyDescent="0.3">
      <c r="U86" s="9"/>
      <c r="V86" s="8"/>
    </row>
    <row r="87" spans="21:22" x14ac:dyDescent="0.3">
      <c r="U87" s="209"/>
      <c r="V87" s="8"/>
    </row>
    <row r="88" spans="21:22" x14ac:dyDescent="0.3">
      <c r="U88" s="209"/>
      <c r="V88" s="210"/>
    </row>
    <row r="89" spans="21:22" x14ac:dyDescent="0.3">
      <c r="U89" s="209"/>
      <c r="V89" s="210"/>
    </row>
    <row r="90" spans="21:22" x14ac:dyDescent="0.3">
      <c r="U90" s="9"/>
      <c r="V90" s="210"/>
    </row>
    <row r="91" spans="21:22" x14ac:dyDescent="0.3">
      <c r="U91" s="209"/>
      <c r="V91" s="8"/>
    </row>
    <row r="92" spans="21:22" x14ac:dyDescent="0.3">
      <c r="V92" s="210"/>
    </row>
    <row r="93" spans="21:22" x14ac:dyDescent="0.3">
      <c r="U93" s="9"/>
    </row>
    <row r="94" spans="21:22" x14ac:dyDescent="0.3">
      <c r="U94" s="9"/>
      <c r="V94" s="8"/>
    </row>
    <row r="95" spans="21:22" x14ac:dyDescent="0.3">
      <c r="U95" s="9"/>
      <c r="V95" s="8"/>
    </row>
    <row r="96" spans="21:22" x14ac:dyDescent="0.3">
      <c r="U96" s="209"/>
      <c r="V96" s="8"/>
    </row>
    <row r="97" spans="21:22" x14ac:dyDescent="0.3">
      <c r="U97" s="209"/>
      <c r="V97" s="210"/>
    </row>
    <row r="98" spans="21:22" x14ac:dyDescent="0.3">
      <c r="U98" s="9"/>
      <c r="V98" s="210"/>
    </row>
    <row r="99" spans="21:22" x14ac:dyDescent="0.3">
      <c r="U99" s="209"/>
      <c r="V99" s="8"/>
    </row>
    <row r="100" spans="21:22" x14ac:dyDescent="0.3">
      <c r="U100" s="9"/>
      <c r="V100" s="210"/>
    </row>
    <row r="101" spans="21:22" x14ac:dyDescent="0.3">
      <c r="U101" s="209"/>
      <c r="V101" s="8"/>
    </row>
    <row r="102" spans="21:22" x14ac:dyDescent="0.3">
      <c r="U102" s="9"/>
      <c r="V102" s="210"/>
    </row>
    <row r="103" spans="21:22" x14ac:dyDescent="0.3">
      <c r="U103" s="209"/>
      <c r="V103" s="8"/>
    </row>
    <row r="104" spans="21:22" x14ac:dyDescent="0.3">
      <c r="U104" s="209"/>
      <c r="V104" s="210"/>
    </row>
    <row r="105" spans="21:22" x14ac:dyDescent="0.3">
      <c r="U105" s="209"/>
      <c r="V105" s="210"/>
    </row>
    <row r="106" spans="21:22" x14ac:dyDescent="0.3">
      <c r="U106" s="209"/>
      <c r="V106" s="210"/>
    </row>
    <row r="107" spans="21:22" x14ac:dyDescent="0.3">
      <c r="U107" s="209"/>
      <c r="V107" s="210"/>
    </row>
    <row r="108" spans="21:22" x14ac:dyDescent="0.3">
      <c r="U108" s="9"/>
      <c r="V108" s="210"/>
    </row>
    <row r="109" spans="21:22" x14ac:dyDescent="0.3">
      <c r="U109" s="209"/>
      <c r="V109" s="8"/>
    </row>
    <row r="110" spans="21:22" x14ac:dyDescent="0.3">
      <c r="U110" s="209"/>
      <c r="V110" s="210"/>
    </row>
    <row r="111" spans="21:22" x14ac:dyDescent="0.3">
      <c r="U111" s="209"/>
      <c r="V111" s="210"/>
    </row>
    <row r="112" spans="21:22" x14ac:dyDescent="0.3">
      <c r="U112" s="209"/>
      <c r="V112" s="210"/>
    </row>
    <row r="113" spans="21:22" ht="15" thickBot="1" x14ac:dyDescent="0.35">
      <c r="U113" s="211"/>
      <c r="V113" s="210"/>
    </row>
    <row r="114" spans="21:22" ht="15" thickBot="1" x14ac:dyDescent="0.35">
      <c r="U114" s="206"/>
      <c r="V114" s="212"/>
    </row>
    <row r="115" spans="21:22" x14ac:dyDescent="0.3">
      <c r="U115" s="206"/>
      <c r="V115" s="207"/>
    </row>
    <row r="116" spans="21:22" x14ac:dyDescent="0.3">
      <c r="U116" s="206"/>
      <c r="V116" s="207"/>
    </row>
    <row r="117" spans="21:22" x14ac:dyDescent="0.3">
      <c r="V117" s="207"/>
    </row>
    <row r="118" spans="21:22" x14ac:dyDescent="0.3">
      <c r="U118" s="206"/>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c r="V124" s="207"/>
    </row>
    <row r="125" spans="21:22" x14ac:dyDescent="0.3">
      <c r="V125" s="207"/>
    </row>
    <row r="126" spans="21:22" x14ac:dyDescent="0.3">
      <c r="U126" s="206"/>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c r="V134" s="207"/>
    </row>
    <row r="135" spans="21:22" x14ac:dyDescent="0.3">
      <c r="V135" s="207"/>
    </row>
    <row r="136" spans="21:22" x14ac:dyDescent="0.3">
      <c r="U136" s="206"/>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c r="V141" s="207"/>
    </row>
    <row r="142" spans="21:22" x14ac:dyDescent="0.3">
      <c r="V142" s="207"/>
    </row>
    <row r="173" spans="21:22" x14ac:dyDescent="0.3">
      <c r="U173" s="175"/>
    </row>
    <row r="174" spans="21:22" x14ac:dyDescent="0.3">
      <c r="U174" s="175"/>
      <c r="V174" s="173"/>
    </row>
    <row r="175" spans="21:22" x14ac:dyDescent="0.3">
      <c r="V175" s="173"/>
    </row>
  </sheetData>
  <mergeCells count="24">
    <mergeCell ref="Q1:V1"/>
    <mergeCell ref="J6:J7"/>
    <mergeCell ref="K6:K7"/>
    <mergeCell ref="L6:L7"/>
    <mergeCell ref="J8:J9"/>
    <mergeCell ref="K8:K9"/>
    <mergeCell ref="L8:L9"/>
    <mergeCell ref="J10:J11"/>
    <mergeCell ref="K10:K11"/>
    <mergeCell ref="L10:L11"/>
    <mergeCell ref="J12:J13"/>
    <mergeCell ref="K12:K13"/>
    <mergeCell ref="L12:L13"/>
    <mergeCell ref="J14:J15"/>
    <mergeCell ref="K14:K15"/>
    <mergeCell ref="L14:L15"/>
    <mergeCell ref="J16:J17"/>
    <mergeCell ref="K16:K17"/>
    <mergeCell ref="L16:L17"/>
    <mergeCell ref="J18:J19"/>
    <mergeCell ref="K18:K19"/>
    <mergeCell ref="L18:L19"/>
    <mergeCell ref="B28:L28"/>
    <mergeCell ref="B29:L29"/>
  </mergeCells>
  <conditionalFormatting sqref="M23:M24 M21 L25:M26 L20:M20">
    <cfRule type="cellIs" dxfId="192" priority="15" operator="greaterThan">
      <formula>$L$3</formula>
    </cfRule>
  </conditionalFormatting>
  <conditionalFormatting sqref="L23:L24">
    <cfRule type="cellIs" dxfId="191" priority="14" operator="greaterThan">
      <formula>$L$3</formula>
    </cfRule>
  </conditionalFormatting>
  <conditionalFormatting sqref="M40:M41 L37:M37 M38 L42:M43">
    <cfRule type="cellIs" dxfId="190" priority="13" operator="greaterThan">
      <formula>$L$3</formula>
    </cfRule>
  </conditionalFormatting>
  <conditionalFormatting sqref="L40:L41">
    <cfRule type="cellIs" dxfId="189" priority="12" operator="greaterThan">
      <formula>$L$3</formula>
    </cfRule>
  </conditionalFormatting>
  <conditionalFormatting sqref="M6:M7">
    <cfRule type="cellIs" dxfId="188" priority="11" operator="greaterThan">
      <formula>$L$3</formula>
    </cfRule>
  </conditionalFormatting>
  <conditionalFormatting sqref="M10:M11">
    <cfRule type="cellIs" dxfId="187" priority="10" operator="greaterThan">
      <formula>$L$3</formula>
    </cfRule>
  </conditionalFormatting>
  <conditionalFormatting sqref="M14:M15">
    <cfRule type="cellIs" dxfId="186" priority="9" operator="greaterThan">
      <formula>$L$3</formula>
    </cfRule>
  </conditionalFormatting>
  <conditionalFormatting sqref="M18:M19">
    <cfRule type="cellIs" dxfId="185" priority="8" operator="greaterThan">
      <formula>$L$3</formula>
    </cfRule>
  </conditionalFormatting>
  <conditionalFormatting sqref="L6:L7">
    <cfRule type="cellIs" dxfId="184" priority="7" operator="greaterThan">
      <formula>$L$3</formula>
    </cfRule>
  </conditionalFormatting>
  <conditionalFormatting sqref="L8:L9">
    <cfRule type="cellIs" dxfId="183" priority="6" operator="greaterThan">
      <formula>$L$3</formula>
    </cfRule>
  </conditionalFormatting>
  <conditionalFormatting sqref="L10:L11">
    <cfRule type="cellIs" dxfId="182" priority="5" operator="greaterThan">
      <formula>$L$3</formula>
    </cfRule>
  </conditionalFormatting>
  <conditionalFormatting sqref="L12:L13">
    <cfRule type="cellIs" dxfId="181" priority="4" operator="greaterThan">
      <formula>$L$3</formula>
    </cfRule>
  </conditionalFormatting>
  <conditionalFormatting sqref="L14:L15">
    <cfRule type="cellIs" dxfId="180" priority="3" operator="greaterThan">
      <formula>$L$3</formula>
    </cfRule>
  </conditionalFormatting>
  <conditionalFormatting sqref="L16:L17">
    <cfRule type="cellIs" dxfId="179" priority="2" operator="greaterThan">
      <formula>$L$3</formula>
    </cfRule>
  </conditionalFormatting>
  <conditionalFormatting sqref="L18:L19">
    <cfRule type="cellIs" dxfId="178" priority="1" operator="greaterThan">
      <formula>$L$3</formula>
    </cfRule>
  </conditionalFormatting>
  <pageMargins left="0.2" right="0.2" top="0.75" bottom="0.75" header="0.3" footer="0.3"/>
  <pageSetup scale="92" orientation="landscape"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55"/>
  <sheetViews>
    <sheetView topLeftCell="A31" zoomScale="70" zoomScaleNormal="70" workbookViewId="0">
      <selection activeCell="A63" sqref="A63:H6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0.44140625" customWidth="1"/>
    <col min="12" max="12" width="11" customWidth="1"/>
    <col min="13" max="13" width="11" style="172" hidden="1" customWidth="1"/>
    <col min="14" max="14" width="11" hidden="1" customWidth="1"/>
    <col min="15" max="15" width="51.44140625" style="37" hidden="1" customWidth="1"/>
    <col min="16" max="17" width="11" style="37" hidden="1" customWidth="1"/>
    <col min="18" max="19" width="11" hidden="1" customWidth="1"/>
    <col min="20" max="20" width="51.44140625" hidden="1" customWidth="1"/>
    <col min="21" max="21" width="11" hidden="1" customWidth="1"/>
    <col min="22" max="22" width="35" hidden="1" customWidth="1"/>
    <col min="23" max="23" width="11" hidden="1" customWidth="1"/>
    <col min="24" max="24" width="51.44140625" hidden="1" customWidth="1"/>
    <col min="25" max="28" width="11" hidden="1" customWidth="1"/>
    <col min="29" max="32" width="11" customWidth="1"/>
  </cols>
  <sheetData>
    <row r="1" spans="1:28" ht="15.75" thickBot="1" x14ac:dyDescent="0.3">
      <c r="M1" s="347" t="s">
        <v>0</v>
      </c>
      <c r="N1" s="348"/>
      <c r="O1" s="348"/>
      <c r="P1" s="348"/>
      <c r="Q1" s="348"/>
      <c r="R1" s="348"/>
      <c r="S1" s="348"/>
      <c r="T1" s="348"/>
      <c r="U1" s="348"/>
      <c r="V1" s="348"/>
      <c r="W1" s="348"/>
      <c r="X1" s="348"/>
      <c r="Y1" s="348"/>
      <c r="Z1" s="348"/>
      <c r="AA1" s="348"/>
      <c r="AB1" s="348"/>
    </row>
    <row r="2" spans="1:28" ht="30" x14ac:dyDescent="0.25">
      <c r="A2" s="2"/>
      <c r="B2" s="3"/>
      <c r="C2" s="3"/>
      <c r="D2" s="3"/>
      <c r="E2" s="3"/>
      <c r="F2" s="3"/>
      <c r="G2" s="4" t="s">
        <v>1</v>
      </c>
      <c r="H2" s="5" t="s">
        <v>2</v>
      </c>
      <c r="I2" s="6"/>
      <c r="J2" s="215"/>
      <c r="K2" s="6"/>
      <c r="M2" s="7">
        <v>41456</v>
      </c>
      <c r="N2" s="8"/>
      <c r="O2" s="9"/>
      <c r="P2" s="9"/>
      <c r="Q2" s="9"/>
      <c r="R2" s="8"/>
    </row>
    <row r="3" spans="1:28" ht="19.5" thickBot="1" x14ac:dyDescent="0.35">
      <c r="A3" s="10" t="s">
        <v>119</v>
      </c>
      <c r="B3" s="11"/>
      <c r="C3" s="8"/>
      <c r="D3" s="8"/>
      <c r="E3" s="8"/>
      <c r="F3" s="8"/>
      <c r="G3" s="12">
        <v>41489</v>
      </c>
      <c r="H3" s="13">
        <f>$M$5/26</f>
        <v>9.0659340659340656E-2</v>
      </c>
      <c r="I3" s="14"/>
      <c r="J3" s="216"/>
      <c r="K3" s="14"/>
      <c r="M3" s="15"/>
      <c r="N3" s="8"/>
      <c r="O3" s="9"/>
      <c r="P3" s="9"/>
      <c r="Q3" s="9"/>
      <c r="R3" s="8"/>
    </row>
    <row r="4" spans="1:28" ht="15.75" thickBot="1" x14ac:dyDescent="0.3">
      <c r="A4" s="16"/>
      <c r="B4" s="8"/>
      <c r="C4" s="8"/>
      <c r="D4" s="17"/>
      <c r="E4" s="8"/>
      <c r="F4" s="8"/>
      <c r="G4" s="18"/>
      <c r="H4" s="19"/>
      <c r="I4" s="8"/>
      <c r="J4" s="217"/>
      <c r="K4" s="8"/>
      <c r="M4" s="15">
        <f>G3-M2</f>
        <v>33</v>
      </c>
      <c r="N4" s="8"/>
      <c r="O4" s="9" t="s">
        <v>79</v>
      </c>
      <c r="P4" s="9"/>
      <c r="Q4" s="8"/>
      <c r="R4" s="8"/>
      <c r="T4" s="2" t="s">
        <v>78</v>
      </c>
      <c r="U4" s="3"/>
      <c r="V4" s="229"/>
      <c r="X4" s="2" t="s">
        <v>77</v>
      </c>
      <c r="Y4" s="3"/>
      <c r="Z4" s="3"/>
      <c r="AA4" s="3"/>
      <c r="AB4" s="229"/>
    </row>
    <row r="5" spans="1:28" ht="30.75" thickBot="1" x14ac:dyDescent="0.3">
      <c r="A5" s="20" t="s">
        <v>3</v>
      </c>
      <c r="B5" s="21" t="s">
        <v>4</v>
      </c>
      <c r="C5" s="21" t="s">
        <v>5</v>
      </c>
      <c r="D5" s="21" t="s">
        <v>6</v>
      </c>
      <c r="E5" s="22" t="s">
        <v>7</v>
      </c>
      <c r="F5" s="21" t="s">
        <v>8</v>
      </c>
      <c r="G5" s="23" t="s">
        <v>9</v>
      </c>
      <c r="H5" s="24" t="s">
        <v>69</v>
      </c>
      <c r="I5" s="25"/>
      <c r="J5" s="26" t="s">
        <v>10</v>
      </c>
      <c r="K5" s="26" t="s">
        <v>11</v>
      </c>
      <c r="M5" s="27">
        <f>M4/14</f>
        <v>2.3571428571428572</v>
      </c>
      <c r="N5" s="8"/>
      <c r="O5" t="s">
        <v>12</v>
      </c>
      <c r="P5" t="s">
        <v>13</v>
      </c>
      <c r="Q5" t="s">
        <v>14</v>
      </c>
      <c r="T5" s="16" t="s">
        <v>12</v>
      </c>
      <c r="U5" s="8" t="s">
        <v>13</v>
      </c>
      <c r="V5" s="310" t="s">
        <v>14</v>
      </c>
      <c r="X5" s="16" t="s">
        <v>12</v>
      </c>
      <c r="Y5" s="8" t="s">
        <v>13</v>
      </c>
      <c r="Z5" s="8" t="s">
        <v>12</v>
      </c>
      <c r="AA5" s="8" t="s">
        <v>14</v>
      </c>
      <c r="AB5" s="19"/>
    </row>
    <row r="6" spans="1:28" ht="15" x14ac:dyDescent="0.25">
      <c r="A6" s="28" t="s">
        <v>15</v>
      </c>
      <c r="B6" s="29">
        <f>P9</f>
        <v>15</v>
      </c>
      <c r="C6" s="30">
        <f t="shared" ref="C6:C12" si="0">Q9</f>
        <v>623.43000000000006</v>
      </c>
      <c r="D6" s="31">
        <v>1</v>
      </c>
      <c r="E6" s="30">
        <f t="shared" ref="E6:E12" si="1">C6*D6</f>
        <v>623.43000000000006</v>
      </c>
      <c r="F6" s="30">
        <f t="shared" ref="F6:F12" si="2">C6-E6</f>
        <v>0</v>
      </c>
      <c r="G6" s="32"/>
      <c r="H6" s="33"/>
      <c r="I6" s="34"/>
      <c r="J6" s="218"/>
      <c r="K6" s="35"/>
      <c r="M6" s="8"/>
      <c r="N6" s="8"/>
      <c r="O6" t="s">
        <v>71</v>
      </c>
      <c r="P6">
        <v>1</v>
      </c>
      <c r="Q6">
        <v>7378.0799999999963</v>
      </c>
      <c r="T6" s="16" t="s">
        <v>71</v>
      </c>
      <c r="U6" s="8">
        <f>Y6</f>
        <v>1</v>
      </c>
      <c r="V6" s="310">
        <f t="shared" ref="V6:V20" si="3">AA6</f>
        <v>7378.0799999999963</v>
      </c>
      <c r="X6" s="16" t="s">
        <v>71</v>
      </c>
      <c r="Y6" s="8">
        <v>1</v>
      </c>
      <c r="Z6" s="8" t="s">
        <v>71</v>
      </c>
      <c r="AA6" s="8">
        <v>7378.0799999999963</v>
      </c>
      <c r="AB6" s="19"/>
    </row>
    <row r="7" spans="1:28" ht="15" x14ac:dyDescent="0.25">
      <c r="A7" s="38" t="s">
        <v>16</v>
      </c>
      <c r="B7" s="39">
        <f t="shared" ref="B7:B12" si="4">P10</f>
        <v>14</v>
      </c>
      <c r="C7" s="40">
        <f t="shared" si="0"/>
        <v>949.58999999999969</v>
      </c>
      <c r="D7" s="41">
        <v>1</v>
      </c>
      <c r="E7" s="40">
        <f t="shared" si="1"/>
        <v>949.58999999999969</v>
      </c>
      <c r="F7" s="40">
        <f t="shared" si="2"/>
        <v>0</v>
      </c>
      <c r="G7" s="32"/>
      <c r="H7" s="33"/>
      <c r="I7" s="34"/>
      <c r="J7" s="218"/>
      <c r="K7" s="35"/>
      <c r="M7" s="8"/>
      <c r="N7" s="8"/>
      <c r="O7" t="s">
        <v>24</v>
      </c>
      <c r="P7">
        <v>15</v>
      </c>
      <c r="Q7">
        <v>4338.5500000000011</v>
      </c>
      <c r="T7" s="16" t="s">
        <v>24</v>
      </c>
      <c r="U7" s="8">
        <f t="shared" ref="U7:U20" si="5">Y7</f>
        <v>15</v>
      </c>
      <c r="V7" s="310">
        <f t="shared" si="3"/>
        <v>4338.5500000000011</v>
      </c>
      <c r="X7" s="16" t="s">
        <v>24</v>
      </c>
      <c r="Y7" s="8">
        <v>15</v>
      </c>
      <c r="Z7" s="8" t="s">
        <v>24</v>
      </c>
      <c r="AA7" s="8">
        <v>4338.5500000000011</v>
      </c>
      <c r="AB7" s="19"/>
    </row>
    <row r="8" spans="1:28" ht="15" x14ac:dyDescent="0.25">
      <c r="A8" s="38" t="s">
        <v>17</v>
      </c>
      <c r="B8" s="39">
        <f t="shared" si="4"/>
        <v>19</v>
      </c>
      <c r="C8" s="40">
        <f t="shared" si="0"/>
        <v>1763.5499999999995</v>
      </c>
      <c r="D8" s="41">
        <v>0.3</v>
      </c>
      <c r="E8" s="40">
        <f t="shared" si="1"/>
        <v>529.06499999999983</v>
      </c>
      <c r="F8" s="40">
        <f t="shared" si="2"/>
        <v>1234.4849999999997</v>
      </c>
      <c r="G8" s="32"/>
      <c r="H8" s="33"/>
      <c r="I8" s="34"/>
      <c r="J8" s="218"/>
      <c r="K8" s="35"/>
      <c r="M8" s="8"/>
      <c r="N8" s="8"/>
      <c r="O8" t="s">
        <v>76</v>
      </c>
      <c r="P8">
        <v>1</v>
      </c>
      <c r="Q8">
        <v>1262.03</v>
      </c>
      <c r="T8" s="16" t="s">
        <v>76</v>
      </c>
      <c r="U8" s="8">
        <f t="shared" si="5"/>
        <v>1</v>
      </c>
      <c r="V8" s="310">
        <f t="shared" si="3"/>
        <v>1262.03</v>
      </c>
      <c r="X8" s="16" t="s">
        <v>76</v>
      </c>
      <c r="Y8" s="8">
        <v>1</v>
      </c>
      <c r="Z8" s="8" t="s">
        <v>76</v>
      </c>
      <c r="AA8" s="8">
        <v>1262.03</v>
      </c>
      <c r="AB8" s="19"/>
    </row>
    <row r="9" spans="1:28" ht="15" x14ac:dyDescent="0.25">
      <c r="A9" s="38" t="s">
        <v>18</v>
      </c>
      <c r="B9" s="39">
        <f t="shared" si="4"/>
        <v>128</v>
      </c>
      <c r="C9" s="40">
        <f t="shared" si="0"/>
        <v>44310.169999999991</v>
      </c>
      <c r="D9" s="41">
        <v>1</v>
      </c>
      <c r="E9" s="40">
        <f t="shared" si="1"/>
        <v>44310.169999999991</v>
      </c>
      <c r="F9" s="40">
        <f t="shared" si="2"/>
        <v>0</v>
      </c>
      <c r="G9" s="32"/>
      <c r="H9" s="33"/>
      <c r="I9" s="34"/>
      <c r="J9" s="218"/>
      <c r="K9" s="35"/>
      <c r="M9" s="8"/>
      <c r="N9" s="8"/>
      <c r="O9" t="s">
        <v>15</v>
      </c>
      <c r="P9">
        <v>15</v>
      </c>
      <c r="Q9">
        <v>623.43000000000006</v>
      </c>
      <c r="T9" s="16" t="s">
        <v>15</v>
      </c>
      <c r="U9" s="8">
        <f t="shared" si="5"/>
        <v>15</v>
      </c>
      <c r="V9" s="310">
        <f t="shared" si="3"/>
        <v>623.43000000000006</v>
      </c>
      <c r="X9" s="16" t="s">
        <v>15</v>
      </c>
      <c r="Y9" s="8">
        <v>15</v>
      </c>
      <c r="Z9" s="8" t="s">
        <v>15</v>
      </c>
      <c r="AA9" s="8">
        <v>623.43000000000006</v>
      </c>
      <c r="AB9" s="19"/>
    </row>
    <row r="10" spans="1:28" ht="15" x14ac:dyDescent="0.25">
      <c r="A10" s="38" t="s">
        <v>19</v>
      </c>
      <c r="B10" s="39">
        <f t="shared" si="4"/>
        <v>20</v>
      </c>
      <c r="C10" s="40">
        <f t="shared" si="0"/>
        <v>9454.66</v>
      </c>
      <c r="D10" s="41">
        <v>0.3</v>
      </c>
      <c r="E10" s="40">
        <f t="shared" si="1"/>
        <v>2836.3979999999997</v>
      </c>
      <c r="F10" s="40">
        <f t="shared" si="2"/>
        <v>6618.2620000000006</v>
      </c>
      <c r="G10" s="32"/>
      <c r="H10" s="42"/>
      <c r="I10" s="43"/>
      <c r="J10" s="219"/>
      <c r="K10" s="44"/>
      <c r="L10" s="45"/>
      <c r="M10" s="8"/>
      <c r="N10" s="8"/>
      <c r="O10" s="38" t="s">
        <v>16</v>
      </c>
      <c r="P10">
        <v>14</v>
      </c>
      <c r="Q10">
        <v>949.58999999999969</v>
      </c>
      <c r="T10" s="16" t="s">
        <v>16</v>
      </c>
      <c r="U10" s="8">
        <f t="shared" si="5"/>
        <v>14</v>
      </c>
      <c r="V10" s="310">
        <f t="shared" si="3"/>
        <v>949.58999999999969</v>
      </c>
      <c r="X10" s="16" t="s">
        <v>16</v>
      </c>
      <c r="Y10" s="8">
        <v>14</v>
      </c>
      <c r="Z10" s="8" t="s">
        <v>16</v>
      </c>
      <c r="AA10" s="8">
        <v>949.58999999999969</v>
      </c>
      <c r="AB10" s="19"/>
    </row>
    <row r="11" spans="1:28" ht="15" x14ac:dyDescent="0.25">
      <c r="A11" s="38" t="s">
        <v>20</v>
      </c>
      <c r="B11" s="39">
        <f t="shared" si="4"/>
        <v>579</v>
      </c>
      <c r="C11" s="40">
        <f t="shared" si="0"/>
        <v>162012.34999999977</v>
      </c>
      <c r="D11" s="41">
        <v>1</v>
      </c>
      <c r="E11" s="40">
        <f t="shared" si="1"/>
        <v>162012.34999999977</v>
      </c>
      <c r="F11" s="40">
        <f t="shared" si="2"/>
        <v>0</v>
      </c>
      <c r="G11" s="32"/>
      <c r="H11" s="42"/>
      <c r="I11" s="43"/>
      <c r="J11" s="219"/>
      <c r="K11" s="44"/>
      <c r="M11" s="8"/>
      <c r="N11" s="8"/>
      <c r="O11" t="s">
        <v>17</v>
      </c>
      <c r="P11">
        <v>19</v>
      </c>
      <c r="Q11">
        <v>1763.5499999999995</v>
      </c>
      <c r="T11" s="16" t="s">
        <v>17</v>
      </c>
      <c r="U11" s="8">
        <f t="shared" si="5"/>
        <v>19</v>
      </c>
      <c r="V11" s="310">
        <f t="shared" si="3"/>
        <v>1763.5499999999995</v>
      </c>
      <c r="X11" s="16" t="s">
        <v>17</v>
      </c>
      <c r="Y11" s="8">
        <v>19</v>
      </c>
      <c r="Z11" s="8" t="s">
        <v>17</v>
      </c>
      <c r="AA11" s="8">
        <v>1763.5499999999995</v>
      </c>
      <c r="AB11" s="19"/>
    </row>
    <row r="12" spans="1:28" ht="15" x14ac:dyDescent="0.25">
      <c r="A12" s="38" t="s">
        <v>21</v>
      </c>
      <c r="B12" s="39">
        <f t="shared" si="4"/>
        <v>77</v>
      </c>
      <c r="C12" s="40">
        <f t="shared" si="0"/>
        <v>22504.639999999999</v>
      </c>
      <c r="D12" s="41">
        <v>0.3</v>
      </c>
      <c r="E12" s="40">
        <f t="shared" si="1"/>
        <v>6751.3919999999998</v>
      </c>
      <c r="F12" s="40">
        <f t="shared" si="2"/>
        <v>15753.248</v>
      </c>
      <c r="G12" s="32"/>
      <c r="H12" s="42"/>
      <c r="I12" s="43"/>
      <c r="J12" s="219"/>
      <c r="K12" s="44"/>
      <c r="M12" s="8"/>
      <c r="N12" s="8"/>
      <c r="O12" t="s">
        <v>18</v>
      </c>
      <c r="P12">
        <v>128</v>
      </c>
      <c r="Q12">
        <v>44310.169999999991</v>
      </c>
      <c r="T12" s="16" t="s">
        <v>18</v>
      </c>
      <c r="U12" s="8">
        <f t="shared" si="5"/>
        <v>128</v>
      </c>
      <c r="V12" s="310">
        <f t="shared" si="3"/>
        <v>44310.169999999991</v>
      </c>
      <c r="X12" s="16" t="s">
        <v>18</v>
      </c>
      <c r="Y12" s="8">
        <v>128</v>
      </c>
      <c r="Z12" s="8" t="s">
        <v>18</v>
      </c>
      <c r="AA12" s="8">
        <v>44310.169999999991</v>
      </c>
      <c r="AB12" s="19"/>
    </row>
    <row r="13" spans="1:28" ht="15" customHeight="1" thickBot="1" x14ac:dyDescent="0.3">
      <c r="A13" s="46" t="s">
        <v>22</v>
      </c>
      <c r="B13" s="47">
        <f>SUM(B6:B12)</f>
        <v>852</v>
      </c>
      <c r="C13" s="48">
        <f>SUM(C6:C12)</f>
        <v>241618.38999999978</v>
      </c>
      <c r="D13" s="49"/>
      <c r="E13" s="48">
        <f>SUM(E6:E12)</f>
        <v>218012.39499999976</v>
      </c>
      <c r="F13" s="50">
        <f>SUM(F6:F12)</f>
        <v>23605.994999999999</v>
      </c>
      <c r="G13" s="51">
        <v>2724921</v>
      </c>
      <c r="H13" s="52">
        <f>E13/G13</f>
        <v>8.0006868089019745E-2</v>
      </c>
      <c r="I13" s="53"/>
      <c r="J13" s="220">
        <f>(H13/H$3)*G$13</f>
        <v>2404742.7812121189</v>
      </c>
      <c r="K13" s="55">
        <f>J13-G13</f>
        <v>-320178.21878788108</v>
      </c>
      <c r="M13" s="8"/>
      <c r="N13" s="8"/>
      <c r="O13" t="s">
        <v>19</v>
      </c>
      <c r="P13">
        <v>20</v>
      </c>
      <c r="Q13">
        <v>9454.66</v>
      </c>
      <c r="T13" s="16" t="s">
        <v>19</v>
      </c>
      <c r="U13" s="8">
        <f>Y13</f>
        <v>20</v>
      </c>
      <c r="V13" s="310">
        <f t="shared" si="3"/>
        <v>9454.66</v>
      </c>
      <c r="X13" s="16" t="s">
        <v>19</v>
      </c>
      <c r="Y13" s="8">
        <v>20</v>
      </c>
      <c r="Z13" s="8" t="s">
        <v>19</v>
      </c>
      <c r="AA13" s="8">
        <v>9454.66</v>
      </c>
      <c r="AB13" s="19"/>
    </row>
    <row r="14" spans="1:28" ht="15" thickBot="1" x14ac:dyDescent="0.35">
      <c r="A14" s="57"/>
      <c r="B14" s="58"/>
      <c r="C14" s="59"/>
      <c r="D14" s="60"/>
      <c r="E14" s="59"/>
      <c r="F14" s="59"/>
      <c r="G14" s="61"/>
      <c r="H14" s="62"/>
      <c r="I14" s="63"/>
      <c r="J14" s="349"/>
      <c r="K14" s="338"/>
      <c r="M14" s="8"/>
      <c r="N14" s="8"/>
      <c r="O14" t="s">
        <v>20</v>
      </c>
      <c r="P14">
        <v>579</v>
      </c>
      <c r="Q14">
        <v>162012.34999999977</v>
      </c>
      <c r="T14" s="16" t="s">
        <v>20</v>
      </c>
      <c r="U14" s="8">
        <f t="shared" si="5"/>
        <v>579</v>
      </c>
      <c r="V14" s="310">
        <f t="shared" si="3"/>
        <v>162012.34999999977</v>
      </c>
      <c r="X14" s="16" t="s">
        <v>20</v>
      </c>
      <c r="Y14" s="8">
        <v>579</v>
      </c>
      <c r="Z14" s="8" t="s">
        <v>20</v>
      </c>
      <c r="AA14" s="8">
        <v>162012.34999999977</v>
      </c>
      <c r="AB14" s="19"/>
    </row>
    <row r="15" spans="1:28" x14ac:dyDescent="0.3">
      <c r="A15" s="65" t="s">
        <v>23</v>
      </c>
      <c r="B15" s="66">
        <f>P7</f>
        <v>15</v>
      </c>
      <c r="C15" s="67">
        <f t="shared" ref="C15:C16" si="6">Q7</f>
        <v>4338.5500000000011</v>
      </c>
      <c r="D15" s="68">
        <v>1</v>
      </c>
      <c r="E15" s="67">
        <f>C15*D15</f>
        <v>4338.5500000000011</v>
      </c>
      <c r="F15" s="67">
        <v>0</v>
      </c>
      <c r="G15" s="69"/>
      <c r="H15" s="70"/>
      <c r="I15" s="71"/>
      <c r="J15" s="339"/>
      <c r="K15" s="340"/>
      <c r="M15" s="8"/>
      <c r="N15" s="8"/>
      <c r="O15" t="s">
        <v>21</v>
      </c>
      <c r="P15">
        <v>77</v>
      </c>
      <c r="Q15">
        <v>22504.639999999999</v>
      </c>
      <c r="T15" s="16" t="s">
        <v>21</v>
      </c>
      <c r="U15" s="8">
        <f t="shared" si="5"/>
        <v>77</v>
      </c>
      <c r="V15" s="310">
        <f t="shared" si="3"/>
        <v>22504.639999999999</v>
      </c>
      <c r="X15" s="16" t="s">
        <v>21</v>
      </c>
      <c r="Y15" s="8">
        <v>77</v>
      </c>
      <c r="Z15" s="8" t="s">
        <v>21</v>
      </c>
      <c r="AA15" s="8">
        <v>22504.639999999999</v>
      </c>
      <c r="AB15" s="19"/>
    </row>
    <row r="16" spans="1:28" x14ac:dyDescent="0.3">
      <c r="A16" s="72" t="s">
        <v>25</v>
      </c>
      <c r="B16" s="39">
        <f t="shared" ref="B16" si="7">P8</f>
        <v>1</v>
      </c>
      <c r="C16" s="40">
        <f t="shared" si="6"/>
        <v>1262.03</v>
      </c>
      <c r="D16" s="73">
        <v>0.3</v>
      </c>
      <c r="E16" s="40">
        <f>C16*D16</f>
        <v>378.60899999999998</v>
      </c>
      <c r="F16" s="40">
        <f>C16-E16</f>
        <v>883.42100000000005</v>
      </c>
      <c r="G16" s="69"/>
      <c r="H16" s="70"/>
      <c r="I16" s="71"/>
      <c r="J16" s="341"/>
      <c r="K16" s="342"/>
      <c r="M16" s="8"/>
      <c r="N16" s="8"/>
      <c r="O16" s="16" t="s">
        <v>80</v>
      </c>
      <c r="P16">
        <v>32</v>
      </c>
      <c r="Q16">
        <v>15988.29</v>
      </c>
      <c r="T16" s="16" t="s">
        <v>80</v>
      </c>
      <c r="U16" s="8">
        <f t="shared" si="5"/>
        <v>32</v>
      </c>
      <c r="V16" s="310">
        <f t="shared" si="3"/>
        <v>15988.29</v>
      </c>
      <c r="X16" s="16" t="s">
        <v>80</v>
      </c>
      <c r="Y16" s="8">
        <v>32</v>
      </c>
      <c r="Z16" s="8" t="s">
        <v>80</v>
      </c>
      <c r="AA16" s="8">
        <v>15988.29</v>
      </c>
      <c r="AB16" s="19"/>
    </row>
    <row r="17" spans="1:28" ht="15" customHeight="1" thickBot="1" x14ac:dyDescent="0.3">
      <c r="A17" s="74" t="s">
        <v>26</v>
      </c>
      <c r="B17" s="75">
        <f>SUM(B15:B16)</f>
        <v>16</v>
      </c>
      <c r="C17" s="76">
        <f>SUM(C15:C16)</f>
        <v>5600.5800000000008</v>
      </c>
      <c r="D17" s="77"/>
      <c r="E17" s="76">
        <f>SUM(E15:E16)</f>
        <v>4717.1590000000015</v>
      </c>
      <c r="F17" s="76">
        <f>F16</f>
        <v>883.42100000000005</v>
      </c>
      <c r="G17" s="78">
        <v>100000</v>
      </c>
      <c r="H17" s="79">
        <f>E17/G17</f>
        <v>4.7171590000000013E-2</v>
      </c>
      <c r="I17" s="80"/>
      <c r="J17" s="221">
        <f>(H17/H$3)*G$13</f>
        <v>1417822.534992666</v>
      </c>
      <c r="K17" s="81">
        <f>J17-G17</f>
        <v>1317822.534992666</v>
      </c>
      <c r="M17" s="8"/>
      <c r="N17" s="8"/>
      <c r="O17" t="s">
        <v>72</v>
      </c>
      <c r="P17">
        <v>137</v>
      </c>
      <c r="Q17">
        <v>46665.999999999993</v>
      </c>
      <c r="T17" s="16" t="s">
        <v>72</v>
      </c>
      <c r="U17" s="8">
        <f t="shared" si="5"/>
        <v>137</v>
      </c>
      <c r="V17" s="310">
        <f t="shared" si="3"/>
        <v>46665.999999999993</v>
      </c>
      <c r="X17" s="16" t="s">
        <v>72</v>
      </c>
      <c r="Y17" s="8">
        <v>137</v>
      </c>
      <c r="Z17" s="8" t="s">
        <v>72</v>
      </c>
      <c r="AA17" s="8">
        <v>46665.999999999993</v>
      </c>
      <c r="AB17" s="19"/>
    </row>
    <row r="18" spans="1:28" ht="15" thickBot="1" x14ac:dyDescent="0.35">
      <c r="A18" s="57"/>
      <c r="B18" s="82"/>
      <c r="C18" s="61"/>
      <c r="D18" s="83"/>
      <c r="E18" s="61"/>
      <c r="F18" s="61"/>
      <c r="G18" s="61"/>
      <c r="H18" s="62"/>
      <c r="I18" s="63"/>
      <c r="J18" s="349"/>
      <c r="K18" s="338"/>
      <c r="M18" s="8"/>
      <c r="N18" s="8"/>
      <c r="O18" t="s">
        <v>31</v>
      </c>
      <c r="P18">
        <v>51</v>
      </c>
      <c r="Q18">
        <v>14343.880000000005</v>
      </c>
      <c r="T18" s="16" t="s">
        <v>31</v>
      </c>
      <c r="U18" s="8">
        <f t="shared" si="5"/>
        <v>51</v>
      </c>
      <c r="V18" s="310">
        <f t="shared" si="3"/>
        <v>14343.880000000005</v>
      </c>
      <c r="X18" s="16" t="s">
        <v>31</v>
      </c>
      <c r="Y18" s="8">
        <v>51</v>
      </c>
      <c r="Z18" s="8" t="s">
        <v>31</v>
      </c>
      <c r="AA18" s="8">
        <v>14343.880000000005</v>
      </c>
      <c r="AB18" s="19"/>
    </row>
    <row r="19" spans="1:28" x14ac:dyDescent="0.3">
      <c r="A19" s="65" t="s">
        <v>27</v>
      </c>
      <c r="B19" s="66"/>
      <c r="C19" s="67"/>
      <c r="D19" s="68">
        <v>1</v>
      </c>
      <c r="E19" s="67">
        <f>C19*D19</f>
        <v>0</v>
      </c>
      <c r="F19" s="67">
        <v>0</v>
      </c>
      <c r="G19" s="69"/>
      <c r="H19" s="70"/>
      <c r="I19" s="71"/>
      <c r="J19" s="339"/>
      <c r="K19" s="340"/>
      <c r="M19" s="8"/>
      <c r="N19" s="8"/>
      <c r="O19" t="s">
        <v>73</v>
      </c>
      <c r="P19">
        <v>107</v>
      </c>
      <c r="Q19">
        <v>36781.80999999999</v>
      </c>
      <c r="T19" s="16" t="s">
        <v>73</v>
      </c>
      <c r="U19" s="8">
        <f t="shared" si="5"/>
        <v>107</v>
      </c>
      <c r="V19" s="310">
        <f t="shared" si="3"/>
        <v>36781.80999999999</v>
      </c>
      <c r="X19" s="16" t="s">
        <v>73</v>
      </c>
      <c r="Y19" s="8">
        <v>107</v>
      </c>
      <c r="Z19" s="8" t="s">
        <v>73</v>
      </c>
      <c r="AA19" s="8">
        <v>36781.80999999999</v>
      </c>
      <c r="AB19" s="19"/>
    </row>
    <row r="20" spans="1:28" x14ac:dyDescent="0.3">
      <c r="A20" s="72" t="s">
        <v>28</v>
      </c>
      <c r="B20" s="39">
        <f>P6</f>
        <v>1</v>
      </c>
      <c r="C20" s="40">
        <f>Q6</f>
        <v>7378.0799999999963</v>
      </c>
      <c r="D20" s="73">
        <v>0.3</v>
      </c>
      <c r="E20" s="40">
        <f>C20*D20</f>
        <v>2213.4239999999986</v>
      </c>
      <c r="F20" s="40">
        <f>C20-E20</f>
        <v>5164.6559999999972</v>
      </c>
      <c r="G20" s="69"/>
      <c r="H20" s="70"/>
      <c r="I20" s="71"/>
      <c r="J20" s="341"/>
      <c r="K20" s="342"/>
      <c r="M20" s="8"/>
      <c r="N20" s="8"/>
      <c r="O20" t="s">
        <v>74</v>
      </c>
      <c r="P20">
        <v>16</v>
      </c>
      <c r="Q20">
        <v>5945.82</v>
      </c>
      <c r="T20" s="16" t="s">
        <v>74</v>
      </c>
      <c r="U20" s="8">
        <f t="shared" si="5"/>
        <v>16</v>
      </c>
      <c r="V20" s="310">
        <f t="shared" si="3"/>
        <v>5945.82</v>
      </c>
      <c r="X20" s="16" t="s">
        <v>74</v>
      </c>
      <c r="Y20" s="8">
        <v>16</v>
      </c>
      <c r="Z20" s="8" t="s">
        <v>74</v>
      </c>
      <c r="AA20" s="8">
        <v>5945.82</v>
      </c>
      <c r="AB20" s="19"/>
    </row>
    <row r="21" spans="1:28" ht="15" customHeight="1" thickBot="1" x14ac:dyDescent="0.3">
      <c r="A21" s="74" t="s">
        <v>29</v>
      </c>
      <c r="B21" s="75">
        <f>SUM(B19:B20)</f>
        <v>1</v>
      </c>
      <c r="C21" s="76">
        <f>SUM(C19:C20)</f>
        <v>7378.0799999999963</v>
      </c>
      <c r="D21" s="77"/>
      <c r="E21" s="76">
        <f>SUM(E19:E20)</f>
        <v>2213.4239999999986</v>
      </c>
      <c r="F21" s="76">
        <f>F20</f>
        <v>5164.6559999999972</v>
      </c>
      <c r="G21" s="78">
        <v>100000</v>
      </c>
      <c r="H21" s="79">
        <f>E21/G21</f>
        <v>2.2134239999999986E-2</v>
      </c>
      <c r="I21" s="80"/>
      <c r="J21" s="221">
        <v>1210.4083079629038</v>
      </c>
      <c r="K21" s="81">
        <v>-399744.59169203712</v>
      </c>
      <c r="M21" s="8"/>
      <c r="N21" s="8"/>
      <c r="O21" t="s">
        <v>38</v>
      </c>
      <c r="P21">
        <v>222</v>
      </c>
      <c r="Q21">
        <v>48541.159999999945</v>
      </c>
      <c r="T21" s="16" t="s">
        <v>38</v>
      </c>
      <c r="U21" s="8">
        <f t="shared" ref="U21:U31" si="8">Y21</f>
        <v>222</v>
      </c>
      <c r="V21" s="310">
        <f t="shared" ref="V21:V31" si="9">AA21</f>
        <v>48541.159999999945</v>
      </c>
      <c r="X21" s="16" t="s">
        <v>38</v>
      </c>
      <c r="Y21" s="8">
        <v>222</v>
      </c>
      <c r="Z21" s="8" t="s">
        <v>38</v>
      </c>
      <c r="AA21" s="8">
        <v>48541.159999999945</v>
      </c>
      <c r="AB21" s="19"/>
    </row>
    <row r="22" spans="1:28" ht="15" thickBot="1" x14ac:dyDescent="0.35">
      <c r="A22" s="57"/>
      <c r="B22" s="82"/>
      <c r="C22" s="61"/>
      <c r="D22" s="83"/>
      <c r="E22" s="61"/>
      <c r="F22" s="61"/>
      <c r="G22" s="61"/>
      <c r="H22" s="62"/>
      <c r="I22" s="63"/>
      <c r="J22" s="349"/>
      <c r="K22" s="338"/>
      <c r="M22" s="8"/>
      <c r="N22" s="8"/>
      <c r="O22" t="s">
        <v>40</v>
      </c>
      <c r="P22">
        <v>33</v>
      </c>
      <c r="Q22">
        <v>18987.09</v>
      </c>
      <c r="T22" s="16" t="s">
        <v>40</v>
      </c>
      <c r="U22" s="8">
        <f t="shared" si="8"/>
        <v>33</v>
      </c>
      <c r="V22" s="310">
        <f t="shared" si="9"/>
        <v>18987.09</v>
      </c>
      <c r="X22" s="16" t="s">
        <v>40</v>
      </c>
      <c r="Y22" s="8">
        <v>33</v>
      </c>
      <c r="Z22" s="8" t="s">
        <v>40</v>
      </c>
      <c r="AA22" s="8">
        <v>18987.09</v>
      </c>
      <c r="AB22" s="19"/>
    </row>
    <row r="23" spans="1:28" x14ac:dyDescent="0.3">
      <c r="A23" s="84" t="s">
        <v>30</v>
      </c>
      <c r="B23" s="85">
        <f>P17</f>
        <v>137</v>
      </c>
      <c r="C23" s="86">
        <f t="shared" ref="C23:C24" si="10">Q17</f>
        <v>46665.999999999993</v>
      </c>
      <c r="D23" s="87">
        <v>1</v>
      </c>
      <c r="E23" s="86">
        <f>C23*D23</f>
        <v>46665.999999999993</v>
      </c>
      <c r="F23" s="88"/>
      <c r="G23" s="89"/>
      <c r="H23" s="90"/>
      <c r="I23" s="91"/>
      <c r="J23" s="339"/>
      <c r="K23" s="340"/>
      <c r="M23" s="8"/>
      <c r="N23" s="8"/>
      <c r="O23" t="s">
        <v>58</v>
      </c>
      <c r="P23">
        <v>656</v>
      </c>
      <c r="Q23">
        <v>180532.20999999979</v>
      </c>
      <c r="T23" s="16" t="s">
        <v>58</v>
      </c>
      <c r="U23" s="8">
        <f t="shared" si="8"/>
        <v>656</v>
      </c>
      <c r="V23" s="310">
        <f t="shared" si="9"/>
        <v>180532.20999999979</v>
      </c>
      <c r="X23" s="16" t="s">
        <v>58</v>
      </c>
      <c r="Y23" s="8">
        <v>656</v>
      </c>
      <c r="Z23" s="8" t="s">
        <v>58</v>
      </c>
      <c r="AA23" s="8">
        <v>180532.20999999979</v>
      </c>
      <c r="AB23" s="19"/>
    </row>
    <row r="24" spans="1:28" x14ac:dyDescent="0.3">
      <c r="A24" s="84" t="s">
        <v>32</v>
      </c>
      <c r="B24" s="85">
        <f t="shared" ref="B24" si="11">P18</f>
        <v>51</v>
      </c>
      <c r="C24" s="93">
        <f t="shared" si="10"/>
        <v>14343.880000000005</v>
      </c>
      <c r="D24" s="94">
        <v>0.3</v>
      </c>
      <c r="E24" s="93">
        <f>C24*D24</f>
        <v>4303.1640000000016</v>
      </c>
      <c r="F24" s="95">
        <f>C24-E24</f>
        <v>10040.716000000004</v>
      </c>
      <c r="G24" s="96"/>
      <c r="H24" s="97"/>
      <c r="I24" s="91"/>
      <c r="J24" s="341"/>
      <c r="K24" s="342"/>
      <c r="M24" s="8"/>
      <c r="N24" s="8"/>
      <c r="O24" t="s">
        <v>43</v>
      </c>
      <c r="P24">
        <v>93</v>
      </c>
      <c r="Q24">
        <v>59365.69000000001</v>
      </c>
      <c r="T24" s="16" t="s">
        <v>43</v>
      </c>
      <c r="U24" s="8">
        <f t="shared" si="8"/>
        <v>93</v>
      </c>
      <c r="V24" s="310">
        <f t="shared" si="9"/>
        <v>59365.69000000001</v>
      </c>
      <c r="X24" s="16" t="s">
        <v>43</v>
      </c>
      <c r="Y24" s="8">
        <v>93</v>
      </c>
      <c r="Z24" s="8" t="s">
        <v>43</v>
      </c>
      <c r="AA24" s="8">
        <v>59365.69000000001</v>
      </c>
      <c r="AB24" s="19"/>
    </row>
    <row r="25" spans="1:28" ht="15" customHeight="1" thickBot="1" x14ac:dyDescent="0.3">
      <c r="A25" s="74" t="s">
        <v>33</v>
      </c>
      <c r="B25" s="75">
        <f>SUM(B23:B24)</f>
        <v>188</v>
      </c>
      <c r="C25" s="76">
        <f>SUM(C23:C24)</f>
        <v>61009.88</v>
      </c>
      <c r="D25" s="77"/>
      <c r="E25" s="76">
        <f>SUM(E23:E24)</f>
        <v>50969.163999999997</v>
      </c>
      <c r="F25" s="76">
        <f>F24</f>
        <v>10040.716000000004</v>
      </c>
      <c r="G25" s="78">
        <v>750000</v>
      </c>
      <c r="H25" s="79">
        <f>E25/G25</f>
        <v>6.795888533333333E-2</v>
      </c>
      <c r="I25" s="80"/>
      <c r="J25" s="221">
        <f>(H25/H$3)*G$13</f>
        <v>2042620.1253462632</v>
      </c>
      <c r="K25" s="81">
        <f>J25-G25</f>
        <v>1292620.1253462632</v>
      </c>
      <c r="M25" s="8"/>
      <c r="N25" s="8"/>
      <c r="O25" t="s">
        <v>45</v>
      </c>
      <c r="P25">
        <v>113</v>
      </c>
      <c r="Q25">
        <v>80394.400000000038</v>
      </c>
      <c r="T25" s="16" t="s">
        <v>45</v>
      </c>
      <c r="U25" s="8">
        <f t="shared" si="8"/>
        <v>113</v>
      </c>
      <c r="V25" s="310">
        <f t="shared" si="9"/>
        <v>80394.400000000038</v>
      </c>
      <c r="X25" s="16" t="s">
        <v>45</v>
      </c>
      <c r="Y25" s="8">
        <v>113</v>
      </c>
      <c r="Z25" s="8" t="s">
        <v>45</v>
      </c>
      <c r="AA25" s="8">
        <v>80394.400000000038</v>
      </c>
      <c r="AB25" s="19"/>
    </row>
    <row r="26" spans="1:28" ht="15" thickBot="1" x14ac:dyDescent="0.35">
      <c r="A26" s="57"/>
      <c r="B26" s="82"/>
      <c r="C26" s="61"/>
      <c r="D26" s="83"/>
      <c r="E26" s="61"/>
      <c r="F26" s="61"/>
      <c r="G26" s="61"/>
      <c r="H26" s="62"/>
      <c r="I26" s="63"/>
      <c r="J26" s="337"/>
      <c r="K26" s="350"/>
      <c r="M26" s="8"/>
      <c r="N26" s="8"/>
      <c r="O26" t="s">
        <v>48</v>
      </c>
      <c r="P26">
        <v>51</v>
      </c>
      <c r="Q26">
        <v>30218.720000000005</v>
      </c>
      <c r="T26" s="16" t="s">
        <v>48</v>
      </c>
      <c r="U26" s="8">
        <f t="shared" si="8"/>
        <v>51</v>
      </c>
      <c r="V26" s="310">
        <f t="shared" si="9"/>
        <v>30218.720000000005</v>
      </c>
      <c r="X26" s="16" t="s">
        <v>48</v>
      </c>
      <c r="Y26" s="8">
        <v>51</v>
      </c>
      <c r="Z26" s="8" t="s">
        <v>48</v>
      </c>
      <c r="AA26" s="8">
        <v>30218.720000000005</v>
      </c>
      <c r="AB26" s="19"/>
    </row>
    <row r="27" spans="1:28" x14ac:dyDescent="0.3">
      <c r="A27" s="65" t="s">
        <v>34</v>
      </c>
      <c r="B27" s="98">
        <f>P19</f>
        <v>107</v>
      </c>
      <c r="C27" s="99">
        <f t="shared" ref="C27:C28" si="12">Q19</f>
        <v>36781.80999999999</v>
      </c>
      <c r="D27" s="100">
        <v>1</v>
      </c>
      <c r="E27" s="101">
        <f>C27*D27</f>
        <v>36781.80999999999</v>
      </c>
      <c r="F27" s="101">
        <v>0</v>
      </c>
      <c r="G27" s="69"/>
      <c r="H27" s="70"/>
      <c r="I27" s="71"/>
      <c r="J27" s="351"/>
      <c r="K27" s="352"/>
      <c r="M27" s="8"/>
      <c r="N27" s="8"/>
      <c r="O27" t="s">
        <v>50</v>
      </c>
      <c r="P27">
        <v>16</v>
      </c>
      <c r="Q27">
        <v>3789.1099999999997</v>
      </c>
      <c r="T27" s="16" t="s">
        <v>50</v>
      </c>
      <c r="U27" s="8">
        <f t="shared" si="8"/>
        <v>16</v>
      </c>
      <c r="V27" s="310">
        <f t="shared" si="9"/>
        <v>3789.1099999999997</v>
      </c>
      <c r="X27" s="16" t="s">
        <v>50</v>
      </c>
      <c r="Y27" s="8">
        <v>16</v>
      </c>
      <c r="Z27" s="8" t="s">
        <v>50</v>
      </c>
      <c r="AA27" s="8">
        <v>3789.1099999999997</v>
      </c>
      <c r="AB27" s="19"/>
    </row>
    <row r="28" spans="1:28" x14ac:dyDescent="0.3">
      <c r="A28" s="72" t="s">
        <v>35</v>
      </c>
      <c r="B28" s="102">
        <f t="shared" ref="B28" si="13">P20</f>
        <v>16</v>
      </c>
      <c r="C28" s="103">
        <f t="shared" si="12"/>
        <v>5945.82</v>
      </c>
      <c r="D28" s="104">
        <v>0.3</v>
      </c>
      <c r="E28" s="105">
        <f>C28*D28</f>
        <v>1783.7459999999999</v>
      </c>
      <c r="F28" s="105">
        <f>C28-E28</f>
        <v>4162.0739999999996</v>
      </c>
      <c r="G28" s="69"/>
      <c r="H28" s="70"/>
      <c r="I28" s="71"/>
      <c r="J28" s="353"/>
      <c r="K28" s="354"/>
      <c r="M28" s="8"/>
      <c r="N28" s="8"/>
      <c r="O28" t="s">
        <v>60</v>
      </c>
      <c r="P28">
        <v>396</v>
      </c>
      <c r="Q28">
        <v>5074.4899999999961</v>
      </c>
      <c r="T28" s="16" t="s">
        <v>60</v>
      </c>
      <c r="U28" s="8">
        <f t="shared" si="8"/>
        <v>396</v>
      </c>
      <c r="V28" s="310">
        <f t="shared" si="9"/>
        <v>5074.4899999999961</v>
      </c>
      <c r="X28" s="16" t="s">
        <v>60</v>
      </c>
      <c r="Y28" s="8">
        <v>396</v>
      </c>
      <c r="Z28" s="8" t="s">
        <v>60</v>
      </c>
      <c r="AA28" s="8">
        <v>5074.4899999999961</v>
      </c>
      <c r="AB28" s="19"/>
    </row>
    <row r="29" spans="1:28" ht="15" customHeight="1" thickBot="1" x14ac:dyDescent="0.3">
      <c r="A29" s="74" t="s">
        <v>36</v>
      </c>
      <c r="B29" s="75">
        <f>SUM(B27:B28)</f>
        <v>123</v>
      </c>
      <c r="C29" s="76">
        <f>SUM(C27:C28)</f>
        <v>42727.62999999999</v>
      </c>
      <c r="D29" s="77"/>
      <c r="E29" s="76">
        <f>SUM(E27:E28)</f>
        <v>38565.55599999999</v>
      </c>
      <c r="F29" s="76">
        <f>F28</f>
        <v>4162.0739999999996</v>
      </c>
      <c r="G29" s="78">
        <v>429000</v>
      </c>
      <c r="H29" s="79">
        <f>E29/G29</f>
        <v>8.9896400932400908E-2</v>
      </c>
      <c r="I29" s="80"/>
      <c r="J29" s="221">
        <f>(H29/H$3)*G$13</f>
        <v>2701989.5461800988</v>
      </c>
      <c r="K29" s="81">
        <f>J29-G29</f>
        <v>2272989.5461800988</v>
      </c>
      <c r="M29" s="8"/>
      <c r="N29" s="8"/>
      <c r="O29" t="s">
        <v>53</v>
      </c>
      <c r="P29">
        <v>34</v>
      </c>
      <c r="Q29">
        <v>16467.539999999997</v>
      </c>
      <c r="T29" s="16" t="s">
        <v>53</v>
      </c>
      <c r="U29" s="8">
        <f t="shared" si="8"/>
        <v>34</v>
      </c>
      <c r="V29" s="310">
        <f t="shared" si="9"/>
        <v>16467.539999999997</v>
      </c>
      <c r="X29" s="16" t="s">
        <v>53</v>
      </c>
      <c r="Y29" s="8">
        <v>34</v>
      </c>
      <c r="Z29" s="8" t="s">
        <v>53</v>
      </c>
      <c r="AA29" s="8">
        <v>16467.539999999997</v>
      </c>
      <c r="AB29" s="19"/>
    </row>
    <row r="30" spans="1:28" ht="15" thickBot="1" x14ac:dyDescent="0.35">
      <c r="A30" s="57"/>
      <c r="B30" s="82"/>
      <c r="C30" s="61"/>
      <c r="D30" s="83"/>
      <c r="E30" s="61"/>
      <c r="F30" s="61"/>
      <c r="G30" s="61"/>
      <c r="H30" s="62"/>
      <c r="I30" s="63"/>
      <c r="J30" s="355"/>
      <c r="K30" s="338"/>
      <c r="M30" s="8"/>
      <c r="N30" s="8"/>
      <c r="O30" t="s">
        <v>55</v>
      </c>
      <c r="P30">
        <v>20</v>
      </c>
      <c r="Q30">
        <v>16179.339999999997</v>
      </c>
      <c r="T30" s="16" t="s">
        <v>55</v>
      </c>
      <c r="U30" s="8">
        <f t="shared" si="8"/>
        <v>20</v>
      </c>
      <c r="V30" s="310">
        <f t="shared" si="9"/>
        <v>16179.339999999997</v>
      </c>
      <c r="X30" s="16" t="s">
        <v>55</v>
      </c>
      <c r="Y30" s="8">
        <v>20</v>
      </c>
      <c r="Z30" s="8" t="s">
        <v>55</v>
      </c>
      <c r="AA30" s="8">
        <v>16179.339999999997</v>
      </c>
      <c r="AB30" s="19"/>
    </row>
    <row r="31" spans="1:28" ht="15" thickBot="1" x14ac:dyDescent="0.35">
      <c r="A31" s="106" t="s">
        <v>37</v>
      </c>
      <c r="B31" s="107">
        <f>P21</f>
        <v>222</v>
      </c>
      <c r="C31" s="108">
        <f t="shared" ref="C31:C32" si="14">Q21</f>
        <v>48541.159999999945</v>
      </c>
      <c r="D31" s="109">
        <v>1</v>
      </c>
      <c r="E31" s="110">
        <f>C31*D31</f>
        <v>48541.159999999945</v>
      </c>
      <c r="F31" s="111"/>
      <c r="G31" s="358"/>
      <c r="H31" s="360"/>
      <c r="I31" s="112"/>
      <c r="J31" s="339"/>
      <c r="K31" s="340"/>
      <c r="M31" s="8"/>
      <c r="N31" s="8"/>
      <c r="O31" t="s">
        <v>61</v>
      </c>
      <c r="P31">
        <v>2846</v>
      </c>
      <c r="Q31">
        <v>833872.59999999951</v>
      </c>
      <c r="T31" s="230" t="s">
        <v>61</v>
      </c>
      <c r="U31" s="8">
        <f t="shared" si="8"/>
        <v>2846</v>
      </c>
      <c r="V31" s="310">
        <f t="shared" si="9"/>
        <v>833872.59999999951</v>
      </c>
      <c r="X31" s="230" t="s">
        <v>61</v>
      </c>
      <c r="Y31" s="170">
        <v>2846</v>
      </c>
      <c r="Z31" s="170" t="s">
        <v>61</v>
      </c>
      <c r="AA31" s="170">
        <v>833872.59999999951</v>
      </c>
      <c r="AB31" s="231"/>
    </row>
    <row r="32" spans="1:28" x14ac:dyDescent="0.3">
      <c r="A32" s="114" t="s">
        <v>39</v>
      </c>
      <c r="B32" s="115">
        <f t="shared" ref="B32" si="15">P22</f>
        <v>33</v>
      </c>
      <c r="C32" s="64">
        <f t="shared" si="14"/>
        <v>18987.09</v>
      </c>
      <c r="D32" s="116">
        <v>0.3</v>
      </c>
      <c r="E32" s="117">
        <f>C32*D32</f>
        <v>5696.1269999999995</v>
      </c>
      <c r="F32" s="118">
        <f>C32-E32</f>
        <v>13290.963</v>
      </c>
      <c r="G32" s="359"/>
      <c r="H32" s="361"/>
      <c r="I32" s="112"/>
      <c r="J32" s="341"/>
      <c r="K32" s="342"/>
      <c r="M32" s="8"/>
      <c r="N32" s="8"/>
      <c r="O32" s="9"/>
      <c r="P32" s="9"/>
    </row>
    <row r="33" spans="1:17" ht="15" customHeight="1" thickBot="1" x14ac:dyDescent="0.3">
      <c r="A33" s="119" t="s">
        <v>41</v>
      </c>
      <c r="B33" s="120">
        <f>SUM(B31:B32)</f>
        <v>255</v>
      </c>
      <c r="C33" s="78">
        <f>SUM(C31:C32)</f>
        <v>67528.249999999942</v>
      </c>
      <c r="D33" s="121"/>
      <c r="E33" s="78">
        <f>SUM(E31:E32)</f>
        <v>54237.286999999946</v>
      </c>
      <c r="F33" s="78">
        <f>F32</f>
        <v>13290.963</v>
      </c>
      <c r="G33" s="78">
        <v>1000000</v>
      </c>
      <c r="H33" s="79">
        <f>E33/G33</f>
        <v>5.4237286999999947E-2</v>
      </c>
      <c r="I33" s="80"/>
      <c r="J33" s="221">
        <f>(H33/H$3)*G$13</f>
        <v>1630194.1008446964</v>
      </c>
      <c r="K33" s="81">
        <f>J33-G33</f>
        <v>630194.1008446964</v>
      </c>
      <c r="M33" s="8"/>
      <c r="N33" s="8"/>
      <c r="O33" s="9"/>
      <c r="P33" s="9"/>
    </row>
    <row r="34" spans="1:17" ht="15" thickBot="1" x14ac:dyDescent="0.35">
      <c r="A34" s="57"/>
      <c r="B34" s="82"/>
      <c r="C34" s="61"/>
      <c r="D34" s="83"/>
      <c r="E34" s="61"/>
      <c r="F34" s="61"/>
      <c r="G34" s="61"/>
      <c r="H34" s="62"/>
      <c r="I34" s="63"/>
      <c r="J34" s="337"/>
      <c r="K34" s="350"/>
      <c r="M34" s="8"/>
      <c r="N34" s="8"/>
      <c r="O34" s="9"/>
      <c r="P34" s="9"/>
    </row>
    <row r="35" spans="1:17" x14ac:dyDescent="0.3">
      <c r="A35" s="122" t="s">
        <v>42</v>
      </c>
      <c r="B35" s="123">
        <f>P24</f>
        <v>93</v>
      </c>
      <c r="C35" s="124">
        <f t="shared" ref="C35:C36" si="16">Q24</f>
        <v>59365.69000000001</v>
      </c>
      <c r="D35" s="125">
        <v>1</v>
      </c>
      <c r="E35" s="124">
        <f>C35*D35</f>
        <v>59365.69000000001</v>
      </c>
      <c r="F35" s="126"/>
      <c r="G35" s="362"/>
      <c r="H35" s="364"/>
      <c r="I35" s="127"/>
      <c r="J35" s="351"/>
      <c r="K35" s="352"/>
      <c r="M35" s="8"/>
      <c r="N35" s="8"/>
      <c r="O35" s="9"/>
      <c r="P35"/>
      <c r="Q35"/>
    </row>
    <row r="36" spans="1:17" x14ac:dyDescent="0.3">
      <c r="A36" s="129" t="s">
        <v>44</v>
      </c>
      <c r="B36" s="130">
        <f t="shared" ref="B36" si="17">P25</f>
        <v>113</v>
      </c>
      <c r="C36" s="131">
        <f t="shared" si="16"/>
        <v>80394.400000000038</v>
      </c>
      <c r="D36" s="132">
        <v>0.3</v>
      </c>
      <c r="E36" s="131">
        <f>C36*D36</f>
        <v>24118.320000000011</v>
      </c>
      <c r="F36" s="133">
        <f>C36-E36</f>
        <v>56276.080000000031</v>
      </c>
      <c r="G36" s="363"/>
      <c r="H36" s="365"/>
      <c r="I36" s="127"/>
      <c r="J36" s="353"/>
      <c r="K36" s="354"/>
      <c r="M36" s="8"/>
      <c r="N36" s="8"/>
      <c r="O36" s="9"/>
      <c r="P36" s="9"/>
    </row>
    <row r="37" spans="1:17" ht="15" customHeight="1" thickBot="1" x14ac:dyDescent="0.3">
      <c r="A37" s="74" t="s">
        <v>46</v>
      </c>
      <c r="B37" s="120">
        <f>SUM(B35:B36)</f>
        <v>206</v>
      </c>
      <c r="C37" s="78">
        <f>SUM(C35:C36)</f>
        <v>139760.09000000005</v>
      </c>
      <c r="D37" s="121"/>
      <c r="E37" s="78">
        <f>SUM(E35:E36)</f>
        <v>83484.010000000024</v>
      </c>
      <c r="F37" s="78">
        <f>F36</f>
        <v>56276.080000000031</v>
      </c>
      <c r="G37" s="78">
        <v>450000</v>
      </c>
      <c r="H37" s="79">
        <f>E37/G37</f>
        <v>0.18552002222222228</v>
      </c>
      <c r="I37" s="80"/>
      <c r="J37" s="221">
        <f>(H37/H$3)*G$13</f>
        <v>5576120.461468583</v>
      </c>
      <c r="K37" s="81">
        <f>J37-G37</f>
        <v>5126120.461468583</v>
      </c>
      <c r="M37" s="8"/>
      <c r="N37" s="8"/>
      <c r="O37" s="9"/>
      <c r="P37" s="9"/>
    </row>
    <row r="38" spans="1:17" ht="15" thickBot="1" x14ac:dyDescent="0.35">
      <c r="A38" s="57"/>
      <c r="B38" s="82"/>
      <c r="C38" s="61"/>
      <c r="D38" s="83"/>
      <c r="E38" s="61"/>
      <c r="F38" s="61"/>
      <c r="G38" s="61"/>
      <c r="H38" s="62"/>
      <c r="I38" s="63"/>
      <c r="J38" s="337"/>
      <c r="K38" s="338"/>
      <c r="M38" s="8"/>
      <c r="N38" s="8"/>
      <c r="O38" s="9"/>
      <c r="P38" s="9"/>
    </row>
    <row r="39" spans="1:17" x14ac:dyDescent="0.3">
      <c r="A39" s="134" t="s">
        <v>47</v>
      </c>
      <c r="B39" s="98">
        <f>P26</f>
        <v>51</v>
      </c>
      <c r="C39" s="135">
        <f t="shared" ref="C39:C40" si="18">Q26</f>
        <v>30218.720000000005</v>
      </c>
      <c r="D39" s="136">
        <v>1</v>
      </c>
      <c r="E39" s="99">
        <f>C39*D39</f>
        <v>30218.720000000005</v>
      </c>
      <c r="F39" s="101"/>
      <c r="G39" s="343"/>
      <c r="H39" s="345"/>
      <c r="I39" s="91"/>
      <c r="J39" s="339"/>
      <c r="K39" s="340"/>
      <c r="M39" s="8"/>
      <c r="N39" s="8"/>
      <c r="O39" s="9"/>
      <c r="P39" s="9"/>
    </row>
    <row r="40" spans="1:17" x14ac:dyDescent="0.3">
      <c r="A40" s="138" t="s">
        <v>49</v>
      </c>
      <c r="B40" s="85">
        <f t="shared" ref="B40" si="19">P27</f>
        <v>16</v>
      </c>
      <c r="C40" s="93">
        <f t="shared" si="18"/>
        <v>3789.1099999999997</v>
      </c>
      <c r="D40" s="94">
        <v>0.3</v>
      </c>
      <c r="E40" s="139">
        <f>C40*D40</f>
        <v>1136.7329999999999</v>
      </c>
      <c r="F40" s="140">
        <f>C40-E40</f>
        <v>2652.3769999999995</v>
      </c>
      <c r="G40" s="344"/>
      <c r="H40" s="346"/>
      <c r="I40" s="91"/>
      <c r="J40" s="341"/>
      <c r="K40" s="342"/>
      <c r="M40" s="8"/>
      <c r="N40" s="8"/>
      <c r="O40" s="9"/>
      <c r="P40" s="9"/>
    </row>
    <row r="41" spans="1:17" ht="15" customHeight="1" thickBot="1" x14ac:dyDescent="0.3">
      <c r="A41" s="119" t="s">
        <v>51</v>
      </c>
      <c r="B41" s="120">
        <f>SUM(B39:B40)</f>
        <v>67</v>
      </c>
      <c r="C41" s="78">
        <f>SUM(C39:C40)</f>
        <v>34007.83</v>
      </c>
      <c r="D41" s="121"/>
      <c r="E41" s="78">
        <f>SUM(E39:E40)</f>
        <v>31355.453000000005</v>
      </c>
      <c r="F41" s="78">
        <f>F40</f>
        <v>2652.3769999999995</v>
      </c>
      <c r="G41" s="78">
        <v>325000</v>
      </c>
      <c r="H41" s="79">
        <f>E41/G41</f>
        <v>9.6478316923076943E-2</v>
      </c>
      <c r="I41" s="80"/>
      <c r="J41" s="221">
        <f>(H41/H$3)*G$13</f>
        <v>2899820.2492581387</v>
      </c>
      <c r="K41" s="81">
        <f>J41-G41</f>
        <v>2574820.2492581387</v>
      </c>
      <c r="M41" s="8"/>
      <c r="N41" s="8"/>
      <c r="O41" s="9"/>
      <c r="P41" s="9"/>
    </row>
    <row r="42" spans="1:17" ht="15" thickBot="1" x14ac:dyDescent="0.35">
      <c r="A42" s="57"/>
      <c r="B42" s="82"/>
      <c r="C42" s="61"/>
      <c r="D42" s="83"/>
      <c r="E42" s="61"/>
      <c r="F42" s="61"/>
      <c r="G42" s="61"/>
      <c r="H42" s="62"/>
      <c r="I42" s="63"/>
      <c r="J42" s="337"/>
      <c r="K42" s="350"/>
      <c r="M42" s="8"/>
      <c r="N42" s="8"/>
      <c r="O42" s="9"/>
      <c r="P42" s="9"/>
    </row>
    <row r="43" spans="1:17" x14ac:dyDescent="0.3">
      <c r="A43" s="141" t="s">
        <v>52</v>
      </c>
      <c r="B43" s="123">
        <f>P29</f>
        <v>34</v>
      </c>
      <c r="C43" s="124">
        <f t="shared" ref="C43:C44" si="20">Q29</f>
        <v>16467.539999999997</v>
      </c>
      <c r="D43" s="109">
        <v>1</v>
      </c>
      <c r="E43" s="110">
        <f>C43*D43</f>
        <v>16467.539999999997</v>
      </c>
      <c r="F43" s="142"/>
      <c r="G43" s="362"/>
      <c r="H43" s="364"/>
      <c r="I43" s="127"/>
      <c r="J43" s="351"/>
      <c r="K43" s="352"/>
      <c r="M43" s="8"/>
      <c r="N43" s="8"/>
      <c r="O43" s="9"/>
      <c r="P43" s="9"/>
    </row>
    <row r="44" spans="1:17" x14ac:dyDescent="0.3">
      <c r="A44" s="129" t="s">
        <v>54</v>
      </c>
      <c r="B44" s="130">
        <f t="shared" ref="B44" si="21">P30</f>
        <v>20</v>
      </c>
      <c r="C44" s="131">
        <f t="shared" si="20"/>
        <v>16179.339999999997</v>
      </c>
      <c r="D44" s="116">
        <v>0.3</v>
      </c>
      <c r="E44" s="117">
        <f>C44*D44</f>
        <v>4853.8019999999988</v>
      </c>
      <c r="F44" s="97">
        <f>C44-E44</f>
        <v>11325.537999999997</v>
      </c>
      <c r="G44" s="363"/>
      <c r="H44" s="365"/>
      <c r="I44" s="127"/>
      <c r="J44" s="353"/>
      <c r="K44" s="354"/>
      <c r="M44" s="8"/>
      <c r="N44" s="8"/>
      <c r="O44" s="9"/>
      <c r="P44" s="9"/>
    </row>
    <row r="45" spans="1:17" ht="15" customHeight="1" thickBot="1" x14ac:dyDescent="0.3">
      <c r="A45" s="119" t="s">
        <v>56</v>
      </c>
      <c r="B45" s="120">
        <f>SUM(B43:B44)</f>
        <v>54</v>
      </c>
      <c r="C45" s="78">
        <f>SUM(C43:C44)</f>
        <v>32646.879999999994</v>
      </c>
      <c r="D45" s="121"/>
      <c r="E45" s="78">
        <f>SUM(E43:E44)</f>
        <v>21321.341999999997</v>
      </c>
      <c r="F45" s="78">
        <f>F44</f>
        <v>11325.537999999997</v>
      </c>
      <c r="G45" s="78">
        <v>300000</v>
      </c>
      <c r="H45" s="79">
        <f>E45/G45</f>
        <v>7.1071139999999991E-2</v>
      </c>
      <c r="I45" s="80"/>
      <c r="J45" s="221">
        <f>(H45/H$3)*G$13</f>
        <v>2136164.2437666105</v>
      </c>
      <c r="K45" s="81">
        <f>J45-G45</f>
        <v>1836164.2437666105</v>
      </c>
      <c r="M45" s="8"/>
      <c r="N45" s="8"/>
      <c r="O45" s="9"/>
      <c r="P45" s="9"/>
    </row>
    <row r="46" spans="1:17" ht="15" thickBot="1" x14ac:dyDescent="0.35">
      <c r="A46" s="57"/>
      <c r="B46" s="82"/>
      <c r="C46" s="61"/>
      <c r="D46" s="83"/>
      <c r="E46" s="61"/>
      <c r="F46" s="143"/>
      <c r="G46" s="61"/>
      <c r="H46" s="62"/>
      <c r="I46" s="63"/>
      <c r="J46" s="337"/>
      <c r="K46" s="338"/>
      <c r="M46" s="8"/>
      <c r="N46" s="8"/>
      <c r="O46" s="9"/>
      <c r="P46" s="9"/>
    </row>
    <row r="47" spans="1:17" x14ac:dyDescent="0.3">
      <c r="A47" s="141" t="s">
        <v>66</v>
      </c>
      <c r="B47" s="123"/>
      <c r="C47" s="124"/>
      <c r="D47" s="109">
        <v>1</v>
      </c>
      <c r="E47" s="110">
        <f>C47*D47</f>
        <v>0</v>
      </c>
      <c r="F47" s="142"/>
      <c r="G47" s="362"/>
      <c r="H47" s="364"/>
      <c r="I47" s="127"/>
      <c r="J47" s="370"/>
      <c r="K47" s="340"/>
      <c r="M47" s="8"/>
      <c r="N47" s="8"/>
      <c r="O47" s="9"/>
      <c r="P47" s="9"/>
    </row>
    <row r="48" spans="1:17" x14ac:dyDescent="0.3">
      <c r="A48" s="129" t="s">
        <v>67</v>
      </c>
      <c r="B48" s="130"/>
      <c r="C48" s="131"/>
      <c r="D48" s="116">
        <v>0.3</v>
      </c>
      <c r="E48" s="117">
        <f>C48*D48</f>
        <v>0</v>
      </c>
      <c r="F48" s="97">
        <f>C48-E48</f>
        <v>0</v>
      </c>
      <c r="G48" s="363"/>
      <c r="H48" s="365"/>
      <c r="I48" s="127"/>
      <c r="J48" s="370"/>
      <c r="K48" s="340"/>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370"/>
      <c r="K49" s="340"/>
      <c r="M49" s="8"/>
      <c r="N49" s="8"/>
      <c r="O49" s="9"/>
      <c r="P49" s="9"/>
    </row>
    <row r="50" spans="1:17" ht="15" thickBot="1" x14ac:dyDescent="0.35">
      <c r="A50" s="57"/>
      <c r="B50" s="82"/>
      <c r="C50" s="61"/>
      <c r="D50" s="83"/>
      <c r="E50" s="61"/>
      <c r="F50" s="143"/>
      <c r="G50" s="61"/>
      <c r="H50" s="62"/>
      <c r="I50" s="63"/>
      <c r="J50" s="370"/>
      <c r="K50" s="340"/>
      <c r="M50" s="8"/>
      <c r="N50" s="8"/>
      <c r="O50" s="9"/>
      <c r="P50" s="9"/>
    </row>
    <row r="51" spans="1:17" ht="16.5" customHeight="1" x14ac:dyDescent="0.3">
      <c r="A51" s="106" t="s">
        <v>57</v>
      </c>
      <c r="B51" s="115">
        <f>P23</f>
        <v>656</v>
      </c>
      <c r="C51" s="64">
        <f>Q23</f>
        <v>180532.20999999979</v>
      </c>
      <c r="D51" s="116">
        <v>0.3</v>
      </c>
      <c r="E51" s="110">
        <f>C51*D51</f>
        <v>54159.662999999935</v>
      </c>
      <c r="F51" s="144">
        <f>C51-E51</f>
        <v>126372.54699999985</v>
      </c>
      <c r="G51" s="145"/>
      <c r="H51" s="146"/>
      <c r="I51" s="112"/>
      <c r="J51" s="341"/>
      <c r="K51" s="342"/>
      <c r="M51" s="8"/>
      <c r="N51" s="8"/>
      <c r="O51" s="9"/>
      <c r="P51" s="9"/>
    </row>
    <row r="52" spans="1:17" ht="15" customHeight="1" thickBot="1" x14ac:dyDescent="0.3">
      <c r="A52" s="119" t="s">
        <v>59</v>
      </c>
      <c r="B52" s="120">
        <f>B51</f>
        <v>656</v>
      </c>
      <c r="C52" s="78">
        <f>C51</f>
        <v>180532.20999999979</v>
      </c>
      <c r="D52" s="121"/>
      <c r="E52" s="78">
        <f>E51</f>
        <v>54159.662999999935</v>
      </c>
      <c r="F52" s="78">
        <f>F51</f>
        <v>126372.54699999985</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37"/>
      <c r="K53" s="350"/>
      <c r="M53" s="8"/>
      <c r="N53" s="8"/>
      <c r="O53" s="9"/>
      <c r="P53" s="9"/>
    </row>
    <row r="54" spans="1:17" ht="15" thickBot="1" x14ac:dyDescent="0.35">
      <c r="A54" s="147" t="s">
        <v>75</v>
      </c>
      <c r="B54" s="148">
        <f>P28</f>
        <v>396</v>
      </c>
      <c r="C54" s="54">
        <f>Q28</f>
        <v>5074.4899999999961</v>
      </c>
      <c r="D54" s="149">
        <v>1</v>
      </c>
      <c r="E54" s="54">
        <f>C54*D54</f>
        <v>5074.4899999999961</v>
      </c>
      <c r="F54" s="150"/>
      <c r="G54" s="151">
        <v>546455</v>
      </c>
      <c r="H54" s="152"/>
      <c r="I54" s="71"/>
      <c r="J54" s="351"/>
      <c r="K54" s="352"/>
      <c r="M54" s="8"/>
      <c r="N54" s="8"/>
      <c r="O54" s="9"/>
      <c r="P54" s="9"/>
    </row>
    <row r="55" spans="1:17" ht="15" thickBot="1" x14ac:dyDescent="0.35">
      <c r="A55" s="57"/>
      <c r="B55" s="82"/>
      <c r="C55" s="61"/>
      <c r="D55" s="60"/>
      <c r="E55" s="59"/>
      <c r="F55" s="144"/>
      <c r="G55" s="61"/>
      <c r="H55" s="62"/>
      <c r="I55" s="63"/>
      <c r="J55" s="366"/>
      <c r="K55" s="367"/>
      <c r="M55" s="8"/>
      <c r="N55" s="8"/>
      <c r="O55" s="9"/>
      <c r="P55" s="9"/>
    </row>
    <row r="56" spans="1:17" ht="15.75" thickBot="1" x14ac:dyDescent="0.3">
      <c r="A56" s="153" t="s">
        <v>7</v>
      </c>
      <c r="B56" s="154"/>
      <c r="C56" s="157"/>
      <c r="D56" s="156"/>
      <c r="E56" s="157">
        <f>SUM(E13,E17,E21,E25,E29,E33,E37,E41,E45,E49,E52,E54)</f>
        <v>564109.94299999962</v>
      </c>
      <c r="F56" s="157"/>
      <c r="G56" s="158">
        <f>SUM(G13:G54)</f>
        <v>7917043</v>
      </c>
      <c r="H56" s="159">
        <f>SUM(E56)/G56</f>
        <v>7.125260567613434E-2</v>
      </c>
      <c r="I56" s="160"/>
      <c r="J56" s="222">
        <f>(H56/H$3)*G56</f>
        <v>6222303.6136969663</v>
      </c>
      <c r="K56" s="161">
        <f>J56-G56</f>
        <v>-1694739.3863030337</v>
      </c>
      <c r="M56" s="8"/>
      <c r="N56" s="8"/>
      <c r="O56" s="9"/>
      <c r="P56" s="9"/>
    </row>
    <row r="57" spans="1:17" ht="15.75" thickBot="1" x14ac:dyDescent="0.3">
      <c r="A57" s="57"/>
      <c r="B57" s="82"/>
      <c r="C57" s="61"/>
      <c r="D57" s="83"/>
      <c r="E57" s="61"/>
      <c r="F57" s="143"/>
      <c r="G57" s="61"/>
      <c r="H57" s="62"/>
      <c r="I57" s="63"/>
      <c r="J57" s="223"/>
      <c r="K57" s="163"/>
      <c r="M57" s="8"/>
      <c r="N57" s="8"/>
      <c r="O57" s="9"/>
      <c r="P57" s="9"/>
    </row>
    <row r="58" spans="1:17" ht="15.75" thickBot="1" x14ac:dyDescent="0.3">
      <c r="A58" s="153" t="s">
        <v>8</v>
      </c>
      <c r="B58" s="154"/>
      <c r="C58" s="155"/>
      <c r="D58" s="156"/>
      <c r="E58" s="157"/>
      <c r="F58" s="157">
        <f>SUM(F13,F17,F21,F25,F29,F33,F37,F41,F45,F49,F52)</f>
        <v>253774.36699999985</v>
      </c>
      <c r="G58" s="158"/>
      <c r="H58" s="159"/>
      <c r="I58" s="160"/>
      <c r="J58" s="222">
        <f>(H58/H$3)*G58</f>
        <v>0</v>
      </c>
      <c r="K58" s="161">
        <f>J58-G58</f>
        <v>0</v>
      </c>
      <c r="M58" s="8"/>
      <c r="N58" s="8"/>
      <c r="O58" s="9"/>
      <c r="P58" s="9"/>
    </row>
    <row r="59" spans="1:17" ht="15.75" thickBot="1" x14ac:dyDescent="0.3">
      <c r="A59" s="57"/>
      <c r="B59" s="82"/>
      <c r="D59" s="83"/>
      <c r="E59" s="61"/>
      <c r="F59" s="143"/>
      <c r="G59" s="61"/>
      <c r="H59" s="62"/>
      <c r="I59" s="63"/>
      <c r="J59" s="223"/>
      <c r="K59" s="163"/>
      <c r="M59" s="8"/>
      <c r="N59" s="8"/>
      <c r="O59" s="9"/>
      <c r="P59" s="9"/>
    </row>
    <row r="60" spans="1:17" ht="15.75" thickBot="1" x14ac:dyDescent="0.3">
      <c r="A60" s="153" t="s">
        <v>61</v>
      </c>
      <c r="B60" s="154">
        <f>SUM(B13,B17,B21,B25,B29,B33,B37,B41,B45,B49,B52,B54)</f>
        <v>2814</v>
      </c>
      <c r="C60" s="155">
        <f>SUM(C13,C17,C21,C25,C29,C33,C37,C41,C45,C49,C52,C54)</f>
        <v>817884.30999999959</v>
      </c>
      <c r="D60" s="156"/>
      <c r="E60" s="157"/>
      <c r="F60" s="157">
        <f>SUM(E56:F59)</f>
        <v>817884.30999999947</v>
      </c>
      <c r="G60" s="158">
        <f>SUM(G56:G59)</f>
        <v>7917043</v>
      </c>
      <c r="H60" s="159">
        <f>SUM(C60)/G60</f>
        <v>0.10330679143715647</v>
      </c>
      <c r="I60" s="160"/>
      <c r="J60" s="222">
        <f>(H60/H$3)*G60</f>
        <v>9021511.7830302995</v>
      </c>
      <c r="K60" s="161">
        <f>J60-G60</f>
        <v>1104468.7830302995</v>
      </c>
      <c r="M60" s="8"/>
      <c r="N60" s="8"/>
      <c r="O60" s="9"/>
      <c r="P60" s="9"/>
    </row>
    <row r="61" spans="1:17" ht="15" x14ac:dyDescent="0.25">
      <c r="C61" s="168"/>
      <c r="M61" s="8"/>
      <c r="N61" s="8"/>
      <c r="O61" s="9"/>
      <c r="P61" s="9"/>
    </row>
    <row r="62" spans="1:17" ht="15" x14ac:dyDescent="0.25">
      <c r="B62" s="164"/>
      <c r="C62" s="165"/>
      <c r="D62" s="165"/>
      <c r="E62" s="165"/>
      <c r="F62" s="165"/>
      <c r="G62" s="165"/>
      <c r="H62" s="165"/>
      <c r="I62" s="165"/>
      <c r="J62" s="165"/>
      <c r="K62" s="165"/>
      <c r="M62" s="8"/>
      <c r="N62" s="8"/>
      <c r="O62" s="9"/>
      <c r="P62" s="9"/>
    </row>
    <row r="63" spans="1:17" ht="15" customHeight="1" x14ac:dyDescent="0.25">
      <c r="A63" s="335" t="s">
        <v>120</v>
      </c>
      <c r="B63" s="335"/>
      <c r="C63" s="335"/>
      <c r="D63" s="335"/>
      <c r="E63" s="335"/>
      <c r="F63" s="335"/>
      <c r="G63" s="335"/>
      <c r="H63" s="335"/>
      <c r="I63" s="233"/>
      <c r="J63" s="224"/>
      <c r="K63" s="233"/>
      <c r="M63" s="8"/>
      <c r="N63" s="8"/>
      <c r="O63" s="9"/>
      <c r="P63" s="9"/>
      <c r="Q63"/>
    </row>
    <row r="64" spans="1:17" ht="15" x14ac:dyDescent="0.25">
      <c r="A64" s="336"/>
      <c r="B64" s="336"/>
      <c r="C64" s="336"/>
      <c r="D64" s="336"/>
      <c r="E64" s="336"/>
      <c r="F64" s="336"/>
      <c r="G64" s="336"/>
      <c r="H64" s="336"/>
      <c r="I64" s="233"/>
      <c r="J64" s="224"/>
      <c r="K64" s="233"/>
      <c r="L64" s="168"/>
      <c r="M64" s="8"/>
      <c r="N64" s="8"/>
      <c r="O64" s="9"/>
      <c r="P64" s="9"/>
    </row>
    <row r="65" spans="1:28" ht="15" x14ac:dyDescent="0.25">
      <c r="M65" s="8"/>
      <c r="N65" s="8"/>
      <c r="O65" s="9"/>
      <c r="R65" s="8"/>
    </row>
    <row r="66" spans="1:28" ht="21" customHeight="1" x14ac:dyDescent="0.25">
      <c r="G66" s="168"/>
      <c r="M66" s="8"/>
      <c r="N66" s="8"/>
      <c r="O66" s="8"/>
      <c r="P66" s="8"/>
      <c r="Q66" s="8"/>
      <c r="R66" s="8"/>
    </row>
    <row r="67" spans="1:28" ht="21" customHeight="1" x14ac:dyDescent="0.25">
      <c r="G67"/>
      <c r="M67" s="8"/>
      <c r="N67" s="8"/>
      <c r="O67" s="8"/>
      <c r="P67" s="8"/>
      <c r="Q67" s="8"/>
      <c r="R67" s="8"/>
    </row>
    <row r="68" spans="1:28" s="173" customFormat="1" ht="39.75" customHeight="1" x14ac:dyDescent="0.25">
      <c r="A68"/>
      <c r="B68"/>
      <c r="C68"/>
      <c r="D68"/>
      <c r="E68"/>
      <c r="F68"/>
      <c r="G68" s="1"/>
      <c r="H68"/>
      <c r="I68"/>
      <c r="J68" s="214"/>
      <c r="K68"/>
      <c r="M68" s="8"/>
      <c r="N68" s="8"/>
      <c r="O68" s="8"/>
      <c r="P68" s="8"/>
      <c r="Q68" s="8"/>
      <c r="R68" s="8"/>
      <c r="T68"/>
      <c r="U68"/>
      <c r="V68"/>
      <c r="X68"/>
      <c r="Y68"/>
      <c r="Z68"/>
      <c r="AA68"/>
      <c r="AB68"/>
    </row>
    <row r="69" spans="1:28" s="173" customFormat="1" ht="39.75" hidden="1" customHeight="1" x14ac:dyDescent="0.25">
      <c r="A69" t="s">
        <v>62</v>
      </c>
      <c r="B69">
        <f t="shared" ref="B69:G69" si="22">SUM(B66:B68)</f>
        <v>0</v>
      </c>
      <c r="C69">
        <f t="shared" si="22"/>
        <v>0</v>
      </c>
      <c r="D69">
        <f t="shared" si="22"/>
        <v>0</v>
      </c>
      <c r="E69">
        <f t="shared" si="22"/>
        <v>0</v>
      </c>
      <c r="F69">
        <f t="shared" si="22"/>
        <v>0</v>
      </c>
      <c r="G69" s="1">
        <f t="shared" si="22"/>
        <v>0</v>
      </c>
      <c r="H69"/>
      <c r="I69"/>
      <c r="J69" s="214"/>
      <c r="K69"/>
      <c r="M69" s="172"/>
      <c r="O69" s="8"/>
      <c r="P69" s="8"/>
      <c r="Q69" s="8"/>
      <c r="R69"/>
      <c r="X69"/>
      <c r="Y69"/>
      <c r="Z69"/>
      <c r="AA69"/>
      <c r="AB69"/>
    </row>
    <row r="70" spans="1:28" ht="15" hidden="1" x14ac:dyDescent="0.25">
      <c r="O70" s="175"/>
      <c r="P70" s="175"/>
      <c r="T70" s="173"/>
      <c r="U70" s="173"/>
      <c r="V70" s="173"/>
      <c r="AB70" s="173"/>
    </row>
    <row r="71" spans="1:28" ht="15" hidden="1" x14ac:dyDescent="0.25">
      <c r="X71" s="173"/>
      <c r="Y71" s="173"/>
      <c r="Z71" s="173"/>
      <c r="AA71" s="173"/>
      <c r="AB71" s="173"/>
    </row>
    <row r="72" spans="1:2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28" ht="15" hidden="1" x14ac:dyDescent="0.25">
      <c r="A73" s="183"/>
      <c r="B73" s="184"/>
      <c r="C73" s="185"/>
      <c r="D73" s="185"/>
      <c r="E73" s="185"/>
      <c r="F73" s="185"/>
      <c r="G73" s="185"/>
      <c r="H73" s="185"/>
      <c r="I73" s="160"/>
      <c r="J73" s="226"/>
      <c r="K73" s="185"/>
    </row>
    <row r="74" spans="1:28" ht="15" hidden="1" x14ac:dyDescent="0.25"/>
    <row r="75" spans="1:2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2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2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28" ht="15" hidden="1" x14ac:dyDescent="0.25">
      <c r="A78" s="183"/>
      <c r="B78" s="184"/>
      <c r="C78" s="185"/>
      <c r="D78" s="185"/>
      <c r="E78" s="185"/>
      <c r="F78" s="185"/>
      <c r="G78" s="185"/>
      <c r="H78" s="160"/>
      <c r="I78" s="160"/>
      <c r="J78" s="226"/>
      <c r="K78" s="185"/>
    </row>
    <row r="79" spans="1:28" ht="15" hidden="1" x14ac:dyDescent="0.25">
      <c r="B79" s="164">
        <v>6196</v>
      </c>
      <c r="C79" s="1">
        <v>3871765.8300000052</v>
      </c>
      <c r="D79" s="1"/>
      <c r="E79" s="1"/>
      <c r="F79" s="1"/>
      <c r="G79" s="1">
        <v>7182150.0000000009</v>
      </c>
      <c r="H79" s="1"/>
      <c r="I79" s="1"/>
      <c r="J79" s="165">
        <v>7423408.4691351494</v>
      </c>
      <c r="K79" s="1">
        <v>241258.46913514897</v>
      </c>
    </row>
    <row r="80" spans="1:28"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ht="15" x14ac:dyDescent="0.25">
      <c r="M85" s="8"/>
      <c r="N85" s="8"/>
      <c r="R85" s="8"/>
      <c r="S85" s="8"/>
    </row>
    <row r="86" spans="1:21" ht="15" x14ac:dyDescent="0.25">
      <c r="M86" s="8"/>
      <c r="N86" s="8"/>
      <c r="O86" s="8"/>
      <c r="P86" s="8"/>
      <c r="Q86" s="8"/>
      <c r="R86" s="8"/>
      <c r="S86" s="8"/>
      <c r="T86" s="8"/>
      <c r="U86" s="8"/>
    </row>
    <row r="87" spans="1:21" ht="15" x14ac:dyDescent="0.25">
      <c r="M87" s="8"/>
      <c r="N87" s="8"/>
      <c r="O87" s="8"/>
      <c r="P87" s="8"/>
      <c r="Q87" s="8"/>
      <c r="R87" s="8"/>
      <c r="S87" s="8"/>
      <c r="T87" s="8"/>
      <c r="U87" s="8"/>
    </row>
    <row r="88" spans="1:21" ht="15" x14ac:dyDescent="0.25">
      <c r="M88" s="8"/>
      <c r="N88" s="8"/>
      <c r="O88" s="8"/>
      <c r="P88" s="8"/>
      <c r="Q88" s="8"/>
      <c r="R88" s="8"/>
      <c r="S88" s="8"/>
      <c r="T88" s="8"/>
      <c r="U88" s="8"/>
    </row>
    <row r="89" spans="1:21" ht="15" x14ac:dyDescent="0.25">
      <c r="M89" s="8"/>
      <c r="N89" s="8"/>
      <c r="O89" s="8"/>
      <c r="P89" s="8"/>
      <c r="Q89" s="8"/>
      <c r="R89" s="8"/>
      <c r="S89" s="8"/>
      <c r="T89" s="8"/>
      <c r="U89" s="8"/>
    </row>
    <row r="90" spans="1:21" ht="15" x14ac:dyDescent="0.25">
      <c r="M90" s="8"/>
      <c r="N90" s="8"/>
      <c r="O90" s="8"/>
      <c r="P90" s="8"/>
      <c r="Q90" s="8"/>
      <c r="R90" s="8"/>
      <c r="S90" s="8"/>
      <c r="T90" s="8"/>
      <c r="U90" s="8"/>
    </row>
    <row r="91" spans="1:21" ht="15" x14ac:dyDescent="0.25">
      <c r="M91" s="8"/>
      <c r="N91" s="8"/>
      <c r="O91" s="8"/>
      <c r="P91" s="8"/>
      <c r="Q91" s="8"/>
      <c r="R91" s="8"/>
      <c r="S91" s="8"/>
      <c r="T91" s="8"/>
      <c r="U91" s="8"/>
    </row>
    <row r="92" spans="1:21" ht="15" x14ac:dyDescent="0.25">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177" priority="37" operator="greaterThan">
      <formula>$H$3</formula>
    </cfRule>
  </conditionalFormatting>
  <conditionalFormatting sqref="H13:I13">
    <cfRule type="cellIs" dxfId="176" priority="36" operator="greaterThan">
      <formula>$H$3</formula>
    </cfRule>
  </conditionalFormatting>
  <conditionalFormatting sqref="I75:I76">
    <cfRule type="cellIs" dxfId="175" priority="35" operator="greaterThan">
      <formula>$H$3</formula>
    </cfRule>
  </conditionalFormatting>
  <conditionalFormatting sqref="H75:H76">
    <cfRule type="cellIs" dxfId="174" priority="34" operator="greaterThan">
      <formula>$H$3</formula>
    </cfRule>
  </conditionalFormatting>
  <conditionalFormatting sqref="H54:I54">
    <cfRule type="cellIs" dxfId="173" priority="33" operator="greaterThan">
      <formula>$H$3</formula>
    </cfRule>
  </conditionalFormatting>
  <conditionalFormatting sqref="H43:H44">
    <cfRule type="cellIs" dxfId="172" priority="31" operator="greaterThan">
      <formula>$H$3</formula>
    </cfRule>
  </conditionalFormatting>
  <conditionalFormatting sqref="I43:I44">
    <cfRule type="cellIs" dxfId="171" priority="32" operator="greaterThan">
      <formula>$H$3</formula>
    </cfRule>
  </conditionalFormatting>
  <conditionalFormatting sqref="H16:I16">
    <cfRule type="cellIs" dxfId="170" priority="30" operator="greaterThan">
      <formula>$H$3</formula>
    </cfRule>
  </conditionalFormatting>
  <conditionalFormatting sqref="H23">
    <cfRule type="cellIs" dxfId="169" priority="29" operator="greaterThan">
      <formula>$H$3</formula>
    </cfRule>
  </conditionalFormatting>
  <conditionalFormatting sqref="H17:I17">
    <cfRule type="cellIs" dxfId="168" priority="27" operator="greaterThan">
      <formula>$H$3</formula>
    </cfRule>
  </conditionalFormatting>
  <conditionalFormatting sqref="H17:I17">
    <cfRule type="cellIs" dxfId="167" priority="28" operator="greaterThan">
      <formula>$H$3</formula>
    </cfRule>
  </conditionalFormatting>
  <conditionalFormatting sqref="H25:I25">
    <cfRule type="cellIs" dxfId="166" priority="25" operator="greaterThan">
      <formula>$H$3</formula>
    </cfRule>
  </conditionalFormatting>
  <conditionalFormatting sqref="H25:I25">
    <cfRule type="cellIs" dxfId="165" priority="26" operator="greaterThan">
      <formula>$H$3</formula>
    </cfRule>
  </conditionalFormatting>
  <conditionalFormatting sqref="H19:I19">
    <cfRule type="cellIs" dxfId="164" priority="24" operator="greaterThan">
      <formula>$H$3</formula>
    </cfRule>
  </conditionalFormatting>
  <conditionalFormatting sqref="H20:I20">
    <cfRule type="cellIs" dxfId="163" priority="23" operator="greaterThan">
      <formula>$H$3</formula>
    </cfRule>
  </conditionalFormatting>
  <conditionalFormatting sqref="H21:I21">
    <cfRule type="cellIs" dxfId="162" priority="21" operator="greaterThan">
      <formula>$H$3</formula>
    </cfRule>
  </conditionalFormatting>
  <conditionalFormatting sqref="H21:I21">
    <cfRule type="cellIs" dxfId="161" priority="22" operator="greaterThan">
      <formula>$H$3</formula>
    </cfRule>
  </conditionalFormatting>
  <conditionalFormatting sqref="H29:I29">
    <cfRule type="cellIs" dxfId="160" priority="19" operator="greaterThan">
      <formula>$H$3</formula>
    </cfRule>
  </conditionalFormatting>
  <conditionalFormatting sqref="H29:I29">
    <cfRule type="cellIs" dxfId="159" priority="20" operator="greaterThan">
      <formula>$H$3</formula>
    </cfRule>
  </conditionalFormatting>
  <conditionalFormatting sqref="H27:I27">
    <cfRule type="cellIs" dxfId="158" priority="18" operator="greaterThan">
      <formula>$H$3</formula>
    </cfRule>
  </conditionalFormatting>
  <conditionalFormatting sqref="H28:I28">
    <cfRule type="cellIs" dxfId="157" priority="17" operator="greaterThan">
      <formula>$H$3</formula>
    </cfRule>
  </conditionalFormatting>
  <conditionalFormatting sqref="H33:I33">
    <cfRule type="cellIs" dxfId="156" priority="15" operator="greaterThan">
      <formula>$H$3</formula>
    </cfRule>
  </conditionalFormatting>
  <conditionalFormatting sqref="H33:I33">
    <cfRule type="cellIs" dxfId="155" priority="16" operator="greaterThan">
      <formula>$H$3</formula>
    </cfRule>
  </conditionalFormatting>
  <conditionalFormatting sqref="H37:I37">
    <cfRule type="cellIs" dxfId="154" priority="13" operator="greaterThan">
      <formula>$H$3</formula>
    </cfRule>
  </conditionalFormatting>
  <conditionalFormatting sqref="H37:I37">
    <cfRule type="cellIs" dxfId="153" priority="14" operator="greaterThan">
      <formula>$H$3</formula>
    </cfRule>
  </conditionalFormatting>
  <conditionalFormatting sqref="H41:I41">
    <cfRule type="cellIs" dxfId="152" priority="11" operator="greaterThan">
      <formula>$H$3</formula>
    </cfRule>
  </conditionalFormatting>
  <conditionalFormatting sqref="H41:I41">
    <cfRule type="cellIs" dxfId="151" priority="12" operator="greaterThan">
      <formula>$H$3</formula>
    </cfRule>
  </conditionalFormatting>
  <conditionalFormatting sqref="H45:I45">
    <cfRule type="cellIs" dxfId="150" priority="9" operator="greaterThan">
      <formula>$H$3</formula>
    </cfRule>
  </conditionalFormatting>
  <conditionalFormatting sqref="H45:I45">
    <cfRule type="cellIs" dxfId="149" priority="10" operator="greaterThan">
      <formula>$H$3</formula>
    </cfRule>
  </conditionalFormatting>
  <conditionalFormatting sqref="H52:I52">
    <cfRule type="cellIs" dxfId="148" priority="7" operator="greaterThan">
      <formula>$H$3</formula>
    </cfRule>
  </conditionalFormatting>
  <conditionalFormatting sqref="H52:I52">
    <cfRule type="cellIs" dxfId="147" priority="8" operator="greaterThan">
      <formula>$H$3</formula>
    </cfRule>
  </conditionalFormatting>
  <conditionalFormatting sqref="H58:I58">
    <cfRule type="cellIs" dxfId="146" priority="6" operator="greaterThan">
      <formula>$H$3</formula>
    </cfRule>
  </conditionalFormatting>
  <conditionalFormatting sqref="H60:I60">
    <cfRule type="cellIs" dxfId="145" priority="5" operator="greaterThan">
      <formula>$H$3</formula>
    </cfRule>
  </conditionalFormatting>
  <conditionalFormatting sqref="H47:H48">
    <cfRule type="cellIs" dxfId="144" priority="3" operator="greaterThan">
      <formula>$H$3</formula>
    </cfRule>
  </conditionalFormatting>
  <conditionalFormatting sqref="I47:I48">
    <cfRule type="cellIs" dxfId="143" priority="4" operator="greaterThan">
      <formula>$H$3</formula>
    </cfRule>
  </conditionalFormatting>
  <conditionalFormatting sqref="H49:I49">
    <cfRule type="cellIs" dxfId="142" priority="1" operator="greaterThan">
      <formula>$H$3</formula>
    </cfRule>
  </conditionalFormatting>
  <conditionalFormatting sqref="H49:I49">
    <cfRule type="cellIs" dxfId="141" priority="2" operator="greaterThan">
      <formula>$H$3</formula>
    </cfRule>
  </conditionalFormatting>
  <pageMargins left="0.2" right="0.2" top="0.75" bottom="0.75" header="0.3" footer="0.3"/>
  <pageSetup scale="64" orientation="landscape"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175"/>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5.6640625" customWidth="1"/>
    <col min="16" max="16" width="17.44140625" customWidth="1"/>
    <col min="17" max="17" width="17.44140625" style="172" hidden="1" customWidth="1"/>
    <col min="18" max="18" width="17.44140625" hidden="1" customWidth="1"/>
    <col min="19" max="21" width="17.44140625" style="37" hidden="1" customWidth="1"/>
    <col min="22" max="25" width="17.44140625" hidden="1" customWidth="1"/>
    <col min="26" max="26" width="17.44140625" customWidth="1"/>
    <col min="27" max="29" width="13.6640625" customWidth="1"/>
    <col min="30" max="30" width="9.88671875" customWidth="1"/>
  </cols>
  <sheetData>
    <row r="1" spans="2:24" ht="15.75" thickBot="1" x14ac:dyDescent="0.3">
      <c r="Q1" s="323" t="s">
        <v>0</v>
      </c>
      <c r="R1" s="324"/>
      <c r="S1" s="324"/>
      <c r="T1" s="324"/>
      <c r="U1" s="324"/>
      <c r="V1" s="324"/>
    </row>
    <row r="2" spans="2:24" ht="30" x14ac:dyDescent="0.25">
      <c r="B2" s="2"/>
      <c r="C2" s="3"/>
      <c r="D2" s="3"/>
      <c r="E2" s="3"/>
      <c r="F2" s="3"/>
      <c r="G2" s="3"/>
      <c r="H2" s="3"/>
      <c r="I2" s="3"/>
      <c r="J2" s="4" t="s">
        <v>1</v>
      </c>
      <c r="K2" s="308"/>
      <c r="L2" s="5" t="s">
        <v>2</v>
      </c>
      <c r="M2" s="6"/>
      <c r="N2" s="6"/>
      <c r="O2" s="6"/>
      <c r="Q2" s="7">
        <v>41456</v>
      </c>
      <c r="R2" s="8"/>
      <c r="S2" s="9"/>
      <c r="T2" s="9"/>
      <c r="U2" s="9"/>
      <c r="V2" s="8"/>
    </row>
    <row r="3" spans="2:24" ht="18.75" x14ac:dyDescent="0.3">
      <c r="B3" s="10" t="s">
        <v>118</v>
      </c>
      <c r="C3" s="11"/>
      <c r="D3" s="8"/>
      <c r="E3" s="8"/>
      <c r="F3" s="8"/>
      <c r="G3" s="8"/>
      <c r="H3" s="8"/>
      <c r="I3" s="8"/>
      <c r="J3" s="12">
        <v>41474</v>
      </c>
      <c r="K3" s="307"/>
      <c r="L3" s="13">
        <f>$Q$5/26</f>
        <v>4.9450549450549455E-2</v>
      </c>
      <c r="M3" s="14"/>
      <c r="N3" s="14"/>
      <c r="O3" s="14"/>
      <c r="Q3" s="15"/>
      <c r="R3" s="8"/>
      <c r="S3" s="9"/>
      <c r="T3" s="9"/>
      <c r="U3" s="9"/>
      <c r="V3" s="8"/>
    </row>
    <row r="4" spans="2:24" ht="15.75" thickBot="1" x14ac:dyDescent="0.3">
      <c r="B4" s="16"/>
      <c r="C4" s="8"/>
      <c r="D4" s="8"/>
      <c r="E4" s="8"/>
      <c r="F4" s="17"/>
      <c r="G4" s="8"/>
      <c r="H4" s="8"/>
      <c r="I4" s="8"/>
      <c r="J4" s="306"/>
      <c r="K4" s="306"/>
      <c r="L4" s="19"/>
      <c r="M4" s="8"/>
      <c r="N4" s="8"/>
      <c r="O4" s="8"/>
      <c r="Q4" s="15">
        <f>J3-Q2</f>
        <v>18</v>
      </c>
      <c r="R4" s="8"/>
      <c r="S4" s="9"/>
      <c r="T4" s="9"/>
      <c r="U4" s="8"/>
      <c r="V4" s="8"/>
    </row>
    <row r="5" spans="2:24" ht="45.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1.2857142857142858</v>
      </c>
      <c r="R5" s="8"/>
      <c r="S5" s="9"/>
      <c r="T5" s="9"/>
      <c r="U5" s="266" t="s">
        <v>101</v>
      </c>
      <c r="V5" s="266" t="s">
        <v>3</v>
      </c>
      <c r="W5" s="266" t="s">
        <v>13</v>
      </c>
      <c r="X5" t="s">
        <v>14</v>
      </c>
    </row>
    <row r="6" spans="2:24" x14ac:dyDescent="0.3">
      <c r="B6" s="294" t="s">
        <v>100</v>
      </c>
      <c r="C6" s="293">
        <v>37</v>
      </c>
      <c r="D6" s="113">
        <v>7936.33</v>
      </c>
      <c r="E6" s="292"/>
      <c r="F6" s="291">
        <v>1</v>
      </c>
      <c r="G6" s="290">
        <f t="shared" ref="G6:G19" si="0">D6*F6</f>
        <v>7936.33</v>
      </c>
      <c r="H6" s="288">
        <f t="shared" ref="H6:H19" si="1">D6-G6</f>
        <v>0</v>
      </c>
      <c r="I6" s="289"/>
      <c r="J6" s="325"/>
      <c r="K6" s="325"/>
      <c r="L6" s="327" t="e">
        <f>SUM(G6:G7)/J6</f>
        <v>#DIV/0!</v>
      </c>
      <c r="M6" s="268"/>
      <c r="N6" s="113" t="e">
        <f>(L6/L$3)*J6</f>
        <v>#DIV/0!</v>
      </c>
      <c r="O6" s="288" t="e">
        <f>N6-J6</f>
        <v>#DIV/0!</v>
      </c>
      <c r="Q6" s="36">
        <v>51000</v>
      </c>
      <c r="R6" s="8"/>
      <c r="S6" s="9"/>
      <c r="T6" s="9"/>
      <c r="U6" s="287">
        <v>1</v>
      </c>
      <c r="V6" s="266" t="s">
        <v>72</v>
      </c>
      <c r="W6" s="265">
        <v>37</v>
      </c>
      <c r="X6">
        <v>7936.33</v>
      </c>
    </row>
    <row r="7" spans="2:24" x14ac:dyDescent="0.3">
      <c r="B7" s="272" t="s">
        <v>90</v>
      </c>
      <c r="C7" s="115">
        <v>17</v>
      </c>
      <c r="D7" s="64">
        <v>3611.71</v>
      </c>
      <c r="E7" s="271"/>
      <c r="F7" s="270">
        <v>0.3</v>
      </c>
      <c r="G7" s="269">
        <f t="shared" si="0"/>
        <v>1083.5129999999999</v>
      </c>
      <c r="H7" s="267">
        <f t="shared" si="1"/>
        <v>2528.1970000000001</v>
      </c>
      <c r="I7" s="8"/>
      <c r="J7" s="326"/>
      <c r="K7" s="326"/>
      <c r="L7" s="328"/>
      <c r="M7" s="268"/>
      <c r="N7" s="64"/>
      <c r="O7" s="267"/>
      <c r="Q7" s="36"/>
      <c r="R7" s="8"/>
      <c r="S7" s="9"/>
      <c r="T7" s="9"/>
      <c r="U7" s="264"/>
      <c r="V7" s="266" t="s">
        <v>31</v>
      </c>
      <c r="W7" s="265">
        <v>17</v>
      </c>
      <c r="X7">
        <v>3611.71</v>
      </c>
    </row>
    <row r="8" spans="2:24" x14ac:dyDescent="0.3">
      <c r="B8" s="286" t="s">
        <v>99</v>
      </c>
      <c r="C8" s="285">
        <v>13</v>
      </c>
      <c r="D8" s="137">
        <v>3046.8</v>
      </c>
      <c r="E8" s="284"/>
      <c r="F8" s="283">
        <v>1</v>
      </c>
      <c r="G8" s="282">
        <f t="shared" si="0"/>
        <v>3046.8</v>
      </c>
      <c r="H8" s="280">
        <f t="shared" si="1"/>
        <v>0</v>
      </c>
      <c r="I8" s="281"/>
      <c r="J8" s="329"/>
      <c r="K8" s="329"/>
      <c r="L8" s="331" t="e">
        <f>SUM(G8:G9)/J8</f>
        <v>#DIV/0!</v>
      </c>
      <c r="M8" s="281"/>
      <c r="N8" s="137" t="e">
        <f>(L8/L$3)*J8</f>
        <v>#DIV/0!</v>
      </c>
      <c r="O8" s="280" t="e">
        <f>N8-J8</f>
        <v>#DIV/0!</v>
      </c>
      <c r="Q8" s="36">
        <v>37400</v>
      </c>
      <c r="R8" s="8"/>
      <c r="S8" s="9"/>
      <c r="T8" s="9"/>
      <c r="U8" s="287">
        <v>2</v>
      </c>
      <c r="V8" s="266" t="s">
        <v>72</v>
      </c>
      <c r="W8" s="265">
        <v>13</v>
      </c>
      <c r="X8">
        <v>3046.8</v>
      </c>
    </row>
    <row r="9" spans="2:24" x14ac:dyDescent="0.3">
      <c r="B9" s="279" t="s">
        <v>90</v>
      </c>
      <c r="C9" s="278">
        <v>4</v>
      </c>
      <c r="D9" s="92">
        <v>159.63000000000002</v>
      </c>
      <c r="E9" s="277"/>
      <c r="F9" s="276">
        <v>0.3</v>
      </c>
      <c r="G9" s="275">
        <f t="shared" si="0"/>
        <v>47.889000000000003</v>
      </c>
      <c r="H9" s="273">
        <f t="shared" si="1"/>
        <v>111.74100000000001</v>
      </c>
      <c r="I9" s="274"/>
      <c r="J9" s="330"/>
      <c r="K9" s="330"/>
      <c r="L9" s="332"/>
      <c r="M9" s="274"/>
      <c r="N9" s="92"/>
      <c r="O9" s="273"/>
      <c r="Q9" s="36"/>
      <c r="R9" s="8"/>
      <c r="S9" s="9"/>
      <c r="T9" s="9"/>
      <c r="U9" s="264"/>
      <c r="V9" s="266" t="s">
        <v>31</v>
      </c>
      <c r="W9" s="265">
        <v>4</v>
      </c>
      <c r="X9">
        <v>159.63000000000002</v>
      </c>
    </row>
    <row r="10" spans="2:24" x14ac:dyDescent="0.3">
      <c r="B10" s="272" t="s">
        <v>98</v>
      </c>
      <c r="C10" s="115">
        <v>26</v>
      </c>
      <c r="D10" s="64">
        <v>9530.9800000000014</v>
      </c>
      <c r="E10" s="271"/>
      <c r="F10" s="270">
        <v>1</v>
      </c>
      <c r="G10" s="269">
        <f t="shared" si="0"/>
        <v>9530.9800000000014</v>
      </c>
      <c r="H10" s="267">
        <f t="shared" si="1"/>
        <v>0</v>
      </c>
      <c r="I10" s="8"/>
      <c r="J10" s="326"/>
      <c r="K10" s="326"/>
      <c r="L10" s="328"/>
      <c r="M10" s="268"/>
      <c r="N10" s="64"/>
      <c r="O10" s="267"/>
      <c r="Q10" s="36">
        <v>61200</v>
      </c>
      <c r="R10" s="8"/>
      <c r="S10" s="9"/>
      <c r="T10" s="9"/>
      <c r="U10" s="37">
        <v>3</v>
      </c>
      <c r="V10" t="s">
        <v>72</v>
      </c>
      <c r="W10">
        <v>26</v>
      </c>
      <c r="X10">
        <v>9530.9800000000014</v>
      </c>
    </row>
    <row r="11" spans="2:24" x14ac:dyDescent="0.3">
      <c r="B11" s="272" t="s">
        <v>96</v>
      </c>
      <c r="C11" s="115">
        <v>13</v>
      </c>
      <c r="D11" s="64">
        <v>5414.5</v>
      </c>
      <c r="E11" s="271"/>
      <c r="F11" s="270">
        <v>0.3</v>
      </c>
      <c r="G11" s="269">
        <f t="shared" si="0"/>
        <v>1624.35</v>
      </c>
      <c r="H11" s="267">
        <f t="shared" si="1"/>
        <v>3790.15</v>
      </c>
      <c r="I11" s="8"/>
      <c r="J11" s="326"/>
      <c r="K11" s="326"/>
      <c r="L11" s="328"/>
      <c r="M11" s="268"/>
      <c r="N11" s="64"/>
      <c r="O11" s="267"/>
      <c r="P11" s="45"/>
      <c r="Q11" s="36"/>
      <c r="R11" s="8"/>
      <c r="S11" s="9"/>
      <c r="T11" s="9"/>
      <c r="V11" t="s">
        <v>31</v>
      </c>
      <c r="W11">
        <v>13</v>
      </c>
      <c r="X11">
        <v>5414.5</v>
      </c>
    </row>
    <row r="12" spans="2:24" x14ac:dyDescent="0.3">
      <c r="B12" s="286" t="s">
        <v>97</v>
      </c>
      <c r="C12" s="285">
        <v>23</v>
      </c>
      <c r="D12" s="137">
        <v>6839.47</v>
      </c>
      <c r="E12" s="284"/>
      <c r="F12" s="283">
        <v>1</v>
      </c>
      <c r="G12" s="282">
        <f t="shared" si="0"/>
        <v>6839.47</v>
      </c>
      <c r="H12" s="280">
        <f t="shared" si="1"/>
        <v>0</v>
      </c>
      <c r="I12" s="281"/>
      <c r="J12" s="329"/>
      <c r="K12" s="329"/>
      <c r="L12" s="331"/>
      <c r="M12" s="281"/>
      <c r="N12" s="137"/>
      <c r="O12" s="280"/>
      <c r="P12" s="45"/>
      <c r="Q12" s="36">
        <v>68000</v>
      </c>
      <c r="R12" s="8"/>
      <c r="S12" s="9"/>
      <c r="T12" s="9"/>
      <c r="U12" s="37">
        <v>4</v>
      </c>
      <c r="V12" t="s">
        <v>72</v>
      </c>
      <c r="W12">
        <v>23</v>
      </c>
      <c r="X12">
        <v>6839.47</v>
      </c>
    </row>
    <row r="13" spans="2:24" x14ac:dyDescent="0.3">
      <c r="B13" s="279" t="s">
        <v>96</v>
      </c>
      <c r="C13" s="278">
        <v>14</v>
      </c>
      <c r="D13" s="92">
        <v>4395.66</v>
      </c>
      <c r="E13" s="277"/>
      <c r="F13" s="276">
        <v>0.3</v>
      </c>
      <c r="G13" s="275">
        <f t="shared" si="0"/>
        <v>1318.6979999999999</v>
      </c>
      <c r="H13" s="273">
        <f t="shared" si="1"/>
        <v>3076.962</v>
      </c>
      <c r="I13" s="274"/>
      <c r="J13" s="330"/>
      <c r="K13" s="330"/>
      <c r="L13" s="332"/>
      <c r="M13" s="274"/>
      <c r="N13" s="92"/>
      <c r="O13" s="273"/>
      <c r="P13" s="45"/>
      <c r="Q13" s="36"/>
      <c r="R13" s="8"/>
      <c r="S13" s="9"/>
      <c r="T13" s="9"/>
      <c r="V13" t="s">
        <v>31</v>
      </c>
      <c r="W13">
        <v>14</v>
      </c>
      <c r="X13">
        <v>4395.66</v>
      </c>
    </row>
    <row r="14" spans="2:24" x14ac:dyDescent="0.3">
      <c r="B14" s="272" t="s">
        <v>95</v>
      </c>
      <c r="C14" s="115">
        <v>28</v>
      </c>
      <c r="D14" s="64">
        <v>3818.3399999999997</v>
      </c>
      <c r="E14" s="271"/>
      <c r="F14" s="270">
        <v>1</v>
      </c>
      <c r="G14" s="269">
        <f t="shared" si="0"/>
        <v>3818.3399999999997</v>
      </c>
      <c r="H14" s="267">
        <f t="shared" si="1"/>
        <v>0</v>
      </c>
      <c r="I14" s="8"/>
      <c r="J14" s="326"/>
      <c r="K14" s="326"/>
      <c r="L14" s="328" t="e">
        <f>SUM(G14:G15)/J14</f>
        <v>#DIV/0!</v>
      </c>
      <c r="M14" s="268"/>
      <c r="N14" s="64" t="e">
        <f>(L14/L$3)*J14</f>
        <v>#DIV/0!</v>
      </c>
      <c r="O14" s="267" t="e">
        <f>N14-J14</f>
        <v>#DIV/0!</v>
      </c>
      <c r="P14" s="45"/>
      <c r="Q14" s="36">
        <v>34000</v>
      </c>
      <c r="R14" s="8"/>
      <c r="S14" s="9"/>
      <c r="T14" s="9"/>
      <c r="U14" s="37">
        <v>5</v>
      </c>
      <c r="V14" t="s">
        <v>72</v>
      </c>
      <c r="W14">
        <v>28</v>
      </c>
      <c r="X14">
        <v>3818.3399999999997</v>
      </c>
    </row>
    <row r="15" spans="2:24" x14ac:dyDescent="0.3">
      <c r="B15" s="272" t="s">
        <v>94</v>
      </c>
      <c r="C15" s="115">
        <v>1</v>
      </c>
      <c r="D15" s="64">
        <v>11.81</v>
      </c>
      <c r="E15" s="271"/>
      <c r="F15" s="270">
        <v>0.3</v>
      </c>
      <c r="G15" s="269">
        <f t="shared" si="0"/>
        <v>3.5430000000000001</v>
      </c>
      <c r="H15" s="267">
        <f t="shared" si="1"/>
        <v>8.2669999999999995</v>
      </c>
      <c r="I15" s="8"/>
      <c r="J15" s="326"/>
      <c r="K15" s="326"/>
      <c r="L15" s="328"/>
      <c r="M15" s="268"/>
      <c r="N15" s="64"/>
      <c r="O15" s="267"/>
      <c r="P15" s="45"/>
      <c r="Q15" s="36"/>
      <c r="R15" s="8"/>
      <c r="S15" s="9"/>
      <c r="T15" s="9"/>
      <c r="V15" t="s">
        <v>31</v>
      </c>
      <c r="W15">
        <v>1</v>
      </c>
      <c r="X15">
        <v>11.81</v>
      </c>
    </row>
    <row r="16" spans="2:24" x14ac:dyDescent="0.3">
      <c r="B16" s="286" t="s">
        <v>93</v>
      </c>
      <c r="C16" s="285">
        <v>14</v>
      </c>
      <c r="D16" s="137">
        <v>1920.35</v>
      </c>
      <c r="E16" s="284"/>
      <c r="F16" s="283">
        <v>1</v>
      </c>
      <c r="G16" s="282">
        <f t="shared" si="0"/>
        <v>1920.35</v>
      </c>
      <c r="H16" s="280">
        <f t="shared" si="1"/>
        <v>0</v>
      </c>
      <c r="I16" s="281"/>
      <c r="J16" s="329"/>
      <c r="K16" s="329"/>
      <c r="L16" s="331" t="e">
        <f>SUM(G16:G17)/J16</f>
        <v>#DIV/0!</v>
      </c>
      <c r="M16" s="281"/>
      <c r="N16" s="137" t="e">
        <f>(L16/L$3)*J16</f>
        <v>#DIV/0!</v>
      </c>
      <c r="O16" s="280" t="e">
        <f>N16-J16</f>
        <v>#DIV/0!</v>
      </c>
      <c r="P16" s="45"/>
      <c r="Q16" s="36">
        <v>27200</v>
      </c>
      <c r="R16" s="8"/>
      <c r="S16" s="9"/>
      <c r="T16" s="9"/>
      <c r="U16" s="37">
        <v>6</v>
      </c>
      <c r="V16" t="s">
        <v>72</v>
      </c>
      <c r="W16">
        <v>14</v>
      </c>
      <c r="X16">
        <v>1920.35</v>
      </c>
    </row>
    <row r="17" spans="2:24" x14ac:dyDescent="0.3">
      <c r="B17" s="279" t="s">
        <v>92</v>
      </c>
      <c r="C17" s="278">
        <v>7</v>
      </c>
      <c r="D17" s="92">
        <v>766.65999999999974</v>
      </c>
      <c r="E17" s="277"/>
      <c r="F17" s="276">
        <v>0.3</v>
      </c>
      <c r="G17" s="275">
        <f t="shared" si="0"/>
        <v>229.99799999999991</v>
      </c>
      <c r="H17" s="273">
        <f t="shared" si="1"/>
        <v>536.66199999999981</v>
      </c>
      <c r="I17" s="274"/>
      <c r="J17" s="330"/>
      <c r="K17" s="330"/>
      <c r="L17" s="332"/>
      <c r="M17" s="274"/>
      <c r="N17" s="92"/>
      <c r="O17" s="273"/>
      <c r="P17" s="45"/>
      <c r="Q17" s="36"/>
      <c r="R17" s="8"/>
      <c r="S17" s="9"/>
      <c r="T17" s="9"/>
      <c r="V17" t="s">
        <v>31</v>
      </c>
      <c r="W17">
        <v>7</v>
      </c>
      <c r="X17">
        <v>766.65999999999974</v>
      </c>
    </row>
    <row r="18" spans="2:24" x14ac:dyDescent="0.3">
      <c r="B18" s="272" t="s">
        <v>91</v>
      </c>
      <c r="C18" s="115">
        <v>11</v>
      </c>
      <c r="D18" s="64">
        <v>1522.8399999999997</v>
      </c>
      <c r="E18" s="271"/>
      <c r="F18" s="270">
        <v>1</v>
      </c>
      <c r="G18" s="269">
        <f t="shared" si="0"/>
        <v>1522.8399999999997</v>
      </c>
      <c r="H18" s="267">
        <f t="shared" si="1"/>
        <v>0</v>
      </c>
      <c r="I18" s="8"/>
      <c r="J18" s="326"/>
      <c r="K18" s="326"/>
      <c r="L18" s="328" t="e">
        <f>SUM(G18:G19)/J18</f>
        <v>#DIV/0!</v>
      </c>
      <c r="M18" s="268"/>
      <c r="N18" s="64" t="e">
        <f>(L18/L$3)*J18</f>
        <v>#DIV/0!</v>
      </c>
      <c r="O18" s="267" t="e">
        <f>N18-J18</f>
        <v>#DIV/0!</v>
      </c>
      <c r="P18" s="45"/>
      <c r="Q18" s="36">
        <v>61200</v>
      </c>
      <c r="R18" s="8"/>
      <c r="S18" s="9"/>
      <c r="T18" s="9"/>
      <c r="U18" s="264">
        <v>7</v>
      </c>
      <c r="V18" s="266" t="s">
        <v>72</v>
      </c>
      <c r="W18" s="265">
        <v>11</v>
      </c>
      <c r="X18">
        <v>1522.8399999999997</v>
      </c>
    </row>
    <row r="19" spans="2:24" ht="15" thickBot="1" x14ac:dyDescent="0.35">
      <c r="B19" s="272" t="s">
        <v>90</v>
      </c>
      <c r="C19" s="115"/>
      <c r="D19" s="64"/>
      <c r="E19" s="271"/>
      <c r="F19" s="270">
        <v>0.3</v>
      </c>
      <c r="G19" s="269">
        <f t="shared" si="0"/>
        <v>0</v>
      </c>
      <c r="H19" s="267">
        <f t="shared" si="1"/>
        <v>0</v>
      </c>
      <c r="I19" s="8"/>
      <c r="J19" s="333"/>
      <c r="K19" s="333"/>
      <c r="L19" s="334"/>
      <c r="M19" s="268"/>
      <c r="N19" s="64"/>
      <c r="O19" s="267"/>
      <c r="P19" s="45"/>
      <c r="Q19" s="36"/>
      <c r="R19" s="8"/>
      <c r="S19" s="9"/>
      <c r="T19" s="9"/>
    </row>
    <row r="20" spans="2:24" ht="15.75" thickBot="1" x14ac:dyDescent="0.3">
      <c r="B20" s="176" t="s">
        <v>61</v>
      </c>
      <c r="C20" s="263">
        <v>208</v>
      </c>
      <c r="D20" s="162">
        <v>48975.079999999987</v>
      </c>
      <c r="E20" s="179"/>
      <c r="F20" s="262">
        <f>G20/D20</f>
        <v>0.79475318876457179</v>
      </c>
      <c r="G20" s="179">
        <f>SUM(G6:G19)</f>
        <v>38923.100999999995</v>
      </c>
      <c r="H20" s="179">
        <f>SUM(H6:H19)</f>
        <v>10051.978999999999</v>
      </c>
      <c r="I20" s="261"/>
      <c r="J20" s="162">
        <f>SUM(J6:J19)</f>
        <v>0</v>
      </c>
      <c r="K20" s="182"/>
      <c r="L20" s="260" t="e">
        <f>SUM(G20)/J20</f>
        <v>#DIV/0!</v>
      </c>
      <c r="M20" s="247"/>
      <c r="N20" s="162" t="e">
        <f>(L20/L$3)*J20</f>
        <v>#DIV/0!</v>
      </c>
      <c r="O20" s="182" t="e">
        <f>N20-J20</f>
        <v>#DIV/0!</v>
      </c>
      <c r="Q20" s="162">
        <f>SUM(Q6:Q19)</f>
        <v>340000</v>
      </c>
      <c r="R20" s="8"/>
      <c r="S20" s="9"/>
      <c r="T20" s="9"/>
      <c r="U20" s="264" t="s">
        <v>61</v>
      </c>
      <c r="V20" s="266"/>
      <c r="W20" s="265">
        <v>208</v>
      </c>
      <c r="X20">
        <v>48975.079999999987</v>
      </c>
    </row>
    <row r="21" spans="2:24" ht="15" x14ac:dyDescent="0.25">
      <c r="B21" s="183"/>
      <c r="C21" s="249"/>
      <c r="D21" s="185"/>
      <c r="E21" s="185"/>
      <c r="F21" s="185"/>
      <c r="G21" s="185"/>
      <c r="H21" s="185"/>
      <c r="I21" s="248"/>
      <c r="J21" s="185"/>
      <c r="K21" s="185"/>
      <c r="L21" s="185"/>
      <c r="M21" s="247"/>
      <c r="N21" s="185"/>
      <c r="O21" s="185"/>
      <c r="Q21" s="166"/>
      <c r="R21" s="8"/>
      <c r="S21" s="9"/>
      <c r="T21" s="9"/>
      <c r="U21" s="264"/>
      <c r="V21" s="266"/>
      <c r="W21" s="265"/>
    </row>
    <row r="22" spans="2:24" ht="15.75" thickBot="1" x14ac:dyDescent="0.3">
      <c r="N22" s="168"/>
      <c r="Q22" s="36"/>
      <c r="R22" s="8"/>
      <c r="S22" s="9"/>
      <c r="T22" s="9"/>
      <c r="U22" s="264"/>
    </row>
    <row r="23" spans="2:24" ht="15.75" thickBot="1" x14ac:dyDescent="0.3">
      <c r="B23" s="186" t="s">
        <v>63</v>
      </c>
      <c r="C23" s="259"/>
      <c r="D23" s="188"/>
      <c r="E23" s="189"/>
      <c r="F23" s="189"/>
      <c r="G23" s="189">
        <f>G20</f>
        <v>38923.100999999995</v>
      </c>
      <c r="H23" s="190"/>
      <c r="I23" s="258"/>
      <c r="J23" s="188">
        <f>J20</f>
        <v>0</v>
      </c>
      <c r="K23" s="189"/>
      <c r="L23" s="257" t="e">
        <f>SUM(G23)/J23</f>
        <v>#DIV/0!</v>
      </c>
      <c r="M23" s="247"/>
      <c r="N23" s="162" t="e">
        <f>(L23/L$3)*J23</f>
        <v>#DIV/0!</v>
      </c>
      <c r="O23" s="182" t="e">
        <f>N23-J23</f>
        <v>#DIV/0!</v>
      </c>
      <c r="Q23" s="166"/>
      <c r="R23" s="8"/>
      <c r="S23" s="9"/>
      <c r="T23" s="9"/>
      <c r="U23" s="264"/>
    </row>
    <row r="24" spans="2:24" ht="15.75" thickBot="1" x14ac:dyDescent="0.3">
      <c r="B24" s="192" t="s">
        <v>64</v>
      </c>
      <c r="C24" s="256"/>
      <c r="D24" s="194"/>
      <c r="E24" s="185"/>
      <c r="F24" s="185"/>
      <c r="G24" s="185"/>
      <c r="H24" s="195">
        <f>H20</f>
        <v>10051.978999999999</v>
      </c>
      <c r="I24" s="255"/>
      <c r="J24" s="194"/>
      <c r="K24" s="185">
        <f>K20</f>
        <v>0</v>
      </c>
      <c r="L24" s="254" t="e">
        <f>SUM(H20)/K20</f>
        <v>#DIV/0!</v>
      </c>
      <c r="M24" s="247"/>
      <c r="N24" s="162" t="e">
        <f>(L24/L$3)*K24</f>
        <v>#DIV/0!</v>
      </c>
      <c r="O24" s="182" t="e">
        <f>N24-K24</f>
        <v>#DIV/0!</v>
      </c>
      <c r="Q24" s="166"/>
      <c r="R24" s="8"/>
      <c r="S24" s="9"/>
      <c r="T24" s="9"/>
    </row>
    <row r="25" spans="2:24" ht="15.75" thickBot="1" x14ac:dyDescent="0.3">
      <c r="B25" s="197" t="s">
        <v>65</v>
      </c>
      <c r="C25" s="253"/>
      <c r="D25" s="199">
        <f>SUM(G20:H20)</f>
        <v>48975.079999999994</v>
      </c>
      <c r="E25" s="200"/>
      <c r="F25" s="200"/>
      <c r="G25" s="200"/>
      <c r="H25" s="201"/>
      <c r="I25" s="252"/>
      <c r="J25" s="202"/>
      <c r="K25" s="180">
        <f>SUM(J20:K20)</f>
        <v>0</v>
      </c>
      <c r="L25" s="251" t="e">
        <f>SUM(D25)/K25</f>
        <v>#DIV/0!</v>
      </c>
      <c r="M25" s="247"/>
      <c r="N25" s="162" t="e">
        <f>(L25/L$3)*K25</f>
        <v>#DIV/0!</v>
      </c>
      <c r="O25" s="182" t="e">
        <f>N25-K25</f>
        <v>#DIV/0!</v>
      </c>
      <c r="P25" s="168"/>
      <c r="Q25" s="166"/>
      <c r="R25" s="8"/>
      <c r="S25" s="9"/>
    </row>
    <row r="26" spans="2:24" ht="15" x14ac:dyDescent="0.25">
      <c r="B26" s="183"/>
      <c r="C26" s="249"/>
      <c r="D26" s="185"/>
      <c r="E26" s="185"/>
      <c r="F26" s="185"/>
      <c r="G26" s="185"/>
      <c r="H26" s="185"/>
      <c r="I26" s="248"/>
      <c r="J26" s="185"/>
      <c r="K26" s="185"/>
      <c r="L26" s="247"/>
      <c r="M26" s="247"/>
      <c r="N26" s="185"/>
      <c r="O26" s="185"/>
      <c r="Q26" s="166"/>
      <c r="R26" s="8"/>
      <c r="S26" s="9"/>
      <c r="T26" s="9"/>
    </row>
    <row r="27" spans="2:24" ht="21" customHeight="1" thickBot="1" x14ac:dyDescent="0.3">
      <c r="C27" s="246"/>
      <c r="D27" s="214"/>
      <c r="E27" s="214"/>
      <c r="F27" s="214"/>
      <c r="G27" s="214"/>
      <c r="H27" s="214"/>
      <c r="I27" s="214"/>
      <c r="J27" s="214"/>
      <c r="K27" s="214"/>
      <c r="L27" s="214"/>
      <c r="M27" s="214"/>
      <c r="N27" s="214"/>
      <c r="O27" s="214"/>
      <c r="Q27" s="169"/>
      <c r="R27" s="170"/>
      <c r="S27" s="171"/>
      <c r="T27" s="171"/>
    </row>
    <row r="28" spans="2:24" ht="21" customHeight="1" x14ac:dyDescent="0.25">
      <c r="B28" s="335" t="s">
        <v>116</v>
      </c>
      <c r="C28" s="336"/>
      <c r="D28" s="336"/>
      <c r="E28" s="336"/>
      <c r="F28" s="336"/>
      <c r="G28" s="336"/>
      <c r="H28" s="336"/>
      <c r="I28" s="336"/>
      <c r="J28" s="336"/>
      <c r="K28" s="336"/>
      <c r="L28" s="336"/>
      <c r="M28" s="232"/>
      <c r="N28" s="232"/>
      <c r="O28" s="232"/>
      <c r="U28" s="264"/>
    </row>
    <row r="29" spans="2:24" s="173" customFormat="1" ht="39.75" customHeight="1" x14ac:dyDescent="0.25">
      <c r="B29" s="336" t="s">
        <v>89</v>
      </c>
      <c r="C29" s="336"/>
      <c r="D29" s="336"/>
      <c r="E29" s="336"/>
      <c r="F29" s="336"/>
      <c r="G29" s="336"/>
      <c r="H29" s="336"/>
      <c r="I29" s="336"/>
      <c r="J29" s="336"/>
      <c r="K29" s="336"/>
      <c r="L29" s="336"/>
      <c r="M29" s="232"/>
      <c r="N29" s="232"/>
      <c r="O29" s="232"/>
      <c r="Q29" s="172"/>
      <c r="R29" s="174"/>
      <c r="S29" s="175"/>
      <c r="T29" s="175"/>
      <c r="U29" s="264"/>
      <c r="V29"/>
      <c r="W29"/>
    </row>
    <row r="30" spans="2:24" s="173" customFormat="1" ht="39.75" hidden="1" customHeight="1" x14ac:dyDescent="0.25">
      <c r="B30" t="s">
        <v>88</v>
      </c>
      <c r="C30"/>
      <c r="D30"/>
      <c r="E30"/>
      <c r="F30"/>
      <c r="G30"/>
      <c r="H30"/>
      <c r="I30"/>
      <c r="J30" s="234"/>
      <c r="K30" s="234"/>
      <c r="L30"/>
      <c r="M30"/>
      <c r="N30"/>
      <c r="O30"/>
      <c r="Q30" s="172"/>
      <c r="S30" s="175"/>
      <c r="T30" s="175"/>
      <c r="U30" s="264"/>
      <c r="V30"/>
      <c r="W30"/>
    </row>
    <row r="31" spans="2:24" ht="15" hidden="1" x14ac:dyDescent="0.25">
      <c r="B31" t="s">
        <v>23</v>
      </c>
      <c r="C31">
        <v>2</v>
      </c>
      <c r="D31">
        <v>827.92</v>
      </c>
      <c r="J31">
        <v>340000</v>
      </c>
    </row>
    <row r="32" spans="2:24" ht="15" hidden="1" x14ac:dyDescent="0.25">
      <c r="B32" t="s">
        <v>87</v>
      </c>
      <c r="C32">
        <v>83</v>
      </c>
      <c r="D32">
        <v>133749.80999999991</v>
      </c>
      <c r="J32">
        <v>250000</v>
      </c>
      <c r="U32"/>
    </row>
    <row r="33" spans="2:21" ht="15" hidden="1" x14ac:dyDescent="0.25"/>
    <row r="34" spans="2:21"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1" ht="15" hidden="1" x14ac:dyDescent="0.25">
      <c r="U35"/>
    </row>
    <row r="36" spans="2:21" ht="15" hidden="1" x14ac:dyDescent="0.25">
      <c r="U36"/>
    </row>
    <row r="37" spans="2:21"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c r="U37"/>
    </row>
    <row r="38" spans="2:21" ht="15" hidden="1" x14ac:dyDescent="0.25">
      <c r="B38" s="183"/>
      <c r="C38" s="249"/>
      <c r="D38" s="185"/>
      <c r="E38" s="185"/>
      <c r="F38" s="185"/>
      <c r="G38" s="185"/>
      <c r="H38" s="185"/>
      <c r="I38" s="248"/>
      <c r="J38" s="185"/>
      <c r="K38" s="185"/>
      <c r="L38" s="185"/>
      <c r="M38" s="247"/>
      <c r="N38" s="185"/>
      <c r="O38" s="185"/>
      <c r="U38"/>
    </row>
    <row r="39" spans="2:21" ht="15" hidden="1" x14ac:dyDescent="0.25"/>
    <row r="40" spans="2:21"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1"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row>
    <row r="42" spans="2:21"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1" ht="15" hidden="1" x14ac:dyDescent="0.25">
      <c r="B43" s="183"/>
      <c r="C43" s="249"/>
      <c r="D43" s="185"/>
      <c r="E43" s="185"/>
      <c r="F43" s="185"/>
      <c r="G43" s="185"/>
      <c r="H43" s="185"/>
      <c r="I43" s="248"/>
      <c r="J43" s="185"/>
      <c r="K43" s="185"/>
      <c r="L43" s="247"/>
      <c r="M43" s="247"/>
      <c r="N43" s="185"/>
      <c r="O43" s="185"/>
      <c r="U43"/>
    </row>
    <row r="44" spans="2:21"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1" ht="15" hidden="1" x14ac:dyDescent="0.25">
      <c r="U45"/>
    </row>
    <row r="46" spans="2:21" ht="15" x14ac:dyDescent="0.25">
      <c r="D46" s="168">
        <f>D20-D25</f>
        <v>0</v>
      </c>
      <c r="U46"/>
    </row>
    <row r="47" spans="2:21" ht="15" x14ac:dyDescent="0.25">
      <c r="C47" s="205"/>
    </row>
    <row r="48" spans="2:21" ht="15" x14ac:dyDescent="0.25">
      <c r="U48"/>
    </row>
    <row r="49" spans="20:23" ht="15" x14ac:dyDescent="0.25">
      <c r="U49"/>
    </row>
    <row r="50" spans="20:23" ht="15" x14ac:dyDescent="0.25">
      <c r="U50"/>
    </row>
    <row r="51" spans="20:23" ht="15.75" thickBot="1" x14ac:dyDescent="0.3"/>
    <row r="52" spans="20:23" ht="15" x14ac:dyDescent="0.25">
      <c r="T52" s="245" t="s">
        <v>86</v>
      </c>
      <c r="U52"/>
    </row>
    <row r="53" spans="20:23" ht="15" x14ac:dyDescent="0.25">
      <c r="T53" s="244">
        <v>1</v>
      </c>
      <c r="U53"/>
    </row>
    <row r="54" spans="20:23" ht="15" x14ac:dyDescent="0.25">
      <c r="T54" s="244">
        <v>2</v>
      </c>
    </row>
    <row r="55" spans="20:23" ht="15" x14ac:dyDescent="0.25">
      <c r="T55" s="244">
        <v>3</v>
      </c>
      <c r="U55"/>
    </row>
    <row r="56" spans="20:23" ht="15" x14ac:dyDescent="0.25">
      <c r="T56" s="244">
        <v>4</v>
      </c>
      <c r="U56"/>
    </row>
    <row r="57" spans="20:23" ht="15" x14ac:dyDescent="0.25">
      <c r="T57" s="244">
        <v>5</v>
      </c>
      <c r="U57"/>
    </row>
    <row r="58" spans="20:23" ht="15" x14ac:dyDescent="0.25">
      <c r="T58" s="244">
        <v>6</v>
      </c>
      <c r="U58"/>
      <c r="W58" s="173"/>
    </row>
    <row r="59" spans="20:23" ht="15.75" thickBot="1" x14ac:dyDescent="0.3">
      <c r="T59" s="244">
        <v>7</v>
      </c>
      <c r="U59"/>
      <c r="V59" s="207"/>
      <c r="W59" s="173"/>
    </row>
    <row r="60" spans="20:23" ht="15" thickBot="1" x14ac:dyDescent="0.35">
      <c r="T60" s="243" t="s">
        <v>85</v>
      </c>
      <c r="U60"/>
      <c r="V60" s="241" t="s">
        <v>84</v>
      </c>
      <c r="W60" s="242" t="s">
        <v>83</v>
      </c>
    </row>
    <row r="61" spans="20:23" ht="15" thickBot="1" x14ac:dyDescent="0.35">
      <c r="U61" s="206"/>
      <c r="V61" s="240">
        <v>51000</v>
      </c>
      <c r="W61" s="239">
        <v>22</v>
      </c>
    </row>
    <row r="62" spans="20:23" x14ac:dyDescent="0.3">
      <c r="U62" s="241" t="s">
        <v>82</v>
      </c>
      <c r="V62" s="240">
        <v>37400</v>
      </c>
      <c r="W62" s="239">
        <v>16</v>
      </c>
    </row>
    <row r="63" spans="20:23" x14ac:dyDescent="0.3">
      <c r="U63" s="236">
        <v>0.15</v>
      </c>
      <c r="V63" s="240">
        <v>61200</v>
      </c>
      <c r="W63" s="239">
        <v>26</v>
      </c>
    </row>
    <row r="64" spans="20:23" x14ac:dyDescent="0.3">
      <c r="U64" s="236">
        <v>0.11</v>
      </c>
      <c r="V64" s="240">
        <v>68000</v>
      </c>
      <c r="W64" s="239">
        <v>29</v>
      </c>
    </row>
    <row r="65" spans="21:23" x14ac:dyDescent="0.3">
      <c r="U65" s="236">
        <v>0.18</v>
      </c>
      <c r="V65" s="240">
        <v>34000</v>
      </c>
      <c r="W65" s="239">
        <v>14</v>
      </c>
    </row>
    <row r="66" spans="21:23" x14ac:dyDescent="0.3">
      <c r="U66" s="236">
        <v>0.2</v>
      </c>
      <c r="V66" s="240">
        <v>27200</v>
      </c>
      <c r="W66" s="239">
        <v>11</v>
      </c>
    </row>
    <row r="67" spans="21:23" ht="15" thickBot="1" x14ac:dyDescent="0.35">
      <c r="U67" s="236">
        <v>0.1</v>
      </c>
      <c r="V67" s="240">
        <v>61200</v>
      </c>
      <c r="W67" s="239">
        <v>26</v>
      </c>
    </row>
    <row r="68" spans="21:23" ht="15" thickBot="1" x14ac:dyDescent="0.35">
      <c r="U68" s="236">
        <v>0.08</v>
      </c>
      <c r="V68" s="238">
        <v>340000</v>
      </c>
      <c r="W68" s="237">
        <v>144</v>
      </c>
    </row>
    <row r="69" spans="21:23" ht="15" thickBot="1" x14ac:dyDescent="0.35">
      <c r="U69" s="236">
        <v>0.18</v>
      </c>
    </row>
    <row r="70" spans="21:23" ht="15" thickBot="1" x14ac:dyDescent="0.35">
      <c r="U70" s="235"/>
    </row>
    <row r="71" spans="21:23" x14ac:dyDescent="0.3">
      <c r="U71"/>
    </row>
    <row r="72" spans="21:23" x14ac:dyDescent="0.3">
      <c r="U72"/>
    </row>
    <row r="73" spans="21:23" x14ac:dyDescent="0.3">
      <c r="U73"/>
    </row>
    <row r="74" spans="21:23" x14ac:dyDescent="0.3">
      <c r="U74"/>
    </row>
    <row r="75" spans="21:23" x14ac:dyDescent="0.3">
      <c r="U75"/>
    </row>
    <row r="77" spans="21:23" x14ac:dyDescent="0.3">
      <c r="V77" s="8"/>
    </row>
    <row r="78" spans="21:23" x14ac:dyDescent="0.3">
      <c r="V78" s="8"/>
    </row>
    <row r="79" spans="21:23" x14ac:dyDescent="0.3">
      <c r="U79" s="9"/>
      <c r="V79" s="8"/>
    </row>
    <row r="80" spans="21:23" x14ac:dyDescent="0.3">
      <c r="U80" s="9"/>
    </row>
    <row r="81" spans="21:22" x14ac:dyDescent="0.3">
      <c r="U81" s="9"/>
      <c r="V81" s="8"/>
    </row>
    <row r="82" spans="21:22" x14ac:dyDescent="0.3">
      <c r="V82" s="210"/>
    </row>
    <row r="83" spans="21:22" x14ac:dyDescent="0.3">
      <c r="U83" s="9"/>
    </row>
    <row r="84" spans="21:22" x14ac:dyDescent="0.3">
      <c r="U84" s="209"/>
      <c r="V84" s="8"/>
    </row>
    <row r="85" spans="21:22" x14ac:dyDescent="0.3">
      <c r="V85" s="8"/>
    </row>
    <row r="86" spans="21:22" x14ac:dyDescent="0.3">
      <c r="U86" s="9"/>
      <c r="V86" s="210"/>
    </row>
    <row r="87" spans="21:22" x14ac:dyDescent="0.3">
      <c r="U87" s="9"/>
      <c r="V87" s="210"/>
    </row>
    <row r="88" spans="21:22" x14ac:dyDescent="0.3">
      <c r="U88" s="209"/>
      <c r="V88" s="210"/>
    </row>
    <row r="89" spans="21:22" x14ac:dyDescent="0.3">
      <c r="U89" s="209"/>
      <c r="V89" s="8"/>
    </row>
    <row r="90" spans="21:22" x14ac:dyDescent="0.3">
      <c r="U90" s="209"/>
      <c r="V90" s="210"/>
    </row>
    <row r="91" spans="21:22" x14ac:dyDescent="0.3">
      <c r="U91" s="9"/>
    </row>
    <row r="92" spans="21:22" x14ac:dyDescent="0.3">
      <c r="U92" s="209"/>
      <c r="V92" s="8"/>
    </row>
    <row r="93" spans="21:22" x14ac:dyDescent="0.3">
      <c r="V93" s="8"/>
    </row>
    <row r="94" spans="21:22" x14ac:dyDescent="0.3">
      <c r="U94" s="9"/>
      <c r="V94" s="8"/>
    </row>
    <row r="95" spans="21:22" x14ac:dyDescent="0.3">
      <c r="U95" s="9"/>
      <c r="V95" s="210"/>
    </row>
    <row r="96" spans="21:22" x14ac:dyDescent="0.3">
      <c r="U96" s="9"/>
      <c r="V96" s="210"/>
    </row>
    <row r="97" spans="21:22" x14ac:dyDescent="0.3">
      <c r="U97" s="209"/>
      <c r="V97" s="8"/>
    </row>
    <row r="98" spans="21:22" x14ac:dyDescent="0.3">
      <c r="U98" s="209"/>
      <c r="V98" s="210"/>
    </row>
    <row r="99" spans="21:22" x14ac:dyDescent="0.3">
      <c r="U99" s="9"/>
      <c r="V99" s="8"/>
    </row>
    <row r="100" spans="21:22" x14ac:dyDescent="0.3">
      <c r="U100" s="209"/>
      <c r="V100" s="210"/>
    </row>
    <row r="101" spans="21:22" x14ac:dyDescent="0.3">
      <c r="U101" s="9"/>
      <c r="V101" s="8"/>
    </row>
    <row r="102" spans="21:22" x14ac:dyDescent="0.3">
      <c r="U102" s="209"/>
      <c r="V102" s="210"/>
    </row>
    <row r="103" spans="21:22" x14ac:dyDescent="0.3">
      <c r="U103" s="9"/>
      <c r="V103" s="210"/>
    </row>
    <row r="104" spans="21:22" x14ac:dyDescent="0.3">
      <c r="U104" s="209"/>
      <c r="V104" s="210"/>
    </row>
    <row r="105" spans="21:22" x14ac:dyDescent="0.3">
      <c r="U105" s="209"/>
      <c r="V105" s="210"/>
    </row>
    <row r="106" spans="21:22" x14ac:dyDescent="0.3">
      <c r="U106" s="209"/>
      <c r="V106" s="210"/>
    </row>
    <row r="107" spans="21:22" x14ac:dyDescent="0.3">
      <c r="U107" s="209"/>
      <c r="V107" s="8"/>
    </row>
    <row r="108" spans="21:22" x14ac:dyDescent="0.3">
      <c r="U108" s="209"/>
      <c r="V108" s="210"/>
    </row>
    <row r="109" spans="21:22" x14ac:dyDescent="0.3">
      <c r="U109" s="9"/>
      <c r="V109" s="210"/>
    </row>
    <row r="110" spans="21:22" x14ac:dyDescent="0.3">
      <c r="U110" s="209"/>
      <c r="V110" s="210"/>
    </row>
    <row r="111" spans="21:22" x14ac:dyDescent="0.3">
      <c r="U111" s="209"/>
      <c r="V111" s="210"/>
    </row>
    <row r="112" spans="21:22" ht="15" thickBot="1" x14ac:dyDescent="0.35">
      <c r="U112" s="209"/>
      <c r="V112" s="212"/>
    </row>
    <row r="113" spans="21:22" x14ac:dyDescent="0.3">
      <c r="U113" s="209"/>
      <c r="V113" s="207"/>
    </row>
    <row r="114" spans="21:22" ht="15" thickBot="1" x14ac:dyDescent="0.35">
      <c r="U114" s="211"/>
      <c r="V114" s="207"/>
    </row>
    <row r="115" spans="21:22" x14ac:dyDescent="0.3">
      <c r="U115" s="206"/>
      <c r="V115" s="207"/>
    </row>
    <row r="116" spans="21:22" x14ac:dyDescent="0.3">
      <c r="U116" s="206"/>
    </row>
    <row r="117" spans="21:22" x14ac:dyDescent="0.3">
      <c r="U117" s="206"/>
      <c r="V117" s="207"/>
    </row>
    <row r="118" spans="21:22" x14ac:dyDescent="0.3">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3" spans="21:22" x14ac:dyDescent="0.3">
      <c r="U123" s="206"/>
      <c r="V123" s="207"/>
    </row>
    <row r="124" spans="21:22" x14ac:dyDescent="0.3">
      <c r="U124" s="206"/>
    </row>
    <row r="125" spans="21:22" x14ac:dyDescent="0.3">
      <c r="U125" s="206"/>
      <c r="V125" s="207"/>
    </row>
    <row r="126" spans="21:22" x14ac:dyDescent="0.3">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3" spans="21:22" x14ac:dyDescent="0.3">
      <c r="U133" s="206"/>
      <c r="V133" s="207"/>
    </row>
    <row r="134" spans="21:22" x14ac:dyDescent="0.3">
      <c r="U134" s="206"/>
    </row>
    <row r="135" spans="21:22" x14ac:dyDescent="0.3">
      <c r="U135" s="206"/>
      <c r="V135" s="207"/>
    </row>
    <row r="136" spans="21:22" x14ac:dyDescent="0.3">
      <c r="V136" s="207"/>
    </row>
    <row r="137" spans="21:22" x14ac:dyDescent="0.3">
      <c r="U137" s="206"/>
      <c r="V137" s="207"/>
    </row>
    <row r="138" spans="21:22" x14ac:dyDescent="0.3">
      <c r="U138" s="206"/>
      <c r="V138" s="207"/>
    </row>
    <row r="139" spans="21:22" x14ac:dyDescent="0.3">
      <c r="U139" s="206"/>
      <c r="V139" s="207"/>
    </row>
    <row r="140" spans="21:22" x14ac:dyDescent="0.3">
      <c r="U140" s="206"/>
      <c r="V140" s="207"/>
    </row>
    <row r="141" spans="21:22" x14ac:dyDescent="0.3">
      <c r="U141" s="206"/>
    </row>
    <row r="142" spans="21:22" x14ac:dyDescent="0.3">
      <c r="U142" s="206"/>
    </row>
    <row r="172" spans="21:22" x14ac:dyDescent="0.3">
      <c r="V172" s="173"/>
    </row>
    <row r="173" spans="21:22" x14ac:dyDescent="0.3">
      <c r="V173" s="173"/>
    </row>
    <row r="174" spans="21:22" x14ac:dyDescent="0.3">
      <c r="U174" s="175"/>
    </row>
    <row r="175" spans="21:22" x14ac:dyDescent="0.3">
      <c r="U175" s="175"/>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140" priority="15" operator="greaterThan">
      <formula>$L$3</formula>
    </cfRule>
  </conditionalFormatting>
  <conditionalFormatting sqref="L23:L24">
    <cfRule type="cellIs" dxfId="139" priority="14" operator="greaterThan">
      <formula>$L$3</formula>
    </cfRule>
  </conditionalFormatting>
  <conditionalFormatting sqref="M40:M41 L37:M37 M38 L42:M43">
    <cfRule type="cellIs" dxfId="138" priority="13" operator="greaterThan">
      <formula>$L$3</formula>
    </cfRule>
  </conditionalFormatting>
  <conditionalFormatting sqref="L40:L41">
    <cfRule type="cellIs" dxfId="137" priority="12" operator="greaterThan">
      <formula>$L$3</formula>
    </cfRule>
  </conditionalFormatting>
  <conditionalFormatting sqref="M6:M7">
    <cfRule type="cellIs" dxfId="136" priority="11" operator="greaterThan">
      <formula>$L$3</formula>
    </cfRule>
  </conditionalFormatting>
  <conditionalFormatting sqref="M10:M11">
    <cfRule type="cellIs" dxfId="135" priority="10" operator="greaterThan">
      <formula>$L$3</formula>
    </cfRule>
  </conditionalFormatting>
  <conditionalFormatting sqref="M14:M15">
    <cfRule type="cellIs" dxfId="134" priority="9" operator="greaterThan">
      <formula>$L$3</formula>
    </cfRule>
  </conditionalFormatting>
  <conditionalFormatting sqref="M18:M19">
    <cfRule type="cellIs" dxfId="133" priority="8" operator="greaterThan">
      <formula>$L$3</formula>
    </cfRule>
  </conditionalFormatting>
  <conditionalFormatting sqref="L6:L7">
    <cfRule type="cellIs" dxfId="132" priority="7" operator="greaterThan">
      <formula>$L$3</formula>
    </cfRule>
  </conditionalFormatting>
  <conditionalFormatting sqref="L8:L9">
    <cfRule type="cellIs" dxfId="131" priority="6" operator="greaterThan">
      <formula>$L$3</formula>
    </cfRule>
  </conditionalFormatting>
  <conditionalFormatting sqref="L10:L11">
    <cfRule type="cellIs" dxfId="130" priority="5" operator="greaterThan">
      <formula>$L$3</formula>
    </cfRule>
  </conditionalFormatting>
  <conditionalFormatting sqref="L12:L13">
    <cfRule type="cellIs" dxfId="129" priority="4" operator="greaterThan">
      <formula>$L$3</formula>
    </cfRule>
  </conditionalFormatting>
  <conditionalFormatting sqref="L14:L15">
    <cfRule type="cellIs" dxfId="128" priority="3" operator="greaterThan">
      <formula>$L$3</formula>
    </cfRule>
  </conditionalFormatting>
  <conditionalFormatting sqref="L16:L17">
    <cfRule type="cellIs" dxfId="127" priority="2" operator="greaterThan">
      <formula>$L$3</formula>
    </cfRule>
  </conditionalFormatting>
  <conditionalFormatting sqref="L18:L19">
    <cfRule type="cellIs" dxfId="126" priority="1" operator="greaterThan">
      <formula>$L$3</formula>
    </cfRule>
  </conditionalFormatting>
  <hyperlinks>
    <hyperlink ref="B28" r:id="rId1" display="\\DHW0008FIL02\BehavioralHealthDivision\BPA Invoices New\2013\20130524\Claims Reports\DHW SR056_SFY13_7-1-12 - 6-30-13_Claims Report_20130524.xlsx"/>
  </hyperlinks>
  <pageMargins left="0.2" right="0.2" top="0.75" bottom="0.75" header="0.3" footer="0.3"/>
  <pageSetup scale="92" orientation="landscape" horizontalDpi="1200" verticalDpi="1200"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A172"/>
  <sheetViews>
    <sheetView zoomScale="70" zoomScaleNormal="70" workbookViewId="0">
      <selection activeCell="A63" sqref="A63:H63"/>
    </sheetView>
  </sheetViews>
  <sheetFormatPr defaultRowHeight="14.4" x14ac:dyDescent="0.3"/>
  <cols>
    <col min="1" max="1" width="5.5546875" customWidth="1"/>
    <col min="2" max="2" width="47.88671875" bestFit="1" customWidth="1"/>
    <col min="3" max="3" width="14.109375" customWidth="1"/>
    <col min="4" max="4" width="14.5546875" customWidth="1"/>
    <col min="5" max="5" width="2.109375" customWidth="1"/>
    <col min="6" max="6" width="9.88671875" customWidth="1"/>
    <col min="7" max="8" width="13.44140625" customWidth="1"/>
    <col min="9" max="9" width="3.5546875" customWidth="1"/>
    <col min="10" max="10" width="14.33203125" style="234" bestFit="1" customWidth="1"/>
    <col min="11" max="11" width="17.109375" style="234" bestFit="1" customWidth="1"/>
    <col min="12" max="12" width="17.88671875" bestFit="1" customWidth="1"/>
    <col min="13" max="13" width="3" customWidth="1"/>
    <col min="14" max="14" width="19.109375" bestFit="1" customWidth="1"/>
    <col min="15" max="15" width="18" customWidth="1"/>
    <col min="16" max="16" width="13.109375" customWidth="1"/>
    <col min="17" max="17" width="13.109375" style="172" hidden="1" customWidth="1"/>
    <col min="18" max="18" width="13.109375" hidden="1" customWidth="1"/>
    <col min="19" max="21" width="13.109375" style="37" hidden="1" customWidth="1"/>
    <col min="22" max="27" width="13.109375" hidden="1" customWidth="1"/>
    <col min="28" max="28" width="9.88671875" customWidth="1"/>
    <col min="36" max="36" width="17.33203125" customWidth="1"/>
  </cols>
  <sheetData>
    <row r="1" spans="2:24" ht="15.75" thickBot="1" x14ac:dyDescent="0.3">
      <c r="Q1" s="323" t="s">
        <v>0</v>
      </c>
      <c r="R1" s="324"/>
      <c r="S1" s="324"/>
      <c r="T1" s="324"/>
      <c r="U1" s="324"/>
      <c r="V1" s="324"/>
    </row>
    <row r="2" spans="2:24" ht="30" x14ac:dyDescent="0.25">
      <c r="B2" s="2"/>
      <c r="C2" s="3"/>
      <c r="D2" s="3"/>
      <c r="E2" s="3"/>
      <c r="F2" s="3"/>
      <c r="G2" s="3"/>
      <c r="H2" s="3"/>
      <c r="I2" s="3"/>
      <c r="J2" s="4" t="s">
        <v>1</v>
      </c>
      <c r="K2" s="308"/>
      <c r="L2" s="5" t="s">
        <v>2</v>
      </c>
      <c r="M2" s="6"/>
      <c r="N2" s="6"/>
      <c r="O2" s="6"/>
      <c r="Q2" s="7">
        <v>41456</v>
      </c>
      <c r="R2" s="8"/>
      <c r="S2" s="9"/>
      <c r="T2" s="9"/>
      <c r="U2" s="9"/>
      <c r="V2" s="8"/>
    </row>
    <row r="3" spans="2:24" ht="18.75" x14ac:dyDescent="0.3">
      <c r="B3" s="10" t="s">
        <v>117</v>
      </c>
      <c r="C3" s="11"/>
      <c r="D3" s="8"/>
      <c r="E3" s="8"/>
      <c r="F3" s="8"/>
      <c r="G3" s="8"/>
      <c r="H3" s="8"/>
      <c r="I3" s="8"/>
      <c r="J3" s="12">
        <v>41474</v>
      </c>
      <c r="K3" s="307"/>
      <c r="L3" s="13">
        <f>$Q$5/26</f>
        <v>4.9450549450549455E-2</v>
      </c>
      <c r="M3" s="14"/>
      <c r="N3" s="14"/>
      <c r="O3" s="14"/>
      <c r="Q3" s="15"/>
      <c r="R3" s="8"/>
      <c r="S3" s="9"/>
      <c r="T3" s="9"/>
      <c r="U3" s="9"/>
      <c r="V3" s="8"/>
    </row>
    <row r="4" spans="2:24" ht="15.75" thickBot="1" x14ac:dyDescent="0.3">
      <c r="B4" s="16"/>
      <c r="C4" s="8"/>
      <c r="D4" s="8"/>
      <c r="E4" s="8"/>
      <c r="F4" s="17"/>
      <c r="G4" s="8"/>
      <c r="H4" s="8"/>
      <c r="I4" s="8"/>
      <c r="J4" s="306"/>
      <c r="K4" s="306"/>
      <c r="L4" s="19"/>
      <c r="M4" s="8"/>
      <c r="N4" s="8"/>
      <c r="O4" s="8"/>
      <c r="Q4" s="15">
        <f>J3-Q2</f>
        <v>18</v>
      </c>
      <c r="R4" s="8"/>
      <c r="S4" s="9"/>
      <c r="T4" s="9"/>
      <c r="U4" s="8"/>
      <c r="V4" s="8"/>
    </row>
    <row r="5" spans="2:24" ht="30.75" thickBot="1" x14ac:dyDescent="0.3">
      <c r="B5" s="305" t="s">
        <v>3</v>
      </c>
      <c r="C5" s="304" t="s">
        <v>4</v>
      </c>
      <c r="D5" s="303" t="s">
        <v>5</v>
      </c>
      <c r="E5" s="302"/>
      <c r="F5" s="301" t="s">
        <v>106</v>
      </c>
      <c r="G5" s="301" t="s">
        <v>63</v>
      </c>
      <c r="H5" s="300" t="s">
        <v>105</v>
      </c>
      <c r="I5" s="299"/>
      <c r="J5" s="298" t="s">
        <v>104</v>
      </c>
      <c r="K5" s="297" t="s">
        <v>103</v>
      </c>
      <c r="L5" s="24" t="s">
        <v>102</v>
      </c>
      <c r="M5" s="25"/>
      <c r="N5" s="296" t="s">
        <v>10</v>
      </c>
      <c r="O5" s="295" t="s">
        <v>11</v>
      </c>
      <c r="Q5" s="27">
        <f>Q4/14</f>
        <v>1.2857142857142858</v>
      </c>
      <c r="R5" s="8"/>
      <c r="S5" s="9"/>
      <c r="T5" s="9"/>
      <c r="U5"/>
    </row>
    <row r="6" spans="2:24" x14ac:dyDescent="0.3">
      <c r="B6" s="294" t="s">
        <v>115</v>
      </c>
      <c r="C6" s="293">
        <v>6</v>
      </c>
      <c r="D6" s="113">
        <v>1696.9099999999999</v>
      </c>
      <c r="E6" s="292"/>
      <c r="F6" s="291">
        <v>1</v>
      </c>
      <c r="G6" s="290">
        <f t="shared" ref="G6:G19" si="0">D6*F6</f>
        <v>1696.9099999999999</v>
      </c>
      <c r="H6" s="288">
        <f t="shared" ref="H6:H19" si="1">D6-G6</f>
        <v>0</v>
      </c>
      <c r="I6" s="289"/>
      <c r="J6" s="325"/>
      <c r="K6" s="325"/>
      <c r="L6" s="327" t="e">
        <f>SUM(G6:G7)/J6</f>
        <v>#DIV/0!</v>
      </c>
      <c r="M6" s="268"/>
      <c r="N6" s="113" t="e">
        <f>(L6/L$3)*J6</f>
        <v>#DIV/0!</v>
      </c>
      <c r="O6" s="288" t="e">
        <f>N6-J6</f>
        <v>#DIV/0!</v>
      </c>
      <c r="Q6" s="36">
        <v>51000</v>
      </c>
      <c r="R6" s="8"/>
      <c r="S6" s="9"/>
      <c r="T6" s="9"/>
      <c r="U6" s="37" t="s">
        <v>101</v>
      </c>
      <c r="V6" t="s">
        <v>3</v>
      </c>
      <c r="W6" t="s">
        <v>13</v>
      </c>
      <c r="X6" t="s">
        <v>14</v>
      </c>
    </row>
    <row r="7" spans="2:24" x14ac:dyDescent="0.3">
      <c r="B7" s="272" t="s">
        <v>108</v>
      </c>
      <c r="C7" s="115">
        <v>13</v>
      </c>
      <c r="D7" s="64">
        <v>6486.6100000000006</v>
      </c>
      <c r="E7" s="271"/>
      <c r="F7" s="270">
        <v>0.3</v>
      </c>
      <c r="G7" s="269">
        <f t="shared" si="0"/>
        <v>1945.9830000000002</v>
      </c>
      <c r="H7" s="267">
        <f t="shared" si="1"/>
        <v>4540.6270000000004</v>
      </c>
      <c r="I7" s="8"/>
      <c r="J7" s="326"/>
      <c r="K7" s="326"/>
      <c r="L7" s="328"/>
      <c r="M7" s="268"/>
      <c r="N7" s="64"/>
      <c r="O7" s="267"/>
      <c r="Q7" s="36"/>
      <c r="R7" s="8"/>
      <c r="S7" s="9"/>
      <c r="T7" s="9"/>
      <c r="U7" s="37">
        <v>1</v>
      </c>
      <c r="V7" t="s">
        <v>53</v>
      </c>
      <c r="W7">
        <v>6</v>
      </c>
      <c r="X7">
        <v>1696.9099999999999</v>
      </c>
    </row>
    <row r="8" spans="2:24" x14ac:dyDescent="0.3">
      <c r="B8" s="286" t="s">
        <v>114</v>
      </c>
      <c r="C8" s="285"/>
      <c r="D8" s="137"/>
      <c r="E8" s="284"/>
      <c r="F8" s="283">
        <v>1</v>
      </c>
      <c r="G8" s="282">
        <f t="shared" si="0"/>
        <v>0</v>
      </c>
      <c r="H8" s="280">
        <f t="shared" si="1"/>
        <v>0</v>
      </c>
      <c r="I8" s="281"/>
      <c r="J8" s="329"/>
      <c r="K8" s="329"/>
      <c r="L8" s="331" t="e">
        <f>SUM(G8:G9)/J8</f>
        <v>#DIV/0!</v>
      </c>
      <c r="M8" s="281"/>
      <c r="N8" s="137" t="e">
        <f>(L8/L$3)*J8</f>
        <v>#DIV/0!</v>
      </c>
      <c r="O8" s="280" t="e">
        <f>N8-J8</f>
        <v>#DIV/0!</v>
      </c>
      <c r="Q8" s="36">
        <v>37400</v>
      </c>
      <c r="R8" s="8"/>
      <c r="S8" s="9"/>
      <c r="T8" s="9"/>
      <c r="V8" t="s">
        <v>55</v>
      </c>
      <c r="W8">
        <v>13</v>
      </c>
      <c r="X8">
        <v>6486.6100000000006</v>
      </c>
    </row>
    <row r="9" spans="2:24" x14ac:dyDescent="0.3">
      <c r="B9" s="279" t="s">
        <v>108</v>
      </c>
      <c r="C9" s="278"/>
      <c r="D9" s="92"/>
      <c r="E9" s="277"/>
      <c r="F9" s="276">
        <v>0.3</v>
      </c>
      <c r="G9" s="275">
        <f t="shared" si="0"/>
        <v>0</v>
      </c>
      <c r="H9" s="273">
        <f t="shared" si="1"/>
        <v>0</v>
      </c>
      <c r="I9" s="274"/>
      <c r="J9" s="330"/>
      <c r="K9" s="330"/>
      <c r="L9" s="332"/>
      <c r="M9" s="274"/>
      <c r="N9" s="92"/>
      <c r="O9" s="273"/>
      <c r="Q9" s="36"/>
      <c r="R9" s="8"/>
      <c r="S9" s="9"/>
      <c r="T9" s="9"/>
    </row>
    <row r="10" spans="2:24" x14ac:dyDescent="0.3">
      <c r="B10" s="272" t="s">
        <v>113</v>
      </c>
      <c r="C10" s="115">
        <v>1</v>
      </c>
      <c r="D10" s="64">
        <v>65</v>
      </c>
      <c r="E10" s="271"/>
      <c r="F10" s="270">
        <v>1</v>
      </c>
      <c r="G10" s="269">
        <f t="shared" si="0"/>
        <v>65</v>
      </c>
      <c r="H10" s="267">
        <f t="shared" si="1"/>
        <v>0</v>
      </c>
      <c r="I10" s="8"/>
      <c r="J10" s="326"/>
      <c r="K10" s="326"/>
      <c r="L10" s="328" t="e">
        <f>SUM(G10:G11)/J10</f>
        <v>#DIV/0!</v>
      </c>
      <c r="M10" s="268"/>
      <c r="N10" s="64" t="e">
        <f>(L10/L$3)*J10</f>
        <v>#DIV/0!</v>
      </c>
      <c r="O10" s="267" t="e">
        <f>N10-J10</f>
        <v>#DIV/0!</v>
      </c>
      <c r="Q10" s="36">
        <v>61200</v>
      </c>
      <c r="R10" s="8"/>
      <c r="S10" s="9"/>
      <c r="T10" s="9"/>
    </row>
    <row r="11" spans="2:24" x14ac:dyDescent="0.3">
      <c r="B11" s="272" t="s">
        <v>108</v>
      </c>
      <c r="C11" s="115">
        <v>1</v>
      </c>
      <c r="D11" s="64">
        <v>322</v>
      </c>
      <c r="E11" s="271"/>
      <c r="F11" s="270">
        <v>0.3</v>
      </c>
      <c r="G11" s="269">
        <f t="shared" si="0"/>
        <v>96.6</v>
      </c>
      <c r="H11" s="267">
        <f t="shared" si="1"/>
        <v>225.4</v>
      </c>
      <c r="I11" s="8"/>
      <c r="J11" s="326"/>
      <c r="K11" s="326"/>
      <c r="L11" s="328"/>
      <c r="M11" s="268"/>
      <c r="N11" s="64"/>
      <c r="O11" s="267"/>
      <c r="P11" s="45"/>
      <c r="Q11" s="36"/>
      <c r="R11" s="8"/>
      <c r="S11" s="9"/>
      <c r="T11" s="9"/>
      <c r="U11" s="37">
        <v>3</v>
      </c>
      <c r="V11" t="s">
        <v>53</v>
      </c>
      <c r="W11">
        <v>1</v>
      </c>
      <c r="X11">
        <v>65</v>
      </c>
    </row>
    <row r="12" spans="2:24" x14ac:dyDescent="0.3">
      <c r="B12" s="286" t="s">
        <v>112</v>
      </c>
      <c r="C12" s="285">
        <v>17</v>
      </c>
      <c r="D12" s="137">
        <v>8526.43</v>
      </c>
      <c r="E12" s="284"/>
      <c r="F12" s="283">
        <v>1</v>
      </c>
      <c r="G12" s="282">
        <f t="shared" si="0"/>
        <v>8526.43</v>
      </c>
      <c r="H12" s="280">
        <f t="shared" si="1"/>
        <v>0</v>
      </c>
      <c r="I12" s="281"/>
      <c r="J12" s="329"/>
      <c r="K12" s="329"/>
      <c r="L12" s="331" t="e">
        <f>SUM(G12:G13)/J12</f>
        <v>#DIV/0!</v>
      </c>
      <c r="M12" s="281"/>
      <c r="N12" s="137" t="e">
        <f>(L12/L$3)*J12</f>
        <v>#DIV/0!</v>
      </c>
      <c r="O12" s="280" t="e">
        <f>N12-J12</f>
        <v>#DIV/0!</v>
      </c>
      <c r="P12" s="45"/>
      <c r="Q12" s="36">
        <v>68000</v>
      </c>
      <c r="R12" s="8"/>
      <c r="S12" s="9"/>
      <c r="T12" s="9"/>
      <c r="V12" t="s">
        <v>55</v>
      </c>
      <c r="W12">
        <v>1</v>
      </c>
      <c r="X12">
        <v>322</v>
      </c>
    </row>
    <row r="13" spans="2:24" x14ac:dyDescent="0.3">
      <c r="B13" s="279" t="s">
        <v>108</v>
      </c>
      <c r="C13" s="278">
        <v>2</v>
      </c>
      <c r="D13" s="92">
        <v>1109.3399999999999</v>
      </c>
      <c r="E13" s="277"/>
      <c r="F13" s="276">
        <v>0.3</v>
      </c>
      <c r="G13" s="275">
        <f t="shared" si="0"/>
        <v>332.80199999999996</v>
      </c>
      <c r="H13" s="273">
        <f t="shared" si="1"/>
        <v>776.53800000000001</v>
      </c>
      <c r="I13" s="274"/>
      <c r="J13" s="330"/>
      <c r="K13" s="330"/>
      <c r="L13" s="332"/>
      <c r="M13" s="274"/>
      <c r="N13" s="92"/>
      <c r="O13" s="273"/>
      <c r="P13" s="45"/>
      <c r="Q13" s="36"/>
      <c r="R13" s="8"/>
      <c r="S13" s="9"/>
      <c r="T13" s="9"/>
      <c r="U13" s="37">
        <v>4</v>
      </c>
      <c r="V13" t="s">
        <v>53</v>
      </c>
      <c r="W13">
        <v>17</v>
      </c>
      <c r="X13">
        <v>8526.43</v>
      </c>
    </row>
    <row r="14" spans="2:24" x14ac:dyDescent="0.3">
      <c r="B14" s="272" t="s">
        <v>111</v>
      </c>
      <c r="C14" s="115">
        <v>6</v>
      </c>
      <c r="D14" s="64">
        <v>3254.96</v>
      </c>
      <c r="E14" s="271"/>
      <c r="F14" s="270">
        <v>1</v>
      </c>
      <c r="G14" s="269">
        <f t="shared" si="0"/>
        <v>3254.96</v>
      </c>
      <c r="H14" s="267">
        <f t="shared" si="1"/>
        <v>0</v>
      </c>
      <c r="I14" s="8"/>
      <c r="J14" s="326"/>
      <c r="K14" s="326"/>
      <c r="L14" s="328" t="e">
        <f>SUM(G14:G15)/J14</f>
        <v>#DIV/0!</v>
      </c>
      <c r="M14" s="268"/>
      <c r="N14" s="64" t="e">
        <f>(L14/L$3)*J14</f>
        <v>#DIV/0!</v>
      </c>
      <c r="O14" s="267" t="e">
        <f>N14-J14</f>
        <v>#DIV/0!</v>
      </c>
      <c r="P14" s="45"/>
      <c r="Q14" s="36">
        <v>34000</v>
      </c>
      <c r="R14" s="8"/>
      <c r="S14" s="9"/>
      <c r="T14" s="9"/>
      <c r="V14" t="s">
        <v>55</v>
      </c>
      <c r="W14">
        <v>2</v>
      </c>
      <c r="X14">
        <v>1109.3399999999999</v>
      </c>
    </row>
    <row r="15" spans="2:24" x14ac:dyDescent="0.3">
      <c r="B15" s="272" t="s">
        <v>108</v>
      </c>
      <c r="C15" s="115">
        <v>2</v>
      </c>
      <c r="D15" s="64">
        <v>961.97</v>
      </c>
      <c r="E15" s="271"/>
      <c r="F15" s="270">
        <v>0.3</v>
      </c>
      <c r="G15" s="269">
        <f t="shared" si="0"/>
        <v>288.59100000000001</v>
      </c>
      <c r="H15" s="267">
        <f t="shared" si="1"/>
        <v>673.37900000000002</v>
      </c>
      <c r="I15" s="8"/>
      <c r="J15" s="326"/>
      <c r="K15" s="326"/>
      <c r="L15" s="328"/>
      <c r="M15" s="268"/>
      <c r="N15" s="64"/>
      <c r="O15" s="267"/>
      <c r="P15" s="45"/>
      <c r="Q15" s="36"/>
      <c r="R15" s="8"/>
      <c r="S15" s="9"/>
      <c r="T15" s="9"/>
      <c r="U15" s="37">
        <v>5</v>
      </c>
      <c r="V15" t="s">
        <v>53</v>
      </c>
      <c r="W15">
        <v>6</v>
      </c>
      <c r="X15">
        <v>3254.96</v>
      </c>
    </row>
    <row r="16" spans="2:24" x14ac:dyDescent="0.3">
      <c r="B16" s="286" t="s">
        <v>110</v>
      </c>
      <c r="C16" s="285">
        <v>4</v>
      </c>
      <c r="D16" s="137">
        <v>1627.32</v>
      </c>
      <c r="E16" s="284"/>
      <c r="F16" s="283">
        <v>1</v>
      </c>
      <c r="G16" s="282">
        <f t="shared" si="0"/>
        <v>1627.32</v>
      </c>
      <c r="H16" s="280">
        <f t="shared" si="1"/>
        <v>0</v>
      </c>
      <c r="I16" s="281"/>
      <c r="J16" s="329"/>
      <c r="K16" s="329"/>
      <c r="L16" s="331" t="e">
        <f>SUM(G16:G17)/J16</f>
        <v>#DIV/0!</v>
      </c>
      <c r="M16" s="281"/>
      <c r="N16" s="137" t="e">
        <f>(L16/L$3)*J16</f>
        <v>#DIV/0!</v>
      </c>
      <c r="O16" s="280" t="e">
        <f>N16-J16</f>
        <v>#DIV/0!</v>
      </c>
      <c r="P16" s="45"/>
      <c r="Q16" s="36">
        <v>27200</v>
      </c>
      <c r="R16" s="8"/>
      <c r="S16" s="9"/>
      <c r="T16" s="9"/>
      <c r="V16" t="s">
        <v>55</v>
      </c>
      <c r="W16">
        <v>2</v>
      </c>
      <c r="X16">
        <v>961.97</v>
      </c>
    </row>
    <row r="17" spans="2:24" x14ac:dyDescent="0.3">
      <c r="B17" s="279" t="s">
        <v>108</v>
      </c>
      <c r="C17" s="278"/>
      <c r="D17" s="92"/>
      <c r="E17" s="277"/>
      <c r="F17" s="276">
        <v>0.3</v>
      </c>
      <c r="G17" s="275">
        <f t="shared" si="0"/>
        <v>0</v>
      </c>
      <c r="H17" s="273">
        <f t="shared" si="1"/>
        <v>0</v>
      </c>
      <c r="I17" s="274"/>
      <c r="J17" s="330"/>
      <c r="K17" s="330"/>
      <c r="L17" s="332"/>
      <c r="M17" s="274"/>
      <c r="N17" s="92"/>
      <c r="O17" s="273"/>
      <c r="P17" s="45"/>
      <c r="Q17" s="36"/>
      <c r="R17" s="8"/>
      <c r="S17" s="9"/>
      <c r="T17" s="9"/>
      <c r="U17" s="37">
        <v>6</v>
      </c>
      <c r="V17" t="s">
        <v>53</v>
      </c>
      <c r="W17">
        <v>4</v>
      </c>
      <c r="X17">
        <v>1627.32</v>
      </c>
    </row>
    <row r="18" spans="2:24" x14ac:dyDescent="0.3">
      <c r="B18" s="272" t="s">
        <v>109</v>
      </c>
      <c r="C18" s="115">
        <v>2</v>
      </c>
      <c r="D18" s="64">
        <v>130</v>
      </c>
      <c r="E18" s="271"/>
      <c r="F18" s="270">
        <v>1</v>
      </c>
      <c r="G18" s="269">
        <f t="shared" si="0"/>
        <v>130</v>
      </c>
      <c r="H18" s="267">
        <f t="shared" si="1"/>
        <v>0</v>
      </c>
      <c r="I18" s="8"/>
      <c r="J18" s="326"/>
      <c r="K18" s="326"/>
      <c r="L18" s="328" t="e">
        <f>SUM(G18:G19)/J18</f>
        <v>#DIV/0!</v>
      </c>
      <c r="M18" s="268"/>
      <c r="N18" s="64" t="e">
        <f>(L18/L$3)*J18</f>
        <v>#DIV/0!</v>
      </c>
      <c r="O18" s="267" t="e">
        <f>N18-J18</f>
        <v>#DIV/0!</v>
      </c>
      <c r="P18" s="45"/>
      <c r="Q18" s="36">
        <v>61200</v>
      </c>
      <c r="R18" s="8"/>
      <c r="S18" s="9"/>
      <c r="T18" s="9"/>
    </row>
    <row r="19" spans="2:24" ht="15" thickBot="1" x14ac:dyDescent="0.35">
      <c r="B19" s="272" t="s">
        <v>108</v>
      </c>
      <c r="C19" s="115">
        <v>2</v>
      </c>
      <c r="D19" s="64">
        <v>5886.199999999998</v>
      </c>
      <c r="E19" s="271"/>
      <c r="F19" s="270">
        <v>0.3</v>
      </c>
      <c r="G19" s="269">
        <f t="shared" si="0"/>
        <v>1765.8599999999994</v>
      </c>
      <c r="H19" s="267">
        <f t="shared" si="1"/>
        <v>4120.3399999999983</v>
      </c>
      <c r="I19" s="8"/>
      <c r="J19" s="333"/>
      <c r="K19" s="333"/>
      <c r="L19" s="334"/>
      <c r="M19" s="268"/>
      <c r="N19" s="64"/>
      <c r="O19" s="267"/>
      <c r="P19" s="45"/>
      <c r="Q19" s="36"/>
      <c r="R19" s="8"/>
      <c r="S19" s="9"/>
      <c r="T19" s="9"/>
      <c r="U19" s="37">
        <v>7</v>
      </c>
      <c r="V19" t="s">
        <v>53</v>
      </c>
      <c r="W19">
        <v>2</v>
      </c>
      <c r="X19">
        <v>130</v>
      </c>
    </row>
    <row r="20" spans="2:24" ht="15.75" thickBot="1" x14ac:dyDescent="0.3">
      <c r="B20" s="176" t="s">
        <v>61</v>
      </c>
      <c r="C20" s="263">
        <v>56</v>
      </c>
      <c r="D20" s="162">
        <v>30066.739999999998</v>
      </c>
      <c r="E20" s="179"/>
      <c r="F20" s="262">
        <f>G20/D20</f>
        <v>0.6562219914762959</v>
      </c>
      <c r="G20" s="179">
        <f>SUM(G6:G19)</f>
        <v>19730.456000000002</v>
      </c>
      <c r="H20" s="179">
        <f>SUM(H6:H19)</f>
        <v>10336.284</v>
      </c>
      <c r="I20" s="261"/>
      <c r="J20" s="162">
        <f>SUM(J6:J19)</f>
        <v>0</v>
      </c>
      <c r="K20" s="182"/>
      <c r="L20" s="260" t="e">
        <f>SUM(G20)/J20</f>
        <v>#DIV/0!</v>
      </c>
      <c r="M20" s="247"/>
      <c r="N20" s="162" t="e">
        <f>(L20/L$3)*J20</f>
        <v>#DIV/0!</v>
      </c>
      <c r="O20" s="182" t="e">
        <f>N20-J20</f>
        <v>#DIV/0!</v>
      </c>
      <c r="Q20" s="162">
        <f>SUM(Q6:Q19)</f>
        <v>340000</v>
      </c>
      <c r="R20" s="8"/>
      <c r="S20" s="9"/>
      <c r="T20" s="9"/>
      <c r="V20" t="s">
        <v>55</v>
      </c>
      <c r="W20">
        <v>2</v>
      </c>
      <c r="X20">
        <v>5886.199999999998</v>
      </c>
    </row>
    <row r="21" spans="2:24" ht="15" x14ac:dyDescent="0.25">
      <c r="B21" s="183"/>
      <c r="C21" s="249"/>
      <c r="D21" s="185"/>
      <c r="E21" s="185"/>
      <c r="F21" s="185"/>
      <c r="G21" s="185"/>
      <c r="H21" s="185"/>
      <c r="I21" s="248"/>
      <c r="J21" s="185"/>
      <c r="K21" s="185"/>
      <c r="L21" s="185"/>
      <c r="M21" s="247"/>
      <c r="N21" s="185"/>
      <c r="O21" s="185"/>
      <c r="Q21" s="166"/>
      <c r="R21" s="8"/>
      <c r="S21" s="9"/>
      <c r="T21" s="9"/>
      <c r="U21" s="37" t="s">
        <v>61</v>
      </c>
      <c r="W21">
        <v>56</v>
      </c>
      <c r="X21">
        <v>30066.739999999998</v>
      </c>
    </row>
    <row r="22" spans="2:24" ht="15.75" thickBot="1" x14ac:dyDescent="0.3">
      <c r="N22" s="168"/>
      <c r="Q22" s="36"/>
      <c r="R22" s="8"/>
      <c r="S22" s="9"/>
      <c r="T22" s="9"/>
    </row>
    <row r="23" spans="2:24" ht="15.75" thickBot="1" x14ac:dyDescent="0.3">
      <c r="B23" s="186" t="s">
        <v>63</v>
      </c>
      <c r="C23" s="259"/>
      <c r="D23" s="188"/>
      <c r="E23" s="189"/>
      <c r="F23" s="189"/>
      <c r="G23" s="189">
        <f>G20</f>
        <v>19730.456000000002</v>
      </c>
      <c r="H23" s="190"/>
      <c r="I23" s="258"/>
      <c r="J23" s="188">
        <f>J20</f>
        <v>0</v>
      </c>
      <c r="K23" s="189"/>
      <c r="L23" s="257" t="e">
        <f>SUM(G23)/J23</f>
        <v>#DIV/0!</v>
      </c>
      <c r="M23" s="247"/>
      <c r="N23" s="162" t="e">
        <f>(L23/L$3)*J23</f>
        <v>#DIV/0!</v>
      </c>
      <c r="O23" s="182" t="e">
        <f>N23-J23</f>
        <v>#DIV/0!</v>
      </c>
      <c r="Q23" s="166"/>
      <c r="R23" s="8"/>
      <c r="S23" s="9"/>
      <c r="T23" s="9"/>
    </row>
    <row r="24" spans="2:24" ht="15.75" thickBot="1" x14ac:dyDescent="0.3">
      <c r="B24" s="192" t="s">
        <v>64</v>
      </c>
      <c r="C24" s="256"/>
      <c r="D24" s="194"/>
      <c r="E24" s="185"/>
      <c r="F24" s="185"/>
      <c r="G24" s="185"/>
      <c r="H24" s="195">
        <f>H20</f>
        <v>10336.284</v>
      </c>
      <c r="I24" s="255"/>
      <c r="J24" s="194"/>
      <c r="K24" s="185">
        <f>K20</f>
        <v>0</v>
      </c>
      <c r="L24" s="254" t="e">
        <f>SUM(H20)/K20</f>
        <v>#DIV/0!</v>
      </c>
      <c r="M24" s="247"/>
      <c r="N24" s="162" t="e">
        <f>(L24/L$3)*K24</f>
        <v>#DIV/0!</v>
      </c>
      <c r="O24" s="182" t="e">
        <f>N24-K24</f>
        <v>#DIV/0!</v>
      </c>
      <c r="Q24" s="166"/>
      <c r="R24" s="8"/>
      <c r="S24" s="9"/>
      <c r="T24" s="9"/>
    </row>
    <row r="25" spans="2:24" ht="15.75" thickBot="1" x14ac:dyDescent="0.3">
      <c r="B25" s="197" t="s">
        <v>65</v>
      </c>
      <c r="C25" s="253"/>
      <c r="D25" s="199">
        <f>SUM(G20:H20)</f>
        <v>30066.74</v>
      </c>
      <c r="E25" s="200"/>
      <c r="F25" s="200"/>
      <c r="G25" s="200"/>
      <c r="H25" s="201"/>
      <c r="I25" s="252"/>
      <c r="J25" s="202"/>
      <c r="K25" s="180">
        <f>SUM(J20:K20)</f>
        <v>0</v>
      </c>
      <c r="L25" s="251" t="e">
        <f>SUM(D25)/K25</f>
        <v>#DIV/0!</v>
      </c>
      <c r="M25" s="247"/>
      <c r="N25" s="162" t="e">
        <f>(L25/L$3)*K25</f>
        <v>#DIV/0!</v>
      </c>
      <c r="O25" s="182" t="e">
        <f>N25-K25</f>
        <v>#DIV/0!</v>
      </c>
      <c r="P25" s="168"/>
      <c r="Q25" s="166"/>
      <c r="R25" s="8"/>
      <c r="S25" s="9"/>
    </row>
    <row r="26" spans="2:24" ht="15" x14ac:dyDescent="0.25">
      <c r="B26" s="183"/>
      <c r="C26" s="249"/>
      <c r="D26" s="185"/>
      <c r="E26" s="185"/>
      <c r="F26" s="185"/>
      <c r="G26" s="185"/>
      <c r="H26" s="185"/>
      <c r="I26" s="248"/>
      <c r="J26" s="185"/>
      <c r="K26" s="185"/>
      <c r="L26" s="247"/>
      <c r="M26" s="247"/>
      <c r="N26" s="185"/>
      <c r="O26" s="185"/>
      <c r="Q26" s="166"/>
      <c r="R26" s="8"/>
      <c r="S26" s="9"/>
      <c r="T26" s="9"/>
    </row>
    <row r="27" spans="2:24" ht="21" customHeight="1" thickBot="1" x14ac:dyDescent="0.3">
      <c r="C27" s="246"/>
      <c r="D27" s="214"/>
      <c r="E27" s="214"/>
      <c r="F27" s="214"/>
      <c r="G27" s="214"/>
      <c r="H27" s="214"/>
      <c r="I27" s="214"/>
      <c r="J27" s="214"/>
      <c r="K27" s="214"/>
      <c r="L27" s="214"/>
      <c r="M27" s="214"/>
      <c r="N27" s="214"/>
      <c r="O27" s="214"/>
      <c r="Q27" s="169"/>
      <c r="R27" s="170"/>
      <c r="S27" s="171"/>
      <c r="T27" s="171"/>
    </row>
    <row r="28" spans="2:24" ht="21" customHeight="1" x14ac:dyDescent="0.25">
      <c r="B28" s="335" t="s">
        <v>116</v>
      </c>
      <c r="C28" s="336"/>
      <c r="D28" s="336"/>
      <c r="E28" s="336"/>
      <c r="F28" s="336"/>
      <c r="G28" s="336"/>
      <c r="H28" s="336"/>
      <c r="I28" s="336"/>
      <c r="J28" s="336"/>
      <c r="K28" s="336"/>
      <c r="L28" s="336"/>
      <c r="M28" s="232"/>
      <c r="N28" s="232"/>
      <c r="O28" s="232"/>
    </row>
    <row r="29" spans="2:24" s="173" customFormat="1" ht="39.75" customHeight="1" x14ac:dyDescent="0.25">
      <c r="B29" s="336" t="s">
        <v>107</v>
      </c>
      <c r="C29" s="336"/>
      <c r="D29" s="336"/>
      <c r="E29" s="336"/>
      <c r="F29" s="336"/>
      <c r="G29" s="336"/>
      <c r="H29" s="336"/>
      <c r="I29" s="336"/>
      <c r="J29" s="336"/>
      <c r="K29" s="336"/>
      <c r="L29" s="336"/>
      <c r="M29" s="232"/>
      <c r="N29" s="232"/>
      <c r="O29" s="232"/>
      <c r="Q29" s="172"/>
      <c r="R29" s="174"/>
      <c r="S29" s="175"/>
      <c r="T29" s="175"/>
      <c r="U29" s="37"/>
      <c r="V29"/>
      <c r="W29"/>
      <c r="X29"/>
    </row>
    <row r="30" spans="2:24" s="173" customFormat="1" ht="39.75" hidden="1" customHeight="1" x14ac:dyDescent="0.25">
      <c r="B30" t="s">
        <v>88</v>
      </c>
      <c r="C30"/>
      <c r="D30"/>
      <c r="E30"/>
      <c r="F30"/>
      <c r="G30"/>
      <c r="H30"/>
      <c r="I30"/>
      <c r="J30" s="234"/>
      <c r="K30" s="234"/>
      <c r="L30"/>
      <c r="M30"/>
      <c r="N30"/>
      <c r="O30"/>
      <c r="Q30" s="172"/>
      <c r="S30" s="175"/>
      <c r="T30" s="175"/>
      <c r="U30"/>
      <c r="V30"/>
      <c r="W30"/>
      <c r="X30"/>
    </row>
    <row r="31" spans="2:24" ht="15" hidden="1" x14ac:dyDescent="0.25">
      <c r="B31" t="s">
        <v>23</v>
      </c>
      <c r="C31">
        <v>2</v>
      </c>
      <c r="D31">
        <v>827.92</v>
      </c>
      <c r="J31">
        <v>340000</v>
      </c>
    </row>
    <row r="32" spans="2:24" ht="15" hidden="1" x14ac:dyDescent="0.25">
      <c r="B32" t="s">
        <v>87</v>
      </c>
      <c r="C32">
        <v>83</v>
      </c>
      <c r="D32">
        <v>133749.80999999991</v>
      </c>
      <c r="J32">
        <v>250000</v>
      </c>
      <c r="U32"/>
      <c r="X32" s="173"/>
    </row>
    <row r="33" spans="2:24" ht="15" hidden="1" x14ac:dyDescent="0.25">
      <c r="U33"/>
      <c r="X33" s="173"/>
    </row>
    <row r="34" spans="2:24" ht="15" hidden="1" x14ac:dyDescent="0.25">
      <c r="B34" t="s">
        <v>62</v>
      </c>
      <c r="C34">
        <f t="shared" ref="C34:J34" si="2">SUM(C31:C33)</f>
        <v>85</v>
      </c>
      <c r="D34">
        <f t="shared" si="2"/>
        <v>134577.72999999992</v>
      </c>
      <c r="E34">
        <f t="shared" si="2"/>
        <v>0</v>
      </c>
      <c r="F34">
        <f t="shared" si="2"/>
        <v>0</v>
      </c>
      <c r="G34">
        <f t="shared" si="2"/>
        <v>0</v>
      </c>
      <c r="H34">
        <f t="shared" si="2"/>
        <v>0</v>
      </c>
      <c r="I34">
        <f t="shared" si="2"/>
        <v>0</v>
      </c>
      <c r="J34" s="234">
        <f t="shared" si="2"/>
        <v>590000</v>
      </c>
      <c r="U34"/>
    </row>
    <row r="35" spans="2:24" ht="15" hidden="1" x14ac:dyDescent="0.25">
      <c r="U35"/>
    </row>
    <row r="36" spans="2:24" ht="15" hidden="1" x14ac:dyDescent="0.25">
      <c r="U36"/>
    </row>
    <row r="37" spans="2:24" ht="15.75" hidden="1" thickBot="1" x14ac:dyDescent="0.3">
      <c r="B37" s="176" t="s">
        <v>61</v>
      </c>
      <c r="C37" s="263">
        <v>6196</v>
      </c>
      <c r="D37" s="162">
        <v>3871765.8300001109</v>
      </c>
      <c r="E37" s="179"/>
      <c r="F37" s="262">
        <v>0.78696050117264404</v>
      </c>
      <c r="G37" s="179">
        <v>3046926.7780000055</v>
      </c>
      <c r="H37" s="180">
        <v>824839.05199999909</v>
      </c>
      <c r="I37" s="261"/>
      <c r="J37" s="162">
        <v>7182150.0000000009</v>
      </c>
      <c r="K37" s="182">
        <v>2830000</v>
      </c>
      <c r="L37" s="260">
        <v>0.42423602653801512</v>
      </c>
      <c r="M37" s="247"/>
      <c r="N37" s="162">
        <v>7493792.8864324465</v>
      </c>
      <c r="O37" s="182">
        <v>311642.88643244561</v>
      </c>
    </row>
    <row r="38" spans="2:24" ht="15" hidden="1" x14ac:dyDescent="0.25">
      <c r="B38" s="183"/>
      <c r="C38" s="249"/>
      <c r="D38" s="185"/>
      <c r="E38" s="185"/>
      <c r="F38" s="185"/>
      <c r="G38" s="185"/>
      <c r="H38" s="185"/>
      <c r="I38" s="248"/>
      <c r="J38" s="185"/>
      <c r="K38" s="185"/>
      <c r="L38" s="185"/>
      <c r="M38" s="247"/>
      <c r="N38" s="185"/>
      <c r="O38" s="185"/>
      <c r="U38"/>
    </row>
    <row r="39" spans="2:24" ht="15" hidden="1" x14ac:dyDescent="0.25"/>
    <row r="40" spans="2:24" ht="15.75" hidden="1" thickBot="1" x14ac:dyDescent="0.3">
      <c r="B40" s="186" t="s">
        <v>63</v>
      </c>
      <c r="C40" s="259"/>
      <c r="D40" s="188"/>
      <c r="E40" s="189"/>
      <c r="F40" s="189"/>
      <c r="G40" s="189">
        <v>3046926.7780000055</v>
      </c>
      <c r="H40" s="190"/>
      <c r="I40" s="258"/>
      <c r="J40" s="188">
        <v>7182150.0000000009</v>
      </c>
      <c r="K40" s="189"/>
      <c r="L40" s="257">
        <v>0.42423602653801512</v>
      </c>
      <c r="M40" s="247"/>
      <c r="N40" s="250">
        <v>7493792.8864324465</v>
      </c>
      <c r="O40" s="182">
        <v>311642.88643244561</v>
      </c>
      <c r="U40"/>
    </row>
    <row r="41" spans="2:24" ht="15.75" hidden="1" thickBot="1" x14ac:dyDescent="0.3">
      <c r="B41" s="192" t="s">
        <v>64</v>
      </c>
      <c r="C41" s="256"/>
      <c r="D41" s="194"/>
      <c r="E41" s="185"/>
      <c r="F41" s="185"/>
      <c r="G41" s="185"/>
      <c r="H41" s="195">
        <v>824839.05199999909</v>
      </c>
      <c r="I41" s="255"/>
      <c r="J41" s="194"/>
      <c r="K41" s="185">
        <v>2830000</v>
      </c>
      <c r="L41" s="254">
        <v>0.2914625625441693</v>
      </c>
      <c r="M41" s="247"/>
      <c r="N41" s="250">
        <v>2028658.2089729707</v>
      </c>
      <c r="O41" s="182">
        <v>-801341.79102702928</v>
      </c>
      <c r="U41"/>
    </row>
    <row r="42" spans="2:24" ht="15.75" hidden="1" thickBot="1" x14ac:dyDescent="0.3">
      <c r="B42" s="197" t="s">
        <v>65</v>
      </c>
      <c r="C42" s="253"/>
      <c r="D42" s="199">
        <v>3871765.8300000047</v>
      </c>
      <c r="E42" s="200"/>
      <c r="F42" s="200"/>
      <c r="G42" s="200"/>
      <c r="H42" s="201"/>
      <c r="I42" s="252"/>
      <c r="J42" s="202"/>
      <c r="K42" s="180">
        <v>10012150</v>
      </c>
      <c r="L42" s="251">
        <v>0.38670673431780433</v>
      </c>
      <c r="M42" s="247"/>
      <c r="N42" s="250">
        <v>9522451.0954054166</v>
      </c>
      <c r="O42" s="182">
        <v>-489698.90459458344</v>
      </c>
      <c r="U42"/>
    </row>
    <row r="43" spans="2:24" ht="15" hidden="1" x14ac:dyDescent="0.25">
      <c r="B43" s="183"/>
      <c r="C43" s="249"/>
      <c r="D43" s="185"/>
      <c r="E43" s="185"/>
      <c r="F43" s="185"/>
      <c r="G43" s="185"/>
      <c r="H43" s="185"/>
      <c r="I43" s="248"/>
      <c r="J43" s="185"/>
      <c r="K43" s="185"/>
      <c r="L43" s="247"/>
      <c r="M43" s="247"/>
      <c r="N43" s="185"/>
      <c r="O43" s="185"/>
      <c r="U43"/>
    </row>
    <row r="44" spans="2:24" ht="15" hidden="1" x14ac:dyDescent="0.25">
      <c r="C44" s="246">
        <v>6196</v>
      </c>
      <c r="D44" s="234">
        <v>3871765.8300000052</v>
      </c>
      <c r="E44" s="234"/>
      <c r="F44" s="234"/>
      <c r="G44" s="234"/>
      <c r="H44" s="234"/>
      <c r="I44" s="234"/>
      <c r="J44" s="234">
        <v>7182150.0000000009</v>
      </c>
      <c r="L44" s="234"/>
      <c r="M44" s="234"/>
      <c r="N44" s="234">
        <v>7423408.4691351494</v>
      </c>
      <c r="O44" s="234">
        <v>241258.46913514897</v>
      </c>
      <c r="U44"/>
    </row>
    <row r="45" spans="2:24" ht="15" hidden="1" x14ac:dyDescent="0.25"/>
    <row r="46" spans="2:24" ht="15" x14ac:dyDescent="0.25">
      <c r="D46" s="168">
        <f>D20-D25</f>
        <v>0</v>
      </c>
      <c r="U46"/>
    </row>
    <row r="47" spans="2:24" ht="15" x14ac:dyDescent="0.25">
      <c r="C47" s="205"/>
      <c r="U47"/>
    </row>
    <row r="48" spans="2:24" ht="15" x14ac:dyDescent="0.25">
      <c r="U48"/>
    </row>
    <row r="50" spans="20:23" ht="15" x14ac:dyDescent="0.25">
      <c r="U50"/>
    </row>
    <row r="51" spans="20:23" ht="15" x14ac:dyDescent="0.25">
      <c r="U51"/>
    </row>
    <row r="53" spans="20:23" ht="15.75" thickBot="1" x14ac:dyDescent="0.3">
      <c r="U53"/>
    </row>
    <row r="54" spans="20:23" ht="15" x14ac:dyDescent="0.25">
      <c r="T54" s="245" t="s">
        <v>86</v>
      </c>
      <c r="U54"/>
    </row>
    <row r="55" spans="20:23" ht="15" x14ac:dyDescent="0.25">
      <c r="T55" s="244">
        <v>1</v>
      </c>
      <c r="U55"/>
    </row>
    <row r="56" spans="20:23" ht="15" x14ac:dyDescent="0.25">
      <c r="T56" s="244">
        <v>2</v>
      </c>
      <c r="U56"/>
    </row>
    <row r="57" spans="20:23" ht="15" x14ac:dyDescent="0.25">
      <c r="T57" s="244">
        <v>3</v>
      </c>
      <c r="U57" s="206"/>
      <c r="V57" s="207"/>
      <c r="W57" s="173"/>
    </row>
    <row r="58" spans="20:23" ht="15.75" thickBot="1" x14ac:dyDescent="0.3">
      <c r="T58" s="244">
        <v>4</v>
      </c>
      <c r="U58" s="206"/>
      <c r="V58" s="207"/>
    </row>
    <row r="59" spans="20:23" ht="15" x14ac:dyDescent="0.25">
      <c r="T59" s="244">
        <v>5</v>
      </c>
      <c r="U59" s="241" t="s">
        <v>82</v>
      </c>
      <c r="V59" s="241" t="s">
        <v>84</v>
      </c>
      <c r="W59" s="242" t="s">
        <v>83</v>
      </c>
    </row>
    <row r="60" spans="20:23" ht="15" x14ac:dyDescent="0.25">
      <c r="T60" s="244">
        <v>6</v>
      </c>
      <c r="U60" s="236">
        <v>0.15</v>
      </c>
      <c r="V60" s="240">
        <v>51000</v>
      </c>
      <c r="W60" s="239">
        <v>22</v>
      </c>
    </row>
    <row r="61" spans="20:23" ht="15" thickBot="1" x14ac:dyDescent="0.35">
      <c r="T61" s="244">
        <v>7</v>
      </c>
      <c r="U61" s="236">
        <v>0.11</v>
      </c>
      <c r="V61" s="240">
        <v>37400</v>
      </c>
      <c r="W61" s="239">
        <v>16</v>
      </c>
    </row>
    <row r="62" spans="20:23" ht="15" thickBot="1" x14ac:dyDescent="0.35">
      <c r="T62" s="243" t="s">
        <v>85</v>
      </c>
      <c r="U62" s="236">
        <v>0.18</v>
      </c>
      <c r="V62" s="240">
        <v>61200</v>
      </c>
      <c r="W62" s="239">
        <v>26</v>
      </c>
    </row>
    <row r="63" spans="20:23" x14ac:dyDescent="0.3">
      <c r="U63" s="236">
        <v>0.2</v>
      </c>
      <c r="V63" s="240">
        <v>68000</v>
      </c>
      <c r="W63" s="239">
        <v>29</v>
      </c>
    </row>
    <row r="64" spans="20:23" x14ac:dyDescent="0.3">
      <c r="U64" s="236">
        <v>0.1</v>
      </c>
      <c r="V64" s="240">
        <v>34000</v>
      </c>
      <c r="W64" s="239">
        <v>14</v>
      </c>
    </row>
    <row r="65" spans="21:23" x14ac:dyDescent="0.3">
      <c r="U65" s="236">
        <v>0.08</v>
      </c>
      <c r="V65" s="240">
        <v>27200</v>
      </c>
      <c r="W65" s="239">
        <v>11</v>
      </c>
    </row>
    <row r="66" spans="21:23" ht="15" thickBot="1" x14ac:dyDescent="0.35">
      <c r="U66" s="236">
        <v>0.18</v>
      </c>
      <c r="V66" s="240">
        <v>61200</v>
      </c>
      <c r="W66" s="239">
        <v>26</v>
      </c>
    </row>
    <row r="67" spans="21:23" ht="15" thickBot="1" x14ac:dyDescent="0.35">
      <c r="U67" s="235"/>
      <c r="V67" s="238">
        <v>340000</v>
      </c>
      <c r="W67" s="237">
        <v>144</v>
      </c>
    </row>
    <row r="68" spans="21:23" x14ac:dyDescent="0.3">
      <c r="U68"/>
    </row>
    <row r="69" spans="21:23" x14ac:dyDescent="0.3">
      <c r="U69"/>
    </row>
    <row r="70" spans="21:23" x14ac:dyDescent="0.3">
      <c r="U70"/>
    </row>
    <row r="71" spans="21:23" x14ac:dyDescent="0.3">
      <c r="U71"/>
    </row>
    <row r="72" spans="21:23" x14ac:dyDescent="0.3">
      <c r="U72"/>
    </row>
    <row r="76" spans="21:23" x14ac:dyDescent="0.3">
      <c r="U76" s="9"/>
      <c r="V76" s="8"/>
    </row>
    <row r="77" spans="21:23" x14ac:dyDescent="0.3">
      <c r="U77" s="9"/>
      <c r="V77" s="8"/>
    </row>
    <row r="78" spans="21:23" x14ac:dyDescent="0.3">
      <c r="U78" s="9"/>
      <c r="V78" s="8"/>
    </row>
    <row r="80" spans="21:23" x14ac:dyDescent="0.3">
      <c r="U80" s="9"/>
      <c r="V80" s="8"/>
    </row>
    <row r="81" spans="21:22" x14ac:dyDescent="0.3">
      <c r="U81" s="209"/>
      <c r="V81" s="210"/>
    </row>
    <row r="83" spans="21:22" x14ac:dyDescent="0.3">
      <c r="U83" s="9"/>
      <c r="V83" s="8"/>
    </row>
    <row r="84" spans="21:22" x14ac:dyDescent="0.3">
      <c r="U84" s="9"/>
      <c r="V84" s="8"/>
    </row>
    <row r="85" spans="21:22" x14ac:dyDescent="0.3">
      <c r="U85" s="209"/>
      <c r="V85" s="210"/>
    </row>
    <row r="86" spans="21:22" x14ac:dyDescent="0.3">
      <c r="U86" s="209"/>
      <c r="V86" s="210"/>
    </row>
    <row r="87" spans="21:22" x14ac:dyDescent="0.3">
      <c r="U87" s="209"/>
      <c r="V87" s="210"/>
    </row>
    <row r="88" spans="21:22" x14ac:dyDescent="0.3">
      <c r="U88" s="9"/>
      <c r="V88" s="8"/>
    </row>
    <row r="89" spans="21:22" x14ac:dyDescent="0.3">
      <c r="U89" s="209"/>
      <c r="V89" s="210"/>
    </row>
    <row r="91" spans="21:22" x14ac:dyDescent="0.3">
      <c r="U91" s="9"/>
      <c r="V91" s="8"/>
    </row>
    <row r="92" spans="21:22" x14ac:dyDescent="0.3">
      <c r="U92" s="9"/>
      <c r="V92" s="8"/>
    </row>
    <row r="93" spans="21:22" x14ac:dyDescent="0.3">
      <c r="U93" s="9"/>
      <c r="V93" s="8"/>
    </row>
    <row r="94" spans="21:22" x14ac:dyDescent="0.3">
      <c r="U94" s="209"/>
      <c r="V94" s="210"/>
    </row>
    <row r="95" spans="21:22" x14ac:dyDescent="0.3">
      <c r="U95" s="209"/>
      <c r="V95" s="210"/>
    </row>
    <row r="96" spans="21:22" x14ac:dyDescent="0.3">
      <c r="U96" s="9"/>
      <c r="V96" s="8"/>
    </row>
    <row r="97" spans="21:22" x14ac:dyDescent="0.3">
      <c r="U97" s="209"/>
      <c r="V97" s="210"/>
    </row>
    <row r="98" spans="21:22" x14ac:dyDescent="0.3">
      <c r="U98" s="9"/>
      <c r="V98" s="8"/>
    </row>
    <row r="99" spans="21:22" x14ac:dyDescent="0.3">
      <c r="U99" s="209"/>
      <c r="V99" s="210"/>
    </row>
    <row r="100" spans="21:22" x14ac:dyDescent="0.3">
      <c r="U100" s="9"/>
      <c r="V100" s="8"/>
    </row>
    <row r="101" spans="21:22" x14ac:dyDescent="0.3">
      <c r="U101" s="209"/>
      <c r="V101" s="210"/>
    </row>
    <row r="102" spans="21:22" x14ac:dyDescent="0.3">
      <c r="U102" s="209"/>
      <c r="V102" s="210"/>
    </row>
    <row r="103" spans="21:22" x14ac:dyDescent="0.3">
      <c r="U103" s="209"/>
      <c r="V103" s="210"/>
    </row>
    <row r="104" spans="21:22" x14ac:dyDescent="0.3">
      <c r="U104" s="209"/>
      <c r="V104" s="210"/>
    </row>
    <row r="105" spans="21:22" x14ac:dyDescent="0.3">
      <c r="U105" s="209"/>
      <c r="V105" s="210"/>
    </row>
    <row r="106" spans="21:22" x14ac:dyDescent="0.3">
      <c r="U106" s="9"/>
      <c r="V106" s="8"/>
    </row>
    <row r="107" spans="21:22" x14ac:dyDescent="0.3">
      <c r="U107" s="209"/>
      <c r="V107" s="210"/>
    </row>
    <row r="108" spans="21:22" x14ac:dyDescent="0.3">
      <c r="U108" s="209"/>
      <c r="V108" s="210"/>
    </row>
    <row r="109" spans="21:22" x14ac:dyDescent="0.3">
      <c r="U109" s="209"/>
      <c r="V109" s="210"/>
    </row>
    <row r="110" spans="21:22" x14ac:dyDescent="0.3">
      <c r="U110" s="209"/>
      <c r="V110" s="210"/>
    </row>
    <row r="111" spans="21:22" ht="15" thickBot="1" x14ac:dyDescent="0.35">
      <c r="U111" s="211"/>
      <c r="V111" s="212"/>
    </row>
    <row r="112" spans="21:22" x14ac:dyDescent="0.3">
      <c r="U112" s="206"/>
      <c r="V112" s="207"/>
    </row>
    <row r="113" spans="21:22" x14ac:dyDescent="0.3">
      <c r="U113" s="206"/>
      <c r="V113" s="207"/>
    </row>
    <row r="114" spans="21:22" x14ac:dyDescent="0.3">
      <c r="U114" s="206"/>
      <c r="V114" s="207"/>
    </row>
    <row r="116" spans="21:22" x14ac:dyDescent="0.3">
      <c r="U116" s="206"/>
      <c r="V116" s="207"/>
    </row>
    <row r="117" spans="21:22" x14ac:dyDescent="0.3">
      <c r="U117" s="206"/>
      <c r="V117" s="207"/>
    </row>
    <row r="118" spans="21:22" x14ac:dyDescent="0.3">
      <c r="U118" s="206"/>
      <c r="V118" s="207"/>
    </row>
    <row r="119" spans="21:22" x14ac:dyDescent="0.3">
      <c r="U119" s="206"/>
      <c r="V119" s="207"/>
    </row>
    <row r="120" spans="21:22" x14ac:dyDescent="0.3">
      <c r="U120" s="206"/>
      <c r="V120" s="207"/>
    </row>
    <row r="121" spans="21:22" x14ac:dyDescent="0.3">
      <c r="U121" s="206"/>
      <c r="V121" s="207"/>
    </row>
    <row r="122" spans="21:22" x14ac:dyDescent="0.3">
      <c r="U122" s="206"/>
      <c r="V122" s="207"/>
    </row>
    <row r="124" spans="21:22" x14ac:dyDescent="0.3">
      <c r="U124" s="206"/>
      <c r="V124" s="207"/>
    </row>
    <row r="125" spans="21:22" x14ac:dyDescent="0.3">
      <c r="U125" s="206"/>
      <c r="V125" s="207"/>
    </row>
    <row r="126" spans="21:22" x14ac:dyDescent="0.3">
      <c r="U126" s="206"/>
      <c r="V126" s="207"/>
    </row>
    <row r="127" spans="21:22" x14ac:dyDescent="0.3">
      <c r="U127" s="206"/>
      <c r="V127" s="207"/>
    </row>
    <row r="128" spans="21:22" x14ac:dyDescent="0.3">
      <c r="U128" s="206"/>
      <c r="V128" s="207"/>
    </row>
    <row r="129" spans="21:22" x14ac:dyDescent="0.3">
      <c r="U129" s="206"/>
      <c r="V129" s="207"/>
    </row>
    <row r="130" spans="21:22" x14ac:dyDescent="0.3">
      <c r="U130" s="206"/>
      <c r="V130" s="207"/>
    </row>
    <row r="131" spans="21:22" x14ac:dyDescent="0.3">
      <c r="U131" s="206"/>
      <c r="V131" s="207"/>
    </row>
    <row r="132" spans="21:22" x14ac:dyDescent="0.3">
      <c r="U132" s="206"/>
      <c r="V132" s="207"/>
    </row>
    <row r="134" spans="21:22" x14ac:dyDescent="0.3">
      <c r="U134" s="206"/>
      <c r="V134" s="207"/>
    </row>
    <row r="135" spans="21:22" x14ac:dyDescent="0.3">
      <c r="U135" s="206"/>
      <c r="V135" s="207"/>
    </row>
    <row r="136" spans="21:22" x14ac:dyDescent="0.3">
      <c r="U136" s="206"/>
      <c r="V136" s="207"/>
    </row>
    <row r="137" spans="21:22" x14ac:dyDescent="0.3">
      <c r="U137" s="206"/>
      <c r="V137" s="207"/>
    </row>
    <row r="138" spans="21:22" x14ac:dyDescent="0.3">
      <c r="U138" s="206"/>
      <c r="V138" s="207"/>
    </row>
    <row r="139" spans="21:22" x14ac:dyDescent="0.3">
      <c r="U139" s="206"/>
      <c r="V139" s="207"/>
    </row>
    <row r="171" spans="21:22" x14ac:dyDescent="0.3">
      <c r="U171" s="175"/>
      <c r="V171" s="173"/>
    </row>
    <row r="172" spans="21:22" x14ac:dyDescent="0.3">
      <c r="U172" s="175"/>
      <c r="V172" s="173"/>
    </row>
  </sheetData>
  <mergeCells count="24">
    <mergeCell ref="J18:J19"/>
    <mergeCell ref="K18:K19"/>
    <mergeCell ref="L18:L19"/>
    <mergeCell ref="B28:L28"/>
    <mergeCell ref="B29:L29"/>
    <mergeCell ref="J14:J15"/>
    <mergeCell ref="K14:K15"/>
    <mergeCell ref="L14:L15"/>
    <mergeCell ref="J16:J17"/>
    <mergeCell ref="K16:K17"/>
    <mergeCell ref="L16:L17"/>
    <mergeCell ref="J10:J11"/>
    <mergeCell ref="K10:K11"/>
    <mergeCell ref="L10:L11"/>
    <mergeCell ref="J12:J13"/>
    <mergeCell ref="K12:K13"/>
    <mergeCell ref="L12:L13"/>
    <mergeCell ref="Q1:V1"/>
    <mergeCell ref="J6:J7"/>
    <mergeCell ref="K6:K7"/>
    <mergeCell ref="L6:L7"/>
    <mergeCell ref="J8:J9"/>
    <mergeCell ref="K8:K9"/>
    <mergeCell ref="L8:L9"/>
  </mergeCells>
  <conditionalFormatting sqref="M23:M24 M21 L25:M26 L20:M20">
    <cfRule type="cellIs" dxfId="125" priority="15" operator="greaterThan">
      <formula>$L$3</formula>
    </cfRule>
  </conditionalFormatting>
  <conditionalFormatting sqref="L23:L24">
    <cfRule type="cellIs" dxfId="124" priority="14" operator="greaterThan">
      <formula>$L$3</formula>
    </cfRule>
  </conditionalFormatting>
  <conditionalFormatting sqref="M40:M41 L37:M37 M38 L42:M43">
    <cfRule type="cellIs" dxfId="123" priority="13" operator="greaterThan">
      <formula>$L$3</formula>
    </cfRule>
  </conditionalFormatting>
  <conditionalFormatting sqref="L40:L41">
    <cfRule type="cellIs" dxfId="122" priority="12" operator="greaterThan">
      <formula>$L$3</formula>
    </cfRule>
  </conditionalFormatting>
  <conditionalFormatting sqref="M6:M7">
    <cfRule type="cellIs" dxfId="121" priority="11" operator="greaterThan">
      <formula>$L$3</formula>
    </cfRule>
  </conditionalFormatting>
  <conditionalFormatting sqref="M10:M11">
    <cfRule type="cellIs" dxfId="120" priority="10" operator="greaterThan">
      <formula>$L$3</formula>
    </cfRule>
  </conditionalFormatting>
  <conditionalFormatting sqref="M14:M15">
    <cfRule type="cellIs" dxfId="119" priority="9" operator="greaterThan">
      <formula>$L$3</formula>
    </cfRule>
  </conditionalFormatting>
  <conditionalFormatting sqref="M18:M19">
    <cfRule type="cellIs" dxfId="118" priority="8" operator="greaterThan">
      <formula>$L$3</formula>
    </cfRule>
  </conditionalFormatting>
  <conditionalFormatting sqref="L6:L7">
    <cfRule type="cellIs" dxfId="117" priority="7" operator="greaterThan">
      <formula>$L$3</formula>
    </cfRule>
  </conditionalFormatting>
  <conditionalFormatting sqref="L8:L9">
    <cfRule type="cellIs" dxfId="116" priority="6" operator="greaterThan">
      <formula>$L$3</formula>
    </cfRule>
  </conditionalFormatting>
  <conditionalFormatting sqref="L10:L11">
    <cfRule type="cellIs" dxfId="115" priority="5" operator="greaterThan">
      <formula>$L$3</formula>
    </cfRule>
  </conditionalFormatting>
  <conditionalFormatting sqref="L12:L13">
    <cfRule type="cellIs" dxfId="114" priority="4" operator="greaterThan">
      <formula>$L$3</formula>
    </cfRule>
  </conditionalFormatting>
  <conditionalFormatting sqref="L14:L15">
    <cfRule type="cellIs" dxfId="113" priority="3" operator="greaterThan">
      <formula>$L$3</formula>
    </cfRule>
  </conditionalFormatting>
  <conditionalFormatting sqref="L16:L17">
    <cfRule type="cellIs" dxfId="112" priority="2" operator="greaterThan">
      <formula>$L$3</formula>
    </cfRule>
  </conditionalFormatting>
  <conditionalFormatting sqref="L18:L19">
    <cfRule type="cellIs" dxfId="111" priority="1" operator="greaterThan">
      <formula>$L$3</formula>
    </cfRule>
  </conditionalFormatting>
  <pageMargins left="0.2" right="0.2" top="0.75" bottom="0.75" header="0.3" footer="0.3"/>
  <pageSetup scale="92" orientation="landscape"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255"/>
  <sheetViews>
    <sheetView zoomScale="55" zoomScaleNormal="55" workbookViewId="0">
      <selection activeCell="A63" sqref="A63:H63"/>
    </sheetView>
  </sheetViews>
  <sheetFormatPr defaultRowHeight="14.4" x14ac:dyDescent="0.3"/>
  <cols>
    <col min="1" max="1" width="47.88671875" bestFit="1" customWidth="1"/>
    <col min="2" max="2" width="14.109375" customWidth="1"/>
    <col min="3" max="3" width="18.5546875" bestFit="1"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0.44140625" customWidth="1"/>
    <col min="12" max="12" width="14.5546875" customWidth="1"/>
    <col min="13" max="13" width="14.5546875" style="172" hidden="1" customWidth="1"/>
    <col min="14" max="14" width="14.5546875" hidden="1" customWidth="1"/>
    <col min="15" max="15" width="53.88671875" style="37" hidden="1" customWidth="1"/>
    <col min="16" max="17" width="14.5546875" style="37" hidden="1" customWidth="1"/>
    <col min="18" max="19" width="14.5546875" hidden="1" customWidth="1"/>
    <col min="20" max="20" width="53.88671875" hidden="1" customWidth="1"/>
    <col min="21" max="23" width="14.5546875" hidden="1" customWidth="1"/>
    <col min="24" max="24" width="53.88671875" hidden="1" customWidth="1"/>
    <col min="25" max="25" width="9.88671875" hidden="1" customWidth="1"/>
    <col min="26" max="26" width="53.88671875" hidden="1" customWidth="1"/>
    <col min="27" max="28" width="9.88671875" hidden="1" customWidth="1"/>
    <col min="29" max="30" width="9.109375" hidden="1" customWidth="1"/>
  </cols>
  <sheetData>
    <row r="1" spans="1:28" ht="15.75" thickBot="1" x14ac:dyDescent="0.3">
      <c r="M1" s="347" t="s">
        <v>0</v>
      </c>
      <c r="N1" s="348"/>
      <c r="O1" s="348"/>
      <c r="P1" s="348"/>
      <c r="Q1" s="348"/>
      <c r="R1" s="348"/>
      <c r="S1" s="348"/>
      <c r="T1" s="348"/>
      <c r="U1" s="348"/>
      <c r="V1" s="348"/>
      <c r="W1" s="348"/>
      <c r="X1" s="348"/>
      <c r="Y1" s="348"/>
      <c r="Z1" s="348"/>
      <c r="AA1" s="348"/>
      <c r="AB1" s="348"/>
    </row>
    <row r="2" spans="1:28" ht="30" x14ac:dyDescent="0.25">
      <c r="A2" s="2"/>
      <c r="B2" s="3"/>
      <c r="C2" s="3"/>
      <c r="D2" s="3"/>
      <c r="E2" s="3"/>
      <c r="F2" s="3"/>
      <c r="G2" s="4" t="s">
        <v>1</v>
      </c>
      <c r="H2" s="5" t="s">
        <v>2</v>
      </c>
      <c r="I2" s="6"/>
      <c r="J2" s="215"/>
      <c r="K2" s="6"/>
      <c r="M2" s="7">
        <v>41456</v>
      </c>
      <c r="N2" s="8"/>
      <c r="O2" s="9"/>
      <c r="P2" s="9"/>
      <c r="Q2" s="9"/>
      <c r="R2" s="8"/>
    </row>
    <row r="3" spans="1:28" ht="19.5" thickBot="1" x14ac:dyDescent="0.35">
      <c r="A3" s="10" t="s">
        <v>81</v>
      </c>
      <c r="B3" s="11"/>
      <c r="C3" s="8"/>
      <c r="D3" s="8"/>
      <c r="E3" s="8"/>
      <c r="F3" s="8"/>
      <c r="G3" s="12">
        <v>41474</v>
      </c>
      <c r="H3" s="13">
        <f>$M$5/26</f>
        <v>4.9450549450549455E-2</v>
      </c>
      <c r="I3" s="14"/>
      <c r="J3" s="216"/>
      <c r="K3" s="14"/>
      <c r="M3" s="15"/>
      <c r="N3" s="8"/>
      <c r="O3" s="9"/>
      <c r="P3" s="9"/>
      <c r="Q3" s="9"/>
      <c r="R3" s="8"/>
    </row>
    <row r="4" spans="1:28" ht="15.75" thickBot="1" x14ac:dyDescent="0.3">
      <c r="A4" s="16"/>
      <c r="B4" s="8"/>
      <c r="C4" s="8"/>
      <c r="D4" s="17"/>
      <c r="E4" s="8"/>
      <c r="F4" s="8"/>
      <c r="G4" s="18"/>
      <c r="H4" s="19"/>
      <c r="I4" s="8"/>
      <c r="J4" s="217"/>
      <c r="K4" s="8"/>
      <c r="M4" s="15">
        <f>G3-M2</f>
        <v>18</v>
      </c>
      <c r="N4" s="8"/>
      <c r="O4" s="9" t="s">
        <v>79</v>
      </c>
      <c r="P4" s="9"/>
      <c r="Q4" s="8"/>
      <c r="R4" s="8"/>
      <c r="T4" s="2" t="s">
        <v>78</v>
      </c>
      <c r="U4" s="3"/>
      <c r="V4" s="229"/>
      <c r="X4" s="2" t="s">
        <v>77</v>
      </c>
      <c r="Y4" s="3"/>
      <c r="Z4" s="3"/>
      <c r="AA4" s="3"/>
      <c r="AB4" s="229"/>
    </row>
    <row r="5" spans="1:28" ht="30.75" thickBot="1" x14ac:dyDescent="0.3">
      <c r="A5" s="20" t="s">
        <v>3</v>
      </c>
      <c r="B5" s="21" t="s">
        <v>4</v>
      </c>
      <c r="C5" s="21" t="s">
        <v>5</v>
      </c>
      <c r="D5" s="21" t="s">
        <v>6</v>
      </c>
      <c r="E5" s="22" t="s">
        <v>7</v>
      </c>
      <c r="F5" s="21" t="s">
        <v>8</v>
      </c>
      <c r="G5" s="23" t="s">
        <v>9</v>
      </c>
      <c r="H5" s="24" t="s">
        <v>69</v>
      </c>
      <c r="I5" s="25"/>
      <c r="J5" s="26" t="s">
        <v>10</v>
      </c>
      <c r="K5" s="26" t="s">
        <v>11</v>
      </c>
      <c r="M5" s="27">
        <f>M4/14</f>
        <v>1.2857142857142858</v>
      </c>
      <c r="N5" s="8"/>
      <c r="O5" t="s">
        <v>12</v>
      </c>
      <c r="P5" t="s">
        <v>13</v>
      </c>
      <c r="Q5" t="s">
        <v>14</v>
      </c>
      <c r="T5" s="16" t="s">
        <v>12</v>
      </c>
      <c r="U5" s="8" t="s">
        <v>13</v>
      </c>
      <c r="V5" s="19" t="s">
        <v>14</v>
      </c>
      <c r="X5" s="16" t="s">
        <v>12</v>
      </c>
      <c r="Y5" s="8" t="s">
        <v>13</v>
      </c>
      <c r="Z5" s="8" t="s">
        <v>12</v>
      </c>
      <c r="AA5" s="8" t="s">
        <v>14</v>
      </c>
      <c r="AB5" s="19"/>
    </row>
    <row r="6" spans="1:28" ht="15" x14ac:dyDescent="0.25">
      <c r="A6" s="28" t="s">
        <v>15</v>
      </c>
      <c r="B6" s="29">
        <f>P9</f>
        <v>14</v>
      </c>
      <c r="C6" s="30">
        <f t="shared" ref="C6:C12" si="0">Q9</f>
        <v>438.44000000000005</v>
      </c>
      <c r="D6" s="31">
        <v>1</v>
      </c>
      <c r="E6" s="30">
        <f t="shared" ref="E6:E12" si="1">C6*D6</f>
        <v>438.44000000000005</v>
      </c>
      <c r="F6" s="30">
        <f t="shared" ref="F6:F12" si="2">C6-E6</f>
        <v>0</v>
      </c>
      <c r="G6" s="32"/>
      <c r="H6" s="33"/>
      <c r="I6" s="34"/>
      <c r="J6" s="218"/>
      <c r="K6" s="35"/>
      <c r="M6" s="8"/>
      <c r="N6" s="8"/>
      <c r="O6" t="s">
        <v>71</v>
      </c>
      <c r="P6">
        <v>1</v>
      </c>
      <c r="Q6">
        <v>6794.5399999999972</v>
      </c>
      <c r="T6" s="16" t="s">
        <v>71</v>
      </c>
      <c r="U6" s="8">
        <f>Y6</f>
        <v>1</v>
      </c>
      <c r="V6" s="19">
        <f t="shared" ref="V6" si="3">AA6</f>
        <v>6794.5399999999972</v>
      </c>
      <c r="X6" s="16" t="s">
        <v>71</v>
      </c>
      <c r="Y6" s="8">
        <v>1</v>
      </c>
      <c r="Z6" s="8" t="s">
        <v>71</v>
      </c>
      <c r="AA6" s="8">
        <v>6794.5399999999972</v>
      </c>
      <c r="AB6" s="19"/>
    </row>
    <row r="7" spans="1:28" ht="15" x14ac:dyDescent="0.25">
      <c r="A7" s="38" t="s">
        <v>16</v>
      </c>
      <c r="B7" s="39">
        <f t="shared" ref="B7:B12" si="4">P10</f>
        <v>14</v>
      </c>
      <c r="C7" s="40">
        <f t="shared" si="0"/>
        <v>1243.7999999999995</v>
      </c>
      <c r="D7" s="41">
        <v>1</v>
      </c>
      <c r="E7" s="40">
        <f t="shared" si="1"/>
        <v>1243.7999999999995</v>
      </c>
      <c r="F7" s="40">
        <f t="shared" si="2"/>
        <v>0</v>
      </c>
      <c r="G7" s="32"/>
      <c r="H7" s="33"/>
      <c r="I7" s="34"/>
      <c r="J7" s="218"/>
      <c r="K7" s="35"/>
      <c r="M7" s="8"/>
      <c r="N7" s="8"/>
      <c r="O7" t="s">
        <v>24</v>
      </c>
      <c r="P7">
        <v>13</v>
      </c>
      <c r="Q7">
        <v>4020.5299999999997</v>
      </c>
      <c r="T7" s="16" t="s">
        <v>24</v>
      </c>
      <c r="U7" s="8">
        <f t="shared" ref="U7:U31" si="5">Y7</f>
        <v>13</v>
      </c>
      <c r="V7" s="19">
        <f t="shared" ref="V7:V31" si="6">AA7</f>
        <v>4020.5299999999997</v>
      </c>
      <c r="X7" s="16" t="s">
        <v>24</v>
      </c>
      <c r="Y7" s="8">
        <v>13</v>
      </c>
      <c r="Z7" s="8" t="s">
        <v>24</v>
      </c>
      <c r="AA7" s="8">
        <v>4020.5299999999997</v>
      </c>
      <c r="AB7" s="19"/>
    </row>
    <row r="8" spans="1:28" ht="15" x14ac:dyDescent="0.25">
      <c r="A8" s="38" t="s">
        <v>17</v>
      </c>
      <c r="B8" s="39">
        <f t="shared" si="4"/>
        <v>16</v>
      </c>
      <c r="C8" s="40">
        <f t="shared" si="0"/>
        <v>2057.1199999999994</v>
      </c>
      <c r="D8" s="41">
        <v>0.3</v>
      </c>
      <c r="E8" s="40">
        <f t="shared" si="1"/>
        <v>617.13599999999985</v>
      </c>
      <c r="F8" s="40">
        <f t="shared" si="2"/>
        <v>1439.9839999999995</v>
      </c>
      <c r="G8" s="32"/>
      <c r="H8" s="33"/>
      <c r="I8" s="34"/>
      <c r="J8" s="218"/>
      <c r="K8" s="35"/>
      <c r="M8" s="8"/>
      <c r="N8" s="8"/>
      <c r="O8" t="s">
        <v>76</v>
      </c>
      <c r="P8">
        <v>1</v>
      </c>
      <c r="Q8">
        <v>1238.4100000000003</v>
      </c>
      <c r="T8" s="16" t="s">
        <v>76</v>
      </c>
      <c r="U8" s="8">
        <f t="shared" si="5"/>
        <v>1</v>
      </c>
      <c r="V8" s="19">
        <f t="shared" si="6"/>
        <v>1238.4100000000003</v>
      </c>
      <c r="X8" s="16" t="s">
        <v>76</v>
      </c>
      <c r="Y8" s="8">
        <v>1</v>
      </c>
      <c r="Z8" s="8" t="s">
        <v>76</v>
      </c>
      <c r="AA8" s="8">
        <v>1238.4100000000003</v>
      </c>
      <c r="AB8" s="19"/>
    </row>
    <row r="9" spans="1:28" ht="15" x14ac:dyDescent="0.25">
      <c r="A9" s="38" t="s">
        <v>18</v>
      </c>
      <c r="B9" s="39">
        <f t="shared" si="4"/>
        <v>129</v>
      </c>
      <c r="C9" s="40">
        <f t="shared" si="0"/>
        <v>38447.400000000023</v>
      </c>
      <c r="D9" s="41">
        <v>1</v>
      </c>
      <c r="E9" s="40">
        <f t="shared" si="1"/>
        <v>38447.400000000023</v>
      </c>
      <c r="F9" s="40">
        <f t="shared" si="2"/>
        <v>0</v>
      </c>
      <c r="G9" s="32"/>
      <c r="H9" s="33"/>
      <c r="I9" s="34"/>
      <c r="J9" s="218"/>
      <c r="K9" s="35"/>
      <c r="M9" s="8"/>
      <c r="N9" s="8"/>
      <c r="O9" t="s">
        <v>15</v>
      </c>
      <c r="P9">
        <v>14</v>
      </c>
      <c r="Q9">
        <v>438.44000000000005</v>
      </c>
      <c r="T9" s="16" t="s">
        <v>15</v>
      </c>
      <c r="U9" s="8">
        <f t="shared" si="5"/>
        <v>14</v>
      </c>
      <c r="V9" s="19">
        <f t="shared" si="6"/>
        <v>438.44000000000005</v>
      </c>
      <c r="X9" s="16" t="s">
        <v>15</v>
      </c>
      <c r="Y9" s="8">
        <v>14</v>
      </c>
      <c r="Z9" s="8" t="s">
        <v>15</v>
      </c>
      <c r="AA9" s="8">
        <v>438.44000000000005</v>
      </c>
      <c r="AB9" s="19"/>
    </row>
    <row r="10" spans="1:28" ht="15" x14ac:dyDescent="0.25">
      <c r="A10" s="38" t="s">
        <v>19</v>
      </c>
      <c r="B10" s="39">
        <f t="shared" si="4"/>
        <v>20</v>
      </c>
      <c r="C10" s="40">
        <f t="shared" si="0"/>
        <v>8067.2999999999993</v>
      </c>
      <c r="D10" s="41">
        <v>0.3</v>
      </c>
      <c r="E10" s="40">
        <f t="shared" si="1"/>
        <v>2420.1899999999996</v>
      </c>
      <c r="F10" s="40">
        <f t="shared" si="2"/>
        <v>5647.11</v>
      </c>
      <c r="G10" s="32"/>
      <c r="H10" s="42"/>
      <c r="I10" s="43"/>
      <c r="J10" s="219"/>
      <c r="K10" s="44"/>
      <c r="L10" s="45"/>
      <c r="M10" s="8"/>
      <c r="N10" s="8"/>
      <c r="O10" s="38" t="s">
        <v>16</v>
      </c>
      <c r="P10">
        <v>14</v>
      </c>
      <c r="Q10">
        <v>1243.7999999999995</v>
      </c>
      <c r="T10" s="16" t="s">
        <v>16</v>
      </c>
      <c r="U10" s="8">
        <f t="shared" si="5"/>
        <v>14</v>
      </c>
      <c r="V10" s="19">
        <f t="shared" si="6"/>
        <v>1243.7999999999995</v>
      </c>
      <c r="X10" s="16" t="s">
        <v>16</v>
      </c>
      <c r="Y10" s="8">
        <v>14</v>
      </c>
      <c r="Z10" s="8" t="s">
        <v>16</v>
      </c>
      <c r="AA10" s="8">
        <v>1243.7999999999995</v>
      </c>
      <c r="AB10" s="19"/>
    </row>
    <row r="11" spans="1:28" ht="15" x14ac:dyDescent="0.25">
      <c r="A11" s="38" t="s">
        <v>20</v>
      </c>
      <c r="B11" s="39">
        <f t="shared" si="4"/>
        <v>602</v>
      </c>
      <c r="C11" s="40">
        <f t="shared" si="0"/>
        <v>149970.00999999975</v>
      </c>
      <c r="D11" s="41">
        <v>1</v>
      </c>
      <c r="E11" s="40">
        <f t="shared" si="1"/>
        <v>149970.00999999975</v>
      </c>
      <c r="F11" s="40">
        <f t="shared" si="2"/>
        <v>0</v>
      </c>
      <c r="G11" s="32"/>
      <c r="H11" s="42"/>
      <c r="I11" s="43"/>
      <c r="J11" s="219"/>
      <c r="K11" s="44"/>
      <c r="M11" s="8"/>
      <c r="N11" s="8"/>
      <c r="O11" t="s">
        <v>17</v>
      </c>
      <c r="P11">
        <v>16</v>
      </c>
      <c r="Q11">
        <v>2057.1199999999994</v>
      </c>
      <c r="T11" s="16" t="s">
        <v>17</v>
      </c>
      <c r="U11" s="8">
        <f t="shared" si="5"/>
        <v>16</v>
      </c>
      <c r="V11" s="19">
        <f t="shared" si="6"/>
        <v>2057.1199999999994</v>
      </c>
      <c r="X11" s="16" t="s">
        <v>17</v>
      </c>
      <c r="Y11" s="8">
        <v>16</v>
      </c>
      <c r="Z11" s="8" t="s">
        <v>17</v>
      </c>
      <c r="AA11" s="8">
        <v>2057.1199999999994</v>
      </c>
      <c r="AB11" s="19"/>
    </row>
    <row r="12" spans="1:28" ht="15" x14ac:dyDescent="0.25">
      <c r="A12" s="38" t="s">
        <v>21</v>
      </c>
      <c r="B12" s="39">
        <f t="shared" si="4"/>
        <v>70</v>
      </c>
      <c r="C12" s="40">
        <f t="shared" si="0"/>
        <v>19920.890000000003</v>
      </c>
      <c r="D12" s="41">
        <v>0.3</v>
      </c>
      <c r="E12" s="40">
        <f t="shared" si="1"/>
        <v>5976.2670000000007</v>
      </c>
      <c r="F12" s="40">
        <f t="shared" si="2"/>
        <v>13944.623000000003</v>
      </c>
      <c r="G12" s="32"/>
      <c r="H12" s="42"/>
      <c r="I12" s="43"/>
      <c r="J12" s="219"/>
      <c r="K12" s="44"/>
      <c r="M12" s="8"/>
      <c r="N12" s="8"/>
      <c r="O12" t="s">
        <v>18</v>
      </c>
      <c r="P12">
        <v>129</v>
      </c>
      <c r="Q12">
        <v>38447.400000000023</v>
      </c>
      <c r="T12" s="16" t="s">
        <v>18</v>
      </c>
      <c r="U12" s="8">
        <f t="shared" si="5"/>
        <v>129</v>
      </c>
      <c r="V12" s="19">
        <f t="shared" si="6"/>
        <v>38447.400000000023</v>
      </c>
      <c r="X12" s="16" t="s">
        <v>18</v>
      </c>
      <c r="Y12" s="8">
        <v>129</v>
      </c>
      <c r="Z12" s="8" t="s">
        <v>18</v>
      </c>
      <c r="AA12" s="8">
        <v>38447.400000000023</v>
      </c>
      <c r="AB12" s="19"/>
    </row>
    <row r="13" spans="1:28" ht="15" customHeight="1" thickBot="1" x14ac:dyDescent="0.3">
      <c r="A13" s="46" t="s">
        <v>22</v>
      </c>
      <c r="B13" s="47">
        <f>SUM(B6:B12)</f>
        <v>865</v>
      </c>
      <c r="C13" s="48">
        <f>SUM(C6:C12)</f>
        <v>220144.95999999979</v>
      </c>
      <c r="D13" s="49"/>
      <c r="E13" s="48">
        <f>SUM(E6:E12)</f>
        <v>199113.24299999975</v>
      </c>
      <c r="F13" s="50">
        <f>SUM(F6:F12)</f>
        <v>21031.717000000004</v>
      </c>
      <c r="G13" s="51">
        <v>2724921</v>
      </c>
      <c r="H13" s="52">
        <f>E13/G13</f>
        <v>7.3071198394375383E-2</v>
      </c>
      <c r="I13" s="53"/>
      <c r="J13" s="220">
        <f>(H13/H$3)*G$13</f>
        <v>4026512.2473333282</v>
      </c>
      <c r="K13" s="55">
        <f>J13-G13</f>
        <v>1301591.2473333282</v>
      </c>
      <c r="M13" s="8"/>
      <c r="N13" s="8"/>
      <c r="O13" t="s">
        <v>19</v>
      </c>
      <c r="P13">
        <v>20</v>
      </c>
      <c r="Q13">
        <v>8067.2999999999993</v>
      </c>
      <c r="T13" s="16" t="s">
        <v>19</v>
      </c>
      <c r="U13" s="8">
        <f>Y13</f>
        <v>20</v>
      </c>
      <c r="V13" s="19">
        <f t="shared" si="6"/>
        <v>8067.2999999999993</v>
      </c>
      <c r="X13" s="16" t="s">
        <v>19</v>
      </c>
      <c r="Y13" s="8">
        <v>20</v>
      </c>
      <c r="Z13" s="8" t="s">
        <v>19</v>
      </c>
      <c r="AA13" s="8">
        <v>8067.2999999999993</v>
      </c>
      <c r="AB13" s="19"/>
    </row>
    <row r="14" spans="1:28" ht="15" thickBot="1" x14ac:dyDescent="0.35">
      <c r="A14" s="57"/>
      <c r="B14" s="58"/>
      <c r="C14" s="59"/>
      <c r="D14" s="60"/>
      <c r="E14" s="59"/>
      <c r="F14" s="59"/>
      <c r="G14" s="61"/>
      <c r="H14" s="62"/>
      <c r="I14" s="63"/>
      <c r="J14" s="349"/>
      <c r="K14" s="338"/>
      <c r="M14" s="8"/>
      <c r="N14" s="8"/>
      <c r="O14" t="s">
        <v>20</v>
      </c>
      <c r="P14">
        <v>602</v>
      </c>
      <c r="Q14">
        <v>149970.00999999975</v>
      </c>
      <c r="T14" s="16" t="s">
        <v>20</v>
      </c>
      <c r="U14" s="8">
        <f t="shared" si="5"/>
        <v>602</v>
      </c>
      <c r="V14" s="19">
        <f t="shared" si="6"/>
        <v>149970.00999999975</v>
      </c>
      <c r="X14" s="16" t="s">
        <v>20</v>
      </c>
      <c r="Y14" s="8">
        <v>602</v>
      </c>
      <c r="Z14" s="8" t="s">
        <v>20</v>
      </c>
      <c r="AA14" s="8">
        <v>149970.00999999975</v>
      </c>
      <c r="AB14" s="19"/>
    </row>
    <row r="15" spans="1:28" x14ac:dyDescent="0.3">
      <c r="A15" s="65" t="s">
        <v>23</v>
      </c>
      <c r="B15" s="66">
        <f>P7</f>
        <v>13</v>
      </c>
      <c r="C15" s="67">
        <f t="shared" ref="C15:C16" si="7">Q7</f>
        <v>4020.5299999999997</v>
      </c>
      <c r="D15" s="68">
        <v>1</v>
      </c>
      <c r="E15" s="67">
        <f>C15*D15</f>
        <v>4020.5299999999997</v>
      </c>
      <c r="F15" s="67">
        <v>0</v>
      </c>
      <c r="G15" s="69"/>
      <c r="H15" s="70"/>
      <c r="I15" s="71"/>
      <c r="J15" s="339"/>
      <c r="K15" s="340"/>
      <c r="M15" s="8"/>
      <c r="N15" s="8"/>
      <c r="O15" t="s">
        <v>21</v>
      </c>
      <c r="P15">
        <v>70</v>
      </c>
      <c r="Q15">
        <v>19920.890000000003</v>
      </c>
      <c r="T15" s="16" t="s">
        <v>21</v>
      </c>
      <c r="U15" s="8">
        <f t="shared" si="5"/>
        <v>70</v>
      </c>
      <c r="V15" s="19">
        <f t="shared" si="6"/>
        <v>19920.890000000003</v>
      </c>
      <c r="X15" s="16" t="s">
        <v>21</v>
      </c>
      <c r="Y15" s="8">
        <v>70</v>
      </c>
      <c r="Z15" s="8" t="s">
        <v>21</v>
      </c>
      <c r="AA15" s="8">
        <v>19920.890000000003</v>
      </c>
      <c r="AB15" s="19"/>
    </row>
    <row r="16" spans="1:28" x14ac:dyDescent="0.3">
      <c r="A16" s="72" t="s">
        <v>25</v>
      </c>
      <c r="B16" s="39">
        <f t="shared" ref="B16" si="8">P8</f>
        <v>1</v>
      </c>
      <c r="C16" s="40">
        <f t="shared" si="7"/>
        <v>1238.4100000000003</v>
      </c>
      <c r="D16" s="73">
        <v>0.3</v>
      </c>
      <c r="E16" s="40">
        <f>C16*D16</f>
        <v>371.52300000000008</v>
      </c>
      <c r="F16" s="40">
        <f>C16-E16</f>
        <v>866.88700000000017</v>
      </c>
      <c r="G16" s="69"/>
      <c r="H16" s="70"/>
      <c r="I16" s="71"/>
      <c r="J16" s="341"/>
      <c r="K16" s="342"/>
      <c r="M16" s="8"/>
      <c r="N16" s="8"/>
      <c r="O16" s="16" t="s">
        <v>80</v>
      </c>
      <c r="P16">
        <v>31</v>
      </c>
      <c r="Q16">
        <v>15701.570000000003</v>
      </c>
      <c r="T16" s="16" t="s">
        <v>80</v>
      </c>
      <c r="U16" s="8">
        <f t="shared" si="5"/>
        <v>31</v>
      </c>
      <c r="V16" s="19">
        <f t="shared" si="6"/>
        <v>15701.570000000003</v>
      </c>
      <c r="X16" s="16" t="s">
        <v>80</v>
      </c>
      <c r="Y16" s="8">
        <v>31</v>
      </c>
      <c r="Z16" s="8" t="s">
        <v>80</v>
      </c>
      <c r="AA16" s="8">
        <v>15701.570000000003</v>
      </c>
      <c r="AB16" s="19"/>
    </row>
    <row r="17" spans="1:28" ht="15" customHeight="1" thickBot="1" x14ac:dyDescent="0.3">
      <c r="A17" s="74" t="s">
        <v>26</v>
      </c>
      <c r="B17" s="75">
        <f>SUM(B15:B16)</f>
        <v>14</v>
      </c>
      <c r="C17" s="76">
        <f>SUM(C15:C16)</f>
        <v>5258.9400000000005</v>
      </c>
      <c r="D17" s="77"/>
      <c r="E17" s="76">
        <f>SUM(E15:E16)</f>
        <v>4392.0529999999999</v>
      </c>
      <c r="F17" s="76">
        <f>F16</f>
        <v>866.88700000000017</v>
      </c>
      <c r="G17" s="78">
        <v>100000</v>
      </c>
      <c r="H17" s="79">
        <f>E17/G17</f>
        <v>4.3920529999999999E-2</v>
      </c>
      <c r="I17" s="80"/>
      <c r="J17" s="221">
        <f>(H17/H$3)*G$13</f>
        <v>2420195.0404577395</v>
      </c>
      <c r="K17" s="81">
        <f>J17-G17</f>
        <v>2320195.0404577395</v>
      </c>
      <c r="M17" s="8"/>
      <c r="N17" s="8"/>
      <c r="O17" t="s">
        <v>72</v>
      </c>
      <c r="P17">
        <v>152</v>
      </c>
      <c r="Q17">
        <v>34615.110000000022</v>
      </c>
      <c r="T17" s="16" t="s">
        <v>72</v>
      </c>
      <c r="U17" s="8">
        <f t="shared" si="5"/>
        <v>152</v>
      </c>
      <c r="V17" s="19">
        <f t="shared" si="6"/>
        <v>34615.110000000022</v>
      </c>
      <c r="X17" s="16" t="s">
        <v>72</v>
      </c>
      <c r="Y17" s="8">
        <v>152</v>
      </c>
      <c r="Z17" s="8" t="s">
        <v>72</v>
      </c>
      <c r="AA17" s="8">
        <v>34615.110000000022</v>
      </c>
      <c r="AB17" s="19"/>
    </row>
    <row r="18" spans="1:28" ht="15" thickBot="1" x14ac:dyDescent="0.35">
      <c r="A18" s="57"/>
      <c r="B18" s="82"/>
      <c r="C18" s="61"/>
      <c r="D18" s="83"/>
      <c r="E18" s="61"/>
      <c r="F18" s="61"/>
      <c r="G18" s="61"/>
      <c r="H18" s="62"/>
      <c r="I18" s="63"/>
      <c r="J18" s="349"/>
      <c r="K18" s="338"/>
      <c r="M18" s="8"/>
      <c r="N18" s="8"/>
      <c r="O18" t="s">
        <v>31</v>
      </c>
      <c r="P18">
        <v>56</v>
      </c>
      <c r="Q18">
        <v>14359.970000000001</v>
      </c>
      <c r="T18" s="16" t="s">
        <v>31</v>
      </c>
      <c r="U18" s="8">
        <f t="shared" si="5"/>
        <v>56</v>
      </c>
      <c r="V18" s="19">
        <f t="shared" si="6"/>
        <v>14359.970000000001</v>
      </c>
      <c r="X18" s="16" t="s">
        <v>31</v>
      </c>
      <c r="Y18" s="8">
        <v>56</v>
      </c>
      <c r="Z18" s="8" t="s">
        <v>31</v>
      </c>
      <c r="AA18" s="8">
        <v>14359.970000000001</v>
      </c>
      <c r="AB18" s="19"/>
    </row>
    <row r="19" spans="1:28" x14ac:dyDescent="0.3">
      <c r="A19" s="65" t="s">
        <v>27</v>
      </c>
      <c r="B19" s="66"/>
      <c r="C19" s="67"/>
      <c r="D19" s="68">
        <v>1</v>
      </c>
      <c r="E19" s="67">
        <f>C19*D19</f>
        <v>0</v>
      </c>
      <c r="F19" s="67">
        <v>0</v>
      </c>
      <c r="G19" s="69"/>
      <c r="H19" s="70"/>
      <c r="I19" s="71"/>
      <c r="J19" s="339"/>
      <c r="K19" s="340"/>
      <c r="M19" s="8"/>
      <c r="N19" s="8"/>
      <c r="O19" t="s">
        <v>73</v>
      </c>
      <c r="P19">
        <v>101</v>
      </c>
      <c r="Q19">
        <v>34280.800000000017</v>
      </c>
      <c r="T19" s="16" t="s">
        <v>73</v>
      </c>
      <c r="U19" s="8">
        <f t="shared" si="5"/>
        <v>101</v>
      </c>
      <c r="V19" s="19">
        <f t="shared" si="6"/>
        <v>34280.800000000017</v>
      </c>
      <c r="X19" s="16" t="s">
        <v>73</v>
      </c>
      <c r="Y19" s="8">
        <v>101</v>
      </c>
      <c r="Z19" s="8" t="s">
        <v>73</v>
      </c>
      <c r="AA19" s="8">
        <v>34280.800000000017</v>
      </c>
      <c r="AB19" s="19"/>
    </row>
    <row r="20" spans="1:28" x14ac:dyDescent="0.3">
      <c r="A20" s="72" t="s">
        <v>28</v>
      </c>
      <c r="B20" s="39">
        <f>P6</f>
        <v>1</v>
      </c>
      <c r="C20" s="40">
        <f>Q6</f>
        <v>6794.5399999999972</v>
      </c>
      <c r="D20" s="73">
        <v>0.3</v>
      </c>
      <c r="E20" s="40">
        <f>C20*D20</f>
        <v>2038.3619999999992</v>
      </c>
      <c r="F20" s="40">
        <f>C20-E20</f>
        <v>4756.1779999999981</v>
      </c>
      <c r="G20" s="69"/>
      <c r="H20" s="70"/>
      <c r="I20" s="71"/>
      <c r="J20" s="341"/>
      <c r="K20" s="342"/>
      <c r="M20" s="8"/>
      <c r="N20" s="8"/>
      <c r="O20" t="s">
        <v>74</v>
      </c>
      <c r="P20">
        <v>14</v>
      </c>
      <c r="Q20">
        <v>5501.24</v>
      </c>
      <c r="T20" s="16" t="s">
        <v>74</v>
      </c>
      <c r="U20" s="8">
        <f t="shared" si="5"/>
        <v>14</v>
      </c>
      <c r="V20" s="19">
        <f t="shared" si="6"/>
        <v>5501.24</v>
      </c>
      <c r="X20" s="16" t="s">
        <v>74</v>
      </c>
      <c r="Y20" s="8">
        <v>14</v>
      </c>
      <c r="Z20" s="8" t="s">
        <v>74</v>
      </c>
      <c r="AA20" s="8">
        <v>5501.24</v>
      </c>
      <c r="AB20" s="19"/>
    </row>
    <row r="21" spans="1:28" ht="15" customHeight="1" thickBot="1" x14ac:dyDescent="0.3">
      <c r="A21" s="74" t="s">
        <v>29</v>
      </c>
      <c r="B21" s="75">
        <f>SUM(B19:B20)</f>
        <v>1</v>
      </c>
      <c r="C21" s="76">
        <f>SUM(C19:C20)</f>
        <v>6794.5399999999972</v>
      </c>
      <c r="D21" s="77"/>
      <c r="E21" s="76">
        <f>SUM(E19:E20)</f>
        <v>2038.3619999999992</v>
      </c>
      <c r="F21" s="76">
        <f>F20</f>
        <v>4756.1779999999981</v>
      </c>
      <c r="G21" s="78">
        <v>100000</v>
      </c>
      <c r="H21" s="79">
        <f>E21/G21</f>
        <v>2.0383619999999991E-2</v>
      </c>
      <c r="I21" s="80"/>
      <c r="J21" s="221">
        <v>1210.4083079629038</v>
      </c>
      <c r="K21" s="81">
        <v>-399744.59169203712</v>
      </c>
      <c r="M21" s="8"/>
      <c r="N21" s="8"/>
      <c r="O21" t="s">
        <v>38</v>
      </c>
      <c r="P21">
        <v>259</v>
      </c>
      <c r="Q21">
        <v>41427.619999999995</v>
      </c>
      <c r="T21" s="16" t="s">
        <v>38</v>
      </c>
      <c r="U21" s="8">
        <f t="shared" si="5"/>
        <v>259</v>
      </c>
      <c r="V21" s="19">
        <f t="shared" si="6"/>
        <v>41427.619999999995</v>
      </c>
      <c r="X21" s="16" t="s">
        <v>38</v>
      </c>
      <c r="Y21" s="8">
        <v>259</v>
      </c>
      <c r="Z21" s="8" t="s">
        <v>38</v>
      </c>
      <c r="AA21" s="8">
        <v>41427.619999999995</v>
      </c>
      <c r="AB21" s="19"/>
    </row>
    <row r="22" spans="1:28" ht="15" thickBot="1" x14ac:dyDescent="0.35">
      <c r="A22" s="57"/>
      <c r="B22" s="82"/>
      <c r="C22" s="61"/>
      <c r="D22" s="83"/>
      <c r="E22" s="61"/>
      <c r="F22" s="61"/>
      <c r="G22" s="61"/>
      <c r="H22" s="62"/>
      <c r="I22" s="63"/>
      <c r="J22" s="349"/>
      <c r="K22" s="338"/>
      <c r="M22" s="8"/>
      <c r="N22" s="8"/>
      <c r="O22" t="s">
        <v>40</v>
      </c>
      <c r="P22">
        <v>30</v>
      </c>
      <c r="Q22">
        <v>14868.089999999995</v>
      </c>
      <c r="T22" s="16" t="s">
        <v>40</v>
      </c>
      <c r="U22" s="8">
        <f t="shared" si="5"/>
        <v>30</v>
      </c>
      <c r="V22" s="19">
        <f t="shared" si="6"/>
        <v>14868.089999999995</v>
      </c>
      <c r="X22" s="16" t="s">
        <v>40</v>
      </c>
      <c r="Y22" s="8">
        <v>30</v>
      </c>
      <c r="Z22" s="8" t="s">
        <v>40</v>
      </c>
      <c r="AA22" s="8">
        <v>14868.089999999995</v>
      </c>
      <c r="AB22" s="19"/>
    </row>
    <row r="23" spans="1:28" x14ac:dyDescent="0.3">
      <c r="A23" s="84" t="s">
        <v>30</v>
      </c>
      <c r="B23" s="85">
        <f>P17</f>
        <v>152</v>
      </c>
      <c r="C23" s="86">
        <f t="shared" ref="C23:C24" si="9">Q17</f>
        <v>34615.110000000022</v>
      </c>
      <c r="D23" s="87">
        <v>1</v>
      </c>
      <c r="E23" s="86">
        <f>C23*D23</f>
        <v>34615.110000000022</v>
      </c>
      <c r="F23" s="88"/>
      <c r="G23" s="89"/>
      <c r="H23" s="90"/>
      <c r="I23" s="91"/>
      <c r="J23" s="339"/>
      <c r="K23" s="340"/>
      <c r="M23" s="8"/>
      <c r="N23" s="8"/>
      <c r="O23" t="s">
        <v>58</v>
      </c>
      <c r="P23">
        <v>682</v>
      </c>
      <c r="Q23">
        <v>158585.64999999967</v>
      </c>
      <c r="T23" s="16" t="s">
        <v>58</v>
      </c>
      <c r="U23" s="8">
        <f t="shared" si="5"/>
        <v>682</v>
      </c>
      <c r="V23" s="19">
        <f t="shared" si="6"/>
        <v>158585.64999999967</v>
      </c>
      <c r="X23" s="16" t="s">
        <v>58</v>
      </c>
      <c r="Y23" s="8">
        <v>682</v>
      </c>
      <c r="Z23" s="8" t="s">
        <v>58</v>
      </c>
      <c r="AA23" s="8">
        <v>158585.64999999967</v>
      </c>
      <c r="AB23" s="19"/>
    </row>
    <row r="24" spans="1:28" x14ac:dyDescent="0.3">
      <c r="A24" s="84" t="s">
        <v>32</v>
      </c>
      <c r="B24" s="85">
        <f t="shared" ref="B24" si="10">P18</f>
        <v>56</v>
      </c>
      <c r="C24" s="93">
        <f t="shared" si="9"/>
        <v>14359.970000000001</v>
      </c>
      <c r="D24" s="94">
        <v>0.3</v>
      </c>
      <c r="E24" s="93">
        <f>C24*D24</f>
        <v>4307.991</v>
      </c>
      <c r="F24" s="95">
        <f>C24-E24</f>
        <v>10051.979000000001</v>
      </c>
      <c r="G24" s="96"/>
      <c r="H24" s="97"/>
      <c r="I24" s="91"/>
      <c r="J24" s="341"/>
      <c r="K24" s="342"/>
      <c r="M24" s="8"/>
      <c r="N24" s="8"/>
      <c r="O24" t="s">
        <v>43</v>
      </c>
      <c r="P24">
        <v>89</v>
      </c>
      <c r="Q24">
        <v>59511.899999999965</v>
      </c>
      <c r="T24" s="16" t="s">
        <v>43</v>
      </c>
      <c r="U24" s="8">
        <f t="shared" si="5"/>
        <v>89</v>
      </c>
      <c r="V24" s="19">
        <f t="shared" si="6"/>
        <v>59511.899999999965</v>
      </c>
      <c r="X24" s="16" t="s">
        <v>43</v>
      </c>
      <c r="Y24" s="8">
        <v>89</v>
      </c>
      <c r="Z24" s="8" t="s">
        <v>43</v>
      </c>
      <c r="AA24" s="8">
        <v>59511.899999999965</v>
      </c>
      <c r="AB24" s="19"/>
    </row>
    <row r="25" spans="1:28" ht="15" customHeight="1" thickBot="1" x14ac:dyDescent="0.3">
      <c r="A25" s="74" t="s">
        <v>33</v>
      </c>
      <c r="B25" s="75">
        <f>SUM(B23:B24)</f>
        <v>208</v>
      </c>
      <c r="C25" s="76">
        <f>SUM(C23:C24)</f>
        <v>48975.080000000024</v>
      </c>
      <c r="D25" s="77"/>
      <c r="E25" s="76">
        <f>SUM(E23:E24)</f>
        <v>38923.101000000024</v>
      </c>
      <c r="F25" s="76">
        <f>F24</f>
        <v>10051.979000000001</v>
      </c>
      <c r="G25" s="78">
        <v>750000</v>
      </c>
      <c r="H25" s="79">
        <f>E25/G25</f>
        <v>5.189746800000003E-2</v>
      </c>
      <c r="I25" s="80"/>
      <c r="J25" s="221">
        <f>(H25/H$3)*G$13</f>
        <v>2859755.8969783452</v>
      </c>
      <c r="K25" s="81">
        <f>J25-G25</f>
        <v>2109755.8969783452</v>
      </c>
      <c r="M25" s="8"/>
      <c r="N25" s="8"/>
      <c r="O25" t="s">
        <v>45</v>
      </c>
      <c r="P25">
        <v>112</v>
      </c>
      <c r="Q25">
        <v>72553.58</v>
      </c>
      <c r="T25" s="16" t="s">
        <v>45</v>
      </c>
      <c r="U25" s="8">
        <f t="shared" si="5"/>
        <v>112</v>
      </c>
      <c r="V25" s="19">
        <f t="shared" si="6"/>
        <v>72553.58</v>
      </c>
      <c r="X25" s="16" t="s">
        <v>45</v>
      </c>
      <c r="Y25" s="8">
        <v>112</v>
      </c>
      <c r="Z25" s="8" t="s">
        <v>45</v>
      </c>
      <c r="AA25" s="8">
        <v>72553.58</v>
      </c>
      <c r="AB25" s="19"/>
    </row>
    <row r="26" spans="1:28" ht="15" thickBot="1" x14ac:dyDescent="0.35">
      <c r="A26" s="57"/>
      <c r="B26" s="82"/>
      <c r="C26" s="61"/>
      <c r="D26" s="83"/>
      <c r="E26" s="61"/>
      <c r="F26" s="61"/>
      <c r="G26" s="61"/>
      <c r="H26" s="62"/>
      <c r="I26" s="63"/>
      <c r="J26" s="337"/>
      <c r="K26" s="350"/>
      <c r="M26" s="8"/>
      <c r="N26" s="8"/>
      <c r="O26" t="s">
        <v>48</v>
      </c>
      <c r="P26">
        <v>47</v>
      </c>
      <c r="Q26">
        <v>23080.719999999998</v>
      </c>
      <c r="T26" s="16" t="s">
        <v>48</v>
      </c>
      <c r="U26" s="8">
        <f>Y26</f>
        <v>47</v>
      </c>
      <c r="V26" s="19">
        <f t="shared" si="6"/>
        <v>23080.719999999998</v>
      </c>
      <c r="X26" s="16" t="s">
        <v>48</v>
      </c>
      <c r="Y26" s="8">
        <v>47</v>
      </c>
      <c r="Z26" s="8" t="s">
        <v>48</v>
      </c>
      <c r="AA26" s="8">
        <v>23080.719999999998</v>
      </c>
      <c r="AB26" s="19"/>
    </row>
    <row r="27" spans="1:28" x14ac:dyDescent="0.3">
      <c r="A27" s="65" t="s">
        <v>34</v>
      </c>
      <c r="B27" s="98">
        <f>P19</f>
        <v>101</v>
      </c>
      <c r="C27" s="99">
        <f t="shared" ref="C27:C28" si="11">Q19</f>
        <v>34280.800000000017</v>
      </c>
      <c r="D27" s="100">
        <v>1</v>
      </c>
      <c r="E27" s="101">
        <f>C27*D27</f>
        <v>34280.800000000017</v>
      </c>
      <c r="F27" s="101">
        <v>0</v>
      </c>
      <c r="G27" s="69"/>
      <c r="H27" s="70"/>
      <c r="I27" s="71"/>
      <c r="J27" s="351"/>
      <c r="K27" s="352"/>
      <c r="M27" s="8"/>
      <c r="N27" s="8"/>
      <c r="O27" t="s">
        <v>50</v>
      </c>
      <c r="P27">
        <v>15</v>
      </c>
      <c r="Q27">
        <v>3663.2799999999993</v>
      </c>
      <c r="T27" s="16" t="s">
        <v>50</v>
      </c>
      <c r="U27" s="8">
        <f t="shared" si="5"/>
        <v>15</v>
      </c>
      <c r="V27" s="19">
        <f t="shared" si="6"/>
        <v>3663.2799999999993</v>
      </c>
      <c r="X27" s="16" t="s">
        <v>50</v>
      </c>
      <c r="Y27" s="8">
        <v>15</v>
      </c>
      <c r="Z27" s="8" t="s">
        <v>50</v>
      </c>
      <c r="AA27" s="8">
        <v>3663.2799999999993</v>
      </c>
      <c r="AB27" s="19"/>
    </row>
    <row r="28" spans="1:28" x14ac:dyDescent="0.3">
      <c r="A28" s="72" t="s">
        <v>35</v>
      </c>
      <c r="B28" s="102">
        <f t="shared" ref="B28" si="12">P20</f>
        <v>14</v>
      </c>
      <c r="C28" s="103">
        <f t="shared" si="11"/>
        <v>5501.24</v>
      </c>
      <c r="D28" s="104">
        <v>0.3</v>
      </c>
      <c r="E28" s="105">
        <f>C28*D28</f>
        <v>1650.3719999999998</v>
      </c>
      <c r="F28" s="105">
        <f>C28-E28</f>
        <v>3850.8679999999999</v>
      </c>
      <c r="G28" s="69"/>
      <c r="H28" s="70"/>
      <c r="I28" s="71"/>
      <c r="J28" s="353"/>
      <c r="K28" s="354"/>
      <c r="M28" s="8"/>
      <c r="N28" s="8"/>
      <c r="O28" t="s">
        <v>60</v>
      </c>
      <c r="P28">
        <v>326</v>
      </c>
      <c r="Q28">
        <v>4210.7099999999928</v>
      </c>
      <c r="T28" s="16" t="s">
        <v>60</v>
      </c>
      <c r="U28" s="8">
        <f t="shared" si="5"/>
        <v>326</v>
      </c>
      <c r="V28" s="19">
        <f t="shared" si="6"/>
        <v>4210.7099999999928</v>
      </c>
      <c r="X28" s="16" t="s">
        <v>60</v>
      </c>
      <c r="Y28" s="8">
        <v>326</v>
      </c>
      <c r="Z28" s="8" t="s">
        <v>60</v>
      </c>
      <c r="AA28" s="8">
        <v>4210.7099999999928</v>
      </c>
      <c r="AB28" s="19"/>
    </row>
    <row r="29" spans="1:28" ht="15" customHeight="1" thickBot="1" x14ac:dyDescent="0.3">
      <c r="A29" s="74" t="s">
        <v>36</v>
      </c>
      <c r="B29" s="75">
        <f>SUM(B27:B28)</f>
        <v>115</v>
      </c>
      <c r="C29" s="76">
        <f>SUM(C27:C28)</f>
        <v>39782.040000000015</v>
      </c>
      <c r="D29" s="77"/>
      <c r="E29" s="76">
        <f>SUM(E27:E28)</f>
        <v>35931.17200000002</v>
      </c>
      <c r="F29" s="76">
        <f>F28</f>
        <v>3850.8679999999999</v>
      </c>
      <c r="G29" s="78">
        <v>429000</v>
      </c>
      <c r="H29" s="79">
        <f>E29/G29</f>
        <v>8.3755645687645736E-2</v>
      </c>
      <c r="I29" s="80"/>
      <c r="J29" s="221">
        <f>(H29/H$3)*G$13</f>
        <v>4615267.5822349116</v>
      </c>
      <c r="K29" s="81">
        <f>J29-G29</f>
        <v>4186267.5822349116</v>
      </c>
      <c r="M29" s="8"/>
      <c r="N29" s="8"/>
      <c r="O29" t="s">
        <v>53</v>
      </c>
      <c r="P29">
        <v>20</v>
      </c>
      <c r="Q29">
        <v>14766.119999999997</v>
      </c>
      <c r="T29" s="16" t="s">
        <v>53</v>
      </c>
      <c r="U29" s="8">
        <f t="shared" si="5"/>
        <v>20</v>
      </c>
      <c r="V29" s="19">
        <f t="shared" si="6"/>
        <v>14766.119999999997</v>
      </c>
      <c r="X29" s="16" t="s">
        <v>55</v>
      </c>
      <c r="Y29" s="8">
        <v>20</v>
      </c>
      <c r="Z29" s="8" t="s">
        <v>55</v>
      </c>
      <c r="AA29" s="8">
        <v>14766.119999999997</v>
      </c>
      <c r="AB29" s="19"/>
    </row>
    <row r="30" spans="1:28" ht="15" thickBot="1" x14ac:dyDescent="0.35">
      <c r="A30" s="57"/>
      <c r="B30" s="82"/>
      <c r="C30" s="61"/>
      <c r="D30" s="83"/>
      <c r="E30" s="61"/>
      <c r="F30" s="61"/>
      <c r="G30" s="61"/>
      <c r="H30" s="62"/>
      <c r="I30" s="63"/>
      <c r="J30" s="355"/>
      <c r="K30" s="338"/>
      <c r="M30" s="8"/>
      <c r="N30" s="8"/>
      <c r="O30" t="s">
        <v>55</v>
      </c>
      <c r="P30">
        <v>36</v>
      </c>
      <c r="Q30">
        <v>15300.619999999997</v>
      </c>
      <c r="T30" s="16" t="s">
        <v>55</v>
      </c>
      <c r="U30" s="8">
        <f t="shared" si="5"/>
        <v>36</v>
      </c>
      <c r="V30" s="19">
        <f t="shared" si="6"/>
        <v>15300.619999999997</v>
      </c>
      <c r="X30" s="16" t="s">
        <v>53</v>
      </c>
      <c r="Y30" s="8">
        <v>36</v>
      </c>
      <c r="Z30" s="8" t="s">
        <v>53</v>
      </c>
      <c r="AA30" s="8">
        <v>15300.619999999997</v>
      </c>
      <c r="AB30" s="19"/>
    </row>
    <row r="31" spans="1:28" ht="15" thickBot="1" x14ac:dyDescent="0.35">
      <c r="A31" s="106" t="s">
        <v>37</v>
      </c>
      <c r="B31" s="107">
        <f>P21</f>
        <v>259</v>
      </c>
      <c r="C31" s="108">
        <f t="shared" ref="C31:C32" si="13">Q21</f>
        <v>41427.619999999995</v>
      </c>
      <c r="D31" s="109">
        <v>1</v>
      </c>
      <c r="E31" s="110">
        <f>C31*D31</f>
        <v>41427.619999999995</v>
      </c>
      <c r="F31" s="111"/>
      <c r="G31" s="358"/>
      <c r="H31" s="360"/>
      <c r="I31" s="112"/>
      <c r="J31" s="339"/>
      <c r="K31" s="340"/>
      <c r="M31" s="8"/>
      <c r="N31" s="8"/>
      <c r="O31" t="s">
        <v>61</v>
      </c>
      <c r="P31">
        <v>2850</v>
      </c>
      <c r="Q31">
        <v>744625.41999999934</v>
      </c>
      <c r="T31" s="230" t="s">
        <v>61</v>
      </c>
      <c r="U31" s="8">
        <f t="shared" si="5"/>
        <v>2850</v>
      </c>
      <c r="V31" s="19">
        <f t="shared" si="6"/>
        <v>744625.41999999934</v>
      </c>
      <c r="X31" s="230" t="s">
        <v>61</v>
      </c>
      <c r="Y31" s="170">
        <v>2850</v>
      </c>
      <c r="Z31" s="170" t="s">
        <v>61</v>
      </c>
      <c r="AA31" s="170">
        <v>744625.41999999934</v>
      </c>
      <c r="AB31" s="231"/>
    </row>
    <row r="32" spans="1:28" x14ac:dyDescent="0.3">
      <c r="A32" s="114" t="s">
        <v>39</v>
      </c>
      <c r="B32" s="115">
        <f t="shared" ref="B32" si="14">P22</f>
        <v>30</v>
      </c>
      <c r="C32" s="64">
        <f t="shared" si="13"/>
        <v>14868.089999999995</v>
      </c>
      <c r="D32" s="116">
        <v>0.3</v>
      </c>
      <c r="E32" s="117">
        <f>C32*D32</f>
        <v>4460.4269999999979</v>
      </c>
      <c r="F32" s="118">
        <f>C32-E32</f>
        <v>10407.662999999997</v>
      </c>
      <c r="G32" s="359"/>
      <c r="H32" s="361"/>
      <c r="I32" s="112"/>
      <c r="J32" s="341"/>
      <c r="K32" s="342"/>
      <c r="M32" s="8"/>
      <c r="N32" s="8"/>
      <c r="O32" s="9"/>
      <c r="P32" s="9"/>
    </row>
    <row r="33" spans="1:17" ht="15" customHeight="1" thickBot="1" x14ac:dyDescent="0.3">
      <c r="A33" s="119" t="s">
        <v>41</v>
      </c>
      <c r="B33" s="120">
        <f>SUM(B31:B32)</f>
        <v>289</v>
      </c>
      <c r="C33" s="78">
        <f>SUM(C31:C32)</f>
        <v>56295.709999999992</v>
      </c>
      <c r="D33" s="121"/>
      <c r="E33" s="78">
        <f>SUM(E31:E32)</f>
        <v>45888.046999999991</v>
      </c>
      <c r="F33" s="78">
        <f>F32</f>
        <v>10407.662999999997</v>
      </c>
      <c r="G33" s="78">
        <v>1000000</v>
      </c>
      <c r="H33" s="79">
        <f>E33/G33</f>
        <v>4.5888046999999994E-2</v>
      </c>
      <c r="I33" s="80"/>
      <c r="J33" s="221">
        <f>(H33/H$3)*G$13</f>
        <v>2528613.0145900254</v>
      </c>
      <c r="K33" s="81">
        <f>J33-G33</f>
        <v>1528613.0145900254</v>
      </c>
      <c r="M33" s="8"/>
      <c r="N33" s="8"/>
      <c r="O33" s="9"/>
      <c r="P33" s="9"/>
    </row>
    <row r="34" spans="1:17" ht="15" thickBot="1" x14ac:dyDescent="0.35">
      <c r="A34" s="57"/>
      <c r="B34" s="82"/>
      <c r="C34" s="61"/>
      <c r="D34" s="83"/>
      <c r="E34" s="61"/>
      <c r="F34" s="61"/>
      <c r="G34" s="61"/>
      <c r="H34" s="62"/>
      <c r="I34" s="63"/>
      <c r="J34" s="337"/>
      <c r="K34" s="350"/>
      <c r="M34" s="8"/>
      <c r="N34" s="8"/>
      <c r="O34" s="9"/>
      <c r="P34" s="9"/>
    </row>
    <row r="35" spans="1:17" x14ac:dyDescent="0.3">
      <c r="A35" s="122" t="s">
        <v>42</v>
      </c>
      <c r="B35" s="123">
        <f>P24</f>
        <v>89</v>
      </c>
      <c r="C35" s="124">
        <f t="shared" ref="C35:C36" si="15">Q24</f>
        <v>59511.899999999965</v>
      </c>
      <c r="D35" s="125">
        <v>1</v>
      </c>
      <c r="E35" s="124">
        <f>C35*D35</f>
        <v>59511.899999999965</v>
      </c>
      <c r="F35" s="126"/>
      <c r="G35" s="362"/>
      <c r="H35" s="364"/>
      <c r="I35" s="127"/>
      <c r="J35" s="351"/>
      <c r="K35" s="352"/>
      <c r="M35" s="8"/>
      <c r="N35" s="8"/>
      <c r="O35" s="9"/>
      <c r="P35"/>
      <c r="Q35"/>
    </row>
    <row r="36" spans="1:17" x14ac:dyDescent="0.3">
      <c r="A36" s="129" t="s">
        <v>44</v>
      </c>
      <c r="B36" s="130">
        <f t="shared" ref="B36" si="16">P25</f>
        <v>112</v>
      </c>
      <c r="C36" s="131">
        <f t="shared" si="15"/>
        <v>72553.58</v>
      </c>
      <c r="D36" s="132">
        <v>0.3</v>
      </c>
      <c r="E36" s="131">
        <f>C36*D36</f>
        <v>21766.074000000001</v>
      </c>
      <c r="F36" s="133">
        <f>C36-E36</f>
        <v>50787.506000000001</v>
      </c>
      <c r="G36" s="363"/>
      <c r="H36" s="365"/>
      <c r="I36" s="127"/>
      <c r="J36" s="353"/>
      <c r="K36" s="354"/>
      <c r="M36" s="8"/>
      <c r="N36" s="8"/>
      <c r="O36" s="9"/>
      <c r="P36" s="9"/>
    </row>
    <row r="37" spans="1:17" ht="15" customHeight="1" thickBot="1" x14ac:dyDescent="0.3">
      <c r="A37" s="74" t="s">
        <v>46</v>
      </c>
      <c r="B37" s="120">
        <f>SUM(B35:B36)</f>
        <v>201</v>
      </c>
      <c r="C37" s="78">
        <f>SUM(C35:C36)</f>
        <v>132065.47999999998</v>
      </c>
      <c r="D37" s="121"/>
      <c r="E37" s="78">
        <f>SUM(E35:E36)</f>
        <v>81277.973999999958</v>
      </c>
      <c r="F37" s="78">
        <f>F36</f>
        <v>50787.506000000001</v>
      </c>
      <c r="G37" s="78">
        <v>450000</v>
      </c>
      <c r="H37" s="79">
        <f>E37/G37</f>
        <v>0.1806177199999999</v>
      </c>
      <c r="I37" s="80"/>
      <c r="J37" s="221">
        <f>(H37/H$3)*G$13</f>
        <v>9952751.2569357529</v>
      </c>
      <c r="K37" s="81">
        <f>J37-G37</f>
        <v>9502751.2569357529</v>
      </c>
      <c r="M37" s="8"/>
      <c r="N37" s="8"/>
      <c r="O37" s="9"/>
      <c r="P37" s="9"/>
    </row>
    <row r="38" spans="1:17" ht="15" thickBot="1" x14ac:dyDescent="0.35">
      <c r="A38" s="57"/>
      <c r="B38" s="82"/>
      <c r="C38" s="61"/>
      <c r="D38" s="83"/>
      <c r="E38" s="61"/>
      <c r="F38" s="61"/>
      <c r="G38" s="61"/>
      <c r="H38" s="62"/>
      <c r="I38" s="63"/>
      <c r="J38" s="337"/>
      <c r="K38" s="338"/>
      <c r="M38" s="8"/>
      <c r="N38" s="8"/>
      <c r="O38" s="9"/>
      <c r="P38" s="9"/>
    </row>
    <row r="39" spans="1:17" x14ac:dyDescent="0.3">
      <c r="A39" s="134" t="s">
        <v>47</v>
      </c>
      <c r="B39" s="98">
        <f>P26</f>
        <v>47</v>
      </c>
      <c r="C39" s="135">
        <f t="shared" ref="C39:C40" si="17">Q26</f>
        <v>23080.719999999998</v>
      </c>
      <c r="D39" s="136">
        <v>1</v>
      </c>
      <c r="E39" s="99">
        <f>C39*D39</f>
        <v>23080.719999999998</v>
      </c>
      <c r="F39" s="101"/>
      <c r="G39" s="343"/>
      <c r="H39" s="345"/>
      <c r="I39" s="91"/>
      <c r="J39" s="339"/>
      <c r="K39" s="340"/>
      <c r="M39" s="8"/>
      <c r="N39" s="8"/>
      <c r="O39" s="9"/>
      <c r="P39" s="9"/>
    </row>
    <row r="40" spans="1:17" x14ac:dyDescent="0.3">
      <c r="A40" s="138" t="s">
        <v>49</v>
      </c>
      <c r="B40" s="85">
        <f t="shared" ref="B40" si="18">P27</f>
        <v>15</v>
      </c>
      <c r="C40" s="93">
        <f t="shared" si="17"/>
        <v>3663.2799999999993</v>
      </c>
      <c r="D40" s="94">
        <v>0.3</v>
      </c>
      <c r="E40" s="139">
        <f>C40*D40</f>
        <v>1098.9839999999997</v>
      </c>
      <c r="F40" s="140">
        <f>C40-E40</f>
        <v>2564.2959999999994</v>
      </c>
      <c r="G40" s="344"/>
      <c r="H40" s="346"/>
      <c r="I40" s="91"/>
      <c r="J40" s="341"/>
      <c r="K40" s="342"/>
      <c r="M40" s="8"/>
      <c r="N40" s="8"/>
      <c r="O40" s="9"/>
      <c r="P40" s="9"/>
    </row>
    <row r="41" spans="1:17" ht="15" customHeight="1" thickBot="1" x14ac:dyDescent="0.3">
      <c r="A41" s="119" t="s">
        <v>51</v>
      </c>
      <c r="B41" s="120">
        <f>SUM(B39:B40)</f>
        <v>62</v>
      </c>
      <c r="C41" s="78">
        <f>SUM(C39:C40)</f>
        <v>26743.999999999996</v>
      </c>
      <c r="D41" s="121"/>
      <c r="E41" s="78">
        <f>SUM(E39:E40)</f>
        <v>24179.703999999998</v>
      </c>
      <c r="F41" s="78">
        <f>F40</f>
        <v>2564.2959999999994</v>
      </c>
      <c r="G41" s="78">
        <v>325000</v>
      </c>
      <c r="H41" s="79">
        <f>E41/G41</f>
        <v>7.4399089230769225E-2</v>
      </c>
      <c r="I41" s="80"/>
      <c r="J41" s="221">
        <f>(H41/H$3)*G$13</f>
        <v>4099684.2882105592</v>
      </c>
      <c r="K41" s="81">
        <f>J41-G41</f>
        <v>3774684.2882105592</v>
      </c>
      <c r="M41" s="8"/>
      <c r="N41" s="8"/>
      <c r="O41" s="9"/>
      <c r="P41" s="9"/>
    </row>
    <row r="42" spans="1:17" ht="15" thickBot="1" x14ac:dyDescent="0.35">
      <c r="A42" s="57"/>
      <c r="B42" s="82"/>
      <c r="C42" s="61"/>
      <c r="D42" s="83"/>
      <c r="E42" s="61"/>
      <c r="F42" s="61"/>
      <c r="G42" s="61"/>
      <c r="H42" s="62"/>
      <c r="I42" s="63"/>
      <c r="J42" s="337"/>
      <c r="K42" s="350"/>
      <c r="M42" s="8"/>
      <c r="N42" s="8"/>
      <c r="O42" s="9"/>
      <c r="P42" s="9"/>
    </row>
    <row r="43" spans="1:17" x14ac:dyDescent="0.3">
      <c r="A43" s="141" t="s">
        <v>52</v>
      </c>
      <c r="B43" s="123">
        <f>P29</f>
        <v>20</v>
      </c>
      <c r="C43" s="124">
        <f t="shared" ref="C43:C44" si="19">Q29</f>
        <v>14766.119999999997</v>
      </c>
      <c r="D43" s="109">
        <v>1</v>
      </c>
      <c r="E43" s="110">
        <f>C43*D43</f>
        <v>14766.119999999997</v>
      </c>
      <c r="F43" s="142"/>
      <c r="G43" s="362"/>
      <c r="H43" s="364"/>
      <c r="I43" s="127"/>
      <c r="J43" s="351"/>
      <c r="K43" s="352"/>
      <c r="M43" s="8"/>
      <c r="N43" s="8"/>
      <c r="O43" s="9"/>
      <c r="P43" s="9"/>
    </row>
    <row r="44" spans="1:17" x14ac:dyDescent="0.3">
      <c r="A44" s="129" t="s">
        <v>54</v>
      </c>
      <c r="B44" s="130">
        <f t="shared" ref="B44" si="20">P30</f>
        <v>36</v>
      </c>
      <c r="C44" s="131">
        <f t="shared" si="19"/>
        <v>15300.619999999997</v>
      </c>
      <c r="D44" s="116">
        <v>0.3</v>
      </c>
      <c r="E44" s="117">
        <f>C44*D44</f>
        <v>4590.1859999999988</v>
      </c>
      <c r="F44" s="97">
        <f>C44-E44</f>
        <v>10710.433999999997</v>
      </c>
      <c r="G44" s="363"/>
      <c r="H44" s="365"/>
      <c r="I44" s="127"/>
      <c r="J44" s="353"/>
      <c r="K44" s="354"/>
      <c r="M44" s="8"/>
      <c r="N44" s="8"/>
      <c r="O44" s="9"/>
      <c r="P44" s="9"/>
    </row>
    <row r="45" spans="1:17" ht="15" customHeight="1" thickBot="1" x14ac:dyDescent="0.3">
      <c r="A45" s="119" t="s">
        <v>56</v>
      </c>
      <c r="B45" s="120">
        <f>SUM(B43:B44)</f>
        <v>56</v>
      </c>
      <c r="C45" s="78">
        <f>SUM(C43:C44)</f>
        <v>30066.739999999994</v>
      </c>
      <c r="D45" s="121"/>
      <c r="E45" s="78">
        <f>SUM(E43:E44)</f>
        <v>19356.305999999997</v>
      </c>
      <c r="F45" s="78">
        <f>F44</f>
        <v>10710.433999999997</v>
      </c>
      <c r="G45" s="78">
        <v>300000</v>
      </c>
      <c r="H45" s="79">
        <f>E45/G45</f>
        <v>6.4521019999999984E-2</v>
      </c>
      <c r="I45" s="80"/>
      <c r="J45" s="221">
        <f>(H45/H$3)*G$13</f>
        <v>3555363.576197159</v>
      </c>
      <c r="K45" s="81">
        <f>J45-G45</f>
        <v>3255363.576197159</v>
      </c>
      <c r="M45" s="8"/>
      <c r="N45" s="8"/>
      <c r="O45" s="9"/>
      <c r="P45" s="9"/>
    </row>
    <row r="46" spans="1:17" ht="15" thickBot="1" x14ac:dyDescent="0.35">
      <c r="A46" s="57"/>
      <c r="B46" s="82"/>
      <c r="C46" s="61"/>
      <c r="D46" s="83"/>
      <c r="E46" s="61"/>
      <c r="F46" s="143"/>
      <c r="G46" s="61"/>
      <c r="H46" s="62"/>
      <c r="I46" s="63"/>
      <c r="J46" s="337"/>
      <c r="K46" s="338"/>
      <c r="M46" s="8"/>
      <c r="N46" s="8"/>
      <c r="O46" s="9"/>
      <c r="P46" s="9"/>
    </row>
    <row r="47" spans="1:17" x14ac:dyDescent="0.3">
      <c r="A47" s="141" t="s">
        <v>66</v>
      </c>
      <c r="B47" s="123"/>
      <c r="C47" s="124"/>
      <c r="D47" s="109">
        <v>1</v>
      </c>
      <c r="E47" s="110">
        <f>C47*D47</f>
        <v>0</v>
      </c>
      <c r="F47" s="142"/>
      <c r="G47" s="362"/>
      <c r="H47" s="364"/>
      <c r="I47" s="127"/>
      <c r="J47" s="370"/>
      <c r="K47" s="340"/>
      <c r="M47" s="8"/>
      <c r="N47" s="8"/>
      <c r="O47" s="9"/>
      <c r="P47" s="9"/>
    </row>
    <row r="48" spans="1:17" x14ac:dyDescent="0.3">
      <c r="A48" s="129" t="s">
        <v>67</v>
      </c>
      <c r="B48" s="130"/>
      <c r="C48" s="131"/>
      <c r="D48" s="116">
        <v>0.3</v>
      </c>
      <c r="E48" s="117">
        <f>C48*D48</f>
        <v>0</v>
      </c>
      <c r="F48" s="97">
        <f>C48-E48</f>
        <v>0</v>
      </c>
      <c r="G48" s="363"/>
      <c r="H48" s="365"/>
      <c r="I48" s="127"/>
      <c r="J48" s="370"/>
      <c r="K48" s="340"/>
      <c r="M48" s="8"/>
      <c r="N48" s="8"/>
      <c r="O48" s="9"/>
      <c r="P48" s="9"/>
    </row>
    <row r="49" spans="1:17" ht="15" customHeight="1" thickBot="1" x14ac:dyDescent="0.35">
      <c r="A49" s="119" t="s">
        <v>68</v>
      </c>
      <c r="B49" s="120">
        <f>SUM(B47:B48)</f>
        <v>0</v>
      </c>
      <c r="C49" s="78">
        <f>SUM(C47:C48)</f>
        <v>0</v>
      </c>
      <c r="D49" s="121"/>
      <c r="E49" s="78">
        <f>SUM(E47:E48)</f>
        <v>0</v>
      </c>
      <c r="F49" s="78">
        <f>F48</f>
        <v>0</v>
      </c>
      <c r="G49" s="78">
        <v>275000</v>
      </c>
      <c r="H49" s="79">
        <f>E49/G49</f>
        <v>0</v>
      </c>
      <c r="I49" s="80"/>
      <c r="J49" s="370"/>
      <c r="K49" s="340"/>
      <c r="M49" s="8"/>
      <c r="N49" s="8"/>
      <c r="O49" s="9"/>
      <c r="P49" s="9"/>
    </row>
    <row r="50" spans="1:17" ht="15" thickBot="1" x14ac:dyDescent="0.35">
      <c r="A50" s="57"/>
      <c r="B50" s="82"/>
      <c r="C50" s="61"/>
      <c r="D50" s="83"/>
      <c r="E50" s="61"/>
      <c r="F50" s="143"/>
      <c r="G50" s="61"/>
      <c r="H50" s="62"/>
      <c r="I50" s="63"/>
      <c r="J50" s="370"/>
      <c r="K50" s="340"/>
      <c r="M50" s="8"/>
      <c r="N50" s="8"/>
      <c r="O50" s="9"/>
      <c r="P50" s="9"/>
    </row>
    <row r="51" spans="1:17" ht="16.5" customHeight="1" x14ac:dyDescent="0.3">
      <c r="A51" s="106" t="s">
        <v>57</v>
      </c>
      <c r="B51" s="115">
        <f>P23</f>
        <v>682</v>
      </c>
      <c r="C51" s="64">
        <f>Q23</f>
        <v>158585.64999999967</v>
      </c>
      <c r="D51" s="116">
        <v>0.3</v>
      </c>
      <c r="E51" s="110">
        <f>C51*D51</f>
        <v>47575.694999999898</v>
      </c>
      <c r="F51" s="144">
        <f>C51-E51</f>
        <v>111009.95499999978</v>
      </c>
      <c r="G51" s="145"/>
      <c r="H51" s="146"/>
      <c r="I51" s="112"/>
      <c r="J51" s="341"/>
      <c r="K51" s="342"/>
      <c r="M51" s="8"/>
      <c r="N51" s="8"/>
      <c r="O51" s="9"/>
      <c r="P51" s="9"/>
    </row>
    <row r="52" spans="1:17" ht="15" customHeight="1" thickBot="1" x14ac:dyDescent="0.3">
      <c r="A52" s="119" t="s">
        <v>59</v>
      </c>
      <c r="B52" s="120">
        <f>B51</f>
        <v>682</v>
      </c>
      <c r="C52" s="78">
        <f>C51</f>
        <v>158585.64999999967</v>
      </c>
      <c r="D52" s="121"/>
      <c r="E52" s="78">
        <f>E51</f>
        <v>47575.694999999898</v>
      </c>
      <c r="F52" s="78">
        <f>F51</f>
        <v>111009.95499999978</v>
      </c>
      <c r="G52" s="78">
        <v>916667</v>
      </c>
      <c r="H52" s="79"/>
      <c r="I52" s="80"/>
      <c r="J52" s="221">
        <f>(H52/H$3)*G$13</f>
        <v>0</v>
      </c>
      <c r="K52" s="81">
        <f>J52-G52</f>
        <v>-916667</v>
      </c>
      <c r="M52" s="8"/>
      <c r="N52" s="8"/>
      <c r="O52" s="9"/>
      <c r="P52" s="9"/>
    </row>
    <row r="53" spans="1:17" ht="15" thickBot="1" x14ac:dyDescent="0.35">
      <c r="A53" s="57"/>
      <c r="B53" s="82"/>
      <c r="C53" s="61"/>
      <c r="D53" s="83"/>
      <c r="E53" s="61"/>
      <c r="F53" s="143"/>
      <c r="G53" s="61"/>
      <c r="H53" s="62"/>
      <c r="I53" s="63"/>
      <c r="J53" s="337"/>
      <c r="K53" s="350"/>
      <c r="M53" s="8"/>
      <c r="N53" s="8"/>
      <c r="O53" s="9"/>
      <c r="P53" s="9"/>
    </row>
    <row r="54" spans="1:17" ht="15" thickBot="1" x14ac:dyDescent="0.35">
      <c r="A54" s="147" t="s">
        <v>75</v>
      </c>
      <c r="B54" s="148">
        <f>P28</f>
        <v>326</v>
      </c>
      <c r="C54" s="54">
        <f>Q28</f>
        <v>4210.7099999999928</v>
      </c>
      <c r="D54" s="149">
        <v>1</v>
      </c>
      <c r="E54" s="54">
        <f>C54*D54</f>
        <v>4210.7099999999928</v>
      </c>
      <c r="F54" s="150"/>
      <c r="G54" s="151">
        <v>546455</v>
      </c>
      <c r="H54" s="152"/>
      <c r="I54" s="71"/>
      <c r="J54" s="351"/>
      <c r="K54" s="352"/>
      <c r="M54" s="8"/>
      <c r="N54" s="8"/>
      <c r="O54" s="9"/>
      <c r="P54" s="9"/>
    </row>
    <row r="55" spans="1:17" ht="15" thickBot="1" x14ac:dyDescent="0.35">
      <c r="A55" s="57"/>
      <c r="B55" s="82"/>
      <c r="C55" s="61"/>
      <c r="D55" s="60"/>
      <c r="E55" s="59"/>
      <c r="F55" s="144"/>
      <c r="G55" s="61"/>
      <c r="H55" s="62"/>
      <c r="I55" s="63"/>
      <c r="J55" s="366"/>
      <c r="K55" s="367"/>
      <c r="M55" s="8"/>
      <c r="N55" s="8"/>
      <c r="O55" s="9"/>
      <c r="P55" s="9"/>
    </row>
    <row r="56" spans="1:17" ht="15.75" thickBot="1" x14ac:dyDescent="0.3">
      <c r="A56" s="153" t="s">
        <v>7</v>
      </c>
      <c r="B56" s="154"/>
      <c r="C56" s="157"/>
      <c r="D56" s="156"/>
      <c r="E56" s="157">
        <f>SUM(E13,E17,E21,E25,E29,E33,E37,E41,E45,E49,E52,E54)</f>
        <v>502886.36699999962</v>
      </c>
      <c r="F56" s="157"/>
      <c r="G56" s="158">
        <f>SUM(G13:G54)</f>
        <v>7917043</v>
      </c>
      <c r="H56" s="159">
        <f>SUM(E56)/G56</f>
        <v>6.351946894819184E-2</v>
      </c>
      <c r="I56" s="160"/>
      <c r="J56" s="222">
        <f>(H56/H$3)*G56</f>
        <v>10169479.865999991</v>
      </c>
      <c r="K56" s="161">
        <f>J56-G56</f>
        <v>2252436.8659999911</v>
      </c>
      <c r="M56" s="8"/>
      <c r="N56" s="8"/>
      <c r="O56" s="9"/>
      <c r="P56" s="9"/>
    </row>
    <row r="57" spans="1:17" ht="15.75" thickBot="1" x14ac:dyDescent="0.3">
      <c r="A57" s="57"/>
      <c r="B57" s="82"/>
      <c r="C57" s="61"/>
      <c r="D57" s="83"/>
      <c r="E57" s="61"/>
      <c r="F57" s="143"/>
      <c r="G57" s="61"/>
      <c r="H57" s="62"/>
      <c r="I57" s="63"/>
      <c r="J57" s="223"/>
      <c r="K57" s="163"/>
      <c r="M57" s="8"/>
      <c r="N57" s="8"/>
      <c r="O57" s="9"/>
      <c r="P57" s="9"/>
    </row>
    <row r="58" spans="1:17" ht="15.75" thickBot="1" x14ac:dyDescent="0.3">
      <c r="A58" s="153" t="s">
        <v>8</v>
      </c>
      <c r="B58" s="154"/>
      <c r="C58" s="155"/>
      <c r="D58" s="156"/>
      <c r="E58" s="157"/>
      <c r="F58" s="157">
        <f>SUM(F13,F17,F21,F25,F29,F33,F37,F41,F45,F49,F52)</f>
        <v>226037.48299999977</v>
      </c>
      <c r="G58" s="158"/>
      <c r="H58" s="159"/>
      <c r="I58" s="160"/>
      <c r="J58" s="222">
        <f>(H58/H$3)*G58</f>
        <v>0</v>
      </c>
      <c r="K58" s="161">
        <f>J58-G58</f>
        <v>0</v>
      </c>
      <c r="M58" s="8"/>
      <c r="N58" s="8"/>
      <c r="O58" s="9"/>
      <c r="P58" s="9"/>
    </row>
    <row r="59" spans="1:17" ht="15.75" thickBot="1" x14ac:dyDescent="0.3">
      <c r="A59" s="57"/>
      <c r="B59" s="82"/>
      <c r="D59" s="83"/>
      <c r="E59" s="61"/>
      <c r="F59" s="143"/>
      <c r="G59" s="61"/>
      <c r="H59" s="62"/>
      <c r="I59" s="63"/>
      <c r="J59" s="223"/>
      <c r="K59" s="163"/>
      <c r="M59" s="8"/>
      <c r="N59" s="8"/>
      <c r="O59" s="9"/>
      <c r="P59" s="9"/>
    </row>
    <row r="60" spans="1:17" ht="15.75" thickBot="1" x14ac:dyDescent="0.3">
      <c r="A60" s="153" t="s">
        <v>61</v>
      </c>
      <c r="B60" s="154">
        <f>SUM(B13,B17,B21,B25,B29,B33,B37,B41,B45,B49,B52,B54)</f>
        <v>2819</v>
      </c>
      <c r="C60" s="155">
        <f>SUM(C13,C17,C21,C25,C29,C33,C37,C41,C45,C49,C52,C54)</f>
        <v>728923.84999999951</v>
      </c>
      <c r="D60" s="156"/>
      <c r="E60" s="157"/>
      <c r="F60" s="157">
        <f>SUM(E56:F59)</f>
        <v>728923.84999999939</v>
      </c>
      <c r="G60" s="158">
        <f>SUM(G56:G59)</f>
        <v>7917043</v>
      </c>
      <c r="H60" s="159">
        <f>SUM(C60)/G60</f>
        <v>9.2070214851681306E-2</v>
      </c>
      <c r="I60" s="160"/>
      <c r="J60" s="222">
        <f>(H60/H$3)*G60</f>
        <v>14740460.077777766</v>
      </c>
      <c r="K60" s="161">
        <f>J60-G60</f>
        <v>6823417.0777777657</v>
      </c>
      <c r="M60" s="8"/>
      <c r="N60" s="8"/>
      <c r="O60" s="9"/>
      <c r="P60" s="9"/>
    </row>
    <row r="61" spans="1:17" x14ac:dyDescent="0.3">
      <c r="C61" s="168"/>
      <c r="M61" s="8"/>
      <c r="N61" s="8"/>
      <c r="O61" s="9"/>
      <c r="P61" s="9"/>
    </row>
    <row r="62" spans="1:17" x14ac:dyDescent="0.3">
      <c r="B62" s="164"/>
      <c r="C62" s="165"/>
      <c r="D62" s="165"/>
      <c r="E62" s="165"/>
      <c r="F62" s="165"/>
      <c r="G62" s="165"/>
      <c r="H62" s="165"/>
      <c r="I62" s="165"/>
      <c r="J62" s="165"/>
      <c r="K62" s="165"/>
      <c r="M62" s="8"/>
      <c r="N62" s="8"/>
      <c r="O62" s="9"/>
      <c r="P62" s="9"/>
    </row>
    <row r="63" spans="1:17" x14ac:dyDescent="0.3">
      <c r="A63" s="335" t="s">
        <v>116</v>
      </c>
      <c r="B63" s="336"/>
      <c r="C63" s="336"/>
      <c r="D63" s="336"/>
      <c r="E63" s="336"/>
      <c r="F63" s="336"/>
      <c r="G63" s="336"/>
      <c r="H63" s="336"/>
      <c r="I63" s="228"/>
      <c r="J63" s="224"/>
      <c r="K63" s="228"/>
      <c r="M63" s="8"/>
      <c r="N63" s="8"/>
      <c r="O63" s="9"/>
      <c r="P63" s="9"/>
      <c r="Q63"/>
    </row>
    <row r="64" spans="1:17" x14ac:dyDescent="0.3">
      <c r="A64" s="336"/>
      <c r="B64" s="336"/>
      <c r="C64" s="336"/>
      <c r="D64" s="336"/>
      <c r="E64" s="336"/>
      <c r="F64" s="336"/>
      <c r="G64" s="336"/>
      <c r="H64" s="336"/>
      <c r="I64" s="228"/>
      <c r="J64" s="224"/>
      <c r="K64" s="228"/>
      <c r="L64" s="168"/>
      <c r="M64" s="8"/>
      <c r="N64" s="8"/>
      <c r="O64" s="9"/>
      <c r="P64" s="9"/>
    </row>
    <row r="65" spans="1:28" x14ac:dyDescent="0.3">
      <c r="M65" s="8"/>
      <c r="N65" s="8"/>
      <c r="O65" s="9"/>
      <c r="R65" s="8"/>
    </row>
    <row r="66" spans="1:28" ht="21" customHeight="1" x14ac:dyDescent="0.3">
      <c r="G66" s="168"/>
      <c r="M66" s="8"/>
      <c r="N66" s="8"/>
      <c r="O66" s="8"/>
      <c r="P66" s="8"/>
      <c r="Q66" s="8"/>
      <c r="R66" s="8"/>
    </row>
    <row r="67" spans="1:28" ht="21" customHeight="1" x14ac:dyDescent="0.3">
      <c r="G67"/>
      <c r="M67" s="8"/>
      <c r="N67" s="8"/>
      <c r="O67" s="8"/>
      <c r="P67" s="8"/>
      <c r="Q67" s="8"/>
      <c r="R67" s="8"/>
    </row>
    <row r="68" spans="1:28" s="173" customFormat="1" ht="39.75" customHeight="1" x14ac:dyDescent="0.3">
      <c r="A68"/>
      <c r="B68"/>
      <c r="C68"/>
      <c r="D68"/>
      <c r="E68"/>
      <c r="F68"/>
      <c r="G68" s="1"/>
      <c r="H68"/>
      <c r="I68"/>
      <c r="J68" s="214"/>
      <c r="K68"/>
      <c r="M68" s="8"/>
      <c r="N68" s="8"/>
      <c r="O68" s="8"/>
      <c r="P68" s="8"/>
      <c r="Q68" s="8"/>
      <c r="R68" s="8"/>
      <c r="T68"/>
      <c r="U68"/>
      <c r="V68"/>
      <c r="X68"/>
      <c r="Y68"/>
      <c r="Z68"/>
      <c r="AA68"/>
      <c r="AB68"/>
    </row>
    <row r="69" spans="1:28" s="173" customFormat="1" ht="39.75" hidden="1" customHeight="1" x14ac:dyDescent="0.25">
      <c r="A69" t="s">
        <v>62</v>
      </c>
      <c r="B69">
        <f t="shared" ref="B69:G69" si="21">SUM(B66:B68)</f>
        <v>0</v>
      </c>
      <c r="C69">
        <f t="shared" si="21"/>
        <v>0</v>
      </c>
      <c r="D69">
        <f t="shared" si="21"/>
        <v>0</v>
      </c>
      <c r="E69">
        <f t="shared" si="21"/>
        <v>0</v>
      </c>
      <c r="F69">
        <f t="shared" si="21"/>
        <v>0</v>
      </c>
      <c r="G69" s="1">
        <f t="shared" si="21"/>
        <v>0</v>
      </c>
      <c r="H69"/>
      <c r="I69"/>
      <c r="J69" s="214"/>
      <c r="K69"/>
      <c r="M69" s="172"/>
      <c r="O69" s="8"/>
      <c r="P69" s="8"/>
      <c r="Q69" s="8"/>
      <c r="R69"/>
      <c r="X69"/>
      <c r="Y69"/>
      <c r="Z69"/>
      <c r="AA69"/>
      <c r="AB69"/>
    </row>
    <row r="70" spans="1:28" ht="15" hidden="1" x14ac:dyDescent="0.25">
      <c r="O70" s="175"/>
      <c r="P70" s="175"/>
      <c r="T70" s="173"/>
      <c r="U70" s="173"/>
      <c r="V70" s="173"/>
      <c r="AB70" s="173"/>
    </row>
    <row r="71" spans="1:28" ht="15" hidden="1" x14ac:dyDescent="0.25">
      <c r="X71" s="173"/>
      <c r="Y71" s="173"/>
      <c r="Z71" s="173"/>
      <c r="AA71" s="173"/>
      <c r="AB71" s="173"/>
    </row>
    <row r="72" spans="1:2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c r="X72" s="173"/>
      <c r="Y72" s="173"/>
      <c r="Z72" s="173"/>
      <c r="AA72" s="173"/>
    </row>
    <row r="73" spans="1:28" ht="15" hidden="1" x14ac:dyDescent="0.25">
      <c r="A73" s="183"/>
      <c r="B73" s="184"/>
      <c r="C73" s="185"/>
      <c r="D73" s="185"/>
      <c r="E73" s="185"/>
      <c r="F73" s="185"/>
      <c r="G73" s="185"/>
      <c r="H73" s="185"/>
      <c r="I73" s="160"/>
      <c r="J73" s="226"/>
      <c r="K73" s="185"/>
    </row>
    <row r="74" spans="1:28" ht="15" hidden="1" x14ac:dyDescent="0.25"/>
    <row r="75" spans="1:2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2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2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28" ht="15" hidden="1" x14ac:dyDescent="0.25">
      <c r="A78" s="183"/>
      <c r="B78" s="184"/>
      <c r="C78" s="185"/>
      <c r="D78" s="185"/>
      <c r="E78" s="185"/>
      <c r="F78" s="185"/>
      <c r="G78" s="185"/>
      <c r="H78" s="160"/>
      <c r="I78" s="160"/>
      <c r="J78" s="226"/>
      <c r="K78" s="185"/>
    </row>
    <row r="79" spans="1:28" ht="15" hidden="1" x14ac:dyDescent="0.25">
      <c r="B79" s="164">
        <v>6196</v>
      </c>
      <c r="C79" s="1">
        <v>3871765.8300000052</v>
      </c>
      <c r="D79" s="1"/>
      <c r="E79" s="1"/>
      <c r="F79" s="1"/>
      <c r="G79" s="1">
        <v>7182150.0000000009</v>
      </c>
      <c r="H79" s="1"/>
      <c r="I79" s="1"/>
      <c r="J79" s="165">
        <v>7423408.4691351494</v>
      </c>
      <c r="K79" s="1">
        <v>241258.46913514897</v>
      </c>
    </row>
    <row r="80" spans="1:28" ht="15" hidden="1" x14ac:dyDescent="0.25"/>
    <row r="81" spans="1:21" ht="15" hidden="1" x14ac:dyDescent="0.25">
      <c r="C81" s="168"/>
      <c r="Q81"/>
    </row>
    <row r="82" spans="1:21" ht="15" hidden="1" x14ac:dyDescent="0.25">
      <c r="A82" s="204"/>
      <c r="B82" s="205"/>
    </row>
    <row r="83" spans="1:21" ht="15" hidden="1" x14ac:dyDescent="0.25"/>
    <row r="84" spans="1:21" ht="15" hidden="1" x14ac:dyDescent="0.25"/>
    <row r="85" spans="1:21" x14ac:dyDescent="0.3">
      <c r="M85" s="8"/>
      <c r="N85" s="8"/>
      <c r="R85" s="8"/>
      <c r="S85" s="8"/>
    </row>
    <row r="86" spans="1:21" x14ac:dyDescent="0.3">
      <c r="M86" s="8"/>
      <c r="N86" s="8"/>
      <c r="O86" s="8"/>
      <c r="P86" s="8"/>
      <c r="Q86" s="8"/>
      <c r="R86" s="8"/>
      <c r="S86" s="8"/>
      <c r="T86" s="8"/>
      <c r="U86" s="8"/>
    </row>
    <row r="87" spans="1:21" x14ac:dyDescent="0.3">
      <c r="M87" s="8"/>
      <c r="N87" s="8"/>
      <c r="O87" s="8"/>
      <c r="P87" s="8"/>
      <c r="Q87" s="8"/>
      <c r="R87" s="8"/>
      <c r="S87" s="8"/>
      <c r="T87" s="8"/>
      <c r="U87" s="8"/>
    </row>
    <row r="88" spans="1:21" x14ac:dyDescent="0.3">
      <c r="M88" s="8"/>
      <c r="N88" s="8"/>
      <c r="O88" s="8"/>
      <c r="P88" s="8"/>
      <c r="Q88" s="8"/>
      <c r="R88" s="8"/>
      <c r="S88" s="8"/>
      <c r="T88" s="8"/>
      <c r="U88" s="8"/>
    </row>
    <row r="89" spans="1:21" x14ac:dyDescent="0.3">
      <c r="M89" s="8"/>
      <c r="N89" s="8"/>
      <c r="O89" s="8"/>
      <c r="P89" s="8"/>
      <c r="Q89" s="8"/>
      <c r="R89" s="8"/>
      <c r="S89" s="8"/>
      <c r="T89" s="8"/>
      <c r="U89" s="8"/>
    </row>
    <row r="90" spans="1:21" x14ac:dyDescent="0.3">
      <c r="M90" s="8"/>
      <c r="N90" s="8"/>
      <c r="O90" s="8"/>
      <c r="P90" s="8"/>
      <c r="Q90" s="8"/>
      <c r="R90" s="8"/>
      <c r="S90" s="8"/>
      <c r="T90" s="8"/>
      <c r="U90" s="8"/>
    </row>
    <row r="91" spans="1:21" x14ac:dyDescent="0.3">
      <c r="M91" s="8"/>
      <c r="N91" s="8"/>
      <c r="O91" s="8"/>
      <c r="P91" s="8"/>
      <c r="Q91" s="8"/>
      <c r="R91" s="8"/>
      <c r="S91" s="8"/>
      <c r="T91" s="8"/>
      <c r="U91" s="8"/>
    </row>
    <row r="92" spans="1:21" x14ac:dyDescent="0.3">
      <c r="M92" s="8"/>
      <c r="N92" s="8"/>
      <c r="O92" s="8"/>
      <c r="P92" s="8"/>
      <c r="Q92" s="8"/>
      <c r="R92" s="8"/>
      <c r="S92" s="8"/>
      <c r="T92" s="8"/>
      <c r="U92" s="8"/>
    </row>
    <row r="93" spans="1:21" x14ac:dyDescent="0.3">
      <c r="M93" s="8"/>
      <c r="N93" s="8"/>
      <c r="O93" s="8"/>
      <c r="P93" s="8"/>
      <c r="Q93" s="8"/>
      <c r="R93" s="8"/>
      <c r="S93" s="8"/>
      <c r="T93" s="8"/>
      <c r="U93" s="8"/>
    </row>
    <row r="94" spans="1:21" x14ac:dyDescent="0.3">
      <c r="M94" s="8"/>
      <c r="N94" s="8"/>
      <c r="O94" s="8"/>
      <c r="P94" s="8"/>
      <c r="Q94" s="8"/>
      <c r="R94" s="8"/>
      <c r="S94" s="8"/>
      <c r="T94" s="8"/>
      <c r="U94" s="8"/>
    </row>
    <row r="95" spans="1:21" x14ac:dyDescent="0.3">
      <c r="M95" s="8"/>
      <c r="N95" s="8"/>
      <c r="O95" s="8"/>
      <c r="P95" s="8"/>
      <c r="Q95" s="8"/>
      <c r="R95" s="8"/>
      <c r="S95" s="8"/>
      <c r="T95" s="8"/>
      <c r="U95" s="8"/>
    </row>
    <row r="96" spans="1:21" x14ac:dyDescent="0.3">
      <c r="M96" s="8"/>
      <c r="N96" s="8"/>
      <c r="O96" s="8"/>
      <c r="P96" s="8"/>
      <c r="Q96" s="8"/>
      <c r="R96" s="8"/>
      <c r="S96" s="8"/>
      <c r="T96" s="8"/>
      <c r="U96" s="8"/>
    </row>
    <row r="97" spans="13:21" x14ac:dyDescent="0.3">
      <c r="M97" s="8"/>
      <c r="N97" s="8"/>
      <c r="O97" s="8"/>
      <c r="P97" s="8"/>
      <c r="Q97" s="8"/>
      <c r="R97" s="8"/>
      <c r="S97" s="8"/>
      <c r="T97" s="8"/>
      <c r="U97" s="8"/>
    </row>
    <row r="98" spans="13:21" x14ac:dyDescent="0.3">
      <c r="M98" s="8"/>
      <c r="N98" s="8"/>
      <c r="O98" s="8"/>
      <c r="P98" s="8"/>
      <c r="Q98" s="8"/>
      <c r="R98" s="8"/>
      <c r="S98" s="8"/>
      <c r="T98" s="8"/>
      <c r="U98" s="8"/>
    </row>
    <row r="99" spans="13:21" x14ac:dyDescent="0.3">
      <c r="M99" s="8"/>
      <c r="N99" s="8"/>
      <c r="O99" s="8"/>
      <c r="P99" s="8"/>
      <c r="Q99" s="8"/>
      <c r="R99" s="8"/>
      <c r="S99" s="8"/>
      <c r="T99" s="8"/>
      <c r="U99" s="8"/>
    </row>
    <row r="100" spans="13:21" x14ac:dyDescent="0.3">
      <c r="M100" s="8"/>
      <c r="N100" s="8"/>
      <c r="O100" s="8"/>
      <c r="P100" s="8"/>
      <c r="Q100" s="8"/>
      <c r="R100" s="8"/>
      <c r="S100" s="8"/>
      <c r="T100" s="8"/>
      <c r="U100" s="8"/>
    </row>
    <row r="101" spans="13:21" x14ac:dyDescent="0.3">
      <c r="M101" s="8"/>
      <c r="N101" s="8"/>
      <c r="O101" s="8"/>
      <c r="P101" s="8"/>
      <c r="Q101" s="8"/>
      <c r="R101" s="8"/>
      <c r="S101" s="8"/>
      <c r="T101" s="8"/>
      <c r="U101" s="8"/>
    </row>
    <row r="102" spans="13:21" x14ac:dyDescent="0.3">
      <c r="M102" s="8"/>
      <c r="N102" s="8"/>
      <c r="O102" s="8"/>
      <c r="P102" s="8"/>
      <c r="Q102" s="8"/>
      <c r="R102" s="8"/>
      <c r="S102" s="8"/>
      <c r="T102" s="8"/>
      <c r="U102" s="8"/>
    </row>
    <row r="103" spans="13:21" x14ac:dyDescent="0.3">
      <c r="M103" s="8"/>
      <c r="N103" s="8"/>
      <c r="O103" s="8"/>
      <c r="P103" s="8"/>
      <c r="Q103" s="8"/>
      <c r="R103" s="8"/>
      <c r="S103" s="8"/>
      <c r="T103" s="8"/>
      <c r="U103" s="8"/>
    </row>
    <row r="104" spans="13:21" x14ac:dyDescent="0.3">
      <c r="M104" s="8"/>
      <c r="N104" s="8"/>
      <c r="O104" s="8"/>
      <c r="P104" s="8"/>
      <c r="Q104" s="8"/>
      <c r="R104" s="8"/>
      <c r="S104" s="8"/>
      <c r="T104" s="8"/>
      <c r="U104" s="8"/>
    </row>
    <row r="105" spans="13:21" x14ac:dyDescent="0.3">
      <c r="M105" s="8"/>
      <c r="N105" s="8"/>
      <c r="O105" s="8"/>
      <c r="P105" s="8"/>
      <c r="Q105" s="8"/>
      <c r="R105" s="8"/>
      <c r="S105" s="8"/>
      <c r="T105" s="8"/>
      <c r="U105" s="8"/>
    </row>
    <row r="106" spans="13:21" x14ac:dyDescent="0.3">
      <c r="M106" s="8"/>
      <c r="N106" s="8"/>
      <c r="O106" s="8"/>
      <c r="P106" s="8"/>
      <c r="Q106" s="8"/>
      <c r="R106" s="8"/>
      <c r="S106" s="8"/>
      <c r="T106" s="8"/>
      <c r="U106" s="8"/>
    </row>
    <row r="107" spans="13:21" x14ac:dyDescent="0.3">
      <c r="M107" s="8"/>
      <c r="N107" s="8"/>
      <c r="O107" s="8"/>
      <c r="P107" s="8"/>
      <c r="Q107" s="8"/>
      <c r="R107" s="8"/>
      <c r="S107" s="8"/>
      <c r="T107" s="8"/>
      <c r="U107" s="8"/>
    </row>
    <row r="108" spans="13:21" x14ac:dyDescent="0.3">
      <c r="M108" s="8"/>
      <c r="N108" s="8"/>
      <c r="O108" s="8"/>
      <c r="P108" s="8"/>
      <c r="Q108" s="8"/>
      <c r="R108" s="8"/>
      <c r="S108" s="8"/>
      <c r="T108" s="8"/>
      <c r="U108" s="8"/>
    </row>
    <row r="109" spans="13:21" x14ac:dyDescent="0.3">
      <c r="M109" s="8"/>
      <c r="N109" s="8"/>
      <c r="O109" s="8"/>
      <c r="P109" s="8"/>
      <c r="Q109" s="8"/>
      <c r="R109" s="8"/>
      <c r="S109" s="8"/>
      <c r="T109" s="8"/>
      <c r="U109" s="8"/>
    </row>
    <row r="110" spans="13:21" x14ac:dyDescent="0.3">
      <c r="M110" s="8"/>
      <c r="N110" s="8"/>
      <c r="O110" s="8"/>
      <c r="P110" s="8"/>
      <c r="Q110" s="8"/>
      <c r="R110" s="8"/>
      <c r="S110" s="8"/>
      <c r="T110" s="8"/>
      <c r="U110" s="8"/>
    </row>
    <row r="111" spans="13:21" x14ac:dyDescent="0.3">
      <c r="M111" s="8"/>
      <c r="N111" s="8"/>
      <c r="O111" s="8"/>
      <c r="P111" s="8"/>
      <c r="Q111" s="8"/>
      <c r="R111" s="8"/>
      <c r="S111" s="8"/>
      <c r="T111" s="8"/>
      <c r="U111" s="8"/>
    </row>
    <row r="112" spans="13:21" x14ac:dyDescent="0.3">
      <c r="M112" s="8"/>
      <c r="N112" s="8"/>
      <c r="O112" s="8"/>
      <c r="P112" s="8"/>
      <c r="Q112" s="8"/>
      <c r="R112" s="8"/>
      <c r="S112" s="8"/>
      <c r="T112" s="8"/>
      <c r="U112" s="8"/>
    </row>
    <row r="113" spans="13:21" x14ac:dyDescent="0.3">
      <c r="M113" s="8"/>
      <c r="N113" s="8"/>
      <c r="O113" s="8"/>
      <c r="P113" s="8"/>
      <c r="Q113" s="8"/>
      <c r="R113" s="8"/>
      <c r="S113" s="8"/>
      <c r="T113" s="8"/>
      <c r="U113" s="8"/>
    </row>
    <row r="114" spans="13:21" x14ac:dyDescent="0.3">
      <c r="M114" s="8"/>
      <c r="N114" s="8"/>
      <c r="O114" s="8"/>
      <c r="P114" s="8"/>
      <c r="Q114" s="8"/>
      <c r="R114" s="8"/>
      <c r="S114" s="8"/>
      <c r="T114" s="8"/>
      <c r="U114" s="8"/>
    </row>
    <row r="115" spans="13:21" x14ac:dyDescent="0.3">
      <c r="M115" s="8"/>
      <c r="N115" s="8"/>
      <c r="O115" s="8"/>
      <c r="P115" s="8"/>
      <c r="Q115" s="8"/>
      <c r="R115" s="8"/>
      <c r="S115" s="8"/>
      <c r="T115" s="8"/>
      <c r="U115" s="8"/>
    </row>
    <row r="116" spans="13:21" x14ac:dyDescent="0.3">
      <c r="M116" s="8"/>
      <c r="N116" s="8"/>
      <c r="O116" s="8"/>
      <c r="P116" s="8"/>
      <c r="Q116" s="8"/>
      <c r="R116" s="8"/>
      <c r="S116" s="8"/>
      <c r="T116" s="8"/>
      <c r="U116" s="8"/>
    </row>
    <row r="117" spans="13:21" x14ac:dyDescent="0.3">
      <c r="M117" s="8"/>
      <c r="N117" s="8"/>
      <c r="O117" s="8"/>
      <c r="P117" s="8"/>
      <c r="Q117" s="8"/>
      <c r="R117" s="8"/>
      <c r="S117" s="8"/>
      <c r="T117" s="8"/>
      <c r="U117" s="8"/>
    </row>
    <row r="118" spans="13:21" x14ac:dyDescent="0.3">
      <c r="M118" s="8"/>
      <c r="N118" s="8"/>
      <c r="O118" s="8"/>
      <c r="P118" s="8"/>
      <c r="Q118" s="8"/>
      <c r="R118" s="8"/>
      <c r="S118" s="8"/>
      <c r="T118" s="8"/>
      <c r="U118" s="8"/>
    </row>
    <row r="119" spans="13:21" x14ac:dyDescent="0.3">
      <c r="M119" s="8"/>
      <c r="N119" s="8"/>
      <c r="O119" s="8"/>
      <c r="P119" s="8"/>
      <c r="Q119" s="8"/>
      <c r="R119" s="8"/>
      <c r="S119" s="8"/>
      <c r="T119" s="8"/>
      <c r="U119" s="8"/>
    </row>
    <row r="120" spans="13:21" x14ac:dyDescent="0.3">
      <c r="M120" s="8"/>
      <c r="N120" s="8"/>
      <c r="O120" s="8"/>
      <c r="P120" s="8"/>
      <c r="Q120" s="8"/>
      <c r="R120" s="8"/>
      <c r="S120" s="8"/>
      <c r="T120" s="8"/>
      <c r="U120" s="8"/>
    </row>
    <row r="121" spans="13:21" x14ac:dyDescent="0.3">
      <c r="M121" s="8"/>
      <c r="N121" s="8"/>
      <c r="O121" s="8"/>
      <c r="P121" s="8"/>
      <c r="Q121" s="8"/>
      <c r="R121" s="8"/>
      <c r="S121" s="8"/>
      <c r="T121" s="8"/>
      <c r="U121" s="8"/>
    </row>
    <row r="122" spans="13:21" x14ac:dyDescent="0.3">
      <c r="M122" s="8"/>
      <c r="N122" s="8"/>
      <c r="O122" s="8"/>
      <c r="P122" s="8"/>
      <c r="Q122" s="8"/>
      <c r="R122" s="8"/>
      <c r="S122" s="8"/>
      <c r="T122" s="8"/>
      <c r="U122" s="8"/>
    </row>
    <row r="123" spans="13:21" x14ac:dyDescent="0.3">
      <c r="M123" s="8"/>
      <c r="N123" s="8"/>
      <c r="O123" s="8"/>
      <c r="P123" s="8"/>
      <c r="Q123" s="8"/>
      <c r="R123" s="8"/>
      <c r="S123" s="8"/>
      <c r="T123" s="8"/>
      <c r="U123" s="8"/>
    </row>
    <row r="124" spans="13:21" x14ac:dyDescent="0.3">
      <c r="M124" s="8"/>
      <c r="N124" s="8"/>
      <c r="O124" s="8"/>
      <c r="P124" s="8"/>
      <c r="Q124" s="8"/>
      <c r="R124" s="8"/>
      <c r="S124" s="8"/>
      <c r="T124" s="8"/>
      <c r="U124" s="8"/>
    </row>
    <row r="125" spans="13:21" x14ac:dyDescent="0.3">
      <c r="M125" s="8"/>
      <c r="N125" s="8"/>
      <c r="O125" s="8"/>
      <c r="P125" s="8"/>
      <c r="Q125" s="8"/>
      <c r="R125" s="8"/>
      <c r="S125" s="8"/>
      <c r="T125" s="8"/>
      <c r="U125" s="8"/>
    </row>
    <row r="126" spans="13:21" x14ac:dyDescent="0.3">
      <c r="M126" s="8"/>
      <c r="N126" s="8"/>
      <c r="O126" s="8"/>
      <c r="P126" s="8"/>
      <c r="Q126" s="8"/>
      <c r="R126" s="8"/>
      <c r="S126" s="8"/>
      <c r="T126" s="8"/>
      <c r="U126" s="8"/>
    </row>
    <row r="127" spans="13:21" x14ac:dyDescent="0.3">
      <c r="M127" s="8"/>
      <c r="N127" s="8"/>
      <c r="O127" s="8"/>
      <c r="P127" s="8"/>
      <c r="Q127" s="8"/>
      <c r="R127" s="8"/>
      <c r="S127" s="8"/>
      <c r="T127" s="8"/>
      <c r="U127" s="8"/>
    </row>
    <row r="128" spans="13:21" x14ac:dyDescent="0.3">
      <c r="M128" s="8"/>
      <c r="N128" s="8"/>
      <c r="O128" s="8"/>
      <c r="P128" s="8"/>
      <c r="Q128" s="8"/>
      <c r="R128" s="8"/>
      <c r="S128" s="8"/>
      <c r="T128" s="8"/>
      <c r="U128" s="8"/>
    </row>
    <row r="129" spans="13:21" x14ac:dyDescent="0.3">
      <c r="M129" s="8"/>
      <c r="N129" s="8"/>
      <c r="O129" s="8"/>
      <c r="P129" s="8"/>
      <c r="Q129" s="8"/>
      <c r="R129" s="8"/>
      <c r="S129" s="8"/>
      <c r="T129" s="8"/>
      <c r="U129" s="8"/>
    </row>
    <row r="130" spans="13:21" x14ac:dyDescent="0.3">
      <c r="M130" s="8"/>
      <c r="N130" s="8"/>
      <c r="O130" s="8"/>
      <c r="P130" s="8"/>
      <c r="Q130" s="8"/>
      <c r="R130" s="8"/>
      <c r="S130" s="8"/>
      <c r="T130" s="8"/>
      <c r="U130" s="8"/>
    </row>
    <row r="131" spans="13:21" x14ac:dyDescent="0.3">
      <c r="M131" s="8"/>
      <c r="N131" s="8"/>
      <c r="O131" s="8"/>
      <c r="P131" s="8"/>
      <c r="Q131" s="8"/>
      <c r="R131" s="8"/>
      <c r="S131" s="8"/>
      <c r="T131" s="8"/>
      <c r="U131" s="8"/>
    </row>
    <row r="132" spans="13:21" x14ac:dyDescent="0.3">
      <c r="M132" s="8"/>
      <c r="N132" s="8"/>
      <c r="O132" s="8"/>
      <c r="P132" s="8"/>
      <c r="Q132" s="8"/>
      <c r="R132" s="8"/>
      <c r="S132" s="8"/>
      <c r="T132" s="8"/>
      <c r="U132" s="8"/>
    </row>
    <row r="133" spans="13:21" x14ac:dyDescent="0.3">
      <c r="M133" s="8"/>
      <c r="N133" s="8"/>
      <c r="O133" s="8"/>
      <c r="P133" s="8"/>
      <c r="Q133" s="8"/>
      <c r="R133" s="8"/>
      <c r="S133" s="8"/>
      <c r="T133" s="8"/>
      <c r="U133" s="8"/>
    </row>
    <row r="134" spans="13:21" x14ac:dyDescent="0.3">
      <c r="M134" s="8"/>
      <c r="N134" s="8"/>
      <c r="O134" s="8"/>
      <c r="P134" s="8"/>
      <c r="Q134" s="8"/>
      <c r="R134" s="8"/>
      <c r="S134" s="8"/>
      <c r="T134" s="8"/>
      <c r="U134" s="8"/>
    </row>
    <row r="135" spans="13:21" x14ac:dyDescent="0.3">
      <c r="M135" s="8"/>
      <c r="N135" s="8"/>
      <c r="O135" s="8"/>
      <c r="P135" s="8"/>
      <c r="Q135" s="8"/>
      <c r="R135" s="8"/>
      <c r="S135" s="8"/>
      <c r="T135" s="8"/>
      <c r="U135" s="8"/>
    </row>
    <row r="136" spans="13:21" x14ac:dyDescent="0.3">
      <c r="M136" s="8"/>
      <c r="N136" s="8"/>
      <c r="O136" s="8"/>
      <c r="P136" s="8"/>
      <c r="Q136" s="8"/>
      <c r="R136" s="8"/>
      <c r="S136" s="8"/>
      <c r="T136" s="8"/>
      <c r="U136" s="8"/>
    </row>
    <row r="137" spans="13:21" x14ac:dyDescent="0.3">
      <c r="M137" s="8"/>
      <c r="N137" s="8"/>
      <c r="O137" s="8"/>
      <c r="P137" s="8"/>
      <c r="Q137" s="8"/>
      <c r="R137" s="8"/>
      <c r="S137" s="8"/>
      <c r="T137" s="8"/>
      <c r="U137" s="8"/>
    </row>
    <row r="138" spans="13:21" x14ac:dyDescent="0.3">
      <c r="M138" s="8"/>
      <c r="N138" s="8"/>
      <c r="O138" s="8"/>
      <c r="P138" s="8"/>
      <c r="Q138" s="8"/>
      <c r="R138" s="8"/>
      <c r="S138" s="8"/>
      <c r="T138" s="8"/>
      <c r="U138" s="8"/>
    </row>
    <row r="139" spans="13:21" x14ac:dyDescent="0.3">
      <c r="M139" s="8"/>
      <c r="N139" s="8"/>
      <c r="O139" s="8"/>
      <c r="P139" s="8"/>
      <c r="Q139" s="8"/>
      <c r="R139" s="8"/>
      <c r="S139" s="8"/>
      <c r="T139" s="8"/>
      <c r="U139" s="8"/>
    </row>
    <row r="140" spans="13:21" x14ac:dyDescent="0.3">
      <c r="M140" s="8"/>
      <c r="N140" s="8"/>
      <c r="O140" s="8"/>
      <c r="P140" s="8"/>
      <c r="Q140" s="8"/>
      <c r="R140" s="8"/>
      <c r="S140" s="8"/>
      <c r="T140" s="8"/>
      <c r="U140" s="8"/>
    </row>
    <row r="141" spans="13:21" x14ac:dyDescent="0.3">
      <c r="M141" s="8"/>
      <c r="N141" s="8"/>
      <c r="O141" s="8"/>
      <c r="P141" s="8"/>
      <c r="Q141" s="8"/>
      <c r="R141" s="8"/>
      <c r="S141" s="8"/>
      <c r="T141" s="8"/>
      <c r="U141" s="8"/>
    </row>
    <row r="142" spans="13:21" x14ac:dyDescent="0.3">
      <c r="M142" s="8"/>
      <c r="N142" s="8"/>
      <c r="O142" s="8"/>
      <c r="P142" s="8"/>
      <c r="Q142" s="8"/>
      <c r="R142" s="8"/>
      <c r="S142" s="8"/>
      <c r="T142" s="8"/>
      <c r="U142" s="8"/>
    </row>
    <row r="143" spans="13:21" x14ac:dyDescent="0.3">
      <c r="M143" s="8"/>
      <c r="N143" s="8"/>
      <c r="O143" s="8"/>
      <c r="P143" s="8"/>
      <c r="Q143" s="8"/>
      <c r="R143" s="8">
        <f>SUM(R31:R140)</f>
        <v>0</v>
      </c>
      <c r="S143" s="8"/>
      <c r="T143" s="8"/>
      <c r="U143" s="8"/>
    </row>
    <row r="144" spans="13:21" x14ac:dyDescent="0.3">
      <c r="M144" s="8"/>
      <c r="N144" s="8"/>
      <c r="O144" s="8"/>
      <c r="P144" s="8"/>
      <c r="Q144" s="8"/>
      <c r="R144" s="8"/>
      <c r="S144" s="8"/>
      <c r="T144" s="8"/>
      <c r="U144" s="8"/>
    </row>
    <row r="145" spans="13:21" x14ac:dyDescent="0.3">
      <c r="M145" s="8"/>
      <c r="N145" s="8"/>
      <c r="O145" s="8"/>
      <c r="P145" s="8"/>
      <c r="Q145" s="8"/>
      <c r="R145" s="8"/>
      <c r="S145" s="8"/>
      <c r="T145" s="8"/>
      <c r="U145" s="8"/>
    </row>
    <row r="146" spans="13:21" x14ac:dyDescent="0.3">
      <c r="M146" s="8"/>
      <c r="N146" s="8"/>
      <c r="O146" s="8"/>
      <c r="P146" s="8"/>
      <c r="Q146" s="8"/>
      <c r="R146" s="8"/>
      <c r="S146" s="8"/>
      <c r="T146" s="8"/>
      <c r="U146" s="8"/>
    </row>
    <row r="147" spans="13:21" x14ac:dyDescent="0.3">
      <c r="M147" s="8"/>
      <c r="N147" s="8"/>
      <c r="O147" s="8"/>
      <c r="P147" s="8"/>
      <c r="Q147" s="8"/>
      <c r="R147" s="8"/>
      <c r="S147" s="8"/>
      <c r="T147" s="8"/>
      <c r="U147" s="8"/>
    </row>
    <row r="148" spans="13:21" x14ac:dyDescent="0.3">
      <c r="M148" s="8"/>
      <c r="N148" s="8"/>
      <c r="O148" s="8"/>
      <c r="P148" s="8"/>
      <c r="Q148" s="8"/>
      <c r="R148" s="8"/>
      <c r="S148" s="8"/>
      <c r="T148" s="8"/>
      <c r="U148" s="8"/>
    </row>
    <row r="149" spans="13:21" x14ac:dyDescent="0.3">
      <c r="M149" s="8"/>
      <c r="N149" s="8"/>
      <c r="O149" s="8"/>
      <c r="P149" s="8"/>
      <c r="Q149" s="8"/>
      <c r="R149" s="8"/>
      <c r="S149" s="8"/>
      <c r="T149" s="8"/>
      <c r="U149" s="8"/>
    </row>
    <row r="150" spans="13:21" x14ac:dyDescent="0.3">
      <c r="M150" s="8"/>
      <c r="N150" s="8"/>
      <c r="O150" s="8"/>
      <c r="P150" s="8"/>
      <c r="Q150" s="8"/>
      <c r="R150" s="8"/>
      <c r="S150" s="8"/>
      <c r="T150" s="8"/>
      <c r="U150" s="8"/>
    </row>
    <row r="151" spans="13:21" x14ac:dyDescent="0.3">
      <c r="M151" s="8"/>
      <c r="N151" s="8"/>
      <c r="O151" s="8"/>
      <c r="P151" s="8"/>
      <c r="Q151" s="8"/>
      <c r="R151" s="8"/>
      <c r="S151" s="8"/>
      <c r="T151" s="8"/>
      <c r="U151" s="8"/>
    </row>
    <row r="152" spans="13:21" x14ac:dyDescent="0.3">
      <c r="M152" s="8"/>
      <c r="N152" s="8"/>
      <c r="O152" s="8"/>
      <c r="P152" s="8"/>
      <c r="Q152" s="8"/>
      <c r="R152" s="8"/>
      <c r="S152" s="8"/>
      <c r="T152" s="8"/>
      <c r="U152" s="8"/>
    </row>
    <row r="153" spans="13:21" x14ac:dyDescent="0.3">
      <c r="M153" s="8"/>
      <c r="N153" s="8"/>
      <c r="O153" s="8"/>
      <c r="P153" s="8"/>
      <c r="Q153" s="8"/>
      <c r="R153" s="8"/>
      <c r="S153" s="8"/>
      <c r="T153" s="8"/>
      <c r="U153" s="8"/>
    </row>
    <row r="154" spans="13:21" x14ac:dyDescent="0.3">
      <c r="M154" s="8"/>
      <c r="N154" s="8"/>
      <c r="O154" s="8"/>
      <c r="P154" s="8"/>
      <c r="Q154" s="8"/>
      <c r="R154" s="8"/>
      <c r="S154" s="8"/>
      <c r="T154" s="8"/>
      <c r="U154" s="8"/>
    </row>
    <row r="155" spans="13:21" x14ac:dyDescent="0.3">
      <c r="M155" s="8"/>
      <c r="N155" s="8"/>
      <c r="O155" s="8"/>
      <c r="P155" s="8"/>
      <c r="Q155" s="8"/>
      <c r="R155" s="8"/>
      <c r="S155" s="8"/>
      <c r="T155" s="8"/>
      <c r="U155" s="8"/>
    </row>
    <row r="156" spans="13:21" x14ac:dyDescent="0.3">
      <c r="M156" s="8"/>
      <c r="N156" s="8"/>
      <c r="O156" s="8"/>
      <c r="P156" s="8"/>
      <c r="Q156" s="8"/>
      <c r="R156" s="8"/>
      <c r="S156" s="8"/>
      <c r="T156" s="8"/>
      <c r="U156" s="8"/>
    </row>
    <row r="157" spans="13:21" x14ac:dyDescent="0.3">
      <c r="M157" s="8"/>
      <c r="N157" s="8"/>
      <c r="O157" s="8"/>
      <c r="P157" s="8"/>
      <c r="Q157" s="8"/>
      <c r="R157" s="8"/>
      <c r="S157" s="8"/>
      <c r="T157" s="8"/>
      <c r="U157" s="8"/>
    </row>
    <row r="158" spans="13:21" x14ac:dyDescent="0.3">
      <c r="M158" s="8"/>
      <c r="N158" s="8"/>
      <c r="O158" s="8"/>
      <c r="P158" s="8"/>
      <c r="Q158" s="8"/>
      <c r="R158" s="8"/>
      <c r="S158" s="8"/>
      <c r="T158" s="8"/>
      <c r="U158" s="8"/>
    </row>
    <row r="159" spans="13:21" x14ac:dyDescent="0.3">
      <c r="M159" s="8"/>
      <c r="N159" s="8"/>
      <c r="O159" s="8"/>
      <c r="P159" s="8"/>
      <c r="Q159" s="8"/>
      <c r="R159" s="8"/>
      <c r="S159" s="8"/>
      <c r="T159" s="8"/>
      <c r="U159" s="8"/>
    </row>
    <row r="160" spans="13:21" x14ac:dyDescent="0.3">
      <c r="M160" s="8"/>
      <c r="N160" s="8"/>
      <c r="O160" s="8"/>
      <c r="P160" s="8"/>
      <c r="Q160" s="8"/>
      <c r="R160" s="8"/>
      <c r="S160" s="8"/>
      <c r="T160" s="8"/>
      <c r="U160" s="8"/>
    </row>
    <row r="161" spans="13:21" x14ac:dyDescent="0.3">
      <c r="M161" s="8"/>
      <c r="N161" s="8"/>
      <c r="O161" s="8"/>
      <c r="P161" s="8"/>
      <c r="Q161" s="8"/>
      <c r="R161" s="8"/>
      <c r="S161" s="8"/>
      <c r="T161" s="8"/>
      <c r="U161" s="8"/>
    </row>
    <row r="162" spans="13:21" x14ac:dyDescent="0.3">
      <c r="M162" s="8"/>
      <c r="N162" s="8"/>
      <c r="O162" s="8"/>
      <c r="P162" s="8"/>
      <c r="Q162" s="8"/>
      <c r="R162" s="8"/>
      <c r="S162" s="8"/>
      <c r="T162" s="8"/>
      <c r="U162" s="8"/>
    </row>
    <row r="163" spans="13:21" x14ac:dyDescent="0.3">
      <c r="M163" s="8"/>
      <c r="N163" s="8"/>
      <c r="O163" s="8"/>
      <c r="P163" s="8"/>
      <c r="Q163" s="8"/>
      <c r="R163" s="8"/>
      <c r="S163" s="8"/>
      <c r="T163" s="8"/>
      <c r="U163" s="8"/>
    </row>
    <row r="164" spans="13:21" x14ac:dyDescent="0.3">
      <c r="M164" s="8"/>
      <c r="N164" s="8"/>
      <c r="O164" s="8"/>
      <c r="P164" s="8"/>
      <c r="Q164" s="8"/>
      <c r="R164" s="8"/>
      <c r="S164" s="8"/>
      <c r="T164" s="8"/>
      <c r="U164" s="8"/>
    </row>
    <row r="165" spans="13:21" x14ac:dyDescent="0.3">
      <c r="M165" s="8"/>
      <c r="N165" s="8"/>
      <c r="O165" s="8"/>
      <c r="P165" s="8"/>
      <c r="Q165" s="8"/>
      <c r="R165" s="8"/>
      <c r="S165" s="8"/>
      <c r="T165" s="8"/>
      <c r="U165" s="8"/>
    </row>
    <row r="166" spans="13:21" x14ac:dyDescent="0.3">
      <c r="M166" s="8"/>
      <c r="N166" s="8"/>
      <c r="O166" s="8"/>
      <c r="P166" s="8"/>
      <c r="Q166" s="8"/>
      <c r="R166" s="8"/>
      <c r="S166" s="8"/>
      <c r="T166" s="8"/>
      <c r="U166" s="8"/>
    </row>
    <row r="167" spans="13:21" x14ac:dyDescent="0.3">
      <c r="M167" s="8"/>
      <c r="N167" s="8"/>
      <c r="O167" s="8"/>
      <c r="P167" s="8"/>
      <c r="Q167" s="8"/>
      <c r="R167" s="8"/>
      <c r="S167" s="8"/>
      <c r="T167" s="8"/>
      <c r="U167" s="8"/>
    </row>
    <row r="168" spans="13:21" x14ac:dyDescent="0.3">
      <c r="M168" s="8"/>
      <c r="N168" s="8"/>
      <c r="O168" s="8"/>
      <c r="P168" s="8"/>
      <c r="Q168" s="8"/>
      <c r="R168" s="8"/>
      <c r="S168" s="8"/>
      <c r="T168" s="8"/>
      <c r="U168" s="8"/>
    </row>
    <row r="169" spans="13:21" x14ac:dyDescent="0.3">
      <c r="M169" s="8"/>
      <c r="N169" s="8"/>
      <c r="O169" s="8"/>
      <c r="P169" s="8"/>
      <c r="Q169" s="8"/>
      <c r="R169" s="8"/>
      <c r="S169" s="8"/>
      <c r="T169" s="8"/>
      <c r="U169" s="8"/>
    </row>
    <row r="170" spans="13:21" x14ac:dyDescent="0.3">
      <c r="M170" s="8"/>
      <c r="N170" s="8"/>
      <c r="O170" s="8"/>
      <c r="P170" s="8"/>
      <c r="Q170" s="8"/>
      <c r="R170" s="8"/>
      <c r="S170" s="8"/>
      <c r="T170" s="8"/>
      <c r="U170" s="8"/>
    </row>
    <row r="171" spans="13:21" x14ac:dyDescent="0.3">
      <c r="M171" s="8"/>
      <c r="N171" s="8"/>
      <c r="O171" s="8"/>
      <c r="P171" s="8"/>
      <c r="Q171" s="8"/>
      <c r="R171" s="8"/>
      <c r="S171" s="8"/>
      <c r="T171" s="8"/>
      <c r="U171" s="8"/>
    </row>
    <row r="172" spans="13:21" x14ac:dyDescent="0.3">
      <c r="M172" s="8"/>
      <c r="N172" s="8"/>
      <c r="O172" s="8"/>
      <c r="P172" s="8"/>
      <c r="Q172" s="8"/>
      <c r="R172" s="8"/>
      <c r="S172" s="8"/>
      <c r="T172" s="8"/>
      <c r="U172" s="8"/>
    </row>
    <row r="173" spans="13:21" x14ac:dyDescent="0.3">
      <c r="M173" s="8"/>
      <c r="N173" s="8"/>
      <c r="O173" s="8"/>
      <c r="P173" s="8"/>
      <c r="Q173" s="8"/>
      <c r="R173" s="8"/>
      <c r="S173" s="8"/>
      <c r="T173" s="8"/>
      <c r="U173" s="8"/>
    </row>
    <row r="174" spans="13:21" x14ac:dyDescent="0.3">
      <c r="M174" s="8"/>
      <c r="N174" s="8"/>
      <c r="O174" s="8"/>
      <c r="P174" s="8"/>
      <c r="Q174" s="8"/>
      <c r="R174" s="8"/>
      <c r="S174" s="8"/>
      <c r="T174" s="8"/>
      <c r="U174" s="8"/>
    </row>
    <row r="175" spans="13:21" x14ac:dyDescent="0.3">
      <c r="M175" s="8"/>
      <c r="N175" s="8"/>
      <c r="O175" s="8"/>
      <c r="P175" s="8"/>
      <c r="Q175" s="8"/>
      <c r="R175" s="8"/>
      <c r="S175" s="8"/>
      <c r="T175" s="8"/>
      <c r="U175" s="8"/>
    </row>
    <row r="176" spans="13:21" x14ac:dyDescent="0.3">
      <c r="M176" s="8"/>
      <c r="N176" s="8"/>
      <c r="O176" s="8"/>
      <c r="P176" s="8"/>
      <c r="Q176" s="8"/>
      <c r="R176" s="8"/>
      <c r="S176" s="8"/>
      <c r="T176" s="8"/>
      <c r="U176" s="8"/>
    </row>
    <row r="177" spans="13:21" x14ac:dyDescent="0.3">
      <c r="M177" s="8"/>
      <c r="N177" s="8"/>
      <c r="O177" s="8"/>
      <c r="P177" s="8"/>
      <c r="Q177" s="8"/>
      <c r="R177" s="8"/>
      <c r="S177" s="8"/>
      <c r="T177" s="8"/>
      <c r="U177" s="8"/>
    </row>
    <row r="178" spans="13:21" x14ac:dyDescent="0.3">
      <c r="M178" s="8"/>
      <c r="N178" s="8"/>
      <c r="O178" s="8"/>
      <c r="P178" s="8"/>
      <c r="Q178" s="8"/>
      <c r="R178" s="8"/>
      <c r="S178" s="8"/>
      <c r="T178" s="8"/>
      <c r="U178" s="8"/>
    </row>
    <row r="179" spans="13:21" x14ac:dyDescent="0.3">
      <c r="M179" s="8"/>
      <c r="N179" s="8"/>
      <c r="O179" s="8"/>
      <c r="P179" s="8"/>
      <c r="Q179" s="8"/>
      <c r="R179" s="8"/>
      <c r="S179" s="8"/>
      <c r="T179" s="8"/>
      <c r="U179" s="8"/>
    </row>
    <row r="180" spans="13:21" x14ac:dyDescent="0.3">
      <c r="M180" s="8"/>
      <c r="N180" s="8"/>
      <c r="O180" s="8"/>
      <c r="P180" s="8"/>
      <c r="Q180" s="8"/>
      <c r="R180" s="8"/>
      <c r="S180" s="8"/>
      <c r="T180" s="8"/>
      <c r="U180" s="8"/>
    </row>
    <row r="181" spans="13:21" x14ac:dyDescent="0.3">
      <c r="M181" s="8"/>
      <c r="N181" s="8"/>
      <c r="O181" s="8"/>
      <c r="P181" s="8"/>
      <c r="Q181" s="8"/>
      <c r="R181" s="8"/>
      <c r="S181" s="8"/>
      <c r="T181" s="8"/>
      <c r="U181" s="8"/>
    </row>
    <row r="182" spans="13:21" x14ac:dyDescent="0.3">
      <c r="M182" s="8"/>
      <c r="N182" s="8"/>
      <c r="O182" s="8"/>
      <c r="P182" s="8"/>
      <c r="Q182" s="8"/>
      <c r="R182" s="8"/>
      <c r="S182" s="8"/>
      <c r="T182" s="8"/>
      <c r="U182" s="8"/>
    </row>
    <row r="183" spans="13:21" x14ac:dyDescent="0.3">
      <c r="M183" s="8"/>
      <c r="N183" s="8"/>
      <c r="O183" s="8"/>
      <c r="P183" s="8"/>
      <c r="Q183" s="8"/>
      <c r="R183" s="8"/>
      <c r="S183" s="8"/>
      <c r="T183" s="8"/>
      <c r="U183" s="8"/>
    </row>
    <row r="184" spans="13:21" x14ac:dyDescent="0.3">
      <c r="M184" s="8"/>
      <c r="N184" s="8"/>
      <c r="O184" s="8"/>
      <c r="P184" s="8"/>
      <c r="Q184" s="8"/>
      <c r="R184" s="8"/>
      <c r="S184" s="8"/>
      <c r="T184" s="8"/>
      <c r="U184" s="8"/>
    </row>
    <row r="185" spans="13:21" x14ac:dyDescent="0.3">
      <c r="M185" s="8"/>
      <c r="N185" s="8"/>
      <c r="O185" s="8"/>
      <c r="P185" s="8"/>
      <c r="Q185" s="8"/>
      <c r="R185" s="8"/>
      <c r="S185" s="8"/>
      <c r="T185" s="8"/>
      <c r="U185" s="8"/>
    </row>
    <row r="186" spans="13:21" x14ac:dyDescent="0.3">
      <c r="M186" s="8"/>
      <c r="N186" s="8"/>
      <c r="O186" s="8"/>
      <c r="P186" s="8"/>
      <c r="Q186" s="8"/>
      <c r="R186" s="8"/>
      <c r="S186" s="8"/>
      <c r="T186" s="8"/>
      <c r="U186" s="8"/>
    </row>
    <row r="187" spans="13:21" x14ac:dyDescent="0.3">
      <c r="M187" s="8"/>
      <c r="N187" s="8"/>
      <c r="O187" s="8"/>
      <c r="P187" s="8"/>
      <c r="Q187" s="8"/>
      <c r="R187" s="8"/>
      <c r="S187" s="8"/>
      <c r="T187" s="8"/>
      <c r="U187" s="8"/>
    </row>
    <row r="188" spans="13:21" x14ac:dyDescent="0.3">
      <c r="M188" s="8"/>
      <c r="N188" s="8"/>
      <c r="O188" s="8"/>
      <c r="P188" s="8"/>
      <c r="Q188" s="8"/>
      <c r="R188" s="8"/>
      <c r="S188" s="8"/>
      <c r="T188" s="8"/>
      <c r="U188" s="8"/>
    </row>
    <row r="189" spans="13:21" x14ac:dyDescent="0.3">
      <c r="M189" s="8"/>
      <c r="N189" s="8"/>
      <c r="O189" s="8"/>
      <c r="P189" s="8"/>
      <c r="Q189" s="8"/>
      <c r="R189" s="8"/>
      <c r="S189" s="8"/>
      <c r="T189" s="8"/>
      <c r="U189" s="8"/>
    </row>
    <row r="190" spans="13:21" x14ac:dyDescent="0.3">
      <c r="M190" s="8"/>
      <c r="N190" s="8"/>
      <c r="O190" s="8"/>
      <c r="P190" s="8"/>
      <c r="Q190" s="8"/>
      <c r="R190" s="8"/>
      <c r="S190" s="8"/>
      <c r="T190" s="8"/>
      <c r="U190" s="8"/>
    </row>
    <row r="191" spans="13:21" x14ac:dyDescent="0.3">
      <c r="M191" s="8"/>
      <c r="N191" s="8"/>
      <c r="O191" s="8"/>
      <c r="P191" s="8"/>
      <c r="Q191" s="8"/>
      <c r="R191" s="8"/>
      <c r="S191" s="8"/>
      <c r="T191" s="8"/>
      <c r="U191" s="8"/>
    </row>
    <row r="192" spans="13:21" x14ac:dyDescent="0.3">
      <c r="M192" s="8"/>
      <c r="N192" s="8"/>
      <c r="O192" s="8"/>
      <c r="P192" s="8"/>
      <c r="Q192" s="8"/>
      <c r="R192" s="8"/>
      <c r="S192" s="8"/>
      <c r="T192" s="8"/>
      <c r="U192" s="8"/>
    </row>
    <row r="193" spans="13:21" x14ac:dyDescent="0.3">
      <c r="M193" s="8"/>
      <c r="N193" s="8"/>
      <c r="O193" s="8"/>
      <c r="P193" s="8"/>
      <c r="Q193" s="8"/>
      <c r="R193" s="8"/>
      <c r="S193" s="8"/>
      <c r="T193" s="8"/>
      <c r="U193" s="8"/>
    </row>
    <row r="194" spans="13:21" x14ac:dyDescent="0.3">
      <c r="M194" s="8"/>
      <c r="N194" s="8"/>
      <c r="O194" s="8"/>
      <c r="P194" s="8"/>
      <c r="Q194" s="8"/>
      <c r="R194" s="8"/>
      <c r="S194" s="8"/>
      <c r="T194" s="8"/>
      <c r="U194" s="8"/>
    </row>
    <row r="195" spans="13:21" x14ac:dyDescent="0.3">
      <c r="M195" s="8"/>
      <c r="N195" s="8"/>
      <c r="O195" s="8"/>
      <c r="P195" s="8"/>
      <c r="Q195" s="8"/>
      <c r="R195" s="8"/>
      <c r="S195" s="8"/>
      <c r="T195" s="8"/>
      <c r="U195" s="8"/>
    </row>
    <row r="196" spans="13:21" x14ac:dyDescent="0.3">
      <c r="M196" s="8"/>
      <c r="N196" s="8"/>
      <c r="O196" s="8"/>
      <c r="P196" s="8"/>
      <c r="Q196" s="8"/>
      <c r="R196" s="8"/>
      <c r="S196" s="8"/>
      <c r="T196" s="8"/>
      <c r="U196" s="8"/>
    </row>
    <row r="197" spans="13:21" x14ac:dyDescent="0.3">
      <c r="M197" s="8"/>
      <c r="N197" s="8"/>
      <c r="O197" s="8"/>
      <c r="P197" s="8"/>
      <c r="Q197" s="8"/>
      <c r="R197" s="8"/>
      <c r="S197" s="8"/>
      <c r="T197" s="8"/>
      <c r="U197" s="8"/>
    </row>
    <row r="198" spans="13:21" x14ac:dyDescent="0.3">
      <c r="M198" s="8"/>
      <c r="N198" s="8"/>
      <c r="O198" s="8"/>
      <c r="P198" s="8"/>
      <c r="Q198" s="8"/>
      <c r="R198" s="8"/>
      <c r="S198" s="8"/>
      <c r="T198" s="8"/>
      <c r="U198" s="8"/>
    </row>
    <row r="199" spans="13:21" x14ac:dyDescent="0.3">
      <c r="M199" s="8"/>
      <c r="N199" s="8"/>
      <c r="O199" s="8"/>
      <c r="P199" s="8"/>
      <c r="Q199" s="8"/>
      <c r="R199" s="8"/>
      <c r="S199" s="8"/>
      <c r="T199" s="8"/>
      <c r="U199" s="8"/>
    </row>
    <row r="200" spans="13:21" x14ac:dyDescent="0.3">
      <c r="M200" s="8"/>
      <c r="N200" s="8"/>
      <c r="O200" s="8"/>
      <c r="P200" s="8"/>
      <c r="Q200" s="8"/>
      <c r="R200" s="8"/>
      <c r="S200" s="8"/>
      <c r="T200" s="8"/>
      <c r="U200" s="8"/>
    </row>
    <row r="201" spans="13:21" x14ac:dyDescent="0.3">
      <c r="M201" s="8"/>
      <c r="N201" s="8"/>
      <c r="O201" s="8"/>
      <c r="P201" s="8"/>
      <c r="Q201" s="8"/>
      <c r="R201" s="8"/>
      <c r="S201" s="8"/>
      <c r="T201" s="8"/>
      <c r="U201" s="8"/>
    </row>
    <row r="202" spans="13:21" x14ac:dyDescent="0.3">
      <c r="M202" s="8"/>
      <c r="N202" s="8"/>
      <c r="O202" s="8"/>
      <c r="P202" s="8"/>
      <c r="Q202" s="8"/>
      <c r="R202" s="8"/>
      <c r="S202" s="8"/>
      <c r="T202" s="8"/>
      <c r="U202" s="8"/>
    </row>
    <row r="203" spans="13:21" x14ac:dyDescent="0.3">
      <c r="M203" s="8"/>
      <c r="N203" s="8"/>
      <c r="O203" s="8"/>
      <c r="P203" s="8"/>
      <c r="Q203" s="8"/>
      <c r="R203" s="8"/>
      <c r="S203" s="8"/>
      <c r="T203" s="8"/>
      <c r="U203" s="8"/>
    </row>
    <row r="204" spans="13:21" x14ac:dyDescent="0.3">
      <c r="M204" s="8"/>
      <c r="N204" s="8"/>
      <c r="O204" s="8"/>
      <c r="P204" s="8"/>
      <c r="Q204" s="8"/>
      <c r="R204" s="8"/>
      <c r="S204" s="8"/>
      <c r="T204" s="8"/>
      <c r="U204" s="8"/>
    </row>
    <row r="205" spans="13:21" x14ac:dyDescent="0.3">
      <c r="M205" s="8"/>
      <c r="N205" s="8"/>
      <c r="O205" s="8"/>
      <c r="P205" s="8"/>
      <c r="Q205" s="8"/>
      <c r="R205" s="8"/>
      <c r="S205" s="8"/>
      <c r="T205" s="8"/>
      <c r="U205" s="8"/>
    </row>
    <row r="206" spans="13:21" x14ac:dyDescent="0.3">
      <c r="M206" s="8"/>
      <c r="N206" s="8"/>
      <c r="O206" s="8"/>
      <c r="P206" s="8"/>
      <c r="Q206" s="8"/>
      <c r="R206" s="8"/>
      <c r="S206" s="8"/>
      <c r="T206" s="8"/>
      <c r="U206" s="8"/>
    </row>
    <row r="207" spans="13:21" x14ac:dyDescent="0.3">
      <c r="M207" s="8"/>
      <c r="N207" s="8"/>
      <c r="O207" s="8"/>
      <c r="P207" s="8"/>
      <c r="Q207" s="8"/>
      <c r="R207" s="8"/>
      <c r="S207" s="8"/>
      <c r="T207" s="8"/>
      <c r="U207" s="8"/>
    </row>
    <row r="208" spans="13:21" x14ac:dyDescent="0.3">
      <c r="M208" s="8"/>
      <c r="N208" s="8"/>
      <c r="O208" s="8"/>
      <c r="P208" s="8"/>
      <c r="Q208" s="8"/>
      <c r="R208" s="8"/>
      <c r="S208" s="8"/>
      <c r="T208" s="8"/>
      <c r="U208" s="8"/>
    </row>
    <row r="209" spans="13:21" x14ac:dyDescent="0.3">
      <c r="M209" s="8"/>
      <c r="N209" s="8"/>
      <c r="O209" s="8"/>
      <c r="P209" s="8"/>
      <c r="Q209" s="8"/>
      <c r="R209" s="8"/>
      <c r="S209" s="8"/>
      <c r="T209" s="8"/>
      <c r="U209" s="8"/>
    </row>
    <row r="210" spans="13:21" x14ac:dyDescent="0.3">
      <c r="M210" s="8"/>
      <c r="N210" s="8"/>
      <c r="O210" s="8"/>
      <c r="P210" s="8"/>
      <c r="Q210" s="8"/>
      <c r="R210" s="8"/>
      <c r="S210" s="8"/>
      <c r="T210" s="8"/>
      <c r="U210" s="8"/>
    </row>
    <row r="211" spans="13:21" x14ac:dyDescent="0.3">
      <c r="M211" s="8"/>
      <c r="N211" s="8"/>
      <c r="O211" s="8"/>
      <c r="P211" s="8"/>
      <c r="Q211" s="8"/>
      <c r="R211" s="8"/>
      <c r="S211" s="8"/>
      <c r="T211" s="8"/>
      <c r="U211" s="8"/>
    </row>
    <row r="212" spans="13:21" x14ac:dyDescent="0.3">
      <c r="M212" s="8"/>
      <c r="N212" s="8"/>
      <c r="O212" s="8"/>
      <c r="P212" s="8"/>
      <c r="Q212" s="8"/>
      <c r="R212" s="8"/>
      <c r="S212" s="8"/>
      <c r="T212" s="8"/>
      <c r="U212" s="8"/>
    </row>
    <row r="213" spans="13:21" x14ac:dyDescent="0.3">
      <c r="M213" s="8"/>
      <c r="N213" s="8"/>
      <c r="O213" s="8"/>
      <c r="P213" s="8"/>
      <c r="Q213" s="8"/>
      <c r="R213" s="8"/>
      <c r="S213" s="8"/>
      <c r="T213" s="8"/>
      <c r="U213" s="8"/>
    </row>
    <row r="214" spans="13:21" x14ac:dyDescent="0.3">
      <c r="M214" s="8"/>
      <c r="N214" s="8"/>
      <c r="O214" s="8"/>
      <c r="P214" s="8"/>
      <c r="Q214" s="8"/>
      <c r="R214" s="8"/>
      <c r="S214" s="8"/>
      <c r="T214" s="8"/>
      <c r="U214" s="8"/>
    </row>
    <row r="215" spans="13:21" x14ac:dyDescent="0.3">
      <c r="M215" s="8"/>
      <c r="N215" s="8"/>
      <c r="O215" s="8"/>
      <c r="P215" s="8"/>
      <c r="Q215" s="8"/>
      <c r="R215" s="8"/>
      <c r="S215" s="8"/>
      <c r="T215" s="8"/>
      <c r="U215" s="8"/>
    </row>
    <row r="216" spans="13:21" x14ac:dyDescent="0.3">
      <c r="M216" s="8"/>
      <c r="N216" s="8"/>
      <c r="O216" s="8"/>
      <c r="P216" s="8"/>
      <c r="Q216" s="8"/>
      <c r="R216" s="8"/>
      <c r="S216" s="8"/>
      <c r="T216" s="8"/>
      <c r="U216" s="8"/>
    </row>
    <row r="217" spans="13:21" x14ac:dyDescent="0.3">
      <c r="M217" s="8"/>
      <c r="N217" s="8"/>
      <c r="O217" s="8"/>
      <c r="P217" s="8"/>
      <c r="Q217" s="8"/>
      <c r="R217" s="8"/>
      <c r="S217" s="8"/>
      <c r="T217" s="8"/>
      <c r="U217" s="8"/>
    </row>
    <row r="218" spans="13:21" x14ac:dyDescent="0.3">
      <c r="M218" s="8"/>
      <c r="N218" s="8"/>
      <c r="O218" s="8"/>
      <c r="P218" s="8"/>
      <c r="Q218" s="8"/>
      <c r="R218" s="8"/>
      <c r="S218" s="8"/>
      <c r="T218" s="8"/>
      <c r="U218" s="8"/>
    </row>
    <row r="219" spans="13:21" x14ac:dyDescent="0.3">
      <c r="M219" s="8"/>
      <c r="N219" s="8"/>
      <c r="O219" s="8"/>
      <c r="P219" s="8"/>
      <c r="Q219" s="8"/>
      <c r="R219" s="8"/>
      <c r="S219" s="8"/>
      <c r="T219" s="8"/>
      <c r="U219" s="8"/>
    </row>
    <row r="220" spans="13:21" x14ac:dyDescent="0.3">
      <c r="M220" s="8"/>
      <c r="N220" s="8"/>
      <c r="O220" s="8"/>
      <c r="P220" s="8"/>
      <c r="Q220" s="8"/>
      <c r="R220" s="8"/>
      <c r="S220" s="8"/>
      <c r="T220" s="8"/>
      <c r="U220" s="8"/>
    </row>
    <row r="221" spans="13:21" x14ac:dyDescent="0.3">
      <c r="M221" s="8"/>
      <c r="N221" s="8"/>
      <c r="O221" s="8"/>
      <c r="P221" s="8"/>
      <c r="Q221" s="8"/>
      <c r="R221" s="8"/>
      <c r="S221" s="8"/>
      <c r="T221" s="8"/>
      <c r="U221" s="8"/>
    </row>
    <row r="222" spans="13:21" x14ac:dyDescent="0.3">
      <c r="M222" s="8"/>
      <c r="N222" s="8"/>
      <c r="O222" s="8"/>
      <c r="P222" s="8"/>
      <c r="Q222" s="8"/>
      <c r="R222" s="8"/>
      <c r="S222" s="8"/>
      <c r="T222" s="8"/>
      <c r="U222" s="8"/>
    </row>
    <row r="223" spans="13:21" x14ac:dyDescent="0.3">
      <c r="M223" s="8"/>
      <c r="N223" s="8"/>
      <c r="O223" s="8"/>
      <c r="P223" s="8"/>
      <c r="Q223" s="8"/>
      <c r="R223" s="8"/>
      <c r="S223" s="8"/>
      <c r="T223" s="8"/>
      <c r="U223" s="8"/>
    </row>
    <row r="224" spans="13:21" x14ac:dyDescent="0.3">
      <c r="M224" s="8"/>
      <c r="N224" s="8"/>
      <c r="O224" s="8"/>
      <c r="P224" s="8"/>
      <c r="Q224" s="8"/>
      <c r="R224" s="8"/>
      <c r="S224" s="8"/>
      <c r="T224" s="8"/>
      <c r="U224" s="8"/>
    </row>
    <row r="225" spans="13:21" x14ac:dyDescent="0.3">
      <c r="M225" s="8"/>
      <c r="N225" s="8"/>
      <c r="O225" s="8"/>
      <c r="P225" s="8"/>
      <c r="Q225" s="8"/>
      <c r="R225" s="8"/>
      <c r="S225" s="8"/>
      <c r="T225" s="8"/>
      <c r="U225" s="8"/>
    </row>
    <row r="226" spans="13:21" x14ac:dyDescent="0.3">
      <c r="M226" s="8"/>
      <c r="N226" s="8"/>
      <c r="O226" s="8"/>
      <c r="P226" s="8"/>
      <c r="Q226" s="8"/>
      <c r="R226" s="8"/>
      <c r="S226" s="8"/>
      <c r="T226" s="8"/>
      <c r="U226" s="8"/>
    </row>
    <row r="227" spans="13:21" x14ac:dyDescent="0.3">
      <c r="M227" s="8"/>
      <c r="N227" s="8"/>
      <c r="O227" s="8"/>
      <c r="P227" s="8"/>
      <c r="Q227" s="8"/>
      <c r="R227" s="8"/>
      <c r="S227" s="8"/>
      <c r="T227" s="8"/>
      <c r="U227" s="8"/>
    </row>
    <row r="228" spans="13:21" x14ac:dyDescent="0.3">
      <c r="M228" s="8"/>
      <c r="N228" s="8"/>
      <c r="O228" s="8"/>
      <c r="P228" s="8"/>
      <c r="Q228" s="8"/>
      <c r="R228" s="8"/>
      <c r="S228" s="8"/>
      <c r="T228" s="8"/>
      <c r="U228" s="8"/>
    </row>
    <row r="229" spans="13:21" x14ac:dyDescent="0.3">
      <c r="M229" s="8"/>
      <c r="N229" s="8"/>
      <c r="O229" s="8"/>
      <c r="P229" s="8"/>
      <c r="Q229" s="8"/>
      <c r="R229" s="8"/>
      <c r="S229" s="8"/>
      <c r="T229" s="8"/>
      <c r="U229" s="8"/>
    </row>
    <row r="230" spans="13:21" x14ac:dyDescent="0.3">
      <c r="M230" s="8"/>
      <c r="N230" s="8"/>
      <c r="O230" s="8"/>
      <c r="P230" s="8"/>
      <c r="Q230" s="8"/>
      <c r="R230" s="8"/>
      <c r="S230" s="8"/>
      <c r="T230" s="8"/>
      <c r="U230" s="8"/>
    </row>
    <row r="231" spans="13:21" x14ac:dyDescent="0.3">
      <c r="M231" s="8"/>
      <c r="N231" s="8"/>
      <c r="O231" s="8"/>
      <c r="P231" s="8"/>
      <c r="Q231" s="8"/>
      <c r="R231" s="8"/>
      <c r="S231" s="8"/>
      <c r="T231" s="8"/>
      <c r="U231" s="8"/>
    </row>
    <row r="232" spans="13:21" x14ac:dyDescent="0.3">
      <c r="M232" s="8"/>
      <c r="N232" s="8"/>
      <c r="O232" s="8"/>
      <c r="P232" s="8"/>
      <c r="Q232" s="8"/>
      <c r="R232" s="8"/>
      <c r="S232" s="8"/>
      <c r="T232" s="8"/>
      <c r="U232" s="8"/>
    </row>
    <row r="233" spans="13:21" x14ac:dyDescent="0.3">
      <c r="M233" s="8"/>
      <c r="N233" s="8"/>
      <c r="O233" s="8"/>
      <c r="P233" s="8"/>
      <c r="Q233" s="8"/>
      <c r="R233" s="8"/>
      <c r="S233" s="8"/>
      <c r="T233" s="8"/>
      <c r="U233" s="8"/>
    </row>
    <row r="234" spans="13:21" x14ac:dyDescent="0.3">
      <c r="M234" s="8"/>
      <c r="N234" s="8"/>
      <c r="O234" s="8"/>
      <c r="P234" s="8"/>
      <c r="Q234" s="8"/>
      <c r="R234" s="8"/>
      <c r="S234" s="8"/>
      <c r="T234" s="8"/>
      <c r="U234" s="8"/>
    </row>
    <row r="235" spans="13:21" x14ac:dyDescent="0.3">
      <c r="M235" s="8"/>
      <c r="N235" s="8"/>
      <c r="O235" s="8"/>
      <c r="P235" s="8"/>
      <c r="Q235" s="8"/>
      <c r="R235" s="8"/>
      <c r="S235" s="8"/>
      <c r="T235" s="8"/>
      <c r="U235" s="8"/>
    </row>
    <row r="236" spans="13:21" x14ac:dyDescent="0.3">
      <c r="M236" s="8"/>
      <c r="N236" s="8"/>
      <c r="O236" s="8"/>
      <c r="P236" s="8"/>
      <c r="Q236" s="8"/>
      <c r="R236" s="8"/>
      <c r="S236" s="8"/>
      <c r="T236" s="8"/>
      <c r="U236" s="8"/>
    </row>
    <row r="237" spans="13:21" x14ac:dyDescent="0.3">
      <c r="M237" s="8"/>
      <c r="N237" s="8"/>
      <c r="O237" s="8"/>
      <c r="P237" s="8"/>
      <c r="Q237" s="8"/>
      <c r="R237" s="8"/>
      <c r="S237" s="8"/>
      <c r="T237" s="8"/>
      <c r="U237" s="8"/>
    </row>
    <row r="238" spans="13:21" x14ac:dyDescent="0.3">
      <c r="M238" s="8"/>
      <c r="N238" s="8"/>
      <c r="O238" s="8"/>
      <c r="P238" s="8"/>
      <c r="Q238" s="8"/>
      <c r="R238" s="8"/>
      <c r="S238" s="8"/>
      <c r="T238" s="8"/>
      <c r="U238" s="8"/>
    </row>
    <row r="239" spans="13:21" x14ac:dyDescent="0.3">
      <c r="M239" s="8"/>
      <c r="N239" s="8"/>
      <c r="O239" s="8"/>
      <c r="P239" s="8"/>
      <c r="Q239" s="8"/>
      <c r="R239" s="8"/>
      <c r="S239" s="8"/>
      <c r="T239" s="8"/>
      <c r="U239" s="8"/>
    </row>
    <row r="240" spans="13:21" x14ac:dyDescent="0.3">
      <c r="M240" s="8"/>
      <c r="N240" s="8"/>
      <c r="O240" s="8"/>
      <c r="P240" s="8"/>
      <c r="Q240" s="8"/>
      <c r="R240" s="8"/>
      <c r="S240" s="8"/>
      <c r="T240" s="8"/>
      <c r="U240" s="8"/>
    </row>
    <row r="241" spans="13:21" x14ac:dyDescent="0.3">
      <c r="M241" s="8"/>
      <c r="N241" s="8"/>
      <c r="O241" s="8"/>
      <c r="P241" s="8"/>
      <c r="Q241" s="8"/>
      <c r="R241" s="8"/>
      <c r="S241" s="8"/>
      <c r="T241" s="8"/>
      <c r="U241" s="8"/>
    </row>
    <row r="242" spans="13:21" x14ac:dyDescent="0.3">
      <c r="M242" s="8"/>
      <c r="N242" s="8"/>
      <c r="O242" s="8"/>
      <c r="P242" s="8"/>
      <c r="Q242" s="8"/>
      <c r="R242" s="8"/>
      <c r="S242" s="8"/>
      <c r="T242" s="8"/>
      <c r="U242" s="8"/>
    </row>
    <row r="243" spans="13:21" x14ac:dyDescent="0.3">
      <c r="M243" s="8"/>
      <c r="N243" s="8"/>
      <c r="O243" s="8"/>
      <c r="P243" s="8"/>
      <c r="Q243" s="8"/>
      <c r="R243" s="8"/>
      <c r="S243" s="8"/>
      <c r="T243" s="8"/>
      <c r="U243" s="8"/>
    </row>
    <row r="244" spans="13:21" x14ac:dyDescent="0.3">
      <c r="M244" s="8"/>
      <c r="N244" s="8"/>
      <c r="O244" s="8"/>
      <c r="P244" s="8"/>
      <c r="Q244" s="8"/>
      <c r="R244" s="8"/>
      <c r="S244" s="8"/>
      <c r="T244" s="8"/>
      <c r="U244" s="8"/>
    </row>
    <row r="245" spans="13:21" x14ac:dyDescent="0.3">
      <c r="M245" s="8"/>
      <c r="N245" s="8"/>
      <c r="O245" s="8"/>
      <c r="P245" s="8"/>
      <c r="Q245" s="8"/>
      <c r="R245" s="8"/>
      <c r="S245" s="8"/>
      <c r="T245" s="8"/>
      <c r="U245" s="8"/>
    </row>
    <row r="246" spans="13:21" x14ac:dyDescent="0.3">
      <c r="M246" s="8"/>
      <c r="N246" s="8"/>
      <c r="O246" s="8"/>
      <c r="P246" s="8"/>
      <c r="Q246" s="8"/>
      <c r="R246" s="8"/>
      <c r="S246" s="8"/>
      <c r="T246" s="8"/>
      <c r="U246" s="8"/>
    </row>
    <row r="247" spans="13:21" x14ac:dyDescent="0.3">
      <c r="M247" s="8"/>
      <c r="N247" s="8"/>
      <c r="O247" s="8"/>
      <c r="P247" s="8"/>
      <c r="Q247" s="8"/>
      <c r="R247" s="8"/>
      <c r="S247" s="8"/>
      <c r="T247" s="8"/>
      <c r="U247" s="8"/>
    </row>
    <row r="248" spans="13:21" x14ac:dyDescent="0.3">
      <c r="M248" s="8"/>
      <c r="N248" s="8"/>
      <c r="O248" s="8"/>
      <c r="P248" s="8"/>
      <c r="Q248" s="8"/>
      <c r="R248" s="8"/>
      <c r="S248" s="8"/>
      <c r="T248" s="8"/>
      <c r="U248" s="8"/>
    </row>
    <row r="249" spans="13:21" x14ac:dyDescent="0.3">
      <c r="M249" s="8"/>
      <c r="N249" s="8"/>
      <c r="O249" s="8"/>
      <c r="P249" s="8"/>
      <c r="Q249" s="8"/>
      <c r="R249" s="8"/>
      <c r="S249" s="8"/>
      <c r="T249" s="8"/>
      <c r="U249" s="8"/>
    </row>
    <row r="250" spans="13:21" x14ac:dyDescent="0.3">
      <c r="M250" s="8"/>
      <c r="N250" s="8"/>
      <c r="O250" s="8"/>
      <c r="P250" s="8"/>
      <c r="Q250" s="8"/>
      <c r="R250" s="8"/>
      <c r="S250" s="8"/>
      <c r="T250" s="8"/>
      <c r="U250" s="8"/>
    </row>
    <row r="251" spans="13:21" x14ac:dyDescent="0.3">
      <c r="M251" s="8"/>
      <c r="N251" s="8"/>
      <c r="O251" s="8"/>
      <c r="P251" s="8"/>
      <c r="Q251" s="8"/>
      <c r="R251" s="8"/>
      <c r="S251" s="8"/>
      <c r="T251" s="8"/>
      <c r="U251" s="8"/>
    </row>
    <row r="252" spans="13:21" x14ac:dyDescent="0.3">
      <c r="M252" s="8"/>
      <c r="N252" s="8"/>
      <c r="O252" s="8"/>
      <c r="P252" s="8"/>
      <c r="Q252" s="8"/>
      <c r="R252" s="8"/>
      <c r="S252" s="8"/>
      <c r="T252" s="8"/>
      <c r="U252" s="8"/>
    </row>
    <row r="253" spans="13:21" x14ac:dyDescent="0.3">
      <c r="M253" s="8"/>
      <c r="N253" s="8"/>
      <c r="O253" s="8"/>
      <c r="P253" s="8"/>
      <c r="Q253" s="8"/>
      <c r="R253" s="8"/>
      <c r="S253" s="8"/>
      <c r="T253" s="8"/>
      <c r="U253" s="8"/>
    </row>
    <row r="254" spans="13:21" x14ac:dyDescent="0.3">
      <c r="M254" s="8"/>
      <c r="N254" s="8"/>
      <c r="O254" s="8"/>
      <c r="P254" s="8"/>
      <c r="Q254" s="8"/>
      <c r="R254" s="8"/>
      <c r="S254" s="8"/>
      <c r="T254" s="8"/>
      <c r="U254" s="8"/>
    </row>
    <row r="255" spans="13:21" x14ac:dyDescent="0.3">
      <c r="O255" s="8"/>
      <c r="P255" s="8"/>
      <c r="Q255" s="8"/>
      <c r="T255" s="8"/>
      <c r="U255" s="8"/>
    </row>
  </sheetData>
  <mergeCells count="23">
    <mergeCell ref="J38:K40"/>
    <mergeCell ref="G39:G40"/>
    <mergeCell ref="H39:H40"/>
    <mergeCell ref="M1:AB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110" priority="37" operator="greaterThan">
      <formula>$H$3</formula>
    </cfRule>
  </conditionalFormatting>
  <conditionalFormatting sqref="H13:I13">
    <cfRule type="cellIs" dxfId="109" priority="36" operator="greaterThan">
      <formula>$H$3</formula>
    </cfRule>
  </conditionalFormatting>
  <conditionalFormatting sqref="I75:I76">
    <cfRule type="cellIs" dxfId="108" priority="35" operator="greaterThan">
      <formula>$H$3</formula>
    </cfRule>
  </conditionalFormatting>
  <conditionalFormatting sqref="H75:H76">
    <cfRule type="cellIs" dxfId="107" priority="34" operator="greaterThan">
      <formula>$H$3</formula>
    </cfRule>
  </conditionalFormatting>
  <conditionalFormatting sqref="H54:I54">
    <cfRule type="cellIs" dxfId="106" priority="33" operator="greaterThan">
      <formula>$H$3</formula>
    </cfRule>
  </conditionalFormatting>
  <conditionalFormatting sqref="H43:H44">
    <cfRule type="cellIs" dxfId="105" priority="31" operator="greaterThan">
      <formula>$H$3</formula>
    </cfRule>
  </conditionalFormatting>
  <conditionalFormatting sqref="I43:I44">
    <cfRule type="cellIs" dxfId="104" priority="32" operator="greaterThan">
      <formula>$H$3</formula>
    </cfRule>
  </conditionalFormatting>
  <conditionalFormatting sqref="H16:I16">
    <cfRule type="cellIs" dxfId="103" priority="30" operator="greaterThan">
      <formula>$H$3</formula>
    </cfRule>
  </conditionalFormatting>
  <conditionalFormatting sqref="H23">
    <cfRule type="cellIs" dxfId="102" priority="29" operator="greaterThan">
      <formula>$H$3</formula>
    </cfRule>
  </conditionalFormatting>
  <conditionalFormatting sqref="H17:I17">
    <cfRule type="cellIs" dxfId="101" priority="27" operator="greaterThan">
      <formula>$H$3</formula>
    </cfRule>
  </conditionalFormatting>
  <conditionalFormatting sqref="H17:I17">
    <cfRule type="cellIs" dxfId="100" priority="28" operator="greaterThan">
      <formula>$H$3</formula>
    </cfRule>
  </conditionalFormatting>
  <conditionalFormatting sqref="H25:I25">
    <cfRule type="cellIs" dxfId="99" priority="25" operator="greaterThan">
      <formula>$H$3</formula>
    </cfRule>
  </conditionalFormatting>
  <conditionalFormatting sqref="H25:I25">
    <cfRule type="cellIs" dxfId="98" priority="26" operator="greaterThan">
      <formula>$H$3</formula>
    </cfRule>
  </conditionalFormatting>
  <conditionalFormatting sqref="H19:I19">
    <cfRule type="cellIs" dxfId="97" priority="24" operator="greaterThan">
      <formula>$H$3</formula>
    </cfRule>
  </conditionalFormatting>
  <conditionalFormatting sqref="H20:I20">
    <cfRule type="cellIs" dxfId="96" priority="23" operator="greaterThan">
      <formula>$H$3</formula>
    </cfRule>
  </conditionalFormatting>
  <conditionalFormatting sqref="H21:I21">
    <cfRule type="cellIs" dxfId="95" priority="21" operator="greaterThan">
      <formula>$H$3</formula>
    </cfRule>
  </conditionalFormatting>
  <conditionalFormatting sqref="H21:I21">
    <cfRule type="cellIs" dxfId="94" priority="22" operator="greaterThan">
      <formula>$H$3</formula>
    </cfRule>
  </conditionalFormatting>
  <conditionalFormatting sqref="H29:I29">
    <cfRule type="cellIs" dxfId="93" priority="19" operator="greaterThan">
      <formula>$H$3</formula>
    </cfRule>
  </conditionalFormatting>
  <conditionalFormatting sqref="H29:I29">
    <cfRule type="cellIs" dxfId="92" priority="20" operator="greaterThan">
      <formula>$H$3</formula>
    </cfRule>
  </conditionalFormatting>
  <conditionalFormatting sqref="H27:I27">
    <cfRule type="cellIs" dxfId="91" priority="18" operator="greaterThan">
      <formula>$H$3</formula>
    </cfRule>
  </conditionalFormatting>
  <conditionalFormatting sqref="H28:I28">
    <cfRule type="cellIs" dxfId="90" priority="17" operator="greaterThan">
      <formula>$H$3</formula>
    </cfRule>
  </conditionalFormatting>
  <conditionalFormatting sqref="H33:I33">
    <cfRule type="cellIs" dxfId="89" priority="15" operator="greaterThan">
      <formula>$H$3</formula>
    </cfRule>
  </conditionalFormatting>
  <conditionalFormatting sqref="H33:I33">
    <cfRule type="cellIs" dxfId="88" priority="16" operator="greaterThan">
      <formula>$H$3</formula>
    </cfRule>
  </conditionalFormatting>
  <conditionalFormatting sqref="H37:I37">
    <cfRule type="cellIs" dxfId="87" priority="13" operator="greaterThan">
      <formula>$H$3</formula>
    </cfRule>
  </conditionalFormatting>
  <conditionalFormatting sqref="H37:I37">
    <cfRule type="cellIs" dxfId="86" priority="14" operator="greaterThan">
      <formula>$H$3</formula>
    </cfRule>
  </conditionalFormatting>
  <conditionalFormatting sqref="H41:I41">
    <cfRule type="cellIs" dxfId="85" priority="11" operator="greaterThan">
      <formula>$H$3</formula>
    </cfRule>
  </conditionalFormatting>
  <conditionalFormatting sqref="H41:I41">
    <cfRule type="cellIs" dxfId="84" priority="12" operator="greaterThan">
      <formula>$H$3</formula>
    </cfRule>
  </conditionalFormatting>
  <conditionalFormatting sqref="H45:I45">
    <cfRule type="cellIs" dxfId="83" priority="9" operator="greaterThan">
      <formula>$H$3</formula>
    </cfRule>
  </conditionalFormatting>
  <conditionalFormatting sqref="H45:I45">
    <cfRule type="cellIs" dxfId="82" priority="10" operator="greaterThan">
      <formula>$H$3</formula>
    </cfRule>
  </conditionalFormatting>
  <conditionalFormatting sqref="H52:I52">
    <cfRule type="cellIs" dxfId="81" priority="7" operator="greaterThan">
      <formula>$H$3</formula>
    </cfRule>
  </conditionalFormatting>
  <conditionalFormatting sqref="H52:I52">
    <cfRule type="cellIs" dxfId="80" priority="8" operator="greaterThan">
      <formula>$H$3</formula>
    </cfRule>
  </conditionalFormatting>
  <conditionalFormatting sqref="H58:I58">
    <cfRule type="cellIs" dxfId="79" priority="6" operator="greaterThan">
      <formula>$H$3</formula>
    </cfRule>
  </conditionalFormatting>
  <conditionalFormatting sqref="H60:I60">
    <cfRule type="cellIs" dxfId="78" priority="5" operator="greaterThan">
      <formula>$H$3</formula>
    </cfRule>
  </conditionalFormatting>
  <conditionalFormatting sqref="H47:H48">
    <cfRule type="cellIs" dxfId="77" priority="3" operator="greaterThan">
      <formula>$H$3</formula>
    </cfRule>
  </conditionalFormatting>
  <conditionalFormatting sqref="I47:I48">
    <cfRule type="cellIs" dxfId="76" priority="4" operator="greaterThan">
      <formula>$H$3</formula>
    </cfRule>
  </conditionalFormatting>
  <conditionalFormatting sqref="H49:I49">
    <cfRule type="cellIs" dxfId="75" priority="1" operator="greaterThan">
      <formula>$H$3</formula>
    </cfRule>
  </conditionalFormatting>
  <conditionalFormatting sqref="H49:I49">
    <cfRule type="cellIs" dxfId="74" priority="2" operator="greaterThan">
      <formula>$H$3</formula>
    </cfRule>
  </conditionalFormatting>
  <pageMargins left="0.2" right="0.2" top="0.75" bottom="0.75" header="0.3" footer="0.3"/>
  <pageSetup scale="64" orientation="landscape"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T251"/>
  <sheetViews>
    <sheetView topLeftCell="A10" zoomScale="55" zoomScaleNormal="55" workbookViewId="0">
      <selection activeCell="A63" sqref="A63:H63"/>
    </sheetView>
  </sheetViews>
  <sheetFormatPr defaultRowHeight="14.4" x14ac:dyDescent="0.3"/>
  <cols>
    <col min="1" max="1" width="47.88671875" bestFit="1" customWidth="1"/>
    <col min="2" max="2" width="14.109375" customWidth="1"/>
    <col min="3" max="3" width="14.5546875" customWidth="1"/>
    <col min="4" max="4" width="13.5546875" customWidth="1"/>
    <col min="5" max="5" width="19.44140625" customWidth="1"/>
    <col min="6" max="6" width="13.44140625" customWidth="1"/>
    <col min="7" max="7" width="17.33203125" style="1" customWidth="1"/>
    <col min="8" max="8" width="17.88671875" bestFit="1" customWidth="1"/>
    <col min="9" max="9" width="15.109375" customWidth="1"/>
    <col min="10" max="10" width="19.5546875" style="214" customWidth="1"/>
    <col min="11" max="11" width="19.5546875" customWidth="1"/>
    <col min="12" max="12" width="14.88671875" customWidth="1"/>
    <col min="13" max="13" width="16.33203125" style="172" bestFit="1" customWidth="1"/>
    <col min="14" max="14" width="14.88671875" hidden="1" customWidth="1"/>
    <col min="15" max="16" width="14.88671875" style="37" hidden="1" customWidth="1"/>
    <col min="17" max="17" width="53.88671875" style="37" bestFit="1" customWidth="1"/>
    <col min="18" max="18" width="35.6640625" bestFit="1" customWidth="1"/>
    <col min="19" max="19" width="33.88671875" bestFit="1" customWidth="1"/>
    <col min="20" max="20" width="14.88671875" hidden="1" customWidth="1"/>
    <col min="21" max="22" width="14.88671875" customWidth="1"/>
    <col min="23" max="25" width="14" customWidth="1"/>
    <col min="26" max="34" width="9.88671875" customWidth="1"/>
  </cols>
  <sheetData>
    <row r="1" spans="1:19" ht="15.75" thickBot="1" x14ac:dyDescent="0.3">
      <c r="M1" s="323" t="s">
        <v>0</v>
      </c>
      <c r="N1" s="324"/>
      <c r="O1" s="324"/>
      <c r="P1" s="324"/>
      <c r="Q1" s="324"/>
      <c r="R1" s="324"/>
    </row>
    <row r="2" spans="1:19" ht="30" x14ac:dyDescent="0.25">
      <c r="A2" s="2"/>
      <c r="B2" s="3"/>
      <c r="C2" s="3"/>
      <c r="D2" s="3"/>
      <c r="E2" s="3"/>
      <c r="F2" s="3"/>
      <c r="G2" s="4" t="s">
        <v>1</v>
      </c>
      <c r="H2" s="5" t="s">
        <v>2</v>
      </c>
      <c r="I2" s="6"/>
      <c r="J2" s="215"/>
      <c r="K2" s="6"/>
      <c r="M2" s="7">
        <v>41456</v>
      </c>
      <c r="N2" s="8"/>
      <c r="O2" s="9"/>
      <c r="P2" s="9"/>
      <c r="Q2" s="9"/>
      <c r="R2" s="8"/>
    </row>
    <row r="3" spans="1:19" ht="18.75" x14ac:dyDescent="0.3">
      <c r="A3" s="10" t="s">
        <v>70</v>
      </c>
      <c r="B3" s="11"/>
      <c r="C3" s="8"/>
      <c r="D3" s="8"/>
      <c r="E3" s="8"/>
      <c r="F3" s="8"/>
      <c r="G3" s="12">
        <v>41470</v>
      </c>
      <c r="H3" s="13">
        <f>$M$5/26</f>
        <v>3.8461538461538464E-2</v>
      </c>
      <c r="I3" s="14"/>
      <c r="J3" s="216"/>
      <c r="K3" s="14"/>
      <c r="M3" s="15"/>
      <c r="N3" s="8"/>
      <c r="O3" s="9"/>
      <c r="P3" s="9"/>
      <c r="Q3" s="9"/>
      <c r="R3" s="8"/>
    </row>
    <row r="4" spans="1:19" ht="15.75" thickBot="1" x14ac:dyDescent="0.3">
      <c r="A4" s="16"/>
      <c r="B4" s="8"/>
      <c r="C4" s="8"/>
      <c r="D4" s="17"/>
      <c r="E4" s="8"/>
      <c r="F4" s="8"/>
      <c r="G4" s="18"/>
      <c r="H4" s="19"/>
      <c r="I4" s="8"/>
      <c r="J4" s="217"/>
      <c r="K4" s="8"/>
      <c r="M4" s="15">
        <f>G3-M2</f>
        <v>14</v>
      </c>
      <c r="N4" s="8"/>
      <c r="O4" s="9"/>
      <c r="P4" s="9"/>
      <c r="Q4" s="8"/>
      <c r="R4" s="8"/>
    </row>
    <row r="5" spans="1:19" ht="45.75" thickBot="1" x14ac:dyDescent="0.3">
      <c r="A5" s="20" t="s">
        <v>3</v>
      </c>
      <c r="B5" s="21" t="s">
        <v>4</v>
      </c>
      <c r="C5" s="21" t="s">
        <v>5</v>
      </c>
      <c r="D5" s="21" t="s">
        <v>6</v>
      </c>
      <c r="E5" s="22" t="s">
        <v>7</v>
      </c>
      <c r="F5" s="21" t="s">
        <v>8</v>
      </c>
      <c r="G5" s="23" t="s">
        <v>9</v>
      </c>
      <c r="H5" s="24" t="s">
        <v>69</v>
      </c>
      <c r="I5" s="25"/>
      <c r="J5" s="26" t="s">
        <v>10</v>
      </c>
      <c r="K5" s="26" t="s">
        <v>11</v>
      </c>
      <c r="M5" s="27">
        <f>M4/14</f>
        <v>1</v>
      </c>
      <c r="N5" s="8"/>
      <c r="O5" s="9"/>
      <c r="P5" s="9"/>
      <c r="Q5" t="s">
        <v>12</v>
      </c>
      <c r="R5" t="s">
        <v>13</v>
      </c>
      <c r="S5" t="s">
        <v>14</v>
      </c>
    </row>
    <row r="6" spans="1:19" ht="15" x14ac:dyDescent="0.25">
      <c r="A6" s="28" t="s">
        <v>15</v>
      </c>
      <c r="B6" s="29"/>
      <c r="C6" s="30"/>
      <c r="D6" s="31">
        <v>1</v>
      </c>
      <c r="E6" s="30">
        <f t="shared" ref="E6:E12" si="0">C6*D6</f>
        <v>0</v>
      </c>
      <c r="F6" s="30">
        <f t="shared" ref="F6:F12" si="1">C6-E6</f>
        <v>0</v>
      </c>
      <c r="G6" s="32"/>
      <c r="H6" s="33"/>
      <c r="I6" s="34"/>
      <c r="J6" s="218"/>
      <c r="K6" s="35"/>
      <c r="M6" s="36"/>
      <c r="N6" s="8"/>
      <c r="O6" s="9"/>
      <c r="P6" s="9"/>
    </row>
    <row r="7" spans="1:19" ht="15" x14ac:dyDescent="0.25">
      <c r="A7" s="38" t="s">
        <v>16</v>
      </c>
      <c r="B7" s="39">
        <v>1</v>
      </c>
      <c r="C7" s="40">
        <v>86.84</v>
      </c>
      <c r="D7" s="41">
        <v>1</v>
      </c>
      <c r="E7" s="40">
        <f t="shared" si="0"/>
        <v>86.84</v>
      </c>
      <c r="F7" s="40">
        <f t="shared" si="1"/>
        <v>0</v>
      </c>
      <c r="G7" s="32"/>
      <c r="H7" s="33"/>
      <c r="I7" s="34"/>
      <c r="J7" s="218"/>
      <c r="K7" s="35"/>
      <c r="M7" s="36"/>
      <c r="N7" s="8"/>
      <c r="O7" s="9"/>
      <c r="P7" s="9"/>
      <c r="Q7" s="37" t="s">
        <v>16</v>
      </c>
      <c r="R7">
        <v>1</v>
      </c>
      <c r="S7">
        <v>86.84</v>
      </c>
    </row>
    <row r="8" spans="1:19" ht="15" x14ac:dyDescent="0.25">
      <c r="A8" s="38" t="s">
        <v>17</v>
      </c>
      <c r="B8" s="39">
        <v>6</v>
      </c>
      <c r="C8" s="40">
        <v>563.54</v>
      </c>
      <c r="D8" s="41">
        <v>0.3</v>
      </c>
      <c r="E8" s="40">
        <f t="shared" si="0"/>
        <v>169.06199999999998</v>
      </c>
      <c r="F8" s="40">
        <f t="shared" si="1"/>
        <v>394.47799999999995</v>
      </c>
      <c r="G8" s="32"/>
      <c r="H8" s="33"/>
      <c r="I8" s="34"/>
      <c r="J8" s="218"/>
      <c r="K8" s="35"/>
      <c r="M8" s="36"/>
      <c r="N8" s="8"/>
      <c r="O8" s="9"/>
      <c r="P8" s="9"/>
      <c r="Q8" s="37" t="s">
        <v>17</v>
      </c>
      <c r="R8">
        <v>6</v>
      </c>
      <c r="S8">
        <v>563.54</v>
      </c>
    </row>
    <row r="9" spans="1:19" ht="15" x14ac:dyDescent="0.25">
      <c r="A9" s="38" t="s">
        <v>18</v>
      </c>
      <c r="B9" s="39">
        <v>48</v>
      </c>
      <c r="C9" s="40">
        <v>3824.4499999999994</v>
      </c>
      <c r="D9" s="41">
        <v>1</v>
      </c>
      <c r="E9" s="40">
        <f t="shared" si="0"/>
        <v>3824.4499999999994</v>
      </c>
      <c r="F9" s="40">
        <f t="shared" si="1"/>
        <v>0</v>
      </c>
      <c r="G9" s="32"/>
      <c r="H9" s="33"/>
      <c r="I9" s="34"/>
      <c r="J9" s="218"/>
      <c r="K9" s="35"/>
      <c r="M9" s="36"/>
      <c r="N9" s="8"/>
      <c r="O9" s="9"/>
      <c r="P9" s="9"/>
      <c r="Q9" s="37" t="s">
        <v>18</v>
      </c>
      <c r="R9">
        <v>48</v>
      </c>
      <c r="S9">
        <v>3824.4499999999994</v>
      </c>
    </row>
    <row r="10" spans="1:19" ht="15" x14ac:dyDescent="0.25">
      <c r="A10" s="38" t="s">
        <v>19</v>
      </c>
      <c r="B10" s="39">
        <v>12</v>
      </c>
      <c r="C10" s="40">
        <v>1254.6200000000001</v>
      </c>
      <c r="D10" s="41">
        <v>0.3</v>
      </c>
      <c r="E10" s="40">
        <f t="shared" si="0"/>
        <v>376.38600000000002</v>
      </c>
      <c r="F10" s="40">
        <f t="shared" si="1"/>
        <v>878.23400000000015</v>
      </c>
      <c r="G10" s="32"/>
      <c r="H10" s="42"/>
      <c r="I10" s="43"/>
      <c r="J10" s="219"/>
      <c r="K10" s="44"/>
      <c r="L10" s="45"/>
      <c r="M10" s="36"/>
      <c r="N10" s="8"/>
      <c r="O10" s="9"/>
      <c r="P10" s="9"/>
      <c r="Q10" s="37" t="s">
        <v>19</v>
      </c>
      <c r="R10">
        <v>12</v>
      </c>
      <c r="S10">
        <v>1254.6200000000001</v>
      </c>
    </row>
    <row r="11" spans="1:19" ht="15" x14ac:dyDescent="0.25">
      <c r="A11" s="38" t="s">
        <v>20</v>
      </c>
      <c r="B11" s="39">
        <v>209</v>
      </c>
      <c r="C11" s="40">
        <v>16082.030000000004</v>
      </c>
      <c r="D11" s="41">
        <v>1</v>
      </c>
      <c r="E11" s="40">
        <f t="shared" si="0"/>
        <v>16082.030000000004</v>
      </c>
      <c r="F11" s="40">
        <f t="shared" si="1"/>
        <v>0</v>
      </c>
      <c r="G11" s="32"/>
      <c r="H11" s="42"/>
      <c r="I11" s="43"/>
      <c r="J11" s="219"/>
      <c r="K11" s="44"/>
      <c r="M11" s="36"/>
      <c r="N11" s="8"/>
      <c r="O11" s="9"/>
      <c r="P11" s="9"/>
      <c r="Q11" s="37" t="s">
        <v>20</v>
      </c>
      <c r="R11">
        <v>209</v>
      </c>
      <c r="S11">
        <v>16082.030000000004</v>
      </c>
    </row>
    <row r="12" spans="1:19" ht="15" x14ac:dyDescent="0.25">
      <c r="A12" s="38" t="s">
        <v>21</v>
      </c>
      <c r="B12" s="39">
        <v>28</v>
      </c>
      <c r="C12" s="40">
        <v>2283.6000000000004</v>
      </c>
      <c r="D12" s="41">
        <v>0.3</v>
      </c>
      <c r="E12" s="40">
        <f t="shared" si="0"/>
        <v>685.08</v>
      </c>
      <c r="F12" s="40">
        <f t="shared" si="1"/>
        <v>1598.5200000000004</v>
      </c>
      <c r="G12" s="32"/>
      <c r="H12" s="42"/>
      <c r="I12" s="43"/>
      <c r="J12" s="219"/>
      <c r="K12" s="44"/>
      <c r="M12" s="36"/>
      <c r="N12" s="8"/>
      <c r="O12" s="9"/>
      <c r="P12" s="9"/>
      <c r="Q12" s="37" t="s">
        <v>21</v>
      </c>
      <c r="R12">
        <v>28</v>
      </c>
      <c r="S12">
        <v>2283.6000000000004</v>
      </c>
    </row>
    <row r="13" spans="1:19" ht="15" customHeight="1" thickBot="1" x14ac:dyDescent="0.3">
      <c r="A13" s="46" t="s">
        <v>22</v>
      </c>
      <c r="B13" s="47">
        <f>SUM(B6:B12)</f>
        <v>304</v>
      </c>
      <c r="C13" s="48">
        <f>SUM(C6:C12)</f>
        <v>24095.08</v>
      </c>
      <c r="D13" s="49"/>
      <c r="E13" s="48">
        <f>SUM(E6:E12)</f>
        <v>21223.848000000005</v>
      </c>
      <c r="F13" s="50">
        <f>SUM(F6:F12)</f>
        <v>2871.2320000000004</v>
      </c>
      <c r="G13" s="51">
        <v>2724921</v>
      </c>
      <c r="H13" s="52">
        <f>E13/G13</f>
        <v>7.7887938769601048E-3</v>
      </c>
      <c r="I13" s="53"/>
      <c r="J13" s="227">
        <f>(H13/H$3)*G$13</f>
        <v>551820.04800000007</v>
      </c>
      <c r="K13" s="55">
        <f>J13-G13</f>
        <v>-2173100.952</v>
      </c>
      <c r="M13" s="56">
        <v>3360000</v>
      </c>
      <c r="N13" s="8"/>
      <c r="O13" s="9"/>
      <c r="P13" s="9"/>
    </row>
    <row r="14" spans="1:19" ht="15" thickBot="1" x14ac:dyDescent="0.35">
      <c r="A14" s="57"/>
      <c r="B14" s="58"/>
      <c r="C14" s="59"/>
      <c r="D14" s="60"/>
      <c r="E14" s="59"/>
      <c r="F14" s="59"/>
      <c r="G14" s="61"/>
      <c r="H14" s="62"/>
      <c r="I14" s="63"/>
      <c r="J14" s="349"/>
      <c r="K14" s="338"/>
      <c r="M14" s="64"/>
      <c r="N14" s="8"/>
      <c r="O14" s="9"/>
      <c r="P14" s="9"/>
    </row>
    <row r="15" spans="1:19" x14ac:dyDescent="0.3">
      <c r="A15" s="65" t="s">
        <v>23</v>
      </c>
      <c r="B15" s="66">
        <v>1</v>
      </c>
      <c r="C15" s="67">
        <v>23.62</v>
      </c>
      <c r="D15" s="68">
        <v>1</v>
      </c>
      <c r="E15" s="67">
        <f>C15*D15</f>
        <v>23.62</v>
      </c>
      <c r="F15" s="67">
        <v>0</v>
      </c>
      <c r="G15" s="69"/>
      <c r="H15" s="70"/>
      <c r="I15" s="71"/>
      <c r="J15" s="339"/>
      <c r="K15" s="340"/>
      <c r="M15" s="56">
        <v>340000</v>
      </c>
      <c r="N15" s="8"/>
      <c r="O15" s="9"/>
      <c r="P15" s="9"/>
      <c r="Q15" s="37" t="s">
        <v>24</v>
      </c>
      <c r="R15">
        <v>1</v>
      </c>
      <c r="S15">
        <v>23.62</v>
      </c>
    </row>
    <row r="16" spans="1:19" x14ac:dyDescent="0.3">
      <c r="A16" s="72" t="s">
        <v>25</v>
      </c>
      <c r="B16" s="39"/>
      <c r="C16" s="40"/>
      <c r="D16" s="73">
        <v>0.3</v>
      </c>
      <c r="E16" s="40">
        <f>C16*D16</f>
        <v>0</v>
      </c>
      <c r="F16" s="40">
        <f>C16-E16</f>
        <v>0</v>
      </c>
      <c r="G16" s="69"/>
      <c r="H16" s="70"/>
      <c r="I16" s="71"/>
      <c r="J16" s="341"/>
      <c r="K16" s="342"/>
      <c r="M16" s="56">
        <v>340000</v>
      </c>
      <c r="N16" s="8"/>
      <c r="O16" s="9"/>
      <c r="P16" s="9"/>
    </row>
    <row r="17" spans="1:19" ht="15" customHeight="1" thickBot="1" x14ac:dyDescent="0.3">
      <c r="A17" s="74" t="s">
        <v>26</v>
      </c>
      <c r="B17" s="75">
        <f>SUM(B15:B16)</f>
        <v>1</v>
      </c>
      <c r="C17" s="76">
        <f>SUM(C15:C16)</f>
        <v>23.62</v>
      </c>
      <c r="D17" s="77"/>
      <c r="E17" s="76">
        <f>SUM(E15:E16)</f>
        <v>23.62</v>
      </c>
      <c r="F17" s="76">
        <f>F16</f>
        <v>0</v>
      </c>
      <c r="G17" s="78">
        <v>100000</v>
      </c>
      <c r="H17" s="79">
        <f>E17/G17</f>
        <v>2.3620000000000002E-4</v>
      </c>
      <c r="I17" s="80"/>
      <c r="J17" s="221">
        <f>(H17/H$3)*G$13</f>
        <v>16734.2848452</v>
      </c>
      <c r="K17" s="81">
        <f>J17-G17</f>
        <v>-83265.715154799997</v>
      </c>
      <c r="M17" s="56">
        <v>3360000</v>
      </c>
      <c r="N17" s="8"/>
      <c r="O17" s="9"/>
      <c r="P17" s="9"/>
    </row>
    <row r="18" spans="1:19" ht="15" thickBot="1" x14ac:dyDescent="0.35">
      <c r="A18" s="57"/>
      <c r="B18" s="82"/>
      <c r="C18" s="61"/>
      <c r="D18" s="83"/>
      <c r="E18" s="61"/>
      <c r="F18" s="61"/>
      <c r="G18" s="61"/>
      <c r="H18" s="62"/>
      <c r="I18" s="63"/>
      <c r="J18" s="349"/>
      <c r="K18" s="338"/>
      <c r="M18" s="64"/>
      <c r="N18" s="8"/>
      <c r="O18" s="9"/>
      <c r="P18" s="9"/>
    </row>
    <row r="19" spans="1:19" x14ac:dyDescent="0.3">
      <c r="A19" s="65" t="s">
        <v>27</v>
      </c>
      <c r="B19" s="66"/>
      <c r="C19" s="67"/>
      <c r="D19" s="68">
        <v>1</v>
      </c>
      <c r="E19" s="67">
        <f>C19*D19</f>
        <v>0</v>
      </c>
      <c r="F19" s="67">
        <v>0</v>
      </c>
      <c r="G19" s="69"/>
      <c r="H19" s="70"/>
      <c r="I19" s="71"/>
      <c r="J19" s="339"/>
      <c r="K19" s="340"/>
      <c r="M19" s="56">
        <v>340000</v>
      </c>
      <c r="N19" s="8"/>
      <c r="O19" s="9"/>
      <c r="P19" s="9"/>
    </row>
    <row r="20" spans="1:19" x14ac:dyDescent="0.3">
      <c r="A20" s="72" t="s">
        <v>28</v>
      </c>
      <c r="B20" s="39">
        <v>1</v>
      </c>
      <c r="C20" s="40">
        <v>408.71</v>
      </c>
      <c r="D20" s="73">
        <v>0.3</v>
      </c>
      <c r="E20" s="40">
        <f>C20*D20</f>
        <v>122.61299999999999</v>
      </c>
      <c r="F20" s="40">
        <f>C20-E20</f>
        <v>286.09699999999998</v>
      </c>
      <c r="G20" s="69"/>
      <c r="H20" s="70"/>
      <c r="I20" s="71"/>
      <c r="J20" s="341"/>
      <c r="K20" s="342"/>
      <c r="M20" s="56">
        <v>340000</v>
      </c>
      <c r="N20" s="8"/>
      <c r="O20" s="9"/>
      <c r="P20" s="9"/>
      <c r="Q20" s="37" t="s">
        <v>71</v>
      </c>
      <c r="R20">
        <v>1</v>
      </c>
      <c r="S20">
        <v>408.71</v>
      </c>
    </row>
    <row r="21" spans="1:19" ht="15" customHeight="1" thickBot="1" x14ac:dyDescent="0.3">
      <c r="A21" s="74" t="s">
        <v>29</v>
      </c>
      <c r="B21" s="75">
        <f>SUM(B19:B20)</f>
        <v>1</v>
      </c>
      <c r="C21" s="76">
        <f>SUM(C19:C20)</f>
        <v>408.71</v>
      </c>
      <c r="D21" s="77"/>
      <c r="E21" s="76">
        <f>SUM(E19:E20)</f>
        <v>122.61299999999999</v>
      </c>
      <c r="F21" s="76">
        <f>F20</f>
        <v>286.09699999999998</v>
      </c>
      <c r="G21" s="78">
        <v>100000</v>
      </c>
      <c r="H21" s="79">
        <f>E21/G21</f>
        <v>1.2261299999999998E-3</v>
      </c>
      <c r="I21" s="80"/>
      <c r="J21" s="221">
        <v>1210.4083079629038</v>
      </c>
      <c r="K21" s="81">
        <v>-399744.59169203712</v>
      </c>
      <c r="M21" s="56">
        <v>3360000</v>
      </c>
      <c r="N21" s="8"/>
      <c r="O21" s="9"/>
      <c r="P21" s="9"/>
    </row>
    <row r="22" spans="1:19" ht="15" thickBot="1" x14ac:dyDescent="0.35">
      <c r="A22" s="57"/>
      <c r="B22" s="82"/>
      <c r="C22" s="61"/>
      <c r="D22" s="83"/>
      <c r="E22" s="61"/>
      <c r="F22" s="61"/>
      <c r="G22" s="61"/>
      <c r="H22" s="62"/>
      <c r="I22" s="63"/>
      <c r="J22" s="349"/>
      <c r="K22" s="338"/>
      <c r="M22" s="64"/>
      <c r="N22" s="8"/>
      <c r="O22" s="9"/>
      <c r="P22" s="9"/>
    </row>
    <row r="23" spans="1:19" x14ac:dyDescent="0.3">
      <c r="A23" s="84" t="s">
        <v>30</v>
      </c>
      <c r="B23" s="85">
        <v>50</v>
      </c>
      <c r="C23" s="86">
        <v>4756.82</v>
      </c>
      <c r="D23" s="87">
        <v>1</v>
      </c>
      <c r="E23" s="86">
        <f>C23*D23</f>
        <v>4756.82</v>
      </c>
      <c r="F23" s="88"/>
      <c r="G23" s="89"/>
      <c r="H23" s="90"/>
      <c r="I23" s="91"/>
      <c r="J23" s="339"/>
      <c r="K23" s="340"/>
      <c r="M23" s="92"/>
      <c r="N23" s="8"/>
      <c r="O23" s="9"/>
      <c r="P23" s="9"/>
      <c r="Q23" s="37" t="s">
        <v>72</v>
      </c>
      <c r="R23">
        <v>50</v>
      </c>
      <c r="S23">
        <v>4756.82</v>
      </c>
    </row>
    <row r="24" spans="1:19" x14ac:dyDescent="0.3">
      <c r="A24" s="84" t="s">
        <v>32</v>
      </c>
      <c r="B24" s="85">
        <v>21</v>
      </c>
      <c r="C24" s="93">
        <v>2218.4</v>
      </c>
      <c r="D24" s="94">
        <v>0.3</v>
      </c>
      <c r="E24" s="93">
        <f>C24*D24</f>
        <v>665.52</v>
      </c>
      <c r="F24" s="95">
        <f>C24-E24</f>
        <v>1552.88</v>
      </c>
      <c r="G24" s="96"/>
      <c r="H24" s="97"/>
      <c r="I24" s="91"/>
      <c r="J24" s="341"/>
      <c r="K24" s="342"/>
      <c r="M24" s="92"/>
      <c r="N24" s="8"/>
      <c r="O24" s="9"/>
      <c r="P24" s="9"/>
      <c r="Q24" s="37" t="s">
        <v>31</v>
      </c>
      <c r="R24">
        <v>21</v>
      </c>
      <c r="S24">
        <v>2218.4</v>
      </c>
    </row>
    <row r="25" spans="1:19" ht="15" customHeight="1" thickBot="1" x14ac:dyDescent="0.3">
      <c r="A25" s="74" t="s">
        <v>33</v>
      </c>
      <c r="B25" s="75">
        <f>SUM(B23:B24)</f>
        <v>71</v>
      </c>
      <c r="C25" s="76">
        <f>SUM(C23:C24)</f>
        <v>6975.2199999999993</v>
      </c>
      <c r="D25" s="77"/>
      <c r="E25" s="76">
        <f>SUM(E23:E24)</f>
        <v>5422.34</v>
      </c>
      <c r="F25" s="76">
        <f>F24</f>
        <v>1552.88</v>
      </c>
      <c r="G25" s="78">
        <v>750000</v>
      </c>
      <c r="H25" s="79">
        <f>E25/G25</f>
        <v>7.2297866666666665E-3</v>
      </c>
      <c r="I25" s="80"/>
      <c r="J25" s="221">
        <f>(H25/H$3)*G$13</f>
        <v>512215.53535151994</v>
      </c>
      <c r="K25" s="81">
        <f>J25-G25</f>
        <v>-237784.46464848006</v>
      </c>
      <c r="M25" s="56">
        <v>3360000</v>
      </c>
      <c r="N25" s="8"/>
      <c r="O25" s="9"/>
      <c r="P25" s="9"/>
    </row>
    <row r="26" spans="1:19" ht="15" thickBot="1" x14ac:dyDescent="0.35">
      <c r="A26" s="57"/>
      <c r="B26" s="82"/>
      <c r="C26" s="61"/>
      <c r="D26" s="83"/>
      <c r="E26" s="61"/>
      <c r="F26" s="61"/>
      <c r="G26" s="61"/>
      <c r="H26" s="62"/>
      <c r="I26" s="63"/>
      <c r="J26" s="337"/>
      <c r="K26" s="350"/>
      <c r="M26" s="64"/>
      <c r="N26" s="8"/>
      <c r="O26" s="9"/>
      <c r="P26" s="9"/>
    </row>
    <row r="27" spans="1:19" x14ac:dyDescent="0.3">
      <c r="A27" s="65" t="s">
        <v>34</v>
      </c>
      <c r="B27" s="98">
        <v>46</v>
      </c>
      <c r="C27" s="99">
        <v>3155.26</v>
      </c>
      <c r="D27" s="100">
        <v>1</v>
      </c>
      <c r="E27" s="101">
        <f>C27*D27</f>
        <v>3155.26</v>
      </c>
      <c r="F27" s="101">
        <v>0</v>
      </c>
      <c r="G27" s="69"/>
      <c r="H27" s="70"/>
      <c r="I27" s="71"/>
      <c r="J27" s="351"/>
      <c r="K27" s="352"/>
      <c r="M27" s="56">
        <v>340000</v>
      </c>
      <c r="N27" s="8"/>
      <c r="O27" s="9"/>
      <c r="P27" s="9"/>
      <c r="Q27" s="37" t="s">
        <v>73</v>
      </c>
      <c r="R27">
        <v>46</v>
      </c>
      <c r="S27">
        <v>3155.26</v>
      </c>
    </row>
    <row r="28" spans="1:19" x14ac:dyDescent="0.3">
      <c r="A28" s="72" t="s">
        <v>35</v>
      </c>
      <c r="B28" s="102">
        <v>8</v>
      </c>
      <c r="C28" s="103">
        <v>567.41</v>
      </c>
      <c r="D28" s="104">
        <v>0.3</v>
      </c>
      <c r="E28" s="105">
        <f>C28*D28</f>
        <v>170.22299999999998</v>
      </c>
      <c r="F28" s="105">
        <f>C28-E28</f>
        <v>397.18700000000001</v>
      </c>
      <c r="G28" s="69"/>
      <c r="H28" s="70"/>
      <c r="I28" s="71"/>
      <c r="J28" s="353"/>
      <c r="K28" s="354"/>
      <c r="M28" s="56">
        <v>340000</v>
      </c>
      <c r="N28" s="8"/>
      <c r="O28" s="9"/>
      <c r="P28" s="9"/>
      <c r="Q28" s="37" t="s">
        <v>74</v>
      </c>
      <c r="R28">
        <v>8</v>
      </c>
      <c r="S28">
        <v>567.41</v>
      </c>
    </row>
    <row r="29" spans="1:19" ht="15" customHeight="1" thickBot="1" x14ac:dyDescent="0.3">
      <c r="A29" s="74" t="s">
        <v>36</v>
      </c>
      <c r="B29" s="75">
        <f>SUM(B27:B28)</f>
        <v>54</v>
      </c>
      <c r="C29" s="76">
        <f>SUM(C27:C28)</f>
        <v>3722.67</v>
      </c>
      <c r="D29" s="77"/>
      <c r="E29" s="76">
        <f>SUM(E27:E28)</f>
        <v>3325.4830000000002</v>
      </c>
      <c r="F29" s="76">
        <f>F28</f>
        <v>397.18700000000001</v>
      </c>
      <c r="G29" s="78">
        <v>429000</v>
      </c>
      <c r="H29" s="79">
        <f>E29/G29</f>
        <v>7.7517086247086255E-3</v>
      </c>
      <c r="I29" s="80"/>
      <c r="J29" s="221">
        <f>(H29/H$3)*G$13</f>
        <v>549192.63405109092</v>
      </c>
      <c r="K29" s="81">
        <f>J29-G29</f>
        <v>120192.63405109092</v>
      </c>
      <c r="M29" s="56">
        <v>3360000</v>
      </c>
      <c r="N29" s="8"/>
      <c r="O29" s="9"/>
      <c r="P29" s="9"/>
    </row>
    <row r="30" spans="1:19" ht="15" thickBot="1" x14ac:dyDescent="0.35">
      <c r="A30" s="57"/>
      <c r="B30" s="82"/>
      <c r="C30" s="61"/>
      <c r="D30" s="83"/>
      <c r="E30" s="61"/>
      <c r="F30" s="61"/>
      <c r="G30" s="61"/>
      <c r="H30" s="62"/>
      <c r="I30" s="63"/>
      <c r="J30" s="355"/>
      <c r="K30" s="338"/>
      <c r="M30" s="64"/>
      <c r="N30" s="8"/>
      <c r="O30" s="9"/>
      <c r="P30" s="9"/>
    </row>
    <row r="31" spans="1:19" x14ac:dyDescent="0.3">
      <c r="A31" s="106" t="s">
        <v>37</v>
      </c>
      <c r="B31" s="107">
        <v>52</v>
      </c>
      <c r="C31" s="108">
        <v>4567.4400000000005</v>
      </c>
      <c r="D31" s="109">
        <v>1</v>
      </c>
      <c r="E31" s="110">
        <f>C31*D31</f>
        <v>4567.4400000000005</v>
      </c>
      <c r="F31" s="111"/>
      <c r="G31" s="358"/>
      <c r="H31" s="360"/>
      <c r="I31" s="112"/>
      <c r="J31" s="339"/>
      <c r="K31" s="340"/>
      <c r="M31" s="113">
        <v>600000</v>
      </c>
      <c r="N31" s="8"/>
      <c r="O31" s="9"/>
      <c r="P31" s="9"/>
      <c r="Q31" s="37" t="s">
        <v>38</v>
      </c>
      <c r="R31">
        <v>52</v>
      </c>
      <c r="S31">
        <v>4567.4400000000005</v>
      </c>
    </row>
    <row r="32" spans="1:19" x14ac:dyDescent="0.3">
      <c r="A32" s="114" t="s">
        <v>39</v>
      </c>
      <c r="B32" s="115">
        <v>9</v>
      </c>
      <c r="C32" s="64">
        <v>2376.0499999999997</v>
      </c>
      <c r="D32" s="116">
        <v>0.3</v>
      </c>
      <c r="E32" s="117">
        <f>C32*D32</f>
        <v>712.81499999999994</v>
      </c>
      <c r="F32" s="118">
        <f>C32-E32</f>
        <v>1663.2349999999997</v>
      </c>
      <c r="G32" s="359"/>
      <c r="H32" s="361"/>
      <c r="I32" s="112"/>
      <c r="J32" s="341"/>
      <c r="K32" s="342"/>
      <c r="M32" s="64"/>
      <c r="N32" s="8"/>
      <c r="O32" s="9"/>
      <c r="P32" s="9"/>
      <c r="Q32" s="37" t="s">
        <v>40</v>
      </c>
      <c r="R32">
        <v>9</v>
      </c>
      <c r="S32">
        <v>2376.0499999999997</v>
      </c>
    </row>
    <row r="33" spans="1:19" ht="15" customHeight="1" thickBot="1" x14ac:dyDescent="0.3">
      <c r="A33" s="119" t="s">
        <v>41</v>
      </c>
      <c r="B33" s="120">
        <f>SUM(B31:B32)</f>
        <v>61</v>
      </c>
      <c r="C33" s="78">
        <f>SUM(C31:C32)</f>
        <v>6943.49</v>
      </c>
      <c r="D33" s="121"/>
      <c r="E33" s="78">
        <f>SUM(E31:E32)</f>
        <v>5280.2550000000001</v>
      </c>
      <c r="F33" s="78">
        <f>F32</f>
        <v>1663.2349999999997</v>
      </c>
      <c r="G33" s="78">
        <v>1000000</v>
      </c>
      <c r="H33" s="79">
        <f>E33/G33</f>
        <v>5.2802550000000002E-3</v>
      </c>
      <c r="I33" s="80"/>
      <c r="J33" s="221">
        <f>(H33/H$3)*G$13</f>
        <v>374095.22110622999</v>
      </c>
      <c r="K33" s="81">
        <f>J33-G33</f>
        <v>-625904.77889376995</v>
      </c>
      <c r="M33" s="56">
        <v>3360000</v>
      </c>
      <c r="N33" s="8"/>
      <c r="O33" s="9"/>
      <c r="P33" s="9"/>
    </row>
    <row r="34" spans="1:19" ht="15" thickBot="1" x14ac:dyDescent="0.35">
      <c r="A34" s="57"/>
      <c r="B34" s="82"/>
      <c r="C34" s="61"/>
      <c r="D34" s="83"/>
      <c r="E34" s="61"/>
      <c r="F34" s="61"/>
      <c r="G34" s="61"/>
      <c r="H34" s="62"/>
      <c r="I34" s="63"/>
      <c r="J34" s="337"/>
      <c r="K34" s="350"/>
      <c r="M34" s="64"/>
      <c r="N34" s="8"/>
      <c r="O34" s="9"/>
      <c r="P34" s="9"/>
    </row>
    <row r="35" spans="1:19" x14ac:dyDescent="0.3">
      <c r="A35" s="122" t="s">
        <v>42</v>
      </c>
      <c r="B35" s="123">
        <v>37</v>
      </c>
      <c r="C35" s="124">
        <v>8503.7100000000009</v>
      </c>
      <c r="D35" s="125">
        <v>1</v>
      </c>
      <c r="E35" s="124">
        <f>C35*D35</f>
        <v>8503.7100000000009</v>
      </c>
      <c r="F35" s="126"/>
      <c r="G35" s="362"/>
      <c r="H35" s="364"/>
      <c r="I35" s="127"/>
      <c r="J35" s="351"/>
      <c r="K35" s="352"/>
      <c r="M35" s="128">
        <v>650000</v>
      </c>
      <c r="N35" s="8"/>
      <c r="O35" s="9"/>
      <c r="P35" s="9"/>
      <c r="Q35" s="37" t="s">
        <v>43</v>
      </c>
      <c r="R35">
        <v>37</v>
      </c>
      <c r="S35">
        <v>8503.7100000000009</v>
      </c>
    </row>
    <row r="36" spans="1:19" x14ac:dyDescent="0.3">
      <c r="A36" s="129" t="s">
        <v>44</v>
      </c>
      <c r="B36" s="130">
        <v>46</v>
      </c>
      <c r="C36" s="131">
        <v>10136.819999999994</v>
      </c>
      <c r="D36" s="132">
        <v>0.3</v>
      </c>
      <c r="E36" s="131">
        <f>C36*D36</f>
        <v>3041.045999999998</v>
      </c>
      <c r="F36" s="133">
        <f>C36-E36</f>
        <v>7095.7739999999958</v>
      </c>
      <c r="G36" s="363"/>
      <c r="H36" s="365"/>
      <c r="I36" s="127"/>
      <c r="J36" s="353"/>
      <c r="K36" s="354"/>
      <c r="M36" s="131"/>
      <c r="N36" s="8"/>
      <c r="O36" s="9"/>
      <c r="P36" s="9"/>
      <c r="Q36" s="37" t="s">
        <v>45</v>
      </c>
      <c r="R36">
        <v>46</v>
      </c>
      <c r="S36">
        <v>10136.819999999994</v>
      </c>
    </row>
    <row r="37" spans="1:19" ht="15" customHeight="1" thickBot="1" x14ac:dyDescent="0.3">
      <c r="A37" s="74" t="s">
        <v>46</v>
      </c>
      <c r="B37" s="120">
        <f>SUM(B35:B36)</f>
        <v>83</v>
      </c>
      <c r="C37" s="78">
        <f>SUM(C35:C36)</f>
        <v>18640.529999999995</v>
      </c>
      <c r="D37" s="121"/>
      <c r="E37" s="78">
        <f>SUM(E35:E36)</f>
        <v>11544.755999999999</v>
      </c>
      <c r="F37" s="78">
        <f>F36</f>
        <v>7095.7739999999958</v>
      </c>
      <c r="G37" s="78">
        <v>450000</v>
      </c>
      <c r="H37" s="79">
        <f>E37/G37</f>
        <v>2.5655013333333331E-2</v>
      </c>
      <c r="I37" s="80"/>
      <c r="J37" s="221">
        <f>(H37/H$3)*G$13</f>
        <v>1817604.9992692799</v>
      </c>
      <c r="K37" s="81">
        <f>J37-G37</f>
        <v>1367604.9992692799</v>
      </c>
      <c r="M37" s="56">
        <v>3360000</v>
      </c>
      <c r="N37" s="8"/>
      <c r="O37" s="9"/>
      <c r="P37" s="9"/>
    </row>
    <row r="38" spans="1:19" ht="15" thickBot="1" x14ac:dyDescent="0.35">
      <c r="A38" s="57"/>
      <c r="B38" s="82"/>
      <c r="C38" s="61"/>
      <c r="D38" s="83"/>
      <c r="E38" s="61"/>
      <c r="F38" s="61"/>
      <c r="G38" s="61"/>
      <c r="H38" s="62"/>
      <c r="I38" s="63"/>
      <c r="J38" s="337"/>
      <c r="K38" s="338"/>
      <c r="M38" s="64"/>
      <c r="N38" s="8"/>
      <c r="O38" s="9"/>
      <c r="P38" s="9"/>
    </row>
    <row r="39" spans="1:19" x14ac:dyDescent="0.3">
      <c r="A39" s="134" t="s">
        <v>47</v>
      </c>
      <c r="B39" s="98">
        <v>22</v>
      </c>
      <c r="C39" s="135">
        <v>3206.5099999999998</v>
      </c>
      <c r="D39" s="136">
        <v>1</v>
      </c>
      <c r="E39" s="99">
        <f>C39*D39</f>
        <v>3206.5099999999998</v>
      </c>
      <c r="F39" s="101"/>
      <c r="G39" s="343"/>
      <c r="H39" s="345"/>
      <c r="I39" s="91"/>
      <c r="J39" s="339"/>
      <c r="K39" s="340"/>
      <c r="M39" s="137">
        <v>250000</v>
      </c>
      <c r="N39" s="8"/>
      <c r="O39" s="9"/>
      <c r="P39" s="9"/>
      <c r="Q39" s="37" t="s">
        <v>48</v>
      </c>
      <c r="R39">
        <v>22</v>
      </c>
      <c r="S39">
        <v>3206.5099999999998</v>
      </c>
    </row>
    <row r="40" spans="1:19" x14ac:dyDescent="0.3">
      <c r="A40" s="138" t="s">
        <v>49</v>
      </c>
      <c r="B40" s="85">
        <v>5</v>
      </c>
      <c r="C40" s="93">
        <v>350.43</v>
      </c>
      <c r="D40" s="94">
        <v>0.3</v>
      </c>
      <c r="E40" s="139">
        <f>C40*D40</f>
        <v>105.129</v>
      </c>
      <c r="F40" s="140">
        <f>C40-E40</f>
        <v>245.30099999999999</v>
      </c>
      <c r="G40" s="344"/>
      <c r="H40" s="346"/>
      <c r="I40" s="91"/>
      <c r="J40" s="341"/>
      <c r="K40" s="342"/>
      <c r="M40" s="92"/>
      <c r="N40" s="8"/>
      <c r="O40" s="9"/>
      <c r="P40" s="9"/>
      <c r="Q40" s="37" t="s">
        <v>50</v>
      </c>
      <c r="R40">
        <v>5</v>
      </c>
      <c r="S40">
        <v>350.43</v>
      </c>
    </row>
    <row r="41" spans="1:19" ht="15" customHeight="1" thickBot="1" x14ac:dyDescent="0.3">
      <c r="A41" s="119" t="s">
        <v>51</v>
      </c>
      <c r="B41" s="120">
        <f>SUM(B39:B40)</f>
        <v>27</v>
      </c>
      <c r="C41" s="78">
        <f>SUM(C39:C40)</f>
        <v>3556.9399999999996</v>
      </c>
      <c r="D41" s="121"/>
      <c r="E41" s="78">
        <f>SUM(E39:E40)</f>
        <v>3311.6389999999997</v>
      </c>
      <c r="F41" s="78">
        <f>F40</f>
        <v>245.30099999999999</v>
      </c>
      <c r="G41" s="78">
        <v>325000</v>
      </c>
      <c r="H41" s="79">
        <f>E41/G41</f>
        <v>1.0189658461538461E-2</v>
      </c>
      <c r="I41" s="80"/>
      <c r="J41" s="221">
        <f>(H41/H$3)*G$13</f>
        <v>721916.37244151987</v>
      </c>
      <c r="K41" s="81">
        <f>J41-G41</f>
        <v>396916.37244151987</v>
      </c>
      <c r="M41" s="56">
        <v>3360000</v>
      </c>
      <c r="N41" s="8"/>
      <c r="O41" s="9"/>
      <c r="P41" s="9"/>
    </row>
    <row r="42" spans="1:19" ht="15" thickBot="1" x14ac:dyDescent="0.35">
      <c r="A42" s="57"/>
      <c r="B42" s="82"/>
      <c r="C42" s="61"/>
      <c r="D42" s="83"/>
      <c r="E42" s="61"/>
      <c r="F42" s="61"/>
      <c r="G42" s="61"/>
      <c r="H42" s="62"/>
      <c r="I42" s="63"/>
      <c r="J42" s="337"/>
      <c r="K42" s="350"/>
      <c r="M42" s="64"/>
      <c r="N42" s="8"/>
      <c r="O42" s="9"/>
      <c r="P42" s="9"/>
    </row>
    <row r="43" spans="1:19" x14ac:dyDescent="0.3">
      <c r="A43" s="141" t="s">
        <v>52</v>
      </c>
      <c r="B43" s="123">
        <v>16</v>
      </c>
      <c r="C43" s="124">
        <v>1426.8400000000001</v>
      </c>
      <c r="D43" s="109">
        <v>1</v>
      </c>
      <c r="E43" s="110">
        <f>C43*D43</f>
        <v>1426.8400000000001</v>
      </c>
      <c r="F43" s="142"/>
      <c r="G43" s="362"/>
      <c r="H43" s="364"/>
      <c r="I43" s="127"/>
      <c r="J43" s="351"/>
      <c r="K43" s="352"/>
      <c r="M43" s="128">
        <v>340000</v>
      </c>
      <c r="N43" s="8"/>
      <c r="O43" s="9"/>
      <c r="P43" s="9"/>
      <c r="Q43" s="37" t="s">
        <v>53</v>
      </c>
      <c r="R43">
        <v>16</v>
      </c>
      <c r="S43">
        <v>1426.8400000000001</v>
      </c>
    </row>
    <row r="44" spans="1:19" x14ac:dyDescent="0.3">
      <c r="A44" s="129" t="s">
        <v>54</v>
      </c>
      <c r="B44" s="130">
        <v>12</v>
      </c>
      <c r="C44" s="131">
        <v>582.28</v>
      </c>
      <c r="D44" s="116">
        <v>0.3</v>
      </c>
      <c r="E44" s="117">
        <f>C44*D44</f>
        <v>174.684</v>
      </c>
      <c r="F44" s="97">
        <f>C44-E44</f>
        <v>407.596</v>
      </c>
      <c r="G44" s="363"/>
      <c r="H44" s="365"/>
      <c r="I44" s="127"/>
      <c r="J44" s="353"/>
      <c r="K44" s="354"/>
      <c r="M44" s="131"/>
      <c r="N44" s="8"/>
      <c r="O44" s="9"/>
      <c r="P44" s="9"/>
      <c r="Q44" s="37" t="s">
        <v>55</v>
      </c>
      <c r="R44">
        <v>12</v>
      </c>
      <c r="S44">
        <v>582.28</v>
      </c>
    </row>
    <row r="45" spans="1:19" ht="15" customHeight="1" thickBot="1" x14ac:dyDescent="0.3">
      <c r="A45" s="119" t="s">
        <v>56</v>
      </c>
      <c r="B45" s="120">
        <f>SUM(B43:B44)</f>
        <v>28</v>
      </c>
      <c r="C45" s="78">
        <f>SUM(C43:C44)</f>
        <v>2009.1200000000001</v>
      </c>
      <c r="D45" s="121"/>
      <c r="E45" s="78">
        <f>SUM(E43:E44)</f>
        <v>1601.5240000000001</v>
      </c>
      <c r="F45" s="78">
        <f>F44</f>
        <v>407.596</v>
      </c>
      <c r="G45" s="78">
        <v>300000</v>
      </c>
      <c r="H45" s="79">
        <f>E45/G45</f>
        <v>5.3384133333333333E-3</v>
      </c>
      <c r="I45" s="80"/>
      <c r="J45" s="221">
        <f>(H45/H$3)*G$13</f>
        <v>378215.61956567998</v>
      </c>
      <c r="K45" s="81">
        <f>J45-G45</f>
        <v>78215.619565679983</v>
      </c>
      <c r="M45" s="56">
        <v>3360000</v>
      </c>
      <c r="N45" s="8"/>
      <c r="O45" s="9"/>
      <c r="P45" s="9"/>
    </row>
    <row r="46" spans="1:19" ht="15" thickBot="1" x14ac:dyDescent="0.35">
      <c r="A46" s="57"/>
      <c r="B46" s="82"/>
      <c r="C46" s="61"/>
      <c r="D46" s="83"/>
      <c r="E46" s="61"/>
      <c r="F46" s="143"/>
      <c r="G46" s="61"/>
      <c r="H46" s="62"/>
      <c r="I46" s="63"/>
      <c r="J46" s="337"/>
      <c r="K46" s="338"/>
      <c r="M46" s="64"/>
      <c r="N46" s="8"/>
      <c r="O46" s="9"/>
      <c r="P46" s="9"/>
    </row>
    <row r="47" spans="1:19" x14ac:dyDescent="0.3">
      <c r="A47" s="141" t="s">
        <v>66</v>
      </c>
      <c r="B47" s="123"/>
      <c r="C47" s="124"/>
      <c r="D47" s="109">
        <v>1</v>
      </c>
      <c r="E47" s="110">
        <f>C47*D47</f>
        <v>0</v>
      </c>
      <c r="F47" s="142"/>
      <c r="G47" s="362"/>
      <c r="H47" s="364"/>
      <c r="I47" s="127"/>
      <c r="J47" s="370"/>
      <c r="K47" s="340"/>
      <c r="M47" s="128">
        <v>340000</v>
      </c>
      <c r="N47" s="8"/>
      <c r="O47" s="9"/>
      <c r="P47" s="9"/>
    </row>
    <row r="48" spans="1:19" x14ac:dyDescent="0.3">
      <c r="A48" s="129" t="s">
        <v>67</v>
      </c>
      <c r="B48" s="130"/>
      <c r="C48" s="131"/>
      <c r="D48" s="116">
        <v>0.3</v>
      </c>
      <c r="E48" s="117">
        <f>C48*D48</f>
        <v>0</v>
      </c>
      <c r="F48" s="97">
        <f>C48-E48</f>
        <v>0</v>
      </c>
      <c r="G48" s="363"/>
      <c r="H48" s="365"/>
      <c r="I48" s="127"/>
      <c r="J48" s="370"/>
      <c r="K48" s="340"/>
      <c r="M48" s="131"/>
      <c r="N48" s="8"/>
      <c r="O48" s="9"/>
      <c r="P48" s="9"/>
    </row>
    <row r="49" spans="1:19" ht="15" customHeight="1" thickBot="1" x14ac:dyDescent="0.35">
      <c r="A49" s="119" t="s">
        <v>68</v>
      </c>
      <c r="B49" s="120">
        <f>SUM(B47:B48)</f>
        <v>0</v>
      </c>
      <c r="C49" s="78">
        <f>SUM(C47:C48)</f>
        <v>0</v>
      </c>
      <c r="D49" s="121"/>
      <c r="E49" s="78">
        <f>SUM(E47:E48)</f>
        <v>0</v>
      </c>
      <c r="F49" s="78">
        <f>F48</f>
        <v>0</v>
      </c>
      <c r="G49" s="78">
        <v>275000</v>
      </c>
      <c r="H49" s="79">
        <f>E49/G49</f>
        <v>0</v>
      </c>
      <c r="I49" s="80"/>
      <c r="J49" s="370"/>
      <c r="K49" s="340"/>
      <c r="M49" s="56">
        <v>3360000</v>
      </c>
      <c r="N49" s="8"/>
      <c r="O49" s="9"/>
      <c r="P49" s="9"/>
    </row>
    <row r="50" spans="1:19" ht="15" thickBot="1" x14ac:dyDescent="0.35">
      <c r="A50" s="57"/>
      <c r="B50" s="82"/>
      <c r="C50" s="61"/>
      <c r="D50" s="83"/>
      <c r="E50" s="61"/>
      <c r="F50" s="143"/>
      <c r="G50" s="61"/>
      <c r="H50" s="62"/>
      <c r="I50" s="63"/>
      <c r="J50" s="370"/>
      <c r="K50" s="340"/>
      <c r="M50" s="64"/>
      <c r="N50" s="8"/>
      <c r="O50" s="9"/>
      <c r="P50" s="9"/>
    </row>
    <row r="51" spans="1:19" ht="16.5" customHeight="1" x14ac:dyDescent="0.3">
      <c r="A51" s="106" t="s">
        <v>57</v>
      </c>
      <c r="B51" s="115">
        <v>240</v>
      </c>
      <c r="C51" s="64">
        <v>20446.739999999998</v>
      </c>
      <c r="D51" s="116">
        <v>0.3</v>
      </c>
      <c r="E51" s="110">
        <f>C51*D51</f>
        <v>6134.021999999999</v>
      </c>
      <c r="F51" s="144">
        <f>C51-E51</f>
        <v>14312.717999999999</v>
      </c>
      <c r="G51" s="145"/>
      <c r="H51" s="146"/>
      <c r="I51" s="112"/>
      <c r="J51" s="341"/>
      <c r="K51" s="342"/>
      <c r="M51" s="64"/>
      <c r="N51" s="8"/>
      <c r="O51" s="9"/>
      <c r="P51" s="9"/>
      <c r="Q51" s="37" t="s">
        <v>58</v>
      </c>
      <c r="R51">
        <v>240</v>
      </c>
      <c r="S51">
        <v>20446.739999999998</v>
      </c>
    </row>
    <row r="52" spans="1:19" ht="15" customHeight="1" thickBot="1" x14ac:dyDescent="0.3">
      <c r="A52" s="119" t="s">
        <v>59</v>
      </c>
      <c r="B52" s="120">
        <f>B51</f>
        <v>240</v>
      </c>
      <c r="C52" s="78">
        <f>C51</f>
        <v>20446.739999999998</v>
      </c>
      <c r="D52" s="121"/>
      <c r="E52" s="78">
        <f>E51</f>
        <v>6134.021999999999</v>
      </c>
      <c r="F52" s="78">
        <f>F51</f>
        <v>14312.717999999999</v>
      </c>
      <c r="G52" s="78">
        <v>916667</v>
      </c>
      <c r="H52" s="79"/>
      <c r="I52" s="80"/>
      <c r="J52" s="221">
        <f>(H52/H$3)*G$13</f>
        <v>0</v>
      </c>
      <c r="K52" s="81">
        <f>J52-G52</f>
        <v>-916667</v>
      </c>
      <c r="M52" s="56">
        <v>3360000</v>
      </c>
      <c r="N52" s="8"/>
      <c r="O52" s="9"/>
      <c r="P52" s="9"/>
    </row>
    <row r="53" spans="1:19" ht="15" thickBot="1" x14ac:dyDescent="0.35">
      <c r="A53" s="57"/>
      <c r="B53" s="82"/>
      <c r="C53" s="61"/>
      <c r="D53" s="83"/>
      <c r="E53" s="61"/>
      <c r="F53" s="143"/>
      <c r="G53" s="61"/>
      <c r="H53" s="62"/>
      <c r="I53" s="63"/>
      <c r="J53" s="337"/>
      <c r="K53" s="350"/>
      <c r="M53" s="64"/>
      <c r="N53" s="8"/>
      <c r="O53" s="9"/>
      <c r="P53" s="9"/>
    </row>
    <row r="54" spans="1:19" ht="15" thickBot="1" x14ac:dyDescent="0.35">
      <c r="A54" s="147" t="s">
        <v>75</v>
      </c>
      <c r="B54" s="148">
        <v>47</v>
      </c>
      <c r="C54" s="54">
        <v>597.05999999999995</v>
      </c>
      <c r="D54" s="149">
        <v>1</v>
      </c>
      <c r="E54" s="54">
        <f>C54*D54</f>
        <v>597.05999999999995</v>
      </c>
      <c r="F54" s="150"/>
      <c r="G54" s="151">
        <v>546455</v>
      </c>
      <c r="H54" s="152"/>
      <c r="I54" s="71"/>
      <c r="J54" s="351"/>
      <c r="K54" s="352"/>
      <c r="M54" s="56"/>
      <c r="N54" s="8"/>
      <c r="O54" s="9"/>
      <c r="P54" s="9"/>
      <c r="Q54" s="37" t="s">
        <v>60</v>
      </c>
      <c r="R54">
        <v>47</v>
      </c>
      <c r="S54">
        <v>597.05999999999995</v>
      </c>
    </row>
    <row r="55" spans="1:19" ht="15" thickBot="1" x14ac:dyDescent="0.35">
      <c r="A55" s="57"/>
      <c r="B55" s="82"/>
      <c r="C55" s="61"/>
      <c r="D55" s="60"/>
      <c r="E55" s="59"/>
      <c r="F55" s="144"/>
      <c r="G55" s="61"/>
      <c r="H55" s="62"/>
      <c r="I55" s="63"/>
      <c r="J55" s="366"/>
      <c r="K55" s="367"/>
      <c r="M55" s="64"/>
      <c r="N55" s="8"/>
      <c r="O55" s="9"/>
      <c r="P55" s="9"/>
    </row>
    <row r="56" spans="1:19" ht="15.75" thickBot="1" x14ac:dyDescent="0.3">
      <c r="A56" s="153" t="s">
        <v>7</v>
      </c>
      <c r="B56" s="154"/>
      <c r="C56" s="157"/>
      <c r="D56" s="156"/>
      <c r="E56" s="157">
        <f>SUM(E13,E17,E21,E25,E29,E33,E37,E41,E45,E49,E52,E54)</f>
        <v>58587.16</v>
      </c>
      <c r="F56" s="157"/>
      <c r="G56" s="158">
        <f>SUM(G13:G54)</f>
        <v>7917043</v>
      </c>
      <c r="H56" s="159">
        <f>SUM(E56)/G56</f>
        <v>7.4001315895341228E-3</v>
      </c>
      <c r="I56" s="160"/>
      <c r="J56" s="222">
        <f>(H56/H$3)*G56</f>
        <v>1523266.16</v>
      </c>
      <c r="K56" s="161">
        <f>J56-G56</f>
        <v>-6393776.8399999999</v>
      </c>
      <c r="M56" s="162">
        <f>SUM(M6:M54)</f>
        <v>41180000</v>
      </c>
      <c r="N56" s="8"/>
      <c r="O56" s="9"/>
      <c r="P56" s="9"/>
    </row>
    <row r="57" spans="1:19" ht="15.75" thickBot="1" x14ac:dyDescent="0.3">
      <c r="A57" s="57"/>
      <c r="B57" s="82"/>
      <c r="C57" s="61"/>
      <c r="D57" s="83"/>
      <c r="E57" s="61"/>
      <c r="F57" s="143"/>
      <c r="G57" s="61"/>
      <c r="H57" s="62"/>
      <c r="I57" s="63"/>
      <c r="J57" s="223"/>
      <c r="K57" s="163"/>
      <c r="M57" s="64"/>
      <c r="N57" s="8"/>
      <c r="O57" s="9"/>
      <c r="P57" s="9"/>
    </row>
    <row r="58" spans="1:19" ht="15.75" thickBot="1" x14ac:dyDescent="0.3">
      <c r="A58" s="153" t="s">
        <v>8</v>
      </c>
      <c r="B58" s="154"/>
      <c r="C58" s="155"/>
      <c r="D58" s="156"/>
      <c r="E58" s="157"/>
      <c r="F58" s="157">
        <f>SUM(F13,F17,F21,F25,F29,F33,F37,F41,F45,F49,F52)</f>
        <v>28832.019999999993</v>
      </c>
      <c r="G58" s="158"/>
      <c r="H58" s="159"/>
      <c r="I58" s="160"/>
      <c r="J58" s="222">
        <f>(H58/H$3)*G58</f>
        <v>0</v>
      </c>
      <c r="K58" s="161">
        <f>J58-G58</f>
        <v>0</v>
      </c>
      <c r="M58" s="162">
        <f>SUM(M8:M56)</f>
        <v>82360000</v>
      </c>
      <c r="N58" s="8"/>
      <c r="O58" s="9"/>
      <c r="P58" s="9"/>
    </row>
    <row r="59" spans="1:19" ht="15.75" thickBot="1" x14ac:dyDescent="0.3">
      <c r="A59" s="57"/>
      <c r="B59" s="82"/>
      <c r="D59" s="83"/>
      <c r="E59" s="61"/>
      <c r="F59" s="143"/>
      <c r="G59" s="61"/>
      <c r="H59" s="62"/>
      <c r="I59" s="63"/>
      <c r="J59" s="223"/>
      <c r="K59" s="163"/>
      <c r="M59" s="64"/>
      <c r="N59" s="8"/>
      <c r="O59" s="9"/>
      <c r="P59" s="9"/>
    </row>
    <row r="60" spans="1:19" ht="15.75" thickBot="1" x14ac:dyDescent="0.3">
      <c r="A60" s="153" t="s">
        <v>61</v>
      </c>
      <c r="B60" s="154">
        <f>SUM(B13,B17,B21,B25,B29,B33,B37,B41,B45,B49,B52,B54)</f>
        <v>917</v>
      </c>
      <c r="C60" s="155">
        <f>SUM(C13,C17,C21,C25,C29,C33,C37,C41,C45,C49,C52,C54)</f>
        <v>87419.18</v>
      </c>
      <c r="D60" s="156"/>
      <c r="E60" s="157"/>
      <c r="F60" s="157">
        <f>SUM(E56:F59)</f>
        <v>87419.18</v>
      </c>
      <c r="G60" s="158">
        <f>SUM(G56:G59)</f>
        <v>7917043</v>
      </c>
      <c r="H60" s="159">
        <f>SUM(C60)/G60</f>
        <v>1.1041897839887948E-2</v>
      </c>
      <c r="I60" s="160"/>
      <c r="J60" s="222">
        <f>(H60/H$3)*G60</f>
        <v>2272898.6799999997</v>
      </c>
      <c r="K60" s="161">
        <f>J60-G60</f>
        <v>-5644144.3200000003</v>
      </c>
      <c r="M60" s="162">
        <f>SUM(M10:M58)</f>
        <v>164720000</v>
      </c>
      <c r="N60" s="8"/>
      <c r="O60" s="9"/>
      <c r="P60" s="9"/>
    </row>
    <row r="61" spans="1:19" ht="15" x14ac:dyDescent="0.25">
      <c r="C61" s="168"/>
      <c r="M61" s="36"/>
      <c r="N61" s="8"/>
      <c r="O61" s="9"/>
      <c r="P61" s="9"/>
      <c r="Q61" s="37" t="s">
        <v>61</v>
      </c>
      <c r="R61">
        <v>917</v>
      </c>
      <c r="S61">
        <v>87419.18</v>
      </c>
    </row>
    <row r="62" spans="1:19" ht="15" x14ac:dyDescent="0.25">
      <c r="B62" s="164"/>
      <c r="C62" s="165"/>
      <c r="D62" s="165"/>
      <c r="E62" s="165"/>
      <c r="F62" s="165"/>
      <c r="G62" s="165"/>
      <c r="H62" s="165"/>
      <c r="I62" s="165"/>
      <c r="J62" s="165"/>
      <c r="K62" s="165"/>
      <c r="M62" s="166"/>
      <c r="N62" s="8"/>
      <c r="O62" s="9"/>
      <c r="P62" s="9"/>
      <c r="Q62"/>
    </row>
    <row r="63" spans="1:19" ht="15" x14ac:dyDescent="0.25">
      <c r="A63" s="335"/>
      <c r="B63" s="336"/>
      <c r="C63" s="336"/>
      <c r="D63" s="336"/>
      <c r="E63" s="336"/>
      <c r="F63" s="336"/>
      <c r="G63" s="336"/>
      <c r="H63" s="336"/>
      <c r="I63" s="167"/>
      <c r="J63" s="224"/>
      <c r="K63" s="167"/>
      <c r="M63" s="166"/>
      <c r="N63" s="8"/>
      <c r="O63" s="9"/>
      <c r="P63" s="9"/>
    </row>
    <row r="64" spans="1:19" ht="15" x14ac:dyDescent="0.25">
      <c r="A64" s="336"/>
      <c r="B64" s="336"/>
      <c r="C64" s="336"/>
      <c r="D64" s="336"/>
      <c r="E64" s="336"/>
      <c r="F64" s="336"/>
      <c r="G64" s="336"/>
      <c r="H64" s="336"/>
      <c r="I64" s="167"/>
      <c r="J64" s="224"/>
      <c r="K64" s="167"/>
      <c r="L64" s="168"/>
      <c r="M64" s="166"/>
      <c r="N64" s="8"/>
      <c r="O64" s="9"/>
    </row>
    <row r="65" spans="1:18" ht="15" x14ac:dyDescent="0.25">
      <c r="M65" s="166"/>
      <c r="N65" s="8"/>
      <c r="O65" s="9"/>
      <c r="P65" s="9"/>
    </row>
    <row r="66" spans="1:18" ht="21" customHeight="1" thickBot="1" x14ac:dyDescent="0.3">
      <c r="G66" s="168"/>
      <c r="M66" s="169"/>
      <c r="N66" s="170"/>
      <c r="O66" s="171"/>
      <c r="P66" s="171"/>
    </row>
    <row r="67" spans="1:18" ht="21" customHeight="1" x14ac:dyDescent="0.25">
      <c r="G67"/>
    </row>
    <row r="68" spans="1:18" s="173" customFormat="1" ht="39.75" customHeight="1" x14ac:dyDescent="0.25">
      <c r="A68"/>
      <c r="B68"/>
      <c r="C68"/>
      <c r="D68"/>
      <c r="E68"/>
      <c r="F68"/>
      <c r="G68" s="1"/>
      <c r="H68"/>
      <c r="I68"/>
      <c r="J68" s="214"/>
      <c r="K68"/>
      <c r="M68" s="172"/>
      <c r="N68" s="174"/>
      <c r="O68" s="175"/>
      <c r="P68" s="175"/>
      <c r="Q68" s="37"/>
      <c r="R68"/>
    </row>
    <row r="69" spans="1:18" s="173" customFormat="1" ht="39.75" hidden="1" customHeight="1" x14ac:dyDescent="0.25">
      <c r="A69" t="s">
        <v>62</v>
      </c>
      <c r="B69">
        <f t="shared" ref="B69:G69" si="2">SUM(B66:B68)</f>
        <v>0</v>
      </c>
      <c r="C69">
        <f t="shared" si="2"/>
        <v>0</v>
      </c>
      <c r="D69">
        <f t="shared" si="2"/>
        <v>0</v>
      </c>
      <c r="E69">
        <f t="shared" si="2"/>
        <v>0</v>
      </c>
      <c r="F69">
        <f t="shared" si="2"/>
        <v>0</v>
      </c>
      <c r="G69" s="1">
        <f t="shared" si="2"/>
        <v>0</v>
      </c>
      <c r="H69"/>
      <c r="I69"/>
      <c r="J69" s="214"/>
      <c r="K69"/>
      <c r="M69" s="172"/>
      <c r="O69" s="175"/>
      <c r="P69" s="175"/>
      <c r="Q69" s="37"/>
      <c r="R69"/>
    </row>
    <row r="70" spans="1:18" ht="15" hidden="1" x14ac:dyDescent="0.25"/>
    <row r="71" spans="1:18" ht="15" hidden="1" x14ac:dyDescent="0.25"/>
    <row r="72" spans="1:1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row>
    <row r="73" spans="1:18" ht="15" hidden="1" x14ac:dyDescent="0.25">
      <c r="A73" s="183"/>
      <c r="B73" s="184"/>
      <c r="C73" s="185"/>
      <c r="D73" s="185"/>
      <c r="E73" s="185"/>
      <c r="F73" s="185"/>
      <c r="G73" s="185"/>
      <c r="H73" s="185"/>
      <c r="I73" s="160"/>
      <c r="J73" s="226"/>
      <c r="K73" s="185"/>
    </row>
    <row r="74" spans="1:18" ht="15" hidden="1" x14ac:dyDescent="0.25"/>
    <row r="75" spans="1:1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1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1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18" ht="15" hidden="1" x14ac:dyDescent="0.25">
      <c r="A78" s="183"/>
      <c r="B78" s="184"/>
      <c r="C78" s="185"/>
      <c r="D78" s="185"/>
      <c r="E78" s="185"/>
      <c r="F78" s="185"/>
      <c r="G78" s="185"/>
      <c r="H78" s="160"/>
      <c r="I78" s="160"/>
      <c r="J78" s="226"/>
      <c r="K78" s="185"/>
    </row>
    <row r="79" spans="1:18" ht="15" hidden="1" x14ac:dyDescent="0.25">
      <c r="B79" s="164">
        <v>6196</v>
      </c>
      <c r="C79" s="1">
        <v>3871765.8300000052</v>
      </c>
      <c r="D79" s="1"/>
      <c r="E79" s="1"/>
      <c r="F79" s="1"/>
      <c r="G79" s="1">
        <v>7182150.0000000009</v>
      </c>
      <c r="H79" s="1"/>
      <c r="I79" s="1"/>
      <c r="J79" s="165">
        <v>7423408.4691351494</v>
      </c>
      <c r="K79" s="1">
        <v>241258.46913514897</v>
      </c>
    </row>
    <row r="80" spans="1:18" ht="15" hidden="1" x14ac:dyDescent="0.25">
      <c r="Q80"/>
    </row>
    <row r="81" spans="1:17" ht="15" hidden="1" x14ac:dyDescent="0.25">
      <c r="C81" s="168"/>
    </row>
    <row r="82" spans="1:17" ht="15" hidden="1" x14ac:dyDescent="0.25">
      <c r="A82" s="204"/>
      <c r="B82" s="205"/>
    </row>
    <row r="83" spans="1:17" ht="15" hidden="1" x14ac:dyDescent="0.25"/>
    <row r="84" spans="1:17" ht="15" hidden="1" x14ac:dyDescent="0.25"/>
    <row r="85" spans="1:17" ht="15" x14ac:dyDescent="0.25">
      <c r="Q85"/>
    </row>
    <row r="87" spans="1:17" x14ac:dyDescent="0.3">
      <c r="Q87"/>
    </row>
    <row r="88" spans="1:17" x14ac:dyDescent="0.3">
      <c r="Q88"/>
    </row>
    <row r="89" spans="1:17" x14ac:dyDescent="0.3">
      <c r="Q89"/>
    </row>
    <row r="94" spans="1:17" x14ac:dyDescent="0.3">
      <c r="Q94"/>
    </row>
    <row r="95" spans="1:17" x14ac:dyDescent="0.3">
      <c r="Q95"/>
    </row>
    <row r="96" spans="1:17" x14ac:dyDescent="0.3">
      <c r="Q96"/>
    </row>
    <row r="98" spans="17:17" x14ac:dyDescent="0.3">
      <c r="Q98"/>
    </row>
    <row r="99" spans="17:17" x14ac:dyDescent="0.3">
      <c r="Q99"/>
    </row>
    <row r="100" spans="17:17" x14ac:dyDescent="0.3">
      <c r="Q100"/>
    </row>
    <row r="101" spans="17:17" x14ac:dyDescent="0.3">
      <c r="Q101"/>
    </row>
    <row r="102" spans="17:17" x14ac:dyDescent="0.3">
      <c r="Q102"/>
    </row>
    <row r="105" spans="17:17" x14ac:dyDescent="0.3">
      <c r="Q105"/>
    </row>
    <row r="106" spans="17:17" x14ac:dyDescent="0.3">
      <c r="Q106"/>
    </row>
    <row r="107" spans="17:17" x14ac:dyDescent="0.3">
      <c r="Q107"/>
    </row>
    <row r="109" spans="17:17" x14ac:dyDescent="0.3">
      <c r="Q109"/>
    </row>
    <row r="110" spans="17:17" x14ac:dyDescent="0.3">
      <c r="Q110"/>
    </row>
    <row r="111" spans="17:17" x14ac:dyDescent="0.3">
      <c r="Q111"/>
    </row>
    <row r="112" spans="17:17" x14ac:dyDescent="0.3">
      <c r="Q112"/>
    </row>
    <row r="113" spans="17:17" x14ac:dyDescent="0.3">
      <c r="Q113"/>
    </row>
    <row r="115" spans="17:17" x14ac:dyDescent="0.3">
      <c r="Q115"/>
    </row>
    <row r="117" spans="17:17" x14ac:dyDescent="0.3">
      <c r="Q117"/>
    </row>
    <row r="118" spans="17:17" x14ac:dyDescent="0.3">
      <c r="Q118"/>
    </row>
    <row r="119" spans="17:17" x14ac:dyDescent="0.3">
      <c r="Q119"/>
    </row>
    <row r="120" spans="17:17" x14ac:dyDescent="0.3">
      <c r="Q120"/>
    </row>
    <row r="121" spans="17:17" x14ac:dyDescent="0.3">
      <c r="Q121"/>
    </row>
    <row r="123" spans="17:17" x14ac:dyDescent="0.3">
      <c r="Q123"/>
    </row>
    <row r="124" spans="17:17" x14ac:dyDescent="0.3">
      <c r="Q124"/>
    </row>
    <row r="125" spans="17:17" x14ac:dyDescent="0.3">
      <c r="Q125"/>
    </row>
    <row r="127" spans="17:17" x14ac:dyDescent="0.3">
      <c r="Q127"/>
    </row>
    <row r="128" spans="17:17" x14ac:dyDescent="0.3">
      <c r="Q128"/>
    </row>
    <row r="130" spans="17:18" x14ac:dyDescent="0.3">
      <c r="Q130"/>
    </row>
    <row r="131" spans="17:18" x14ac:dyDescent="0.3">
      <c r="Q131"/>
    </row>
    <row r="132" spans="17:18" x14ac:dyDescent="0.3">
      <c r="Q132"/>
    </row>
    <row r="133" spans="17:18" x14ac:dyDescent="0.3">
      <c r="Q133"/>
    </row>
    <row r="134" spans="17:18" x14ac:dyDescent="0.3">
      <c r="Q134"/>
    </row>
    <row r="135" spans="17:18" x14ac:dyDescent="0.3">
      <c r="Q135"/>
    </row>
    <row r="136" spans="17:18" x14ac:dyDescent="0.3">
      <c r="Q136" s="206"/>
      <c r="R136" s="207"/>
    </row>
    <row r="137" spans="17:18" x14ac:dyDescent="0.3">
      <c r="Q137" s="206"/>
      <c r="R137" s="207"/>
    </row>
    <row r="138" spans="17:18" x14ac:dyDescent="0.3">
      <c r="Q138" s="206"/>
      <c r="R138" s="207"/>
    </row>
    <row r="139" spans="17:18" x14ac:dyDescent="0.3">
      <c r="Q139" s="206"/>
      <c r="R139" s="207"/>
    </row>
    <row r="140" spans="17:18" x14ac:dyDescent="0.3">
      <c r="Q140" s="206"/>
      <c r="R140" s="207"/>
    </row>
    <row r="141" spans="17:18" x14ac:dyDescent="0.3">
      <c r="Q141" s="208"/>
      <c r="R141" s="207"/>
    </row>
    <row r="143" spans="17:18" x14ac:dyDescent="0.3">
      <c r="R143">
        <f>SUM(R7:R140)</f>
        <v>1834</v>
      </c>
    </row>
    <row r="147" spans="17:18" x14ac:dyDescent="0.3">
      <c r="Q147"/>
    </row>
    <row r="148" spans="17:18" x14ac:dyDescent="0.3">
      <c r="Q148"/>
    </row>
    <row r="149" spans="17:18" x14ac:dyDescent="0.3">
      <c r="Q149"/>
    </row>
    <row r="150" spans="17:18" x14ac:dyDescent="0.3">
      <c r="Q150"/>
    </row>
    <row r="151" spans="17:18" x14ac:dyDescent="0.3">
      <c r="Q151"/>
    </row>
    <row r="155" spans="17:18" x14ac:dyDescent="0.3">
      <c r="Q155" s="9"/>
      <c r="R155" s="8"/>
    </row>
    <row r="156" spans="17:18" x14ac:dyDescent="0.3">
      <c r="Q156" s="9"/>
      <c r="R156" s="8"/>
    </row>
    <row r="157" spans="17:18" x14ac:dyDescent="0.3">
      <c r="Q157" s="9"/>
      <c r="R157" s="8"/>
    </row>
    <row r="159" spans="17:18" x14ac:dyDescent="0.3">
      <c r="Q159" s="9"/>
      <c r="R159" s="8"/>
    </row>
    <row r="160" spans="17:18" x14ac:dyDescent="0.3">
      <c r="Q160" s="209"/>
      <c r="R160" s="210"/>
    </row>
    <row r="162" spans="17:18" x14ac:dyDescent="0.3">
      <c r="Q162" s="9"/>
      <c r="R162" s="8"/>
    </row>
    <row r="163" spans="17:18" x14ac:dyDescent="0.3">
      <c r="Q163" s="9"/>
      <c r="R163" s="8"/>
    </row>
    <row r="164" spans="17:18" x14ac:dyDescent="0.3">
      <c r="Q164" s="209"/>
      <c r="R164" s="210"/>
    </row>
    <row r="165" spans="17:18" x14ac:dyDescent="0.3">
      <c r="Q165" s="209"/>
      <c r="R165" s="210"/>
    </row>
    <row r="166" spans="17:18" x14ac:dyDescent="0.3">
      <c r="Q166" s="209"/>
      <c r="R166" s="210"/>
    </row>
    <row r="167" spans="17:18" x14ac:dyDescent="0.3">
      <c r="Q167" s="9"/>
      <c r="R167" s="8"/>
    </row>
    <row r="168" spans="17:18" x14ac:dyDescent="0.3">
      <c r="Q168" s="209"/>
      <c r="R168" s="210"/>
    </row>
    <row r="170" spans="17:18" x14ac:dyDescent="0.3">
      <c r="Q170" s="9"/>
      <c r="R170" s="8"/>
    </row>
    <row r="171" spans="17:18" x14ac:dyDescent="0.3">
      <c r="Q171" s="9"/>
      <c r="R171" s="8"/>
    </row>
    <row r="172" spans="17:18" x14ac:dyDescent="0.3">
      <c r="Q172" s="9"/>
      <c r="R172" s="8"/>
    </row>
    <row r="173" spans="17:18" x14ac:dyDescent="0.3">
      <c r="Q173" s="209"/>
      <c r="R173" s="210"/>
    </row>
    <row r="174" spans="17:18" x14ac:dyDescent="0.3">
      <c r="Q174" s="209"/>
      <c r="R174" s="210"/>
    </row>
    <row r="175" spans="17:18" x14ac:dyDescent="0.3">
      <c r="Q175" s="9"/>
      <c r="R175" s="8"/>
    </row>
    <row r="176" spans="17:18" x14ac:dyDescent="0.3">
      <c r="Q176" s="209"/>
      <c r="R176" s="210"/>
    </row>
    <row r="177" spans="17:18" x14ac:dyDescent="0.3">
      <c r="Q177" s="9"/>
      <c r="R177" s="8"/>
    </row>
    <row r="178" spans="17:18" x14ac:dyDescent="0.3">
      <c r="Q178" s="209"/>
      <c r="R178" s="210"/>
    </row>
    <row r="179" spans="17:18" x14ac:dyDescent="0.3">
      <c r="Q179" s="9"/>
      <c r="R179" s="8"/>
    </row>
    <row r="180" spans="17:18" x14ac:dyDescent="0.3">
      <c r="Q180" s="209"/>
      <c r="R180" s="210"/>
    </row>
    <row r="181" spans="17:18" x14ac:dyDescent="0.3">
      <c r="Q181" s="209"/>
      <c r="R181" s="210"/>
    </row>
    <row r="182" spans="17:18" x14ac:dyDescent="0.3">
      <c r="Q182" s="209"/>
      <c r="R182" s="210"/>
    </row>
    <row r="183" spans="17:18" x14ac:dyDescent="0.3">
      <c r="Q183" s="209"/>
      <c r="R183" s="210"/>
    </row>
    <row r="184" spans="17:18" x14ac:dyDescent="0.3">
      <c r="Q184" s="209"/>
      <c r="R184" s="210"/>
    </row>
    <row r="185" spans="17:18" x14ac:dyDescent="0.3">
      <c r="Q185" s="9"/>
      <c r="R185" s="8"/>
    </row>
    <row r="186" spans="17:18" x14ac:dyDescent="0.3">
      <c r="Q186" s="209"/>
      <c r="R186" s="210"/>
    </row>
    <row r="187" spans="17:18" x14ac:dyDescent="0.3">
      <c r="Q187" s="209"/>
      <c r="R187" s="210"/>
    </row>
    <row r="188" spans="17:18" x14ac:dyDescent="0.3">
      <c r="Q188" s="209"/>
      <c r="R188" s="210"/>
    </row>
    <row r="189" spans="17:18" x14ac:dyDescent="0.3">
      <c r="Q189" s="209"/>
      <c r="R189" s="210"/>
    </row>
    <row r="190" spans="17:18" ht="15" thickBot="1" x14ac:dyDescent="0.35">
      <c r="Q190" s="211"/>
      <c r="R190" s="212"/>
    </row>
    <row r="191" spans="17:18" x14ac:dyDescent="0.3">
      <c r="Q191" s="206"/>
      <c r="R191" s="207"/>
    </row>
    <row r="192" spans="17:18" x14ac:dyDescent="0.3">
      <c r="Q192" s="206"/>
      <c r="R192" s="207"/>
    </row>
    <row r="193" spans="17:18" x14ac:dyDescent="0.3">
      <c r="Q193" s="206"/>
      <c r="R193" s="207"/>
    </row>
    <row r="195" spans="17:18" x14ac:dyDescent="0.3">
      <c r="Q195" s="206"/>
      <c r="R195" s="207"/>
    </row>
    <row r="196" spans="17:18" x14ac:dyDescent="0.3">
      <c r="Q196" s="206"/>
      <c r="R196" s="207"/>
    </row>
    <row r="197" spans="17:18" x14ac:dyDescent="0.3">
      <c r="Q197" s="206"/>
      <c r="R197" s="207"/>
    </row>
    <row r="198" spans="17:18" x14ac:dyDescent="0.3">
      <c r="Q198" s="206"/>
      <c r="R198" s="207"/>
    </row>
    <row r="199" spans="17:18" x14ac:dyDescent="0.3">
      <c r="Q199" s="206"/>
      <c r="R199" s="207"/>
    </row>
    <row r="200" spans="17:18" x14ac:dyDescent="0.3">
      <c r="Q200" s="206"/>
      <c r="R200" s="207"/>
    </row>
    <row r="201" spans="17:18" x14ac:dyDescent="0.3">
      <c r="Q201" s="206"/>
      <c r="R201" s="207"/>
    </row>
    <row r="203" spans="17:18" x14ac:dyDescent="0.3">
      <c r="Q203" s="206"/>
      <c r="R203" s="207"/>
    </row>
    <row r="204" spans="17:18" x14ac:dyDescent="0.3">
      <c r="Q204" s="206"/>
      <c r="R204" s="207"/>
    </row>
    <row r="205" spans="17:18" x14ac:dyDescent="0.3">
      <c r="Q205" s="206"/>
      <c r="R205" s="207"/>
    </row>
    <row r="206" spans="17:18" x14ac:dyDescent="0.3">
      <c r="Q206" s="206"/>
      <c r="R206" s="207"/>
    </row>
    <row r="207" spans="17:18" x14ac:dyDescent="0.3">
      <c r="Q207" s="206"/>
      <c r="R207" s="207"/>
    </row>
    <row r="208" spans="17:18" x14ac:dyDescent="0.3">
      <c r="Q208" s="206"/>
      <c r="R208" s="207"/>
    </row>
    <row r="209" spans="17:18" x14ac:dyDescent="0.3">
      <c r="Q209" s="206"/>
      <c r="R209" s="207"/>
    </row>
    <row r="210" spans="17:18" x14ac:dyDescent="0.3">
      <c r="Q210" s="206"/>
      <c r="R210" s="207"/>
    </row>
    <row r="211" spans="17:18" x14ac:dyDescent="0.3">
      <c r="Q211" s="206"/>
      <c r="R211" s="207"/>
    </row>
    <row r="213" spans="17:18" x14ac:dyDescent="0.3">
      <c r="Q213" s="206"/>
      <c r="R213" s="207"/>
    </row>
    <row r="214" spans="17:18" x14ac:dyDescent="0.3">
      <c r="Q214" s="206"/>
      <c r="R214" s="207"/>
    </row>
    <row r="215" spans="17:18" x14ac:dyDescent="0.3">
      <c r="Q215" s="206"/>
      <c r="R215" s="207"/>
    </row>
    <row r="216" spans="17:18" x14ac:dyDescent="0.3">
      <c r="Q216" s="206"/>
      <c r="R216" s="207"/>
    </row>
    <row r="217" spans="17:18" x14ac:dyDescent="0.3">
      <c r="Q217" s="206"/>
      <c r="R217" s="207"/>
    </row>
    <row r="218" spans="17:18" x14ac:dyDescent="0.3">
      <c r="Q218" s="206"/>
      <c r="R218" s="207"/>
    </row>
    <row r="250" spans="17:18" x14ac:dyDescent="0.3">
      <c r="Q250" s="175"/>
      <c r="R250" s="173"/>
    </row>
    <row r="251" spans="17:18" x14ac:dyDescent="0.3">
      <c r="Q251" s="175"/>
      <c r="R251" s="173"/>
    </row>
  </sheetData>
  <mergeCells count="23">
    <mergeCell ref="A64:H64"/>
    <mergeCell ref="G47:G48"/>
    <mergeCell ref="H47:H48"/>
    <mergeCell ref="J42:K44"/>
    <mergeCell ref="G43:G44"/>
    <mergeCell ref="H43:H44"/>
    <mergeCell ref="J46:K51"/>
    <mergeCell ref="J53:K55"/>
    <mergeCell ref="A63:H63"/>
    <mergeCell ref="J38:K40"/>
    <mergeCell ref="G39:G40"/>
    <mergeCell ref="H39:H40"/>
    <mergeCell ref="M1:R1"/>
    <mergeCell ref="J14:K16"/>
    <mergeCell ref="J18:K20"/>
    <mergeCell ref="J22:K24"/>
    <mergeCell ref="J26:K28"/>
    <mergeCell ref="J30:K32"/>
    <mergeCell ref="G31:G32"/>
    <mergeCell ref="H31:H32"/>
    <mergeCell ref="J34:K36"/>
    <mergeCell ref="G35:G36"/>
    <mergeCell ref="H35:H36"/>
  </mergeCells>
  <conditionalFormatting sqref="H13:I13 H56:I56 H15:I15 H24 H72:I72 I73 H77:I78 H31:I32 H35:I36 H39:I40">
    <cfRule type="cellIs" dxfId="73" priority="38" operator="greaterThan">
      <formula>$H$3</formula>
    </cfRule>
  </conditionalFormatting>
  <conditionalFormatting sqref="H13:I13">
    <cfRule type="cellIs" dxfId="72" priority="37" operator="greaterThan">
      <formula>$H$3</formula>
    </cfRule>
  </conditionalFormatting>
  <conditionalFormatting sqref="I75:I76">
    <cfRule type="cellIs" dxfId="71" priority="36" operator="greaterThan">
      <formula>$H$3</formula>
    </cfRule>
  </conditionalFormatting>
  <conditionalFormatting sqref="H75:H76">
    <cfRule type="cellIs" dxfId="70" priority="35" operator="greaterThan">
      <formula>$H$3</formula>
    </cfRule>
  </conditionalFormatting>
  <conditionalFormatting sqref="H54:I54">
    <cfRule type="cellIs" dxfId="69" priority="34" operator="greaterThan">
      <formula>$H$3</formula>
    </cfRule>
  </conditionalFormatting>
  <conditionalFormatting sqref="H43:H44">
    <cfRule type="cellIs" dxfId="68" priority="32" operator="greaterThan">
      <formula>$H$3</formula>
    </cfRule>
  </conditionalFormatting>
  <conditionalFormatting sqref="I43:I44">
    <cfRule type="cellIs" dxfId="67" priority="33" operator="greaterThan">
      <formula>$H$3</formula>
    </cfRule>
  </conditionalFormatting>
  <conditionalFormatting sqref="H16:I16">
    <cfRule type="cellIs" dxfId="66" priority="31" operator="greaterThan">
      <formula>$H$3</formula>
    </cfRule>
  </conditionalFormatting>
  <conditionalFormatting sqref="H23">
    <cfRule type="cellIs" dxfId="65" priority="30" operator="greaterThan">
      <formula>$H$3</formula>
    </cfRule>
  </conditionalFormatting>
  <conditionalFormatting sqref="H17:I17">
    <cfRule type="cellIs" dxfId="64" priority="28" operator="greaterThan">
      <formula>$H$3</formula>
    </cfRule>
  </conditionalFormatting>
  <conditionalFormatting sqref="H17:I17">
    <cfRule type="cellIs" dxfId="63" priority="29" operator="greaterThan">
      <formula>$H$3</formula>
    </cfRule>
  </conditionalFormatting>
  <conditionalFormatting sqref="H25:I25">
    <cfRule type="cellIs" dxfId="62" priority="26" operator="greaterThan">
      <formula>$H$3</formula>
    </cfRule>
  </conditionalFormatting>
  <conditionalFormatting sqref="H25:I25">
    <cfRule type="cellIs" dxfId="61" priority="27" operator="greaterThan">
      <formula>$H$3</formula>
    </cfRule>
  </conditionalFormatting>
  <conditionalFormatting sqref="H19:I19">
    <cfRule type="cellIs" dxfId="60" priority="25" operator="greaterThan">
      <formula>$H$3</formula>
    </cfRule>
  </conditionalFormatting>
  <conditionalFormatting sqref="H20:I20">
    <cfRule type="cellIs" dxfId="59" priority="24" operator="greaterThan">
      <formula>$H$3</formula>
    </cfRule>
  </conditionalFormatting>
  <conditionalFormatting sqref="H21:I21">
    <cfRule type="cellIs" dxfId="58" priority="22" operator="greaterThan">
      <formula>$H$3</formula>
    </cfRule>
  </conditionalFormatting>
  <conditionalFormatting sqref="H21:I21">
    <cfRule type="cellIs" dxfId="57" priority="23" operator="greaterThan">
      <formula>$H$3</formula>
    </cfRule>
  </conditionalFormatting>
  <conditionalFormatting sqref="H29:I29">
    <cfRule type="cellIs" dxfId="56" priority="20" operator="greaterThan">
      <formula>$H$3</formula>
    </cfRule>
  </conditionalFormatting>
  <conditionalFormatting sqref="H29:I29">
    <cfRule type="cellIs" dxfId="55" priority="21" operator="greaterThan">
      <formula>$H$3</formula>
    </cfRule>
  </conditionalFormatting>
  <conditionalFormatting sqref="H27:I27">
    <cfRule type="cellIs" dxfId="54" priority="19" operator="greaterThan">
      <formula>$H$3</formula>
    </cfRule>
  </conditionalFormatting>
  <conditionalFormatting sqref="H28:I28">
    <cfRule type="cellIs" dxfId="53" priority="18" operator="greaterThan">
      <formula>$H$3</formula>
    </cfRule>
  </conditionalFormatting>
  <conditionalFormatting sqref="H33:I33">
    <cfRule type="cellIs" dxfId="52" priority="16" operator="greaterThan">
      <formula>$H$3</formula>
    </cfRule>
  </conditionalFormatting>
  <conditionalFormatting sqref="H33:I33">
    <cfRule type="cellIs" dxfId="51" priority="17" operator="greaterThan">
      <formula>$H$3</formula>
    </cfRule>
  </conditionalFormatting>
  <conditionalFormatting sqref="H37:I37">
    <cfRule type="cellIs" dxfId="50" priority="14" operator="greaterThan">
      <formula>$H$3</formula>
    </cfRule>
  </conditionalFormatting>
  <conditionalFormatting sqref="H37:I37">
    <cfRule type="cellIs" dxfId="49" priority="15" operator="greaterThan">
      <formula>$H$3</formula>
    </cfRule>
  </conditionalFormatting>
  <conditionalFormatting sqref="H41:I41">
    <cfRule type="cellIs" dxfId="48" priority="12" operator="greaterThan">
      <formula>$H$3</formula>
    </cfRule>
  </conditionalFormatting>
  <conditionalFormatting sqref="H41:I41">
    <cfRule type="cellIs" dxfId="47" priority="13" operator="greaterThan">
      <formula>$H$3</formula>
    </cfRule>
  </conditionalFormatting>
  <conditionalFormatting sqref="H45:I45">
    <cfRule type="cellIs" dxfId="46" priority="10" operator="greaterThan">
      <formula>$H$3</formula>
    </cfRule>
  </conditionalFormatting>
  <conditionalFormatting sqref="H45:I45">
    <cfRule type="cellIs" dxfId="45" priority="11" operator="greaterThan">
      <formula>$H$3</formula>
    </cfRule>
  </conditionalFormatting>
  <conditionalFormatting sqref="H52:I52">
    <cfRule type="cellIs" dxfId="44" priority="8" operator="greaterThan">
      <formula>$H$3</formula>
    </cfRule>
  </conditionalFormatting>
  <conditionalFormatting sqref="H52:I52">
    <cfRule type="cellIs" dxfId="43" priority="9" operator="greaterThan">
      <formula>$H$3</formula>
    </cfRule>
  </conditionalFormatting>
  <conditionalFormatting sqref="H58:I58">
    <cfRule type="cellIs" dxfId="42" priority="7" operator="greaterThan">
      <formula>$H$3</formula>
    </cfRule>
  </conditionalFormatting>
  <conditionalFormatting sqref="H60:I60">
    <cfRule type="cellIs" dxfId="41" priority="6" operator="greaterThan">
      <formula>$H$3</formula>
    </cfRule>
  </conditionalFormatting>
  <conditionalFormatting sqref="H47:H48">
    <cfRule type="cellIs" dxfId="40" priority="4" operator="greaterThan">
      <formula>$H$3</formula>
    </cfRule>
  </conditionalFormatting>
  <conditionalFormatting sqref="I47:I48">
    <cfRule type="cellIs" dxfId="39" priority="5" operator="greaterThan">
      <formula>$H$3</formula>
    </cfRule>
  </conditionalFormatting>
  <conditionalFormatting sqref="H49:I49">
    <cfRule type="cellIs" dxfId="38" priority="2" operator="greaterThan">
      <formula>$H$3</formula>
    </cfRule>
  </conditionalFormatting>
  <conditionalFormatting sqref="H49:I49">
    <cfRule type="cellIs" dxfId="37" priority="3" operator="greaterThan">
      <formula>$H$3</formula>
    </cfRule>
  </conditionalFormatting>
  <pageMargins left="0.2" right="0.2" top="0.75" bottom="0.75" header="0.3" footer="0.3"/>
  <pageSetup scale="64" orientation="landscape"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51"/>
  <sheetViews>
    <sheetView topLeftCell="A13" zoomScale="55" zoomScaleNormal="55" workbookViewId="0">
      <selection activeCell="A63" sqref="A63:H63"/>
    </sheetView>
  </sheetViews>
  <sheetFormatPr defaultRowHeight="14.4" x14ac:dyDescent="0.3"/>
  <cols>
    <col min="1" max="1" width="47.88671875" bestFit="1" customWidth="1"/>
    <col min="2" max="2" width="14.109375" customWidth="1"/>
    <col min="3" max="3" width="14.5546875" customWidth="1"/>
    <col min="4" max="4" width="13.5546875" customWidth="1"/>
    <col min="5" max="5" width="19.44140625" customWidth="1"/>
    <col min="6" max="6" width="20.44140625" bestFit="1" customWidth="1"/>
    <col min="7" max="7" width="17.33203125" style="1" customWidth="1"/>
    <col min="8" max="8" width="17.88671875" bestFit="1" customWidth="1"/>
    <col min="9" max="9" width="15.109375" customWidth="1"/>
    <col min="10" max="10" width="20.44140625" style="214" customWidth="1"/>
    <col min="11" max="11" width="20.44140625" customWidth="1"/>
    <col min="12" max="12" width="16.6640625" customWidth="1"/>
    <col min="13" max="13" width="16.6640625" style="172" hidden="1" customWidth="1"/>
    <col min="14" max="14" width="16.6640625" hidden="1" customWidth="1"/>
    <col min="15" max="16" width="16.6640625" style="37" hidden="1" customWidth="1"/>
    <col min="17" max="17" width="53.88671875" style="37" hidden="1" customWidth="1"/>
    <col min="18" max="20" width="16.6640625" hidden="1" customWidth="1"/>
    <col min="21" max="21" width="14.88671875" customWidth="1"/>
    <col min="22" max="24" width="14" customWidth="1"/>
    <col min="25" max="33" width="9.88671875" customWidth="1"/>
  </cols>
  <sheetData>
    <row r="1" spans="1:19" ht="15.75" thickBot="1" x14ac:dyDescent="0.3">
      <c r="M1" s="323" t="s">
        <v>0</v>
      </c>
      <c r="N1" s="324"/>
      <c r="O1" s="324"/>
      <c r="P1" s="324"/>
      <c r="Q1" s="324"/>
      <c r="R1" s="324"/>
    </row>
    <row r="2" spans="1:19" ht="30" x14ac:dyDescent="0.25">
      <c r="A2" s="2"/>
      <c r="B2" s="3"/>
      <c r="C2" s="3"/>
      <c r="D2" s="3"/>
      <c r="E2" s="3"/>
      <c r="F2" s="3"/>
      <c r="G2" s="4" t="s">
        <v>1</v>
      </c>
      <c r="H2" s="5" t="s">
        <v>2</v>
      </c>
      <c r="I2" s="6"/>
      <c r="J2" s="215"/>
      <c r="K2" s="6"/>
      <c r="M2" s="7">
        <v>41456</v>
      </c>
      <c r="N2" s="8"/>
      <c r="O2" s="9"/>
      <c r="P2" s="9"/>
      <c r="Q2" s="9"/>
      <c r="R2" s="8"/>
    </row>
    <row r="3" spans="1:19" ht="18.75" x14ac:dyDescent="0.3">
      <c r="A3" s="10" t="s">
        <v>70</v>
      </c>
      <c r="B3" s="11"/>
      <c r="C3" s="8"/>
      <c r="D3" s="8"/>
      <c r="E3" s="8"/>
      <c r="F3" s="8"/>
      <c r="G3" s="12">
        <v>41470</v>
      </c>
      <c r="H3" s="13">
        <f>$M$5/26</f>
        <v>3.8461538461538464E-2</v>
      </c>
      <c r="I3" s="14"/>
      <c r="J3" s="216"/>
      <c r="K3" s="14"/>
      <c r="M3" s="15"/>
      <c r="N3" s="8"/>
      <c r="O3" s="9"/>
      <c r="P3" s="9"/>
      <c r="Q3" s="9"/>
      <c r="R3" s="8"/>
    </row>
    <row r="4" spans="1:19" ht="15.75" thickBot="1" x14ac:dyDescent="0.3">
      <c r="A4" s="16"/>
      <c r="B4" s="8"/>
      <c r="C4" s="8"/>
      <c r="D4" s="17"/>
      <c r="E4" s="8"/>
      <c r="F4" s="8"/>
      <c r="G4" s="18"/>
      <c r="H4" s="19"/>
      <c r="I4" s="8"/>
      <c r="J4" s="217"/>
      <c r="K4" s="8"/>
      <c r="M4" s="15">
        <f>G3-M2</f>
        <v>14</v>
      </c>
      <c r="N4" s="8"/>
      <c r="O4" s="9"/>
      <c r="P4" s="9"/>
      <c r="Q4" s="8"/>
      <c r="R4" s="8"/>
    </row>
    <row r="5" spans="1:19" ht="30.75" thickBot="1" x14ac:dyDescent="0.3">
      <c r="A5" s="20" t="s">
        <v>3</v>
      </c>
      <c r="B5" s="21" t="s">
        <v>4</v>
      </c>
      <c r="C5" s="21" t="s">
        <v>5</v>
      </c>
      <c r="D5" s="21" t="s">
        <v>6</v>
      </c>
      <c r="E5" s="22" t="s">
        <v>7</v>
      </c>
      <c r="F5" s="21" t="s">
        <v>8</v>
      </c>
      <c r="G5" s="23" t="s">
        <v>9</v>
      </c>
      <c r="H5" s="24" t="s">
        <v>69</v>
      </c>
      <c r="I5" s="25"/>
      <c r="J5" s="26" t="s">
        <v>10</v>
      </c>
      <c r="K5" s="26" t="s">
        <v>11</v>
      </c>
      <c r="M5" s="27">
        <f>M4/14</f>
        <v>1</v>
      </c>
      <c r="N5" s="8"/>
      <c r="O5" s="9"/>
      <c r="P5" s="9"/>
      <c r="Q5" t="s">
        <v>12</v>
      </c>
      <c r="R5" t="s">
        <v>13</v>
      </c>
      <c r="S5" t="s">
        <v>14</v>
      </c>
    </row>
    <row r="6" spans="1:19" ht="15" x14ac:dyDescent="0.25">
      <c r="A6" s="28" t="s">
        <v>15</v>
      </c>
      <c r="B6" s="29">
        <v>13</v>
      </c>
      <c r="C6" s="30">
        <v>414.82000000000005</v>
      </c>
      <c r="D6" s="31">
        <v>1</v>
      </c>
      <c r="E6" s="30">
        <f t="shared" ref="E6:E12" si="0">C6*D6</f>
        <v>414.82000000000005</v>
      </c>
      <c r="F6" s="30">
        <f t="shared" ref="F6:F12" si="1">C6-E6</f>
        <v>0</v>
      </c>
      <c r="G6" s="32"/>
      <c r="H6" s="33"/>
      <c r="I6" s="34"/>
      <c r="J6" s="218"/>
      <c r="K6" s="35"/>
      <c r="M6" s="36"/>
      <c r="N6" s="8"/>
      <c r="O6" s="9"/>
      <c r="P6" s="9"/>
      <c r="Q6" s="37" t="s">
        <v>15</v>
      </c>
      <c r="R6">
        <v>13</v>
      </c>
      <c r="S6">
        <v>414.82000000000005</v>
      </c>
    </row>
    <row r="7" spans="1:19" ht="15" x14ac:dyDescent="0.25">
      <c r="A7" s="38" t="s">
        <v>16</v>
      </c>
      <c r="B7" s="39">
        <v>8</v>
      </c>
      <c r="C7" s="40">
        <v>802.04</v>
      </c>
      <c r="D7" s="41">
        <v>1</v>
      </c>
      <c r="E7" s="40">
        <f t="shared" si="0"/>
        <v>802.04</v>
      </c>
      <c r="F7" s="40">
        <f t="shared" si="1"/>
        <v>0</v>
      </c>
      <c r="G7" s="32"/>
      <c r="H7" s="33"/>
      <c r="I7" s="34"/>
      <c r="J7" s="218"/>
      <c r="K7" s="35"/>
      <c r="M7" s="36"/>
      <c r="N7" s="8"/>
      <c r="O7" s="9"/>
      <c r="P7" s="9"/>
      <c r="Q7" s="37" t="s">
        <v>16</v>
      </c>
      <c r="R7">
        <v>8</v>
      </c>
      <c r="S7">
        <v>802.04</v>
      </c>
    </row>
    <row r="8" spans="1:19" ht="15" x14ac:dyDescent="0.25">
      <c r="A8" s="38" t="s">
        <v>17</v>
      </c>
      <c r="B8" s="39">
        <v>12</v>
      </c>
      <c r="C8" s="40">
        <v>1216.8199999999997</v>
      </c>
      <c r="D8" s="41">
        <v>0.3</v>
      </c>
      <c r="E8" s="40">
        <f t="shared" si="0"/>
        <v>365.04599999999988</v>
      </c>
      <c r="F8" s="40">
        <f t="shared" si="1"/>
        <v>851.77399999999989</v>
      </c>
      <c r="G8" s="32"/>
      <c r="H8" s="33"/>
      <c r="I8" s="34"/>
      <c r="J8" s="218"/>
      <c r="K8" s="35"/>
      <c r="M8" s="36"/>
      <c r="N8" s="8"/>
      <c r="O8" s="9"/>
      <c r="P8" s="9"/>
      <c r="Q8" s="37" t="s">
        <v>17</v>
      </c>
      <c r="R8">
        <v>12</v>
      </c>
      <c r="S8">
        <v>1216.8199999999997</v>
      </c>
    </row>
    <row r="9" spans="1:19" ht="15" x14ac:dyDescent="0.25">
      <c r="A9" s="38" t="s">
        <v>18</v>
      </c>
      <c r="B9" s="39">
        <v>103</v>
      </c>
      <c r="C9" s="40">
        <v>19840.069999999996</v>
      </c>
      <c r="D9" s="41">
        <v>1</v>
      </c>
      <c r="E9" s="40">
        <f t="shared" si="0"/>
        <v>19840.069999999996</v>
      </c>
      <c r="F9" s="40">
        <f t="shared" si="1"/>
        <v>0</v>
      </c>
      <c r="G9" s="32"/>
      <c r="H9" s="33"/>
      <c r="I9" s="34"/>
      <c r="J9" s="218"/>
      <c r="K9" s="35"/>
      <c r="M9" s="36"/>
      <c r="N9" s="8"/>
      <c r="O9" s="9"/>
      <c r="P9" s="9"/>
      <c r="Q9" s="37" t="s">
        <v>18</v>
      </c>
      <c r="R9">
        <v>103</v>
      </c>
      <c r="S9">
        <v>19840.069999999996</v>
      </c>
    </row>
    <row r="10" spans="1:19" ht="15" x14ac:dyDescent="0.25">
      <c r="A10" s="38" t="s">
        <v>19</v>
      </c>
      <c r="B10" s="39">
        <v>19</v>
      </c>
      <c r="C10" s="40">
        <v>4543.88</v>
      </c>
      <c r="D10" s="41">
        <v>0.3</v>
      </c>
      <c r="E10" s="40">
        <f t="shared" si="0"/>
        <v>1363.164</v>
      </c>
      <c r="F10" s="40">
        <f t="shared" si="1"/>
        <v>3180.7160000000003</v>
      </c>
      <c r="G10" s="32"/>
      <c r="H10" s="42"/>
      <c r="I10" s="43"/>
      <c r="J10" s="219"/>
      <c r="K10" s="44"/>
      <c r="L10" s="45"/>
      <c r="M10" s="36"/>
      <c r="N10" s="8"/>
      <c r="O10" s="9"/>
      <c r="P10" s="9"/>
      <c r="Q10" s="37" t="s">
        <v>19</v>
      </c>
      <c r="R10">
        <v>19</v>
      </c>
      <c r="S10">
        <v>4543.88</v>
      </c>
    </row>
    <row r="11" spans="1:19" ht="15" x14ac:dyDescent="0.25">
      <c r="A11" s="38" t="s">
        <v>20</v>
      </c>
      <c r="B11" s="39">
        <v>480</v>
      </c>
      <c r="C11" s="40">
        <v>83058.24999999984</v>
      </c>
      <c r="D11" s="41">
        <v>1</v>
      </c>
      <c r="E11" s="40">
        <f t="shared" si="0"/>
        <v>83058.24999999984</v>
      </c>
      <c r="F11" s="40">
        <f t="shared" si="1"/>
        <v>0</v>
      </c>
      <c r="G11" s="32"/>
      <c r="H11" s="42"/>
      <c r="I11" s="43"/>
      <c r="J11" s="219"/>
      <c r="K11" s="44"/>
      <c r="M11" s="36"/>
      <c r="N11" s="8"/>
      <c r="O11" s="9"/>
      <c r="P11" s="9"/>
      <c r="Q11" s="37" t="s">
        <v>20</v>
      </c>
      <c r="R11">
        <v>480</v>
      </c>
      <c r="S11">
        <v>83058.24999999984</v>
      </c>
    </row>
    <row r="12" spans="1:19" ht="15" x14ac:dyDescent="0.25">
      <c r="A12" s="38" t="s">
        <v>21</v>
      </c>
      <c r="B12" s="39">
        <v>56</v>
      </c>
      <c r="C12" s="40">
        <v>10306.630000000001</v>
      </c>
      <c r="D12" s="41">
        <v>0.3</v>
      </c>
      <c r="E12" s="40">
        <f t="shared" si="0"/>
        <v>3091.989</v>
      </c>
      <c r="F12" s="40">
        <f t="shared" si="1"/>
        <v>7214.6410000000014</v>
      </c>
      <c r="G12" s="32"/>
      <c r="H12" s="42"/>
      <c r="I12" s="43"/>
      <c r="J12" s="219"/>
      <c r="K12" s="44"/>
      <c r="M12" s="36"/>
      <c r="N12" s="8"/>
      <c r="O12" s="9"/>
      <c r="P12" s="9"/>
      <c r="Q12" s="37" t="s">
        <v>21</v>
      </c>
      <c r="R12">
        <v>56</v>
      </c>
      <c r="S12">
        <v>10306.630000000001</v>
      </c>
    </row>
    <row r="13" spans="1:19" ht="15" customHeight="1" thickBot="1" x14ac:dyDescent="0.3">
      <c r="A13" s="46" t="s">
        <v>22</v>
      </c>
      <c r="B13" s="47">
        <f>SUM(B6:B12)</f>
        <v>691</v>
      </c>
      <c r="C13" s="48">
        <f>SUM(C6:C12)</f>
        <v>120182.50999999983</v>
      </c>
      <c r="D13" s="49"/>
      <c r="E13" s="48">
        <f>SUM(E6:E12)</f>
        <v>108935.37899999984</v>
      </c>
      <c r="F13" s="50">
        <f>SUM(F6:F12)</f>
        <v>11247.131000000001</v>
      </c>
      <c r="G13" s="51">
        <v>2724921</v>
      </c>
      <c r="H13" s="52">
        <f>E13/G13</f>
        <v>3.9977444850694696E-2</v>
      </c>
      <c r="I13" s="53"/>
      <c r="J13" s="220">
        <f>(H13/H$3)*G$13</f>
        <v>2832319.8539999961</v>
      </c>
      <c r="K13" s="55">
        <f>J13-G13</f>
        <v>107398.85399999609</v>
      </c>
      <c r="M13" s="56">
        <v>3360000</v>
      </c>
      <c r="N13" s="8"/>
      <c r="O13" s="9"/>
      <c r="P13" s="9"/>
    </row>
    <row r="14" spans="1:19" ht="15" thickBot="1" x14ac:dyDescent="0.35">
      <c r="A14" s="57"/>
      <c r="B14" s="58"/>
      <c r="C14" s="59"/>
      <c r="D14" s="60"/>
      <c r="E14" s="59"/>
      <c r="F14" s="59"/>
      <c r="G14" s="61"/>
      <c r="H14" s="62"/>
      <c r="I14" s="63"/>
      <c r="J14" s="349"/>
      <c r="K14" s="338"/>
      <c r="M14" s="64"/>
      <c r="N14" s="8"/>
      <c r="O14" s="9"/>
      <c r="P14" s="9"/>
    </row>
    <row r="15" spans="1:19" x14ac:dyDescent="0.3">
      <c r="A15" s="65" t="s">
        <v>23</v>
      </c>
      <c r="B15" s="66">
        <v>11</v>
      </c>
      <c r="C15" s="67">
        <v>2156.4999999999995</v>
      </c>
      <c r="D15" s="68">
        <v>1</v>
      </c>
      <c r="E15" s="67">
        <f>C15*D15</f>
        <v>2156.4999999999995</v>
      </c>
      <c r="F15" s="67">
        <v>0</v>
      </c>
      <c r="G15" s="69"/>
      <c r="H15" s="70"/>
      <c r="I15" s="71"/>
      <c r="J15" s="339"/>
      <c r="K15" s="340"/>
      <c r="M15" s="56">
        <v>340000</v>
      </c>
      <c r="N15" s="8"/>
      <c r="O15" s="9"/>
      <c r="P15" s="9"/>
      <c r="Q15" s="37" t="s">
        <v>24</v>
      </c>
      <c r="R15">
        <v>11</v>
      </c>
      <c r="S15">
        <v>2156.4999999999995</v>
      </c>
    </row>
    <row r="16" spans="1:19" x14ac:dyDescent="0.3">
      <c r="A16" s="72" t="s">
        <v>25</v>
      </c>
      <c r="B16" s="39">
        <v>1</v>
      </c>
      <c r="C16" s="40">
        <v>500.82000000000005</v>
      </c>
      <c r="D16" s="73">
        <v>0.3</v>
      </c>
      <c r="E16" s="40">
        <f>C16*D16</f>
        <v>150.24600000000001</v>
      </c>
      <c r="F16" s="40">
        <f>C16-E16</f>
        <v>350.57400000000007</v>
      </c>
      <c r="G16" s="69"/>
      <c r="H16" s="70"/>
      <c r="I16" s="71"/>
      <c r="J16" s="341"/>
      <c r="K16" s="342"/>
      <c r="M16" s="56">
        <v>340000</v>
      </c>
      <c r="N16" s="8"/>
      <c r="O16" s="9"/>
      <c r="P16" s="9"/>
      <c r="Q16" s="37" t="s">
        <v>76</v>
      </c>
      <c r="R16">
        <v>1</v>
      </c>
      <c r="S16">
        <v>500.82000000000005</v>
      </c>
    </row>
    <row r="17" spans="1:19" ht="15" customHeight="1" thickBot="1" x14ac:dyDescent="0.3">
      <c r="A17" s="74" t="s">
        <v>26</v>
      </c>
      <c r="B17" s="75">
        <f>SUM(B15:B16)</f>
        <v>12</v>
      </c>
      <c r="C17" s="76">
        <f>SUM(C15:C16)</f>
        <v>2657.3199999999997</v>
      </c>
      <c r="D17" s="77"/>
      <c r="E17" s="76">
        <f>SUM(E15:E16)</f>
        <v>2306.7459999999996</v>
      </c>
      <c r="F17" s="76">
        <f>F16</f>
        <v>350.57400000000007</v>
      </c>
      <c r="G17" s="78">
        <v>100000</v>
      </c>
      <c r="H17" s="79">
        <f>E17/G17</f>
        <v>2.3067459999999998E-2</v>
      </c>
      <c r="I17" s="80"/>
      <c r="J17" s="221">
        <f>(H17/H$3)*G$13</f>
        <v>1634282.1604371597</v>
      </c>
      <c r="K17" s="81">
        <f>J17-G17</f>
        <v>1534282.1604371597</v>
      </c>
      <c r="M17" s="56">
        <v>3360000</v>
      </c>
      <c r="N17" s="8"/>
      <c r="O17" s="9"/>
      <c r="P17" s="9"/>
    </row>
    <row r="18" spans="1:19" ht="15" thickBot="1" x14ac:dyDescent="0.35">
      <c r="A18" s="57"/>
      <c r="B18" s="82"/>
      <c r="C18" s="61"/>
      <c r="D18" s="83"/>
      <c r="E18" s="61"/>
      <c r="F18" s="61"/>
      <c r="G18" s="61"/>
      <c r="H18" s="62"/>
      <c r="I18" s="63"/>
      <c r="J18" s="349"/>
      <c r="K18" s="338"/>
      <c r="M18" s="64"/>
      <c r="N18" s="8"/>
      <c r="O18" s="9"/>
      <c r="P18" s="9"/>
    </row>
    <row r="19" spans="1:19" x14ac:dyDescent="0.3">
      <c r="A19" s="65" t="s">
        <v>27</v>
      </c>
      <c r="B19" s="66"/>
      <c r="C19" s="67"/>
      <c r="D19" s="68">
        <v>1</v>
      </c>
      <c r="E19" s="67">
        <f>C19*D19</f>
        <v>0</v>
      </c>
      <c r="F19" s="67">
        <v>0</v>
      </c>
      <c r="G19" s="69"/>
      <c r="H19" s="70"/>
      <c r="I19" s="71"/>
      <c r="J19" s="339"/>
      <c r="K19" s="340"/>
      <c r="M19" s="56">
        <v>340000</v>
      </c>
      <c r="N19" s="8"/>
      <c r="O19" s="9"/>
      <c r="P19" s="9"/>
    </row>
    <row r="20" spans="1:19" x14ac:dyDescent="0.3">
      <c r="A20" s="72" t="s">
        <v>28</v>
      </c>
      <c r="B20" s="39">
        <v>1</v>
      </c>
      <c r="C20" s="40">
        <v>3012.1799999999994</v>
      </c>
      <c r="D20" s="73">
        <v>0.3</v>
      </c>
      <c r="E20" s="40">
        <f>C20*D20</f>
        <v>903.65399999999977</v>
      </c>
      <c r="F20" s="40">
        <f>C20-E20</f>
        <v>2108.5259999999998</v>
      </c>
      <c r="G20" s="69"/>
      <c r="H20" s="70"/>
      <c r="I20" s="71"/>
      <c r="J20" s="341"/>
      <c r="K20" s="342"/>
      <c r="M20" s="56">
        <v>340000</v>
      </c>
      <c r="N20" s="8"/>
      <c r="O20" s="9"/>
      <c r="P20" s="9"/>
      <c r="Q20" s="37" t="s">
        <v>71</v>
      </c>
      <c r="R20">
        <v>1</v>
      </c>
      <c r="S20">
        <v>3012.1799999999994</v>
      </c>
    </row>
    <row r="21" spans="1:19" ht="15" customHeight="1" thickBot="1" x14ac:dyDescent="0.3">
      <c r="A21" s="74" t="s">
        <v>29</v>
      </c>
      <c r="B21" s="75">
        <f>SUM(B19:B20)</f>
        <v>1</v>
      </c>
      <c r="C21" s="76">
        <f>SUM(C19:C20)</f>
        <v>3012.1799999999994</v>
      </c>
      <c r="D21" s="77"/>
      <c r="E21" s="76">
        <f>SUM(E19:E20)</f>
        <v>903.65399999999977</v>
      </c>
      <c r="F21" s="76">
        <f>F20</f>
        <v>2108.5259999999998</v>
      </c>
      <c r="G21" s="78">
        <v>100000</v>
      </c>
      <c r="H21" s="79">
        <f>E21/G21</f>
        <v>9.0365399999999974E-3</v>
      </c>
      <c r="I21" s="80"/>
      <c r="J21" s="221">
        <v>1210.4083079629038</v>
      </c>
      <c r="K21" s="81">
        <v>-399744.59169203712</v>
      </c>
      <c r="M21" s="56">
        <v>3360000</v>
      </c>
      <c r="N21" s="8"/>
      <c r="O21" s="9"/>
      <c r="P21" s="9"/>
    </row>
    <row r="22" spans="1:19" ht="15" thickBot="1" x14ac:dyDescent="0.35">
      <c r="A22" s="57"/>
      <c r="B22" s="82"/>
      <c r="C22" s="61"/>
      <c r="D22" s="83"/>
      <c r="E22" s="61"/>
      <c r="F22" s="61"/>
      <c r="G22" s="61"/>
      <c r="H22" s="62"/>
      <c r="I22" s="63"/>
      <c r="J22" s="349"/>
      <c r="K22" s="338"/>
      <c r="M22" s="64"/>
      <c r="N22" s="8"/>
      <c r="O22" s="9"/>
      <c r="P22" s="9"/>
    </row>
    <row r="23" spans="1:19" x14ac:dyDescent="0.3">
      <c r="A23" s="84" t="s">
        <v>30</v>
      </c>
      <c r="B23" s="85">
        <v>129</v>
      </c>
      <c r="C23" s="86">
        <v>18570.749999999996</v>
      </c>
      <c r="D23" s="87">
        <v>1</v>
      </c>
      <c r="E23" s="86">
        <f>C23*D23</f>
        <v>18570.749999999996</v>
      </c>
      <c r="F23" s="88"/>
      <c r="G23" s="89"/>
      <c r="H23" s="90"/>
      <c r="I23" s="91"/>
      <c r="J23" s="339"/>
      <c r="K23" s="340"/>
      <c r="M23" s="92"/>
      <c r="N23" s="8"/>
      <c r="O23" s="9"/>
      <c r="P23" s="9"/>
      <c r="Q23" s="37" t="s">
        <v>72</v>
      </c>
      <c r="R23">
        <v>129</v>
      </c>
      <c r="S23">
        <v>18570.749999999996</v>
      </c>
    </row>
    <row r="24" spans="1:19" x14ac:dyDescent="0.3">
      <c r="A24" s="84" t="s">
        <v>32</v>
      </c>
      <c r="B24" s="85">
        <v>49</v>
      </c>
      <c r="C24" s="93">
        <v>10312.180000000002</v>
      </c>
      <c r="D24" s="94">
        <v>0.3</v>
      </c>
      <c r="E24" s="93">
        <f>C24*D24</f>
        <v>3093.6540000000005</v>
      </c>
      <c r="F24" s="95">
        <f>C24-E24</f>
        <v>7218.5260000000017</v>
      </c>
      <c r="G24" s="96"/>
      <c r="H24" s="97"/>
      <c r="I24" s="91"/>
      <c r="J24" s="341"/>
      <c r="K24" s="342"/>
      <c r="M24" s="92"/>
      <c r="N24" s="8"/>
      <c r="O24" s="9"/>
      <c r="P24" s="9"/>
      <c r="Q24" s="37" t="s">
        <v>31</v>
      </c>
      <c r="R24">
        <v>49</v>
      </c>
      <c r="S24">
        <v>10312.180000000002</v>
      </c>
    </row>
    <row r="25" spans="1:19" ht="15" customHeight="1" thickBot="1" x14ac:dyDescent="0.3">
      <c r="A25" s="74" t="s">
        <v>33</v>
      </c>
      <c r="B25" s="75">
        <f>SUM(B23:B24)</f>
        <v>178</v>
      </c>
      <c r="C25" s="76">
        <f>SUM(C23:C24)</f>
        <v>28882.93</v>
      </c>
      <c r="D25" s="77"/>
      <c r="E25" s="76">
        <f>SUM(E23:E24)</f>
        <v>21664.403999999995</v>
      </c>
      <c r="F25" s="76">
        <f>F24</f>
        <v>7218.5260000000017</v>
      </c>
      <c r="G25" s="78">
        <v>750000</v>
      </c>
      <c r="H25" s="79">
        <f>E25/G25</f>
        <v>2.8885871999999993E-2</v>
      </c>
      <c r="I25" s="80"/>
      <c r="J25" s="221">
        <f>(H25/H$3)*G$13</f>
        <v>2046504.6996189114</v>
      </c>
      <c r="K25" s="81">
        <f>J25-G25</f>
        <v>1296504.6996189114</v>
      </c>
      <c r="M25" s="56">
        <v>3360000</v>
      </c>
      <c r="N25" s="8"/>
      <c r="O25" s="9"/>
      <c r="P25" s="9"/>
    </row>
    <row r="26" spans="1:19" ht="15" thickBot="1" x14ac:dyDescent="0.35">
      <c r="A26" s="57"/>
      <c r="B26" s="82"/>
      <c r="C26" s="61"/>
      <c r="D26" s="83"/>
      <c r="E26" s="61"/>
      <c r="F26" s="61"/>
      <c r="G26" s="61"/>
      <c r="H26" s="62"/>
      <c r="I26" s="63"/>
      <c r="J26" s="337"/>
      <c r="K26" s="350"/>
      <c r="M26" s="64"/>
      <c r="N26" s="8"/>
      <c r="O26" s="9"/>
      <c r="P26" s="9"/>
    </row>
    <row r="27" spans="1:19" x14ac:dyDescent="0.3">
      <c r="A27" s="65" t="s">
        <v>34</v>
      </c>
      <c r="B27" s="98">
        <v>81</v>
      </c>
      <c r="C27" s="99">
        <v>16763.12</v>
      </c>
      <c r="D27" s="100">
        <v>1</v>
      </c>
      <c r="E27" s="101">
        <f>C27*D27</f>
        <v>16763.12</v>
      </c>
      <c r="F27" s="101">
        <v>0</v>
      </c>
      <c r="G27" s="69"/>
      <c r="H27" s="70"/>
      <c r="I27" s="71"/>
      <c r="J27" s="351"/>
      <c r="K27" s="352"/>
      <c r="M27" s="56">
        <v>340000</v>
      </c>
      <c r="N27" s="8"/>
      <c r="O27" s="9"/>
      <c r="P27" s="9"/>
      <c r="Q27" s="37" t="s">
        <v>73</v>
      </c>
      <c r="R27">
        <v>81</v>
      </c>
      <c r="S27">
        <v>16763.12</v>
      </c>
    </row>
    <row r="28" spans="1:19" x14ac:dyDescent="0.3">
      <c r="A28" s="72" t="s">
        <v>35</v>
      </c>
      <c r="B28" s="102">
        <v>12</v>
      </c>
      <c r="C28" s="103">
        <v>2527.29</v>
      </c>
      <c r="D28" s="104">
        <v>0.3</v>
      </c>
      <c r="E28" s="105">
        <f>C28*D28</f>
        <v>758.18700000000001</v>
      </c>
      <c r="F28" s="105">
        <f>C28-E28</f>
        <v>1769.1030000000001</v>
      </c>
      <c r="G28" s="69"/>
      <c r="H28" s="70"/>
      <c r="I28" s="71"/>
      <c r="J28" s="353"/>
      <c r="K28" s="354"/>
      <c r="M28" s="56">
        <v>340000</v>
      </c>
      <c r="N28" s="8"/>
      <c r="O28" s="9"/>
      <c r="P28" s="9"/>
      <c r="Q28" s="37" t="s">
        <v>74</v>
      </c>
      <c r="R28">
        <v>12</v>
      </c>
      <c r="S28">
        <v>2527.29</v>
      </c>
    </row>
    <row r="29" spans="1:19" ht="15" customHeight="1" thickBot="1" x14ac:dyDescent="0.3">
      <c r="A29" s="74" t="s">
        <v>36</v>
      </c>
      <c r="B29" s="75">
        <f>SUM(B27:B28)</f>
        <v>93</v>
      </c>
      <c r="C29" s="76">
        <f>SUM(C27:C28)</f>
        <v>19290.41</v>
      </c>
      <c r="D29" s="77"/>
      <c r="E29" s="76">
        <f>SUM(E27:E28)</f>
        <v>17521.307000000001</v>
      </c>
      <c r="F29" s="76">
        <f>F28</f>
        <v>1769.1030000000001</v>
      </c>
      <c r="G29" s="78">
        <v>429000</v>
      </c>
      <c r="H29" s="79">
        <f>E29/G29</f>
        <v>4.0842207459207462E-2</v>
      </c>
      <c r="I29" s="80"/>
      <c r="J29" s="221">
        <f>(H29/H$3)*G$13</f>
        <v>2893586.5085907271</v>
      </c>
      <c r="K29" s="81">
        <f>J29-G29</f>
        <v>2464586.5085907271</v>
      </c>
      <c r="M29" s="56">
        <v>3360000</v>
      </c>
      <c r="N29" s="8"/>
      <c r="O29" s="9"/>
      <c r="P29" s="9"/>
    </row>
    <row r="30" spans="1:19" ht="15" thickBot="1" x14ac:dyDescent="0.35">
      <c r="A30" s="57"/>
      <c r="B30" s="82"/>
      <c r="C30" s="61"/>
      <c r="D30" s="83"/>
      <c r="E30" s="61"/>
      <c r="F30" s="61"/>
      <c r="G30" s="61"/>
      <c r="H30" s="62"/>
      <c r="I30" s="63"/>
      <c r="J30" s="355"/>
      <c r="K30" s="338"/>
      <c r="M30" s="64"/>
      <c r="N30" s="8"/>
      <c r="O30" s="9"/>
      <c r="P30" s="9"/>
    </row>
    <row r="31" spans="1:19" x14ac:dyDescent="0.3">
      <c r="A31" s="106" t="s">
        <v>37</v>
      </c>
      <c r="B31" s="107">
        <v>189</v>
      </c>
      <c r="C31" s="108">
        <v>23783.960000000028</v>
      </c>
      <c r="D31" s="109">
        <v>1</v>
      </c>
      <c r="E31" s="110">
        <f>C31*D31</f>
        <v>23783.960000000028</v>
      </c>
      <c r="F31" s="111"/>
      <c r="G31" s="358"/>
      <c r="H31" s="360"/>
      <c r="I31" s="112"/>
      <c r="J31" s="339"/>
      <c r="K31" s="340"/>
      <c r="M31" s="113">
        <v>600000</v>
      </c>
      <c r="N31" s="8"/>
      <c r="O31" s="9"/>
      <c r="P31" s="9"/>
      <c r="Q31" s="37" t="s">
        <v>38</v>
      </c>
      <c r="R31">
        <v>189</v>
      </c>
      <c r="S31">
        <v>23783.960000000028</v>
      </c>
    </row>
    <row r="32" spans="1:19" x14ac:dyDescent="0.3">
      <c r="A32" s="114" t="s">
        <v>39</v>
      </c>
      <c r="B32" s="115">
        <v>18</v>
      </c>
      <c r="C32" s="64">
        <v>8197.1500000000015</v>
      </c>
      <c r="D32" s="116">
        <v>0.3</v>
      </c>
      <c r="E32" s="117">
        <f>C32*D32</f>
        <v>2459.1450000000004</v>
      </c>
      <c r="F32" s="118">
        <f>C32-E32</f>
        <v>5738.005000000001</v>
      </c>
      <c r="G32" s="359"/>
      <c r="H32" s="361"/>
      <c r="I32" s="112"/>
      <c r="J32" s="341"/>
      <c r="K32" s="342"/>
      <c r="M32" s="64"/>
      <c r="N32" s="8"/>
      <c r="O32" s="9"/>
      <c r="P32" s="9"/>
      <c r="Q32" s="37" t="s">
        <v>40</v>
      </c>
      <c r="R32">
        <v>18</v>
      </c>
      <c r="S32">
        <v>8197.1500000000015</v>
      </c>
    </row>
    <row r="33" spans="1:19" ht="15" customHeight="1" thickBot="1" x14ac:dyDescent="0.3">
      <c r="A33" s="119" t="s">
        <v>41</v>
      </c>
      <c r="B33" s="120">
        <f>SUM(B31:B32)</f>
        <v>207</v>
      </c>
      <c r="C33" s="78">
        <f>SUM(C31:C32)</f>
        <v>31981.11000000003</v>
      </c>
      <c r="D33" s="121"/>
      <c r="E33" s="78">
        <f>SUM(E31:E32)</f>
        <v>26243.105000000029</v>
      </c>
      <c r="F33" s="78">
        <f>F32</f>
        <v>5738.005000000001</v>
      </c>
      <c r="G33" s="78">
        <v>1000000</v>
      </c>
      <c r="H33" s="79">
        <f>E33/G33</f>
        <v>2.6243105000000027E-2</v>
      </c>
      <c r="I33" s="80"/>
      <c r="J33" s="221">
        <f>(H33/H$3)*G$13</f>
        <v>1859270.0859123319</v>
      </c>
      <c r="K33" s="81">
        <f>J33-G33</f>
        <v>859270.08591233194</v>
      </c>
      <c r="M33" s="56">
        <v>3360000</v>
      </c>
      <c r="N33" s="8"/>
      <c r="O33" s="9"/>
      <c r="P33" s="9"/>
    </row>
    <row r="34" spans="1:19" ht="15" thickBot="1" x14ac:dyDescent="0.35">
      <c r="A34" s="57"/>
      <c r="B34" s="82"/>
      <c r="C34" s="61"/>
      <c r="D34" s="83"/>
      <c r="E34" s="61"/>
      <c r="F34" s="61"/>
      <c r="G34" s="61"/>
      <c r="H34" s="62"/>
      <c r="I34" s="63"/>
      <c r="J34" s="337"/>
      <c r="K34" s="350"/>
      <c r="M34" s="64"/>
      <c r="N34" s="8"/>
      <c r="O34" s="9"/>
      <c r="P34" s="9"/>
    </row>
    <row r="35" spans="1:19" x14ac:dyDescent="0.3">
      <c r="A35" s="122" t="s">
        <v>42</v>
      </c>
      <c r="B35" s="123">
        <v>65</v>
      </c>
      <c r="C35" s="124">
        <v>33647.510000000009</v>
      </c>
      <c r="D35" s="125">
        <v>1</v>
      </c>
      <c r="E35" s="124">
        <f>C35*D35</f>
        <v>33647.510000000009</v>
      </c>
      <c r="F35" s="126"/>
      <c r="G35" s="362"/>
      <c r="H35" s="364"/>
      <c r="I35" s="127"/>
      <c r="J35" s="351"/>
      <c r="K35" s="352"/>
      <c r="M35" s="128">
        <v>650000</v>
      </c>
      <c r="N35" s="8"/>
      <c r="O35" s="9"/>
      <c r="P35" s="9"/>
      <c r="Q35" s="37" t="s">
        <v>43</v>
      </c>
      <c r="R35">
        <v>65</v>
      </c>
      <c r="S35">
        <v>33647.510000000009</v>
      </c>
    </row>
    <row r="36" spans="1:19" x14ac:dyDescent="0.3">
      <c r="A36" s="129" t="s">
        <v>44</v>
      </c>
      <c r="B36" s="130">
        <v>81</v>
      </c>
      <c r="C36" s="131">
        <v>37437.799999999996</v>
      </c>
      <c r="D36" s="132">
        <v>0.3</v>
      </c>
      <c r="E36" s="131">
        <f>C36*D36</f>
        <v>11231.339999999998</v>
      </c>
      <c r="F36" s="133">
        <f>C36-E36</f>
        <v>26206.46</v>
      </c>
      <c r="G36" s="363"/>
      <c r="H36" s="365"/>
      <c r="I36" s="127"/>
      <c r="J36" s="353"/>
      <c r="K36" s="354"/>
      <c r="M36" s="131"/>
      <c r="N36" s="8"/>
      <c r="O36" s="9"/>
      <c r="P36" s="9"/>
      <c r="Q36" s="37" t="s">
        <v>45</v>
      </c>
      <c r="R36">
        <v>81</v>
      </c>
      <c r="S36">
        <v>37437.799999999996</v>
      </c>
    </row>
    <row r="37" spans="1:19" ht="15" customHeight="1" thickBot="1" x14ac:dyDescent="0.3">
      <c r="A37" s="74" t="s">
        <v>46</v>
      </c>
      <c r="B37" s="120">
        <f>SUM(B35:B36)</f>
        <v>146</v>
      </c>
      <c r="C37" s="78">
        <f>SUM(C35:C36)</f>
        <v>71085.31</v>
      </c>
      <c r="D37" s="121"/>
      <c r="E37" s="78">
        <f>SUM(E35:E36)</f>
        <v>44878.850000000006</v>
      </c>
      <c r="F37" s="78">
        <f>F36</f>
        <v>26206.46</v>
      </c>
      <c r="G37" s="78">
        <v>450000</v>
      </c>
      <c r="H37" s="79">
        <f>E37/G37</f>
        <v>9.9730777777777793E-2</v>
      </c>
      <c r="I37" s="80"/>
      <c r="J37" s="221">
        <f>(H37/H$3)*G$13</f>
        <v>7065720.7585380003</v>
      </c>
      <c r="K37" s="81">
        <f>J37-G37</f>
        <v>6615720.7585380003</v>
      </c>
      <c r="M37" s="56">
        <v>3360000</v>
      </c>
      <c r="N37" s="8"/>
      <c r="O37" s="9"/>
      <c r="P37" s="9"/>
    </row>
    <row r="38" spans="1:19" ht="15" thickBot="1" x14ac:dyDescent="0.35">
      <c r="A38" s="57"/>
      <c r="B38" s="82"/>
      <c r="C38" s="61"/>
      <c r="D38" s="83"/>
      <c r="E38" s="61"/>
      <c r="F38" s="61"/>
      <c r="G38" s="61"/>
      <c r="H38" s="62"/>
      <c r="I38" s="63"/>
      <c r="J38" s="337"/>
      <c r="K38" s="338"/>
      <c r="M38" s="64"/>
      <c r="N38" s="8"/>
      <c r="O38" s="9"/>
      <c r="P38" s="9"/>
    </row>
    <row r="39" spans="1:19" x14ac:dyDescent="0.3">
      <c r="A39" s="134" t="s">
        <v>47</v>
      </c>
      <c r="B39" s="98">
        <v>36</v>
      </c>
      <c r="C39" s="135">
        <v>10439.1</v>
      </c>
      <c r="D39" s="136">
        <v>1</v>
      </c>
      <c r="E39" s="99">
        <f>C39*D39</f>
        <v>10439.1</v>
      </c>
      <c r="F39" s="101"/>
      <c r="G39" s="343"/>
      <c r="H39" s="345"/>
      <c r="I39" s="91"/>
      <c r="J39" s="339"/>
      <c r="K39" s="340"/>
      <c r="M39" s="137">
        <v>250000</v>
      </c>
      <c r="N39" s="8"/>
      <c r="O39" s="9"/>
      <c r="P39" s="9"/>
      <c r="Q39" s="37" t="s">
        <v>48</v>
      </c>
      <c r="R39">
        <v>36</v>
      </c>
      <c r="S39">
        <v>10439.1</v>
      </c>
    </row>
    <row r="40" spans="1:19" x14ac:dyDescent="0.3">
      <c r="A40" s="138" t="s">
        <v>49</v>
      </c>
      <c r="B40" s="85">
        <v>12</v>
      </c>
      <c r="C40" s="93">
        <v>2192.5499999999997</v>
      </c>
      <c r="D40" s="94">
        <v>0.3</v>
      </c>
      <c r="E40" s="139">
        <f>C40*D40</f>
        <v>657.76499999999987</v>
      </c>
      <c r="F40" s="140">
        <f>C40-E40</f>
        <v>1534.7849999999999</v>
      </c>
      <c r="G40" s="344"/>
      <c r="H40" s="346"/>
      <c r="I40" s="91"/>
      <c r="J40" s="341"/>
      <c r="K40" s="342"/>
      <c r="M40" s="92"/>
      <c r="N40" s="8"/>
      <c r="O40" s="9"/>
      <c r="P40" s="9"/>
      <c r="Q40" s="37" t="s">
        <v>50</v>
      </c>
      <c r="R40">
        <v>12</v>
      </c>
      <c r="S40">
        <v>2192.5499999999997</v>
      </c>
    </row>
    <row r="41" spans="1:19" ht="15" customHeight="1" thickBot="1" x14ac:dyDescent="0.3">
      <c r="A41" s="119" t="s">
        <v>51</v>
      </c>
      <c r="B41" s="120">
        <f>SUM(B39:B40)</f>
        <v>48</v>
      </c>
      <c r="C41" s="78">
        <f>SUM(C39:C40)</f>
        <v>12631.65</v>
      </c>
      <c r="D41" s="121"/>
      <c r="E41" s="78">
        <f>SUM(E39:E40)</f>
        <v>11096.865</v>
      </c>
      <c r="F41" s="78">
        <f>F40</f>
        <v>1534.7849999999999</v>
      </c>
      <c r="G41" s="78">
        <v>325000</v>
      </c>
      <c r="H41" s="79">
        <f>E41/G41</f>
        <v>3.41442E-2</v>
      </c>
      <c r="I41" s="80"/>
      <c r="J41" s="221">
        <f>(H41/H$3)*G$13</f>
        <v>2419046.4378131996</v>
      </c>
      <c r="K41" s="81">
        <f>J41-G41</f>
        <v>2094046.4378131996</v>
      </c>
      <c r="M41" s="56">
        <v>3360000</v>
      </c>
      <c r="N41" s="8"/>
      <c r="O41" s="9"/>
      <c r="P41" s="9"/>
    </row>
    <row r="42" spans="1:19" ht="15" thickBot="1" x14ac:dyDescent="0.35">
      <c r="A42" s="57"/>
      <c r="B42" s="82"/>
      <c r="C42" s="61"/>
      <c r="D42" s="83"/>
      <c r="E42" s="61"/>
      <c r="F42" s="61"/>
      <c r="G42" s="61"/>
      <c r="H42" s="62"/>
      <c r="I42" s="63"/>
      <c r="J42" s="337"/>
      <c r="K42" s="350"/>
      <c r="M42" s="64"/>
      <c r="N42" s="8"/>
      <c r="O42" s="9"/>
      <c r="P42" s="9"/>
    </row>
    <row r="43" spans="1:19" x14ac:dyDescent="0.3">
      <c r="A43" s="141" t="s">
        <v>52</v>
      </c>
      <c r="B43" s="123">
        <v>33</v>
      </c>
      <c r="C43" s="124">
        <v>7623.8300000000008</v>
      </c>
      <c r="D43" s="109">
        <v>1</v>
      </c>
      <c r="E43" s="110">
        <f>C43*D43</f>
        <v>7623.8300000000008</v>
      </c>
      <c r="F43" s="142"/>
      <c r="G43" s="362"/>
      <c r="H43" s="364"/>
      <c r="I43" s="127"/>
      <c r="J43" s="351"/>
      <c r="K43" s="352"/>
      <c r="M43" s="128">
        <v>340000</v>
      </c>
      <c r="N43" s="8"/>
      <c r="O43" s="9"/>
      <c r="P43" s="9"/>
      <c r="Q43" s="37" t="s">
        <v>53</v>
      </c>
      <c r="R43">
        <v>33</v>
      </c>
      <c r="S43">
        <v>7623.8300000000008</v>
      </c>
    </row>
    <row r="44" spans="1:19" x14ac:dyDescent="0.3">
      <c r="A44" s="129" t="s">
        <v>54</v>
      </c>
      <c r="B44" s="130">
        <v>20</v>
      </c>
      <c r="C44" s="131">
        <v>7276.7700000000013</v>
      </c>
      <c r="D44" s="116">
        <v>0.3</v>
      </c>
      <c r="E44" s="117">
        <f>C44*D44</f>
        <v>2183.0310000000004</v>
      </c>
      <c r="F44" s="97">
        <f>C44-E44</f>
        <v>5093.7390000000014</v>
      </c>
      <c r="G44" s="363"/>
      <c r="H44" s="365"/>
      <c r="I44" s="127"/>
      <c r="J44" s="353"/>
      <c r="K44" s="354"/>
      <c r="M44" s="131"/>
      <c r="N44" s="8"/>
      <c r="O44" s="9"/>
      <c r="P44" s="9"/>
      <c r="Q44" s="37" t="s">
        <v>55</v>
      </c>
      <c r="R44">
        <v>20</v>
      </c>
      <c r="S44">
        <v>7276.7700000000013</v>
      </c>
    </row>
    <row r="45" spans="1:19" ht="15" customHeight="1" thickBot="1" x14ac:dyDescent="0.3">
      <c r="A45" s="119" t="s">
        <v>56</v>
      </c>
      <c r="B45" s="120">
        <f>SUM(B43:B44)</f>
        <v>53</v>
      </c>
      <c r="C45" s="78">
        <f>SUM(C43:C44)</f>
        <v>14900.600000000002</v>
      </c>
      <c r="D45" s="121"/>
      <c r="E45" s="78">
        <f>SUM(E43:E44)</f>
        <v>9806.8610000000008</v>
      </c>
      <c r="F45" s="78">
        <f>F44</f>
        <v>5093.7390000000014</v>
      </c>
      <c r="G45" s="78">
        <v>300000</v>
      </c>
      <c r="H45" s="79">
        <f>E45/G45</f>
        <v>3.2689536666666671E-2</v>
      </c>
      <c r="I45" s="80"/>
      <c r="J45" s="221">
        <f>(H45/H$3)*G$13</f>
        <v>2315986.52852502</v>
      </c>
      <c r="K45" s="81">
        <f>J45-G45</f>
        <v>2015986.52852502</v>
      </c>
      <c r="M45" s="56">
        <v>3360000</v>
      </c>
      <c r="N45" s="8"/>
      <c r="O45" s="9"/>
      <c r="P45" s="9"/>
    </row>
    <row r="46" spans="1:19" ht="15" thickBot="1" x14ac:dyDescent="0.35">
      <c r="A46" s="57"/>
      <c r="B46" s="82"/>
      <c r="C46" s="61"/>
      <c r="D46" s="83"/>
      <c r="E46" s="61"/>
      <c r="F46" s="143"/>
      <c r="G46" s="61"/>
      <c r="H46" s="62"/>
      <c r="I46" s="63"/>
      <c r="J46" s="337"/>
      <c r="K46" s="338"/>
      <c r="M46" s="64"/>
      <c r="N46" s="8"/>
      <c r="O46" s="9"/>
      <c r="P46" s="9"/>
    </row>
    <row r="47" spans="1:19" x14ac:dyDescent="0.3">
      <c r="A47" s="141" t="s">
        <v>66</v>
      </c>
      <c r="B47" s="123"/>
      <c r="C47" s="124"/>
      <c r="D47" s="109">
        <v>1</v>
      </c>
      <c r="E47" s="110">
        <f>C47*D47</f>
        <v>0</v>
      </c>
      <c r="F47" s="142"/>
      <c r="G47" s="362"/>
      <c r="H47" s="364"/>
      <c r="I47" s="127"/>
      <c r="J47" s="370"/>
      <c r="K47" s="340"/>
      <c r="M47" s="128">
        <v>340000</v>
      </c>
      <c r="N47" s="8"/>
      <c r="O47" s="9"/>
      <c r="P47" s="9"/>
    </row>
    <row r="48" spans="1:19" x14ac:dyDescent="0.3">
      <c r="A48" s="129" t="s">
        <v>67</v>
      </c>
      <c r="B48" s="130"/>
      <c r="C48" s="131"/>
      <c r="D48" s="116">
        <v>0.3</v>
      </c>
      <c r="E48" s="117">
        <f>C48*D48</f>
        <v>0</v>
      </c>
      <c r="F48" s="97">
        <f>C48-E48</f>
        <v>0</v>
      </c>
      <c r="G48" s="363"/>
      <c r="H48" s="365"/>
      <c r="I48" s="127"/>
      <c r="J48" s="370"/>
      <c r="K48" s="340"/>
      <c r="M48" s="131"/>
      <c r="N48" s="8"/>
      <c r="O48" s="9"/>
      <c r="P48" s="9"/>
    </row>
    <row r="49" spans="1:19" ht="15" customHeight="1" thickBot="1" x14ac:dyDescent="0.35">
      <c r="A49" s="119" t="s">
        <v>68</v>
      </c>
      <c r="B49" s="120">
        <f>SUM(B47:B48)</f>
        <v>0</v>
      </c>
      <c r="C49" s="78">
        <f>SUM(C47:C48)</f>
        <v>0</v>
      </c>
      <c r="D49" s="121"/>
      <c r="E49" s="78">
        <f>SUM(E47:E48)</f>
        <v>0</v>
      </c>
      <c r="F49" s="78">
        <f>F48</f>
        <v>0</v>
      </c>
      <c r="G49" s="78">
        <v>275000</v>
      </c>
      <c r="H49" s="79">
        <f>E49/G49</f>
        <v>0</v>
      </c>
      <c r="I49" s="80"/>
      <c r="J49" s="370"/>
      <c r="K49" s="340"/>
      <c r="M49" s="56">
        <v>3360000</v>
      </c>
      <c r="N49" s="8"/>
      <c r="O49" s="9"/>
      <c r="P49" s="9"/>
    </row>
    <row r="50" spans="1:19" ht="15" thickBot="1" x14ac:dyDescent="0.35">
      <c r="A50" s="57"/>
      <c r="B50" s="82"/>
      <c r="C50" s="61"/>
      <c r="D50" s="83"/>
      <c r="E50" s="61"/>
      <c r="F50" s="143"/>
      <c r="G50" s="61"/>
      <c r="H50" s="62"/>
      <c r="I50" s="63"/>
      <c r="J50" s="370"/>
      <c r="K50" s="340"/>
      <c r="M50" s="64"/>
      <c r="N50" s="8"/>
      <c r="O50" s="9"/>
      <c r="P50" s="9"/>
    </row>
    <row r="51" spans="1:19" ht="16.5" customHeight="1" x14ac:dyDescent="0.3">
      <c r="A51" s="106" t="s">
        <v>57</v>
      </c>
      <c r="B51" s="115">
        <v>551</v>
      </c>
      <c r="C51" s="64">
        <v>87316.589999999822</v>
      </c>
      <c r="D51" s="116">
        <v>0.3</v>
      </c>
      <c r="E51" s="110">
        <f>C51*D51</f>
        <v>26194.976999999944</v>
      </c>
      <c r="F51" s="144">
        <f>C51-E51</f>
        <v>61121.612999999881</v>
      </c>
      <c r="G51" s="145"/>
      <c r="H51" s="146"/>
      <c r="I51" s="112"/>
      <c r="J51" s="341"/>
      <c r="K51" s="342"/>
      <c r="M51" s="64"/>
      <c r="N51" s="8"/>
      <c r="O51" s="9"/>
      <c r="P51" s="9"/>
      <c r="Q51" s="37" t="s">
        <v>58</v>
      </c>
      <c r="R51">
        <v>551</v>
      </c>
      <c r="S51">
        <v>87316.589999999822</v>
      </c>
    </row>
    <row r="52" spans="1:19" ht="15" customHeight="1" thickBot="1" x14ac:dyDescent="0.3">
      <c r="A52" s="119" t="s">
        <v>59</v>
      </c>
      <c r="B52" s="120">
        <f>B51</f>
        <v>551</v>
      </c>
      <c r="C52" s="78">
        <f>C51</f>
        <v>87316.589999999822</v>
      </c>
      <c r="D52" s="121"/>
      <c r="E52" s="78">
        <f>E51</f>
        <v>26194.976999999944</v>
      </c>
      <c r="F52" s="78">
        <f>F51</f>
        <v>61121.612999999881</v>
      </c>
      <c r="G52" s="78">
        <v>916667</v>
      </c>
      <c r="H52" s="79"/>
      <c r="I52" s="80"/>
      <c r="J52" s="221">
        <f>(H52/H$3)*G$13</f>
        <v>0</v>
      </c>
      <c r="K52" s="81">
        <f>J52-G52</f>
        <v>-916667</v>
      </c>
      <c r="M52" s="56">
        <v>3360000</v>
      </c>
      <c r="N52" s="8"/>
      <c r="O52" s="9"/>
      <c r="P52" s="9"/>
    </row>
    <row r="53" spans="1:19" ht="15" thickBot="1" x14ac:dyDescent="0.35">
      <c r="A53" s="57"/>
      <c r="B53" s="82"/>
      <c r="C53" s="61"/>
      <c r="D53" s="83"/>
      <c r="E53" s="61"/>
      <c r="F53" s="143"/>
      <c r="G53" s="61"/>
      <c r="H53" s="62"/>
      <c r="I53" s="63"/>
      <c r="J53" s="337"/>
      <c r="K53" s="350"/>
      <c r="M53" s="64"/>
      <c r="N53" s="8"/>
      <c r="O53" s="9"/>
      <c r="P53" s="9"/>
    </row>
    <row r="54" spans="1:19" ht="15" thickBot="1" x14ac:dyDescent="0.35">
      <c r="A54" s="147" t="s">
        <v>75</v>
      </c>
      <c r="B54" s="148">
        <v>179</v>
      </c>
      <c r="C54" s="54">
        <v>2248.2399999999961</v>
      </c>
      <c r="D54" s="149">
        <v>1</v>
      </c>
      <c r="E54" s="54">
        <f>C54*D54</f>
        <v>2248.2399999999961</v>
      </c>
      <c r="F54" s="150"/>
      <c r="G54" s="151">
        <v>546455</v>
      </c>
      <c r="H54" s="152"/>
      <c r="I54" s="71"/>
      <c r="J54" s="351"/>
      <c r="K54" s="352"/>
      <c r="M54" s="56"/>
      <c r="N54" s="8"/>
      <c r="O54" s="9"/>
      <c r="P54" s="9"/>
      <c r="Q54" s="37" t="s">
        <v>60</v>
      </c>
      <c r="R54">
        <v>179</v>
      </c>
      <c r="S54">
        <v>2248.2399999999961</v>
      </c>
    </row>
    <row r="55" spans="1:19" ht="15" thickBot="1" x14ac:dyDescent="0.35">
      <c r="A55" s="57"/>
      <c r="B55" s="82"/>
      <c r="C55" s="61"/>
      <c r="D55" s="60"/>
      <c r="E55" s="59"/>
      <c r="F55" s="144"/>
      <c r="G55" s="61"/>
      <c r="H55" s="62"/>
      <c r="I55" s="63"/>
      <c r="J55" s="366"/>
      <c r="K55" s="367"/>
      <c r="M55" s="64"/>
      <c r="N55" s="8"/>
      <c r="O55" s="9"/>
      <c r="P55" s="9"/>
    </row>
    <row r="56" spans="1:19" ht="15.75" thickBot="1" x14ac:dyDescent="0.3">
      <c r="A56" s="153" t="s">
        <v>7</v>
      </c>
      <c r="B56" s="154"/>
      <c r="C56" s="157"/>
      <c r="D56" s="156"/>
      <c r="E56" s="157">
        <f>SUM(E13,E17,E21,E25,E29,E33,E37,E41,E45,E49,E52,E54)</f>
        <v>271800.3879999998</v>
      </c>
      <c r="F56" s="157"/>
      <c r="G56" s="158">
        <f>SUM(G13:G54)</f>
        <v>7917043</v>
      </c>
      <c r="H56" s="159">
        <f>SUM(E56)/G56</f>
        <v>3.4331048599837058E-2</v>
      </c>
      <c r="I56" s="160"/>
      <c r="J56" s="222">
        <f>(H56/H$3)*G56</f>
        <v>7066810.0879999939</v>
      </c>
      <c r="K56" s="161">
        <f>J56-G56</f>
        <v>-850232.91200000606</v>
      </c>
      <c r="M56" s="162">
        <f>SUM(M6:M54)</f>
        <v>41180000</v>
      </c>
      <c r="N56" s="8"/>
      <c r="O56" s="9"/>
      <c r="P56" s="9"/>
    </row>
    <row r="57" spans="1:19" ht="15.75" thickBot="1" x14ac:dyDescent="0.3">
      <c r="A57" s="57"/>
      <c r="B57" s="82"/>
      <c r="C57" s="61"/>
      <c r="D57" s="83"/>
      <c r="E57" s="61"/>
      <c r="F57" s="143"/>
      <c r="G57" s="61"/>
      <c r="H57" s="62"/>
      <c r="I57" s="63"/>
      <c r="J57" s="223"/>
      <c r="K57" s="163"/>
      <c r="M57" s="64"/>
      <c r="N57" s="8"/>
      <c r="O57" s="9"/>
      <c r="P57" s="9"/>
    </row>
    <row r="58" spans="1:19" ht="15.75" thickBot="1" x14ac:dyDescent="0.3">
      <c r="A58" s="153" t="s">
        <v>8</v>
      </c>
      <c r="B58" s="154"/>
      <c r="C58" s="155"/>
      <c r="D58" s="156"/>
      <c r="E58" s="157"/>
      <c r="F58" s="157">
        <f>SUM(F13,F17,F21,F25,F29,F33,F37,F41,F45,F49,F52)</f>
        <v>122388.46199999988</v>
      </c>
      <c r="G58" s="158"/>
      <c r="H58" s="159"/>
      <c r="I58" s="160"/>
      <c r="J58" s="222">
        <f>(H58/H$3)*G58</f>
        <v>0</v>
      </c>
      <c r="K58" s="161">
        <f>J58-G58</f>
        <v>0</v>
      </c>
      <c r="M58" s="162">
        <f>SUM(M8:M56)</f>
        <v>82360000</v>
      </c>
      <c r="N58" s="8"/>
      <c r="O58" s="9"/>
      <c r="P58" s="9"/>
    </row>
    <row r="59" spans="1:19" ht="15.75" thickBot="1" x14ac:dyDescent="0.3">
      <c r="A59" s="57"/>
      <c r="B59" s="82"/>
      <c r="D59" s="83"/>
      <c r="E59" s="61"/>
      <c r="F59" s="143"/>
      <c r="G59" s="61"/>
      <c r="H59" s="62"/>
      <c r="I59" s="63"/>
      <c r="J59" s="223"/>
      <c r="K59" s="163"/>
      <c r="M59" s="64"/>
      <c r="N59" s="8"/>
      <c r="O59" s="9"/>
      <c r="P59" s="9"/>
    </row>
    <row r="60" spans="1:19" ht="15.75" thickBot="1" x14ac:dyDescent="0.3">
      <c r="A60" s="153" t="s">
        <v>61</v>
      </c>
      <c r="B60" s="154">
        <f>SUM(B13,B17,B21,B25,B29,B33,B37,B41,B45,B49,B52,B54)</f>
        <v>2159</v>
      </c>
      <c r="C60" s="155">
        <f>SUM(C13,C17,C21,C25,C29,C33,C37,C41,C45,C49,C52,C54)</f>
        <v>394188.84999999963</v>
      </c>
      <c r="D60" s="156"/>
      <c r="E60" s="157"/>
      <c r="F60" s="157">
        <f>SUM(E56:F59)</f>
        <v>394188.84999999969</v>
      </c>
      <c r="G60" s="158">
        <f>SUM(G56:G59)</f>
        <v>7917043</v>
      </c>
      <c r="H60" s="159">
        <f>SUM(C60)/G60</f>
        <v>4.9789908934434184E-2</v>
      </c>
      <c r="I60" s="160"/>
      <c r="J60" s="222">
        <f>(H60/H$3)*G60</f>
        <v>10248910.099999988</v>
      </c>
      <c r="K60" s="161">
        <f>J60-G60</f>
        <v>2331867.0999999885</v>
      </c>
      <c r="M60" s="162">
        <f>SUM(M10:M58)</f>
        <v>164720000</v>
      </c>
      <c r="N60" s="8"/>
      <c r="O60" s="9"/>
      <c r="P60" s="9"/>
      <c r="Q60" s="37" t="s">
        <v>61</v>
      </c>
      <c r="R60">
        <v>2159</v>
      </c>
      <c r="S60">
        <v>394188.84999999969</v>
      </c>
    </row>
    <row r="61" spans="1:19" ht="15" x14ac:dyDescent="0.25">
      <c r="C61" s="168"/>
      <c r="M61" s="36"/>
      <c r="N61" s="8"/>
      <c r="O61" s="9"/>
      <c r="P61" s="9"/>
    </row>
    <row r="62" spans="1:19" ht="15" x14ac:dyDescent="0.25">
      <c r="B62" s="164"/>
      <c r="C62" s="165"/>
      <c r="D62" s="165"/>
      <c r="E62" s="165"/>
      <c r="F62" s="165"/>
      <c r="G62" s="165"/>
      <c r="H62" s="165"/>
      <c r="I62" s="165"/>
      <c r="J62" s="165"/>
      <c r="K62" s="165"/>
      <c r="M62" s="166"/>
      <c r="N62" s="8"/>
      <c r="O62" s="9"/>
      <c r="P62" s="9"/>
      <c r="Q62"/>
    </row>
    <row r="63" spans="1:19" ht="15" x14ac:dyDescent="0.25">
      <c r="A63" s="335"/>
      <c r="B63" s="336"/>
      <c r="C63" s="336"/>
      <c r="D63" s="336"/>
      <c r="E63" s="336"/>
      <c r="F63" s="336"/>
      <c r="G63" s="336"/>
      <c r="H63" s="336"/>
      <c r="I63" s="213"/>
      <c r="J63" s="224"/>
      <c r="K63" s="213"/>
      <c r="M63" s="166"/>
      <c r="N63" s="8"/>
      <c r="O63" s="9"/>
      <c r="P63" s="9"/>
    </row>
    <row r="64" spans="1:19" ht="15" x14ac:dyDescent="0.25">
      <c r="A64" s="336"/>
      <c r="B64" s="336"/>
      <c r="C64" s="336"/>
      <c r="D64" s="336"/>
      <c r="E64" s="336"/>
      <c r="F64" s="336"/>
      <c r="G64" s="336"/>
      <c r="H64" s="336"/>
      <c r="I64" s="213"/>
      <c r="J64" s="224"/>
      <c r="K64" s="213"/>
      <c r="L64" s="168"/>
      <c r="M64" s="166"/>
      <c r="N64" s="8"/>
      <c r="O64" s="9"/>
    </row>
    <row r="65" spans="1:18" ht="15" x14ac:dyDescent="0.25">
      <c r="M65" s="166"/>
      <c r="N65" s="8"/>
      <c r="O65" s="9"/>
      <c r="P65" s="9"/>
    </row>
    <row r="66" spans="1:18" ht="21" customHeight="1" thickBot="1" x14ac:dyDescent="0.3">
      <c r="G66" s="168"/>
      <c r="M66" s="169"/>
      <c r="N66" s="170"/>
      <c r="O66" s="171"/>
      <c r="P66" s="171"/>
    </row>
    <row r="67" spans="1:18" ht="21" customHeight="1" x14ac:dyDescent="0.25">
      <c r="G67"/>
    </row>
    <row r="68" spans="1:18" s="173" customFormat="1" ht="39.75" customHeight="1" x14ac:dyDescent="0.25">
      <c r="A68"/>
      <c r="B68"/>
      <c r="C68"/>
      <c r="D68"/>
      <c r="E68"/>
      <c r="F68"/>
      <c r="G68" s="1"/>
      <c r="H68"/>
      <c r="I68"/>
      <c r="J68" s="214"/>
      <c r="K68"/>
      <c r="M68" s="172"/>
      <c r="N68" s="174"/>
      <c r="O68" s="175"/>
      <c r="P68" s="175"/>
      <c r="Q68" s="37"/>
      <c r="R68"/>
    </row>
    <row r="69" spans="1:18" s="173" customFormat="1" ht="39.75" hidden="1" customHeight="1" x14ac:dyDescent="0.25">
      <c r="A69" t="s">
        <v>62</v>
      </c>
      <c r="B69">
        <f t="shared" ref="B69:G69" si="2">SUM(B66:B68)</f>
        <v>0</v>
      </c>
      <c r="C69">
        <f t="shared" si="2"/>
        <v>0</v>
      </c>
      <c r="D69">
        <f t="shared" si="2"/>
        <v>0</v>
      </c>
      <c r="E69">
        <f t="shared" si="2"/>
        <v>0</v>
      </c>
      <c r="F69">
        <f t="shared" si="2"/>
        <v>0</v>
      </c>
      <c r="G69" s="1">
        <f t="shared" si="2"/>
        <v>0</v>
      </c>
      <c r="H69"/>
      <c r="I69"/>
      <c r="J69" s="214"/>
      <c r="K69"/>
      <c r="M69" s="172"/>
      <c r="O69" s="175"/>
      <c r="P69" s="175"/>
      <c r="Q69" s="37"/>
      <c r="R69"/>
    </row>
    <row r="70" spans="1:18" ht="15" hidden="1" x14ac:dyDescent="0.25"/>
    <row r="71" spans="1:18" ht="15" hidden="1" x14ac:dyDescent="0.25"/>
    <row r="72" spans="1:18" ht="15.75" hidden="1" thickBot="1" x14ac:dyDescent="0.3">
      <c r="A72" s="176" t="s">
        <v>61</v>
      </c>
      <c r="B72" s="177">
        <v>6196</v>
      </c>
      <c r="C72" s="162">
        <v>3871765.8300001109</v>
      </c>
      <c r="D72" s="178">
        <v>0.78696050117264404</v>
      </c>
      <c r="E72" s="179">
        <v>3046926.7780000055</v>
      </c>
      <c r="F72" s="180">
        <v>824839.05199999909</v>
      </c>
      <c r="G72" s="162">
        <v>7182150.0000000009</v>
      </c>
      <c r="H72" s="181">
        <v>0.42423602653801512</v>
      </c>
      <c r="I72" s="160"/>
      <c r="J72" s="225">
        <v>7493792.8864324465</v>
      </c>
      <c r="K72" s="182">
        <v>311642.88643244561</v>
      </c>
    </row>
    <row r="73" spans="1:18" ht="15" hidden="1" x14ac:dyDescent="0.25">
      <c r="A73" s="183"/>
      <c r="B73" s="184"/>
      <c r="C73" s="185"/>
      <c r="D73" s="185"/>
      <c r="E73" s="185"/>
      <c r="F73" s="185"/>
      <c r="G73" s="185"/>
      <c r="H73" s="185"/>
      <c r="I73" s="160"/>
      <c r="J73" s="226"/>
      <c r="K73" s="185"/>
    </row>
    <row r="74" spans="1:18" ht="15" hidden="1" x14ac:dyDescent="0.25"/>
    <row r="75" spans="1:18" ht="15.75" hidden="1" thickBot="1" x14ac:dyDescent="0.3">
      <c r="A75" s="186" t="s">
        <v>63</v>
      </c>
      <c r="B75" s="187"/>
      <c r="C75" s="188"/>
      <c r="D75" s="189"/>
      <c r="E75" s="189">
        <v>3046926.7780000055</v>
      </c>
      <c r="F75" s="190"/>
      <c r="G75" s="188">
        <v>7182150.0000000009</v>
      </c>
      <c r="H75" s="191">
        <v>0.42423602653801512</v>
      </c>
      <c r="I75" s="160"/>
      <c r="J75" s="225">
        <v>7493792.8864324465</v>
      </c>
      <c r="K75" s="182">
        <v>311642.88643244561</v>
      </c>
    </row>
    <row r="76" spans="1:18" ht="15.75" hidden="1" thickBot="1" x14ac:dyDescent="0.3">
      <c r="A76" s="192" t="s">
        <v>64</v>
      </c>
      <c r="B76" s="193"/>
      <c r="C76" s="194"/>
      <c r="D76" s="185"/>
      <c r="E76" s="185"/>
      <c r="F76" s="195">
        <v>824839.05199999909</v>
      </c>
      <c r="G76" s="194"/>
      <c r="H76" s="196">
        <v>0.2914625625441693</v>
      </c>
      <c r="I76" s="160"/>
      <c r="J76" s="225">
        <v>2028658.2089729707</v>
      </c>
      <c r="K76" s="182">
        <v>-801341.79102702928</v>
      </c>
    </row>
    <row r="77" spans="1:18" ht="15.75" hidden="1" thickBot="1" x14ac:dyDescent="0.3">
      <c r="A77" s="197" t="s">
        <v>65</v>
      </c>
      <c r="B77" s="198"/>
      <c r="C77" s="199">
        <v>3871765.8300000047</v>
      </c>
      <c r="D77" s="200"/>
      <c r="E77" s="200"/>
      <c r="F77" s="201"/>
      <c r="G77" s="202"/>
      <c r="H77" s="203">
        <v>0.38670673431780433</v>
      </c>
      <c r="I77" s="160"/>
      <c r="J77" s="225">
        <v>9522451.0954054166</v>
      </c>
      <c r="K77" s="182">
        <v>-489698.90459458344</v>
      </c>
    </row>
    <row r="78" spans="1:18" ht="15" hidden="1" x14ac:dyDescent="0.25">
      <c r="A78" s="183"/>
      <c r="B78" s="184"/>
      <c r="C78" s="185"/>
      <c r="D78" s="185"/>
      <c r="E78" s="185"/>
      <c r="F78" s="185"/>
      <c r="G78" s="185"/>
      <c r="H78" s="160"/>
      <c r="I78" s="160"/>
      <c r="J78" s="226"/>
      <c r="K78" s="185"/>
    </row>
    <row r="79" spans="1:18" ht="15" hidden="1" x14ac:dyDescent="0.25">
      <c r="B79" s="164">
        <v>6196</v>
      </c>
      <c r="C79" s="1">
        <v>3871765.8300000052</v>
      </c>
      <c r="D79" s="1"/>
      <c r="E79" s="1"/>
      <c r="F79" s="1"/>
      <c r="G79" s="1">
        <v>7182150.0000000009</v>
      </c>
      <c r="H79" s="1"/>
      <c r="I79" s="1"/>
      <c r="J79" s="165">
        <v>7423408.4691351494</v>
      </c>
      <c r="K79" s="1">
        <v>241258.46913514897</v>
      </c>
    </row>
    <row r="80" spans="1:18" ht="15" hidden="1" x14ac:dyDescent="0.25">
      <c r="Q80"/>
    </row>
    <row r="81" spans="1:17" ht="15" hidden="1" x14ac:dyDescent="0.25">
      <c r="C81" s="168"/>
    </row>
    <row r="82" spans="1:17" ht="15" hidden="1" x14ac:dyDescent="0.25">
      <c r="A82" s="204"/>
      <c r="B82" s="205"/>
    </row>
    <row r="83" spans="1:17" ht="15" hidden="1" x14ac:dyDescent="0.25"/>
    <row r="84" spans="1:17" ht="15" hidden="1" x14ac:dyDescent="0.25"/>
    <row r="85" spans="1:17" ht="15" x14ac:dyDescent="0.25">
      <c r="Q85"/>
    </row>
    <row r="87" spans="1:17" ht="15" x14ac:dyDescent="0.25">
      <c r="Q87"/>
    </row>
    <row r="88" spans="1:17" ht="15" x14ac:dyDescent="0.25">
      <c r="Q88"/>
    </row>
    <row r="89" spans="1:17" x14ac:dyDescent="0.3">
      <c r="Q89"/>
    </row>
    <row r="94" spans="1:17" x14ac:dyDescent="0.3">
      <c r="Q94"/>
    </row>
    <row r="95" spans="1:17" x14ac:dyDescent="0.3">
      <c r="Q95"/>
    </row>
    <row r="96" spans="1:17" x14ac:dyDescent="0.3">
      <c r="Q96"/>
    </row>
    <row r="98" spans="17:17" x14ac:dyDescent="0.3">
      <c r="Q98"/>
    </row>
    <row r="99" spans="17:17" x14ac:dyDescent="0.3">
      <c r="Q99"/>
    </row>
    <row r="100" spans="17:17" x14ac:dyDescent="0.3">
      <c r="Q100"/>
    </row>
    <row r="101" spans="17:17" x14ac:dyDescent="0.3">
      <c r="Q101"/>
    </row>
    <row r="102" spans="17:17" x14ac:dyDescent="0.3">
      <c r="Q102"/>
    </row>
    <row r="105" spans="17:17" x14ac:dyDescent="0.3">
      <c r="Q105"/>
    </row>
    <row r="106" spans="17:17" x14ac:dyDescent="0.3">
      <c r="Q106"/>
    </row>
    <row r="107" spans="17:17" x14ac:dyDescent="0.3">
      <c r="Q107"/>
    </row>
    <row r="109" spans="17:17" x14ac:dyDescent="0.3">
      <c r="Q109"/>
    </row>
    <row r="110" spans="17:17" x14ac:dyDescent="0.3">
      <c r="Q110"/>
    </row>
    <row r="111" spans="17:17" x14ac:dyDescent="0.3">
      <c r="Q111"/>
    </row>
    <row r="112" spans="17:17" x14ac:dyDescent="0.3">
      <c r="Q112"/>
    </row>
    <row r="113" spans="17:17" x14ac:dyDescent="0.3">
      <c r="Q113"/>
    </row>
    <row r="115" spans="17:17" x14ac:dyDescent="0.3">
      <c r="Q115"/>
    </row>
    <row r="117" spans="17:17" x14ac:dyDescent="0.3">
      <c r="Q117"/>
    </row>
    <row r="118" spans="17:17" x14ac:dyDescent="0.3">
      <c r="Q118"/>
    </row>
    <row r="119" spans="17:17" x14ac:dyDescent="0.3">
      <c r="Q119"/>
    </row>
    <row r="120" spans="17:17" x14ac:dyDescent="0.3">
      <c r="Q120"/>
    </row>
    <row r="121" spans="17:17" x14ac:dyDescent="0.3">
      <c r="Q121"/>
    </row>
    <row r="123" spans="17:17" x14ac:dyDescent="0.3">
      <c r="Q123"/>
    </row>
    <row r="124" spans="17:17" x14ac:dyDescent="0.3">
      <c r="Q124"/>
    </row>
    <row r="125" spans="17:17" x14ac:dyDescent="0.3">
      <c r="Q125"/>
    </row>
    <row r="127" spans="17:17" x14ac:dyDescent="0.3">
      <c r="Q127"/>
    </row>
    <row r="128" spans="17:17" x14ac:dyDescent="0.3">
      <c r="Q128"/>
    </row>
    <row r="130" spans="17:18" x14ac:dyDescent="0.3">
      <c r="Q130"/>
    </row>
    <row r="131" spans="17:18" x14ac:dyDescent="0.3">
      <c r="Q131"/>
    </row>
    <row r="132" spans="17:18" x14ac:dyDescent="0.3">
      <c r="Q132"/>
    </row>
    <row r="133" spans="17:18" x14ac:dyDescent="0.3">
      <c r="Q133"/>
    </row>
    <row r="134" spans="17:18" x14ac:dyDescent="0.3">
      <c r="Q134"/>
    </row>
    <row r="135" spans="17:18" x14ac:dyDescent="0.3">
      <c r="Q135"/>
    </row>
    <row r="136" spans="17:18" x14ac:dyDescent="0.3">
      <c r="Q136" s="206"/>
      <c r="R136" s="207"/>
    </row>
    <row r="137" spans="17:18" x14ac:dyDescent="0.3">
      <c r="Q137" s="206"/>
      <c r="R137" s="207"/>
    </row>
    <row r="138" spans="17:18" x14ac:dyDescent="0.3">
      <c r="Q138" s="206"/>
      <c r="R138" s="207"/>
    </row>
    <row r="139" spans="17:18" x14ac:dyDescent="0.3">
      <c r="Q139" s="206"/>
      <c r="R139" s="207"/>
    </row>
    <row r="140" spans="17:18" x14ac:dyDescent="0.3">
      <c r="Q140" s="206"/>
      <c r="R140" s="207"/>
    </row>
    <row r="141" spans="17:18" x14ac:dyDescent="0.3">
      <c r="Q141" s="208"/>
      <c r="R141" s="207"/>
    </row>
    <row r="143" spans="17:18" x14ac:dyDescent="0.3">
      <c r="R143">
        <f>SUM(R15:R140)</f>
        <v>3627</v>
      </c>
    </row>
    <row r="147" spans="17:18" x14ac:dyDescent="0.3">
      <c r="Q147"/>
    </row>
    <row r="148" spans="17:18" x14ac:dyDescent="0.3">
      <c r="Q148"/>
    </row>
    <row r="149" spans="17:18" x14ac:dyDescent="0.3">
      <c r="Q149"/>
    </row>
    <row r="150" spans="17:18" x14ac:dyDescent="0.3">
      <c r="Q150"/>
    </row>
    <row r="151" spans="17:18" x14ac:dyDescent="0.3">
      <c r="Q151"/>
    </row>
    <row r="155" spans="17:18" x14ac:dyDescent="0.3">
      <c r="Q155" s="9"/>
      <c r="R155" s="8"/>
    </row>
    <row r="156" spans="17:18" x14ac:dyDescent="0.3">
      <c r="Q156" s="9"/>
      <c r="R156" s="8"/>
    </row>
    <row r="157" spans="17:18" x14ac:dyDescent="0.3">
      <c r="Q157" s="9"/>
      <c r="R157" s="8"/>
    </row>
    <row r="159" spans="17:18" x14ac:dyDescent="0.3">
      <c r="Q159" s="9"/>
      <c r="R159" s="8"/>
    </row>
    <row r="160" spans="17:18" x14ac:dyDescent="0.3">
      <c r="Q160" s="209"/>
      <c r="R160" s="210"/>
    </row>
    <row r="162" spans="17:18" x14ac:dyDescent="0.3">
      <c r="Q162" s="9"/>
      <c r="R162" s="8"/>
    </row>
    <row r="163" spans="17:18" x14ac:dyDescent="0.3">
      <c r="Q163" s="9"/>
      <c r="R163" s="8"/>
    </row>
    <row r="164" spans="17:18" x14ac:dyDescent="0.3">
      <c r="Q164" s="209"/>
      <c r="R164" s="210"/>
    </row>
    <row r="165" spans="17:18" x14ac:dyDescent="0.3">
      <c r="Q165" s="209"/>
      <c r="R165" s="210"/>
    </row>
    <row r="166" spans="17:18" x14ac:dyDescent="0.3">
      <c r="Q166" s="209"/>
      <c r="R166" s="210"/>
    </row>
    <row r="167" spans="17:18" x14ac:dyDescent="0.3">
      <c r="Q167" s="9"/>
      <c r="R167" s="8"/>
    </row>
    <row r="168" spans="17:18" x14ac:dyDescent="0.3">
      <c r="Q168" s="209"/>
      <c r="R168" s="210"/>
    </row>
    <row r="170" spans="17:18" x14ac:dyDescent="0.3">
      <c r="Q170" s="9"/>
      <c r="R170" s="8"/>
    </row>
    <row r="171" spans="17:18" x14ac:dyDescent="0.3">
      <c r="Q171" s="9"/>
      <c r="R171" s="8"/>
    </row>
    <row r="172" spans="17:18" x14ac:dyDescent="0.3">
      <c r="Q172" s="9"/>
      <c r="R172" s="8"/>
    </row>
    <row r="173" spans="17:18" x14ac:dyDescent="0.3">
      <c r="Q173" s="209"/>
      <c r="R173" s="210"/>
    </row>
    <row r="174" spans="17:18" x14ac:dyDescent="0.3">
      <c r="Q174" s="209"/>
      <c r="R174" s="210"/>
    </row>
    <row r="175" spans="17:18" x14ac:dyDescent="0.3">
      <c r="Q175" s="9"/>
      <c r="R175" s="8"/>
    </row>
    <row r="176" spans="17:18" x14ac:dyDescent="0.3">
      <c r="Q176" s="209"/>
      <c r="R176" s="210"/>
    </row>
    <row r="177" spans="17:18" x14ac:dyDescent="0.3">
      <c r="Q177" s="9"/>
      <c r="R177" s="8"/>
    </row>
    <row r="178" spans="17:18" x14ac:dyDescent="0.3">
      <c r="Q178" s="209"/>
      <c r="R178" s="210"/>
    </row>
    <row r="179" spans="17:18" x14ac:dyDescent="0.3">
      <c r="Q179" s="9"/>
      <c r="R179" s="8"/>
    </row>
    <row r="180" spans="17:18" x14ac:dyDescent="0.3">
      <c r="Q180" s="209"/>
      <c r="R180" s="210"/>
    </row>
    <row r="181" spans="17:18" x14ac:dyDescent="0.3">
      <c r="Q181" s="209"/>
      <c r="R181" s="210"/>
    </row>
    <row r="182" spans="17:18" x14ac:dyDescent="0.3">
      <c r="Q182" s="209"/>
      <c r="R182" s="210"/>
    </row>
    <row r="183" spans="17:18" x14ac:dyDescent="0.3">
      <c r="Q183" s="209"/>
      <c r="R183" s="210"/>
    </row>
    <row r="184" spans="17:18" x14ac:dyDescent="0.3">
      <c r="Q184" s="209"/>
      <c r="R184" s="210"/>
    </row>
    <row r="185" spans="17:18" x14ac:dyDescent="0.3">
      <c r="Q185" s="9"/>
      <c r="R185" s="8"/>
    </row>
    <row r="186" spans="17:18" x14ac:dyDescent="0.3">
      <c r="Q186" s="209"/>
      <c r="R186" s="210"/>
    </row>
    <row r="187" spans="17:18" x14ac:dyDescent="0.3">
      <c r="Q187" s="209"/>
      <c r="R187" s="210"/>
    </row>
    <row r="188" spans="17:18" x14ac:dyDescent="0.3">
      <c r="Q188" s="209"/>
      <c r="R188" s="210"/>
    </row>
    <row r="189" spans="17:18" x14ac:dyDescent="0.3">
      <c r="Q189" s="209"/>
      <c r="R189" s="210"/>
    </row>
    <row r="190" spans="17:18" ht="15" thickBot="1" x14ac:dyDescent="0.35">
      <c r="Q190" s="211"/>
      <c r="R190" s="212"/>
    </row>
    <row r="191" spans="17:18" x14ac:dyDescent="0.3">
      <c r="Q191" s="206"/>
      <c r="R191" s="207"/>
    </row>
    <row r="192" spans="17:18" x14ac:dyDescent="0.3">
      <c r="Q192" s="206"/>
      <c r="R192" s="207"/>
    </row>
    <row r="193" spans="17:18" x14ac:dyDescent="0.3">
      <c r="Q193" s="206"/>
      <c r="R193" s="207"/>
    </row>
    <row r="195" spans="17:18" x14ac:dyDescent="0.3">
      <c r="Q195" s="206"/>
      <c r="R195" s="207"/>
    </row>
    <row r="196" spans="17:18" x14ac:dyDescent="0.3">
      <c r="Q196" s="206"/>
      <c r="R196" s="207"/>
    </row>
    <row r="197" spans="17:18" x14ac:dyDescent="0.3">
      <c r="Q197" s="206"/>
      <c r="R197" s="207"/>
    </row>
    <row r="198" spans="17:18" x14ac:dyDescent="0.3">
      <c r="Q198" s="206"/>
      <c r="R198" s="207"/>
    </row>
    <row r="199" spans="17:18" x14ac:dyDescent="0.3">
      <c r="Q199" s="206"/>
      <c r="R199" s="207"/>
    </row>
    <row r="200" spans="17:18" x14ac:dyDescent="0.3">
      <c r="Q200" s="206"/>
      <c r="R200" s="207"/>
    </row>
    <row r="201" spans="17:18" x14ac:dyDescent="0.3">
      <c r="Q201" s="206"/>
      <c r="R201" s="207"/>
    </row>
    <row r="203" spans="17:18" x14ac:dyDescent="0.3">
      <c r="Q203" s="206"/>
      <c r="R203" s="207"/>
    </row>
    <row r="204" spans="17:18" x14ac:dyDescent="0.3">
      <c r="Q204" s="206"/>
      <c r="R204" s="207"/>
    </row>
    <row r="205" spans="17:18" x14ac:dyDescent="0.3">
      <c r="Q205" s="206"/>
      <c r="R205" s="207"/>
    </row>
    <row r="206" spans="17:18" x14ac:dyDescent="0.3">
      <c r="Q206" s="206"/>
      <c r="R206" s="207"/>
    </row>
    <row r="207" spans="17:18" x14ac:dyDescent="0.3">
      <c r="Q207" s="206"/>
      <c r="R207" s="207"/>
    </row>
    <row r="208" spans="17:18" x14ac:dyDescent="0.3">
      <c r="Q208" s="206"/>
      <c r="R208" s="207"/>
    </row>
    <row r="209" spans="17:18" x14ac:dyDescent="0.3">
      <c r="Q209" s="206"/>
      <c r="R209" s="207"/>
    </row>
    <row r="210" spans="17:18" x14ac:dyDescent="0.3">
      <c r="Q210" s="206"/>
      <c r="R210" s="207"/>
    </row>
    <row r="211" spans="17:18" x14ac:dyDescent="0.3">
      <c r="Q211" s="206"/>
      <c r="R211" s="207"/>
    </row>
    <row r="213" spans="17:18" x14ac:dyDescent="0.3">
      <c r="Q213" s="206"/>
      <c r="R213" s="207"/>
    </row>
    <row r="214" spans="17:18" x14ac:dyDescent="0.3">
      <c r="Q214" s="206"/>
      <c r="R214" s="207"/>
    </row>
    <row r="215" spans="17:18" x14ac:dyDescent="0.3">
      <c r="Q215" s="206"/>
      <c r="R215" s="207"/>
    </row>
    <row r="216" spans="17:18" x14ac:dyDescent="0.3">
      <c r="Q216" s="206"/>
      <c r="R216" s="207"/>
    </row>
    <row r="217" spans="17:18" x14ac:dyDescent="0.3">
      <c r="Q217" s="206"/>
      <c r="R217" s="207"/>
    </row>
    <row r="218" spans="17:18" x14ac:dyDescent="0.3">
      <c r="Q218" s="206"/>
      <c r="R218" s="207"/>
    </row>
    <row r="250" spans="17:18" x14ac:dyDescent="0.3">
      <c r="Q250" s="175"/>
      <c r="R250" s="173"/>
    </row>
    <row r="251" spans="17:18" x14ac:dyDescent="0.3">
      <c r="Q251" s="175"/>
      <c r="R251" s="173"/>
    </row>
  </sheetData>
  <mergeCells count="23">
    <mergeCell ref="J38:K40"/>
    <mergeCell ref="G39:G40"/>
    <mergeCell ref="H39:H40"/>
    <mergeCell ref="M1:R1"/>
    <mergeCell ref="J14:K16"/>
    <mergeCell ref="J18:K20"/>
    <mergeCell ref="J22:K24"/>
    <mergeCell ref="J26:K28"/>
    <mergeCell ref="J30:K32"/>
    <mergeCell ref="G31:G32"/>
    <mergeCell ref="H31:H32"/>
    <mergeCell ref="J34:K36"/>
    <mergeCell ref="G35:G36"/>
    <mergeCell ref="H35:H36"/>
    <mergeCell ref="J53:K55"/>
    <mergeCell ref="A63:H63"/>
    <mergeCell ref="A64:H64"/>
    <mergeCell ref="J42:K44"/>
    <mergeCell ref="G43:G44"/>
    <mergeCell ref="H43:H44"/>
    <mergeCell ref="J46:K51"/>
    <mergeCell ref="G47:G48"/>
    <mergeCell ref="H47:H48"/>
  </mergeCells>
  <conditionalFormatting sqref="H13:I13 H56:I56 H15:I15 H24 H72:I72 I73 H77:I78 H31:I32 H35:I36 H39:I40">
    <cfRule type="cellIs" dxfId="36" priority="38" operator="greaterThan">
      <formula>$H$3</formula>
    </cfRule>
  </conditionalFormatting>
  <conditionalFormatting sqref="H13:I13">
    <cfRule type="cellIs" dxfId="35" priority="37" operator="greaterThan">
      <formula>$H$3</formula>
    </cfRule>
  </conditionalFormatting>
  <conditionalFormatting sqref="I75:I76">
    <cfRule type="cellIs" dxfId="34" priority="36" operator="greaterThan">
      <formula>$H$3</formula>
    </cfRule>
  </conditionalFormatting>
  <conditionalFormatting sqref="H75:H76">
    <cfRule type="cellIs" dxfId="33" priority="35" operator="greaterThan">
      <formula>$H$3</formula>
    </cfRule>
  </conditionalFormatting>
  <conditionalFormatting sqref="H54:I54">
    <cfRule type="cellIs" dxfId="32" priority="34" operator="greaterThan">
      <formula>$H$3</formula>
    </cfRule>
  </conditionalFormatting>
  <conditionalFormatting sqref="H43:H44">
    <cfRule type="cellIs" dxfId="31" priority="32" operator="greaterThan">
      <formula>$H$3</formula>
    </cfRule>
  </conditionalFormatting>
  <conditionalFormatting sqref="I43:I44">
    <cfRule type="cellIs" dxfId="30" priority="33" operator="greaterThan">
      <formula>$H$3</formula>
    </cfRule>
  </conditionalFormatting>
  <conditionalFormatting sqref="H16:I16">
    <cfRule type="cellIs" dxfId="29" priority="31" operator="greaterThan">
      <formula>$H$3</formula>
    </cfRule>
  </conditionalFormatting>
  <conditionalFormatting sqref="H23">
    <cfRule type="cellIs" dxfId="28" priority="30" operator="greaterThan">
      <formula>$H$3</formula>
    </cfRule>
  </conditionalFormatting>
  <conditionalFormatting sqref="H17:I17">
    <cfRule type="cellIs" dxfId="27" priority="28" operator="greaterThan">
      <formula>$H$3</formula>
    </cfRule>
  </conditionalFormatting>
  <conditionalFormatting sqref="H17:I17">
    <cfRule type="cellIs" dxfId="26" priority="29" operator="greaterThan">
      <formula>$H$3</formula>
    </cfRule>
  </conditionalFormatting>
  <conditionalFormatting sqref="H25:I25">
    <cfRule type="cellIs" dxfId="25" priority="26" operator="greaterThan">
      <formula>$H$3</formula>
    </cfRule>
  </conditionalFormatting>
  <conditionalFormatting sqref="H25:I25">
    <cfRule type="cellIs" dxfId="24" priority="27" operator="greaterThan">
      <formula>$H$3</formula>
    </cfRule>
  </conditionalFormatting>
  <conditionalFormatting sqref="H19:I19">
    <cfRule type="cellIs" dxfId="23" priority="25" operator="greaterThan">
      <formula>$H$3</formula>
    </cfRule>
  </conditionalFormatting>
  <conditionalFormatting sqref="H20:I20">
    <cfRule type="cellIs" dxfId="22" priority="24" operator="greaterThan">
      <formula>$H$3</formula>
    </cfRule>
  </conditionalFormatting>
  <conditionalFormatting sqref="H21:I21">
    <cfRule type="cellIs" dxfId="21" priority="22" operator="greaterThan">
      <formula>$H$3</formula>
    </cfRule>
  </conditionalFormatting>
  <conditionalFormatting sqref="H21:I21">
    <cfRule type="cellIs" dxfId="20" priority="23" operator="greaterThan">
      <formula>$H$3</formula>
    </cfRule>
  </conditionalFormatting>
  <conditionalFormatting sqref="H29:I29">
    <cfRule type="cellIs" dxfId="19" priority="20" operator="greaterThan">
      <formula>$H$3</formula>
    </cfRule>
  </conditionalFormatting>
  <conditionalFormatting sqref="H29:I29">
    <cfRule type="cellIs" dxfId="18" priority="21" operator="greaterThan">
      <formula>$H$3</formula>
    </cfRule>
  </conditionalFormatting>
  <conditionalFormatting sqref="H27:I27">
    <cfRule type="cellIs" dxfId="17" priority="19" operator="greaterThan">
      <formula>$H$3</formula>
    </cfRule>
  </conditionalFormatting>
  <conditionalFormatting sqref="H28:I28">
    <cfRule type="cellIs" dxfId="16" priority="18" operator="greaterThan">
      <formula>$H$3</formula>
    </cfRule>
  </conditionalFormatting>
  <conditionalFormatting sqref="H33:I33">
    <cfRule type="cellIs" dxfId="15" priority="16" operator="greaterThan">
      <formula>$H$3</formula>
    </cfRule>
  </conditionalFormatting>
  <conditionalFormatting sqref="H33:I33">
    <cfRule type="cellIs" dxfId="14" priority="17" operator="greaterThan">
      <formula>$H$3</formula>
    </cfRule>
  </conditionalFormatting>
  <conditionalFormatting sqref="H37:I37">
    <cfRule type="cellIs" dxfId="13" priority="14" operator="greaterThan">
      <formula>$H$3</formula>
    </cfRule>
  </conditionalFormatting>
  <conditionalFormatting sqref="H37:I37">
    <cfRule type="cellIs" dxfId="12" priority="15" operator="greaterThan">
      <formula>$H$3</formula>
    </cfRule>
  </conditionalFormatting>
  <conditionalFormatting sqref="H41:I41">
    <cfRule type="cellIs" dxfId="11" priority="12" operator="greaterThan">
      <formula>$H$3</formula>
    </cfRule>
  </conditionalFormatting>
  <conditionalFormatting sqref="H41:I41">
    <cfRule type="cellIs" dxfId="10" priority="13" operator="greaterThan">
      <formula>$H$3</formula>
    </cfRule>
  </conditionalFormatting>
  <conditionalFormatting sqref="H45:I45">
    <cfRule type="cellIs" dxfId="9" priority="10" operator="greaterThan">
      <formula>$H$3</formula>
    </cfRule>
  </conditionalFormatting>
  <conditionalFormatting sqref="H45:I45">
    <cfRule type="cellIs" dxfId="8" priority="11" operator="greaterThan">
      <formula>$H$3</formula>
    </cfRule>
  </conditionalFormatting>
  <conditionalFormatting sqref="H52:I52">
    <cfRule type="cellIs" dxfId="7" priority="8" operator="greaterThan">
      <formula>$H$3</formula>
    </cfRule>
  </conditionalFormatting>
  <conditionalFormatting sqref="H52:I52">
    <cfRule type="cellIs" dxfId="6" priority="9" operator="greaterThan">
      <formula>$H$3</formula>
    </cfRule>
  </conditionalFormatting>
  <conditionalFormatting sqref="H58:I58">
    <cfRule type="cellIs" dxfId="5" priority="7" operator="greaterThan">
      <formula>$H$3</formula>
    </cfRule>
  </conditionalFormatting>
  <conditionalFormatting sqref="H60:I60">
    <cfRule type="cellIs" dxfId="4" priority="6" operator="greaterThan">
      <formula>$H$3</formula>
    </cfRule>
  </conditionalFormatting>
  <conditionalFormatting sqref="H47:H48">
    <cfRule type="cellIs" dxfId="3" priority="4" operator="greaterThan">
      <formula>$H$3</formula>
    </cfRule>
  </conditionalFormatting>
  <conditionalFormatting sqref="I47:I48">
    <cfRule type="cellIs" dxfId="2" priority="5" operator="greaterThan">
      <formula>$H$3</formula>
    </cfRule>
  </conditionalFormatting>
  <conditionalFormatting sqref="H49:I49">
    <cfRule type="cellIs" dxfId="1" priority="2" operator="greaterThan">
      <formula>$H$3</formula>
    </cfRule>
  </conditionalFormatting>
  <conditionalFormatting sqref="H49:I49">
    <cfRule type="cellIs" dxfId="0" priority="3" operator="greaterThan">
      <formula>$H$3</formula>
    </cfRule>
  </conditionalFormatting>
  <pageMargins left="0.2" right="0.2" top="0.75" bottom="0.75" header="0.3" footer="0.3"/>
  <pageSetup scale="64"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26</vt:i4>
      </vt:variant>
    </vt:vector>
  </HeadingPairs>
  <TitlesOfParts>
    <vt:vector size="52" baseType="lpstr">
      <vt:lpstr>SFY 2014 Budget From 20131028</vt:lpstr>
      <vt:lpstr>20131011 CPSUD by Region</vt:lpstr>
      <vt:lpstr>20131011 MHC by Region</vt:lpstr>
      <vt:lpstr>SFY 2014 Budget From 20131011</vt:lpstr>
      <vt:lpstr>20130930 CPSUD by Region</vt:lpstr>
      <vt:lpstr>20130930 MHC by Region</vt:lpstr>
      <vt:lpstr>SFY 2014 Budget From 20130930</vt:lpstr>
      <vt:lpstr>20130913 CPSUD by Region</vt:lpstr>
      <vt:lpstr>20130913 MHC by Region</vt:lpstr>
      <vt:lpstr>SFY 2014 Budget From 20130913</vt:lpstr>
      <vt:lpstr>20130830 CPSUD by Region</vt:lpstr>
      <vt:lpstr>20130830 MHC by Region</vt:lpstr>
      <vt:lpstr>SFY 2014 Budget From 20130903</vt:lpstr>
      <vt:lpstr>SFY 2014 Reg 7 Budget For BP</vt:lpstr>
      <vt:lpstr>SFY 2014 Reg 6 Budget For BP</vt:lpstr>
      <vt:lpstr>20130816 CPSUD by Region</vt:lpstr>
      <vt:lpstr>20130816 MHC by Region</vt:lpstr>
      <vt:lpstr>SFY 2014 Budget From 20130816</vt:lpstr>
      <vt:lpstr>20130805 CPSUD by Region</vt:lpstr>
      <vt:lpstr>20130805 MHC by Region</vt:lpstr>
      <vt:lpstr>SFY 2014 Budget From 20130805</vt:lpstr>
      <vt:lpstr>20130722 CPSUD by Region</vt:lpstr>
      <vt:lpstr>20130722 MHC by Region</vt:lpstr>
      <vt:lpstr>SFY 2014 Budget From 20130724</vt:lpstr>
      <vt:lpstr>SFY 2014 Budget tmplt src</vt:lpstr>
      <vt:lpstr>SFY 2014 Budget From 6242013Old</vt:lpstr>
      <vt:lpstr>'20130722 CPSUD by Region'!Print_Area</vt:lpstr>
      <vt:lpstr>'20130722 MHC by Region'!Print_Area</vt:lpstr>
      <vt:lpstr>'20130805 CPSUD by Region'!Print_Area</vt:lpstr>
      <vt:lpstr>'20130805 MHC by Region'!Print_Area</vt:lpstr>
      <vt:lpstr>'20130816 CPSUD by Region'!Print_Area</vt:lpstr>
      <vt:lpstr>'20130816 MHC by Region'!Print_Area</vt:lpstr>
      <vt:lpstr>'20130830 CPSUD by Region'!Print_Area</vt:lpstr>
      <vt:lpstr>'20130830 MHC by Region'!Print_Area</vt:lpstr>
      <vt:lpstr>'20130913 CPSUD by Region'!Print_Area</vt:lpstr>
      <vt:lpstr>'20130913 MHC by Region'!Print_Area</vt:lpstr>
      <vt:lpstr>'20130930 CPSUD by Region'!Print_Area</vt:lpstr>
      <vt:lpstr>'20130930 MHC by Region'!Print_Area</vt:lpstr>
      <vt:lpstr>'20131011 CPSUD by Region'!Print_Area</vt:lpstr>
      <vt:lpstr>'20131011 MHC by Region'!Print_Area</vt:lpstr>
      <vt:lpstr>'SFY 2014 Budget From 20130724'!Print_Area</vt:lpstr>
      <vt:lpstr>'SFY 2014 Budget From 20130805'!Print_Area</vt:lpstr>
      <vt:lpstr>'SFY 2014 Budget From 20130816'!Print_Area</vt:lpstr>
      <vt:lpstr>'SFY 2014 Budget From 20130903'!Print_Area</vt:lpstr>
      <vt:lpstr>'SFY 2014 Budget From 20130913'!Print_Area</vt:lpstr>
      <vt:lpstr>'SFY 2014 Budget From 20130930'!Print_Area</vt:lpstr>
      <vt:lpstr>'SFY 2014 Budget From 20131011'!Print_Area</vt:lpstr>
      <vt:lpstr>'SFY 2014 Budget From 20131028'!Print_Area</vt:lpstr>
      <vt:lpstr>'SFY 2014 Budget From 6242013Old'!Print_Area</vt:lpstr>
      <vt:lpstr>'SFY 2014 Budget tmplt src'!Print_Area</vt:lpstr>
      <vt:lpstr>'SFY 2014 Reg 6 Budget For BP'!Print_Area</vt:lpstr>
      <vt:lpstr>'SFY 2014 Reg 7 Budget For BP'!Print_Area</vt:lpstr>
    </vt:vector>
  </TitlesOfParts>
  <Company>IDHW</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bartletm</dc:creator>
  <cp:lastModifiedBy>bartletm</cp:lastModifiedBy>
  <dcterms:created xsi:type="dcterms:W3CDTF">2013-06-05T18:04:58Z</dcterms:created>
  <dcterms:modified xsi:type="dcterms:W3CDTF">2013-11-14T22:54:44Z</dcterms:modified>
</cp:coreProperties>
</file>