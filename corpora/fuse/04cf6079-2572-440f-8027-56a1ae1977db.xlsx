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theme/themeOverride4.xml" ContentType="application/vnd.openxmlformats-officedocument.themeOverrid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heme/themeOverride39.xml" ContentType="application/vnd.openxmlformats-officedocument.themeOverride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theme/themeOverride17.xml" ContentType="application/vnd.openxmlformats-officedocument.themeOverride+xml"/>
  <Override PartName="/xl/theme/themeOverride28.xml" ContentType="application/vnd.openxmlformats-officedocument.themeOverride+xml"/>
  <Override PartName="/xl/theme/themeOverride46.xml" ContentType="application/vnd.openxmlformats-officedocument.themeOverride+xml"/>
  <Default Extension="xml" ContentType="application/xml"/>
  <Override PartName="/xl/theme/themeOverride24.xml" ContentType="application/vnd.openxmlformats-officedocument.themeOverride+xml"/>
  <Override PartName="/xl/theme/themeOverride35.xml" ContentType="application/vnd.openxmlformats-officedocument.themeOverride+xml"/>
  <Override PartName="/xl/charts/chart49.xml" ContentType="application/vnd.openxmlformats-officedocument.drawingml.chart+xml"/>
  <Override PartName="/xl/worksheets/sheet3.xml" ContentType="application/vnd.openxmlformats-officedocument.spreadsheetml.worksheet+xml"/>
  <Override PartName="/xl/theme/themeOverride13.xml" ContentType="application/vnd.openxmlformats-officedocument.themeOverride+xml"/>
  <Override PartName="/xl/charts/chart27.xml" ContentType="application/vnd.openxmlformats-officedocument.drawingml.chart+xml"/>
  <Override PartName="/xl/charts/chart38.xml" ContentType="application/vnd.openxmlformats-officedocument.drawingml.chart+xml"/>
  <Override PartName="/xl/theme/themeOverride42.xml" ContentType="application/vnd.openxmlformats-officedocument.themeOverride+xml"/>
  <Override PartName="/xl/charts/chart16.xml" ContentType="application/vnd.openxmlformats-officedocument.drawingml.chart+xml"/>
  <Override PartName="/xl/theme/themeOverride20.xml" ContentType="application/vnd.openxmlformats-officedocument.themeOverride+xml"/>
  <Override PartName="/xl/theme/themeOverride31.xml" ContentType="application/vnd.openxmlformats-officedocument.themeOverride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theme/themeOverride9.xml" ContentType="application/vnd.openxmlformats-officedocument.themeOverride+xml"/>
  <Override PartName="/xl/charts/chart23.xml" ContentType="application/vnd.openxmlformats-officedocument.drawingml.chart+xml"/>
  <Override PartName="/xl/charts/chart52.xml" ContentType="application/vnd.openxmlformats-officedocument.drawingml.chart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theme/themeOverride5.xml" ContentType="application/vnd.openxmlformats-officedocument.themeOverride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theme/themeOverride29.xml" ContentType="application/vnd.openxmlformats-officedocument.themeOverride+xml"/>
  <Override PartName="/xl/theme/themeOverride47.xml" ContentType="application/vnd.openxmlformats-officedocument.themeOverrid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18.xml" ContentType="application/vnd.openxmlformats-officedocument.themeOverride+xml"/>
  <Override PartName="/xl/theme/themeOverride27.xml" ContentType="application/vnd.openxmlformats-officedocument.themeOverride+xml"/>
  <Override PartName="/xl/theme/themeOverride36.xml" ContentType="application/vnd.openxmlformats-officedocument.themeOverride+xml"/>
  <Override PartName="/xl/theme/themeOverride45.xml" ContentType="application/vnd.openxmlformats-officedocument.themeOverrid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theme/themeOverride16.xml" ContentType="application/vnd.openxmlformats-officedocument.themeOverride+xml"/>
  <Override PartName="/xl/theme/themeOverride25.xml" ContentType="application/vnd.openxmlformats-officedocument.themeOverride+xml"/>
  <Override PartName="/xl/theme/themeOverride34.xml" ContentType="application/vnd.openxmlformats-officedocument.themeOverride+xml"/>
  <Override PartName="/xl/charts/chart39.xml" ContentType="application/vnd.openxmlformats-officedocument.drawingml.chart+xml"/>
  <Override PartName="/xl/theme/themeOverride43.xml" ContentType="application/vnd.openxmlformats-officedocument.themeOverride+xml"/>
  <Override PartName="/xl/charts/chart48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Override14.xml" ContentType="application/vnd.openxmlformats-officedocument.themeOverride+xml"/>
  <Override PartName="/xl/charts/chart19.xml" ContentType="application/vnd.openxmlformats-officedocument.drawingml.chart+xml"/>
  <Override PartName="/xl/theme/themeOverride23.xml" ContentType="application/vnd.openxmlformats-officedocument.themeOverride+xml"/>
  <Override PartName="/xl/charts/chart28.xml" ContentType="application/vnd.openxmlformats-officedocument.drawingml.chart+xml"/>
  <Override PartName="/xl/theme/themeOverride32.xml" ContentType="application/vnd.openxmlformats-officedocument.themeOverride+xml"/>
  <Override PartName="/xl/charts/chart37.xml" ContentType="application/vnd.openxmlformats-officedocument.drawingml.chart+xml"/>
  <Override PartName="/xl/theme/themeOverride41.xml" ContentType="application/vnd.openxmlformats-officedocument.themeOverride+xml"/>
  <Override PartName="/xl/charts/chart46.xml" ContentType="application/vnd.openxmlformats-officedocument.drawingml.chart+xml"/>
  <Override PartName="/xl/theme/themeOverride52.xml" ContentType="application/vnd.openxmlformats-officedocument.themeOverride+xml"/>
  <Override PartName="/xl/theme/themeOverride12.xml" ContentType="application/vnd.openxmlformats-officedocument.themeOverride+xml"/>
  <Override PartName="/xl/charts/chart17.xml" ContentType="application/vnd.openxmlformats-officedocument.drawingml.chart+xml"/>
  <Override PartName="/xl/theme/themeOverride21.xml" ContentType="application/vnd.openxmlformats-officedocument.themeOverride+xml"/>
  <Override PartName="/xl/charts/chart26.xml" ContentType="application/vnd.openxmlformats-officedocument.drawingml.chart+xml"/>
  <Override PartName="/xl/theme/themeOverride30.xml" ContentType="application/vnd.openxmlformats-officedocument.themeOverride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theme/themeOverride50.xml" ContentType="application/vnd.openxmlformats-officedocument.themeOverrid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theme/themeOverride8.xml" ContentType="application/vnd.openxmlformats-officedocument.themeOverrid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51.xml" ContentType="application/vnd.openxmlformats-officedocument.drawingml.char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theme/themeOverride2.xml" ContentType="application/vnd.openxmlformats-officedocument.themeOverride+xml"/>
  <Override PartName="/xl/theme/themeOverride19.xml" ContentType="application/vnd.openxmlformats-officedocument.themeOverride+xml"/>
  <Override PartName="/xl/theme/themeOverride48.xml" ContentType="application/vnd.openxmlformats-officedocument.themeOverride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theme/themeOverride37.xml" ContentType="application/vnd.openxmlformats-officedocument.themeOverride+xml"/>
  <Default Extension="rels" ContentType="application/vnd.openxmlformats-package.relationships+xml"/>
  <Override PartName="/xl/worksheets/sheet5.xml" ContentType="application/vnd.openxmlformats-officedocument.spreadsheetml.worksheet+xml"/>
  <Override PartName="/xl/theme/themeOverride15.xml" ContentType="application/vnd.openxmlformats-officedocument.themeOverrid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theme/themeOverride44.xml" ContentType="application/vnd.openxmlformats-officedocument.themeOverride+xml"/>
  <Override PartName="/xl/charts/chart18.xml" ContentType="application/vnd.openxmlformats-officedocument.drawingml.chart+xml"/>
  <Override PartName="/xl/theme/themeOverride22.xml" ContentType="application/vnd.openxmlformats-officedocument.themeOverride+xml"/>
  <Override PartName="/xl/theme/themeOverride33.xml" ContentType="application/vnd.openxmlformats-officedocument.themeOverride+xml"/>
  <Override PartName="/xl/charts/chart36.xml" ContentType="application/vnd.openxmlformats-officedocument.drawingml.chart+xml"/>
  <Override PartName="/xl/charts/chart47.xml" ContentType="application/vnd.openxmlformats-officedocument.drawingml.chart+xml"/>
  <Override PartName="/xl/theme/themeOverride51.xml" ContentType="application/vnd.openxmlformats-officedocument.themeOverride+xml"/>
  <Override PartName="/xl/worksheets/sheet1.xml" ContentType="application/vnd.openxmlformats-officedocument.spreadsheetml.worksheet+xml"/>
  <Override PartName="/xl/theme/themeOverride11.xml" ContentType="application/vnd.openxmlformats-officedocument.themeOverride+xml"/>
  <Override PartName="/xl/charts/chart25.xml" ContentType="application/vnd.openxmlformats-officedocument.drawingml.chart+xml"/>
  <Override PartName="/xl/theme/themeOverride40.xml" ContentType="application/vnd.openxmlformats-officedocument.themeOverride+xml"/>
  <Override PartName="/xl/worksheets/sheet38.xml" ContentType="application/vnd.openxmlformats-officedocument.spreadsheetml.worksheet+xml"/>
  <Override PartName="/xl/charts/chart14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27.xml" ContentType="application/vnd.openxmlformats-officedocument.spreadsheetml.worksheet+xml"/>
  <Override PartName="/xl/theme/themeOverride7.xml" ContentType="application/vnd.openxmlformats-officedocument.themeOverride+xml"/>
  <Override PartName="/xl/charts/chart21.xml" ContentType="application/vnd.openxmlformats-officedocument.drawingml.chart+xml"/>
  <Override PartName="/xl/charts/chart50.xml" ContentType="application/vnd.openxmlformats-officedocument.drawingml.char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23.xml" ContentType="application/vnd.openxmlformats-officedocument.spreadsheetml.worksheet+xml"/>
  <Override PartName="/xl/theme/themeOverride3.xml" ContentType="application/vnd.openxmlformats-officedocument.themeOverride+xml"/>
  <Override PartName="/xl/theme/themeOverride38.xml" ContentType="application/vnd.openxmlformats-officedocument.themeOverride+xml"/>
  <Override PartName="/xl/theme/themeOverride49.xml" ContentType="application/vnd.openxmlformats-officedocument.themeOverrid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90" windowWidth="15480" windowHeight="9405" tabRatio="912"/>
  </bookViews>
  <sheets>
    <sheet name="List of tables" sheetId="48" r:id="rId1"/>
    <sheet name="pop pyramids" sheetId="20" r:id="rId2"/>
    <sheet name="T1" sheetId="3" r:id="rId3"/>
    <sheet name="T2" sheetId="14" r:id="rId4"/>
    <sheet name="Population growth_" sheetId="10" state="hidden" r:id="rId5"/>
    <sheet name="T3" sheetId="21" r:id="rId6"/>
    <sheet name="T4" sheetId="22" r:id="rId7"/>
    <sheet name="T5" sheetId="23" r:id="rId8"/>
    <sheet name="T6" sheetId="24" r:id="rId9"/>
    <sheet name="T7" sheetId="25" r:id="rId10"/>
    <sheet name="T8" sheetId="26" r:id="rId11"/>
    <sheet name="T9" sheetId="27" r:id="rId12"/>
    <sheet name="T10" sheetId="28" r:id="rId13"/>
    <sheet name="T11" sheetId="29" r:id="rId14"/>
    <sheet name="T12" sheetId="30" r:id="rId15"/>
    <sheet name="T13" sheetId="31" r:id="rId16"/>
    <sheet name="T14" sheetId="32" r:id="rId17"/>
    <sheet name="T15" sheetId="33" r:id="rId18"/>
    <sheet name="T16" sheetId="34" r:id="rId19"/>
    <sheet name="T17" sheetId="35" r:id="rId20"/>
    <sheet name="T18" sheetId="36" r:id="rId21"/>
    <sheet name="T19" sheetId="37" r:id="rId22"/>
    <sheet name="T20" sheetId="38" r:id="rId23"/>
    <sheet name="T21" sheetId="39" r:id="rId24"/>
    <sheet name="T22" sheetId="40" r:id="rId25"/>
    <sheet name="T23" sheetId="41" r:id="rId26"/>
    <sheet name="T24" sheetId="42" r:id="rId27"/>
    <sheet name="T25" sheetId="43" r:id="rId28"/>
    <sheet name="T26" sheetId="44" r:id="rId29"/>
    <sheet name="T27" sheetId="45" r:id="rId30"/>
    <sheet name="T28" sheetId="54" r:id="rId31"/>
    <sheet name="T29" sheetId="17" r:id="rId32"/>
    <sheet name="T30" sheetId="51" r:id="rId33"/>
    <sheet name="T31" sheetId="55" r:id="rId34"/>
    <sheet name="T32" sheetId="4" r:id="rId35"/>
    <sheet name="T33" sheetId="5" r:id="rId36"/>
    <sheet name="T34" sheetId="6" r:id="rId37"/>
    <sheet name="T35" sheetId="7" r:id="rId38"/>
    <sheet name="T36" sheetId="18" r:id="rId39"/>
  </sheets>
  <definedNames>
    <definedName name="_xlnm.Print_Area" localSheetId="4">'Population growth_'!$A$1:$G$20</definedName>
    <definedName name="_xlnm.Print_Area" localSheetId="3">'T2'!$A$1:$L$28</definedName>
  </definedNames>
  <calcPr calcId="125725"/>
</workbook>
</file>

<file path=xl/calcChain.xml><?xml version="1.0" encoding="utf-8"?>
<calcChain xmlns="http://schemas.openxmlformats.org/spreadsheetml/2006/main">
  <c r="K24" i="54"/>
  <c r="J24"/>
  <c r="E24"/>
  <c r="D24"/>
  <c r="C24"/>
  <c r="B24"/>
  <c r="L22"/>
  <c r="L21"/>
  <c r="L20"/>
  <c r="L19"/>
  <c r="L18"/>
  <c r="L17"/>
  <c r="L16"/>
  <c r="L15"/>
  <c r="L14"/>
  <c r="L13"/>
  <c r="L12"/>
  <c r="L11"/>
  <c r="L10"/>
  <c r="L9"/>
  <c r="L8"/>
  <c r="L7"/>
  <c r="K22" i="29"/>
  <c r="J22"/>
  <c r="E22"/>
  <c r="D22"/>
  <c r="C22"/>
  <c r="B22"/>
  <c r="L20"/>
  <c r="L19"/>
  <c r="L18"/>
  <c r="L17"/>
  <c r="L16"/>
  <c r="L15"/>
  <c r="L14"/>
  <c r="L13"/>
  <c r="L12"/>
  <c r="L11"/>
  <c r="L10"/>
  <c r="L9"/>
  <c r="L8"/>
  <c r="L7"/>
  <c r="L22" s="1"/>
  <c r="L23" i="51"/>
  <c r="L22"/>
  <c r="L21"/>
  <c r="L20"/>
  <c r="L19"/>
  <c r="L18"/>
  <c r="L17"/>
  <c r="L16"/>
  <c r="L15"/>
  <c r="L14"/>
  <c r="L13"/>
  <c r="L12"/>
  <c r="L11"/>
  <c r="L10"/>
  <c r="L9"/>
  <c r="L8"/>
  <c r="L7"/>
  <c r="H15" i="10"/>
  <c r="I15" s="1"/>
  <c r="L24" i="54" l="1"/>
  <c r="H8" i="10"/>
  <c r="I8" s="1"/>
  <c r="H9"/>
  <c r="I9" s="1"/>
  <c r="H10"/>
  <c r="I10" s="1"/>
  <c r="H11"/>
  <c r="I11" s="1"/>
  <c r="H13"/>
  <c r="I13" s="1"/>
  <c r="H14"/>
  <c r="I14" s="1"/>
  <c r="H16"/>
  <c r="I16" s="1"/>
  <c r="H17"/>
  <c r="I17" s="1"/>
  <c r="H18"/>
  <c r="I18" s="1"/>
  <c r="H19"/>
  <c r="I19" s="1"/>
  <c r="H20"/>
  <c r="I20" s="1"/>
  <c r="H7"/>
  <c r="I7" s="1"/>
</calcChain>
</file>

<file path=xl/sharedStrings.xml><?xml version="1.0" encoding="utf-8"?>
<sst xmlns="http://schemas.openxmlformats.org/spreadsheetml/2006/main" count="4460" uniqueCount="261">
  <si>
    <t>Nationals</t>
  </si>
  <si>
    <t>المواطنون</t>
  </si>
  <si>
    <t>Non-nationals</t>
  </si>
  <si>
    <t>غير مواطنين</t>
  </si>
  <si>
    <t>Urban</t>
  </si>
  <si>
    <t>حضر</t>
  </si>
  <si>
    <t>Rural</t>
  </si>
  <si>
    <t>ريف</t>
  </si>
  <si>
    <t>Total</t>
  </si>
  <si>
    <t>المجموع</t>
  </si>
  <si>
    <t>الفئة العمرية</t>
  </si>
  <si>
    <t>كلا الجنسين</t>
  </si>
  <si>
    <t>Age group</t>
  </si>
  <si>
    <t>Men</t>
  </si>
  <si>
    <t>Women</t>
  </si>
  <si>
    <t>Both sexes</t>
  </si>
  <si>
    <t>0-4</t>
  </si>
  <si>
    <t>…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</si>
  <si>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</si>
  <si>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</si>
  <si>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</si>
  <si>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</si>
  <si>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</si>
  <si>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</si>
  <si>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</si>
  <si>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</si>
  <si>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</si>
  <si>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</si>
  <si>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</si>
  <si>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</si>
  <si>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</si>
  <si>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</si>
  <si>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</si>
  <si>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 xml:space="preserve">   المجموع    Total </t>
  </si>
  <si>
    <t xml:space="preserve"> 75+</t>
  </si>
  <si>
    <t>65+</t>
  </si>
  <si>
    <t>(1) Data don't include that part of jerusalem which was annexed forcefully by Israel in 1967.</t>
  </si>
  <si>
    <t>(1) البيانات لا تشمل ذلك الجزء من محافظة القدس الذي ضمته إسرائيل عنوة بعد احتلالها للضفة الغربية عام 1967.</t>
  </si>
  <si>
    <t>...</t>
  </si>
  <si>
    <t>(1) Incldues population counted during the period 1-16 December 2007 and uncounted population estimates according to post enumration survey.</t>
  </si>
  <si>
    <t>(1) يشمل السكان الذين تم عدّهم خلال الفترة 1-16 كانون الأول/ديسمبر 2007 وتقديرات السكان الذين لم يتم عدّهم، وفقا للاستقصاء اللاحق لعملية العد.</t>
  </si>
  <si>
    <t>Country</t>
  </si>
  <si>
    <t>Bahrain</t>
  </si>
  <si>
    <t>البحرين</t>
  </si>
  <si>
    <t>Egypt</t>
  </si>
  <si>
    <t>مصر</t>
  </si>
  <si>
    <t>Iraq</t>
  </si>
  <si>
    <t>العراق</t>
  </si>
  <si>
    <t>Jordan</t>
  </si>
  <si>
    <t>الاردن</t>
  </si>
  <si>
    <t>Kuwait</t>
  </si>
  <si>
    <t>الكويت</t>
  </si>
  <si>
    <t>لبنان</t>
  </si>
  <si>
    <t>Oman</t>
  </si>
  <si>
    <t>عمان</t>
  </si>
  <si>
    <t>Palestine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</si>
  <si>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</si>
  <si>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</si>
  <si>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</si>
  <si>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</si>
  <si>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</si>
  <si>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</si>
  <si>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</si>
  <si>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</si>
  <si>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United Arab Emirates</t>
  </si>
  <si>
    <t>Yemen</t>
  </si>
  <si>
    <t>اليمن</t>
  </si>
  <si>
    <t>البلد</t>
  </si>
  <si>
    <t>census year
سنة التعداد</t>
  </si>
  <si>
    <t>Lebanon</t>
  </si>
  <si>
    <t>الجمهورية العربية السورية</t>
  </si>
  <si>
    <t>Round 2000           دورة 2000</t>
  </si>
  <si>
    <t>Round 2010           دورة 2010</t>
  </si>
  <si>
    <t xml:space="preserve">Table 4: Population of Egypt by age groups, 1996 census </t>
  </si>
  <si>
    <t xml:space="preserve">Table 5: Population of Egypt by age groups, 2006 census </t>
  </si>
  <si>
    <t>Table 6: Population of Iraq by age groups, 1987 census</t>
  </si>
  <si>
    <t>Table 7: Population of Iraq by age groups, 1997 census</t>
  </si>
  <si>
    <t>Table 8: Population of Jordan by age groups, 1994 census</t>
  </si>
  <si>
    <t>Table 9: Population of Jordan by age groups, 2004 census</t>
  </si>
  <si>
    <t>Table 10: Population of Kuwait by age groups, 1995 census</t>
  </si>
  <si>
    <t>Table 11: Population of Kuwait by age groups, 2005 census</t>
  </si>
  <si>
    <t>Table 18: Population of Saudi Arabia by age groups, 1992 census</t>
  </si>
  <si>
    <t>Table 19: Population of Saudi Arabia by age groups, 2004 census</t>
  </si>
  <si>
    <t>Table 20: Population of Sudan by age groups, 1993 census</t>
  </si>
  <si>
    <t>Table 21: Population of Sudan by age groups, 2008 census</t>
  </si>
  <si>
    <t>Table 22: Population of Syrian Arab Republic by age groups, 1994 census</t>
  </si>
  <si>
    <t>Table 23: Population of Syrian Arab Republic by age groups, 2004 census</t>
  </si>
  <si>
    <t>Table 24: Population of United Arab Emirates by age groups, 1995 census</t>
  </si>
  <si>
    <t>Table 25: Population of United Arab Emirates by age groups, 2005 census</t>
  </si>
  <si>
    <t>Table 26: Population of Yemen by age groups, 1994 census</t>
  </si>
  <si>
    <t>Table27: Population of Yemen by age groups, 2004 census</t>
  </si>
  <si>
    <r>
      <t>Census</t>
    </r>
    <r>
      <rPr>
        <sz val="11"/>
        <rFont val="Arial"/>
        <family val="2"/>
      </rPr>
      <t xml:space="preserve"> </t>
    </r>
    <r>
      <rPr>
        <sz val="10"/>
        <rFont val="Arial"/>
        <family val="2"/>
      </rPr>
      <t>date</t>
    </r>
    <r>
      <rPr>
        <sz val="11"/>
        <rFont val="Arial"/>
        <family val="2"/>
      </rPr>
      <t>/
 تاريخ التعداد</t>
    </r>
  </si>
  <si>
    <t>Table ...: Population of ESCWA countries according to latest two population census</t>
  </si>
  <si>
    <t xml:space="preserve">جدول ... أعداد السكان في بلدان منطقة الأسكوا حسب آخر تعدادين للسكان </t>
  </si>
  <si>
    <t>Population size</t>
  </si>
  <si>
    <t>years (Y)</t>
  </si>
  <si>
    <r>
      <t>Growth Rate
[(P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-P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)/P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*100]/Y</t>
    </r>
  </si>
  <si>
    <t>Table 17: Population of Qatar by age groups, 2010 census</t>
  </si>
  <si>
    <t>Male</t>
  </si>
  <si>
    <t>Table 16: Population of Qatar by age groups, 2004 census</t>
  </si>
  <si>
    <t>Female</t>
  </si>
  <si>
    <t>Census year سنة التعداد</t>
  </si>
  <si>
    <t xml:space="preserve">% Total 
 نسبة المجموع </t>
  </si>
  <si>
    <t>Census year
سنة التعداد</t>
  </si>
  <si>
    <t>ذكور</t>
  </si>
  <si>
    <t>إناث</t>
  </si>
  <si>
    <t xml:space="preserve">% Male 
 نسبة الذكور </t>
  </si>
  <si>
    <t xml:space="preserve">% Female 
 نسبة الإناث </t>
  </si>
  <si>
    <t xml:space="preserve">    غير محدد    Not stated</t>
  </si>
  <si>
    <t>الأردن</t>
  </si>
  <si>
    <t xml:space="preserve">الجدول 1 : أعداد السكان في بلدان الإسكوا حسب آخر تعداد وحسب تقديرات الأمم المتحدة </t>
  </si>
  <si>
    <t>الإمارات العربية المتحدة</t>
  </si>
  <si>
    <t xml:space="preserve">dependency %
نسبة الإعالة </t>
  </si>
  <si>
    <t>% Male youth
نسبة الذكور الشباب</t>
  </si>
  <si>
    <t>% Female youth
 نسبة الإناث الشباب</t>
  </si>
  <si>
    <t>% Total youth
 نسبة المجموع  الشباب</t>
  </si>
  <si>
    <t>% Male child
نسبة الذكور الأطفال</t>
  </si>
  <si>
    <t>% Female child
 نسبة الإناث الأطفال</t>
  </si>
  <si>
    <t>% Total child
 نسبة المجموع الأطفال</t>
  </si>
  <si>
    <t>75-79</t>
  </si>
  <si>
    <t>80+</t>
  </si>
  <si>
    <t>Table 12: Population of Oman by age groups, 2003 census</t>
  </si>
  <si>
    <t>Table 13: Population of Oman by age groups, 2010 census</t>
  </si>
  <si>
    <t>2010</t>
  </si>
  <si>
    <t>Palestine*</t>
  </si>
  <si>
    <t>Sudan**</t>
  </si>
  <si>
    <t>* for nationals only</t>
  </si>
  <si>
    <t>** 1993-2008</t>
  </si>
  <si>
    <t>Table 3: Population of Bahrain by age groups, 2010 census</t>
  </si>
  <si>
    <t>رجال</t>
  </si>
  <si>
    <t>نساء</t>
  </si>
  <si>
    <t>Non- Nationals</t>
  </si>
  <si>
    <t>فئة العمر</t>
  </si>
  <si>
    <t>المجموع
Total</t>
  </si>
  <si>
    <t>Table 2: Population of Bahrain by age groups, 2001 census</t>
  </si>
  <si>
    <t>سوريا</t>
  </si>
  <si>
    <t>الجدول 2: السكان في البحرين بحسب الفئات العمرية، تعداد 2001</t>
  </si>
  <si>
    <t>الجدول 3: السكان في البحرين بحسب الفئات العمرية، تعداد 2010</t>
  </si>
  <si>
    <t>الجدول 4: السكان في مصر بحسب الفئات العمرية، تعداد 1996</t>
  </si>
  <si>
    <t>الجدول 5: السكان في مصر بحسب الفئات العمرية، تعداد 2006</t>
  </si>
  <si>
    <t>الجدول 6: السكان في العراق بحسب الفئات العمرية، تعداد 1987</t>
  </si>
  <si>
    <t>الجدول 7: السكان في العراق بحسب الفئات العمرية، تعداد 1997</t>
  </si>
  <si>
    <t>الجدول 8: السكان في الأردن بحسب الفئات العمرية، تعداد 1994</t>
  </si>
  <si>
    <t>الجدول 9: السكان في الأردن بحسب الفئات العمرية، تعداد 2004</t>
  </si>
  <si>
    <t>الجدول 10: السكان في الكويت بحسب الفئات العمرية، تعداد 1995</t>
  </si>
  <si>
    <t>الجدول 11: السكان في الكويت بحسب الفئات العمرية، تعداد 2005</t>
  </si>
  <si>
    <t>الجدول 12: السكان في عمان بحسب الفئات العمرية، تعداد 2003</t>
  </si>
  <si>
    <t>الجدول 13: السكان في عمان بحسب الفئات العمرية، تعداد 2010</t>
  </si>
  <si>
    <t>الجدول 16: السكان في قطر بحسب الفئات العمرية، تعداد 2004</t>
  </si>
  <si>
    <t>الجدول 17: السكان في قطر بحسب الفئات العمرية، تعداد 2010</t>
  </si>
  <si>
    <t>الجدول 18: السكان في السعودية بحسب الفئات العمرية، تعداد 1992</t>
  </si>
  <si>
    <t>الجدول 19: السكان في السعودية بحسب الفئات العمرية، تعداد 2004</t>
  </si>
  <si>
    <t>الجدول 20: السكان في السودان حسب الفئات العمرية، تعداد 1993</t>
  </si>
  <si>
    <t>الجدول 21: السكان في السودان بحسب الفئات العمرية، تعداد 2008</t>
  </si>
  <si>
    <t>الجدول 22: السكان في الجمهورية العربية السورية بحسب الفئات العمرية، تعداد 1994</t>
  </si>
  <si>
    <t>الجدول 23: السكان في الجمهورية العربية السورية بحسب الفئات العمرية، تعداد 2004</t>
  </si>
  <si>
    <t>الجدول 24: السكان في الإمارات العربية المتحدة بحسب الفئات العمرية، تعداد 1995</t>
  </si>
  <si>
    <t>الجدول 25: السكان في الإمارات العربية المتحدة بحسب الفئات العمرية، تعداد 2005</t>
  </si>
  <si>
    <t>الجدول 26: السكان في اليمن بحسب الفئات العمرية، تعداد 1994</t>
  </si>
  <si>
    <t>الجدول 27: السكان في اليمن بحسب الفئات العمرية، تعداد 2004</t>
  </si>
  <si>
    <r>
      <t>الجدول 14: السكان في فلسطين بحسب الفئات العمرية، تعداد 1997</t>
    </r>
    <r>
      <rPr>
        <b/>
        <vertAlign val="superscript"/>
        <sz val="12"/>
        <rFont val="Arial"/>
        <family val="2"/>
      </rPr>
      <t xml:space="preserve"> (1)</t>
    </r>
  </si>
  <si>
    <r>
      <t xml:space="preserve">الجدول 15: السكان في فلسطين بحسب الفئات العمرية، تعداد 2007 </t>
    </r>
    <r>
      <rPr>
        <b/>
        <vertAlign val="superscript"/>
        <sz val="12"/>
        <rFont val="Arial"/>
        <family val="2"/>
      </rPr>
      <t>(1)</t>
    </r>
  </si>
  <si>
    <t>* للمواطنين فقط</t>
  </si>
  <si>
    <t>** 2008-1993</t>
  </si>
  <si>
    <t>فلسطين*</t>
  </si>
  <si>
    <t>السودان**</t>
  </si>
  <si>
    <t>Table 1: Population of ESCWA countries according to latest census and UN estimates</t>
  </si>
  <si>
    <r>
      <t xml:space="preserve">Table 14: Population of Palestine by age groups, 1997 census </t>
    </r>
    <r>
      <rPr>
        <b/>
        <vertAlign val="superscript"/>
        <sz val="9"/>
        <rFont val="Arial"/>
        <family val="2"/>
      </rPr>
      <t>(1)</t>
    </r>
  </si>
  <si>
    <r>
      <t>الجدول 14: السكان في فلسطين بحسب الفئات العمرية، تعداد 1997</t>
    </r>
    <r>
      <rPr>
        <b/>
        <vertAlign val="superscript"/>
        <sz val="9"/>
        <rFont val="Arial"/>
        <family val="2"/>
      </rPr>
      <t xml:space="preserve"> (1)</t>
    </r>
  </si>
  <si>
    <r>
      <t>Table 15: Population of Palestine by age groups, 2007 census</t>
    </r>
    <r>
      <rPr>
        <b/>
        <vertAlign val="superscript"/>
        <sz val="9"/>
        <rFont val="Arial"/>
        <family val="2"/>
      </rPr>
      <t xml:space="preserve"> (1)</t>
    </r>
  </si>
  <si>
    <r>
      <t xml:space="preserve">الجدول 15: السكان في فلسطين بحسب الفئات العمرية، تعداد 2007 </t>
    </r>
    <r>
      <rPr>
        <b/>
        <vertAlign val="superscript"/>
        <sz val="9"/>
        <rFont val="Arial"/>
        <family val="2"/>
      </rPr>
      <t>(1)</t>
    </r>
  </si>
  <si>
    <t>الجدول 30: تقديرات السكان حسب فئات العمر والمواطنون/غير مواطنين وحضر/ريف والجنس  في الأردن، 2011</t>
  </si>
  <si>
    <t>Table 30: Population etimates by age groups, nationals/non-nationals, urban/rural and sex in Jordan,  2011</t>
  </si>
  <si>
    <t>الجدول 10: السكان في الكويت بحسب الفئات العمرية، تعداد 2005</t>
  </si>
  <si>
    <t>Table 10: Population of Kuwait by age groups, 2005 census</t>
  </si>
  <si>
    <t>جدول 28: تقديرات السكان حسب فئات العمر والمواطنون/غير مواطنين وحضر/ريف والجنس  في البحرين، 2011</t>
  </si>
  <si>
    <t>Table 28: Population etimates by age groups, nationals/non-nationals, urban/rural and sex in Bahrain,  2011</t>
  </si>
  <si>
    <t>الجدول 29: تقديرات السكان حسب فئات العمر والمواطنون/غير مواطنين وحضر/ريف والجنس  في مصر، 2011</t>
  </si>
  <si>
    <t>Table 29: Population etimates by age groups, nationals/non-nationals, urban/rural and sex in Egypt,  2011</t>
  </si>
  <si>
    <t>Table1: Population of ESCWA countries according to latest census and UN estimates</t>
  </si>
  <si>
    <t>National Data</t>
  </si>
  <si>
    <t>National estimates</t>
  </si>
  <si>
    <t xml:space="preserve">البلد </t>
  </si>
  <si>
    <t>Census date/
 تاريخ التعداد</t>
  </si>
  <si>
    <t>Code/ تعريف العد DF/DJ 
DF:de facto count
DJ:de jure count</t>
  </si>
  <si>
    <t>Male / ذكور</t>
  </si>
  <si>
    <t>Female / إناث</t>
  </si>
  <si>
    <t xml:space="preserve">Total/المجموع    </t>
  </si>
  <si>
    <t xml:space="preserve">day/ month/ year
يوم/شهر /سنة    </t>
  </si>
  <si>
    <t>27 Apr 2010</t>
  </si>
  <si>
    <t>DJ</t>
  </si>
  <si>
    <t>21 Nov 2006</t>
  </si>
  <si>
    <t>DF</t>
  </si>
  <si>
    <t>01 Oct 2004</t>
  </si>
  <si>
    <t>21 Apr 2011</t>
  </si>
  <si>
    <t>12 Dec 2010</t>
  </si>
  <si>
    <t>01 Dec 2007</t>
  </si>
  <si>
    <t>21 Apr 2010</t>
  </si>
  <si>
    <t>05 Dec 2005</t>
  </si>
  <si>
    <t>الامارات العربية المتحدة</t>
  </si>
  <si>
    <t>16 Dec 2004</t>
  </si>
  <si>
    <t>UN Estimates</t>
  </si>
  <si>
    <t>Mid year estimate 2011
   تقديرات منتصف عام 2011</t>
  </si>
  <si>
    <t xml:space="preserve"> 2011 estimate
 تقديرات  عام 2011</t>
  </si>
  <si>
    <t>Reference date
 (as of 1 July)
تاريخ المرجع 
(إبتداء من شهر 1-تموز)</t>
  </si>
  <si>
    <t>16 Oct 1997</t>
  </si>
  <si>
    <r>
      <t>1997</t>
    </r>
    <r>
      <rPr>
        <vertAlign val="superscript"/>
        <sz val="10"/>
        <rFont val="Arial"/>
        <family val="2"/>
      </rPr>
      <t>1</t>
    </r>
  </si>
  <si>
    <t>1 310 067</t>
  </si>
  <si>
    <t>903 336</t>
  </si>
  <si>
    <r>
      <t>2007</t>
    </r>
    <r>
      <rPr>
        <vertAlign val="superscript"/>
        <sz val="10"/>
        <rFont val="Arial"/>
        <family val="2"/>
      </rPr>
      <t>2</t>
    </r>
  </si>
  <si>
    <t>2010*</t>
  </si>
  <si>
    <r>
      <t>2007</t>
    </r>
    <r>
      <rPr>
        <vertAlign val="superscript"/>
        <sz val="10"/>
        <rFont val="Arial"/>
        <family val="2"/>
      </rPr>
      <t>3*</t>
    </r>
  </si>
  <si>
    <t>1 908 432</t>
  </si>
  <si>
    <t>1 853 214</t>
  </si>
  <si>
    <t>3 761 646</t>
  </si>
  <si>
    <r>
      <t>2004</t>
    </r>
    <r>
      <rPr>
        <vertAlign val="superscript"/>
        <sz val="10"/>
        <rFont val="Arial"/>
        <family val="2"/>
      </rPr>
      <t>4</t>
    </r>
    <r>
      <rPr>
        <sz val="10"/>
        <rFont val="Arial"/>
        <family val="2"/>
      </rPr>
      <t>*</t>
    </r>
  </si>
  <si>
    <t>8 760 000</t>
  </si>
  <si>
    <t>17 921 000</t>
  </si>
  <si>
    <t>(…) Data not available</t>
  </si>
  <si>
    <r>
      <rPr>
        <sz val="8"/>
        <color theme="0"/>
        <rFont val="Calibri"/>
        <family val="2"/>
        <scheme val="minor"/>
      </rPr>
      <t>ا</t>
    </r>
    <r>
      <rPr>
        <sz val="8"/>
        <rFont val="Calibri"/>
        <family val="2"/>
        <scheme val="minor"/>
      </rPr>
      <t>(...) البيانات غير متوفرة</t>
    </r>
  </si>
  <si>
    <t>* Provisional</t>
  </si>
  <si>
    <r>
      <rPr>
        <sz val="8"/>
        <color theme="0"/>
        <rFont val="Calibri"/>
        <family val="2"/>
        <scheme val="minor"/>
      </rPr>
      <t>ؤ</t>
    </r>
    <r>
      <rPr>
        <sz val="8"/>
        <color theme="1"/>
        <rFont val="Calibri"/>
        <family val="2"/>
        <scheme val="minor"/>
      </rPr>
      <t>*</t>
    </r>
    <r>
      <rPr>
        <sz val="8"/>
        <color theme="0"/>
        <rFont val="Calibri"/>
        <family val="2"/>
        <scheme val="minor"/>
      </rPr>
      <t>ر</t>
    </r>
    <r>
      <rPr>
        <sz val="8"/>
        <color theme="1"/>
        <rFont val="Calibri"/>
        <family val="2"/>
        <scheme val="minor"/>
      </rPr>
      <t>مؤقت</t>
    </r>
  </si>
  <si>
    <t>(1)Excluding the population in three autonomous provinces in the north of the country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</si>
  <si>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 xml:space="preserve">(1)باستثناء السكان في ثلاث محافظات الحكم الذاتي في شمال البلاد </t>
    </r>
  </si>
  <si>
    <t>(2) Data refer to household survey 2007</t>
  </si>
  <si>
    <r>
      <rPr>
        <sz val="8"/>
        <color theme="0"/>
        <rFont val="Tahoma"/>
        <family val="2"/>
      </rPr>
      <t>ا</t>
    </r>
    <r>
      <rPr>
        <sz val="8"/>
        <color theme="1"/>
        <rFont val="Tahoma"/>
        <family val="2"/>
      </rPr>
      <t>(2)تشير البيانات إلى مسح الأسرة 2007</t>
    </r>
  </si>
  <si>
    <t>(3) Data have been adjusted for underenumeration, estimated at 2.7 per cent</t>
  </si>
  <si>
    <r>
      <rPr>
        <sz val="8"/>
        <color indexed="9"/>
        <rFont val="Calibri"/>
        <family val="2"/>
      </rPr>
      <t>ا</t>
    </r>
    <r>
      <rPr>
        <sz val="8"/>
        <color indexed="8"/>
        <rFont val="Calibri"/>
        <family val="2"/>
      </rPr>
      <t xml:space="preserve">(3) تم تعديل البيانات لمعالجة السكان الذين لم يتم عدهم والمقدرون بـ 2.7 في المائة
</t>
    </r>
  </si>
  <si>
    <t>(4) Including Palestinian refugees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</si>
  <si>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(4) تضم اللاجئين الفلسطنيين</t>
    </r>
  </si>
  <si>
    <t>United Nations Population and Vital Statistics Report (July 2010), and UN Department of Economic and Social Affairs (DESA)</t>
  </si>
  <si>
    <r>
      <t>مصدر بيانات الأمم المتحدة: تقرير السكان والإحصاءات الحيوية  (2010 يوليو</t>
    </r>
    <r>
      <rPr>
        <sz val="8"/>
        <rFont val="Calibri"/>
        <family val="2"/>
        <scheme val="minor"/>
      </rPr>
      <t>)، و UN DESA</t>
    </r>
  </si>
  <si>
    <t>Table 14: Population of Palestine by age groups, 1997 census (1)</t>
  </si>
  <si>
    <t>Table 15: Population of Palestine by age groups, 2007 census (1)</t>
  </si>
  <si>
    <t>الجدول 31: تقديرات السكان حسب فئات العمر والمواطنون/غير مواطنين وحضر/ريف والجنس  في السعودية، 2011</t>
  </si>
  <si>
    <t>Table 31: Population etimates by age groups, nationals/non-nationals, urban/rural and sex in Saudi Arabia,  2011</t>
  </si>
  <si>
    <t>Table 32: Dependency ratio during the census years</t>
  </si>
  <si>
    <t>Table 33: Percentage of elderly (65+) years, during the census years</t>
  </si>
  <si>
    <t>Table 34: Percentage of youth (15-24) years, during the census years</t>
  </si>
  <si>
    <t>Table 35: Percentage of children (0-14) years, during the census years</t>
  </si>
  <si>
    <t>Table 36: Annual population growth rate, 2000-2010</t>
  </si>
  <si>
    <t>الجدول 28: تقديرات السكان حسب فئات العمر والمواطنون/غير مواطنين وحضر/ريف والجنس  في البحرين، 2011</t>
  </si>
  <si>
    <t>الجدول 32: النسبة المئوية للإعالة لمجموع السكان خلال سنوات التعداد</t>
  </si>
  <si>
    <t>الجدول 33: النسبة المئوية للمسنين (65+) سنة، خلال سنوات التعداد</t>
  </si>
  <si>
    <t>الجدول 34: النسبة المئوية للشباب (15-24) سنة، خلال سنوات التعداد</t>
  </si>
  <si>
    <t>الجدول 35: النسبة المئوية للأولاد (0-14) سنة، خلال سنوات التعداد</t>
  </si>
  <si>
    <t>الجدول 36: معدل التمو السنوي للسكان، 2000-2010</t>
  </si>
  <si>
    <t>Table 31: Population estimates by age groups, nationals/non-nationals, urban/rural and sex in Saudi Arabia,  mid year 2011</t>
  </si>
  <si>
    <t>الجدول 31: تقديرات السكان حسب فئات العمر ومواطنون/غير مواطنين وحضر/ريف والجنس  في السعودية - منتصف سنة 2011</t>
  </si>
  <si>
    <r>
      <t>2010</t>
    </r>
    <r>
      <rPr>
        <vertAlign val="superscript"/>
        <sz val="10"/>
        <rFont val="Arial"/>
        <family val="2"/>
      </rPr>
      <t>5</t>
    </r>
  </si>
  <si>
    <r>
      <t>2004</t>
    </r>
    <r>
      <rPr>
        <vertAlign val="superscript"/>
        <sz val="10"/>
        <rFont val="Arial"/>
        <family val="2"/>
      </rPr>
      <t>5</t>
    </r>
  </si>
  <si>
    <r>
      <t>2010*</t>
    </r>
    <r>
      <rPr>
        <vertAlign val="superscript"/>
        <sz val="10"/>
        <rFont val="Arial"/>
        <family val="2"/>
      </rPr>
      <t>5</t>
    </r>
  </si>
  <si>
    <t>21 Apr 2008</t>
  </si>
  <si>
    <t>20 073 977*</t>
  </si>
  <si>
    <t>19 080 513*</t>
  </si>
  <si>
    <t>39 154 490*</t>
  </si>
  <si>
    <t>(5) Not adjusted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</si>
  <si>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(5) غير معدلة</t>
    </r>
  </si>
  <si>
    <t>http://unstats.un.org/unsd/demographic/products/vitstats/default.htm</t>
  </si>
  <si>
    <t>جدول 11: السكان في الكويت بحسب الفئات العمرية، تعداد 2011</t>
  </si>
  <si>
    <t>Table 11: Population of Kuwait by age groups, 2011 census</t>
  </si>
</sst>
</file>

<file path=xl/styles.xml><?xml version="1.0" encoding="utf-8"?>
<styleSheet xmlns="http://schemas.openxmlformats.org/spreadsheetml/2006/main">
  <numFmts count="15">
    <numFmt numFmtId="43" formatCode="_(* #,##0.00_);_(* \(#,##0.00\);_(* &quot;-&quot;??_);_(@_)"/>
    <numFmt numFmtId="164" formatCode="##0\ ##0"/>
    <numFmt numFmtId="165" formatCode="##0"/>
    <numFmt numFmtId="166" formatCode="0\ ##0\ ##0"/>
    <numFmt numFmtId="167" formatCode="_-* #,##0_-;_-* #,##0\-;_-* &quot;-&quot;_-;_-@_-"/>
    <numFmt numFmtId="168" formatCode="###\ ###\ ###"/>
    <numFmt numFmtId="169" formatCode="[=0]&quot;...&quot;;###&quot; &quot;###&quot; &quot;###"/>
    <numFmt numFmtId="170" formatCode="0.0"/>
    <numFmt numFmtId="171" formatCode="[=0]&quot;...&quot;;#.0"/>
    <numFmt numFmtId="172" formatCode="[=0]&quot;...&quot;;#.#"/>
    <numFmt numFmtId="173" formatCode="_(* #,##0_);_(* \(#,##0\);_(* &quot;-&quot;??_);_(@_)"/>
    <numFmt numFmtId="174" formatCode="_(* #,##0.0_);_(* \(#,##0.0\);_(* &quot;-&quot;??_);_(@_)"/>
    <numFmt numFmtId="175" formatCode="[=0]&quot;0&quot;;###\ ###\ ###"/>
    <numFmt numFmtId="176" formatCode="[=0]&quot;...&quot;;##.0"/>
    <numFmt numFmtId="177" formatCode="#\ ##0\ ##0"/>
  </numFmts>
  <fonts count="46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vertAlign val="superscript"/>
      <sz val="9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b/>
      <i/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vertAlign val="superscript"/>
      <sz val="10"/>
      <name val="Arial"/>
      <family val="2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8"/>
      <color indexed="9"/>
      <name val="Calibri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/>
    <xf numFmtId="0" fontId="7" fillId="0" borderId="0"/>
    <xf numFmtId="43" fontId="15" fillId="0" borderId="0" applyFont="0" applyFill="0" applyBorder="0" applyAlignment="0" applyProtection="0"/>
    <xf numFmtId="0" fontId="26" fillId="0" borderId="0"/>
  </cellStyleXfs>
  <cellXfs count="331">
    <xf numFmtId="0" fontId="0" fillId="0" borderId="0" xfId="0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0" borderId="0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3" fillId="0" borderId="1" xfId="0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1" quotePrefix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 vertical="center"/>
    </xf>
    <xf numFmtId="1" fontId="6" fillId="0" borderId="0" xfId="0" applyNumberFormat="1" applyFont="1" applyBorder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" fontId="3" fillId="0" borderId="0" xfId="1" quotePrefix="1" applyNumberFormat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right" vertical="center" wrapText="1"/>
    </xf>
    <xf numFmtId="165" fontId="6" fillId="0" borderId="0" xfId="0" applyNumberFormat="1" applyFont="1" applyBorder="1" applyAlignment="1">
      <alignment horizontal="right" vertical="center"/>
    </xf>
    <xf numFmtId="0" fontId="7" fillId="0" borderId="0" xfId="0" applyFont="1"/>
    <xf numFmtId="166" fontId="6" fillId="0" borderId="0" xfId="0" applyNumberFormat="1" applyFont="1" applyBorder="1" applyAlignment="1">
      <alignment horizontal="right" vertical="center"/>
    </xf>
    <xf numFmtId="0" fontId="7" fillId="0" borderId="0" xfId="0" applyFont="1" applyBorder="1"/>
    <xf numFmtId="167" fontId="6" fillId="0" borderId="0" xfId="2" applyNumberFormat="1" applyFont="1" applyFill="1" applyBorder="1" applyAlignment="1">
      <alignment horizontal="right"/>
    </xf>
    <xf numFmtId="1" fontId="5" fillId="0" borderId="0" xfId="0" applyNumberFormat="1" applyFont="1" applyBorder="1" applyAlignment="1">
      <alignment horizontal="right"/>
    </xf>
    <xf numFmtId="0" fontId="0" fillId="0" borderId="0" xfId="0" applyFill="1"/>
    <xf numFmtId="0" fontId="6" fillId="0" borderId="0" xfId="0" applyFont="1"/>
    <xf numFmtId="168" fontId="6" fillId="0" borderId="0" xfId="0" applyNumberFormat="1" applyFont="1" applyBorder="1" applyAlignment="1">
      <alignment horizontal="right" vertical="center"/>
    </xf>
    <xf numFmtId="168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8" fillId="0" borderId="0" xfId="0" applyFont="1" applyAlignment="1">
      <alignment wrapText="1"/>
    </xf>
    <xf numFmtId="0" fontId="0" fillId="0" borderId="0" xfId="0" applyBorder="1"/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2" fillId="0" borderId="0" xfId="0" applyFont="1"/>
    <xf numFmtId="0" fontId="12" fillId="0" borderId="0" xfId="1" applyFont="1" applyFill="1"/>
    <xf numFmtId="0" fontId="12" fillId="0" borderId="0" xfId="1" applyFont="1" applyFill="1" applyAlignment="1">
      <alignment horizontal="center"/>
    </xf>
    <xf numFmtId="0" fontId="12" fillId="0" borderId="0" xfId="1" applyFont="1" applyFill="1" applyAlignment="1"/>
    <xf numFmtId="0" fontId="13" fillId="0" borderId="0" xfId="0" applyFont="1" applyBorder="1" applyAlignment="1">
      <alignment horizontal="left"/>
    </xf>
    <xf numFmtId="0" fontId="10" fillId="0" borderId="0" xfId="0" applyFont="1"/>
    <xf numFmtId="173" fontId="0" fillId="0" borderId="0" xfId="0" applyNumberFormat="1"/>
    <xf numFmtId="0" fontId="0" fillId="0" borderId="2" xfId="0" applyBorder="1"/>
    <xf numFmtId="0" fontId="0" fillId="0" borderId="9" xfId="0" applyBorder="1"/>
    <xf numFmtId="173" fontId="0" fillId="0" borderId="5" xfId="3" applyNumberFormat="1" applyFont="1" applyBorder="1"/>
    <xf numFmtId="0" fontId="0" fillId="0" borderId="3" xfId="0" applyBorder="1"/>
    <xf numFmtId="173" fontId="0" fillId="0" borderId="6" xfId="3" applyNumberFormat="1" applyFont="1" applyBorder="1"/>
    <xf numFmtId="0" fontId="7" fillId="0" borderId="8" xfId="0" applyFont="1" applyBorder="1" applyAlignment="1">
      <alignment vertical="top" wrapText="1"/>
    </xf>
    <xf numFmtId="0" fontId="0" fillId="0" borderId="10" xfId="0" applyBorder="1"/>
    <xf numFmtId="0" fontId="0" fillId="0" borderId="4" xfId="0" applyBorder="1"/>
    <xf numFmtId="173" fontId="0" fillId="0" borderId="7" xfId="3" applyNumberFormat="1" applyFont="1" applyBorder="1"/>
    <xf numFmtId="0" fontId="17" fillId="0" borderId="0" xfId="0" applyFont="1" applyBorder="1" applyAlignment="1">
      <alignment horizontal="left"/>
    </xf>
    <xf numFmtId="0" fontId="0" fillId="0" borderId="0" xfId="0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43" fontId="0" fillId="0" borderId="0" xfId="0" applyNumberFormat="1"/>
    <xf numFmtId="174" fontId="0" fillId="0" borderId="0" xfId="3" applyNumberFormat="1" applyFont="1"/>
    <xf numFmtId="0" fontId="0" fillId="0" borderId="3" xfId="0" applyFill="1" applyBorder="1"/>
    <xf numFmtId="172" fontId="12" fillId="0" borderId="0" xfId="1" applyNumberFormat="1" applyFont="1" applyFill="1" applyAlignment="1"/>
    <xf numFmtId="0" fontId="3" fillId="0" borderId="13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1" applyFont="1" applyFill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3" fillId="0" borderId="11" xfId="1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right" vertical="center"/>
    </xf>
    <xf numFmtId="0" fontId="6" fillId="0" borderId="11" xfId="0" applyNumberFormat="1" applyFont="1" applyBorder="1" applyAlignment="1">
      <alignment horizontal="right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2" borderId="11" xfId="0" applyFont="1" applyFill="1" applyBorder="1" applyAlignment="1">
      <alignment horizontal="center" wrapText="1"/>
    </xf>
    <xf numFmtId="164" fontId="6" fillId="2" borderId="11" xfId="0" applyNumberFormat="1" applyFont="1" applyFill="1" applyBorder="1" applyAlignment="1">
      <alignment horizontal="right" vertical="center"/>
    </xf>
    <xf numFmtId="165" fontId="6" fillId="0" borderId="11" xfId="0" applyNumberFormat="1" applyFont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3" fillId="0" borderId="12" xfId="1" applyFont="1" applyFill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right" vertical="center"/>
    </xf>
    <xf numFmtId="0" fontId="3" fillId="0" borderId="12" xfId="1" applyFont="1" applyFill="1" applyBorder="1" applyAlignment="1">
      <alignment horizontal="right" vertical="center"/>
    </xf>
    <xf numFmtId="1" fontId="6" fillId="0" borderId="11" xfId="0" applyNumberFormat="1" applyFont="1" applyFill="1" applyBorder="1" applyAlignment="1">
      <alignment horizontal="right" vertical="center"/>
    </xf>
    <xf numFmtId="164" fontId="6" fillId="0" borderId="11" xfId="0" applyNumberFormat="1" applyFont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 wrapText="1"/>
    </xf>
    <xf numFmtId="168" fontId="6" fillId="2" borderId="11" xfId="0" applyNumberFormat="1" applyFont="1" applyFill="1" applyBorder="1" applyAlignment="1">
      <alignment horizontal="right" vertical="center"/>
    </xf>
    <xf numFmtId="168" fontId="6" fillId="0" borderId="11" xfId="0" applyNumberFormat="1" applyFont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175" fontId="6" fillId="0" borderId="0" xfId="0" applyNumberFormat="1" applyFont="1" applyBorder="1" applyAlignment="1">
      <alignment horizontal="right" vertical="center"/>
    </xf>
    <xf numFmtId="175" fontId="7" fillId="0" borderId="0" xfId="0" applyNumberFormat="1" applyFont="1" applyFill="1"/>
    <xf numFmtId="175" fontId="6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horizontal="right" vertical="center"/>
    </xf>
    <xf numFmtId="175" fontId="0" fillId="0" borderId="0" xfId="0" applyNumberFormat="1"/>
    <xf numFmtId="0" fontId="19" fillId="0" borderId="0" xfId="0" applyFont="1" applyBorder="1" applyAlignment="1">
      <alignment horizontal="right"/>
    </xf>
    <xf numFmtId="0" fontId="0" fillId="0" borderId="0" xfId="0" applyAlignment="1">
      <alignment horizontal="centerContinuous"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/>
    </xf>
    <xf numFmtId="175" fontId="0" fillId="0" borderId="11" xfId="0" applyNumberFormat="1" applyBorder="1"/>
    <xf numFmtId="164" fontId="6" fillId="0" borderId="0" xfId="0" applyNumberFormat="1" applyFont="1" applyFill="1" applyBorder="1" applyAlignment="1">
      <alignment horizontal="right" vertical="center"/>
    </xf>
    <xf numFmtId="177" fontId="6" fillId="2" borderId="11" xfId="0" applyNumberFormat="1" applyFont="1" applyFill="1" applyBorder="1" applyAlignment="1">
      <alignment horizontal="right" vertical="center"/>
    </xf>
    <xf numFmtId="168" fontId="19" fillId="0" borderId="0" xfId="0" applyNumberFormat="1" applyFont="1" applyBorder="1"/>
    <xf numFmtId="168" fontId="19" fillId="0" borderId="0" xfId="0" applyNumberFormat="1" applyFont="1"/>
    <xf numFmtId="0" fontId="23" fillId="0" borderId="12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 readingOrder="2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168" fontId="19" fillId="3" borderId="11" xfId="0" applyNumberFormat="1" applyFont="1" applyFill="1" applyBorder="1" applyAlignment="1">
      <alignment vertical="center"/>
    </xf>
    <xf numFmtId="0" fontId="7" fillId="0" borderId="0" xfId="4" applyFont="1" applyFill="1"/>
    <xf numFmtId="170" fontId="7" fillId="0" borderId="0" xfId="4" applyNumberFormat="1" applyFont="1" applyFill="1"/>
    <xf numFmtId="0" fontId="27" fillId="0" borderId="0" xfId="4" applyFont="1" applyFill="1"/>
    <xf numFmtId="0" fontId="26" fillId="0" borderId="0" xfId="4"/>
    <xf numFmtId="0" fontId="3" fillId="0" borderId="13" xfId="4" applyFont="1" applyFill="1" applyBorder="1"/>
    <xf numFmtId="0" fontId="3" fillId="0" borderId="0" xfId="4" applyFont="1" applyFill="1"/>
    <xf numFmtId="0" fontId="3" fillId="0" borderId="0" xfId="4" applyFont="1" applyFill="1" applyAlignment="1"/>
    <xf numFmtId="0" fontId="3" fillId="0" borderId="0" xfId="4" applyFont="1" applyFill="1" applyBorder="1"/>
    <xf numFmtId="0" fontId="7" fillId="0" borderId="0" xfId="4" applyFont="1" applyFill="1" applyAlignment="1">
      <alignment horizontal="centerContinuous"/>
    </xf>
    <xf numFmtId="0" fontId="2" fillId="0" borderId="0" xfId="4" applyFont="1" applyFill="1" applyAlignment="1">
      <alignment horizontal="centerContinuous" vertical="center"/>
    </xf>
    <xf numFmtId="0" fontId="3" fillId="0" borderId="13" xfId="4" applyFont="1" applyFill="1" applyBorder="1" applyAlignment="1"/>
    <xf numFmtId="0" fontId="6" fillId="0" borderId="0" xfId="4" applyFont="1" applyFill="1" applyBorder="1" applyAlignment="1">
      <alignment horizontal="left" indent="1"/>
    </xf>
    <xf numFmtId="0" fontId="6" fillId="0" borderId="0" xfId="4" applyFont="1" applyFill="1" applyAlignment="1">
      <alignment horizontal="right" indent="1" readingOrder="2"/>
    </xf>
    <xf numFmtId="0" fontId="7" fillId="0" borderId="0" xfId="4" applyFont="1" applyFill="1" applyAlignment="1">
      <alignment horizontal="center"/>
    </xf>
    <xf numFmtId="0" fontId="3" fillId="0" borderId="0" xfId="4" applyFont="1" applyFill="1" applyAlignment="1">
      <alignment horizontal="center" vertical="center"/>
    </xf>
    <xf numFmtId="0" fontId="3" fillId="0" borderId="11" xfId="4" applyFont="1" applyFill="1" applyBorder="1" applyAlignment="1">
      <alignment vertical="center"/>
    </xf>
    <xf numFmtId="0" fontId="3" fillId="0" borderId="11" xfId="4" quotePrefix="1" applyFont="1" applyFill="1" applyBorder="1" applyAlignment="1">
      <alignment horizontal="right"/>
    </xf>
    <xf numFmtId="0" fontId="0" fillId="4" borderId="0" xfId="0" applyFill="1"/>
    <xf numFmtId="0" fontId="1" fillId="0" borderId="0" xfId="0" applyFont="1" applyAlignment="1">
      <alignment horizontal="centerContinuous" vertical="center"/>
    </xf>
    <xf numFmtId="0" fontId="19" fillId="0" borderId="0" xfId="0" applyFont="1" applyAlignment="1">
      <alignment horizontal="right"/>
    </xf>
    <xf numFmtId="0" fontId="19" fillId="3" borderId="11" xfId="0" applyFont="1" applyFill="1" applyBorder="1" applyAlignment="1">
      <alignment horizontal="right" vertical="center"/>
    </xf>
    <xf numFmtId="0" fontId="5" fillId="0" borderId="0" xfId="1" applyFont="1" applyFill="1" applyAlignment="1">
      <alignment horizontal="left"/>
    </xf>
    <xf numFmtId="0" fontId="5" fillId="0" borderId="0" xfId="1" applyFont="1" applyFill="1" applyBorder="1" applyAlignment="1">
      <alignment horizontal="right"/>
    </xf>
    <xf numFmtId="0" fontId="5" fillId="0" borderId="0" xfId="4" applyFont="1" applyFill="1" applyAlignment="1">
      <alignment horizontal="left" vertical="center"/>
    </xf>
    <xf numFmtId="0" fontId="5" fillId="0" borderId="0" xfId="4" applyFont="1" applyFill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/>
    </xf>
    <xf numFmtId="175" fontId="6" fillId="0" borderId="0" xfId="0" applyNumberFormat="1" applyFont="1" applyFill="1" applyAlignment="1">
      <alignment horizontal="right" vertical="center"/>
    </xf>
    <xf numFmtId="175" fontId="6" fillId="0" borderId="0" xfId="0" applyNumberFormat="1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horizontal="center" wrapText="1"/>
    </xf>
    <xf numFmtId="166" fontId="6" fillId="0" borderId="11" xfId="0" applyNumberFormat="1" applyFont="1" applyFill="1" applyBorder="1" applyAlignment="1">
      <alignment horizontal="right" vertical="center"/>
    </xf>
    <xf numFmtId="0" fontId="7" fillId="0" borderId="0" xfId="0" applyFont="1" applyFill="1"/>
    <xf numFmtId="175" fontId="0" fillId="0" borderId="0" xfId="0" applyNumberFormat="1" applyFill="1"/>
    <xf numFmtId="0" fontId="3" fillId="0" borderId="0" xfId="0" applyFont="1" applyFill="1" applyAlignment="1">
      <alignment horizontal="centerContinuous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left" vertical="center"/>
    </xf>
    <xf numFmtId="166" fontId="6" fillId="0" borderId="0" xfId="0" applyNumberFormat="1" applyFont="1" applyFill="1" applyBorder="1" applyAlignment="1">
      <alignment horizontal="right" vertical="center"/>
    </xf>
    <xf numFmtId="1" fontId="6" fillId="0" borderId="0" xfId="0" applyNumberFormat="1" applyFont="1" applyFill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 wrapText="1"/>
    </xf>
    <xf numFmtId="165" fontId="6" fillId="0" borderId="11" xfId="0" applyNumberFormat="1" applyFont="1" applyFill="1" applyBorder="1" applyAlignment="1">
      <alignment horizontal="right" vertical="center"/>
    </xf>
    <xf numFmtId="165" fontId="6" fillId="0" borderId="0" xfId="0" applyNumberFormat="1" applyFont="1" applyFill="1" applyBorder="1" applyAlignment="1">
      <alignment horizontal="right" vertical="center"/>
    </xf>
    <xf numFmtId="164" fontId="6" fillId="0" borderId="11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6" fillId="0" borderId="11" xfId="0" applyNumberFormat="1" applyFont="1" applyFill="1" applyBorder="1" applyAlignment="1">
      <alignment horizontal="right" vertical="center"/>
    </xf>
    <xf numFmtId="168" fontId="6" fillId="0" borderId="11" xfId="0" applyNumberFormat="1" applyFont="1" applyFill="1" applyBorder="1" applyAlignment="1">
      <alignment horizontal="right" vertical="center"/>
    </xf>
    <xf numFmtId="0" fontId="25" fillId="0" borderId="0" xfId="0" applyFont="1" applyFill="1" applyAlignment="1">
      <alignment horizontal="centerContinuous"/>
    </xf>
    <xf numFmtId="0" fontId="25" fillId="0" borderId="0" xfId="0" applyFont="1" applyFill="1"/>
    <xf numFmtId="0" fontId="14" fillId="0" borderId="0" xfId="0" applyFont="1" applyFill="1" applyAlignment="1">
      <alignment horizontal="centerContinuous"/>
    </xf>
    <xf numFmtId="0" fontId="23" fillId="0" borderId="12" xfId="0" applyFont="1" applyFill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13" xfId="0" applyFont="1" applyFill="1" applyBorder="1" applyAlignment="1">
      <alignment horizontal="center"/>
    </xf>
    <xf numFmtId="168" fontId="19" fillId="0" borderId="0" xfId="0" applyNumberFormat="1" applyFont="1" applyFill="1"/>
    <xf numFmtId="168" fontId="19" fillId="0" borderId="0" xfId="0" applyNumberFormat="1" applyFont="1" applyFill="1" applyAlignment="1">
      <alignment horizontal="right"/>
    </xf>
    <xf numFmtId="0" fontId="23" fillId="0" borderId="11" xfId="0" applyFont="1" applyFill="1" applyBorder="1" applyAlignment="1">
      <alignment horizontal="center" vertical="center" wrapText="1"/>
    </xf>
    <xf numFmtId="168" fontId="19" fillId="0" borderId="11" xfId="0" applyNumberFormat="1" applyFont="1" applyFill="1" applyBorder="1" applyAlignment="1">
      <alignment vertical="center"/>
    </xf>
    <xf numFmtId="168" fontId="19" fillId="0" borderId="11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0" fontId="15" fillId="0" borderId="0" xfId="0" applyFont="1" applyFill="1"/>
    <xf numFmtId="0" fontId="24" fillId="0" borderId="0" xfId="0" applyFont="1" applyFill="1"/>
    <xf numFmtId="0" fontId="3" fillId="0" borderId="0" xfId="0" applyFont="1" applyFill="1" applyBorder="1" applyAlignment="1">
      <alignment horizontal="center" wrapText="1"/>
    </xf>
    <xf numFmtId="0" fontId="1" fillId="0" borderId="0" xfId="1" applyFont="1" applyFill="1" applyBorder="1" applyAlignment="1">
      <alignment horizontal="centerContinuous"/>
    </xf>
    <xf numFmtId="0" fontId="0" fillId="0" borderId="0" xfId="0" applyFill="1" applyAlignment="1">
      <alignment horizontal="centerContinuous"/>
    </xf>
    <xf numFmtId="0" fontId="2" fillId="0" borderId="0" xfId="1" applyFont="1" applyFill="1" applyAlignment="1">
      <alignment horizontal="centerContinuous"/>
    </xf>
    <xf numFmtId="0" fontId="29" fillId="0" borderId="0" xfId="0" applyFont="1" applyFill="1" applyAlignment="1">
      <alignment horizontal="centerContinuous"/>
    </xf>
    <xf numFmtId="0" fontId="30" fillId="0" borderId="0" xfId="0" applyFont="1" applyFill="1" applyAlignment="1">
      <alignment horizontal="centerContinuous"/>
    </xf>
    <xf numFmtId="0" fontId="3" fillId="0" borderId="11" xfId="1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3" fillId="0" borderId="13" xfId="1" applyFont="1" applyFill="1" applyBorder="1" applyAlignment="1" applyProtection="1">
      <alignment vertical="center"/>
      <protection locked="0"/>
    </xf>
    <xf numFmtId="0" fontId="3" fillId="0" borderId="13" xfId="0" applyFont="1" applyFill="1" applyBorder="1" applyAlignment="1" applyProtection="1">
      <alignment vertical="center"/>
      <protection locked="0"/>
    </xf>
    <xf numFmtId="0" fontId="3" fillId="0" borderId="17" xfId="0" applyFont="1" applyFill="1" applyBorder="1" applyAlignment="1" applyProtection="1">
      <alignment vertical="center"/>
      <protection locked="0"/>
    </xf>
    <xf numFmtId="0" fontId="3" fillId="0" borderId="12" xfId="0" applyFont="1" applyFill="1" applyBorder="1" applyAlignment="1" applyProtection="1">
      <alignment vertical="center"/>
      <protection locked="0"/>
    </xf>
    <xf numFmtId="0" fontId="3" fillId="0" borderId="11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protection locked="0"/>
    </xf>
    <xf numFmtId="1" fontId="6" fillId="0" borderId="0" xfId="0" applyNumberFormat="1" applyFont="1" applyFill="1" applyBorder="1" applyAlignment="1" applyProtection="1">
      <alignment horizontal="right"/>
    </xf>
    <xf numFmtId="170" fontId="6" fillId="0" borderId="0" xfId="0" applyNumberFormat="1" applyFont="1" applyFill="1" applyBorder="1" applyAlignment="1" applyProtection="1">
      <alignment horizontal="right" vertical="center"/>
    </xf>
    <xf numFmtId="0" fontId="19" fillId="0" borderId="15" xfId="0" applyFont="1" applyFill="1" applyBorder="1" applyAlignment="1" applyProtection="1">
      <alignment horizontal="right"/>
    </xf>
    <xf numFmtId="170" fontId="19" fillId="0" borderId="0" xfId="0" applyNumberFormat="1" applyFont="1" applyFill="1" applyBorder="1" applyAlignment="1" applyProtection="1">
      <alignment horizontal="right"/>
    </xf>
    <xf numFmtId="0" fontId="3" fillId="0" borderId="12" xfId="0" applyFont="1" applyFill="1" applyBorder="1" applyProtection="1">
      <protection locked="0"/>
    </xf>
    <xf numFmtId="0" fontId="3" fillId="0" borderId="0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alignment horizontal="right"/>
    </xf>
    <xf numFmtId="0" fontId="6" fillId="0" borderId="15" xfId="0" applyFont="1" applyFill="1" applyBorder="1" applyAlignment="1" applyProtection="1">
      <alignment horizontal="right"/>
    </xf>
    <xf numFmtId="0" fontId="3" fillId="0" borderId="0" xfId="0" applyFont="1" applyFill="1" applyBorder="1" applyProtection="1">
      <protection locked="0"/>
    </xf>
    <xf numFmtId="0" fontId="19" fillId="0" borderId="0" xfId="0" applyFont="1" applyFill="1" applyBorder="1" applyAlignment="1" applyProtection="1">
      <alignment horizontal="right"/>
    </xf>
    <xf numFmtId="0" fontId="20" fillId="0" borderId="0" xfId="0" applyFont="1" applyFill="1" applyBorder="1" applyAlignment="1" applyProtection="1">
      <alignment horizontal="right"/>
    </xf>
    <xf numFmtId="170" fontId="20" fillId="0" borderId="0" xfId="0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 applyProtection="1">
      <alignment horizontal="right"/>
    </xf>
    <xf numFmtId="170" fontId="6" fillId="0" borderId="13" xfId="0" applyNumberFormat="1" applyFont="1" applyFill="1" applyBorder="1" applyAlignment="1" applyProtection="1">
      <alignment horizontal="right" vertical="center"/>
    </xf>
    <xf numFmtId="0" fontId="19" fillId="0" borderId="16" xfId="0" applyFont="1" applyFill="1" applyBorder="1" applyAlignment="1" applyProtection="1">
      <alignment horizontal="right"/>
    </xf>
    <xf numFmtId="0" fontId="19" fillId="0" borderId="13" xfId="0" applyFont="1" applyFill="1" applyBorder="1" applyAlignment="1" applyProtection="1">
      <alignment horizontal="right"/>
    </xf>
    <xf numFmtId="170" fontId="6" fillId="0" borderId="0" xfId="0" applyNumberFormat="1" applyFont="1" applyFill="1" applyBorder="1" applyAlignment="1" applyProtection="1">
      <alignment horizontal="right"/>
    </xf>
    <xf numFmtId="1" fontId="6" fillId="0" borderId="12" xfId="0" applyNumberFormat="1" applyFont="1" applyFill="1" applyBorder="1" applyAlignment="1" applyProtection="1">
      <alignment horizontal="right"/>
    </xf>
    <xf numFmtId="170" fontId="6" fillId="0" borderId="12" xfId="0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 applyProtection="1">
      <alignment horizontal="right"/>
    </xf>
    <xf numFmtId="170" fontId="6" fillId="0" borderId="0" xfId="2" applyNumberFormat="1" applyFont="1" applyFill="1" applyBorder="1" applyAlignment="1" applyProtection="1">
      <alignment horizontal="right"/>
    </xf>
    <xf numFmtId="49" fontId="6" fillId="0" borderId="15" xfId="0" applyNumberFormat="1" applyFont="1" applyFill="1" applyBorder="1" applyAlignment="1" applyProtection="1">
      <alignment horizontal="right"/>
    </xf>
    <xf numFmtId="2" fontId="6" fillId="0" borderId="0" xfId="0" applyNumberFormat="1" applyFont="1" applyFill="1" applyBorder="1" applyAlignment="1" applyProtection="1">
      <alignment horizontal="right" vertical="center"/>
    </xf>
    <xf numFmtId="170" fontId="6" fillId="0" borderId="13" xfId="0" applyNumberFormat="1" applyFont="1" applyFill="1" applyBorder="1" applyAlignment="1" applyProtection="1">
      <alignment horizontal="right"/>
    </xf>
    <xf numFmtId="171" fontId="6" fillId="0" borderId="0" xfId="0" applyNumberFormat="1" applyFont="1" applyFill="1" applyBorder="1" applyAlignment="1" applyProtection="1">
      <alignment vertical="center"/>
    </xf>
    <xf numFmtId="171" fontId="6" fillId="0" borderId="0" xfId="0" applyNumberFormat="1" applyFont="1" applyFill="1" applyBorder="1" applyAlignment="1" applyProtection="1">
      <alignment horizontal="right" vertical="center"/>
    </xf>
    <xf numFmtId="0" fontId="6" fillId="0" borderId="0" xfId="0" applyFont="1" applyFill="1" applyBorder="1" applyProtection="1"/>
    <xf numFmtId="172" fontId="6" fillId="0" borderId="0" xfId="0" applyNumberFormat="1" applyFont="1" applyFill="1" applyBorder="1" applyAlignment="1" applyProtection="1">
      <alignment horizontal="right" vertical="center"/>
    </xf>
    <xf numFmtId="0" fontId="21" fillId="0" borderId="15" xfId="0" applyFont="1" applyFill="1" applyBorder="1" applyAlignment="1" applyProtection="1">
      <alignment horizontal="right"/>
    </xf>
    <xf numFmtId="0" fontId="21" fillId="0" borderId="0" xfId="0" applyFont="1" applyFill="1" applyBorder="1" applyAlignment="1" applyProtection="1">
      <alignment horizontal="right"/>
    </xf>
    <xf numFmtId="176" fontId="6" fillId="0" borderId="0" xfId="0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Protection="1"/>
    <xf numFmtId="171" fontId="6" fillId="0" borderId="13" xfId="0" applyNumberFormat="1" applyFont="1" applyFill="1" applyBorder="1" applyAlignment="1" applyProtection="1">
      <alignment vertical="center"/>
    </xf>
    <xf numFmtId="0" fontId="21" fillId="0" borderId="16" xfId="0" applyFont="1" applyFill="1" applyBorder="1" applyAlignment="1" applyProtection="1">
      <alignment horizontal="right"/>
    </xf>
    <xf numFmtId="0" fontId="21" fillId="0" borderId="13" xfId="0" applyFont="1" applyFill="1" applyBorder="1" applyAlignment="1" applyProtection="1">
      <alignment horizontal="right"/>
    </xf>
    <xf numFmtId="171" fontId="6" fillId="0" borderId="18" xfId="0" applyNumberFormat="1" applyFont="1" applyFill="1" applyBorder="1" applyAlignment="1" applyProtection="1">
      <alignment horizontal="right" vertical="center"/>
    </xf>
    <xf numFmtId="1" fontId="6" fillId="0" borderId="15" xfId="0" applyNumberFormat="1" applyFont="1" applyFill="1" applyBorder="1" applyAlignment="1" applyProtection="1">
      <alignment horizontal="right"/>
    </xf>
    <xf numFmtId="172" fontId="6" fillId="0" borderId="13" xfId="0" applyNumberFormat="1" applyFont="1" applyFill="1" applyBorder="1" applyAlignment="1" applyProtection="1">
      <alignment horizontal="right" vertical="center"/>
    </xf>
    <xf numFmtId="171" fontId="6" fillId="0" borderId="13" xfId="0" applyNumberFormat="1" applyFont="1" applyFill="1" applyBorder="1" applyAlignment="1" applyProtection="1">
      <alignment horizontal="right" vertical="center"/>
    </xf>
    <xf numFmtId="170" fontId="6" fillId="0" borderId="0" xfId="4" applyNumberFormat="1" applyFont="1" applyFill="1" applyAlignment="1">
      <alignment horizontal="right"/>
    </xf>
    <xf numFmtId="170" fontId="6" fillId="0" borderId="13" xfId="4" applyNumberFormat="1" applyFont="1" applyFill="1" applyBorder="1" applyAlignment="1">
      <alignment horizontal="right"/>
    </xf>
    <xf numFmtId="0" fontId="31" fillId="0" borderId="0" xfId="1" applyFont="1" applyFill="1" applyAlignment="1"/>
    <xf numFmtId="0" fontId="3" fillId="0" borderId="12" xfId="0" applyFont="1" applyFill="1" applyBorder="1" applyAlignment="1"/>
    <xf numFmtId="169" fontId="7" fillId="0" borderId="0" xfId="0" applyNumberFormat="1" applyFont="1" applyFill="1" applyBorder="1" applyAlignment="1">
      <alignment horizontal="right"/>
    </xf>
    <xf numFmtId="0" fontId="3" fillId="0" borderId="12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/>
    <xf numFmtId="0" fontId="3" fillId="0" borderId="13" xfId="0" applyFont="1" applyFill="1" applyBorder="1" applyAlignment="1"/>
    <xf numFmtId="0" fontId="3" fillId="0" borderId="13" xfId="0" applyFont="1" applyFill="1" applyBorder="1"/>
    <xf numFmtId="0" fontId="16" fillId="0" borderId="0" xfId="0" applyFont="1" applyFill="1"/>
    <xf numFmtId="0" fontId="0" fillId="0" borderId="0" xfId="0" applyFill="1" applyBorder="1"/>
    <xf numFmtId="0" fontId="5" fillId="0" borderId="0" xfId="0" applyFont="1" applyFill="1" applyAlignment="1">
      <alignment horizontal="left" vertical="center"/>
    </xf>
    <xf numFmtId="0" fontId="19" fillId="0" borderId="0" xfId="0" applyFont="1" applyFill="1"/>
    <xf numFmtId="0" fontId="5" fillId="0" borderId="0" xfId="0" applyFont="1" applyFill="1" applyAlignment="1">
      <alignment horizontal="right" vertical="center"/>
    </xf>
    <xf numFmtId="0" fontId="19" fillId="0" borderId="0" xfId="0" applyFont="1" applyFill="1" applyAlignment="1">
      <alignment horizontal="left"/>
    </xf>
    <xf numFmtId="0" fontId="19" fillId="0" borderId="0" xfId="0" applyFont="1" applyFill="1" applyAlignment="1">
      <alignment horizontal="right"/>
    </xf>
    <xf numFmtId="0" fontId="0" fillId="0" borderId="0" xfId="0" applyAlignment="1">
      <alignment horizontal="centerContinuous"/>
    </xf>
    <xf numFmtId="0" fontId="31" fillId="0" borderId="0" xfId="1" applyFont="1" applyFill="1" applyBorder="1" applyAlignment="1">
      <alignment horizontal="centerContinuous"/>
    </xf>
    <xf numFmtId="0" fontId="34" fillId="0" borderId="0" xfId="0" applyFont="1" applyBorder="1" applyAlignment="1">
      <alignment horizontal="centerContinuous"/>
    </xf>
    <xf numFmtId="0" fontId="35" fillId="0" borderId="0" xfId="0" applyFont="1" applyBorder="1" applyAlignment="1">
      <alignment horizontal="centerContinuous"/>
    </xf>
    <xf numFmtId="0" fontId="0" fillId="0" borderId="0" xfId="0" applyFont="1" applyBorder="1" applyAlignment="1">
      <alignment horizontal="centerContinuous"/>
    </xf>
    <xf numFmtId="0" fontId="0" fillId="0" borderId="0" xfId="0" applyFont="1" applyAlignment="1"/>
    <xf numFmtId="0" fontId="22" fillId="0" borderId="0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 vertical="top" wrapText="1"/>
    </xf>
    <xf numFmtId="0" fontId="22" fillId="0" borderId="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49" fontId="0" fillId="0" borderId="0" xfId="0" applyNumberFormat="1"/>
    <xf numFmtId="0" fontId="14" fillId="0" borderId="0" xfId="0" applyFont="1" applyFill="1" applyBorder="1" applyAlignment="1">
      <alignment horizontal="right"/>
    </xf>
    <xf numFmtId="169" fontId="14" fillId="0" borderId="12" xfId="0" applyNumberFormat="1" applyFont="1" applyBorder="1" applyAlignment="1">
      <alignment horizontal="right"/>
    </xf>
    <xf numFmtId="49" fontId="7" fillId="0" borderId="12" xfId="0" applyNumberFormat="1" applyFont="1" applyFill="1" applyBorder="1" applyAlignment="1">
      <alignment horizontal="right"/>
    </xf>
    <xf numFmtId="169" fontId="14" fillId="0" borderId="0" xfId="0" applyNumberFormat="1" applyFont="1" applyFill="1" applyBorder="1" applyAlignment="1">
      <alignment horizontal="right"/>
    </xf>
    <xf numFmtId="49" fontId="7" fillId="0" borderId="0" xfId="0" applyNumberFormat="1" applyFont="1" applyFill="1" applyBorder="1" applyAlignment="1">
      <alignment horizontal="right"/>
    </xf>
    <xf numFmtId="0" fontId="14" fillId="0" borderId="0" xfId="0" applyFont="1" applyBorder="1" applyAlignment="1">
      <alignment horizontal="right"/>
    </xf>
    <xf numFmtId="169" fontId="14" fillId="0" borderId="0" xfId="0" applyNumberFormat="1" applyFont="1" applyBorder="1" applyAlignment="1">
      <alignment horizontal="right"/>
    </xf>
    <xf numFmtId="0" fontId="14" fillId="0" borderId="13" xfId="0" applyFont="1" applyBorder="1" applyAlignment="1">
      <alignment horizontal="right"/>
    </xf>
    <xf numFmtId="169" fontId="14" fillId="0" borderId="13" xfId="0" applyNumberFormat="1" applyFont="1" applyBorder="1" applyAlignment="1">
      <alignment horizontal="right"/>
    </xf>
    <xf numFmtId="49" fontId="7" fillId="0" borderId="13" xfId="0" applyNumberFormat="1" applyFont="1" applyFill="1" applyBorder="1" applyAlignment="1">
      <alignment horizontal="right"/>
    </xf>
    <xf numFmtId="169" fontId="14" fillId="0" borderId="13" xfId="0" applyNumberFormat="1" applyFont="1" applyFill="1" applyBorder="1" applyAlignment="1">
      <alignment horizontal="right"/>
    </xf>
    <xf numFmtId="0" fontId="33" fillId="0" borderId="0" xfId="0" applyFont="1"/>
    <xf numFmtId="169" fontId="33" fillId="0" borderId="0" xfId="0" applyNumberFormat="1" applyFont="1"/>
    <xf numFmtId="169" fontId="0" fillId="0" borderId="0" xfId="0" applyNumberFormat="1"/>
    <xf numFmtId="0" fontId="33" fillId="0" borderId="0" xfId="0" applyFont="1" applyAlignment="1">
      <alignment horizontal="right"/>
    </xf>
    <xf numFmtId="49" fontId="33" fillId="0" borderId="0" xfId="0" applyNumberFormat="1" applyFont="1" applyAlignment="1">
      <alignment horizontal="left"/>
    </xf>
    <xf numFmtId="0" fontId="39" fillId="0" borderId="0" xfId="0" applyFont="1" applyAlignment="1">
      <alignment horizontal="right"/>
    </xf>
    <xf numFmtId="0" fontId="41" fillId="0" borderId="0" xfId="0" applyFont="1"/>
    <xf numFmtId="0" fontId="42" fillId="0" borderId="0" xfId="0" applyFont="1" applyAlignment="1">
      <alignment horizontal="right"/>
    </xf>
    <xf numFmtId="49" fontId="0" fillId="0" borderId="13" xfId="0" applyNumberFormat="1" applyBorder="1"/>
    <xf numFmtId="0" fontId="0" fillId="0" borderId="0" xfId="0" applyBorder="1" applyAlignment="1">
      <alignment horizontal="centerContinuous"/>
    </xf>
    <xf numFmtId="0" fontId="23" fillId="0" borderId="11" xfId="0" applyFont="1" applyBorder="1" applyAlignment="1">
      <alignment horizontal="center"/>
    </xf>
    <xf numFmtId="0" fontId="44" fillId="0" borderId="0" xfId="0" applyFont="1" applyBorder="1" applyAlignment="1">
      <alignment horizontal="centerContinuous"/>
    </xf>
    <xf numFmtId="0" fontId="2" fillId="0" borderId="0" xfId="0" applyFont="1" applyFill="1" applyAlignment="1">
      <alignment horizontal="centerContinuous" vertical="center"/>
    </xf>
    <xf numFmtId="0" fontId="2" fillId="0" borderId="0" xfId="0" applyFont="1" applyFill="1" applyAlignment="1">
      <alignment horizontal="centerContinuous"/>
    </xf>
    <xf numFmtId="0" fontId="45" fillId="0" borderId="0" xfId="0" applyFont="1" applyFill="1" applyAlignment="1">
      <alignment horizontal="centerContinuous"/>
    </xf>
    <xf numFmtId="0" fontId="1" fillId="0" borderId="0" xfId="0" applyFont="1" applyAlignment="1">
      <alignment horizontal="centerContinuous" vertical="center" wrapText="1"/>
    </xf>
    <xf numFmtId="0" fontId="1" fillId="0" borderId="0" xfId="4" applyFont="1" applyFill="1" applyAlignment="1">
      <alignment horizontal="centerContinuous" vertical="center"/>
    </xf>
    <xf numFmtId="0" fontId="22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wrapText="1"/>
    </xf>
    <xf numFmtId="0" fontId="31" fillId="0" borderId="0" xfId="0" applyFont="1" applyAlignment="1">
      <alignment horizontal="centerContinuous"/>
    </xf>
    <xf numFmtId="0" fontId="1" fillId="0" borderId="0" xfId="1" applyFont="1" applyFill="1" applyAlignment="1">
      <alignment horizontal="centerContinuous"/>
    </xf>
    <xf numFmtId="0" fontId="31" fillId="0" borderId="0" xfId="0" applyFont="1" applyFill="1" applyBorder="1" applyAlignment="1">
      <alignment horizontal="centerContinuous"/>
    </xf>
    <xf numFmtId="175" fontId="0" fillId="0" borderId="0" xfId="0" applyNumberFormat="1" applyFill="1" applyAlignment="1">
      <alignment horizontal="centerContinuous"/>
    </xf>
    <xf numFmtId="0" fontId="23" fillId="0" borderId="12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3" fillId="0" borderId="12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23" fillId="0" borderId="13" xfId="0" applyFont="1" applyBorder="1"/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/>
    <xf numFmtId="0" fontId="22" fillId="0" borderId="13" xfId="0" applyFont="1" applyBorder="1"/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wrapText="1"/>
    </xf>
    <xf numFmtId="0" fontId="6" fillId="0" borderId="0" xfId="0" applyFont="1" applyAlignment="1">
      <alignment horizontal="right" vertical="center" wrapText="1" readingOrder="2"/>
    </xf>
    <xf numFmtId="0" fontId="8" fillId="0" borderId="0" xfId="0" applyFont="1" applyAlignment="1">
      <alignment horizontal="left" vertical="center" wrapText="1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0" fontId="3" fillId="0" borderId="14" xfId="0" applyFont="1" applyFill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0" fontId="24" fillId="0" borderId="13" xfId="0" applyFont="1" applyFill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vertical="center"/>
      <protection locked="0"/>
    </xf>
    <xf numFmtId="0" fontId="3" fillId="0" borderId="13" xfId="0" applyFont="1" applyFill="1" applyBorder="1" applyAlignment="1" applyProtection="1">
      <alignment vertical="center"/>
      <protection locked="0"/>
    </xf>
  </cellXfs>
  <cellStyles count="5">
    <cellStyle name="Comma" xfId="3" builtinId="3"/>
    <cellStyle name="Normal" xfId="0" builtinId="0"/>
    <cellStyle name="Normal 2" xfId="4"/>
    <cellStyle name="Normal_BAHRAIN" xfId="1"/>
    <cellStyle name="Normal_Sheet2" xfId="2"/>
  </cellStyles>
  <dxfs count="0"/>
  <tableStyles count="0" defaultTableStyle="TableStyleMedium9" defaultPivotStyle="PivotStyleLight16"/>
  <colors>
    <mruColors>
      <color rgb="FF6F6F6F"/>
      <color rgb="FFCBCBCB"/>
      <color rgb="FFB4B4B4"/>
      <color rgb="FF3D3D3D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8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51"/>
          <c:y val="5.1896207584830524E-2"/>
          <c:w val="0.71820056867891513"/>
          <c:h val="0.826423688056941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4.7577328144308986</c:v>
              </c:pt>
              <c:pt idx="1">
                <c:v>4.8367363250149094</c:v>
              </c:pt>
              <c:pt idx="2">
                <c:v>4.6593626845208718</c:v>
              </c:pt>
              <c:pt idx="3">
                <c:v>4.0473160324867345</c:v>
              </c:pt>
              <c:pt idx="4">
                <c:v>4.9435601379641243</c:v>
              </c:pt>
              <c:pt idx="5">
                <c:v>6.5829598342463305</c:v>
              </c:pt>
              <c:pt idx="6">
                <c:v>6.8805294772242416</c:v>
              </c:pt>
              <c:pt idx="7">
                <c:v>6.1359905564675072</c:v>
              </c:pt>
              <c:pt idx="8">
                <c:v>5.4464774271292526</c:v>
              </c:pt>
              <c:pt idx="9">
                <c:v>3.8442739362192571</c:v>
              </c:pt>
              <c:pt idx="10">
                <c:v>2.1662947046129539</c:v>
              </c:pt>
              <c:pt idx="11">
                <c:v>1.0969806518250733</c:v>
              </c:pt>
              <c:pt idx="12">
                <c:v>0.7588333302592668</c:v>
              </c:pt>
              <c:pt idx="13">
                <c:v>0.48462659313499656</c:v>
              </c:pt>
              <c:pt idx="14">
                <c:v>0.38364350664920632</c:v>
              </c:pt>
              <c:pt idx="15">
                <c:v>0.40577678587896943</c:v>
              </c:pt>
            </c:numLit>
          </c:val>
        </c:ser>
        <c:gapWidth val="0"/>
        <c:axId val="90020864"/>
        <c:axId val="90026752"/>
      </c:barChart>
      <c:catAx>
        <c:axId val="90020864"/>
        <c:scaling>
          <c:orientation val="minMax"/>
        </c:scaling>
        <c:axPos val="r"/>
        <c:majorTickMark val="none"/>
        <c:tickLblPos val="nextTo"/>
        <c:crossAx val="90026752"/>
        <c:crosses val="autoZero"/>
        <c:auto val="1"/>
        <c:lblAlgn val="ctr"/>
        <c:lblOffset val="100"/>
      </c:catAx>
      <c:valAx>
        <c:axId val="9002675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9002086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55"/>
          <c:h val="0.826423688056941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4.5236426459105834</c:v>
              </c:pt>
              <c:pt idx="1">
                <c:v>4.7159255092191259</c:v>
              </c:pt>
              <c:pt idx="2">
                <c:v>4.3836189141167283</c:v>
              </c:pt>
              <c:pt idx="3">
                <c:v>3.7907851780806792</c:v>
              </c:pt>
              <c:pt idx="4">
                <c:v>4.0749826315239375</c:v>
              </c:pt>
              <c:pt idx="5">
                <c:v>4.0802085446754095</c:v>
              </c:pt>
              <c:pt idx="6">
                <c:v>4.2305303994442083</c:v>
              </c:pt>
              <c:pt idx="7">
                <c:v>3.9185126436357587</c:v>
              </c:pt>
              <c:pt idx="8">
                <c:v>3.0468610706359014</c:v>
              </c:pt>
              <c:pt idx="9">
                <c:v>1.9621766850495839</c:v>
              </c:pt>
              <c:pt idx="10">
                <c:v>1.1123509846235271</c:v>
              </c:pt>
              <c:pt idx="11">
                <c:v>0.78680733595243757</c:v>
              </c:pt>
              <c:pt idx="12">
                <c:v>0.70150198892106208</c:v>
              </c:pt>
              <c:pt idx="13">
                <c:v>0.49922840929351936</c:v>
              </c:pt>
              <c:pt idx="14">
                <c:v>0.36627503058696226</c:v>
              </c:pt>
              <c:pt idx="15">
                <c:v>0.37549723026602971</c:v>
              </c:pt>
            </c:numLit>
          </c:val>
        </c:ser>
        <c:gapWidth val="0"/>
        <c:axId val="90033536"/>
        <c:axId val="103093376"/>
      </c:barChart>
      <c:catAx>
        <c:axId val="90033536"/>
        <c:scaling>
          <c:orientation val="minMax"/>
        </c:scaling>
        <c:delete val="1"/>
        <c:axPos val="l"/>
        <c:tickLblPos val="none"/>
        <c:crossAx val="103093376"/>
        <c:crosses val="autoZero"/>
        <c:auto val="1"/>
        <c:lblAlgn val="ctr"/>
        <c:lblOffset val="100"/>
      </c:catAx>
      <c:valAx>
        <c:axId val="10309337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9003353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57"/>
          <c:y val="5.1896207584830524E-2"/>
          <c:w val="0.71820056867891513"/>
          <c:h val="0.826423688056940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5.9207612021894587</c:v>
              </c:pt>
              <c:pt idx="1">
                <c:v>6.6412535388161844</c:v>
              </c:pt>
              <c:pt idx="2">
                <c:v>6.8730411727874312</c:v>
              </c:pt>
              <c:pt idx="3">
                <c:v>6.0743213526821513</c:v>
              </c:pt>
              <c:pt idx="4">
                <c:v>4.4553872365805445</c:v>
              </c:pt>
              <c:pt idx="5">
                <c:v>3.5490803908234887</c:v>
              </c:pt>
              <c:pt idx="6">
                <c:v>3.3605025711601382</c:v>
              </c:pt>
              <c:pt idx="7">
                <c:v>3.2275719921634685</c:v>
              </c:pt>
              <c:pt idx="8">
                <c:v>2.7252901450770142</c:v>
              </c:pt>
              <c:pt idx="9">
                <c:v>2.3746902740270017</c:v>
              </c:pt>
              <c:pt idx="10">
                <c:v>1.6774357098691859</c:v>
              </c:pt>
              <c:pt idx="11">
                <c:v>1.3092207879046318</c:v>
              </c:pt>
              <c:pt idx="12">
                <c:v>1.1906159255638733</c:v>
              </c:pt>
              <c:pt idx="13">
                <c:v>0.85493186188761516</c:v>
              </c:pt>
              <c:pt idx="14">
                <c:v>0.5323747877232935</c:v>
              </c:pt>
              <c:pt idx="15">
                <c:v>0.40514279908756562</c:v>
              </c:pt>
            </c:numLit>
          </c:val>
        </c:ser>
        <c:gapWidth val="0"/>
        <c:axId val="103025280"/>
        <c:axId val="103031168"/>
      </c:barChart>
      <c:catAx>
        <c:axId val="103025280"/>
        <c:scaling>
          <c:orientation val="minMax"/>
        </c:scaling>
        <c:axPos val="r"/>
        <c:majorTickMark val="none"/>
        <c:tickLblPos val="nextTo"/>
        <c:crossAx val="103031168"/>
        <c:crosses val="autoZero"/>
        <c:auto val="1"/>
        <c:lblAlgn val="ctr"/>
        <c:lblOffset val="100"/>
      </c:catAx>
      <c:valAx>
        <c:axId val="10303116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02528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77"/>
          <c:h val="0.826423688056940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5.6369950058430804</c:v>
              </c:pt>
              <c:pt idx="1">
                <c:v>6.216405081699409</c:v>
              </c:pt>
              <c:pt idx="2">
                <c:v>6.3854576424958651</c:v>
              </c:pt>
              <c:pt idx="3">
                <c:v>5.5616117596245562</c:v>
              </c:pt>
              <c:pt idx="4">
                <c:v>4.1011574646290354</c:v>
              </c:pt>
              <c:pt idx="5">
                <c:v>3.8195037930525553</c:v>
              </c:pt>
              <c:pt idx="6">
                <c:v>3.3491998049530998</c:v>
              </c:pt>
              <c:pt idx="7">
                <c:v>3.2804626661910432</c:v>
              </c:pt>
              <c:pt idx="8">
                <c:v>2.6246847356041214</c:v>
              </c:pt>
              <c:pt idx="9">
                <c:v>2.1709791564110312</c:v>
              </c:pt>
              <c:pt idx="10">
                <c:v>1.7318319582140187</c:v>
              </c:pt>
              <c:pt idx="11">
                <c:v>1.1804107280920342</c:v>
              </c:pt>
              <c:pt idx="12">
                <c:v>1.1680508565133105</c:v>
              </c:pt>
              <c:pt idx="13">
                <c:v>0.71399459483646344</c:v>
              </c:pt>
              <c:pt idx="14">
                <c:v>0.50899876542905953</c:v>
              </c:pt>
              <c:pt idx="15">
                <c:v>0.37859546067826061</c:v>
              </c:pt>
            </c:numLit>
          </c:val>
        </c:ser>
        <c:gapWidth val="0"/>
        <c:axId val="103037952"/>
        <c:axId val="103056128"/>
      </c:barChart>
      <c:catAx>
        <c:axId val="103037952"/>
        <c:scaling>
          <c:orientation val="minMax"/>
        </c:scaling>
        <c:delete val="1"/>
        <c:axPos val="l"/>
        <c:tickLblPos val="none"/>
        <c:crossAx val="103056128"/>
        <c:crosses val="autoZero"/>
        <c:auto val="1"/>
        <c:lblAlgn val="ctr"/>
        <c:lblOffset val="100"/>
      </c:catAx>
      <c:valAx>
        <c:axId val="10305612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03795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68"/>
          <c:y val="5.1896207584830524E-2"/>
          <c:w val="0.71820056867891513"/>
          <c:h val="0.8264236880569406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5.9269691438360406</c:v>
              </c:pt>
              <c:pt idx="1">
                <c:v>6.6447566028770817</c:v>
              </c:pt>
              <c:pt idx="2">
                <c:v>6.8752607542704931</c:v>
              </c:pt>
              <c:pt idx="3">
                <c:v>6.0871393457527985</c:v>
              </c:pt>
              <c:pt idx="4">
                <c:v>4.4558151516955755</c:v>
              </c:pt>
              <c:pt idx="5">
                <c:v>3.5321361556562798</c:v>
              </c:pt>
              <c:pt idx="6">
                <c:v>3.374432952385177</c:v>
              </c:pt>
              <c:pt idx="7">
                <c:v>3.2225089348240012</c:v>
              </c:pt>
              <c:pt idx="8">
                <c:v>2.7104688829680597</c:v>
              </c:pt>
              <c:pt idx="9">
                <c:v>2.350249299098802</c:v>
              </c:pt>
              <c:pt idx="10">
                <c:v>1.68721857517045</c:v>
              </c:pt>
              <c:pt idx="11">
                <c:v>1.3294226110710858</c:v>
              </c:pt>
              <c:pt idx="12">
                <c:v>1.1861645734376731</c:v>
              </c:pt>
              <c:pt idx="13">
                <c:v>1.794689040278056</c:v>
              </c:pt>
            </c:numLit>
          </c:val>
        </c:ser>
        <c:gapWidth val="0"/>
        <c:axId val="103062912"/>
        <c:axId val="103548032"/>
      </c:barChart>
      <c:catAx>
        <c:axId val="103062912"/>
        <c:scaling>
          <c:orientation val="minMax"/>
        </c:scaling>
        <c:axPos val="r"/>
        <c:majorTickMark val="none"/>
        <c:tickLblPos val="nextTo"/>
        <c:crossAx val="103548032"/>
        <c:crosses val="autoZero"/>
        <c:auto val="1"/>
        <c:lblAlgn val="ctr"/>
        <c:lblOffset val="100"/>
      </c:catAx>
      <c:valAx>
        <c:axId val="10354803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06291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"/>
          <c:h val="0.8264236880569406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5.6362551128476994</c:v>
              </c:pt>
              <c:pt idx="1">
                <c:v>6.2155450160435377</c:v>
              </c:pt>
              <c:pt idx="2">
                <c:v>6.3857273423560885</c:v>
              </c:pt>
              <c:pt idx="3">
                <c:v>5.5702296652599124</c:v>
              </c:pt>
              <c:pt idx="4">
                <c:v>4.0713201892074791</c:v>
              </c:pt>
              <c:pt idx="5">
                <c:v>3.8296326837719827</c:v>
              </c:pt>
              <c:pt idx="6">
                <c:v>3.3929627289398803</c:v>
              </c:pt>
              <c:pt idx="7">
                <c:v>3.2493268752915476</c:v>
              </c:pt>
              <c:pt idx="8">
                <c:v>2.6488135072863672</c:v>
              </c:pt>
              <c:pt idx="9">
                <c:v>2.1582362037158771</c:v>
              </c:pt>
              <c:pt idx="10">
                <c:v>1.7178342662473598</c:v>
              </c:pt>
              <c:pt idx="11">
                <c:v>1.1767863403558381</c:v>
              </c:pt>
              <c:pt idx="12">
                <c:v>1.1663292326535746</c:v>
              </c:pt>
              <c:pt idx="13">
                <c:v>1.6037688127012788</c:v>
              </c:pt>
            </c:numLit>
          </c:val>
        </c:ser>
        <c:gapWidth val="0"/>
        <c:axId val="103579648"/>
        <c:axId val="103581184"/>
      </c:barChart>
      <c:catAx>
        <c:axId val="103579648"/>
        <c:scaling>
          <c:orientation val="minMax"/>
        </c:scaling>
        <c:delete val="1"/>
        <c:axPos val="l"/>
        <c:tickLblPos val="none"/>
        <c:crossAx val="103581184"/>
        <c:crosses val="autoZero"/>
        <c:auto val="1"/>
        <c:lblAlgn val="ctr"/>
        <c:lblOffset val="100"/>
      </c:catAx>
      <c:valAx>
        <c:axId val="10358118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57964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76"/>
          <c:y val="5.1896207584830524E-2"/>
          <c:w val="0.71820056867891513"/>
          <c:h val="0.826423688056940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8.6688628647866501</c:v>
              </c:pt>
              <c:pt idx="1">
                <c:v>7.7123884441199664</c:v>
              </c:pt>
              <c:pt idx="2">
                <c:v>6.7477353658195405</c:v>
              </c:pt>
              <c:pt idx="3">
                <c:v>6.1020805439835755</c:v>
              </c:pt>
              <c:pt idx="4">
                <c:v>4.9348159150066069</c:v>
              </c:pt>
              <c:pt idx="5">
                <c:v>3.2521122026122855</c:v>
              </c:pt>
              <c:pt idx="6">
                <c:v>3.2513224968976502</c:v>
              </c:pt>
              <c:pt idx="7">
                <c:v>2.2791090576858002</c:v>
              </c:pt>
              <c:pt idx="8">
                <c:v>1.8185453388109933</c:v>
              </c:pt>
              <c:pt idx="9">
                <c:v>1.5057545365685481</c:v>
              </c:pt>
              <c:pt idx="10">
                <c:v>1.0264521417829111</c:v>
              </c:pt>
              <c:pt idx="11">
                <c:v>1.0779605439762321</c:v>
              </c:pt>
              <c:pt idx="12">
                <c:v>0.73754840697073865</c:v>
              </c:pt>
              <c:pt idx="13">
                <c:v>0.5465192067755037</c:v>
              </c:pt>
              <c:pt idx="14">
                <c:v>0.47296026206965908</c:v>
              </c:pt>
              <c:pt idx="15">
                <c:v>0.63235225968168562</c:v>
              </c:pt>
            </c:numLit>
          </c:val>
        </c:ser>
        <c:gapWidth val="0"/>
        <c:axId val="103649664"/>
        <c:axId val="103651200"/>
      </c:barChart>
      <c:catAx>
        <c:axId val="103649664"/>
        <c:scaling>
          <c:orientation val="minMax"/>
        </c:scaling>
        <c:axPos val="r"/>
        <c:majorTickMark val="none"/>
        <c:tickLblPos val="nextTo"/>
        <c:crossAx val="103651200"/>
        <c:crosses val="autoZero"/>
        <c:auto val="1"/>
        <c:lblAlgn val="ctr"/>
        <c:lblOffset val="100"/>
      </c:catAx>
      <c:valAx>
        <c:axId val="10365120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64966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22"/>
          <c:h val="0.826423688056940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8.2567527949919697</c:v>
              </c:pt>
              <c:pt idx="1">
                <c:v>7.3976203167160675</c:v>
              </c:pt>
              <c:pt idx="2">
                <c:v>6.4042868409500242</c:v>
              </c:pt>
              <c:pt idx="3">
                <c:v>5.5850191968888794</c:v>
              </c:pt>
              <c:pt idx="4">
                <c:v>4.3336478484284155</c:v>
              </c:pt>
              <c:pt idx="5">
                <c:v>2.9821614049513592</c:v>
              </c:pt>
              <c:pt idx="6">
                <c:v>2.9848304878318284</c:v>
              </c:pt>
              <c:pt idx="7">
                <c:v>2.2591093013314412</c:v>
              </c:pt>
              <c:pt idx="8">
                <c:v>1.6146237336931126</c:v>
              </c:pt>
              <c:pt idx="9">
                <c:v>1.2930420988443418</c:v>
              </c:pt>
              <c:pt idx="10">
                <c:v>1.0378875702708001</c:v>
              </c:pt>
              <c:pt idx="11">
                <c:v>1.1011864624361181</c:v>
              </c:pt>
              <c:pt idx="12">
                <c:v>0.90030124518225718</c:v>
              </c:pt>
              <c:pt idx="13">
                <c:v>0.60118643182736653</c:v>
              </c:pt>
              <c:pt idx="14">
                <c:v>0.49008279605286947</c:v>
              </c:pt>
              <c:pt idx="15">
                <c:v>0.72583137799545661</c:v>
              </c:pt>
            </c:numLit>
          </c:val>
        </c:ser>
        <c:gapWidth val="0"/>
        <c:axId val="103781120"/>
        <c:axId val="103782656"/>
      </c:barChart>
      <c:catAx>
        <c:axId val="103781120"/>
        <c:scaling>
          <c:orientation val="minMax"/>
        </c:scaling>
        <c:delete val="1"/>
        <c:axPos val="l"/>
        <c:tickLblPos val="none"/>
        <c:crossAx val="103782656"/>
        <c:crosses val="autoZero"/>
        <c:auto val="1"/>
        <c:lblAlgn val="ctr"/>
        <c:lblOffset val="100"/>
      </c:catAx>
      <c:valAx>
        <c:axId val="10378265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78112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82"/>
          <c:y val="5.1896207584830524E-2"/>
          <c:w val="0.71820056867891513"/>
          <c:h val="0.826423688056940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8.671985123633748</c:v>
              </c:pt>
              <c:pt idx="1">
                <c:v>7.6753482361893486</c:v>
              </c:pt>
              <c:pt idx="2">
                <c:v>6.4638947114982486</c:v>
              </c:pt>
              <c:pt idx="3">
                <c:v>5.8669222748328469</c:v>
              </c:pt>
              <c:pt idx="4">
                <c:v>4.6233136129673609</c:v>
              </c:pt>
              <c:pt idx="5">
                <c:v>3.8527379085525859</c:v>
              </c:pt>
              <c:pt idx="6">
                <c:v>3.0880997234721712</c:v>
              </c:pt>
              <c:pt idx="7">
                <c:v>1.8774445207083803</c:v>
              </c:pt>
              <c:pt idx="8">
                <c:v>1.9478238560727168</c:v>
              </c:pt>
              <c:pt idx="9">
                <c:v>1.4852189787974768</c:v>
              </c:pt>
              <c:pt idx="10">
                <c:v>1.1968251825571739</c:v>
              </c:pt>
              <c:pt idx="11">
                <c:v>0.97551764373105709</c:v>
              </c:pt>
              <c:pt idx="12">
                <c:v>0.61164160207970653</c:v>
              </c:pt>
              <c:pt idx="13">
                <c:v>0.55985046704554364</c:v>
              </c:pt>
              <c:pt idx="14">
                <c:v>0.37200441036577603</c:v>
              </c:pt>
              <c:pt idx="15">
                <c:v>0.56866375968623051</c:v>
              </c:pt>
            </c:numLit>
          </c:val>
        </c:ser>
        <c:gapWidth val="0"/>
        <c:axId val="103809792"/>
        <c:axId val="103811328"/>
      </c:barChart>
      <c:catAx>
        <c:axId val="103809792"/>
        <c:scaling>
          <c:orientation val="minMax"/>
        </c:scaling>
        <c:axPos val="r"/>
        <c:majorTickMark val="none"/>
        <c:tickLblPos val="nextTo"/>
        <c:crossAx val="103811328"/>
        <c:crosses val="autoZero"/>
        <c:auto val="1"/>
        <c:lblAlgn val="ctr"/>
        <c:lblOffset val="100"/>
      </c:catAx>
      <c:valAx>
        <c:axId val="10381132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80979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44"/>
          <c:h val="0.826423688056940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8.4691750667369927</c:v>
              </c:pt>
              <c:pt idx="1">
                <c:v>7.3995642976644875</c:v>
              </c:pt>
              <c:pt idx="2">
                <c:v>6.2000220990024424</c:v>
              </c:pt>
              <c:pt idx="3">
                <c:v>5.6552399583348505</c:v>
              </c:pt>
              <c:pt idx="4">
                <c:v>4.6650894365498266</c:v>
              </c:pt>
              <c:pt idx="5">
                <c:v>3.9692974458597119</c:v>
              </c:pt>
              <c:pt idx="6">
                <c:v>3.2217551434158129</c:v>
              </c:pt>
              <c:pt idx="7">
                <c:v>2.2055775124325181</c:v>
              </c:pt>
              <c:pt idx="8">
                <c:v>2.0620383227183732</c:v>
              </c:pt>
              <c:pt idx="9">
                <c:v>1.5888874313465895</c:v>
              </c:pt>
              <c:pt idx="10">
                <c:v>1.163998729216642</c:v>
              </c:pt>
              <c:pt idx="11">
                <c:v>0.94862417380484465</c:v>
              </c:pt>
              <c:pt idx="12">
                <c:v>0.71087846074823469</c:v>
              </c:pt>
              <c:pt idx="13">
                <c:v>0.66695261106608683</c:v>
              </c:pt>
              <c:pt idx="14">
                <c:v>0.50394071661368189</c:v>
              </c:pt>
              <c:pt idx="15">
                <c:v>0.73166658229855464</c:v>
              </c:pt>
            </c:numLit>
          </c:val>
        </c:ser>
        <c:gapWidth val="0"/>
        <c:axId val="103859328"/>
        <c:axId val="103860864"/>
      </c:barChart>
      <c:catAx>
        <c:axId val="103859328"/>
        <c:scaling>
          <c:orientation val="minMax"/>
        </c:scaling>
        <c:delete val="1"/>
        <c:axPos val="l"/>
        <c:tickLblPos val="none"/>
        <c:crossAx val="103860864"/>
        <c:crosses val="autoZero"/>
        <c:auto val="1"/>
        <c:lblAlgn val="ctr"/>
        <c:lblOffset val="100"/>
      </c:catAx>
      <c:valAx>
        <c:axId val="10386086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8593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12"/>
          <c:y val="5.1896207584830524E-2"/>
          <c:w val="0.71820056867891513"/>
          <c:h val="0.826423688056939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4.534221715304783</c:v>
              </c:pt>
              <c:pt idx="1">
                <c:v>4.4307868480446526</c:v>
              </c:pt>
              <c:pt idx="2">
                <c:v>3.9507195994257978</c:v>
              </c:pt>
              <c:pt idx="3">
                <c:v>3.6800749070841259</c:v>
              </c:pt>
              <c:pt idx="4">
                <c:v>5.1804503086407045</c:v>
              </c:pt>
              <c:pt idx="5">
                <c:v>8.0112561205041199</c:v>
              </c:pt>
              <c:pt idx="6">
                <c:v>7.855989854356932</c:v>
              </c:pt>
              <c:pt idx="7">
                <c:v>7.0487055598178445</c:v>
              </c:pt>
              <c:pt idx="8">
                <c:v>5.2398034144902939</c:v>
              </c:pt>
              <c:pt idx="9">
                <c:v>3.8609149769038007</c:v>
              </c:pt>
              <c:pt idx="10">
                <c:v>2.4577747326261195</c:v>
              </c:pt>
              <c:pt idx="11">
                <c:v>1.3805751233901873</c:v>
              </c:pt>
              <c:pt idx="12">
                <c:v>0.75153249081098128</c:v>
              </c:pt>
              <c:pt idx="13">
                <c:v>0.8949463702293573</c:v>
              </c:pt>
            </c:numLit>
          </c:val>
        </c:ser>
        <c:gapWidth val="0"/>
        <c:axId val="103679488"/>
        <c:axId val="103681024"/>
      </c:barChart>
      <c:catAx>
        <c:axId val="103679488"/>
        <c:scaling>
          <c:orientation val="minMax"/>
        </c:scaling>
        <c:axPos val="r"/>
        <c:majorTickMark val="none"/>
        <c:tickLblPos val="nextTo"/>
        <c:crossAx val="103681024"/>
        <c:crosses val="autoZero"/>
        <c:auto val="1"/>
        <c:lblAlgn val="ctr"/>
        <c:lblOffset val="100"/>
      </c:catAx>
      <c:valAx>
        <c:axId val="10368102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67948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33"/>
          <c:h val="0.826423688056939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4.2262875908701982</c:v>
              </c:pt>
              <c:pt idx="1">
                <c:v>4.1396284094416371</c:v>
              </c:pt>
              <c:pt idx="2">
                <c:v>3.6570539251685807</c:v>
              </c:pt>
              <c:pt idx="3">
                <c:v>3.433590849228068</c:v>
              </c:pt>
              <c:pt idx="4">
                <c:v>3.9442463728277648</c:v>
              </c:pt>
              <c:pt idx="5">
                <c:v>4.7693092474600567</c:v>
              </c:pt>
              <c:pt idx="6">
                <c:v>4.4282340262876785</c:v>
              </c:pt>
              <c:pt idx="7">
                <c:v>3.7947239556337808</c:v>
              </c:pt>
              <c:pt idx="8">
                <c:v>2.8659526971245577</c:v>
              </c:pt>
              <c:pt idx="9">
                <c:v>2.0158630520534033</c:v>
              </c:pt>
              <c:pt idx="10">
                <c:v>1.2909528452793995</c:v>
              </c:pt>
              <c:pt idx="11">
                <c:v>0.8328125121088108</c:v>
              </c:pt>
              <c:pt idx="12">
                <c:v>0.54010414601046386</c:v>
              </c:pt>
              <c:pt idx="13">
                <c:v>0.78348834887591179</c:v>
              </c:pt>
            </c:numLit>
          </c:val>
        </c:ser>
        <c:gapWidth val="0"/>
        <c:axId val="103729024"/>
        <c:axId val="103730560"/>
      </c:barChart>
      <c:catAx>
        <c:axId val="103729024"/>
        <c:scaling>
          <c:orientation val="minMax"/>
        </c:scaling>
        <c:delete val="1"/>
        <c:axPos val="l"/>
        <c:tickLblPos val="none"/>
        <c:crossAx val="103730560"/>
        <c:crosses val="autoZero"/>
        <c:auto val="1"/>
        <c:lblAlgn val="ctr"/>
        <c:lblOffset val="100"/>
      </c:catAx>
      <c:valAx>
        <c:axId val="10373056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72902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29"/>
          <c:y val="5.1896207584830524E-2"/>
          <c:w val="0.71820056867891513"/>
          <c:h val="0.826423688056938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5.2704720364488438</c:v>
              </c:pt>
              <c:pt idx="1">
                <c:v>5.6970328710299318</c:v>
              </c:pt>
              <c:pt idx="2">
                <c:v>6.2901596238916824</c:v>
              </c:pt>
              <c:pt idx="3">
                <c:v>5.8333529134083797</c:v>
              </c:pt>
              <c:pt idx="4">
                <c:v>5.5952734410878406</c:v>
              </c:pt>
              <c:pt idx="5">
                <c:v>5.9050800682668205</c:v>
              </c:pt>
              <c:pt idx="6">
                <c:v>5.3231887184591695</c:v>
              </c:pt>
              <c:pt idx="7">
                <c:v>4.4488778480999045</c:v>
              </c:pt>
              <c:pt idx="8">
                <c:v>3.7837676193975263</c:v>
              </c:pt>
              <c:pt idx="9">
                <c:v>2.7442578759961811</c:v>
              </c:pt>
              <c:pt idx="10">
                <c:v>1.8706732484198878</c:v>
              </c:pt>
              <c:pt idx="11">
                <c:v>1.0527102739857701</c:v>
              </c:pt>
              <c:pt idx="12">
                <c:v>0.88537539275850563</c:v>
              </c:pt>
              <c:pt idx="13">
                <c:v>0.48970123653513714</c:v>
              </c:pt>
              <c:pt idx="14">
                <c:v>0.4078494028789118</c:v>
              </c:pt>
              <c:pt idx="15">
                <c:v>0.47679974709663075</c:v>
              </c:pt>
            </c:numLit>
          </c:val>
        </c:ser>
        <c:gapWidth val="0"/>
        <c:axId val="103708928"/>
        <c:axId val="104026112"/>
      </c:barChart>
      <c:catAx>
        <c:axId val="103708928"/>
        <c:scaling>
          <c:orientation val="minMax"/>
        </c:scaling>
        <c:axPos val="r"/>
        <c:majorTickMark val="none"/>
        <c:tickLblPos val="nextTo"/>
        <c:crossAx val="104026112"/>
        <c:crosses val="autoZero"/>
        <c:auto val="1"/>
        <c:lblAlgn val="ctr"/>
        <c:lblOffset val="100"/>
      </c:catAx>
      <c:valAx>
        <c:axId val="10402611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70892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77"/>
          <c:h val="0.826423688056938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5.1001467437623234</c:v>
              </c:pt>
              <c:pt idx="1">
                <c:v>5.4495976828583448</c:v>
              </c:pt>
              <c:pt idx="2">
                <c:v>6.0226459587793055</c:v>
              </c:pt>
              <c:pt idx="3">
                <c:v>5.5625070755271055</c:v>
              </c:pt>
              <c:pt idx="4">
                <c:v>5.202931457633345</c:v>
              </c:pt>
              <c:pt idx="5">
                <c:v>4.1547068008364301</c:v>
              </c:pt>
              <c:pt idx="6">
                <c:v>2.9590121389345163</c:v>
              </c:pt>
              <c:pt idx="7">
                <c:v>2.4059568996268377</c:v>
              </c:pt>
              <c:pt idx="8">
                <c:v>1.8813105691821046</c:v>
              </c:pt>
              <c:pt idx="9">
                <c:v>1.4296302783432258</c:v>
              </c:pt>
              <c:pt idx="10">
                <c:v>1.1041880712486931</c:v>
              </c:pt>
              <c:pt idx="11">
                <c:v>0.72346597232160592</c:v>
              </c:pt>
              <c:pt idx="12">
                <c:v>0.67818259879571852</c:v>
              </c:pt>
              <c:pt idx="13">
                <c:v>0.3676497288337609</c:v>
              </c:pt>
              <c:pt idx="14">
                <c:v>0.35825129281895407</c:v>
              </c:pt>
              <c:pt idx="15">
                <c:v>0.48564282098329031</c:v>
              </c:pt>
            </c:numLit>
          </c:val>
        </c:ser>
        <c:gapWidth val="0"/>
        <c:axId val="104069760"/>
        <c:axId val="103944576"/>
      </c:barChart>
      <c:catAx>
        <c:axId val="104069760"/>
        <c:scaling>
          <c:orientation val="minMax"/>
        </c:scaling>
        <c:delete val="1"/>
        <c:axPos val="l"/>
        <c:tickLblPos val="none"/>
        <c:crossAx val="103944576"/>
        <c:crosses val="autoZero"/>
        <c:auto val="1"/>
        <c:lblAlgn val="ctr"/>
        <c:lblOffset val="100"/>
      </c:catAx>
      <c:valAx>
        <c:axId val="10394457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06976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37"/>
          <c:y val="5.1896207584830524E-2"/>
          <c:w val="0.71820056867891513"/>
          <c:h val="0.826423688056938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9.4237583643422749</c:v>
              </c:pt>
              <c:pt idx="1">
                <c:v>8.3253865115047816</c:v>
              </c:pt>
              <c:pt idx="2">
                <c:v>6.3534215920626433</c:v>
              </c:pt>
              <c:pt idx="3">
                <c:v>5.4098734312474033</c:v>
              </c:pt>
              <c:pt idx="4">
                <c:v>4.7014820102019126</c:v>
              </c:pt>
              <c:pt idx="5">
                <c:v>3.8037890292731324</c:v>
              </c:pt>
              <c:pt idx="6">
                <c:v>3.3130655744447028</c:v>
              </c:pt>
              <c:pt idx="7">
                <c:v>2.4762950244631292</c:v>
              </c:pt>
              <c:pt idx="8">
                <c:v>1.7059818139817173</c:v>
              </c:pt>
              <c:pt idx="9">
                <c:v>1.340677849488159</c:v>
              </c:pt>
              <c:pt idx="10">
                <c:v>1.002856243434503</c:v>
              </c:pt>
              <c:pt idx="11">
                <c:v>0.67641194940632343</c:v>
              </c:pt>
              <c:pt idx="12">
                <c:v>0.72207494496801861</c:v>
              </c:pt>
              <c:pt idx="13">
                <c:v>0.56713594235085263</c:v>
              </c:pt>
              <c:pt idx="14">
                <c:v>0.42053773942803629</c:v>
              </c:pt>
              <c:pt idx="15">
                <c:v>0.55306804977881507</c:v>
              </c:pt>
            </c:numLit>
          </c:val>
        </c:ser>
        <c:gapWidth val="0"/>
        <c:axId val="103717888"/>
        <c:axId val="103977728"/>
      </c:barChart>
      <c:catAx>
        <c:axId val="103717888"/>
        <c:scaling>
          <c:orientation val="minMax"/>
        </c:scaling>
        <c:axPos val="r"/>
        <c:majorTickMark val="none"/>
        <c:tickLblPos val="nextTo"/>
        <c:crossAx val="103977728"/>
        <c:crosses val="autoZero"/>
        <c:auto val="1"/>
        <c:lblAlgn val="ctr"/>
        <c:lblOffset val="100"/>
      </c:catAx>
      <c:valAx>
        <c:axId val="10397772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371788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99"/>
          <c:h val="0.826423688056938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8.9787363419405004</c:v>
              </c:pt>
              <c:pt idx="1">
                <c:v>7.9276802698575253</c:v>
              </c:pt>
              <c:pt idx="2">
                <c:v>6.0068363808001823</c:v>
              </c:pt>
              <c:pt idx="3">
                <c:v>5.096882039952046</c:v>
              </c:pt>
              <c:pt idx="4">
                <c:v>4.3948327016234545</c:v>
              </c:pt>
              <c:pt idx="5">
                <c:v>3.5339238004527096</c:v>
              </c:pt>
              <c:pt idx="6">
                <c:v>3.0429697244345837</c:v>
              </c:pt>
              <c:pt idx="7">
                <c:v>2.2810357505124723</c:v>
              </c:pt>
              <c:pt idx="8">
                <c:v>1.7021381274866261</c:v>
              </c:pt>
              <c:pt idx="9">
                <c:v>1.2865203067723066</c:v>
              </c:pt>
              <c:pt idx="10">
                <c:v>1.149531320087221</c:v>
              </c:pt>
              <c:pt idx="11">
                <c:v>0.93732138869318338</c:v>
              </c:pt>
              <c:pt idx="12">
                <c:v>0.88854500707046169</c:v>
              </c:pt>
              <c:pt idx="13">
                <c:v>0.75697561834346017</c:v>
              </c:pt>
              <c:pt idx="14">
                <c:v>0.53838516736756259</c:v>
              </c:pt>
              <c:pt idx="15">
                <c:v>0.63163300173850134</c:v>
              </c:pt>
            </c:numLit>
          </c:val>
        </c:ser>
        <c:gapWidth val="0"/>
        <c:axId val="104000896"/>
        <c:axId val="104150144"/>
      </c:barChart>
      <c:catAx>
        <c:axId val="104000896"/>
        <c:scaling>
          <c:orientation val="minMax"/>
        </c:scaling>
        <c:delete val="1"/>
        <c:axPos val="l"/>
        <c:tickLblPos val="none"/>
        <c:crossAx val="104150144"/>
        <c:crosses val="autoZero"/>
        <c:auto val="1"/>
        <c:lblAlgn val="ctr"/>
        <c:lblOffset val="100"/>
      </c:catAx>
      <c:valAx>
        <c:axId val="1041501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00089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46"/>
          <c:y val="5.1896207584830524E-2"/>
          <c:w val="0.71820056867891513"/>
          <c:h val="0.826423688056938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</c:strLit>
          </c:cat>
          <c:val>
            <c:numLit>
              <c:formatCode>0</c:formatCode>
              <c:ptCount val="16"/>
              <c:pt idx="0">
                <c:v>8.0089839438101134</c:v>
              </c:pt>
              <c:pt idx="1">
                <c:v>7.3155446049185056</c:v>
              </c:pt>
              <c:pt idx="2">
                <c:v>6.764939670045405</c:v>
              </c:pt>
              <c:pt idx="3">
                <c:v>5.8256097727167395</c:v>
              </c:pt>
              <c:pt idx="4">
                <c:v>4.4583882757925224</c:v>
              </c:pt>
              <c:pt idx="5">
                <c:v>3.6891678636355012</c:v>
              </c:pt>
              <c:pt idx="6">
                <c:v>3.1371854379543151</c:v>
              </c:pt>
              <c:pt idx="7">
                <c:v>2.6143118405882819</c:v>
              </c:pt>
              <c:pt idx="8">
                <c:v>2.2528456060114577</c:v>
              </c:pt>
              <c:pt idx="9">
                <c:v>1.7312377520789068</c:v>
              </c:pt>
              <c:pt idx="10">
                <c:v>1.1905745177828231</c:v>
              </c:pt>
              <c:pt idx="11">
                <c:v>0.91560947290671502</c:v>
              </c:pt>
              <c:pt idx="12">
                <c:v>0.66365184969160707</c:v>
              </c:pt>
              <c:pt idx="13">
                <c:v>0.48232892430887203</c:v>
              </c:pt>
              <c:pt idx="14">
                <c:v>0.40100627148070817</c:v>
              </c:pt>
              <c:pt idx="15">
                <c:v>0.2885033755883773</c:v>
              </c:pt>
            </c:numLit>
          </c:val>
        </c:ser>
        <c:gapWidth val="0"/>
        <c:axId val="104071168"/>
        <c:axId val="104072704"/>
      </c:barChart>
      <c:catAx>
        <c:axId val="104071168"/>
        <c:scaling>
          <c:orientation val="minMax"/>
        </c:scaling>
        <c:axPos val="r"/>
        <c:majorTickMark val="none"/>
        <c:tickLblPos val="nextTo"/>
        <c:crossAx val="104072704"/>
        <c:crosses val="autoZero"/>
        <c:auto val="1"/>
        <c:lblAlgn val="ctr"/>
        <c:lblOffset val="100"/>
      </c:catAx>
      <c:valAx>
        <c:axId val="10407270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07116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22"/>
          <c:h val="0.826423688056938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7.7378844859212004</c:v>
              </c:pt>
              <c:pt idx="1">
                <c:v>7.0583882757925211</c:v>
              </c:pt>
              <c:pt idx="2">
                <c:v>6.4882318022125993</c:v>
              </c:pt>
              <c:pt idx="3">
                <c:v>5.6022890223194945</c:v>
              </c:pt>
              <c:pt idx="4">
                <c:v>4.2872454817265924</c:v>
              </c:pt>
              <c:pt idx="5">
                <c:v>3.5704136560742867</c:v>
              </c:pt>
              <c:pt idx="6">
                <c:v>3.0607527412176219</c:v>
              </c:pt>
              <c:pt idx="7">
                <c:v>2.5159050310848374</c:v>
              </c:pt>
              <c:pt idx="8">
                <c:v>2.1560217934635966</c:v>
              </c:pt>
              <c:pt idx="9">
                <c:v>1.6501947402418653</c:v>
              </c:pt>
              <c:pt idx="10">
                <c:v>1.1804811678418368</c:v>
              </c:pt>
              <c:pt idx="11">
                <c:v>0.87174050624286492</c:v>
              </c:pt>
              <c:pt idx="12">
                <c:v>0.71250060643392465</c:v>
              </c:pt>
              <c:pt idx="13">
                <c:v>0.55229760778852122</c:v>
              </c:pt>
              <c:pt idx="14">
                <c:v>0.45273800146634363</c:v>
              </c:pt>
              <c:pt idx="15">
                <c:v>0.33082892022055377</c:v>
              </c:pt>
            </c:numLit>
          </c:val>
        </c:ser>
        <c:gapWidth val="0"/>
        <c:axId val="104092032"/>
        <c:axId val="104093568"/>
      </c:barChart>
      <c:catAx>
        <c:axId val="104092032"/>
        <c:scaling>
          <c:orientation val="minMax"/>
        </c:scaling>
        <c:delete val="1"/>
        <c:axPos val="l"/>
        <c:tickLblPos val="none"/>
        <c:crossAx val="104093568"/>
        <c:crosses val="autoZero"/>
        <c:auto val="1"/>
        <c:lblAlgn val="ctr"/>
        <c:lblOffset val="100"/>
      </c:catAx>
      <c:valAx>
        <c:axId val="10409356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09203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1"/>
          <c:y val="5.1896207584830524E-2"/>
          <c:w val="0.71820056867891513"/>
          <c:h val="0.826423688056938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4.0400306977281799</c:v>
              </c:pt>
              <c:pt idx="1">
                <c:v>3.8197435852634767</c:v>
              </c:pt>
              <c:pt idx="2">
                <c:v>3.5868225566476601</c:v>
              </c:pt>
              <c:pt idx="3">
                <c:v>2.9820074217537167</c:v>
              </c:pt>
              <c:pt idx="4">
                <c:v>5.3621565826063069</c:v>
              </c:pt>
              <c:pt idx="5">
                <c:v>7.993908839574801</c:v>
              </c:pt>
              <c:pt idx="6">
                <c:v>9.0017996610347186</c:v>
              </c:pt>
              <c:pt idx="7">
                <c:v>8.2824728606008637</c:v>
              </c:pt>
              <c:pt idx="8">
                <c:v>7.6095152205088645</c:v>
              </c:pt>
              <c:pt idx="9">
                <c:v>6.2481435535442884</c:v>
              </c:pt>
              <c:pt idx="10">
                <c:v>3.9968872181057447</c:v>
              </c:pt>
              <c:pt idx="11">
                <c:v>2.1196754427582767</c:v>
              </c:pt>
              <c:pt idx="12">
                <c:v>0.90964196288048138</c:v>
              </c:pt>
              <c:pt idx="13">
                <c:v>0.37700143408388681</c:v>
              </c:pt>
              <c:pt idx="14">
                <c:v>0.21759904519850759</c:v>
              </c:pt>
              <c:pt idx="15">
                <c:v>0.16800420413720502</c:v>
              </c:pt>
            </c:numLit>
          </c:val>
        </c:ser>
        <c:gapWidth val="0"/>
        <c:axId val="104284928"/>
        <c:axId val="104286464"/>
      </c:barChart>
      <c:catAx>
        <c:axId val="104284928"/>
        <c:scaling>
          <c:orientation val="minMax"/>
        </c:scaling>
        <c:axPos val="r"/>
        <c:majorTickMark val="none"/>
        <c:tickLblPos val="nextTo"/>
        <c:crossAx val="104286464"/>
        <c:crosses val="autoZero"/>
        <c:auto val="1"/>
        <c:lblAlgn val="ctr"/>
        <c:lblOffset val="100"/>
      </c:catAx>
      <c:valAx>
        <c:axId val="10428646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28492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44"/>
          <c:h val="0.826423688056938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3.8290174173318507</c:v>
              </c:pt>
              <c:pt idx="1">
                <c:v>3.738295147097761</c:v>
              </c:pt>
              <c:pt idx="2">
                <c:v>3.5145135471870157</c:v>
              </c:pt>
              <c:pt idx="3">
                <c:v>2.688604879648508</c:v>
              </c:pt>
              <c:pt idx="4">
                <c:v>2.6438485596663592</c:v>
              </c:pt>
              <c:pt idx="5">
                <c:v>3.3030970567007492</c:v>
              </c:pt>
              <c:pt idx="6">
                <c:v>3.7408488110006468</c:v>
              </c:pt>
              <c:pt idx="7">
                <c:v>3.1951711559630072</c:v>
              </c:pt>
              <c:pt idx="8">
                <c:v>2.5886087773460442</c:v>
              </c:pt>
              <c:pt idx="9">
                <c:v>1.6976488819656241</c:v>
              </c:pt>
              <c:pt idx="10">
                <c:v>1.0234816116038488</c:v>
              </c:pt>
              <c:pt idx="11">
                <c:v>0.5515914030232697</c:v>
              </c:pt>
              <c:pt idx="12">
                <c:v>0.31705753404773201</c:v>
              </c:pt>
              <c:pt idx="13">
                <c:v>0.20214265841788426</c:v>
              </c:pt>
              <c:pt idx="14">
                <c:v>0.12432311106153168</c:v>
              </c:pt>
              <c:pt idx="15">
                <c:v>0.12633916151117774</c:v>
              </c:pt>
            </c:numLit>
          </c:val>
        </c:ser>
        <c:gapWidth val="0"/>
        <c:axId val="104318080"/>
        <c:axId val="104319616"/>
      </c:barChart>
      <c:catAx>
        <c:axId val="104318080"/>
        <c:scaling>
          <c:orientation val="minMax"/>
        </c:scaling>
        <c:delete val="1"/>
        <c:axPos val="l"/>
        <c:tickLblPos val="none"/>
        <c:crossAx val="104319616"/>
        <c:crosses val="autoZero"/>
        <c:auto val="1"/>
        <c:lblAlgn val="ctr"/>
        <c:lblOffset val="100"/>
      </c:catAx>
      <c:valAx>
        <c:axId val="10431961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31808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7"/>
          <c:y val="5.1896207584830524E-2"/>
          <c:w val="0.71820056867891513"/>
          <c:h val="0.82642368805693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5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70-74</c:v>
              </c:pt>
            </c:strLit>
          </c:cat>
          <c:val>
            <c:numLit>
              <c:formatCode>0</c:formatCode>
              <c:ptCount val="15"/>
              <c:pt idx="0">
                <c:v>2.6972493799409798</c:v>
              </c:pt>
              <c:pt idx="1">
                <c:v>2.3541353449823101</c:v>
              </c:pt>
              <c:pt idx="2">
                <c:v>1.9591805511831881</c:v>
              </c:pt>
              <c:pt idx="3">
                <c:v>1.9928976395096021</c:v>
              </c:pt>
              <c:pt idx="4">
                <c:v>9.0577750840720519</c:v>
              </c:pt>
              <c:pt idx="5">
                <c:v>12.920470627002503</c:v>
              </c:pt>
              <c:pt idx="6">
                <c:v>12.726464972181954</c:v>
              </c:pt>
              <c:pt idx="7">
                <c:v>11.433976586336049</c:v>
              </c:pt>
              <c:pt idx="8">
                <c:v>8.7616766748948915</c:v>
              </c:pt>
              <c:pt idx="9">
                <c:v>5.6305772212529455</c:v>
              </c:pt>
              <c:pt idx="10">
                <c:v>3.2217178062120748</c:v>
              </c:pt>
              <c:pt idx="11">
                <c:v>1.7256911855999126</c:v>
              </c:pt>
              <c:pt idx="12">
                <c:v>0.6366821914342119</c:v>
              </c:pt>
              <c:pt idx="13">
                <c:v>0.2397855757943082</c:v>
              </c:pt>
              <c:pt idx="14">
                <c:v>0.12404122546611145</c:v>
              </c:pt>
            </c:numLit>
          </c:val>
        </c:ser>
        <c:gapWidth val="0"/>
        <c:axId val="104203776"/>
        <c:axId val="104205312"/>
      </c:barChart>
      <c:catAx>
        <c:axId val="104203776"/>
        <c:scaling>
          <c:orientation val="minMax"/>
        </c:scaling>
        <c:axPos val="r"/>
        <c:majorTickMark val="none"/>
        <c:tickLblPos val="nextTo"/>
        <c:crossAx val="104205312"/>
        <c:crosses val="autoZero"/>
        <c:auto val="1"/>
        <c:lblAlgn val="ctr"/>
        <c:lblOffset val="100"/>
      </c:catAx>
      <c:valAx>
        <c:axId val="104205312"/>
        <c:scaling>
          <c:orientation val="maxMin"/>
          <c:max val="14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20377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66"/>
          <c:h val="0.82642368805693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5"/>
              <c:pt idx="0">
                <c:v>2.5696187262237147</c:v>
              </c:pt>
              <c:pt idx="1">
                <c:v>2.2406858750114012</c:v>
              </c:pt>
              <c:pt idx="2">
                <c:v>1.8650904565340818</c:v>
              </c:pt>
              <c:pt idx="3">
                <c:v>1.5696981643899297</c:v>
              </c:pt>
              <c:pt idx="4">
                <c:v>2.2373318191045852</c:v>
              </c:pt>
              <c:pt idx="5">
                <c:v>3.5077540476687852</c:v>
              </c:pt>
              <c:pt idx="6">
                <c:v>3.1754671405496531</c:v>
              </c:pt>
              <c:pt idx="7">
                <c:v>2.3690226457616799</c:v>
              </c:pt>
              <c:pt idx="8">
                <c:v>1.7316931803805378</c:v>
              </c:pt>
              <c:pt idx="9">
                <c:v>1.2505332654676398</c:v>
              </c:pt>
              <c:pt idx="10">
                <c:v>0.83374768673118071</c:v>
              </c:pt>
              <c:pt idx="11">
                <c:v>0.47368684298016778</c:v>
              </c:pt>
              <c:pt idx="12">
                <c:v>0.24413996416456071</c:v>
              </c:pt>
              <c:pt idx="13">
                <c:v>0.13998770179500841</c:v>
              </c:pt>
              <c:pt idx="14">
                <c:v>8.9971078623189524E-2</c:v>
              </c:pt>
            </c:numLit>
          </c:val>
        </c:ser>
        <c:gapWidth val="0"/>
        <c:axId val="104335232"/>
        <c:axId val="104336768"/>
      </c:barChart>
      <c:catAx>
        <c:axId val="104335232"/>
        <c:scaling>
          <c:orientation val="minMax"/>
        </c:scaling>
        <c:delete val="1"/>
        <c:axPos val="l"/>
        <c:tickLblPos val="none"/>
        <c:crossAx val="104336768"/>
        <c:crosses val="autoZero"/>
        <c:auto val="1"/>
        <c:lblAlgn val="ctr"/>
        <c:lblOffset val="100"/>
      </c:catAx>
      <c:valAx>
        <c:axId val="104336768"/>
        <c:scaling>
          <c:orientation val="minMax"/>
          <c:max val="14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33523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68"/>
          <c:y val="5.1896207584830524E-2"/>
          <c:w val="0.71820056867891513"/>
          <c:h val="0.826423688056937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7.6693370484555663</c:v>
              </c:pt>
              <c:pt idx="1">
                <c:v>7.3397776826917296</c:v>
              </c:pt>
              <c:pt idx="2">
                <c:v>6.1571224354788185</c:v>
              </c:pt>
              <c:pt idx="3">
                <c:v>4.3693004904065234</c:v>
              </c:pt>
              <c:pt idx="4">
                <c:v>4.6300155507414367</c:v>
              </c:pt>
              <c:pt idx="5">
                <c:v>6.0656860109645825</c:v>
              </c:pt>
              <c:pt idx="6">
                <c:v>5.667630455474586</c:v>
              </c:pt>
              <c:pt idx="7">
                <c:v>4.5092194018687914</c:v>
              </c:pt>
              <c:pt idx="8">
                <c:v>2.9549830933773782</c:v>
              </c:pt>
              <c:pt idx="9">
                <c:v>1.9216222805378298</c:v>
              </c:pt>
              <c:pt idx="10">
                <c:v>1.392769625052247</c:v>
              </c:pt>
              <c:pt idx="11">
                <c:v>0.9280351618100785</c:v>
              </c:pt>
              <c:pt idx="12">
                <c:v>0.87497996859642546</c:v>
              </c:pt>
              <c:pt idx="13">
                <c:v>0.46610922525493281</c:v>
              </c:pt>
              <c:pt idx="14">
                <c:v>0.41476510922454785</c:v>
              </c:pt>
              <c:pt idx="15">
                <c:v>0.57301024734623729</c:v>
              </c:pt>
            </c:numLit>
          </c:val>
        </c:ser>
        <c:gapWidth val="0"/>
        <c:axId val="104356096"/>
        <c:axId val="104398848"/>
      </c:barChart>
      <c:catAx>
        <c:axId val="104356096"/>
        <c:scaling>
          <c:orientation val="minMax"/>
        </c:scaling>
        <c:axPos val="r"/>
        <c:majorTickMark val="none"/>
        <c:tickLblPos val="nextTo"/>
        <c:crossAx val="104398848"/>
        <c:crosses val="autoZero"/>
        <c:auto val="1"/>
        <c:lblAlgn val="ctr"/>
        <c:lblOffset val="100"/>
      </c:catAx>
      <c:valAx>
        <c:axId val="10439884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35609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88"/>
          <c:h val="0.826423688056937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7.4012702564987309</c:v>
              </c:pt>
              <c:pt idx="1">
                <c:v>7.2318441140243195</c:v>
              </c:pt>
              <c:pt idx="2">
                <c:v>5.9516987692280834</c:v>
              </c:pt>
              <c:pt idx="3">
                <c:v>4.4563471169057491</c:v>
              </c:pt>
              <c:pt idx="4">
                <c:v>3.6484826757565392</c:v>
              </c:pt>
              <c:pt idx="5">
                <c:v>3.6095409191717787</c:v>
              </c:pt>
              <c:pt idx="6">
                <c:v>3.2245367524038397</c:v>
              </c:pt>
              <c:pt idx="7">
                <c:v>2.5180211828995192</c:v>
              </c:pt>
              <c:pt idx="8">
                <c:v>1.5282397358380042</c:v>
              </c:pt>
              <c:pt idx="9">
                <c:v>1.167338156289554</c:v>
              </c:pt>
              <c:pt idx="10">
                <c:v>1.0089986139094698</c:v>
              </c:pt>
              <c:pt idx="11">
                <c:v>0.60767431097281965</c:v>
              </c:pt>
              <c:pt idx="12">
                <c:v>0.60378013531434382</c:v>
              </c:pt>
              <c:pt idx="13">
                <c:v>0.31312122427218447</c:v>
              </c:pt>
              <c:pt idx="14">
                <c:v>0.3369701000472749</c:v>
              </c:pt>
              <c:pt idx="15">
                <c:v>0.45777214918610554</c:v>
              </c:pt>
            </c:numLit>
          </c:val>
        </c:ser>
        <c:gapWidth val="0"/>
        <c:axId val="104413824"/>
        <c:axId val="104444288"/>
      </c:barChart>
      <c:catAx>
        <c:axId val="104413824"/>
        <c:scaling>
          <c:orientation val="minMax"/>
        </c:scaling>
        <c:delete val="1"/>
        <c:axPos val="l"/>
        <c:tickLblPos val="none"/>
        <c:crossAx val="104444288"/>
        <c:crosses val="autoZero"/>
        <c:auto val="1"/>
        <c:lblAlgn val="ctr"/>
        <c:lblOffset val="100"/>
      </c:catAx>
      <c:valAx>
        <c:axId val="10444428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41382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76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5.6855811966543115</c:v>
              </c:pt>
              <c:pt idx="1">
                <c:v>5.8834314551970515</c:v>
              </c:pt>
              <c:pt idx="2">
                <c:v>5.5491553982399475</c:v>
              </c:pt>
              <c:pt idx="3">
                <c:v>4.8460724194825904</c:v>
              </c:pt>
              <c:pt idx="4">
                <c:v>4.6670110787149151</c:v>
              </c:pt>
              <c:pt idx="5">
                <c:v>5.9621808761182491</c:v>
              </c:pt>
              <c:pt idx="6">
                <c:v>5.6392416667555905</c:v>
              </c:pt>
              <c:pt idx="7">
                <c:v>5.1471184167463759</c:v>
              </c:pt>
              <c:pt idx="8">
                <c:v>4.0738262923322814</c:v>
              </c:pt>
              <c:pt idx="9">
                <c:v>2.8727421880918294</c:v>
              </c:pt>
              <c:pt idx="10">
                <c:v>1.8312646709875704</c:v>
              </c:pt>
              <c:pt idx="11">
                <c:v>1.0184157851249798</c:v>
              </c:pt>
              <c:pt idx="12">
                <c:v>0.73263550795912191</c:v>
              </c:pt>
              <c:pt idx="13">
                <c:v>0.5288015457269144</c:v>
              </c:pt>
              <c:pt idx="14">
                <c:v>0.38412996551499606</c:v>
              </c:pt>
              <c:pt idx="15">
                <c:v>0.54965411370589357</c:v>
              </c:pt>
            </c:numLit>
          </c:val>
        </c:ser>
        <c:gapWidth val="0"/>
        <c:axId val="104451072"/>
        <c:axId val="104547072"/>
      </c:barChart>
      <c:catAx>
        <c:axId val="104451072"/>
        <c:scaling>
          <c:orientation val="minMax"/>
        </c:scaling>
        <c:axPos val="r"/>
        <c:majorTickMark val="none"/>
        <c:tickLblPos val="nextTo"/>
        <c:crossAx val="104547072"/>
        <c:crosses val="autoZero"/>
        <c:auto val="1"/>
        <c:lblAlgn val="ctr"/>
        <c:lblOffset val="100"/>
      </c:catAx>
      <c:valAx>
        <c:axId val="10454707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45107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11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5.6012757944149527</c:v>
              </c:pt>
              <c:pt idx="1">
                <c:v>5.7785865601164437</c:v>
              </c:pt>
              <c:pt idx="2">
                <c:v>5.8354868640286455</c:v>
              </c:pt>
              <c:pt idx="3">
                <c:v>4.7674817408847288</c:v>
              </c:pt>
              <c:pt idx="4">
                <c:v>4.1732915864540399</c:v>
              </c:pt>
              <c:pt idx="5">
                <c:v>4.1514733360078475</c:v>
              </c:pt>
              <c:pt idx="6">
                <c:v>3.7314102817931993</c:v>
              </c:pt>
              <c:pt idx="7">
                <c:v>3.0349459760187867</c:v>
              </c:pt>
              <c:pt idx="8">
                <c:v>2.18221308140809</c:v>
              </c:pt>
              <c:pt idx="9">
                <c:v>1.5445892634982361</c:v>
              </c:pt>
              <c:pt idx="10">
                <c:v>1.0712064266653241</c:v>
              </c:pt>
              <c:pt idx="11">
                <c:v>0.7709497315094116</c:v>
              </c:pt>
              <c:pt idx="12">
                <c:v>0.65861749017627746</c:v>
              </c:pt>
              <c:pt idx="13">
                <c:v>0.48089664013935562</c:v>
              </c:pt>
              <c:pt idx="14">
                <c:v>0.40249557042775158</c:v>
              </c:pt>
              <c:pt idx="15">
                <c:v>0.44381707910421136</c:v>
              </c:pt>
            </c:numLit>
          </c:val>
        </c:ser>
        <c:gapWidth val="0"/>
        <c:axId val="104562048"/>
        <c:axId val="104576128"/>
      </c:barChart>
      <c:catAx>
        <c:axId val="104562048"/>
        <c:scaling>
          <c:orientation val="minMax"/>
        </c:scaling>
        <c:delete val="1"/>
        <c:axPos val="l"/>
        <c:tickLblPos val="none"/>
        <c:crossAx val="104576128"/>
        <c:crosses val="autoZero"/>
        <c:auto val="1"/>
        <c:lblAlgn val="ctr"/>
        <c:lblOffset val="100"/>
      </c:catAx>
      <c:valAx>
        <c:axId val="10457612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56204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82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7.6368528361791048</c:v>
              </c:pt>
              <c:pt idx="1">
                <c:v>8.2952596178804008</c:v>
              </c:pt>
              <c:pt idx="2">
                <c:v>7.088693841622387</c:v>
              </c:pt>
              <c:pt idx="3">
                <c:v>5.4804849285077317</c:v>
              </c:pt>
              <c:pt idx="4">
                <c:v>4.0074830814834881</c:v>
              </c:pt>
              <c:pt idx="5">
                <c:v>3.3687550078432631</c:v>
              </c:pt>
              <c:pt idx="6">
                <c:v>2.7766398453164212</c:v>
              </c:pt>
              <c:pt idx="7">
                <c:v>2.6694814037384376</c:v>
              </c:pt>
              <c:pt idx="8">
                <c:v>1.8980666433437541</c:v>
              </c:pt>
              <c:pt idx="9">
                <c:v>1.6746463004969285</c:v>
              </c:pt>
              <c:pt idx="10">
                <c:v>1.4262854875053135</c:v>
              </c:pt>
              <c:pt idx="11">
                <c:v>0.884333397283255</c:v>
              </c:pt>
              <c:pt idx="12">
                <c:v>0.9595074727366425</c:v>
              </c:pt>
              <c:pt idx="13">
                <c:v>0.63728449816238064</c:v>
              </c:pt>
              <c:pt idx="14">
                <c:v>0.57274679968250763</c:v>
              </c:pt>
              <c:pt idx="15">
                <c:v>0.72963571114195769</c:v>
              </c:pt>
            </c:numLit>
          </c:val>
        </c:ser>
        <c:gapWidth val="0"/>
        <c:axId val="104501248"/>
        <c:axId val="104502784"/>
      </c:barChart>
      <c:catAx>
        <c:axId val="104501248"/>
        <c:scaling>
          <c:orientation val="minMax"/>
        </c:scaling>
        <c:axPos val="r"/>
        <c:majorTickMark val="none"/>
        <c:tickLblPos val="nextTo"/>
        <c:crossAx val="104502784"/>
        <c:crosses val="autoZero"/>
        <c:auto val="1"/>
        <c:lblAlgn val="ctr"/>
        <c:lblOffset val="100"/>
      </c:catAx>
      <c:valAx>
        <c:axId val="10450278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50124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3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7.4666566980021463</c:v>
              </c:pt>
              <c:pt idx="1">
                <c:v>7.9291510083398231</c:v>
              </c:pt>
              <c:pt idx="2">
                <c:v>6.4279876839970855</c:v>
              </c:pt>
              <c:pt idx="3">
                <c:v>5.3375192319990346</c:v>
              </c:pt>
              <c:pt idx="4">
                <c:v>4.3840493843879429</c:v>
              </c:pt>
              <c:pt idx="5">
                <c:v>4.3152608968788684</c:v>
              </c:pt>
              <c:pt idx="6">
                <c:v>2.7936382992329802</c:v>
              </c:pt>
              <c:pt idx="7">
                <c:v>2.9391008640763192</c:v>
              </c:pt>
              <c:pt idx="8">
                <c:v>1.9253723202160788</c:v>
              </c:pt>
              <c:pt idx="9">
                <c:v>1.7116996384948373</c:v>
              </c:pt>
              <c:pt idx="10">
                <c:v>1.3487603119251559</c:v>
              </c:pt>
              <c:pt idx="11">
                <c:v>0.74240688703058111</c:v>
              </c:pt>
              <c:pt idx="12">
                <c:v>0.82446028145489869</c:v>
              </c:pt>
              <c:pt idx="13">
                <c:v>0.47511031361794948</c:v>
              </c:pt>
              <c:pt idx="14">
                <c:v>0.51064013873371661</c:v>
              </c:pt>
              <c:pt idx="15">
                <c:v>0.660541580616404</c:v>
              </c:pt>
            </c:numLit>
          </c:val>
        </c:ser>
        <c:gapWidth val="0"/>
        <c:axId val="104599936"/>
        <c:axId val="104601472"/>
      </c:barChart>
      <c:catAx>
        <c:axId val="104599936"/>
        <c:scaling>
          <c:orientation val="minMax"/>
        </c:scaling>
        <c:delete val="1"/>
        <c:axPos val="l"/>
        <c:tickLblPos val="none"/>
        <c:crossAx val="104601472"/>
        <c:crosses val="autoZero"/>
        <c:auto val="1"/>
        <c:lblAlgn val="ctr"/>
        <c:lblOffset val="100"/>
      </c:catAx>
      <c:valAx>
        <c:axId val="10460147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59993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93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7.6766317221856424</c:v>
              </c:pt>
              <c:pt idx="1">
                <c:v>7.7222382413868749</c:v>
              </c:pt>
              <c:pt idx="2">
                <c:v>6.8692658236641728</c:v>
              </c:pt>
              <c:pt idx="3">
                <c:v>5.4946469740762796</c:v>
              </c:pt>
              <c:pt idx="4">
                <c:v>4.4441288853462284</c:v>
              </c:pt>
              <c:pt idx="5">
                <c:v>3.7452103194295208</c:v>
              </c:pt>
              <c:pt idx="6">
                <c:v>3.0851812908302492</c:v>
              </c:pt>
              <c:pt idx="7">
                <c:v>2.8963957901124493</c:v>
              </c:pt>
              <c:pt idx="8">
                <c:v>2.3127181582495377</c:v>
              </c:pt>
              <c:pt idx="9">
                <c:v>1.7602910930521583</c:v>
              </c:pt>
              <c:pt idx="10">
                <c:v>1.484353390888248</c:v>
              </c:pt>
              <c:pt idx="11">
                <c:v>0.89399964090963768</c:v>
              </c:pt>
              <c:pt idx="12">
                <c:v>0.97267771844302209</c:v>
              </c:pt>
              <c:pt idx="13">
                <c:v>0.58147609635574349</c:v>
              </c:pt>
              <c:pt idx="14">
                <c:v>0.58678583222511871</c:v>
              </c:pt>
              <c:pt idx="15">
                <c:v>0.74264535178468893</c:v>
              </c:pt>
            </c:numLit>
          </c:val>
        </c:ser>
        <c:gapWidth val="0"/>
        <c:axId val="104653568"/>
        <c:axId val="104655104"/>
      </c:barChart>
      <c:catAx>
        <c:axId val="104653568"/>
        <c:scaling>
          <c:orientation val="minMax"/>
        </c:scaling>
        <c:axPos val="r"/>
        <c:majorTickMark val="none"/>
        <c:tickLblPos val="nextTo"/>
        <c:crossAx val="104655104"/>
        <c:crosses val="autoZero"/>
        <c:auto val="1"/>
        <c:lblAlgn val="ctr"/>
        <c:lblOffset val="100"/>
      </c:catAx>
      <c:valAx>
        <c:axId val="10465510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65356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55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7.2539445667661413</c:v>
              </c:pt>
              <c:pt idx="1">
                <c:v>7.0954135783660854</c:v>
              </c:pt>
              <c:pt idx="2">
                <c:v>5.9926996878263514</c:v>
              </c:pt>
              <c:pt idx="3">
                <c:v>5.1717031686532033</c:v>
              </c:pt>
              <c:pt idx="4">
                <c:v>4.5893485012829984</c:v>
              </c:pt>
              <c:pt idx="5">
                <c:v>4.2103676998474509</c:v>
              </c:pt>
              <c:pt idx="6">
                <c:v>3.3099039216191981</c:v>
              </c:pt>
              <c:pt idx="7">
                <c:v>3.0144588781516477</c:v>
              </c:pt>
              <c:pt idx="8">
                <c:v>2.2176205078906692</c:v>
              </c:pt>
              <c:pt idx="9">
                <c:v>1.5692887329141558</c:v>
              </c:pt>
              <c:pt idx="10">
                <c:v>1.3115098677061046</c:v>
              </c:pt>
              <c:pt idx="11">
                <c:v>0.72982689852428406</c:v>
              </c:pt>
              <c:pt idx="12">
                <c:v>0.79238932750752211</c:v>
              </c:pt>
              <c:pt idx="13">
                <c:v>0.43063771230323777</c:v>
              </c:pt>
              <c:pt idx="14">
                <c:v>0.47489317317119956</c:v>
              </c:pt>
              <c:pt idx="15">
                <c:v>0.56734744853016861</c:v>
              </c:pt>
            </c:numLit>
          </c:val>
        </c:ser>
        <c:gapWidth val="0"/>
        <c:axId val="104711296"/>
        <c:axId val="104712832"/>
      </c:barChart>
      <c:catAx>
        <c:axId val="104711296"/>
        <c:scaling>
          <c:orientation val="minMax"/>
        </c:scaling>
        <c:delete val="1"/>
        <c:axPos val="l"/>
        <c:tickLblPos val="none"/>
        <c:crossAx val="104712832"/>
        <c:crosses val="autoZero"/>
        <c:auto val="1"/>
        <c:lblAlgn val="ctr"/>
        <c:lblOffset val="100"/>
      </c:catAx>
      <c:valAx>
        <c:axId val="10471283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71129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99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7.6621680452764345</c:v>
              </c:pt>
              <c:pt idx="1">
                <c:v>7.8870991147874037</c:v>
              </c:pt>
              <c:pt idx="2">
                <c:v>7.4735161805253334</c:v>
              </c:pt>
              <c:pt idx="3">
                <c:v>5.9062545349005964</c:v>
              </c:pt>
              <c:pt idx="4">
                <c:v>4.5856914816427476</c:v>
              </c:pt>
              <c:pt idx="5">
                <c:v>3.8238281816862578</c:v>
              </c:pt>
              <c:pt idx="6">
                <c:v>3.0982440864896237</c:v>
              </c:pt>
              <c:pt idx="7">
                <c:v>2.4089391960528226</c:v>
              </c:pt>
              <c:pt idx="8">
                <c:v>1.966332897982876</c:v>
              </c:pt>
              <c:pt idx="9">
                <c:v>1.4656798722971927</c:v>
              </c:pt>
              <c:pt idx="10">
                <c:v>1.2334929618342765</c:v>
              </c:pt>
              <c:pt idx="11">
                <c:v>0.97953852851545498</c:v>
              </c:pt>
              <c:pt idx="12">
                <c:v>1.0448410970831474</c:v>
              </c:pt>
              <c:pt idx="13">
                <c:v>1.6107966913365259</c:v>
              </c:pt>
            </c:numLit>
          </c:val>
        </c:ser>
        <c:gapWidth val="0"/>
        <c:axId val="104875520"/>
        <c:axId val="104877056"/>
      </c:barChart>
      <c:catAx>
        <c:axId val="104875520"/>
        <c:scaling>
          <c:orientation val="minMax"/>
        </c:scaling>
        <c:axPos val="r"/>
        <c:majorTickMark val="none"/>
        <c:tickLblPos val="nextTo"/>
        <c:crossAx val="104877056"/>
        <c:crosses val="autoZero"/>
        <c:auto val="1"/>
        <c:lblAlgn val="ctr"/>
        <c:lblOffset val="100"/>
      </c:catAx>
      <c:valAx>
        <c:axId val="10487705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87552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77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7.2123059062545352</c:v>
              </c:pt>
              <c:pt idx="1">
                <c:v>7.4952837033812409</c:v>
              </c:pt>
              <c:pt idx="2">
                <c:v>7.074444928167174</c:v>
              </c:pt>
              <c:pt idx="3">
                <c:v>5.6958351472935655</c:v>
              </c:pt>
              <c:pt idx="4">
                <c:v>4.5131330721230585</c:v>
              </c:pt>
              <c:pt idx="5">
                <c:v>3.7585256131185587</c:v>
              </c:pt>
              <c:pt idx="6">
                <c:v>3.0474531998258567</c:v>
              </c:pt>
              <c:pt idx="7">
                <c:v>2.3218691046292133</c:v>
              </c:pt>
              <c:pt idx="8">
                <c:v>1.8574952837033814</c:v>
              </c:pt>
              <c:pt idx="9">
                <c:v>1.3786097808736031</c:v>
              </c:pt>
              <c:pt idx="10">
                <c:v>1.2407488027862441</c:v>
              </c:pt>
              <c:pt idx="11">
                <c:v>0.93600348280365697</c:v>
              </c:pt>
              <c:pt idx="12">
                <c:v>0.96502684661152471</c:v>
              </c:pt>
              <c:pt idx="13">
                <c:v>1.3568422580177042</c:v>
              </c:pt>
            </c:numLit>
          </c:val>
        </c:ser>
        <c:gapWidth val="0"/>
        <c:axId val="104888192"/>
        <c:axId val="104889728"/>
      </c:barChart>
      <c:catAx>
        <c:axId val="104888192"/>
        <c:scaling>
          <c:orientation val="minMax"/>
        </c:scaling>
        <c:delete val="1"/>
        <c:axPos val="l"/>
        <c:tickLblPos val="none"/>
        <c:crossAx val="104889728"/>
        <c:crosses val="autoZero"/>
        <c:auto val="1"/>
        <c:lblAlgn val="ctr"/>
        <c:lblOffset val="100"/>
      </c:catAx>
      <c:valAx>
        <c:axId val="10488972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88819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04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7.1045875655764812</c:v>
              </c:pt>
              <c:pt idx="1">
                <c:v>6.8925103248130366</c:v>
              </c:pt>
              <c:pt idx="2">
                <c:v>6.2172117423819628</c:v>
              </c:pt>
              <c:pt idx="3">
                <c:v>6.0162964616586825</c:v>
              </c:pt>
              <c:pt idx="4">
                <c:v>5.2907690590467693</c:v>
              </c:pt>
              <c:pt idx="5">
                <c:v>4.0573724746065407</c:v>
              </c:pt>
              <c:pt idx="6">
                <c:v>3.331845071994632</c:v>
              </c:pt>
              <c:pt idx="7">
                <c:v>2.8797856903672212</c:v>
              </c:pt>
              <c:pt idx="8">
                <c:v>2.3830784685790825</c:v>
              </c:pt>
              <c:pt idx="9">
                <c:v>1.8249804665699301</c:v>
              </c:pt>
              <c:pt idx="10">
                <c:v>1.4957026453845255</c:v>
              </c:pt>
              <c:pt idx="11">
                <c:v>1.0548052237972987</c:v>
              </c:pt>
              <c:pt idx="12">
                <c:v>0.83714700301373124</c:v>
              </c:pt>
              <c:pt idx="13">
                <c:v>0.61948878223015968</c:v>
              </c:pt>
              <c:pt idx="14">
                <c:v>0.56925996204933582</c:v>
              </c:pt>
              <c:pt idx="15">
                <c:v>0.5636789820292446</c:v>
              </c:pt>
            </c:numLit>
          </c:val>
        </c:ser>
        <c:gapWidth val="0"/>
        <c:axId val="104954112"/>
        <c:axId val="104964096"/>
      </c:barChart>
      <c:catAx>
        <c:axId val="104954112"/>
        <c:scaling>
          <c:orientation val="minMax"/>
        </c:scaling>
        <c:axPos val="r"/>
        <c:majorTickMark val="none"/>
        <c:tickLblPos val="nextTo"/>
        <c:crossAx val="104964096"/>
        <c:crosses val="autoZero"/>
        <c:auto val="1"/>
        <c:lblAlgn val="ctr"/>
        <c:lblOffset val="100"/>
      </c:catAx>
      <c:valAx>
        <c:axId val="10496409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95411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99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6.7139189641701087</c:v>
              </c:pt>
              <c:pt idx="1">
                <c:v>6.4962607433865562</c:v>
              </c:pt>
              <c:pt idx="2">
                <c:v>5.8042192208951855</c:v>
              </c:pt>
              <c:pt idx="3">
                <c:v>5.7093425605536519</c:v>
              </c:pt>
              <c:pt idx="4">
                <c:v>5.1121776984038396</c:v>
              </c:pt>
              <c:pt idx="5">
                <c:v>3.9569148342448823</c:v>
              </c:pt>
              <c:pt idx="6">
                <c:v>3.253711351713374</c:v>
              </c:pt>
              <c:pt idx="7">
                <c:v>2.7904900100457644</c:v>
              </c:pt>
              <c:pt idx="8">
                <c:v>2.2770398481973619</c:v>
              </c:pt>
              <c:pt idx="9">
                <c:v>1.7133608661680992</c:v>
              </c:pt>
              <c:pt idx="10">
                <c:v>1.3896640250027898</c:v>
              </c:pt>
              <c:pt idx="11">
                <c:v>0.95992856345574284</c:v>
              </c:pt>
              <c:pt idx="12">
                <c:v>0.81482308293336303</c:v>
              </c:pt>
              <c:pt idx="13">
                <c:v>0.5636789820292446</c:v>
              </c:pt>
              <c:pt idx="14">
                <c:v>0.5134501618484183</c:v>
              </c:pt>
              <c:pt idx="15">
                <c:v>0.44647840160732238</c:v>
              </c:pt>
            </c:numLit>
          </c:val>
        </c:ser>
        <c:gapWidth val="0"/>
        <c:axId val="104974976"/>
        <c:axId val="104796544"/>
      </c:barChart>
      <c:catAx>
        <c:axId val="104974976"/>
        <c:scaling>
          <c:orientation val="minMax"/>
        </c:scaling>
        <c:delete val="1"/>
        <c:axPos val="l"/>
        <c:tickLblPos val="none"/>
        <c:crossAx val="104796544"/>
        <c:crosses val="autoZero"/>
        <c:auto val="1"/>
        <c:lblAlgn val="ctr"/>
        <c:lblOffset val="100"/>
      </c:catAx>
      <c:valAx>
        <c:axId val="1047965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97497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29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8.3318698129967057</c:v>
              </c:pt>
              <c:pt idx="1">
                <c:v>9.6243906747567589</c:v>
              </c:pt>
              <c:pt idx="2">
                <c:v>8.1291742449382802</c:v>
              </c:pt>
              <c:pt idx="3">
                <c:v>5.3804329466601795</c:v>
              </c:pt>
              <c:pt idx="4">
                <c:v>3.5234877369558202</c:v>
              </c:pt>
              <c:pt idx="5">
                <c:v>2.9717811123581388</c:v>
              </c:pt>
              <c:pt idx="6">
                <c:v>2.5401528196172531</c:v>
              </c:pt>
              <c:pt idx="7">
                <c:v>2.4517180472511386</c:v>
              </c:pt>
              <c:pt idx="8">
                <c:v>1.8301256142417157</c:v>
              </c:pt>
              <c:pt idx="9">
                <c:v>1.4562958109559758</c:v>
              </c:pt>
              <c:pt idx="10">
                <c:v>1.3269738321193358</c:v>
              </c:pt>
              <c:pt idx="11">
                <c:v>0.7495234108550296</c:v>
              </c:pt>
              <c:pt idx="12">
                <c:v>1.0274906335269474</c:v>
              </c:pt>
              <c:pt idx="13">
                <c:v>0.49794409368302689</c:v>
              </c:pt>
              <c:pt idx="14">
                <c:v>0.61559673908254353</c:v>
              </c:pt>
              <c:pt idx="15">
                <c:v>0.75339491607639086</c:v>
              </c:pt>
            </c:numLit>
          </c:val>
        </c:ser>
        <c:gapWidth val="0"/>
        <c:axId val="104836096"/>
        <c:axId val="104854272"/>
      </c:barChart>
      <c:catAx>
        <c:axId val="104836096"/>
        <c:scaling>
          <c:orientation val="minMax"/>
        </c:scaling>
        <c:axPos val="r"/>
        <c:majorTickMark val="none"/>
        <c:tickLblPos val="nextTo"/>
        <c:crossAx val="104854272"/>
        <c:crosses val="autoZero"/>
        <c:auto val="1"/>
        <c:lblAlgn val="ctr"/>
        <c:lblOffset val="100"/>
      </c:catAx>
      <c:valAx>
        <c:axId val="10485427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83609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66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8.0801808602786096</c:v>
              </c:pt>
              <c:pt idx="1">
                <c:v>9.1236097613186207</c:v>
              </c:pt>
              <c:pt idx="2">
                <c:v>6.9665852097399741</c:v>
              </c:pt>
              <c:pt idx="3">
                <c:v>4.8078887160834665</c:v>
              </c:pt>
              <c:pt idx="4">
                <c:v>3.2607461507473796</c:v>
              </c:pt>
              <c:pt idx="5">
                <c:v>3.2925541635571847</c:v>
              </c:pt>
              <c:pt idx="6">
                <c:v>2.8085406364494188</c:v>
              </c:pt>
              <c:pt idx="7">
                <c:v>2.6137251232663283</c:v>
              </c:pt>
              <c:pt idx="8">
                <c:v>1.8355936871030243</c:v>
              </c:pt>
              <c:pt idx="9">
                <c:v>1.4247687392330184</c:v>
              </c:pt>
              <c:pt idx="10">
                <c:v>1.3030869875146356</c:v>
              </c:pt>
              <c:pt idx="11">
                <c:v>0.67302520856963854</c:v>
              </c:pt>
              <c:pt idx="12">
                <c:v>0.923693180264752</c:v>
              </c:pt>
              <c:pt idx="13">
                <c:v>0.42633837764196941</c:v>
              </c:pt>
              <c:pt idx="14">
                <c:v>0.56306075583978876</c:v>
              </c:pt>
              <c:pt idx="15">
                <c:v>0.68624999631693084</c:v>
              </c:pt>
            </c:numLit>
          </c:val>
        </c:ser>
        <c:gapWidth val="0"/>
        <c:axId val="104861056"/>
        <c:axId val="105137280"/>
      </c:barChart>
      <c:catAx>
        <c:axId val="104861056"/>
        <c:scaling>
          <c:orientation val="minMax"/>
        </c:scaling>
        <c:delete val="1"/>
        <c:axPos val="l"/>
        <c:tickLblPos val="none"/>
        <c:crossAx val="105137280"/>
        <c:crosses val="autoZero"/>
        <c:auto val="1"/>
        <c:lblAlgn val="ctr"/>
        <c:lblOffset val="100"/>
      </c:catAx>
      <c:valAx>
        <c:axId val="10513728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486105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37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7.6265467170931442</c:v>
              </c:pt>
              <c:pt idx="1">
                <c:v>7.9611845694327643</c:v>
              </c:pt>
              <c:pt idx="2">
                <c:v>7.6884207347859643</c:v>
              </c:pt>
              <c:pt idx="3">
                <c:v>6.4257183367715385</c:v>
              </c:pt>
              <c:pt idx="4">
                <c:v>4.907244599117071</c:v>
              </c:pt>
              <c:pt idx="5">
                <c:v>3.7065279781049401</c:v>
              </c:pt>
              <c:pt idx="6">
                <c:v>2.4764694583905107</c:v>
              </c:pt>
              <c:pt idx="7">
                <c:v>2.18703316675948</c:v>
              </c:pt>
              <c:pt idx="8">
                <c:v>1.8022204644401942</c:v>
              </c:pt>
              <c:pt idx="9">
                <c:v>1.440734977986718</c:v>
              </c:pt>
              <c:pt idx="10">
                <c:v>1.2940559642870155</c:v>
              </c:pt>
              <c:pt idx="11">
                <c:v>0.76253376845635146</c:v>
              </c:pt>
              <c:pt idx="12">
                <c:v>0.8656571312777176</c:v>
              </c:pt>
              <c:pt idx="13">
                <c:v>0.49052176916409468</c:v>
              </c:pt>
              <c:pt idx="14">
                <c:v>0.57983269732972975</c:v>
              </c:pt>
              <c:pt idx="15">
                <c:v>0.73544737581775255</c:v>
              </c:pt>
            </c:numLit>
          </c:val>
        </c:ser>
        <c:gapWidth val="0"/>
        <c:axId val="105213952"/>
        <c:axId val="105215488"/>
      </c:barChart>
      <c:catAx>
        <c:axId val="105213952"/>
        <c:scaling>
          <c:orientation val="minMax"/>
        </c:scaling>
        <c:axPos val="r"/>
        <c:majorTickMark val="none"/>
        <c:tickLblPos val="nextTo"/>
        <c:crossAx val="105215488"/>
        <c:crosses val="autoZero"/>
        <c:auto val="1"/>
        <c:lblAlgn val="ctr"/>
        <c:lblOffset val="100"/>
      </c:catAx>
      <c:valAx>
        <c:axId val="10521548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21395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88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7.2991478200254445</c:v>
              </c:pt>
              <c:pt idx="1">
                <c:v>7.5559046735761815</c:v>
              </c:pt>
              <c:pt idx="2">
                <c:v>6.8848052601652254</c:v>
              </c:pt>
              <c:pt idx="3">
                <c:v>6.1530459415597365</c:v>
              </c:pt>
              <c:pt idx="4">
                <c:v>4.7023339052192714</c:v>
              </c:pt>
              <c:pt idx="5">
                <c:v>3.7664766876938387</c:v>
              </c:pt>
              <c:pt idx="6">
                <c:v>2.4357433500289867</c:v>
              </c:pt>
              <c:pt idx="7">
                <c:v>2.4244658197105933</c:v>
              </c:pt>
              <c:pt idx="8">
                <c:v>1.8950365709480361</c:v>
              </c:pt>
              <c:pt idx="9">
                <c:v>1.5295734690714493</c:v>
              </c:pt>
              <c:pt idx="10">
                <c:v>1.2399695384762157</c:v>
              </c:pt>
              <c:pt idx="11">
                <c:v>0.69778448852920261</c:v>
              </c:pt>
              <c:pt idx="12">
                <c:v>0.78339719954538345</c:v>
              </c:pt>
              <c:pt idx="13">
                <c:v>0.43952396426933116</c:v>
              </c:pt>
              <c:pt idx="14">
                <c:v>0.530744960633039</c:v>
              </c:pt>
              <c:pt idx="15">
                <c:v>0.64965178593154504</c:v>
              </c:pt>
            </c:numLit>
          </c:val>
        </c:ser>
        <c:gapWidth val="0"/>
        <c:axId val="105238912"/>
        <c:axId val="105240448"/>
      </c:barChart>
      <c:catAx>
        <c:axId val="105238912"/>
        <c:scaling>
          <c:orientation val="minMax"/>
        </c:scaling>
        <c:delete val="1"/>
        <c:axPos val="l"/>
        <c:tickLblPos val="none"/>
        <c:crossAx val="105240448"/>
        <c:crosses val="autoZero"/>
        <c:auto val="1"/>
        <c:lblAlgn val="ctr"/>
        <c:lblOffset val="100"/>
      </c:catAx>
      <c:valAx>
        <c:axId val="10524044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23891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18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4.5426021374169885</c:v>
              </c:pt>
              <c:pt idx="1">
                <c:v>4.6861086144947404</c:v>
              </c:pt>
              <c:pt idx="2">
                <c:v>4.3501956208956871</c:v>
              </c:pt>
              <c:pt idx="3">
                <c:v>3.4606628423158288</c:v>
              </c:pt>
              <c:pt idx="4">
                <c:v>5.8011456462166988</c:v>
              </c:pt>
              <c:pt idx="5">
                <c:v>9.8755682711326767</c:v>
              </c:pt>
              <c:pt idx="6">
                <c:v>9.500709444592605</c:v>
              </c:pt>
              <c:pt idx="7">
                <c:v>9.1230717354039186</c:v>
              </c:pt>
              <c:pt idx="8">
                <c:v>6.7017939553910741</c:v>
              </c:pt>
              <c:pt idx="9">
                <c:v>4.4033261981028371</c:v>
              </c:pt>
              <c:pt idx="10">
                <c:v>2.1424355703615192</c:v>
              </c:pt>
              <c:pt idx="11">
                <c:v>1.0388044002569838</c:v>
              </c:pt>
              <c:pt idx="12">
                <c:v>0.43163927946476238</c:v>
              </c:pt>
              <c:pt idx="13">
                <c:v>0.26926128589269138</c:v>
              </c:pt>
              <c:pt idx="14">
                <c:v>0.15142836641931898</c:v>
              </c:pt>
              <c:pt idx="15">
                <c:v>0.15939173162132131</c:v>
              </c:pt>
            </c:numLit>
          </c:val>
        </c:ser>
        <c:gapWidth val="0"/>
        <c:axId val="105255680"/>
        <c:axId val="105257216"/>
      </c:barChart>
      <c:catAx>
        <c:axId val="105255680"/>
        <c:scaling>
          <c:orientation val="minMax"/>
        </c:scaling>
        <c:axPos val="r"/>
        <c:majorTickMark val="none"/>
        <c:tickLblPos val="nextTo"/>
        <c:crossAx val="105257216"/>
        <c:crosses val="autoZero"/>
        <c:auto val="1"/>
        <c:lblAlgn val="ctr"/>
        <c:lblOffset val="100"/>
      </c:catAx>
      <c:valAx>
        <c:axId val="10525721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25568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3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4.2937884507148594</c:v>
              </c:pt>
              <c:pt idx="1">
                <c:v>4.4091742944230434</c:v>
              </c:pt>
              <c:pt idx="2">
                <c:v>4.0301678818402502</c:v>
              </c:pt>
              <c:pt idx="3">
                <c:v>3.1302246622931755</c:v>
              </c:pt>
              <c:pt idx="4">
                <c:v>3.2302229617828981</c:v>
              </c:pt>
              <c:pt idx="5">
                <c:v>3.6668393444989116</c:v>
              </c:pt>
              <c:pt idx="6">
                <c:v>3.3269031924384533</c:v>
              </c:pt>
              <c:pt idx="7">
                <c:v>2.8510506457584017</c:v>
              </c:pt>
              <c:pt idx="8">
                <c:v>1.727303683346737</c:v>
              </c:pt>
              <c:pt idx="9">
                <c:v>1.072150992040368</c:v>
              </c:pt>
              <c:pt idx="10">
                <c:v>0.56797043268862257</c:v>
              </c:pt>
              <c:pt idx="11">
                <c:v>0.34607457940366976</c:v>
              </c:pt>
              <c:pt idx="12">
                <c:v>0.2303154529516504</c:v>
              </c:pt>
              <c:pt idx="13">
                <c:v>0.19066453038334888</c:v>
              </c:pt>
              <c:pt idx="14">
                <c:v>0.1318932361581574</c:v>
              </c:pt>
              <c:pt idx="15">
                <c:v>0.15026704232736085</c:v>
              </c:pt>
            </c:numLit>
          </c:val>
        </c:ser>
        <c:gapWidth val="0"/>
        <c:axId val="105292928"/>
        <c:axId val="105294464"/>
      </c:barChart>
      <c:catAx>
        <c:axId val="105292928"/>
        <c:scaling>
          <c:orientation val="minMax"/>
        </c:scaling>
        <c:delete val="1"/>
        <c:axPos val="l"/>
        <c:tickLblPos val="none"/>
        <c:crossAx val="105294464"/>
        <c:crosses val="autoZero"/>
        <c:auto val="1"/>
        <c:lblAlgn val="ctr"/>
        <c:lblOffset val="100"/>
      </c:catAx>
      <c:valAx>
        <c:axId val="10529446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2929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99"/>
          <c:y val="5.1896207584830524E-2"/>
          <c:w val="0.71820056867891513"/>
          <c:h val="0.826423688056939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7.4685767382217625</c:v>
              </c:pt>
              <c:pt idx="1">
                <c:v>6.8034849855974615</c:v>
              </c:pt>
              <c:pt idx="2">
                <c:v>6.3412028898019024</c:v>
              </c:pt>
              <c:pt idx="3">
                <c:v>6.024012537650755</c:v>
              </c:pt>
              <c:pt idx="4">
                <c:v>6.2614843718254649</c:v>
              </c:pt>
              <c:pt idx="5">
                <c:v>5.6970566109235685</c:v>
              </c:pt>
              <c:pt idx="6">
                <c:v>3.8905375623285012</c:v>
              </c:pt>
              <c:pt idx="7">
                <c:v>2.5522048534681137</c:v>
              </c:pt>
              <c:pt idx="8">
                <c:v>1.8756189073197582</c:v>
              </c:pt>
              <c:pt idx="9">
                <c:v>1.56543282934737</c:v>
              </c:pt>
              <c:pt idx="10">
                <c:v>1.4704261360001059</c:v>
              </c:pt>
              <c:pt idx="11">
                <c:v>1.1408885056493301</c:v>
              </c:pt>
              <c:pt idx="12">
                <c:v>0.82695334502358664</c:v>
              </c:pt>
              <c:pt idx="13">
                <c:v>0.53151665210061949</c:v>
              </c:pt>
              <c:pt idx="14">
                <c:v>0.31770669287582415</c:v>
              </c:pt>
              <c:pt idx="15">
                <c:v>0.36552433390362954</c:v>
              </c:pt>
            </c:numLit>
          </c:val>
        </c:ser>
        <c:gapWidth val="0"/>
        <c:axId val="105367040"/>
        <c:axId val="105368576"/>
      </c:barChart>
      <c:catAx>
        <c:axId val="105367040"/>
        <c:scaling>
          <c:orientation val="minMax"/>
        </c:scaling>
        <c:axPos val="r"/>
        <c:majorTickMark val="none"/>
        <c:tickLblPos val="nextTo"/>
        <c:crossAx val="105368576"/>
        <c:crosses val="autoZero"/>
        <c:auto val="1"/>
        <c:lblAlgn val="ctr"/>
        <c:lblOffset val="100"/>
      </c:catAx>
      <c:valAx>
        <c:axId val="10536857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36704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88"/>
          <c:h val="0.826423688056939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7.0967440676379345</c:v>
              </c:pt>
              <c:pt idx="1">
                <c:v>6.5003480809972514</c:v>
              </c:pt>
              <c:pt idx="2">
                <c:v>6.0210267412861329</c:v>
              </c:pt>
              <c:pt idx="3">
                <c:v>5.4519294642650724</c:v>
              </c:pt>
              <c:pt idx="4">
                <c:v>4.9964495962776834</c:v>
              </c:pt>
              <c:pt idx="5">
                <c:v>4.0654199208292363</c:v>
              </c:pt>
              <c:pt idx="6">
                <c:v>3.053908441115718</c:v>
              </c:pt>
              <c:pt idx="7">
                <c:v>2.1732556607219391</c:v>
              </c:pt>
              <c:pt idx="8">
                <c:v>1.6354980207313061</c:v>
              </c:pt>
              <c:pt idx="9">
                <c:v>1.5231153395175987</c:v>
              </c:pt>
              <c:pt idx="10">
                <c:v>1.2492976082424097</c:v>
              </c:pt>
              <c:pt idx="11">
                <c:v>1.0107032942313738</c:v>
              </c:pt>
              <c:pt idx="12">
                <c:v>0.7669455729732032</c:v>
              </c:pt>
              <c:pt idx="13">
                <c:v>0.45514312403649038</c:v>
              </c:pt>
              <c:pt idx="14">
                <c:v>0.37508786210919065</c:v>
              </c:pt>
              <c:pt idx="15">
                <c:v>0.38442689434748611</c:v>
              </c:pt>
            </c:numLit>
          </c:val>
        </c:ser>
        <c:gapWidth val="0"/>
        <c:axId val="105351040"/>
        <c:axId val="105352576"/>
      </c:barChart>
      <c:catAx>
        <c:axId val="105351040"/>
        <c:scaling>
          <c:orientation val="minMax"/>
        </c:scaling>
        <c:delete val="1"/>
        <c:axPos val="l"/>
        <c:tickLblPos val="none"/>
        <c:crossAx val="105352576"/>
        <c:crosses val="autoZero"/>
        <c:auto val="1"/>
        <c:lblAlgn val="ctr"/>
        <c:lblOffset val="100"/>
      </c:catAx>
      <c:valAx>
        <c:axId val="10535257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35104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04"/>
          <c:y val="5.1896207584830524E-2"/>
          <c:w val="0.71820056867891513"/>
          <c:h val="0.826423688056939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6.5289884335471209</c:v>
              </c:pt>
              <c:pt idx="1">
                <c:v>6.4489866936121514</c:v>
              </c:pt>
              <c:pt idx="2">
                <c:v>6.1345052030521749</c:v>
              </c:pt>
              <c:pt idx="3">
                <c:v>5.637017038234875</c:v>
              </c:pt>
              <c:pt idx="4">
                <c:v>5.4784439103157574</c:v>
              </c:pt>
              <c:pt idx="5">
                <c:v>4.6980987487555446</c:v>
              </c:pt>
              <c:pt idx="6">
                <c:v>4.0594172119148713</c:v>
              </c:pt>
              <c:pt idx="7">
                <c:v>3.2866156873556287</c:v>
              </c:pt>
              <c:pt idx="8">
                <c:v>2.4285612677542452</c:v>
              </c:pt>
              <c:pt idx="9">
                <c:v>1.7065862221054418</c:v>
              </c:pt>
              <c:pt idx="10">
                <c:v>1.2659006642123394</c:v>
              </c:pt>
              <c:pt idx="11">
                <c:v>1.0926517334004227</c:v>
              </c:pt>
              <c:pt idx="12">
                <c:v>1.0205267261262021</c:v>
              </c:pt>
              <c:pt idx="13">
                <c:v>0.72683432350916843</c:v>
              </c:pt>
              <c:pt idx="14">
                <c:v>0.45980916753712431</c:v>
              </c:pt>
              <c:pt idx="15">
                <c:v>0.44650493500813826</c:v>
              </c:pt>
            </c:numLit>
          </c:val>
        </c:ser>
        <c:gapWidth val="0"/>
        <c:axId val="105470208"/>
        <c:axId val="105472000"/>
      </c:barChart>
      <c:catAx>
        <c:axId val="105470208"/>
        <c:scaling>
          <c:orientation val="minMax"/>
        </c:scaling>
        <c:axPos val="r"/>
        <c:majorTickMark val="none"/>
        <c:tickLblPos val="nextTo"/>
        <c:crossAx val="105472000"/>
        <c:crosses val="autoZero"/>
        <c:auto val="1"/>
        <c:lblAlgn val="ctr"/>
        <c:lblOffset val="100"/>
      </c:catAx>
      <c:valAx>
        <c:axId val="10547200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47020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11"/>
          <c:h val="0.826423688056939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6.2135076560077813</c:v>
              </c:pt>
              <c:pt idx="1">
                <c:v>6.1473391828849984</c:v>
              </c:pt>
              <c:pt idx="2">
                <c:v>5.8202784327026444</c:v>
              </c:pt>
              <c:pt idx="3">
                <c:v>5.332371666569677</c:v>
              </c:pt>
              <c:pt idx="4">
                <c:v>5.1060233688158565</c:v>
              </c:pt>
              <c:pt idx="5">
                <c:v>4.241816476439654</c:v>
              </c:pt>
              <c:pt idx="6">
                <c:v>3.7618452245544787</c:v>
              </c:pt>
              <c:pt idx="7">
                <c:v>3.0505488338810767</c:v>
              </c:pt>
              <c:pt idx="8">
                <c:v>2.3013971011664442</c:v>
              </c:pt>
              <c:pt idx="9">
                <c:v>1.6333051769531521</c:v>
              </c:pt>
              <c:pt idx="10">
                <c:v>1.2468162422929936</c:v>
              </c:pt>
              <c:pt idx="11">
                <c:v>1.1355818857877682</c:v>
              </c:pt>
              <c:pt idx="12">
                <c:v>0.9150921528736653</c:v>
              </c:pt>
              <c:pt idx="13">
                <c:v>0.68045565134994868</c:v>
              </c:pt>
              <c:pt idx="14">
                <c:v>0.45757546723034415</c:v>
              </c:pt>
              <c:pt idx="15">
                <c:v>0.46123951948795749</c:v>
              </c:pt>
            </c:numLit>
          </c:val>
        </c:ser>
        <c:gapWidth val="0"/>
        <c:axId val="105478784"/>
        <c:axId val="105054592"/>
      </c:barChart>
      <c:catAx>
        <c:axId val="105478784"/>
        <c:scaling>
          <c:orientation val="minMax"/>
        </c:scaling>
        <c:delete val="1"/>
        <c:axPos val="l"/>
        <c:tickLblPos val="none"/>
        <c:crossAx val="105054592"/>
        <c:crosses val="autoZero"/>
        <c:auto val="1"/>
        <c:lblAlgn val="ctr"/>
        <c:lblOffset val="100"/>
      </c:catAx>
      <c:valAx>
        <c:axId val="10505459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47878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57"/>
          <c:y val="5.1896207584830524E-2"/>
          <c:w val="0.71820056867891513"/>
          <c:h val="0.826423688056940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3.6641878028886254</c:v>
              </c:pt>
              <c:pt idx="1">
                <c:v>3.4477563461315799</c:v>
              </c:pt>
              <c:pt idx="2">
                <c:v>3.1501630930906361</c:v>
              </c:pt>
              <c:pt idx="3">
                <c:v>3.0230744120832247</c:v>
              </c:pt>
              <c:pt idx="4">
                <c:v>5.3758755065524655</c:v>
              </c:pt>
              <c:pt idx="5">
                <c:v>10.273123214460732</c:v>
              </c:pt>
              <c:pt idx="6">
                <c:v>9.0207853578287747</c:v>
              </c:pt>
              <c:pt idx="7">
                <c:v>7.3381765811767785</c:v>
              </c:pt>
              <c:pt idx="8">
                <c:v>5.7815224883785721</c:v>
              </c:pt>
              <c:pt idx="9">
                <c:v>4.2365323663037611</c:v>
              </c:pt>
              <c:pt idx="10">
                <c:v>3.2068629507739934</c:v>
              </c:pt>
              <c:pt idx="11">
                <c:v>1.8665593149361221</c:v>
              </c:pt>
              <c:pt idx="12">
                <c:v>0.8114559632455326</c:v>
              </c:pt>
              <c:pt idx="13">
                <c:v>0.40013899565112077</c:v>
              </c:pt>
              <c:pt idx="14">
                <c:v>0.29856525060122074</c:v>
              </c:pt>
              <c:pt idx="15">
                <c:v>0.34659813003869361</c:v>
              </c:pt>
            </c:numLit>
          </c:val>
        </c:ser>
        <c:gapWidth val="0"/>
        <c:axId val="105065472"/>
        <c:axId val="105100032"/>
      </c:barChart>
      <c:catAx>
        <c:axId val="105065472"/>
        <c:scaling>
          <c:orientation val="minMax"/>
        </c:scaling>
        <c:axPos val="r"/>
        <c:majorTickMark val="none"/>
        <c:tickLblPos val="nextTo"/>
        <c:crossAx val="105100032"/>
        <c:crosses val="autoZero"/>
        <c:auto val="1"/>
        <c:lblAlgn val="ctr"/>
        <c:lblOffset val="100"/>
      </c:catAx>
      <c:valAx>
        <c:axId val="10510003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06547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77"/>
          <c:h val="0.826423688056940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3.5464140985006152</c:v>
              </c:pt>
              <c:pt idx="1">
                <c:v>3.2691517944290012</c:v>
              </c:pt>
              <c:pt idx="2">
                <c:v>2.9781195249199932</c:v>
              </c:pt>
              <c:pt idx="3">
                <c:v>2.8666638046738369</c:v>
              </c:pt>
              <c:pt idx="4">
                <c:v>3.7286636410542613</c:v>
              </c:pt>
              <c:pt idx="5">
                <c:v>4.4876317360443423</c:v>
              </c:pt>
              <c:pt idx="6">
                <c:v>4.0564698182607568</c:v>
              </c:pt>
              <c:pt idx="7">
                <c:v>3.3318456370674383</c:v>
              </c:pt>
              <c:pt idx="8">
                <c:v>2.8203319209668782</c:v>
              </c:pt>
              <c:pt idx="9">
                <c:v>2.3626020698687928</c:v>
              </c:pt>
              <c:pt idx="10">
                <c:v>1.6996997337536679</c:v>
              </c:pt>
              <c:pt idx="11">
                <c:v>0.98050253893862482</c:v>
              </c:pt>
              <c:pt idx="12">
                <c:v>0.55087961729216306</c:v>
              </c:pt>
              <c:pt idx="13">
                <c:v>0.37956504729173135</c:v>
              </c:pt>
              <c:pt idx="14">
                <c:v>0.32667218005282983</c:v>
              </c:pt>
              <c:pt idx="15">
                <c:v>0.37340906274325386</c:v>
              </c:pt>
            </c:numLit>
          </c:val>
        </c:ser>
        <c:gapWidth val="0"/>
        <c:axId val="105110912"/>
        <c:axId val="105526400"/>
      </c:barChart>
      <c:catAx>
        <c:axId val="105110912"/>
        <c:scaling>
          <c:orientation val="minMax"/>
        </c:scaling>
        <c:delete val="1"/>
        <c:axPos val="l"/>
        <c:tickLblPos val="none"/>
        <c:crossAx val="105526400"/>
        <c:crosses val="autoZero"/>
        <c:auto val="1"/>
        <c:lblAlgn val="ctr"/>
        <c:lblOffset val="100"/>
      </c:catAx>
      <c:valAx>
        <c:axId val="10552640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11091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37"/>
          <c:y val="5.1896207584830524E-2"/>
          <c:w val="0.71820056867891513"/>
          <c:h val="0.826423688056938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7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  <c:pt idx="16">
                <c:v>  80+</c:v>
              </c:pt>
            </c:strLit>
          </c:cat>
          <c:val>
            <c:numLit>
              <c:formatCode>0</c:formatCode>
              <c:ptCount val="17"/>
              <c:pt idx="0">
                <c:v>5.4325632175329304</c:v>
              </c:pt>
              <c:pt idx="1">
                <c:v>4.4479154159811563</c:v>
              </c:pt>
              <c:pt idx="2">
                <c:v>4.3381615653120136</c:v>
              </c:pt>
              <c:pt idx="3">
                <c:v>4.7740040577195488</c:v>
              </c:pt>
              <c:pt idx="4">
                <c:v>6.8491234294544894</c:v>
              </c:pt>
              <c:pt idx="5">
                <c:v>8.6819838909903417</c:v>
              </c:pt>
              <c:pt idx="6">
                <c:v>6.6643374620828215</c:v>
              </c:pt>
              <c:pt idx="7">
                <c:v>5.0715725628353416</c:v>
              </c:pt>
              <c:pt idx="8">
                <c:v>3.8122877440211376</c:v>
              </c:pt>
              <c:pt idx="9">
                <c:v>2.6619274925103205</c:v>
              </c:pt>
              <c:pt idx="10">
                <c:v>2.0600119921585849</c:v>
              </c:pt>
              <c:pt idx="11">
                <c:v>1.1762843706406285</c:v>
              </c:pt>
              <c:pt idx="12">
                <c:v>0.78879270403705948</c:v>
              </c:pt>
              <c:pt idx="13">
                <c:v>0.48062379415888956</c:v>
              </c:pt>
              <c:pt idx="14">
                <c:v>0.43169607557872258</c:v>
              </c:pt>
              <c:pt idx="15">
                <c:v>0.20739295303840424</c:v>
              </c:pt>
              <c:pt idx="16">
                <c:v>0.25797923835010111</c:v>
              </c:pt>
            </c:numLit>
          </c:val>
        </c:ser>
        <c:gapWidth val="0"/>
        <c:axId val="105566208"/>
        <c:axId val="105567744"/>
      </c:barChart>
      <c:catAx>
        <c:axId val="105566208"/>
        <c:scaling>
          <c:orientation val="minMax"/>
        </c:scaling>
        <c:axPos val="r"/>
        <c:majorTickMark val="none"/>
        <c:tickLblPos val="nextTo"/>
        <c:crossAx val="105567744"/>
        <c:crosses val="autoZero"/>
        <c:auto val="1"/>
        <c:lblAlgn val="ctr"/>
        <c:lblOffset val="100"/>
      </c:catAx>
      <c:valAx>
        <c:axId val="10556774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56620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99"/>
          <c:h val="0.826423688056938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7"/>
              <c:pt idx="0">
                <c:v>5.2091254341568884</c:v>
              </c:pt>
              <c:pt idx="1">
                <c:v>4.2774075448200621</c:v>
              </c:pt>
              <c:pt idx="2">
                <c:v>4.1240261779519276</c:v>
              </c:pt>
              <c:pt idx="3">
                <c:v>4.5147628664215445</c:v>
              </c:pt>
              <c:pt idx="4">
                <c:v>4.811141530186438</c:v>
              </c:pt>
              <c:pt idx="5">
                <c:v>4.764449271114005</c:v>
              </c:pt>
              <c:pt idx="6">
                <c:v>3.9292888101910988</c:v>
              </c:pt>
              <c:pt idx="7">
                <c:v>2.8078813648850414</c:v>
              </c:pt>
              <c:pt idx="8">
                <c:v>1.974127080104086</c:v>
              </c:pt>
              <c:pt idx="9">
                <c:v>1.485138340690519</c:v>
              </c:pt>
              <c:pt idx="10">
                <c:v>1.232134802535011</c:v>
              </c:pt>
              <c:pt idx="11">
                <c:v>0.80364769302381966</c:v>
              </c:pt>
              <c:pt idx="12">
                <c:v>0.64651652311050489</c:v>
              </c:pt>
              <c:pt idx="13">
                <c:v>0.43083073641444664</c:v>
              </c:pt>
              <c:pt idx="14">
                <c:v>0.36625480128027088</c:v>
              </c:pt>
              <c:pt idx="15">
                <c:v>0.18727381746896229</c:v>
              </c:pt>
              <c:pt idx="16">
                <c:v>0.29933523924284444</c:v>
              </c:pt>
            </c:numLit>
          </c:val>
        </c:ser>
        <c:gapWidth val="0"/>
        <c:axId val="105668992"/>
        <c:axId val="105670528"/>
      </c:barChart>
      <c:catAx>
        <c:axId val="105668992"/>
        <c:scaling>
          <c:orientation val="minMax"/>
        </c:scaling>
        <c:delete val="1"/>
        <c:axPos val="l"/>
        <c:tickLblPos val="none"/>
        <c:crossAx val="105670528"/>
        <c:crosses val="autoZero"/>
        <c:auto val="1"/>
        <c:lblAlgn val="ctr"/>
        <c:lblOffset val="100"/>
      </c:catAx>
      <c:valAx>
        <c:axId val="10567052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66899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1"/>
          <c:y val="5.1896207584830524E-2"/>
          <c:w val="0.71820056867891513"/>
          <c:h val="0.826423688056938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6.322245425548549</c:v>
              </c:pt>
              <c:pt idx="1">
                <c:v>5.3006608617323394</c:v>
              </c:pt>
              <c:pt idx="2">
                <c:v>4.742504619011866</c:v>
              </c:pt>
              <c:pt idx="3">
                <c:v>4.3822376485594035</c:v>
              </c:pt>
              <c:pt idx="4">
                <c:v>6.0474979839546128</c:v>
              </c:pt>
              <c:pt idx="5">
                <c:v>10.003004124174721</c:v>
              </c:pt>
              <c:pt idx="6">
                <c:v>11.394018465106798</c:v>
              </c:pt>
              <c:pt idx="7">
                <c:v>9.1837762707012267</c:v>
              </c:pt>
              <c:pt idx="8">
                <c:v>7.7843740868533784</c:v>
              </c:pt>
              <c:pt idx="9">
                <c:v>5.5437259618781694</c:v>
              </c:pt>
              <c:pt idx="10">
                <c:v>3.7846494269143083</c:v>
              </c:pt>
              <c:pt idx="11">
                <c:v>2.2711452277504489</c:v>
              </c:pt>
              <c:pt idx="12">
                <c:v>1.1515961290104944</c:v>
              </c:pt>
              <c:pt idx="13">
                <c:v>1.3341684707366861</c:v>
              </c:pt>
            </c:numLit>
          </c:val>
        </c:ser>
        <c:gapWidth val="0"/>
        <c:axId val="105726720"/>
        <c:axId val="105728256"/>
      </c:barChart>
      <c:catAx>
        <c:axId val="105726720"/>
        <c:scaling>
          <c:orientation val="minMax"/>
        </c:scaling>
        <c:axPos val="r"/>
        <c:numFmt formatCode="General" sourceLinked="1"/>
        <c:majorTickMark val="none"/>
        <c:tickLblPos val="nextTo"/>
        <c:crossAx val="105728256"/>
        <c:crosses val="autoZero"/>
        <c:auto val="1"/>
        <c:lblAlgn val="ctr"/>
        <c:lblOffset val="100"/>
      </c:catAx>
      <c:valAx>
        <c:axId val="10572825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72672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44"/>
          <c:h val="0.826423688056938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5.8471014760324138</c:v>
              </c:pt>
              <c:pt idx="1">
                <c:v>5.0052173294658076</c:v>
              </c:pt>
              <c:pt idx="2">
                <c:v>4.4720422710814072</c:v>
              </c:pt>
              <c:pt idx="3">
                <c:v>3.9842709710888378</c:v>
              </c:pt>
              <c:pt idx="4">
                <c:v>5.8368446029017393</c:v>
              </c:pt>
              <c:pt idx="5">
                <c:v>7.9004818906927312</c:v>
              </c:pt>
              <c:pt idx="6">
                <c:v>7.2706187082630818</c:v>
              </c:pt>
              <c:pt idx="7">
                <c:v>6.0869299628792364</c:v>
              </c:pt>
              <c:pt idx="8">
                <c:v>4.9271739214669878</c:v>
              </c:pt>
              <c:pt idx="9">
                <c:v>3.5011950396849807</c:v>
              </c:pt>
              <c:pt idx="10">
                <c:v>2.2113362608728604</c:v>
              </c:pt>
              <c:pt idx="11">
                <c:v>1.3784325765584426</c:v>
              </c:pt>
              <c:pt idx="12">
                <c:v>0.85191308918328401</c:v>
              </c:pt>
              <c:pt idx="13">
                <c:v>1.2409904766072632</c:v>
              </c:pt>
            </c:numLit>
          </c:val>
        </c:ser>
        <c:gapWidth val="0"/>
        <c:axId val="105772160"/>
        <c:axId val="105773696"/>
      </c:barChart>
      <c:catAx>
        <c:axId val="105772160"/>
        <c:scaling>
          <c:orientation val="minMax"/>
        </c:scaling>
        <c:delete val="1"/>
        <c:axPos val="l"/>
        <c:tickLblPos val="none"/>
        <c:crossAx val="105773696"/>
        <c:crosses val="autoZero"/>
        <c:auto val="1"/>
        <c:lblAlgn val="ctr"/>
        <c:lblOffset val="100"/>
      </c:catAx>
      <c:valAx>
        <c:axId val="10577369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77216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57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70-74</c:v>
              </c:pt>
              <c:pt idx="15">
                <c:v>  75+</c:v>
              </c:pt>
            </c:strLit>
          </c:cat>
          <c:val>
            <c:numLit>
              <c:formatCode>0</c:formatCode>
              <c:ptCount val="16"/>
              <c:pt idx="0">
                <c:v>3.5398154786607212</c:v>
              </c:pt>
              <c:pt idx="1">
                <c:v>3.401919218367436</c:v>
              </c:pt>
              <c:pt idx="2">
                <c:v>3.1794423710571507</c:v>
              </c:pt>
              <c:pt idx="3">
                <c:v>2.9511550148945922</c:v>
              </c:pt>
              <c:pt idx="4">
                <c:v>6.6136719085236324</c:v>
              </c:pt>
              <c:pt idx="5">
                <c:v>11.758549288553032</c:v>
              </c:pt>
              <c:pt idx="6">
                <c:v>11.909817012732319</c:v>
              </c:pt>
              <c:pt idx="7">
                <c:v>9.4028620281301549</c:v>
              </c:pt>
              <c:pt idx="8">
                <c:v>6.3871349985425052</c:v>
              </c:pt>
              <c:pt idx="9">
                <c:v>4.2414040328821381</c:v>
              </c:pt>
              <c:pt idx="10">
                <c:v>2.6095992037414844</c:v>
              </c:pt>
              <c:pt idx="11">
                <c:v>1.2472658395322225</c:v>
              </c:pt>
              <c:pt idx="12">
                <c:v>0.45754718242590925</c:v>
              </c:pt>
              <c:pt idx="13">
                <c:v>0.22298739411320104</c:v>
              </c:pt>
              <c:pt idx="14">
                <c:v>0.13106465783517945</c:v>
              </c:pt>
              <c:pt idx="15">
                <c:v>0.12707753042190373</c:v>
              </c:pt>
            </c:numLit>
          </c:val>
        </c:ser>
        <c:gapWidth val="0"/>
        <c:axId val="105612800"/>
        <c:axId val="105614336"/>
      </c:barChart>
      <c:catAx>
        <c:axId val="105612800"/>
        <c:scaling>
          <c:orientation val="minMax"/>
        </c:scaling>
        <c:axPos val="r"/>
        <c:numFmt formatCode="General" sourceLinked="1"/>
        <c:majorTickMark val="none"/>
        <c:tickLblPos val="nextTo"/>
        <c:crossAx val="105614336"/>
        <c:crosses val="autoZero"/>
        <c:auto val="1"/>
        <c:lblAlgn val="ctr"/>
        <c:lblOffset val="100"/>
      </c:catAx>
      <c:valAx>
        <c:axId val="10561433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61280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855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3.3194780655721976</c:v>
              </c:pt>
              <c:pt idx="1">
                <c:v>3.1472292989681852</c:v>
              </c:pt>
              <c:pt idx="2">
                <c:v>2.8755697763099972</c:v>
              </c:pt>
              <c:pt idx="3">
                <c:v>2.6946660258088664</c:v>
              </c:pt>
              <c:pt idx="4">
                <c:v>3.9270773845513882</c:v>
              </c:pt>
              <c:pt idx="5">
                <c:v>4.3308226586505949</c:v>
              </c:pt>
              <c:pt idx="6">
                <c:v>3.6584811427107193</c:v>
              </c:pt>
              <c:pt idx="7">
                <c:v>2.7677471538839149</c:v>
              </c:pt>
              <c:pt idx="8">
                <c:v>1.9095179781763143</c:v>
              </c:pt>
              <c:pt idx="9">
                <c:v>1.2474603335523811</c:v>
              </c:pt>
              <c:pt idx="10">
                <c:v>0.76676836272745752</c:v>
              </c:pt>
              <c:pt idx="11">
                <c:v>0.38422293682566855</c:v>
              </c:pt>
              <c:pt idx="12">
                <c:v>0.20730631373781774</c:v>
              </c:pt>
              <c:pt idx="13">
                <c:v>0.1284876120680622</c:v>
              </c:pt>
              <c:pt idx="14">
                <c:v>9.7563062862655536E-2</c:v>
              </c:pt>
              <c:pt idx="15">
                <c:v>0.10796849294120422</c:v>
              </c:pt>
            </c:numLit>
          </c:val>
        </c:ser>
        <c:gapWidth val="0"/>
        <c:axId val="105781120"/>
        <c:axId val="105782656"/>
      </c:barChart>
      <c:catAx>
        <c:axId val="105781120"/>
        <c:scaling>
          <c:orientation val="minMax"/>
        </c:scaling>
        <c:delete val="1"/>
        <c:axPos val="l"/>
        <c:tickLblPos val="none"/>
        <c:crossAx val="105782656"/>
        <c:crosses val="autoZero"/>
        <c:auto val="1"/>
        <c:lblAlgn val="ctr"/>
        <c:lblOffset val="100"/>
      </c:catAx>
      <c:valAx>
        <c:axId val="10578265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578112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372716</xdr:colOff>
      <xdr:row>0</xdr:row>
      <xdr:rowOff>165652</xdr:rowOff>
    </xdr:from>
    <xdr:to>
      <xdr:col>15</xdr:col>
      <xdr:colOff>365379</xdr:colOff>
      <xdr:row>24</xdr:row>
      <xdr:rowOff>13043</xdr:rowOff>
    </xdr:to>
    <xdr:grpSp>
      <xdr:nvGrpSpPr>
        <xdr:cNvPr id="2" name="Group 1"/>
        <xdr:cNvGrpSpPr/>
      </xdr:nvGrpSpPr>
      <xdr:grpSpPr>
        <a:xfrm>
          <a:off x="372716" y="165652"/>
          <a:ext cx="9210405" cy="4271907"/>
          <a:chOff x="13901243" y="5368600"/>
          <a:chExt cx="9009782" cy="4282004"/>
        </a:xfrm>
      </xdr:grpSpPr>
      <xdr:grpSp>
        <xdr:nvGrpSpPr>
          <xdr:cNvPr id="3" name="Group 112"/>
          <xdr:cNvGrpSpPr/>
        </xdr:nvGrpSpPr>
        <xdr:grpSpPr>
          <a:xfrm>
            <a:off x="13901243" y="5368599"/>
            <a:ext cx="9009782" cy="4282003"/>
            <a:chOff x="13954847" y="5411673"/>
            <a:chExt cx="9009782" cy="4331709"/>
          </a:xfrm>
        </xdr:grpSpPr>
        <xdr:grpSp>
          <xdr:nvGrpSpPr>
            <xdr:cNvPr id="6" name="Group 418"/>
            <xdr:cNvGrpSpPr/>
          </xdr:nvGrpSpPr>
          <xdr:grpSpPr>
            <a:xfrm>
              <a:off x="13954847" y="6400150"/>
              <a:ext cx="9009782" cy="3343232"/>
              <a:chOff x="13787438" y="976312"/>
              <a:chExt cx="9024936" cy="3395187"/>
            </a:xfrm>
          </xdr:grpSpPr>
          <xdr:graphicFrame macro="">
            <xdr:nvGraphicFramePr>
              <xdr:cNvPr id="8" name="Chart 7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9" name="Chart 8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7" name="Rectangle 6"/>
            <xdr:cNvSpPr/>
          </xdr:nvSpPr>
          <xdr:spPr>
            <a:xfrm>
              <a:off x="14748595" y="5411673"/>
              <a:ext cx="7258095" cy="117226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7: الهرم السكاني، البحرين، تعداد 2001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  <a:cs typeface="Arial" pitchFamily="34" charset="0"/>
                </a:rPr>
                <a:t>Figure 7</a:t>
              </a:r>
              <a:r>
                <a:rPr lang="ar-LB" sz="1800" b="1">
                  <a:latin typeface="+mn-lt"/>
                  <a:cs typeface="Arial" pitchFamily="34" charset="0"/>
                </a:rPr>
                <a:t>:</a:t>
              </a:r>
              <a:r>
                <a:rPr lang="en-US" sz="1800" b="1">
                  <a:latin typeface="+mn-lt"/>
                  <a:cs typeface="Arial" pitchFamily="34" charset="0"/>
                </a:rPr>
                <a:t> Population pyramid, Bahrain</a:t>
              </a:r>
              <a:r>
                <a:rPr lang="en-US" sz="1800" b="1">
                  <a:latin typeface="+mn-lt"/>
                </a:rPr>
                <a:t>,</a:t>
              </a:r>
              <a:r>
                <a:rPr lang="en-US" sz="1800" b="1" baseline="0">
                  <a:latin typeface="+mn-lt"/>
                </a:rPr>
                <a:t> Census 2001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>
                <a:latin typeface="+mn-lt"/>
              </a:endParaRPr>
            </a:p>
          </xdr:txBody>
        </xdr:sp>
      </xdr:grpSp>
      <xdr:sp macro="" textlink="">
        <xdr:nvSpPr>
          <xdr:cNvPr id="4" name="Rectangle 3"/>
          <xdr:cNvSpPr/>
        </xdr:nvSpPr>
        <xdr:spPr>
          <a:xfrm>
            <a:off x="16280002" y="6892159"/>
            <a:ext cx="593563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/>
          <xdr:cNvSpPr/>
        </xdr:nvSpPr>
        <xdr:spPr>
          <a:xfrm>
            <a:off x="19473189" y="6892159"/>
            <a:ext cx="822614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26</xdr:row>
      <xdr:rowOff>91540</xdr:rowOff>
    </xdr:from>
    <xdr:to>
      <xdr:col>14</xdr:col>
      <xdr:colOff>593151</xdr:colOff>
      <xdr:row>49</xdr:row>
      <xdr:rowOff>125290</xdr:rowOff>
    </xdr:to>
    <xdr:grpSp>
      <xdr:nvGrpSpPr>
        <xdr:cNvPr id="10" name="Group 9"/>
        <xdr:cNvGrpSpPr/>
      </xdr:nvGrpSpPr>
      <xdr:grpSpPr>
        <a:xfrm>
          <a:off x="-1" y="5084484"/>
          <a:ext cx="9196378" cy="4273911"/>
          <a:chOff x="14435942" y="11064833"/>
          <a:chExt cx="9009783" cy="4294745"/>
        </a:xfrm>
      </xdr:grpSpPr>
      <xdr:grpSp>
        <xdr:nvGrpSpPr>
          <xdr:cNvPr id="11" name="Group 113"/>
          <xdr:cNvGrpSpPr/>
        </xdr:nvGrpSpPr>
        <xdr:grpSpPr>
          <a:xfrm>
            <a:off x="14435942" y="11064833"/>
            <a:ext cx="9009783" cy="4294745"/>
            <a:chOff x="14489545" y="11155413"/>
            <a:chExt cx="9009784" cy="4342297"/>
          </a:xfrm>
        </xdr:grpSpPr>
        <xdr:grpSp>
          <xdr:nvGrpSpPr>
            <xdr:cNvPr id="14" name="Group 13"/>
            <xdr:cNvGrpSpPr/>
          </xdr:nvGrpSpPr>
          <xdr:grpSpPr>
            <a:xfrm>
              <a:off x="14489545" y="12151591"/>
              <a:ext cx="9009784" cy="3346119"/>
              <a:chOff x="13787438" y="976312"/>
              <a:chExt cx="9024936" cy="3395187"/>
            </a:xfrm>
          </xdr:grpSpPr>
          <xdr:graphicFrame macro="">
            <xdr:nvGraphicFramePr>
              <xdr:cNvPr id="16" name="Chart 15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17" name="Chart 1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15" name="Rectangle 14"/>
            <xdr:cNvSpPr/>
          </xdr:nvSpPr>
          <xdr:spPr>
            <a:xfrm>
              <a:off x="15256493" y="11155413"/>
              <a:ext cx="7298378" cy="115770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r"/>
              <a:endParaRPr lang="en-US" sz="1800" b="1"/>
            </a:p>
            <a:p>
              <a:pPr algn="ctr"/>
              <a:r>
                <a:rPr lang="ar-LB" sz="1800" b="1">
                  <a:latin typeface="Arial" pitchFamily="34" charset="0"/>
                  <a:cs typeface="Arial" pitchFamily="34" charset="0"/>
                </a:rPr>
                <a:t>الشكل 8: الهرم السكاني، مصر، تعداد 1996</a:t>
              </a:r>
              <a:endParaRPr lang="en-US" sz="1800" b="1">
                <a:latin typeface="Arial" pitchFamily="34" charset="0"/>
                <a:cs typeface="Arial" pitchFamily="34" charset="0"/>
              </a:endParaRPr>
            </a:p>
            <a:p>
              <a:pPr algn="ctr"/>
              <a:r>
                <a:rPr lang="en-US" sz="1800" b="1"/>
                <a:t>Figure 8</a:t>
              </a:r>
              <a:r>
                <a:rPr lang="ar-LB" sz="1800" b="1"/>
                <a:t>:</a:t>
              </a:r>
              <a:r>
                <a:rPr lang="en-US" sz="1800" b="1"/>
                <a:t> Population pyramid, Egypt,</a:t>
              </a:r>
              <a:r>
                <a:rPr lang="en-US" sz="1800" b="1" baseline="0"/>
                <a:t> Census 1996</a:t>
              </a:r>
              <a:endParaRPr lang="ar-LB" sz="1800" b="1" baseline="0"/>
            </a:p>
            <a:p>
              <a:pPr algn="ctr"/>
              <a:endParaRPr lang="ar-LB" sz="1800" b="1" baseline="0"/>
            </a:p>
            <a:p>
              <a:pPr algn="ctr"/>
              <a:endParaRPr lang="en-US" sz="1800" b="1" baseline="0"/>
            </a:p>
            <a:p>
              <a:pPr algn="r"/>
              <a:endParaRPr lang="en-US" sz="1800" b="1"/>
            </a:p>
          </xdr:txBody>
        </xdr:sp>
      </xdr:grpSp>
      <xdr:sp macro="" textlink="">
        <xdr:nvSpPr>
          <xdr:cNvPr id="12" name="Rectangle 11"/>
          <xdr:cNvSpPr/>
        </xdr:nvSpPr>
        <xdr:spPr>
          <a:xfrm>
            <a:off x="19996466" y="12605698"/>
            <a:ext cx="827960" cy="3448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/>
          <xdr:cNvSpPr/>
        </xdr:nvSpPr>
        <xdr:spPr>
          <a:xfrm>
            <a:off x="16821464" y="12605697"/>
            <a:ext cx="817269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26</xdr:row>
      <xdr:rowOff>91540</xdr:rowOff>
    </xdr:from>
    <xdr:to>
      <xdr:col>30</xdr:col>
      <xdr:colOff>593151</xdr:colOff>
      <xdr:row>49</xdr:row>
      <xdr:rowOff>125290</xdr:rowOff>
    </xdr:to>
    <xdr:grpSp>
      <xdr:nvGrpSpPr>
        <xdr:cNvPr id="18" name="Group 17"/>
        <xdr:cNvGrpSpPr/>
      </xdr:nvGrpSpPr>
      <xdr:grpSpPr>
        <a:xfrm>
          <a:off x="9827341" y="5084484"/>
          <a:ext cx="9201294" cy="4273911"/>
          <a:chOff x="14044117" y="16227035"/>
          <a:chExt cx="9008700" cy="4370213"/>
        </a:xfrm>
      </xdr:grpSpPr>
      <xdr:grpSp>
        <xdr:nvGrpSpPr>
          <xdr:cNvPr id="19" name="Group 114"/>
          <xdr:cNvGrpSpPr/>
        </xdr:nvGrpSpPr>
        <xdr:grpSpPr>
          <a:xfrm>
            <a:off x="14044117" y="16227035"/>
            <a:ext cx="9008700" cy="4370213"/>
            <a:chOff x="14097721" y="16360189"/>
            <a:chExt cx="9008700" cy="4418484"/>
          </a:xfrm>
        </xdr:grpSpPr>
        <xdr:grpSp>
          <xdr:nvGrpSpPr>
            <xdr:cNvPr id="22" name="Group 16"/>
            <xdr:cNvGrpSpPr/>
          </xdr:nvGrpSpPr>
          <xdr:grpSpPr>
            <a:xfrm>
              <a:off x="14097721" y="17435440"/>
              <a:ext cx="9008700" cy="3343233"/>
              <a:chOff x="13787438" y="976312"/>
              <a:chExt cx="9024936" cy="3395187"/>
            </a:xfrm>
          </xdr:grpSpPr>
          <xdr:graphicFrame macro="">
            <xdr:nvGraphicFramePr>
              <xdr:cNvPr id="24" name="Chart 2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graphicFrame macro="">
            <xdr:nvGraphicFramePr>
              <xdr:cNvPr id="25" name="Chart 24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3" name="Rectangle 22"/>
            <xdr:cNvSpPr/>
          </xdr:nvSpPr>
          <xdr:spPr>
            <a:xfrm>
              <a:off x="14860650" y="16360189"/>
              <a:ext cx="7323117" cy="125124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r"/>
              <a:endParaRPr lang="en-US" sz="1800" b="1"/>
            </a:p>
            <a:p>
              <a:pPr algn="ctr"/>
              <a:r>
                <a:rPr lang="ar-LB" sz="1800" b="1"/>
                <a:t>الشكل</a:t>
              </a:r>
              <a:r>
                <a:rPr lang="ar-LB" sz="1800" b="1" baseline="0"/>
                <a:t> 9: الهرم السكاني، </a:t>
              </a:r>
              <a:r>
                <a:rPr lang="ar-LB" sz="1800" b="1"/>
                <a:t>مصر، تعداد 2006</a:t>
              </a:r>
              <a:endParaRPr lang="en-US" sz="1800" b="1"/>
            </a:p>
            <a:p>
              <a:pPr algn="ctr"/>
              <a:r>
                <a:rPr lang="en-US" sz="1800" b="1"/>
                <a:t>Figure 9</a:t>
              </a:r>
              <a:r>
                <a:rPr lang="ar-LB" sz="1800" b="1"/>
                <a:t>:</a:t>
              </a:r>
              <a:r>
                <a:rPr lang="en-US" sz="1800" b="1"/>
                <a:t> Population pyramid, Egypt,</a:t>
              </a:r>
              <a:r>
                <a:rPr lang="en-US" sz="1800" b="1" baseline="0"/>
                <a:t> Census </a:t>
              </a:r>
              <a:r>
                <a:rPr lang="ar-LB" sz="1800" b="1" baseline="0"/>
                <a:t>2006</a:t>
              </a:r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r"/>
              <a:endParaRPr lang="en-US" sz="1800" b="1"/>
            </a:p>
          </xdr:txBody>
        </xdr:sp>
      </xdr:grpSp>
      <xdr:sp macro="" textlink="">
        <xdr:nvSpPr>
          <xdr:cNvPr id="20" name="Rectangle 19"/>
          <xdr:cNvSpPr/>
        </xdr:nvSpPr>
        <xdr:spPr>
          <a:xfrm>
            <a:off x="16554152" y="17882300"/>
            <a:ext cx="535879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Rectangle 20"/>
          <xdr:cNvSpPr/>
        </xdr:nvSpPr>
        <xdr:spPr>
          <a:xfrm>
            <a:off x="19599304" y="17895616"/>
            <a:ext cx="82261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52</xdr:row>
      <xdr:rowOff>185554</xdr:rowOff>
    </xdr:from>
    <xdr:to>
      <xdr:col>14</xdr:col>
      <xdr:colOff>593151</xdr:colOff>
      <xdr:row>76</xdr:row>
      <xdr:rowOff>32945</xdr:rowOff>
    </xdr:to>
    <xdr:grpSp>
      <xdr:nvGrpSpPr>
        <xdr:cNvPr id="26" name="Group 25"/>
        <xdr:cNvGrpSpPr/>
      </xdr:nvGrpSpPr>
      <xdr:grpSpPr>
        <a:xfrm>
          <a:off x="-1" y="9971723"/>
          <a:ext cx="9196378" cy="4271907"/>
          <a:chOff x="14435942" y="21818576"/>
          <a:chExt cx="9015817" cy="4537752"/>
        </a:xfrm>
      </xdr:grpSpPr>
      <xdr:grpSp>
        <xdr:nvGrpSpPr>
          <xdr:cNvPr id="27" name="Group 115"/>
          <xdr:cNvGrpSpPr/>
        </xdr:nvGrpSpPr>
        <xdr:grpSpPr>
          <a:xfrm>
            <a:off x="14435942" y="21818576"/>
            <a:ext cx="9015817" cy="4537752"/>
            <a:chOff x="14489545" y="21996131"/>
            <a:chExt cx="9015818" cy="4587749"/>
          </a:xfrm>
        </xdr:grpSpPr>
        <xdr:grpSp>
          <xdr:nvGrpSpPr>
            <xdr:cNvPr id="31" name="Group 19"/>
            <xdr:cNvGrpSpPr/>
          </xdr:nvGrpSpPr>
          <xdr:grpSpPr>
            <a:xfrm>
              <a:off x="14489545" y="23163068"/>
              <a:ext cx="9015818" cy="3420812"/>
              <a:chOff x="13787438" y="976312"/>
              <a:chExt cx="9024936" cy="3465569"/>
            </a:xfrm>
          </xdr:grpSpPr>
          <xdr:graphicFrame macro="">
            <xdr:nvGraphicFramePr>
              <xdr:cNvPr id="33" name="Chart 32"/>
              <xdr:cNvGraphicFramePr/>
            </xdr:nvGraphicFramePr>
            <xdr:xfrm>
              <a:off x="13787438" y="976312"/>
              <a:ext cx="4572000" cy="345366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34" name="Chart 33"/>
              <xdr:cNvGraphicFramePr/>
            </xdr:nvGraphicFramePr>
            <xdr:xfrm>
              <a:off x="18240374" y="988219"/>
              <a:ext cx="4572000" cy="345366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sp macro="" textlink="">
          <xdr:nvSpPr>
            <xdr:cNvPr id="32" name="Rectangle 31"/>
            <xdr:cNvSpPr/>
          </xdr:nvSpPr>
          <xdr:spPr>
            <a:xfrm>
              <a:off x="15256494" y="21996131"/>
              <a:ext cx="7323117" cy="133767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10: الهرم السكاني، العراق، تعداد 1987</a:t>
              </a:r>
              <a:endParaRPr lang="en-US" sz="1800" b="1"/>
            </a:p>
            <a:p>
              <a:pPr algn="ctr"/>
              <a:r>
                <a:rPr lang="en-US" sz="1800" b="1"/>
                <a:t>Figure 10</a:t>
              </a:r>
              <a:r>
                <a:rPr lang="ar-LB" sz="1800" b="1"/>
                <a:t>:</a:t>
              </a:r>
              <a:r>
                <a:rPr lang="en-US" sz="1800" b="1"/>
                <a:t> Population pyramid, Iraq,</a:t>
              </a:r>
              <a:r>
                <a:rPr lang="en-US" sz="1800" b="1" baseline="0"/>
                <a:t> Census 1987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grpSp>
        <xdr:nvGrpSpPr>
          <xdr:cNvPr id="28" name="Group 199"/>
          <xdr:cNvGrpSpPr/>
        </xdr:nvGrpSpPr>
        <xdr:grpSpPr>
          <a:xfrm>
            <a:off x="16914610" y="23528978"/>
            <a:ext cx="3922645" cy="342241"/>
            <a:chOff x="16914610" y="23528978"/>
            <a:chExt cx="3922645" cy="342241"/>
          </a:xfrm>
        </xdr:grpSpPr>
        <xdr:sp macro="" textlink="">
          <xdr:nvSpPr>
            <xdr:cNvPr id="29" name="Rectangle 28"/>
            <xdr:cNvSpPr/>
          </xdr:nvSpPr>
          <xdr:spPr>
            <a:xfrm>
              <a:off x="16914610" y="23529512"/>
              <a:ext cx="573383" cy="3417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r"/>
              <a:r>
                <a:rPr lang="en-US" sz="1100">
                  <a:solidFill>
                    <a:sysClr val="windowText" lastClr="000000"/>
                  </a:solidFill>
                </a:rPr>
                <a:t>Male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    </a:t>
              </a:r>
              <a:r>
                <a:rPr lang="ar-LB" sz="1100" baseline="0">
                  <a:solidFill>
                    <a:sysClr val="windowText" lastClr="000000"/>
                  </a:solidFill>
                </a:rPr>
                <a:t>ذكور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0" name="Rectangle 29"/>
            <xdr:cNvSpPr/>
          </xdr:nvSpPr>
          <xdr:spPr>
            <a:xfrm>
              <a:off x="20014640" y="23528978"/>
              <a:ext cx="822615" cy="34224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Female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    </a:t>
              </a:r>
              <a:r>
                <a:rPr lang="ar-LB" sz="1100" baseline="0">
                  <a:solidFill>
                    <a:sysClr val="windowText" lastClr="000000"/>
                  </a:solidFill>
                </a:rPr>
                <a:t>إناث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15</xdr:col>
      <xdr:colOff>609599</xdr:colOff>
      <xdr:row>52</xdr:row>
      <xdr:rowOff>185554</xdr:rowOff>
    </xdr:from>
    <xdr:to>
      <xdr:col>30</xdr:col>
      <xdr:colOff>593151</xdr:colOff>
      <xdr:row>76</xdr:row>
      <xdr:rowOff>32945</xdr:rowOff>
    </xdr:to>
    <xdr:grpSp>
      <xdr:nvGrpSpPr>
        <xdr:cNvPr id="35" name="Group 34"/>
        <xdr:cNvGrpSpPr/>
      </xdr:nvGrpSpPr>
      <xdr:grpSpPr>
        <a:xfrm>
          <a:off x="9827341" y="9971723"/>
          <a:ext cx="9201294" cy="4271907"/>
          <a:chOff x="14435942" y="27309425"/>
          <a:chExt cx="9015817" cy="4346841"/>
        </a:xfrm>
      </xdr:grpSpPr>
      <xdr:grpSp>
        <xdr:nvGrpSpPr>
          <xdr:cNvPr id="36" name="Group 116"/>
          <xdr:cNvGrpSpPr/>
        </xdr:nvGrpSpPr>
        <xdr:grpSpPr>
          <a:xfrm>
            <a:off x="14435942" y="27309419"/>
            <a:ext cx="9015817" cy="4346840"/>
            <a:chOff x="14489545" y="27531301"/>
            <a:chExt cx="9015818" cy="4395038"/>
          </a:xfrm>
        </xdr:grpSpPr>
        <xdr:grpSp>
          <xdr:nvGrpSpPr>
            <xdr:cNvPr id="39" name="Group 22"/>
            <xdr:cNvGrpSpPr/>
          </xdr:nvGrpSpPr>
          <xdr:grpSpPr>
            <a:xfrm>
              <a:off x="14489545" y="28575000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41" name="Chart 4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graphicFrame macro="">
            <xdr:nvGraphicFramePr>
              <xdr:cNvPr id="42" name="Chart 24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  <xdr:sp macro="" textlink="">
          <xdr:nvSpPr>
            <xdr:cNvPr id="40" name="Rectangle 39"/>
            <xdr:cNvSpPr/>
          </xdr:nvSpPr>
          <xdr:spPr>
            <a:xfrm>
              <a:off x="15268863" y="27531301"/>
              <a:ext cx="7310748" cy="12253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11: الهرم السكاني، العراق، تعداد 1997</a:t>
              </a:r>
              <a:endParaRPr lang="en-US" sz="1800" b="1"/>
            </a:p>
            <a:p>
              <a:pPr algn="ctr"/>
              <a:r>
                <a:rPr lang="en-US" sz="1800" b="1"/>
                <a:t>Figure 11</a:t>
              </a:r>
              <a:r>
                <a:rPr lang="ar-LB" sz="1800" b="1"/>
                <a:t>:</a:t>
              </a:r>
              <a:r>
                <a:rPr lang="en-US" sz="1800" b="1"/>
                <a:t> </a:t>
              </a:r>
              <a:r>
                <a:rPr lang="en-US" sz="1800" b="1" baseline="0"/>
                <a:t>Population pyramid, </a:t>
              </a:r>
              <a:r>
                <a:rPr lang="en-US" sz="1800" b="1"/>
                <a:t>Iraq,</a:t>
              </a:r>
              <a:r>
                <a:rPr lang="en-US" sz="1800" b="1" baseline="0"/>
                <a:t> Census 1997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37" name="Rectangle 36"/>
          <xdr:cNvSpPr/>
        </xdr:nvSpPr>
        <xdr:spPr>
          <a:xfrm>
            <a:off x="16831617" y="28888655"/>
            <a:ext cx="656376" cy="341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/>
          <xdr:cNvSpPr/>
        </xdr:nvSpPr>
        <xdr:spPr>
          <a:xfrm>
            <a:off x="20007160" y="28888654"/>
            <a:ext cx="827960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402534</xdr:colOff>
      <xdr:row>113</xdr:row>
      <xdr:rowOff>40466</xdr:rowOff>
    </xdr:from>
    <xdr:to>
      <xdr:col>15</xdr:col>
      <xdr:colOff>386086</xdr:colOff>
      <xdr:row>136</xdr:row>
      <xdr:rowOff>72213</xdr:rowOff>
    </xdr:to>
    <xdr:grpSp>
      <xdr:nvGrpSpPr>
        <xdr:cNvPr id="51" name="Group 50"/>
        <xdr:cNvGrpSpPr/>
      </xdr:nvGrpSpPr>
      <xdr:grpSpPr>
        <a:xfrm>
          <a:off x="402534" y="21072281"/>
          <a:ext cx="9201294" cy="4271908"/>
          <a:chOff x="13960283" y="49055407"/>
          <a:chExt cx="9008700" cy="4472599"/>
        </a:xfrm>
      </xdr:grpSpPr>
      <xdr:grpSp>
        <xdr:nvGrpSpPr>
          <xdr:cNvPr id="52" name="Group 120"/>
          <xdr:cNvGrpSpPr/>
        </xdr:nvGrpSpPr>
        <xdr:grpSpPr>
          <a:xfrm>
            <a:off x="13960283" y="49055407"/>
            <a:ext cx="9008700" cy="4472599"/>
            <a:chOff x="14013887" y="49455392"/>
            <a:chExt cx="9008700" cy="4519996"/>
          </a:xfrm>
        </xdr:grpSpPr>
        <xdr:grpSp>
          <xdr:nvGrpSpPr>
            <xdr:cNvPr id="55" name="Group 34"/>
            <xdr:cNvGrpSpPr/>
          </xdr:nvGrpSpPr>
          <xdr:grpSpPr>
            <a:xfrm>
              <a:off x="14013887" y="50624050"/>
              <a:ext cx="9008700" cy="3351338"/>
              <a:chOff x="13787438" y="976312"/>
              <a:chExt cx="9024936" cy="3395187"/>
            </a:xfrm>
          </xdr:grpSpPr>
          <xdr:graphicFrame macro="">
            <xdr:nvGraphicFramePr>
              <xdr:cNvPr id="57" name="Chart 56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graphicFrame macro="">
            <xdr:nvGraphicFramePr>
              <xdr:cNvPr id="58" name="Chart 3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</xdr:grpSp>
        <xdr:sp macro="" textlink="">
          <xdr:nvSpPr>
            <xdr:cNvPr id="56" name="Rectangle 94"/>
            <xdr:cNvSpPr/>
          </xdr:nvSpPr>
          <xdr:spPr>
            <a:xfrm>
              <a:off x="14798680" y="49455392"/>
              <a:ext cx="7268690" cy="129970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  </a:t>
              </a:r>
              <a:r>
                <a:rPr lang="ar-LB" sz="1800" b="1">
                  <a:latin typeface="+mn-lt"/>
                </a:rPr>
                <a:t>الشكل 14: الهرم السكاني، الكويت، تعداد 2005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14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Kuwait,</a:t>
              </a:r>
              <a:r>
                <a:rPr lang="en-US" sz="1800" b="1" baseline="0">
                  <a:latin typeface="+mn-lt"/>
                </a:rPr>
                <a:t> Census 2005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53" name="Rectangle 52"/>
          <xdr:cNvSpPr/>
        </xdr:nvSpPr>
        <xdr:spPr>
          <a:xfrm>
            <a:off x="16472989" y="50773178"/>
            <a:ext cx="587977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4" name="Rectangle 53"/>
          <xdr:cNvSpPr/>
        </xdr:nvSpPr>
        <xdr:spPr>
          <a:xfrm>
            <a:off x="19524553" y="50772644"/>
            <a:ext cx="822615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41411</xdr:colOff>
      <xdr:row>138</xdr:row>
      <xdr:rowOff>113425</xdr:rowOff>
    </xdr:from>
    <xdr:to>
      <xdr:col>15</xdr:col>
      <xdr:colOff>34074</xdr:colOff>
      <xdr:row>161</xdr:row>
      <xdr:rowOff>147175</xdr:rowOff>
    </xdr:to>
    <xdr:grpSp>
      <xdr:nvGrpSpPr>
        <xdr:cNvPr id="59" name="Group 58"/>
        <xdr:cNvGrpSpPr/>
      </xdr:nvGrpSpPr>
      <xdr:grpSpPr>
        <a:xfrm>
          <a:off x="41411" y="25754110"/>
          <a:ext cx="9210405" cy="4273912"/>
          <a:chOff x="14435942" y="59849470"/>
          <a:chExt cx="9015817" cy="4377338"/>
        </a:xfrm>
      </xdr:grpSpPr>
      <xdr:grpSp>
        <xdr:nvGrpSpPr>
          <xdr:cNvPr id="60" name="Group 122"/>
          <xdr:cNvGrpSpPr/>
        </xdr:nvGrpSpPr>
        <xdr:grpSpPr>
          <a:xfrm>
            <a:off x="14435942" y="59849470"/>
            <a:ext cx="9015817" cy="4377338"/>
            <a:chOff x="14489545" y="60347056"/>
            <a:chExt cx="9015818" cy="4426101"/>
          </a:xfrm>
        </xdr:grpSpPr>
        <xdr:grpSp>
          <xdr:nvGrpSpPr>
            <xdr:cNvPr id="63" name="Group 40"/>
            <xdr:cNvGrpSpPr/>
          </xdr:nvGrpSpPr>
          <xdr:grpSpPr>
            <a:xfrm>
              <a:off x="14489545" y="6142181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65" name="Chart 4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graphicFrame macro="">
            <xdr:nvGraphicFramePr>
              <xdr:cNvPr id="66" name="Chart 4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</xdr:grpSp>
        <xdr:sp macro="" textlink="">
          <xdr:nvSpPr>
            <xdr:cNvPr id="64" name="Rectangle 96"/>
            <xdr:cNvSpPr/>
          </xdr:nvSpPr>
          <xdr:spPr>
            <a:xfrm>
              <a:off x="15269769" y="60347056"/>
              <a:ext cx="7297381" cy="12305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16: الهرم السكاني، عمان، تعداد 2003</a:t>
              </a:r>
              <a:endParaRPr lang="en-US" sz="1800" b="1"/>
            </a:p>
            <a:p>
              <a:pPr algn="ctr"/>
              <a:r>
                <a:rPr lang="en-US" sz="1800" b="1"/>
                <a:t>Figure 16</a:t>
              </a:r>
              <a:r>
                <a:rPr lang="ar-LB" sz="1800" b="1"/>
                <a:t>:</a:t>
              </a:r>
              <a:r>
                <a:rPr lang="en-US" sz="1800" b="1"/>
                <a:t> Population pyramid, Oman,</a:t>
              </a:r>
              <a:r>
                <a:rPr lang="en-US" sz="1800" b="1" baseline="0"/>
                <a:t> Census 2003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61" name="Rectangle 60"/>
          <xdr:cNvSpPr/>
        </xdr:nvSpPr>
        <xdr:spPr>
          <a:xfrm>
            <a:off x="16847372" y="61452633"/>
            <a:ext cx="594723" cy="341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/>
        </xdr:nvSpPr>
        <xdr:spPr>
          <a:xfrm>
            <a:off x="20007157" y="61452098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173</xdr:row>
      <xdr:rowOff>183077</xdr:rowOff>
    </xdr:from>
    <xdr:to>
      <xdr:col>14</xdr:col>
      <xdr:colOff>593151</xdr:colOff>
      <xdr:row>197</xdr:row>
      <xdr:rowOff>30468</xdr:rowOff>
    </xdr:to>
    <xdr:grpSp>
      <xdr:nvGrpSpPr>
        <xdr:cNvPr id="67" name="Group 66"/>
        <xdr:cNvGrpSpPr/>
      </xdr:nvGrpSpPr>
      <xdr:grpSpPr>
        <a:xfrm>
          <a:off x="-1" y="32276182"/>
          <a:ext cx="9196378" cy="4271907"/>
          <a:chOff x="14435942" y="65570175"/>
          <a:chExt cx="9015817" cy="4285061"/>
        </a:xfrm>
      </xdr:grpSpPr>
      <xdr:grpSp>
        <xdr:nvGrpSpPr>
          <xdr:cNvPr id="68" name="Group 123"/>
          <xdr:cNvGrpSpPr/>
        </xdr:nvGrpSpPr>
        <xdr:grpSpPr>
          <a:xfrm>
            <a:off x="14435942" y="65570175"/>
            <a:ext cx="9015817" cy="4285061"/>
            <a:chOff x="14489545" y="66114221"/>
            <a:chExt cx="9015818" cy="4330641"/>
          </a:xfrm>
        </xdr:grpSpPr>
        <xdr:grpSp>
          <xdr:nvGrpSpPr>
            <xdr:cNvPr id="71" name="Group 43"/>
            <xdr:cNvGrpSpPr/>
          </xdr:nvGrpSpPr>
          <xdr:grpSpPr>
            <a:xfrm>
              <a:off x="14489545" y="67093523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73" name="Chart 7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graphicFrame macro="">
            <xdr:nvGraphicFramePr>
              <xdr:cNvPr id="74" name="Chart 4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</xdr:grpSp>
        <xdr:sp macro="" textlink="">
          <xdr:nvSpPr>
            <xdr:cNvPr id="72" name="Rectangle 71"/>
            <xdr:cNvSpPr/>
          </xdr:nvSpPr>
          <xdr:spPr>
            <a:xfrm>
              <a:off x="15231754" y="66114221"/>
              <a:ext cx="7372597" cy="1146866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فلسطين، تعداد 1997  </a:t>
              </a:r>
              <a:r>
                <a:rPr lang="en-US" sz="1800" b="1"/>
                <a:t> </a:t>
              </a:r>
              <a:r>
                <a:rPr lang="ar-LB" sz="1800" b="1"/>
                <a:t>الشكل 18: الهرم السكاني،</a:t>
              </a:r>
              <a:endParaRPr lang="en-US" sz="1800" b="1"/>
            </a:p>
            <a:p>
              <a:pPr algn="ctr"/>
              <a:r>
                <a:rPr lang="en-US" sz="1800" b="1"/>
                <a:t>Figure 18</a:t>
              </a:r>
              <a:r>
                <a:rPr lang="ar-LB" sz="1800" b="1"/>
                <a:t>:</a:t>
              </a:r>
              <a:r>
                <a:rPr lang="en-US" sz="1800" b="1"/>
                <a:t> Population pyramid, Palestine,</a:t>
              </a:r>
              <a:r>
                <a:rPr lang="en-US" sz="1800" b="1" baseline="0"/>
                <a:t> Census 1997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69" name="Rectangle 68"/>
          <xdr:cNvSpPr/>
        </xdr:nvSpPr>
        <xdr:spPr>
          <a:xfrm>
            <a:off x="16891418" y="67072743"/>
            <a:ext cx="585102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/>
        </xdr:nvSpPr>
        <xdr:spPr>
          <a:xfrm>
            <a:off x="20008228" y="67072743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173</xdr:row>
      <xdr:rowOff>183077</xdr:rowOff>
    </xdr:from>
    <xdr:to>
      <xdr:col>30</xdr:col>
      <xdr:colOff>593151</xdr:colOff>
      <xdr:row>197</xdr:row>
      <xdr:rowOff>30468</xdr:rowOff>
    </xdr:to>
    <xdr:grpSp>
      <xdr:nvGrpSpPr>
        <xdr:cNvPr id="75" name="Group 74"/>
        <xdr:cNvGrpSpPr/>
      </xdr:nvGrpSpPr>
      <xdr:grpSpPr>
        <a:xfrm>
          <a:off x="9827341" y="32276182"/>
          <a:ext cx="9201294" cy="4271907"/>
          <a:chOff x="14435942" y="71480889"/>
          <a:chExt cx="9015817" cy="4373847"/>
        </a:xfrm>
      </xdr:grpSpPr>
      <xdr:grpSp>
        <xdr:nvGrpSpPr>
          <xdr:cNvPr id="76" name="Group 124"/>
          <xdr:cNvGrpSpPr/>
        </xdr:nvGrpSpPr>
        <xdr:grpSpPr>
          <a:xfrm>
            <a:off x="14435942" y="71480873"/>
            <a:ext cx="9015817" cy="4373846"/>
            <a:chOff x="14489545" y="72071422"/>
            <a:chExt cx="9015818" cy="4420371"/>
          </a:xfrm>
        </xdr:grpSpPr>
        <xdr:grpSp>
          <xdr:nvGrpSpPr>
            <xdr:cNvPr id="79" name="Group 46"/>
            <xdr:cNvGrpSpPr/>
          </xdr:nvGrpSpPr>
          <xdr:grpSpPr>
            <a:xfrm>
              <a:off x="14489545" y="7314045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81" name="Chart 8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xdr:graphicFrame>
          <xdr:graphicFrame macro="">
            <xdr:nvGraphicFramePr>
              <xdr:cNvPr id="82" name="Chart 8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8"/>
              </a:graphicData>
            </a:graphic>
          </xdr:graphicFrame>
        </xdr:grpSp>
        <xdr:sp macro="" textlink="">
          <xdr:nvSpPr>
            <xdr:cNvPr id="80" name="Rectangle 98"/>
            <xdr:cNvSpPr/>
          </xdr:nvSpPr>
          <xdr:spPr>
            <a:xfrm>
              <a:off x="15256494" y="72071422"/>
              <a:ext cx="7323117" cy="12118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فلسطين، تعداد 2007</a:t>
              </a:r>
              <a:r>
                <a:rPr lang="en-US" sz="1800" b="1"/>
                <a:t> </a:t>
              </a:r>
              <a:r>
                <a:rPr lang="ar-LB" sz="1800" b="1"/>
                <a:t>الشكل 19: الهرم السكاني،</a:t>
              </a:r>
              <a:endParaRPr lang="en-US" sz="1800" b="1"/>
            </a:p>
            <a:p>
              <a:pPr algn="ctr"/>
              <a:r>
                <a:rPr lang="en-US" sz="1800" b="1"/>
                <a:t>Figure 19</a:t>
              </a:r>
              <a:r>
                <a:rPr lang="ar-LB" sz="1800" b="1"/>
                <a:t>:</a:t>
              </a:r>
              <a:r>
                <a:rPr lang="en-US" sz="1800" b="1"/>
                <a:t> Population pyramid, Palestine,</a:t>
              </a:r>
              <a:r>
                <a:rPr lang="en-US" sz="1800" b="1" baseline="0"/>
                <a:t> Census 2007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77" name="Rectangle 76"/>
          <xdr:cNvSpPr/>
        </xdr:nvSpPr>
        <xdr:spPr>
          <a:xfrm>
            <a:off x="16940479" y="73094170"/>
            <a:ext cx="604883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8" name="Rectangle 77"/>
          <xdr:cNvSpPr/>
        </xdr:nvSpPr>
        <xdr:spPr>
          <a:xfrm>
            <a:off x="20008762" y="73094170"/>
            <a:ext cx="822614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199</xdr:row>
      <xdr:rowOff>158337</xdr:rowOff>
    </xdr:from>
    <xdr:to>
      <xdr:col>14</xdr:col>
      <xdr:colOff>593151</xdr:colOff>
      <xdr:row>223</xdr:row>
      <xdr:rowOff>5728</xdr:rowOff>
    </xdr:to>
    <xdr:grpSp>
      <xdr:nvGrpSpPr>
        <xdr:cNvPr id="83" name="Group 82"/>
        <xdr:cNvGrpSpPr/>
      </xdr:nvGrpSpPr>
      <xdr:grpSpPr>
        <a:xfrm>
          <a:off x="-1" y="37044668"/>
          <a:ext cx="9196378" cy="4271907"/>
          <a:chOff x="14435942" y="77801937"/>
          <a:chExt cx="9015817" cy="4361576"/>
        </a:xfrm>
      </xdr:grpSpPr>
      <xdr:grpSp>
        <xdr:nvGrpSpPr>
          <xdr:cNvPr id="84" name="Group 125"/>
          <xdr:cNvGrpSpPr/>
        </xdr:nvGrpSpPr>
        <xdr:grpSpPr>
          <a:xfrm>
            <a:off x="14435942" y="77801937"/>
            <a:ext cx="9015817" cy="4361576"/>
            <a:chOff x="14489545" y="78433853"/>
            <a:chExt cx="9015818" cy="4407940"/>
          </a:xfrm>
        </xdr:grpSpPr>
        <xdr:grpSp>
          <xdr:nvGrpSpPr>
            <xdr:cNvPr id="87" name="Group 49"/>
            <xdr:cNvGrpSpPr/>
          </xdr:nvGrpSpPr>
          <xdr:grpSpPr>
            <a:xfrm>
              <a:off x="14489545" y="7949045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89" name="Chart 5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9"/>
              </a:graphicData>
            </a:graphic>
          </xdr:graphicFrame>
          <xdr:graphicFrame macro="">
            <xdr:nvGraphicFramePr>
              <xdr:cNvPr id="90" name="Chart 89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xdr:graphicFrame>
        </xdr:grpSp>
        <xdr:sp macro="" textlink="">
          <xdr:nvSpPr>
            <xdr:cNvPr id="88" name="Rectangle 87"/>
            <xdr:cNvSpPr/>
          </xdr:nvSpPr>
          <xdr:spPr>
            <a:xfrm>
              <a:off x="15194643" y="78433853"/>
              <a:ext cx="7372598" cy="12015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en-US" sz="1800" b="1"/>
                <a:t> </a:t>
              </a:r>
              <a:r>
                <a:rPr lang="ar-LB" sz="1800" b="1"/>
                <a:t>الشكل 20: الهرم السكاني، قطر، تعداد 2004</a:t>
              </a:r>
              <a:endParaRPr lang="en-US" sz="1800" b="1"/>
            </a:p>
            <a:p>
              <a:pPr algn="ctr"/>
              <a:r>
                <a:rPr lang="en-US" sz="1800" b="1"/>
                <a:t>Figure 20</a:t>
              </a:r>
              <a:r>
                <a:rPr lang="ar-LB" sz="1800" b="1"/>
                <a:t>:</a:t>
              </a:r>
              <a:r>
                <a:rPr lang="en-US" sz="1800" b="1"/>
                <a:t> Population</a:t>
              </a:r>
              <a:r>
                <a:rPr lang="en-US" sz="1800" b="1" baseline="0"/>
                <a:t> pyramid, </a:t>
              </a:r>
              <a:r>
                <a:rPr lang="en-US" sz="1800" b="1"/>
                <a:t>Qatar,</a:t>
              </a:r>
              <a:r>
                <a:rPr lang="en-US" sz="1800" b="1" baseline="0"/>
                <a:t> Census </a:t>
              </a:r>
              <a:r>
                <a:rPr lang="ar-LB" sz="1800" b="1" baseline="0"/>
                <a:t>2004</a:t>
              </a:r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85" name="Rectangle 84"/>
          <xdr:cNvSpPr/>
        </xdr:nvSpPr>
        <xdr:spPr>
          <a:xfrm>
            <a:off x="16971981" y="79369764"/>
            <a:ext cx="596328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Rectangle 85"/>
          <xdr:cNvSpPr/>
        </xdr:nvSpPr>
        <xdr:spPr>
          <a:xfrm>
            <a:off x="20015173" y="79370297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199</xdr:row>
      <xdr:rowOff>158337</xdr:rowOff>
    </xdr:from>
    <xdr:to>
      <xdr:col>30</xdr:col>
      <xdr:colOff>593151</xdr:colOff>
      <xdr:row>223</xdr:row>
      <xdr:rowOff>5728</xdr:rowOff>
    </xdr:to>
    <xdr:grpSp>
      <xdr:nvGrpSpPr>
        <xdr:cNvPr id="91" name="Group 90"/>
        <xdr:cNvGrpSpPr/>
      </xdr:nvGrpSpPr>
      <xdr:grpSpPr>
        <a:xfrm>
          <a:off x="9827341" y="37044668"/>
          <a:ext cx="9201294" cy="4271907"/>
          <a:chOff x="15042077" y="83192441"/>
          <a:chExt cx="9015816" cy="4154160"/>
        </a:xfrm>
      </xdr:grpSpPr>
      <xdr:grpSp>
        <xdr:nvGrpSpPr>
          <xdr:cNvPr id="92" name="Group 126"/>
          <xdr:cNvGrpSpPr/>
        </xdr:nvGrpSpPr>
        <xdr:grpSpPr>
          <a:xfrm>
            <a:off x="15042077" y="83192441"/>
            <a:ext cx="9015816" cy="4154160"/>
            <a:chOff x="15095681" y="83817197"/>
            <a:chExt cx="9015816" cy="4436528"/>
          </a:xfrm>
        </xdr:grpSpPr>
        <xdr:grpSp>
          <xdr:nvGrpSpPr>
            <xdr:cNvPr id="95" name="Group 52"/>
            <xdr:cNvGrpSpPr/>
          </xdr:nvGrpSpPr>
          <xdr:grpSpPr>
            <a:xfrm>
              <a:off x="15095681" y="84902386"/>
              <a:ext cx="9015816" cy="3351339"/>
              <a:chOff x="13787438" y="976312"/>
              <a:chExt cx="9024936" cy="3395187"/>
            </a:xfrm>
          </xdr:grpSpPr>
          <xdr:graphicFrame macro="">
            <xdr:nvGraphicFramePr>
              <xdr:cNvPr id="97" name="Chart 5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1"/>
              </a:graphicData>
            </a:graphic>
          </xdr:graphicFrame>
          <xdr:graphicFrame macro="">
            <xdr:nvGraphicFramePr>
              <xdr:cNvPr id="98" name="Chart 9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2"/>
              </a:graphicData>
            </a:graphic>
          </xdr:graphicFrame>
        </xdr:grpSp>
        <xdr:sp macro="" textlink="">
          <xdr:nvSpPr>
            <xdr:cNvPr id="96" name="Rectangle 95"/>
            <xdr:cNvSpPr/>
          </xdr:nvSpPr>
          <xdr:spPr>
            <a:xfrm>
              <a:off x="15874999" y="83817197"/>
              <a:ext cx="7323118" cy="1229169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قطر، تعداد 2010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21: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21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Qatar,</a:t>
              </a:r>
              <a:r>
                <a:rPr lang="en-US" sz="1800" b="1" baseline="0">
                  <a:latin typeface="+mn-lt"/>
                </a:rPr>
                <a:t> Census </a:t>
              </a:r>
              <a:r>
                <a:rPr lang="ar-LB" sz="1800" b="1" baseline="0">
                  <a:latin typeface="+mn-lt"/>
                </a:rPr>
                <a:t>2010</a:t>
              </a:r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93" name="Rectangle 92"/>
          <xdr:cNvSpPr/>
        </xdr:nvSpPr>
        <xdr:spPr>
          <a:xfrm>
            <a:off x="17752360" y="84709791"/>
            <a:ext cx="55977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4" name="Rectangle 93"/>
          <xdr:cNvSpPr/>
        </xdr:nvSpPr>
        <xdr:spPr>
          <a:xfrm>
            <a:off x="20452123" y="84709793"/>
            <a:ext cx="822615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224</xdr:row>
      <xdr:rowOff>148443</xdr:rowOff>
    </xdr:from>
    <xdr:to>
      <xdr:col>14</xdr:col>
      <xdr:colOff>593151</xdr:colOff>
      <xdr:row>247</xdr:row>
      <xdr:rowOff>182193</xdr:rowOff>
    </xdr:to>
    <xdr:grpSp>
      <xdr:nvGrpSpPr>
        <xdr:cNvPr id="99" name="Group 98"/>
        <xdr:cNvGrpSpPr/>
      </xdr:nvGrpSpPr>
      <xdr:grpSpPr>
        <a:xfrm>
          <a:off x="-1" y="41643645"/>
          <a:ext cx="9196378" cy="4273911"/>
          <a:chOff x="14485422" y="88504259"/>
          <a:chExt cx="9015817" cy="4408898"/>
        </a:xfrm>
      </xdr:grpSpPr>
      <xdr:grpSp>
        <xdr:nvGrpSpPr>
          <xdr:cNvPr id="100" name="Group 127"/>
          <xdr:cNvGrpSpPr/>
        </xdr:nvGrpSpPr>
        <xdr:grpSpPr>
          <a:xfrm>
            <a:off x="14485422" y="88504259"/>
            <a:ext cx="9015817" cy="4408898"/>
            <a:chOff x="14489545" y="89395240"/>
            <a:chExt cx="9015818" cy="4458031"/>
          </a:xfrm>
        </xdr:grpSpPr>
        <xdr:grpSp>
          <xdr:nvGrpSpPr>
            <xdr:cNvPr id="103" name="Group 55"/>
            <xdr:cNvGrpSpPr/>
          </xdr:nvGrpSpPr>
          <xdr:grpSpPr>
            <a:xfrm>
              <a:off x="14489545" y="90501932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05" name="Chart 104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3"/>
              </a:graphicData>
            </a:graphic>
          </xdr:graphicFrame>
          <xdr:graphicFrame macro="">
            <xdr:nvGraphicFramePr>
              <xdr:cNvPr id="106" name="Chart 10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4"/>
              </a:graphicData>
            </a:graphic>
          </xdr:graphicFrame>
        </xdr:grpSp>
        <xdr:sp macro="" textlink="">
          <xdr:nvSpPr>
            <xdr:cNvPr id="104" name="Rectangle 101"/>
            <xdr:cNvSpPr/>
          </xdr:nvSpPr>
          <xdr:spPr>
            <a:xfrm>
              <a:off x="15256495" y="89395240"/>
              <a:ext cx="7335487" cy="123790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السعودية، تعداد </a:t>
              </a:r>
              <a:r>
                <a:rPr lang="ar-LB" sz="1800" b="1">
                  <a:latin typeface="+mn-lt"/>
                </a:rPr>
                <a:t>1992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22: الهرم السكاني،المملكة العربية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/>
                <a:t>Figure 22</a:t>
              </a:r>
              <a:r>
                <a:rPr lang="ar-LB" sz="1800" b="1"/>
                <a:t>:</a:t>
              </a:r>
              <a:r>
                <a:rPr lang="en-US" sz="1800" b="1"/>
                <a:t> Population pyramid, Saudi Arabia,</a:t>
              </a:r>
              <a:r>
                <a:rPr lang="en-US" sz="1800" b="1" baseline="0"/>
                <a:t> Census 1992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01" name="Rectangle 100"/>
          <xdr:cNvSpPr/>
        </xdr:nvSpPr>
        <xdr:spPr>
          <a:xfrm>
            <a:off x="17047773" y="90286266"/>
            <a:ext cx="47822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2" name="Rectangle 101"/>
          <xdr:cNvSpPr/>
        </xdr:nvSpPr>
        <xdr:spPr>
          <a:xfrm>
            <a:off x="20064241" y="90286801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224</xdr:row>
      <xdr:rowOff>148443</xdr:rowOff>
    </xdr:from>
    <xdr:to>
      <xdr:col>30</xdr:col>
      <xdr:colOff>593151</xdr:colOff>
      <xdr:row>247</xdr:row>
      <xdr:rowOff>182193</xdr:rowOff>
    </xdr:to>
    <xdr:grpSp>
      <xdr:nvGrpSpPr>
        <xdr:cNvPr id="107" name="Group 106"/>
        <xdr:cNvGrpSpPr/>
      </xdr:nvGrpSpPr>
      <xdr:grpSpPr>
        <a:xfrm>
          <a:off x="9827341" y="41643645"/>
          <a:ext cx="9201294" cy="4273911"/>
          <a:chOff x="14435942" y="93712554"/>
          <a:chExt cx="9015817" cy="4321827"/>
        </a:xfrm>
      </xdr:grpSpPr>
      <xdr:grpSp>
        <xdr:nvGrpSpPr>
          <xdr:cNvPr id="108" name="Group 128"/>
          <xdr:cNvGrpSpPr/>
        </xdr:nvGrpSpPr>
        <xdr:grpSpPr>
          <a:xfrm>
            <a:off x="14435942" y="93712554"/>
            <a:ext cx="9015817" cy="4321827"/>
            <a:chOff x="14489545" y="94709837"/>
            <a:chExt cx="9015818" cy="4367752"/>
          </a:xfrm>
        </xdr:grpSpPr>
        <xdr:grpSp>
          <xdr:nvGrpSpPr>
            <xdr:cNvPr id="111" name="Group 58"/>
            <xdr:cNvGrpSpPr/>
          </xdr:nvGrpSpPr>
          <xdr:grpSpPr>
            <a:xfrm>
              <a:off x="14489545" y="95726250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13" name="Chart 11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graphicFrame macro="">
            <xdr:nvGraphicFramePr>
              <xdr:cNvPr id="114" name="Chart 11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6"/>
              </a:graphicData>
            </a:graphic>
          </xdr:graphicFrame>
        </xdr:grpSp>
        <xdr:sp macro="" textlink="">
          <xdr:nvSpPr>
            <xdr:cNvPr id="112" name="Rectangle 111"/>
            <xdr:cNvSpPr/>
          </xdr:nvSpPr>
          <xdr:spPr>
            <a:xfrm>
              <a:off x="15244124" y="94709837"/>
              <a:ext cx="7335487" cy="1159944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 السكاني،المملكة العربية السعودية، تعداد 2004 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 الشكل 23: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23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Saudi Arabia,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09" name="Rectangle 159"/>
          <xdr:cNvSpPr/>
        </xdr:nvSpPr>
        <xdr:spPr>
          <a:xfrm>
            <a:off x="16992789" y="95300493"/>
            <a:ext cx="586993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Rectangle 109"/>
          <xdr:cNvSpPr/>
        </xdr:nvSpPr>
        <xdr:spPr>
          <a:xfrm>
            <a:off x="19997003" y="95301028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261</xdr:row>
      <xdr:rowOff>49475</xdr:rowOff>
    </xdr:from>
    <xdr:to>
      <xdr:col>14</xdr:col>
      <xdr:colOff>593151</xdr:colOff>
      <xdr:row>284</xdr:row>
      <xdr:rowOff>83225</xdr:rowOff>
    </xdr:to>
    <xdr:grpSp>
      <xdr:nvGrpSpPr>
        <xdr:cNvPr id="115" name="Group 114"/>
        <xdr:cNvGrpSpPr/>
      </xdr:nvGrpSpPr>
      <xdr:grpSpPr>
        <a:xfrm>
          <a:off x="-1" y="48365806"/>
          <a:ext cx="9196378" cy="4273911"/>
          <a:chOff x="14435942" y="99477165"/>
          <a:chExt cx="9015817" cy="4346433"/>
        </a:xfrm>
      </xdr:grpSpPr>
      <xdr:grpSp>
        <xdr:nvGrpSpPr>
          <xdr:cNvPr id="116" name="Group 129"/>
          <xdr:cNvGrpSpPr/>
        </xdr:nvGrpSpPr>
        <xdr:grpSpPr>
          <a:xfrm>
            <a:off x="14435942" y="99477188"/>
            <a:ext cx="9015817" cy="4346434"/>
            <a:chOff x="14489545" y="100469697"/>
            <a:chExt cx="9015818" cy="4395051"/>
          </a:xfrm>
        </xdr:grpSpPr>
        <xdr:grpSp>
          <xdr:nvGrpSpPr>
            <xdr:cNvPr id="119" name="Group 61"/>
            <xdr:cNvGrpSpPr/>
          </xdr:nvGrpSpPr>
          <xdr:grpSpPr>
            <a:xfrm>
              <a:off x="14489545" y="101513409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21" name="Chart 12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7"/>
              </a:graphicData>
            </a:graphic>
          </xdr:graphicFrame>
          <xdr:graphicFrame macro="">
            <xdr:nvGraphicFramePr>
              <xdr:cNvPr id="122" name="Chart 12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8"/>
              </a:graphicData>
            </a:graphic>
          </xdr:graphicFrame>
        </xdr:grpSp>
        <xdr:sp macro="" textlink="">
          <xdr:nvSpPr>
            <xdr:cNvPr id="120" name="Rectangle 119"/>
            <xdr:cNvSpPr/>
          </xdr:nvSpPr>
          <xdr:spPr>
            <a:xfrm>
              <a:off x="15256494" y="100469697"/>
              <a:ext cx="7323117" cy="120034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24: الهرم السكاني، السودان، تعداد 1993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24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</a:t>
              </a:r>
              <a:r>
                <a:rPr lang="ar-LB" sz="1800" b="1">
                  <a:latin typeface="+mn-lt"/>
                </a:rPr>
                <a:t> </a:t>
              </a:r>
              <a:r>
                <a:rPr lang="en-US" sz="1800" b="1">
                  <a:latin typeface="+mn-lt"/>
                </a:rPr>
                <a:t>Sudan,</a:t>
              </a:r>
              <a:r>
                <a:rPr lang="en-US" sz="1800" b="1" baseline="0">
                  <a:latin typeface="+mn-lt"/>
                </a:rPr>
                <a:t> Census 1993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17" name="Rectangle 160"/>
          <xdr:cNvSpPr/>
        </xdr:nvSpPr>
        <xdr:spPr>
          <a:xfrm>
            <a:off x="16998384" y="101022157"/>
            <a:ext cx="558452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Rectangle 117"/>
          <xdr:cNvSpPr/>
        </xdr:nvSpPr>
        <xdr:spPr>
          <a:xfrm>
            <a:off x="20005020" y="101022691"/>
            <a:ext cx="822614" cy="3417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261</xdr:row>
      <xdr:rowOff>49475</xdr:rowOff>
    </xdr:from>
    <xdr:to>
      <xdr:col>30</xdr:col>
      <xdr:colOff>593151</xdr:colOff>
      <xdr:row>284</xdr:row>
      <xdr:rowOff>83225</xdr:rowOff>
    </xdr:to>
    <xdr:grpSp>
      <xdr:nvGrpSpPr>
        <xdr:cNvPr id="123" name="Group 122"/>
        <xdr:cNvGrpSpPr/>
      </xdr:nvGrpSpPr>
      <xdr:grpSpPr>
        <a:xfrm>
          <a:off x="9827341" y="48365806"/>
          <a:ext cx="9201294" cy="4273911"/>
          <a:chOff x="14435942" y="105241638"/>
          <a:chExt cx="9015817" cy="4321681"/>
        </a:xfrm>
      </xdr:grpSpPr>
      <xdr:grpSp>
        <xdr:nvGrpSpPr>
          <xdr:cNvPr id="124" name="Group 130"/>
          <xdr:cNvGrpSpPr/>
        </xdr:nvGrpSpPr>
        <xdr:grpSpPr>
          <a:xfrm>
            <a:off x="14435942" y="105241638"/>
            <a:ext cx="9015817" cy="4321681"/>
            <a:chOff x="14489545" y="106284256"/>
            <a:chExt cx="9015818" cy="4367651"/>
          </a:xfrm>
        </xdr:grpSpPr>
        <xdr:grpSp>
          <xdr:nvGrpSpPr>
            <xdr:cNvPr id="127" name="Group 64"/>
            <xdr:cNvGrpSpPr/>
          </xdr:nvGrpSpPr>
          <xdr:grpSpPr>
            <a:xfrm>
              <a:off x="14489545" y="10730056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29" name="Chart 12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9"/>
              </a:graphicData>
            </a:graphic>
          </xdr:graphicFrame>
          <xdr:graphicFrame macro="">
            <xdr:nvGraphicFramePr>
              <xdr:cNvPr id="130" name="Chart 6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xdr:graphicFrame>
        </xdr:grpSp>
        <xdr:sp macro="" textlink="">
          <xdr:nvSpPr>
            <xdr:cNvPr id="128" name="Rectangle 127"/>
            <xdr:cNvSpPr/>
          </xdr:nvSpPr>
          <xdr:spPr>
            <a:xfrm>
              <a:off x="15244123" y="106284256"/>
              <a:ext cx="7335488" cy="1162187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25: الهرم السكاني، السودان، تعداد 2008</a:t>
              </a:r>
              <a:endParaRPr lang="en-US" sz="1800" b="1"/>
            </a:p>
            <a:p>
              <a:pPr algn="ctr"/>
              <a:r>
                <a:rPr lang="en-US" sz="1800" b="1"/>
                <a:t>Figure 25</a:t>
              </a:r>
              <a:r>
                <a:rPr lang="ar-LB" sz="1800" b="1"/>
                <a:t>:</a:t>
              </a:r>
              <a:r>
                <a:rPr lang="en-US" sz="1800" b="1"/>
                <a:t> Population pyramid, Sudan,</a:t>
              </a:r>
              <a:r>
                <a:rPr lang="en-US" sz="1800" b="1" baseline="0"/>
                <a:t> Census 2008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25" name="Rectangle 161"/>
          <xdr:cNvSpPr/>
        </xdr:nvSpPr>
        <xdr:spPr>
          <a:xfrm>
            <a:off x="16943691" y="106808187"/>
            <a:ext cx="590197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6" name="Rectangle 125"/>
          <xdr:cNvSpPr/>
        </xdr:nvSpPr>
        <xdr:spPr>
          <a:xfrm>
            <a:off x="20015709" y="106808187"/>
            <a:ext cx="827960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285</xdr:row>
      <xdr:rowOff>22278</xdr:rowOff>
    </xdr:from>
    <xdr:to>
      <xdr:col>14</xdr:col>
      <xdr:colOff>593151</xdr:colOff>
      <xdr:row>308</xdr:row>
      <xdr:rowOff>56028</xdr:rowOff>
    </xdr:to>
    <xdr:grpSp>
      <xdr:nvGrpSpPr>
        <xdr:cNvPr id="131" name="Group 130"/>
        <xdr:cNvGrpSpPr/>
      </xdr:nvGrpSpPr>
      <xdr:grpSpPr>
        <a:xfrm>
          <a:off x="-1" y="52763125"/>
          <a:ext cx="9196378" cy="4273911"/>
          <a:chOff x="14435942" y="110780794"/>
          <a:chExt cx="9015817" cy="4361473"/>
        </a:xfrm>
      </xdr:grpSpPr>
      <xdr:grpSp>
        <xdr:nvGrpSpPr>
          <xdr:cNvPr id="132" name="Group 131"/>
          <xdr:cNvGrpSpPr/>
        </xdr:nvGrpSpPr>
        <xdr:grpSpPr>
          <a:xfrm>
            <a:off x="14435942" y="110780794"/>
            <a:ext cx="9015817" cy="4361473"/>
            <a:chOff x="14489545" y="111870766"/>
            <a:chExt cx="9015818" cy="4395118"/>
          </a:xfrm>
        </xdr:grpSpPr>
        <xdr:grpSp>
          <xdr:nvGrpSpPr>
            <xdr:cNvPr id="135" name="Group 67"/>
            <xdr:cNvGrpSpPr/>
          </xdr:nvGrpSpPr>
          <xdr:grpSpPr>
            <a:xfrm>
              <a:off x="14489545" y="112900114"/>
              <a:ext cx="9015818" cy="3365770"/>
              <a:chOff x="13787438" y="976312"/>
              <a:chExt cx="9024936" cy="3395187"/>
            </a:xfrm>
          </xdr:grpSpPr>
          <xdr:graphicFrame macro="">
            <xdr:nvGraphicFramePr>
              <xdr:cNvPr id="137" name="Chart 6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1"/>
              </a:graphicData>
            </a:graphic>
          </xdr:graphicFrame>
          <xdr:graphicFrame macro="">
            <xdr:nvGraphicFramePr>
              <xdr:cNvPr id="138" name="Chart 69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2"/>
              </a:graphicData>
            </a:graphic>
          </xdr:graphicFrame>
        </xdr:grpSp>
        <xdr:sp macro="" textlink="">
          <xdr:nvSpPr>
            <xdr:cNvPr id="136" name="Rectangle 135"/>
            <xdr:cNvSpPr/>
          </xdr:nvSpPr>
          <xdr:spPr>
            <a:xfrm>
              <a:off x="15268863" y="111870766"/>
              <a:ext cx="7323118" cy="117418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الجمهورية العربية السورية، تعداد 1994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26: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26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Syrian Arab Republic,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33" name="Rectangle 162"/>
          <xdr:cNvSpPr/>
        </xdr:nvSpPr>
        <xdr:spPr>
          <a:xfrm>
            <a:off x="17000235" y="112405260"/>
            <a:ext cx="591022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4" name="Rectangle 186"/>
          <xdr:cNvSpPr/>
        </xdr:nvSpPr>
        <xdr:spPr>
          <a:xfrm>
            <a:off x="19995931" y="11240526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285</xdr:row>
      <xdr:rowOff>22278</xdr:rowOff>
    </xdr:from>
    <xdr:to>
      <xdr:col>30</xdr:col>
      <xdr:colOff>593151</xdr:colOff>
      <xdr:row>308</xdr:row>
      <xdr:rowOff>56028</xdr:rowOff>
    </xdr:to>
    <xdr:grpSp>
      <xdr:nvGrpSpPr>
        <xdr:cNvPr id="139" name="Group 138"/>
        <xdr:cNvGrpSpPr/>
      </xdr:nvGrpSpPr>
      <xdr:grpSpPr>
        <a:xfrm>
          <a:off x="9827341" y="52763125"/>
          <a:ext cx="9201294" cy="4273911"/>
          <a:chOff x="14435942" y="115653926"/>
          <a:chExt cx="9015817" cy="4287963"/>
        </a:xfrm>
      </xdr:grpSpPr>
      <xdr:grpSp>
        <xdr:nvGrpSpPr>
          <xdr:cNvPr id="140" name="Group 132"/>
          <xdr:cNvGrpSpPr/>
        </xdr:nvGrpSpPr>
        <xdr:grpSpPr>
          <a:xfrm>
            <a:off x="14435942" y="115653926"/>
            <a:ext cx="9015817" cy="4287963"/>
            <a:chOff x="14489545" y="116781573"/>
            <a:chExt cx="9015818" cy="4333402"/>
          </a:xfrm>
        </xdr:grpSpPr>
        <xdr:grpSp>
          <xdr:nvGrpSpPr>
            <xdr:cNvPr id="143" name="Group 70"/>
            <xdr:cNvGrpSpPr/>
          </xdr:nvGrpSpPr>
          <xdr:grpSpPr>
            <a:xfrm>
              <a:off x="14489545" y="117763636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45" name="Chart 7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3"/>
              </a:graphicData>
            </a:graphic>
          </xdr:graphicFrame>
          <xdr:graphicFrame macro="">
            <xdr:nvGraphicFramePr>
              <xdr:cNvPr id="146" name="Chart 7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4"/>
              </a:graphicData>
            </a:graphic>
          </xdr:graphicFrame>
        </xdr:grpSp>
        <xdr:sp macro="" textlink="">
          <xdr:nvSpPr>
            <xdr:cNvPr id="144" name="Rectangle 106"/>
            <xdr:cNvSpPr/>
          </xdr:nvSpPr>
          <xdr:spPr>
            <a:xfrm>
              <a:off x="15244124" y="116781573"/>
              <a:ext cx="7335487" cy="1173908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الجمهورية العربية السورية، تعداد 2004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27: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27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Syrian Arab Republic,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41" name="Rectangle 163"/>
          <xdr:cNvSpPr/>
        </xdr:nvSpPr>
        <xdr:spPr>
          <a:xfrm>
            <a:off x="16953271" y="117184292"/>
            <a:ext cx="534720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2" name="Rectangle 187"/>
          <xdr:cNvSpPr/>
        </xdr:nvSpPr>
        <xdr:spPr>
          <a:xfrm>
            <a:off x="20016245" y="117184828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349</xdr:row>
      <xdr:rowOff>7433</xdr:rowOff>
    </xdr:from>
    <xdr:to>
      <xdr:col>14</xdr:col>
      <xdr:colOff>593151</xdr:colOff>
      <xdr:row>372</xdr:row>
      <xdr:rowOff>41183</xdr:rowOff>
    </xdr:to>
    <xdr:grpSp>
      <xdr:nvGrpSpPr>
        <xdr:cNvPr id="155" name="Group 154"/>
        <xdr:cNvGrpSpPr/>
      </xdr:nvGrpSpPr>
      <xdr:grpSpPr>
        <a:xfrm>
          <a:off x="-1" y="64746707"/>
          <a:ext cx="9196378" cy="4273911"/>
          <a:chOff x="14435942" y="133011852"/>
          <a:chExt cx="9015817" cy="4322451"/>
        </a:xfrm>
      </xdr:grpSpPr>
      <xdr:grpSp>
        <xdr:nvGrpSpPr>
          <xdr:cNvPr id="156" name="Group 135"/>
          <xdr:cNvGrpSpPr/>
        </xdr:nvGrpSpPr>
        <xdr:grpSpPr>
          <a:xfrm>
            <a:off x="14435942" y="133011852"/>
            <a:ext cx="9015817" cy="4322451"/>
            <a:chOff x="14489545" y="134293763"/>
            <a:chExt cx="9015818" cy="4370303"/>
          </a:xfrm>
        </xdr:grpSpPr>
        <xdr:grpSp>
          <xdr:nvGrpSpPr>
            <xdr:cNvPr id="159" name="Group 79"/>
            <xdr:cNvGrpSpPr/>
          </xdr:nvGrpSpPr>
          <xdr:grpSpPr>
            <a:xfrm>
              <a:off x="14489545" y="135312727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61" name="Chart 8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5"/>
              </a:graphicData>
            </a:graphic>
          </xdr:graphicFrame>
          <xdr:graphicFrame macro="">
            <xdr:nvGraphicFramePr>
              <xdr:cNvPr id="162" name="Chart 8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6"/>
              </a:graphicData>
            </a:graphic>
          </xdr:graphicFrame>
        </xdr:grpSp>
        <xdr:sp macro="" textlink="">
          <xdr:nvSpPr>
            <xdr:cNvPr id="160" name="Rectangle 109"/>
            <xdr:cNvSpPr/>
          </xdr:nvSpPr>
          <xdr:spPr>
            <a:xfrm>
              <a:off x="15244123" y="134293763"/>
              <a:ext cx="7335488" cy="117635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اليمن، تعداد 1994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30: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30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Yemen,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57" name="Rectangle 156"/>
          <xdr:cNvSpPr/>
        </xdr:nvSpPr>
        <xdr:spPr>
          <a:xfrm>
            <a:off x="17015984" y="134533881"/>
            <a:ext cx="552326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8" name="Rectangle 190"/>
          <xdr:cNvSpPr/>
        </xdr:nvSpPr>
        <xdr:spPr>
          <a:xfrm>
            <a:off x="19995932" y="134533881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349</xdr:row>
      <xdr:rowOff>7433</xdr:rowOff>
    </xdr:from>
    <xdr:to>
      <xdr:col>30</xdr:col>
      <xdr:colOff>593151</xdr:colOff>
      <xdr:row>372</xdr:row>
      <xdr:rowOff>41183</xdr:rowOff>
    </xdr:to>
    <xdr:grpSp>
      <xdr:nvGrpSpPr>
        <xdr:cNvPr id="163" name="Group 227"/>
        <xdr:cNvGrpSpPr/>
      </xdr:nvGrpSpPr>
      <xdr:grpSpPr>
        <a:xfrm>
          <a:off x="9827341" y="64746707"/>
          <a:ext cx="9201294" cy="4273911"/>
          <a:chOff x="14435942" y="138195427"/>
          <a:chExt cx="9015817" cy="4321987"/>
        </a:xfrm>
      </xdr:grpSpPr>
      <xdr:grpSp>
        <xdr:nvGrpSpPr>
          <xdr:cNvPr id="164" name="Group 136"/>
          <xdr:cNvGrpSpPr/>
        </xdr:nvGrpSpPr>
        <xdr:grpSpPr>
          <a:xfrm>
            <a:off x="14435942" y="138195427"/>
            <a:ext cx="9015817" cy="4321987"/>
            <a:chOff x="14489545" y="139518074"/>
            <a:chExt cx="9015818" cy="4370311"/>
          </a:xfrm>
        </xdr:grpSpPr>
        <xdr:grpSp>
          <xdr:nvGrpSpPr>
            <xdr:cNvPr id="167" name="Group 82"/>
            <xdr:cNvGrpSpPr/>
          </xdr:nvGrpSpPr>
          <xdr:grpSpPr>
            <a:xfrm>
              <a:off x="14489545" y="140537045"/>
              <a:ext cx="9015818" cy="3351340"/>
              <a:chOff x="13787438" y="976312"/>
              <a:chExt cx="9024936" cy="3395188"/>
            </a:xfrm>
          </xdr:grpSpPr>
          <xdr:graphicFrame macro="">
            <xdr:nvGraphicFramePr>
              <xdr:cNvPr id="169" name="Chart 8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7"/>
              </a:graphicData>
            </a:graphic>
          </xdr:graphicFrame>
          <xdr:graphicFrame macro="">
            <xdr:nvGraphicFramePr>
              <xdr:cNvPr id="170" name="Chart 84"/>
              <xdr:cNvGraphicFramePr/>
            </xdr:nvGraphicFramePr>
            <xdr:xfrm>
              <a:off x="18240374" y="988219"/>
              <a:ext cx="4572000" cy="33832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8"/>
              </a:graphicData>
            </a:graphic>
          </xdr:graphicFrame>
        </xdr:grpSp>
        <xdr:sp macro="" textlink="">
          <xdr:nvSpPr>
            <xdr:cNvPr id="168" name="Rectangle 167"/>
            <xdr:cNvSpPr/>
          </xdr:nvSpPr>
          <xdr:spPr>
            <a:xfrm>
              <a:off x="15244123" y="139518074"/>
              <a:ext cx="7323118" cy="118659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en-US" sz="1800" b="1"/>
                <a:t> </a:t>
              </a:r>
              <a:r>
                <a:rPr lang="ar-LB" sz="1800" b="1"/>
                <a:t>الشكل 31: الهرم السكاني، اليمن، تعداد 2004</a:t>
              </a:r>
              <a:endParaRPr lang="en-US" sz="1800" b="1"/>
            </a:p>
            <a:p>
              <a:pPr algn="ctr"/>
              <a:r>
                <a:rPr lang="en-US" sz="1800" b="1"/>
                <a:t>Figure 31</a:t>
              </a:r>
              <a:r>
                <a:rPr lang="ar-LB" sz="1800" b="1"/>
                <a:t>:</a:t>
              </a:r>
              <a:r>
                <a:rPr lang="en-US" sz="1800" b="1"/>
                <a:t> Population pyramid, Yemen,</a:t>
              </a:r>
              <a:r>
                <a:rPr lang="en-US" sz="1800" b="1" baseline="0"/>
                <a:t> Census 2004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65" name="Rectangle 164"/>
          <xdr:cNvSpPr/>
        </xdr:nvSpPr>
        <xdr:spPr>
          <a:xfrm>
            <a:off x="16989580" y="139728242"/>
            <a:ext cx="578730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Rectangle 191"/>
          <xdr:cNvSpPr/>
        </xdr:nvSpPr>
        <xdr:spPr>
          <a:xfrm>
            <a:off x="20016782" y="139715073"/>
            <a:ext cx="822614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314</xdr:row>
      <xdr:rowOff>184288</xdr:rowOff>
    </xdr:from>
    <xdr:to>
      <xdr:col>14</xdr:col>
      <xdr:colOff>593151</xdr:colOff>
      <xdr:row>337</xdr:row>
      <xdr:rowOff>33683</xdr:rowOff>
    </xdr:to>
    <xdr:grpSp>
      <xdr:nvGrpSpPr>
        <xdr:cNvPr id="171" name="Group 224"/>
        <xdr:cNvGrpSpPr/>
      </xdr:nvGrpSpPr>
      <xdr:grpSpPr>
        <a:xfrm>
          <a:off x="-1" y="58271425"/>
          <a:ext cx="9196378" cy="4289274"/>
          <a:chOff x="14485422" y="121799005"/>
          <a:chExt cx="9015817" cy="3870228"/>
        </a:xfrm>
      </xdr:grpSpPr>
      <xdr:grpSp>
        <xdr:nvGrpSpPr>
          <xdr:cNvPr id="172" name="Group 217"/>
          <xdr:cNvGrpSpPr/>
        </xdr:nvGrpSpPr>
        <xdr:grpSpPr>
          <a:xfrm>
            <a:off x="14485422" y="121799005"/>
            <a:ext cx="9015817" cy="3870228"/>
            <a:chOff x="14489545" y="122990722"/>
            <a:chExt cx="9015818" cy="3911412"/>
          </a:xfrm>
        </xdr:grpSpPr>
        <xdr:grpSp>
          <xdr:nvGrpSpPr>
            <xdr:cNvPr id="175" name="Group 218"/>
            <xdr:cNvGrpSpPr/>
          </xdr:nvGrpSpPr>
          <xdr:grpSpPr>
            <a:xfrm>
              <a:off x="14489545" y="123550795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77" name="Chart 22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9"/>
              </a:graphicData>
            </a:graphic>
          </xdr:graphicFrame>
          <xdr:graphicFrame macro="">
            <xdr:nvGraphicFramePr>
              <xdr:cNvPr id="178" name="Chart 17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0"/>
              </a:graphicData>
            </a:graphic>
          </xdr:graphicFrame>
        </xdr:grpSp>
        <xdr:sp macro="" textlink="">
          <xdr:nvSpPr>
            <xdr:cNvPr id="176" name="Rectangle 219"/>
            <xdr:cNvSpPr/>
          </xdr:nvSpPr>
          <xdr:spPr>
            <a:xfrm>
              <a:off x="15256494" y="122990722"/>
              <a:ext cx="7335488" cy="68485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28: الهرم السكاني، الإمارات العربية المتحدة، تعداد 1995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28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United Arab Emirates ,</a:t>
              </a:r>
              <a:r>
                <a:rPr lang="en-US" sz="1800" b="1" baseline="0">
                  <a:latin typeface="+mn-lt"/>
                </a:rPr>
                <a:t> Census 1995</a:t>
              </a: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73" name="Rectangle 172"/>
          <xdr:cNvSpPr/>
        </xdr:nvSpPr>
        <xdr:spPr>
          <a:xfrm>
            <a:off x="17017968" y="122897240"/>
            <a:ext cx="57687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Rectangle 173"/>
          <xdr:cNvSpPr/>
        </xdr:nvSpPr>
        <xdr:spPr>
          <a:xfrm>
            <a:off x="20047553" y="12289724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87</xdr:row>
      <xdr:rowOff>0</xdr:rowOff>
    </xdr:from>
    <xdr:to>
      <xdr:col>14</xdr:col>
      <xdr:colOff>593151</xdr:colOff>
      <xdr:row>110</xdr:row>
      <xdr:rowOff>33750</xdr:rowOff>
    </xdr:to>
    <xdr:grpSp>
      <xdr:nvGrpSpPr>
        <xdr:cNvPr id="179" name="Group 178"/>
        <xdr:cNvGrpSpPr/>
      </xdr:nvGrpSpPr>
      <xdr:grpSpPr>
        <a:xfrm>
          <a:off x="-1" y="16238589"/>
          <a:ext cx="9196378" cy="4273911"/>
          <a:chOff x="14435942" y="32906784"/>
          <a:chExt cx="9015817" cy="4303663"/>
        </a:xfrm>
      </xdr:grpSpPr>
      <xdr:grpSp>
        <xdr:nvGrpSpPr>
          <xdr:cNvPr id="180" name="Group 117"/>
          <xdr:cNvGrpSpPr/>
        </xdr:nvGrpSpPr>
        <xdr:grpSpPr>
          <a:xfrm>
            <a:off x="14435942" y="32906784"/>
            <a:ext cx="9015817" cy="4303663"/>
            <a:chOff x="14489545" y="33174400"/>
            <a:chExt cx="9015818" cy="4351484"/>
          </a:xfrm>
        </xdr:grpSpPr>
        <xdr:grpSp>
          <xdr:nvGrpSpPr>
            <xdr:cNvPr id="183" name="Group 25"/>
            <xdr:cNvGrpSpPr/>
          </xdr:nvGrpSpPr>
          <xdr:grpSpPr>
            <a:xfrm>
              <a:off x="14489545" y="34174545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85" name="Chart 184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1"/>
              </a:graphicData>
            </a:graphic>
          </xdr:graphicFrame>
          <xdr:graphicFrame macro="">
            <xdr:nvGraphicFramePr>
              <xdr:cNvPr id="186" name="Chart 2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2"/>
              </a:graphicData>
            </a:graphic>
          </xdr:graphicFrame>
        </xdr:grpSp>
        <xdr:sp macro="" textlink="">
          <xdr:nvSpPr>
            <xdr:cNvPr id="184" name="Rectangle 183"/>
            <xdr:cNvSpPr/>
          </xdr:nvSpPr>
          <xdr:spPr>
            <a:xfrm>
              <a:off x="15244124" y="33174400"/>
              <a:ext cx="7323117" cy="118180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</a:t>
              </a:r>
              <a:r>
                <a:rPr lang="ar-LB" sz="1800" b="1" baseline="0">
                  <a:latin typeface="+mn-lt"/>
                </a:rPr>
                <a:t> السكاني،</a:t>
              </a:r>
              <a:r>
                <a:rPr lang="ar-LB" sz="1800" b="1">
                  <a:latin typeface="+mn-lt"/>
                </a:rPr>
                <a:t> الأردن، تعداد 1994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 الشكل 12: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12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Jordan,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81" name="Rectangle 180"/>
          <xdr:cNvSpPr/>
        </xdr:nvSpPr>
        <xdr:spPr>
          <a:xfrm>
            <a:off x="16886607" y="34399592"/>
            <a:ext cx="601386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Rectangle 181"/>
          <xdr:cNvSpPr/>
        </xdr:nvSpPr>
        <xdr:spPr>
          <a:xfrm>
            <a:off x="20005020" y="34423094"/>
            <a:ext cx="822615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87</xdr:row>
      <xdr:rowOff>0</xdr:rowOff>
    </xdr:from>
    <xdr:to>
      <xdr:col>30</xdr:col>
      <xdr:colOff>593151</xdr:colOff>
      <xdr:row>110</xdr:row>
      <xdr:rowOff>33750</xdr:rowOff>
    </xdr:to>
    <xdr:grpSp>
      <xdr:nvGrpSpPr>
        <xdr:cNvPr id="187" name="Group 186"/>
        <xdr:cNvGrpSpPr/>
      </xdr:nvGrpSpPr>
      <xdr:grpSpPr>
        <a:xfrm>
          <a:off x="9827341" y="16238589"/>
          <a:ext cx="9201294" cy="4273911"/>
          <a:chOff x="14435942" y="38631142"/>
          <a:chExt cx="9015817" cy="4319038"/>
        </a:xfrm>
      </xdr:grpSpPr>
      <xdr:grpSp>
        <xdr:nvGrpSpPr>
          <xdr:cNvPr id="188" name="Group 118"/>
          <xdr:cNvGrpSpPr/>
        </xdr:nvGrpSpPr>
        <xdr:grpSpPr>
          <a:xfrm>
            <a:off x="14435942" y="38631133"/>
            <a:ext cx="9015817" cy="4319037"/>
            <a:chOff x="14489545" y="38945891"/>
            <a:chExt cx="9015818" cy="4367152"/>
          </a:xfrm>
        </xdr:grpSpPr>
        <xdr:grpSp>
          <xdr:nvGrpSpPr>
            <xdr:cNvPr id="191" name="Group 28"/>
            <xdr:cNvGrpSpPr/>
          </xdr:nvGrpSpPr>
          <xdr:grpSpPr>
            <a:xfrm>
              <a:off x="14489545" y="3996170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193" name="Chart 19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3"/>
              </a:graphicData>
            </a:graphic>
          </xdr:graphicFrame>
          <xdr:graphicFrame macro="">
            <xdr:nvGraphicFramePr>
              <xdr:cNvPr id="194" name="Chart 19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4"/>
              </a:graphicData>
            </a:graphic>
          </xdr:graphicFrame>
        </xdr:grpSp>
        <xdr:sp macro="" textlink="">
          <xdr:nvSpPr>
            <xdr:cNvPr id="192" name="Rectangle 191"/>
            <xdr:cNvSpPr/>
          </xdr:nvSpPr>
          <xdr:spPr>
            <a:xfrm>
              <a:off x="15292717" y="38945891"/>
              <a:ext cx="7274434" cy="117271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 السكاني، الأردن، تعداد 2004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13: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13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</a:t>
              </a:r>
              <a:r>
                <a:rPr lang="en-US" sz="1800" b="1" baseline="0">
                  <a:latin typeface="+mn-lt"/>
                </a:rPr>
                <a:t> </a:t>
              </a:r>
              <a:r>
                <a:rPr lang="en-US" sz="1800" b="1">
                  <a:latin typeface="+mn-lt"/>
                </a:rPr>
                <a:t>Jordan,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89" name="Rectangle 188"/>
          <xdr:cNvSpPr/>
        </xdr:nvSpPr>
        <xdr:spPr>
          <a:xfrm>
            <a:off x="16826275" y="40184020"/>
            <a:ext cx="62729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0" name="Rectangle 189"/>
          <xdr:cNvSpPr/>
        </xdr:nvSpPr>
        <xdr:spPr>
          <a:xfrm>
            <a:off x="20015713" y="40184555"/>
            <a:ext cx="822615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</xdr:row>
      <xdr:rowOff>75964</xdr:rowOff>
    </xdr:from>
    <xdr:to>
      <xdr:col>30</xdr:col>
      <xdr:colOff>593151</xdr:colOff>
      <xdr:row>23</xdr:row>
      <xdr:rowOff>171833</xdr:rowOff>
    </xdr:to>
    <xdr:grpSp>
      <xdr:nvGrpSpPr>
        <xdr:cNvPr id="195" name="Group 194"/>
        <xdr:cNvGrpSpPr/>
      </xdr:nvGrpSpPr>
      <xdr:grpSpPr>
        <a:xfrm>
          <a:off x="9827341" y="260319"/>
          <a:ext cx="9201294" cy="4151675"/>
          <a:chOff x="13901243" y="5491745"/>
          <a:chExt cx="9009782" cy="4158856"/>
        </a:xfrm>
      </xdr:grpSpPr>
      <xdr:grpSp>
        <xdr:nvGrpSpPr>
          <xdr:cNvPr id="196" name="Group 112"/>
          <xdr:cNvGrpSpPr/>
        </xdr:nvGrpSpPr>
        <xdr:grpSpPr>
          <a:xfrm>
            <a:off x="13901243" y="5491745"/>
            <a:ext cx="9009782" cy="4158856"/>
            <a:chOff x="13954847" y="5536249"/>
            <a:chExt cx="9009782" cy="4207133"/>
          </a:xfrm>
        </xdr:grpSpPr>
        <xdr:grpSp>
          <xdr:nvGrpSpPr>
            <xdr:cNvPr id="199" name="Group 418"/>
            <xdr:cNvGrpSpPr/>
          </xdr:nvGrpSpPr>
          <xdr:grpSpPr>
            <a:xfrm>
              <a:off x="13954847" y="6400150"/>
              <a:ext cx="9009782" cy="3343232"/>
              <a:chOff x="13787438" y="976312"/>
              <a:chExt cx="9024936" cy="3395187"/>
            </a:xfrm>
          </xdr:grpSpPr>
          <xdr:graphicFrame macro="">
            <xdr:nvGraphicFramePr>
              <xdr:cNvPr id="201" name="Chart 20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5"/>
              </a:graphicData>
            </a:graphic>
          </xdr:graphicFrame>
          <xdr:graphicFrame macro="">
            <xdr:nvGraphicFramePr>
              <xdr:cNvPr id="202" name="Chart 20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6"/>
              </a:graphicData>
            </a:graphic>
          </xdr:graphicFrame>
        </xdr:grpSp>
        <xdr:sp macro="" textlink="">
          <xdr:nvSpPr>
            <xdr:cNvPr id="200" name="Rectangle 199"/>
            <xdr:cNvSpPr/>
          </xdr:nvSpPr>
          <xdr:spPr>
            <a:xfrm>
              <a:off x="14562034" y="5536249"/>
              <a:ext cx="7258095" cy="96196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7: الهرم السكاني، البحرين، تعداد 2010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  <a:cs typeface="Arial" pitchFamily="34" charset="0"/>
                </a:rPr>
                <a:t>Figure 7</a:t>
              </a:r>
              <a:r>
                <a:rPr lang="ar-LB" sz="1800" b="1">
                  <a:latin typeface="+mn-lt"/>
                  <a:cs typeface="Arial" pitchFamily="34" charset="0"/>
                </a:rPr>
                <a:t>:</a:t>
              </a:r>
              <a:r>
                <a:rPr lang="en-US" sz="1800" b="1">
                  <a:latin typeface="+mn-lt"/>
                  <a:cs typeface="Arial" pitchFamily="34" charset="0"/>
                </a:rPr>
                <a:t> Population pyramid, Bahrain</a:t>
              </a:r>
              <a:r>
                <a:rPr lang="en-US" sz="1800" b="1">
                  <a:latin typeface="+mn-lt"/>
                </a:rPr>
                <a:t>,</a:t>
              </a:r>
              <a:r>
                <a:rPr lang="en-US" sz="1800" b="1" baseline="0">
                  <a:latin typeface="+mn-lt"/>
                </a:rPr>
                <a:t> Census 2010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>
                <a:latin typeface="+mn-lt"/>
              </a:endParaRPr>
            </a:p>
          </xdr:txBody>
        </xdr:sp>
      </xdr:grpSp>
      <xdr:sp macro="" textlink="">
        <xdr:nvSpPr>
          <xdr:cNvPr id="197" name="Rectangle 196"/>
          <xdr:cNvSpPr/>
        </xdr:nvSpPr>
        <xdr:spPr>
          <a:xfrm>
            <a:off x="16280002" y="6892159"/>
            <a:ext cx="593563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8" name="Rectangle 197"/>
          <xdr:cNvSpPr/>
        </xdr:nvSpPr>
        <xdr:spPr>
          <a:xfrm>
            <a:off x="19473189" y="6892159"/>
            <a:ext cx="822614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138</xdr:row>
      <xdr:rowOff>103532</xdr:rowOff>
    </xdr:from>
    <xdr:to>
      <xdr:col>30</xdr:col>
      <xdr:colOff>593151</xdr:colOff>
      <xdr:row>161</xdr:row>
      <xdr:rowOff>137282</xdr:rowOff>
    </xdr:to>
    <xdr:grpSp>
      <xdr:nvGrpSpPr>
        <xdr:cNvPr id="203" name="Group 202"/>
        <xdr:cNvGrpSpPr/>
      </xdr:nvGrpSpPr>
      <xdr:grpSpPr>
        <a:xfrm>
          <a:off x="9827341" y="25744217"/>
          <a:ext cx="9201294" cy="4273912"/>
          <a:chOff x="14435942" y="59849470"/>
          <a:chExt cx="9015817" cy="4377338"/>
        </a:xfrm>
      </xdr:grpSpPr>
      <xdr:grpSp>
        <xdr:nvGrpSpPr>
          <xdr:cNvPr id="204" name="Group 122"/>
          <xdr:cNvGrpSpPr/>
        </xdr:nvGrpSpPr>
        <xdr:grpSpPr>
          <a:xfrm>
            <a:off x="14435942" y="59849470"/>
            <a:ext cx="9015817" cy="4377338"/>
            <a:chOff x="14489545" y="60347056"/>
            <a:chExt cx="9015818" cy="4426101"/>
          </a:xfrm>
        </xdr:grpSpPr>
        <xdr:grpSp>
          <xdr:nvGrpSpPr>
            <xdr:cNvPr id="207" name="Group 40"/>
            <xdr:cNvGrpSpPr/>
          </xdr:nvGrpSpPr>
          <xdr:grpSpPr>
            <a:xfrm>
              <a:off x="14489545" y="6142181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209" name="Chart 4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7"/>
              </a:graphicData>
            </a:graphic>
          </xdr:graphicFrame>
          <xdr:graphicFrame macro="">
            <xdr:nvGraphicFramePr>
              <xdr:cNvPr id="210" name="Chart 4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8"/>
              </a:graphicData>
            </a:graphic>
          </xdr:graphicFrame>
        </xdr:grpSp>
        <xdr:sp macro="" textlink="">
          <xdr:nvSpPr>
            <xdr:cNvPr id="208" name="Rectangle 96"/>
            <xdr:cNvSpPr/>
          </xdr:nvSpPr>
          <xdr:spPr>
            <a:xfrm>
              <a:off x="15269769" y="60347056"/>
              <a:ext cx="7297381" cy="12305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17: الهرم السكاني، عمان، تعداد 2010</a:t>
              </a:r>
              <a:endParaRPr lang="en-US" sz="1800" b="1"/>
            </a:p>
            <a:p>
              <a:pPr algn="ctr"/>
              <a:r>
                <a:rPr lang="en-US" sz="1800" b="1"/>
                <a:t>Figure 1</a:t>
              </a:r>
              <a:r>
                <a:rPr lang="en-GB" sz="1800" b="1"/>
                <a:t>7:  </a:t>
              </a:r>
              <a:r>
                <a:rPr lang="en-US" sz="1800" b="1"/>
                <a:t>Population pyramid, Oman,</a:t>
              </a:r>
              <a:r>
                <a:rPr lang="en-US" sz="1800" b="1" baseline="0"/>
                <a:t> Census 2010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205" name="Rectangle 204"/>
          <xdr:cNvSpPr/>
        </xdr:nvSpPr>
        <xdr:spPr>
          <a:xfrm>
            <a:off x="16847372" y="61452633"/>
            <a:ext cx="594723" cy="341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6" name="Rectangle 205"/>
          <xdr:cNvSpPr/>
        </xdr:nvSpPr>
        <xdr:spPr>
          <a:xfrm>
            <a:off x="20007157" y="61452098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16</xdr:col>
      <xdr:colOff>435996</xdr:colOff>
      <xdr:row>113</xdr:row>
      <xdr:rowOff>42126</xdr:rowOff>
    </xdr:from>
    <xdr:to>
      <xdr:col>31</xdr:col>
      <xdr:colOff>417118</xdr:colOff>
      <xdr:row>136</xdr:row>
      <xdr:rowOff>72213</xdr:rowOff>
    </xdr:to>
    <xdr:grpSp>
      <xdr:nvGrpSpPr>
        <xdr:cNvPr id="211" name="Group 210"/>
        <xdr:cNvGrpSpPr/>
      </xdr:nvGrpSpPr>
      <xdr:grpSpPr>
        <a:xfrm>
          <a:off x="10268254" y="21073941"/>
          <a:ext cx="9198864" cy="4270248"/>
          <a:chOff x="13960283" y="49055407"/>
          <a:chExt cx="9008700" cy="4472599"/>
        </a:xfrm>
      </xdr:grpSpPr>
      <xdr:grpSp>
        <xdr:nvGrpSpPr>
          <xdr:cNvPr id="212" name="Group 120"/>
          <xdr:cNvGrpSpPr/>
        </xdr:nvGrpSpPr>
        <xdr:grpSpPr>
          <a:xfrm>
            <a:off x="13960283" y="49055407"/>
            <a:ext cx="9008700" cy="4472599"/>
            <a:chOff x="14013887" y="49455392"/>
            <a:chExt cx="9008700" cy="4519996"/>
          </a:xfrm>
        </xdr:grpSpPr>
        <xdr:grpSp>
          <xdr:nvGrpSpPr>
            <xdr:cNvPr id="215" name="Group 34"/>
            <xdr:cNvGrpSpPr/>
          </xdr:nvGrpSpPr>
          <xdr:grpSpPr>
            <a:xfrm>
              <a:off x="14013887" y="50624050"/>
              <a:ext cx="9008700" cy="3351338"/>
              <a:chOff x="13787438" y="976312"/>
              <a:chExt cx="9024936" cy="3395187"/>
            </a:xfrm>
          </xdr:grpSpPr>
          <xdr:graphicFrame macro="">
            <xdr:nvGraphicFramePr>
              <xdr:cNvPr id="217" name="Chart 216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9"/>
              </a:graphicData>
            </a:graphic>
          </xdr:graphicFrame>
          <xdr:graphicFrame macro="">
            <xdr:nvGraphicFramePr>
              <xdr:cNvPr id="218" name="Chart 3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0"/>
              </a:graphicData>
            </a:graphic>
          </xdr:graphicFrame>
        </xdr:grpSp>
        <xdr:sp macro="" textlink="">
          <xdr:nvSpPr>
            <xdr:cNvPr id="216" name="Rectangle 94"/>
            <xdr:cNvSpPr/>
          </xdr:nvSpPr>
          <xdr:spPr>
            <a:xfrm>
              <a:off x="14798680" y="49455392"/>
              <a:ext cx="7268690" cy="129970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  </a:t>
              </a:r>
              <a:r>
                <a:rPr lang="ar-LB" sz="1800" b="1">
                  <a:latin typeface="+mn-lt"/>
                </a:rPr>
                <a:t>الشكل 15: الهرم السكاني، الكويت، تعداد 2011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15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Kuwait,</a:t>
              </a:r>
              <a:r>
                <a:rPr lang="en-US" sz="1800" b="1" baseline="0">
                  <a:latin typeface="+mn-lt"/>
                </a:rPr>
                <a:t> Census 2011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213" name="Rectangle 212"/>
          <xdr:cNvSpPr/>
        </xdr:nvSpPr>
        <xdr:spPr>
          <a:xfrm>
            <a:off x="16419366" y="50503448"/>
            <a:ext cx="587976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4" name="Rectangle 213"/>
          <xdr:cNvSpPr/>
        </xdr:nvSpPr>
        <xdr:spPr>
          <a:xfrm>
            <a:off x="19524553" y="50491188"/>
            <a:ext cx="822616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315</xdr:row>
      <xdr:rowOff>0</xdr:rowOff>
    </xdr:from>
    <xdr:to>
      <xdr:col>30</xdr:col>
      <xdr:colOff>590721</xdr:colOff>
      <xdr:row>337</xdr:row>
      <xdr:rowOff>33683</xdr:rowOff>
    </xdr:to>
    <xdr:grpSp>
      <xdr:nvGrpSpPr>
        <xdr:cNvPr id="227" name="Group 226"/>
        <xdr:cNvGrpSpPr/>
      </xdr:nvGrpSpPr>
      <xdr:grpSpPr>
        <a:xfrm>
          <a:off x="9827341" y="58271492"/>
          <a:ext cx="9198864" cy="4289207"/>
          <a:chOff x="14435942" y="126886791"/>
          <a:chExt cx="9015817" cy="4336651"/>
        </a:xfrm>
      </xdr:grpSpPr>
      <xdr:grpSp>
        <xdr:nvGrpSpPr>
          <xdr:cNvPr id="228" name="Group 134"/>
          <xdr:cNvGrpSpPr/>
        </xdr:nvGrpSpPr>
        <xdr:grpSpPr>
          <a:xfrm>
            <a:off x="14435942" y="126886821"/>
            <a:ext cx="9015817" cy="4336652"/>
            <a:chOff x="14489545" y="128118376"/>
            <a:chExt cx="9015818" cy="4383304"/>
          </a:xfrm>
        </xdr:grpSpPr>
        <xdr:grpSp>
          <xdr:nvGrpSpPr>
            <xdr:cNvPr id="231" name="Group 76"/>
            <xdr:cNvGrpSpPr/>
          </xdr:nvGrpSpPr>
          <xdr:grpSpPr>
            <a:xfrm>
              <a:off x="14489545" y="129150341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233" name="Chart 77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1"/>
              </a:graphicData>
            </a:graphic>
          </xdr:graphicFrame>
          <xdr:graphicFrame macro="">
            <xdr:nvGraphicFramePr>
              <xdr:cNvPr id="234" name="Chart 78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2"/>
              </a:graphicData>
            </a:graphic>
          </xdr:graphicFrame>
        </xdr:grpSp>
        <xdr:sp macro="" textlink="">
          <xdr:nvSpPr>
            <xdr:cNvPr id="232" name="Rectangle 231"/>
            <xdr:cNvSpPr/>
          </xdr:nvSpPr>
          <xdr:spPr>
            <a:xfrm>
              <a:off x="15268864" y="128118376"/>
              <a:ext cx="7323117" cy="121120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29: الهرم السكاني، الإمارات العربية المتحدة، تعداد 2005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29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United Arab Emirates ,</a:t>
              </a:r>
              <a:r>
                <a:rPr lang="en-US" sz="1800" b="1" baseline="0">
                  <a:latin typeface="+mn-lt"/>
                </a:rPr>
                <a:t> Census 2005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229" name="Rectangle 165"/>
          <xdr:cNvSpPr/>
        </xdr:nvSpPr>
        <xdr:spPr>
          <a:xfrm>
            <a:off x="16838036" y="128436273"/>
            <a:ext cx="822613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0" name="Rectangle 189"/>
          <xdr:cNvSpPr/>
        </xdr:nvSpPr>
        <xdr:spPr>
          <a:xfrm>
            <a:off x="20012501" y="128436273"/>
            <a:ext cx="827958" cy="341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40"/>
  <sheetViews>
    <sheetView tabSelected="1" workbookViewId="0">
      <selection activeCell="U32" sqref="U32"/>
    </sheetView>
  </sheetViews>
  <sheetFormatPr defaultRowHeight="12"/>
  <cols>
    <col min="1" max="1" width="9.140625" style="256"/>
    <col min="2" max="17" width="9.140625" style="254"/>
    <col min="18" max="18" width="9.140625" style="257"/>
    <col min="19" max="16384" width="9.140625" style="254"/>
  </cols>
  <sheetData>
    <row r="3" spans="1:18">
      <c r="A3" s="253" t="s">
        <v>166</v>
      </c>
      <c r="R3" s="255" t="s">
        <v>110</v>
      </c>
    </row>
    <row r="4" spans="1:18">
      <c r="A4" s="253" t="s">
        <v>134</v>
      </c>
      <c r="R4" s="255" t="s">
        <v>136</v>
      </c>
    </row>
    <row r="5" spans="1:18">
      <c r="A5" s="253" t="s">
        <v>128</v>
      </c>
      <c r="R5" s="255" t="s">
        <v>137</v>
      </c>
    </row>
    <row r="6" spans="1:18">
      <c r="A6" s="253" t="s">
        <v>73</v>
      </c>
      <c r="R6" s="255" t="s">
        <v>138</v>
      </c>
    </row>
    <row r="7" spans="1:18">
      <c r="A7" s="253" t="s">
        <v>74</v>
      </c>
      <c r="R7" s="255" t="s">
        <v>139</v>
      </c>
    </row>
    <row r="8" spans="1:18">
      <c r="A8" s="253" t="s">
        <v>75</v>
      </c>
      <c r="R8" s="255" t="s">
        <v>140</v>
      </c>
    </row>
    <row r="9" spans="1:18">
      <c r="A9" s="253" t="s">
        <v>76</v>
      </c>
      <c r="R9" s="255" t="s">
        <v>141</v>
      </c>
    </row>
    <row r="10" spans="1:18">
      <c r="A10" s="253" t="s">
        <v>77</v>
      </c>
      <c r="R10" s="255" t="s">
        <v>142</v>
      </c>
    </row>
    <row r="11" spans="1:18">
      <c r="A11" s="253" t="s">
        <v>78</v>
      </c>
      <c r="R11" s="255" t="s">
        <v>143</v>
      </c>
    </row>
    <row r="12" spans="1:18">
      <c r="A12" s="253" t="s">
        <v>79</v>
      </c>
      <c r="R12" s="255" t="s">
        <v>144</v>
      </c>
    </row>
    <row r="13" spans="1:18">
      <c r="A13" s="253" t="s">
        <v>80</v>
      </c>
      <c r="R13" s="255" t="s">
        <v>145</v>
      </c>
    </row>
    <row r="14" spans="1:18">
      <c r="A14" s="253" t="s">
        <v>121</v>
      </c>
      <c r="R14" s="255" t="s">
        <v>146</v>
      </c>
    </row>
    <row r="15" spans="1:18">
      <c r="A15" s="253" t="s">
        <v>122</v>
      </c>
      <c r="R15" s="255" t="s">
        <v>147</v>
      </c>
    </row>
    <row r="16" spans="1:18" ht="13.5">
      <c r="A16" s="253" t="s">
        <v>167</v>
      </c>
      <c r="R16" s="255" t="s">
        <v>168</v>
      </c>
    </row>
    <row r="17" spans="1:18" ht="13.5">
      <c r="A17" s="253" t="s">
        <v>169</v>
      </c>
      <c r="R17" s="255" t="s">
        <v>170</v>
      </c>
    </row>
    <row r="18" spans="1:18">
      <c r="A18" s="253" t="s">
        <v>99</v>
      </c>
      <c r="R18" s="255" t="s">
        <v>148</v>
      </c>
    </row>
    <row r="19" spans="1:18">
      <c r="A19" s="253" t="s">
        <v>97</v>
      </c>
      <c r="R19" s="255" t="s">
        <v>149</v>
      </c>
    </row>
    <row r="20" spans="1:18">
      <c r="A20" s="253" t="s">
        <v>81</v>
      </c>
      <c r="R20" s="255" t="s">
        <v>150</v>
      </c>
    </row>
    <row r="21" spans="1:18">
      <c r="A21" s="253" t="s">
        <v>82</v>
      </c>
      <c r="R21" s="255" t="s">
        <v>151</v>
      </c>
    </row>
    <row r="22" spans="1:18">
      <c r="A22" s="253" t="s">
        <v>83</v>
      </c>
      <c r="R22" s="255" t="s">
        <v>152</v>
      </c>
    </row>
    <row r="23" spans="1:18">
      <c r="A23" s="253" t="s">
        <v>84</v>
      </c>
      <c r="R23" s="255" t="s">
        <v>153</v>
      </c>
    </row>
    <row r="24" spans="1:18">
      <c r="A24" s="253" t="s">
        <v>85</v>
      </c>
      <c r="R24" s="255" t="s">
        <v>154</v>
      </c>
    </row>
    <row r="25" spans="1:18">
      <c r="A25" s="253" t="s">
        <v>86</v>
      </c>
      <c r="R25" s="255" t="s">
        <v>155</v>
      </c>
    </row>
    <row r="26" spans="1:18">
      <c r="A26" s="253" t="s">
        <v>87</v>
      </c>
      <c r="R26" s="255" t="s">
        <v>156</v>
      </c>
    </row>
    <row r="27" spans="1:18">
      <c r="A27" s="253" t="s">
        <v>88</v>
      </c>
      <c r="R27" s="255" t="s">
        <v>157</v>
      </c>
    </row>
    <row r="28" spans="1:18">
      <c r="A28" s="253" t="s">
        <v>89</v>
      </c>
      <c r="R28" s="255" t="s">
        <v>158</v>
      </c>
    </row>
    <row r="29" spans="1:18">
      <c r="A29" s="253" t="s">
        <v>90</v>
      </c>
      <c r="R29" s="255" t="s">
        <v>159</v>
      </c>
    </row>
    <row r="30" spans="1:18">
      <c r="A30" s="253" t="s">
        <v>176</v>
      </c>
      <c r="R30" s="255" t="s">
        <v>241</v>
      </c>
    </row>
    <row r="31" spans="1:18">
      <c r="A31" s="253" t="s">
        <v>178</v>
      </c>
      <c r="R31" s="135" t="s">
        <v>177</v>
      </c>
    </row>
    <row r="32" spans="1:18">
      <c r="A32" s="134" t="s">
        <v>172</v>
      </c>
      <c r="R32" s="135" t="s">
        <v>171</v>
      </c>
    </row>
    <row r="33" spans="1:18">
      <c r="A33" s="134" t="s">
        <v>235</v>
      </c>
      <c r="R33" s="135" t="s">
        <v>234</v>
      </c>
    </row>
    <row r="34" spans="1:18">
      <c r="A34" s="134" t="s">
        <v>236</v>
      </c>
      <c r="R34" s="135" t="s">
        <v>242</v>
      </c>
    </row>
    <row r="35" spans="1:18">
      <c r="A35" s="134" t="s">
        <v>237</v>
      </c>
      <c r="R35" s="135" t="s">
        <v>243</v>
      </c>
    </row>
    <row r="36" spans="1:18">
      <c r="A36" s="253" t="s">
        <v>238</v>
      </c>
      <c r="R36" s="255" t="s">
        <v>244</v>
      </c>
    </row>
    <row r="37" spans="1:18">
      <c r="A37" s="253" t="s">
        <v>239</v>
      </c>
      <c r="R37" s="255" t="s">
        <v>245</v>
      </c>
    </row>
    <row r="38" spans="1:18">
      <c r="A38" s="253" t="s">
        <v>240</v>
      </c>
      <c r="R38" s="255" t="s">
        <v>246</v>
      </c>
    </row>
    <row r="39" spans="1:18">
      <c r="A39" s="253"/>
      <c r="R39" s="255"/>
    </row>
    <row r="40" spans="1:18">
      <c r="A40" s="136"/>
      <c r="R40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5:A330"/>
  <sheetViews>
    <sheetView view="pageBreakPreview" topLeftCell="C223" zoomScale="62" zoomScaleSheetLayoutView="62" workbookViewId="0">
      <selection activeCell="P105" sqref="P105"/>
    </sheetView>
  </sheetViews>
  <sheetFormatPr defaultRowHeight="15"/>
  <cols>
    <col min="1" max="16384" width="9.140625" style="130"/>
  </cols>
  <sheetData>
    <row r="25" ht="30" customHeight="1"/>
    <row r="330" ht="30" customHeight="1"/>
  </sheetData>
  <printOptions horizontalCentered="1" verticalCentered="1"/>
  <pageMargins left="0" right="0" top="0.74803149606299213" bottom="0.74803149606299213" header="0.31496062992125984" footer="0.31496062992125984"/>
  <pageSetup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O54"/>
  <sheetViews>
    <sheetView view="pageBreakPreview" topLeftCell="B1" zoomScaleNormal="100" zoomScaleSheetLayoutView="100" workbookViewId="0">
      <selection activeCell="L20" sqref="L20"/>
    </sheetView>
  </sheetViews>
  <sheetFormatPr defaultRowHeight="15"/>
  <cols>
    <col min="1" max="1" width="20.5703125" style="22" customWidth="1"/>
    <col min="2" max="2" width="17.28515625" style="22" customWidth="1"/>
    <col min="3" max="3" width="15" style="22" customWidth="1"/>
    <col min="4" max="6" width="14.140625" style="22" customWidth="1"/>
    <col min="7" max="7" width="1.140625" style="22" customWidth="1"/>
    <col min="8" max="8" width="18.42578125" style="252" customWidth="1"/>
    <col min="9" max="12" width="18.42578125" style="22" customWidth="1"/>
    <col min="13" max="13" width="1" style="252" customWidth="1"/>
    <col min="14" max="14" width="19" style="22" customWidth="1"/>
    <col min="15" max="15" width="18.140625" style="22" customWidth="1"/>
    <col min="16" max="19" width="9.28515625" style="22" customWidth="1"/>
    <col min="20" max="16384" width="9.140625" style="22"/>
  </cols>
  <sheetData>
    <row r="1" spans="1:15" customFormat="1">
      <c r="M1" s="31"/>
    </row>
    <row r="2" spans="1:15" customFormat="1" ht="15.75">
      <c r="A2" s="292" t="s">
        <v>110</v>
      </c>
      <c r="B2" s="258"/>
      <c r="C2" s="258"/>
      <c r="D2" s="259"/>
      <c r="E2" s="258"/>
      <c r="F2" s="259"/>
      <c r="G2" s="258"/>
      <c r="H2" s="259"/>
      <c r="I2" s="259"/>
      <c r="J2" s="259"/>
      <c r="K2" s="258"/>
      <c r="L2" s="258"/>
      <c r="M2" s="290"/>
      <c r="N2" s="258"/>
      <c r="O2" s="258"/>
    </row>
    <row r="3" spans="1:15" customFormat="1">
      <c r="A3" s="260" t="s">
        <v>179</v>
      </c>
      <c r="B3" s="258"/>
      <c r="C3" s="258"/>
      <c r="D3" s="261"/>
      <c r="E3" s="258"/>
      <c r="F3" s="262"/>
      <c r="G3" s="258"/>
      <c r="H3" s="262"/>
      <c r="I3" s="262"/>
      <c r="J3" s="262"/>
      <c r="K3" s="258"/>
      <c r="L3" s="258"/>
      <c r="M3" s="290"/>
      <c r="N3" s="258"/>
      <c r="O3" s="258"/>
    </row>
    <row r="4" spans="1:15" customFormat="1" ht="15.75">
      <c r="B4" s="243"/>
      <c r="C4" s="243"/>
      <c r="D4" s="263"/>
      <c r="E4" s="263"/>
      <c r="F4" s="263"/>
      <c r="H4" s="263"/>
      <c r="I4" s="263"/>
      <c r="J4" s="263"/>
      <c r="M4" s="31"/>
    </row>
    <row r="5" spans="1:15" customFormat="1" ht="15.75" thickBot="1">
      <c r="M5" s="31"/>
    </row>
    <row r="6" spans="1:15" customFormat="1" ht="15.75" thickBot="1">
      <c r="A6" s="305" t="s">
        <v>41</v>
      </c>
      <c r="B6" s="308" t="s">
        <v>180</v>
      </c>
      <c r="C6" s="308"/>
      <c r="D6" s="308"/>
      <c r="E6" s="308"/>
      <c r="F6" s="308"/>
      <c r="H6" s="298"/>
      <c r="I6" s="309" t="s">
        <v>201</v>
      </c>
      <c r="J6" s="309"/>
      <c r="K6" s="309"/>
      <c r="L6" s="298"/>
      <c r="M6" s="264"/>
      <c r="N6" s="265" t="s">
        <v>181</v>
      </c>
      <c r="O6" s="310" t="s">
        <v>182</v>
      </c>
    </row>
    <row r="7" spans="1:15" customFormat="1" ht="39" customHeight="1" thickBot="1">
      <c r="A7" s="306"/>
      <c r="B7" s="266" t="s">
        <v>183</v>
      </c>
      <c r="C7" s="313" t="s">
        <v>184</v>
      </c>
      <c r="D7" s="310" t="s">
        <v>185</v>
      </c>
      <c r="E7" s="310" t="s">
        <v>186</v>
      </c>
      <c r="F7" s="310" t="s">
        <v>187</v>
      </c>
      <c r="H7" s="266" t="s">
        <v>183</v>
      </c>
      <c r="I7" s="316" t="s">
        <v>185</v>
      </c>
      <c r="J7" s="310" t="s">
        <v>186</v>
      </c>
      <c r="K7" s="311" t="s">
        <v>187</v>
      </c>
      <c r="L7" s="319" t="s">
        <v>202</v>
      </c>
      <c r="M7" s="267"/>
      <c r="N7" s="319" t="s">
        <v>203</v>
      </c>
      <c r="O7" s="311"/>
    </row>
    <row r="8" spans="1:15" customFormat="1" ht="70.5" customHeight="1" thickBot="1">
      <c r="A8" s="307"/>
      <c r="B8" s="268" t="s">
        <v>188</v>
      </c>
      <c r="C8" s="314"/>
      <c r="D8" s="315"/>
      <c r="E8" s="315"/>
      <c r="F8" s="315"/>
      <c r="H8" s="299" t="s">
        <v>204</v>
      </c>
      <c r="I8" s="317"/>
      <c r="J8" s="318"/>
      <c r="K8" s="318"/>
      <c r="L8" s="320"/>
      <c r="M8" s="300"/>
      <c r="N8" s="320"/>
      <c r="O8" s="312"/>
    </row>
    <row r="9" spans="1:15" customFormat="1">
      <c r="A9" s="244" t="s">
        <v>42</v>
      </c>
      <c r="B9" s="269" t="s">
        <v>189</v>
      </c>
      <c r="C9" s="270" t="s">
        <v>190</v>
      </c>
      <c r="D9" s="271">
        <v>768414</v>
      </c>
      <c r="E9" s="271">
        <v>466157</v>
      </c>
      <c r="F9" s="271">
        <v>1234571</v>
      </c>
      <c r="H9" s="272" t="s">
        <v>249</v>
      </c>
      <c r="I9" s="273">
        <v>768414</v>
      </c>
      <c r="J9" s="273">
        <v>466157</v>
      </c>
      <c r="K9" s="273">
        <v>1234571</v>
      </c>
      <c r="L9" s="273">
        <v>1324000</v>
      </c>
      <c r="M9" s="273"/>
      <c r="N9" s="273"/>
      <c r="O9" s="246" t="s">
        <v>43</v>
      </c>
    </row>
    <row r="10" spans="1:15" customFormat="1">
      <c r="A10" s="247" t="s">
        <v>44</v>
      </c>
      <c r="B10" s="269" t="s">
        <v>191</v>
      </c>
      <c r="C10" s="270" t="s">
        <v>192</v>
      </c>
      <c r="D10" s="273">
        <v>36572967</v>
      </c>
      <c r="E10" s="273">
        <v>34890388</v>
      </c>
      <c r="F10" s="273">
        <v>71463355</v>
      </c>
      <c r="H10" s="274">
        <v>2006</v>
      </c>
      <c r="I10" s="273">
        <v>37219056</v>
      </c>
      <c r="J10" s="273">
        <v>35578975</v>
      </c>
      <c r="K10" s="273">
        <v>72798031</v>
      </c>
      <c r="L10" s="273">
        <v>82537000</v>
      </c>
      <c r="M10" s="273"/>
      <c r="N10" s="273">
        <v>80410017</v>
      </c>
      <c r="O10" s="248" t="s">
        <v>45</v>
      </c>
    </row>
    <row r="11" spans="1:15" customFormat="1">
      <c r="A11" s="247" t="s">
        <v>46</v>
      </c>
      <c r="B11" s="269" t="s">
        <v>205</v>
      </c>
      <c r="C11" s="270" t="s">
        <v>192</v>
      </c>
      <c r="D11" s="273">
        <v>10987251</v>
      </c>
      <c r="E11" s="273">
        <v>11058993</v>
      </c>
      <c r="F11" s="273">
        <v>22046244</v>
      </c>
      <c r="H11" s="274" t="s">
        <v>206</v>
      </c>
      <c r="I11" s="273">
        <v>9536570</v>
      </c>
      <c r="J11" s="273">
        <v>9647973</v>
      </c>
      <c r="K11" s="273">
        <v>19184543</v>
      </c>
      <c r="L11" s="273">
        <v>32665000</v>
      </c>
      <c r="M11" s="273"/>
      <c r="N11" s="273">
        <v>32437948</v>
      </c>
      <c r="O11" s="248" t="s">
        <v>47</v>
      </c>
    </row>
    <row r="12" spans="1:15" customFormat="1">
      <c r="A12" s="247" t="s">
        <v>48</v>
      </c>
      <c r="B12" s="269" t="s">
        <v>193</v>
      </c>
      <c r="C12" s="270" t="s">
        <v>192</v>
      </c>
      <c r="D12" s="273">
        <v>2626287</v>
      </c>
      <c r="E12" s="273">
        <v>2477352</v>
      </c>
      <c r="F12" s="273">
        <v>5103639</v>
      </c>
      <c r="H12" s="274" t="s">
        <v>250</v>
      </c>
      <c r="I12" s="273">
        <v>2626287</v>
      </c>
      <c r="J12" s="273">
        <v>2477352</v>
      </c>
      <c r="K12" s="273">
        <v>5103639</v>
      </c>
      <c r="L12" s="273">
        <v>6330000</v>
      </c>
      <c r="M12" s="273"/>
      <c r="N12" s="273">
        <v>6249000</v>
      </c>
      <c r="O12" s="248" t="s">
        <v>49</v>
      </c>
    </row>
    <row r="13" spans="1:15" customFormat="1">
      <c r="A13" s="247" t="s">
        <v>50</v>
      </c>
      <c r="B13" s="269" t="s">
        <v>194</v>
      </c>
      <c r="C13" s="270" t="s">
        <v>192</v>
      </c>
      <c r="D13" s="245">
        <v>1738372</v>
      </c>
      <c r="E13" s="245">
        <v>1327478</v>
      </c>
      <c r="F13" s="245">
        <v>3065850</v>
      </c>
      <c r="H13" s="274">
        <v>2005</v>
      </c>
      <c r="I13" s="273" t="s">
        <v>207</v>
      </c>
      <c r="J13" s="273" t="s">
        <v>208</v>
      </c>
      <c r="K13" s="273">
        <v>2704533.9999999991</v>
      </c>
      <c r="L13" s="273">
        <v>2818000</v>
      </c>
      <c r="M13" s="273"/>
      <c r="N13" s="273" t="s">
        <v>17</v>
      </c>
      <c r="O13" s="248" t="s">
        <v>51</v>
      </c>
    </row>
    <row r="14" spans="1:15" customFormat="1">
      <c r="A14" s="247" t="s">
        <v>69</v>
      </c>
      <c r="B14" s="270"/>
      <c r="C14" s="270" t="s">
        <v>17</v>
      </c>
      <c r="D14" s="273" t="s">
        <v>17</v>
      </c>
      <c r="E14" s="273" t="s">
        <v>17</v>
      </c>
      <c r="F14" s="273" t="s">
        <v>17</v>
      </c>
      <c r="H14" s="274" t="s">
        <v>209</v>
      </c>
      <c r="I14" s="273">
        <v>1857659</v>
      </c>
      <c r="J14" s="273">
        <v>1901475</v>
      </c>
      <c r="K14" s="273">
        <v>3759134</v>
      </c>
      <c r="L14" s="273">
        <v>4259000</v>
      </c>
      <c r="M14" s="273"/>
      <c r="N14" s="273" t="s">
        <v>17</v>
      </c>
      <c r="O14" s="248" t="s">
        <v>52</v>
      </c>
    </row>
    <row r="15" spans="1:15" customFormat="1">
      <c r="A15" s="247" t="s">
        <v>53</v>
      </c>
      <c r="B15" s="269" t="s">
        <v>195</v>
      </c>
      <c r="C15" s="270" t="s">
        <v>192</v>
      </c>
      <c r="D15" s="273">
        <v>1612408</v>
      </c>
      <c r="E15" s="273">
        <v>1161071</v>
      </c>
      <c r="F15" s="273">
        <v>2773479</v>
      </c>
      <c r="G15" s="22"/>
      <c r="H15" s="274" t="s">
        <v>251</v>
      </c>
      <c r="I15" s="273">
        <v>1612408</v>
      </c>
      <c r="J15" s="273">
        <v>1161071</v>
      </c>
      <c r="K15" s="273">
        <v>2773479</v>
      </c>
      <c r="L15" s="273">
        <v>2846000</v>
      </c>
      <c r="M15" s="273"/>
      <c r="N15" s="273" t="s">
        <v>17</v>
      </c>
      <c r="O15" s="248" t="s">
        <v>54</v>
      </c>
    </row>
    <row r="16" spans="1:15" customFormat="1">
      <c r="A16" s="247" t="s">
        <v>55</v>
      </c>
      <c r="B16" s="269" t="s">
        <v>196</v>
      </c>
      <c r="C16" s="270" t="s">
        <v>192</v>
      </c>
      <c r="D16" s="273">
        <v>1862177</v>
      </c>
      <c r="E16" s="273">
        <v>1806812.9999999998</v>
      </c>
      <c r="F16" s="273">
        <v>3668989.9999999995</v>
      </c>
      <c r="H16" s="274" t="s">
        <v>211</v>
      </c>
      <c r="I16" s="273" t="s">
        <v>212</v>
      </c>
      <c r="J16" s="273" t="s">
        <v>213</v>
      </c>
      <c r="K16" s="273" t="s">
        <v>214</v>
      </c>
      <c r="L16" s="273">
        <v>4152000</v>
      </c>
      <c r="M16" s="273"/>
      <c r="N16" s="273" t="s">
        <v>17</v>
      </c>
      <c r="O16" s="248" t="s">
        <v>56</v>
      </c>
    </row>
    <row r="17" spans="1:15" customFormat="1">
      <c r="A17" s="247" t="s">
        <v>57</v>
      </c>
      <c r="B17" s="269" t="s">
        <v>197</v>
      </c>
      <c r="C17" s="270" t="s">
        <v>192</v>
      </c>
      <c r="D17" s="273">
        <v>1284739</v>
      </c>
      <c r="E17" s="273">
        <v>414696</v>
      </c>
      <c r="F17" s="273">
        <v>1699435</v>
      </c>
      <c r="G17" s="22"/>
      <c r="H17" s="274" t="s">
        <v>249</v>
      </c>
      <c r="I17" s="273">
        <v>1284739</v>
      </c>
      <c r="J17" s="273">
        <v>414696</v>
      </c>
      <c r="K17" s="273">
        <v>1699435</v>
      </c>
      <c r="L17" s="273">
        <v>1870000</v>
      </c>
      <c r="M17" s="273"/>
      <c r="N17" s="273">
        <v>1732718</v>
      </c>
      <c r="O17" s="248" t="s">
        <v>58</v>
      </c>
    </row>
    <row r="18" spans="1:15" customFormat="1">
      <c r="A18" s="247" t="s">
        <v>59</v>
      </c>
      <c r="B18" s="269" t="s">
        <v>189</v>
      </c>
      <c r="C18" s="270" t="s">
        <v>192</v>
      </c>
      <c r="D18" s="273">
        <v>15460147</v>
      </c>
      <c r="E18" s="273">
        <v>11676830</v>
      </c>
      <c r="F18" s="273">
        <v>27136977</v>
      </c>
      <c r="H18" s="274" t="s">
        <v>210</v>
      </c>
      <c r="I18" s="273">
        <v>15460147</v>
      </c>
      <c r="J18" s="273">
        <v>11676830</v>
      </c>
      <c r="K18" s="273">
        <v>27136977</v>
      </c>
      <c r="L18" s="273">
        <v>28083000</v>
      </c>
      <c r="M18" s="273"/>
      <c r="N18" s="273">
        <v>28376355</v>
      </c>
      <c r="O18" s="248" t="s">
        <v>60</v>
      </c>
    </row>
    <row r="19" spans="1:15" customFormat="1">
      <c r="A19" s="247" t="s">
        <v>61</v>
      </c>
      <c r="B19" s="269" t="s">
        <v>252</v>
      </c>
      <c r="C19" s="270" t="s">
        <v>192</v>
      </c>
      <c r="D19" s="273">
        <v>20073977</v>
      </c>
      <c r="E19" s="273">
        <v>19080513</v>
      </c>
      <c r="F19" s="273">
        <v>39154490</v>
      </c>
      <c r="H19" s="274">
        <v>2008</v>
      </c>
      <c r="I19" s="245" t="s">
        <v>253</v>
      </c>
      <c r="J19" s="245" t="s">
        <v>254</v>
      </c>
      <c r="K19" s="245" t="s">
        <v>255</v>
      </c>
      <c r="L19" s="273">
        <v>44632000</v>
      </c>
      <c r="M19" s="273"/>
      <c r="N19" s="273" t="s">
        <v>17</v>
      </c>
      <c r="O19" s="248" t="s">
        <v>62</v>
      </c>
    </row>
    <row r="20" spans="1:15" customFormat="1">
      <c r="A20" s="247" t="s">
        <v>63</v>
      </c>
      <c r="B20" s="269" t="s">
        <v>200</v>
      </c>
      <c r="C20" s="270" t="s">
        <v>192</v>
      </c>
      <c r="D20" s="273">
        <v>9195000</v>
      </c>
      <c r="E20" s="273">
        <v>8723000</v>
      </c>
      <c r="F20" s="273">
        <v>17918000</v>
      </c>
      <c r="H20" s="274" t="s">
        <v>215</v>
      </c>
      <c r="I20" s="273">
        <v>9161000</v>
      </c>
      <c r="J20" s="273" t="s">
        <v>216</v>
      </c>
      <c r="K20" s="273" t="s">
        <v>217</v>
      </c>
      <c r="L20" s="273">
        <v>20766000</v>
      </c>
      <c r="M20" s="273"/>
      <c r="N20" s="273"/>
      <c r="O20" s="248" t="s">
        <v>70</v>
      </c>
    </row>
    <row r="21" spans="1:15" customFormat="1">
      <c r="A21" s="247" t="s">
        <v>64</v>
      </c>
      <c r="B21" s="269" t="s">
        <v>198</v>
      </c>
      <c r="C21" s="275" t="s">
        <v>192</v>
      </c>
      <c r="D21" s="276">
        <v>2808072</v>
      </c>
      <c r="E21" s="276">
        <v>1302003</v>
      </c>
      <c r="F21" s="276">
        <v>4110075</v>
      </c>
      <c r="H21" s="274">
        <v>2005</v>
      </c>
      <c r="I21" s="273">
        <v>2806141</v>
      </c>
      <c r="J21" s="273">
        <v>1300286</v>
      </c>
      <c r="K21" s="273">
        <v>4106427</v>
      </c>
      <c r="L21" s="273">
        <v>7891000</v>
      </c>
      <c r="M21" s="273"/>
      <c r="N21" s="273" t="s">
        <v>17</v>
      </c>
      <c r="O21" s="248" t="s">
        <v>199</v>
      </c>
    </row>
    <row r="22" spans="1:15" customFormat="1" ht="15.75" thickBot="1">
      <c r="A22" s="249" t="s">
        <v>65</v>
      </c>
      <c r="B22" s="289" t="s">
        <v>200</v>
      </c>
      <c r="C22" s="277" t="s">
        <v>192</v>
      </c>
      <c r="D22" s="278">
        <v>10036953</v>
      </c>
      <c r="E22" s="278">
        <v>9648208</v>
      </c>
      <c r="F22" s="278">
        <v>19685161</v>
      </c>
      <c r="H22" s="279" t="s">
        <v>250</v>
      </c>
      <c r="I22" s="280">
        <v>10036953</v>
      </c>
      <c r="J22" s="280">
        <v>9648208</v>
      </c>
      <c r="K22" s="280">
        <v>19685161</v>
      </c>
      <c r="L22" s="280">
        <v>24800000</v>
      </c>
      <c r="M22" s="280"/>
      <c r="N22" s="280">
        <v>23154000</v>
      </c>
      <c r="O22" s="250" t="s">
        <v>66</v>
      </c>
    </row>
    <row r="23" spans="1:15" customFormat="1">
      <c r="H23" s="31"/>
    </row>
    <row r="24" spans="1:15">
      <c r="A24" s="281" t="s">
        <v>218</v>
      </c>
      <c r="B24"/>
      <c r="C24"/>
      <c r="D24"/>
      <c r="E24"/>
      <c r="F24" s="283"/>
      <c r="G24"/>
      <c r="H24" s="31"/>
      <c r="I24"/>
      <c r="J24" s="282"/>
      <c r="K24" s="281"/>
      <c r="L24" s="283"/>
      <c r="M24"/>
      <c r="N24"/>
      <c r="O24" s="284" t="s">
        <v>219</v>
      </c>
    </row>
    <row r="25" spans="1:15">
      <c r="A25" s="281" t="s">
        <v>220</v>
      </c>
      <c r="B25"/>
      <c r="C25"/>
      <c r="D25"/>
      <c r="E25"/>
      <c r="F25"/>
      <c r="G25"/>
      <c r="H25" s="31"/>
      <c r="I25"/>
      <c r="J25" s="281"/>
      <c r="K25" s="281"/>
      <c r="L25"/>
      <c r="M25"/>
      <c r="N25"/>
      <c r="O25" s="284" t="s">
        <v>221</v>
      </c>
    </row>
    <row r="26" spans="1:15">
      <c r="A26" s="285" t="s">
        <v>222</v>
      </c>
      <c r="B26"/>
      <c r="C26"/>
      <c r="D26"/>
      <c r="E26"/>
      <c r="F26"/>
      <c r="G26"/>
      <c r="H26" s="31"/>
      <c r="I26" s="269"/>
      <c r="J26"/>
      <c r="K26"/>
      <c r="L26"/>
      <c r="M26"/>
      <c r="N26"/>
      <c r="O26" s="284" t="s">
        <v>223</v>
      </c>
    </row>
    <row r="27" spans="1:15">
      <c r="A27" s="285" t="s">
        <v>224</v>
      </c>
      <c r="B27"/>
      <c r="C27"/>
      <c r="D27"/>
      <c r="E27"/>
      <c r="F27"/>
      <c r="G27"/>
      <c r="H27" s="31"/>
      <c r="I27"/>
      <c r="J27" s="281"/>
      <c r="K27" s="281"/>
      <c r="L27"/>
      <c r="M27"/>
      <c r="N27"/>
      <c r="O27" s="286" t="s">
        <v>225</v>
      </c>
    </row>
    <row r="28" spans="1:15">
      <c r="A28" s="287" t="s">
        <v>226</v>
      </c>
      <c r="B28"/>
      <c r="C28"/>
      <c r="D28"/>
      <c r="E28"/>
      <c r="F28"/>
      <c r="G28"/>
      <c r="H28" s="31"/>
      <c r="I28"/>
      <c r="J28" s="281"/>
      <c r="K28" s="281"/>
      <c r="L28"/>
      <c r="M28"/>
      <c r="N28"/>
      <c r="O28" s="288" t="s">
        <v>227</v>
      </c>
    </row>
    <row r="29" spans="1:15" ht="15" customHeight="1">
      <c r="A29" s="285" t="s">
        <v>228</v>
      </c>
      <c r="B29"/>
      <c r="C29"/>
      <c r="D29"/>
      <c r="E29"/>
      <c r="F29"/>
      <c r="G29"/>
      <c r="H29" s="31"/>
      <c r="I29"/>
      <c r="J29" s="281"/>
      <c r="K29" s="281"/>
      <c r="L29"/>
      <c r="M29"/>
      <c r="N29"/>
      <c r="O29" s="284" t="s">
        <v>229</v>
      </c>
    </row>
    <row r="30" spans="1:15">
      <c r="A30" s="285" t="s">
        <v>256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 s="284" t="s">
        <v>257</v>
      </c>
    </row>
    <row r="31" spans="1:15">
      <c r="A31" s="281" t="s">
        <v>230</v>
      </c>
      <c r="B31"/>
      <c r="C31"/>
      <c r="D31"/>
      <c r="E31"/>
      <c r="F31"/>
      <c r="G31"/>
      <c r="H31"/>
      <c r="I31" s="269"/>
      <c r="J31"/>
      <c r="K31"/>
      <c r="L31"/>
      <c r="M31"/>
      <c r="N31"/>
      <c r="O31" s="284" t="s">
        <v>231</v>
      </c>
    </row>
    <row r="32" spans="1:15">
      <c r="A32" s="281" t="s">
        <v>258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8:8">
      <c r="H33" s="22"/>
    </row>
    <row r="34" spans="8:8">
      <c r="H34" s="22"/>
    </row>
    <row r="54" spans="1:1">
      <c r="A54" s="251"/>
    </row>
  </sheetData>
  <mergeCells count="13">
    <mergeCell ref="A6:A8"/>
    <mergeCell ref="B6:F6"/>
    <mergeCell ref="I6:K6"/>
    <mergeCell ref="O6:O8"/>
    <mergeCell ref="C7:C8"/>
    <mergeCell ref="D7:D8"/>
    <mergeCell ref="E7:E8"/>
    <mergeCell ref="F7:F8"/>
    <mergeCell ref="I7:I8"/>
    <mergeCell ref="J7:J8"/>
    <mergeCell ref="K7:K8"/>
    <mergeCell ref="L7:L8"/>
    <mergeCell ref="N7:N8"/>
  </mergeCells>
  <pageMargins left="0" right="0" top="0.75" bottom="0.75" header="0.3" footer="0.3"/>
  <pageSetup paperSize="9" scale="63" orientation="landscape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0"/>
  <dimension ref="A1:M32"/>
  <sheetViews>
    <sheetView zoomScaleNormal="100" zoomScaleSheetLayoutView="100" workbookViewId="0">
      <selection activeCell="E30" sqref="E30"/>
    </sheetView>
  </sheetViews>
  <sheetFormatPr defaultRowHeight="15"/>
  <cols>
    <col min="1" max="1" width="11.85546875" customWidth="1"/>
    <col min="2" max="12" width="13.140625" customWidth="1"/>
  </cols>
  <sheetData>
    <row r="1" spans="1:12">
      <c r="A1" s="1" t="s">
        <v>136</v>
      </c>
      <c r="B1" s="1"/>
      <c r="C1" s="1"/>
      <c r="D1" s="1"/>
      <c r="E1" s="1"/>
      <c r="F1" s="2"/>
      <c r="G1" s="2"/>
      <c r="H1" s="2"/>
      <c r="I1" s="2"/>
      <c r="J1" s="1"/>
      <c r="K1" s="1"/>
      <c r="L1" s="1"/>
    </row>
    <row r="2" spans="1:12">
      <c r="A2" s="1" t="s">
        <v>134</v>
      </c>
      <c r="B2" s="4"/>
      <c r="C2" s="4"/>
      <c r="D2" s="4"/>
      <c r="E2" s="4"/>
      <c r="F2" s="5"/>
      <c r="G2" s="5"/>
      <c r="H2" s="5"/>
      <c r="I2" s="5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1" t="s">
        <v>0</v>
      </c>
      <c r="C4" s="110" t="s">
        <v>1</v>
      </c>
      <c r="D4" s="61" t="s">
        <v>2</v>
      </c>
      <c r="E4" s="110" t="s">
        <v>3</v>
      </c>
      <c r="F4" s="62" t="s">
        <v>4</v>
      </c>
      <c r="G4" s="63" t="s">
        <v>5</v>
      </c>
      <c r="H4" s="62" t="s">
        <v>6</v>
      </c>
      <c r="I4" s="63" t="s">
        <v>7</v>
      </c>
      <c r="J4" s="61" t="s">
        <v>8</v>
      </c>
      <c r="K4" s="110" t="s">
        <v>9</v>
      </c>
      <c r="L4" s="65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>
        <v>24705</v>
      </c>
      <c r="C7" s="11">
        <v>23616</v>
      </c>
      <c r="D7" s="11">
        <v>6249</v>
      </c>
      <c r="E7" s="11">
        <v>5815</v>
      </c>
      <c r="F7" s="12" t="s">
        <v>17</v>
      </c>
      <c r="G7" s="12" t="s">
        <v>17</v>
      </c>
      <c r="H7" s="12" t="s">
        <v>17</v>
      </c>
      <c r="I7" s="12" t="s">
        <v>17</v>
      </c>
      <c r="J7" s="11">
        <v>30954</v>
      </c>
      <c r="K7" s="11">
        <v>29431</v>
      </c>
      <c r="L7" s="11">
        <v>60385</v>
      </c>
    </row>
    <row r="8" spans="1:12">
      <c r="A8" s="14" t="s">
        <v>18</v>
      </c>
      <c r="B8" s="11">
        <v>25666</v>
      </c>
      <c r="C8" s="11">
        <v>25059</v>
      </c>
      <c r="D8" s="11">
        <v>5802</v>
      </c>
      <c r="E8" s="11">
        <v>5623</v>
      </c>
      <c r="F8" s="13" t="s">
        <v>17</v>
      </c>
      <c r="G8" s="13" t="s">
        <v>17</v>
      </c>
      <c r="H8" s="13" t="s">
        <v>17</v>
      </c>
      <c r="I8" s="13" t="s">
        <v>17</v>
      </c>
      <c r="J8" s="11">
        <v>31468</v>
      </c>
      <c r="K8" s="11">
        <v>30682</v>
      </c>
      <c r="L8" s="11">
        <v>62150</v>
      </c>
    </row>
    <row r="9" spans="1:12">
      <c r="A9" s="9" t="s">
        <v>19</v>
      </c>
      <c r="B9" s="11">
        <v>25281</v>
      </c>
      <c r="C9" s="11">
        <v>23879</v>
      </c>
      <c r="D9" s="11">
        <v>5033</v>
      </c>
      <c r="E9" s="11">
        <v>4641</v>
      </c>
      <c r="F9" s="13" t="s">
        <v>17</v>
      </c>
      <c r="G9" s="13" t="s">
        <v>17</v>
      </c>
      <c r="H9" s="13" t="s">
        <v>17</v>
      </c>
      <c r="I9" s="13" t="s">
        <v>17</v>
      </c>
      <c r="J9" s="11">
        <v>30314</v>
      </c>
      <c r="K9" s="11">
        <v>28520</v>
      </c>
      <c r="L9" s="11">
        <v>58834</v>
      </c>
    </row>
    <row r="10" spans="1:12">
      <c r="A10" s="9" t="s">
        <v>20</v>
      </c>
      <c r="B10" s="11">
        <v>22729</v>
      </c>
      <c r="C10" s="11">
        <v>21511</v>
      </c>
      <c r="D10" s="11">
        <v>3603</v>
      </c>
      <c r="E10" s="11">
        <v>3152</v>
      </c>
      <c r="F10" s="13" t="s">
        <v>17</v>
      </c>
      <c r="G10" s="13" t="s">
        <v>17</v>
      </c>
      <c r="H10" s="13" t="s">
        <v>17</v>
      </c>
      <c r="I10" s="13" t="s">
        <v>17</v>
      </c>
      <c r="J10" s="11">
        <v>26332</v>
      </c>
      <c r="K10" s="11">
        <v>24663</v>
      </c>
      <c r="L10" s="11">
        <v>50995</v>
      </c>
    </row>
    <row r="11" spans="1:12">
      <c r="A11" s="9" t="s">
        <v>21</v>
      </c>
      <c r="B11" s="11">
        <v>19681</v>
      </c>
      <c r="C11" s="11">
        <v>18677</v>
      </c>
      <c r="D11" s="11">
        <v>12482</v>
      </c>
      <c r="E11" s="11">
        <v>7835</v>
      </c>
      <c r="F11" s="13" t="s">
        <v>17</v>
      </c>
      <c r="G11" s="15" t="s">
        <v>17</v>
      </c>
      <c r="H11" s="13" t="s">
        <v>17</v>
      </c>
      <c r="I11" s="15" t="s">
        <v>17</v>
      </c>
      <c r="J11" s="11">
        <v>32163</v>
      </c>
      <c r="K11" s="11">
        <v>26512</v>
      </c>
      <c r="L11" s="11">
        <v>58675</v>
      </c>
    </row>
    <row r="12" spans="1:12">
      <c r="A12" s="9" t="s">
        <v>22</v>
      </c>
      <c r="B12" s="11">
        <v>15303</v>
      </c>
      <c r="C12" s="11">
        <v>14957</v>
      </c>
      <c r="D12" s="11">
        <v>27526</v>
      </c>
      <c r="E12" s="11">
        <v>11589</v>
      </c>
      <c r="F12" s="13" t="s">
        <v>17</v>
      </c>
      <c r="G12" s="13" t="s">
        <v>17</v>
      </c>
      <c r="H12" s="13" t="s">
        <v>17</v>
      </c>
      <c r="I12" s="13" t="s">
        <v>17</v>
      </c>
      <c r="J12" s="11">
        <v>42829</v>
      </c>
      <c r="K12" s="11">
        <v>26546</v>
      </c>
      <c r="L12" s="11">
        <v>69375</v>
      </c>
    </row>
    <row r="13" spans="1:12">
      <c r="A13" s="9" t="s">
        <v>23</v>
      </c>
      <c r="B13" s="11">
        <v>13942</v>
      </c>
      <c r="C13" s="11">
        <v>14635</v>
      </c>
      <c r="D13" s="11">
        <v>30823</v>
      </c>
      <c r="E13" s="11">
        <v>12889</v>
      </c>
      <c r="F13" s="13" t="s">
        <v>17</v>
      </c>
      <c r="G13" s="13" t="s">
        <v>17</v>
      </c>
      <c r="H13" s="13" t="s">
        <v>17</v>
      </c>
      <c r="I13" s="13" t="s">
        <v>17</v>
      </c>
      <c r="J13" s="11">
        <v>44765</v>
      </c>
      <c r="K13" s="11">
        <v>27524</v>
      </c>
      <c r="L13" s="11">
        <v>72289</v>
      </c>
    </row>
    <row r="14" spans="1:12">
      <c r="A14" s="9" t="s">
        <v>24</v>
      </c>
      <c r="B14" s="11">
        <v>14039</v>
      </c>
      <c r="C14" s="11">
        <v>15298</v>
      </c>
      <c r="D14" s="11">
        <v>25882</v>
      </c>
      <c r="E14" s="11">
        <v>10196</v>
      </c>
      <c r="F14" s="13" t="s">
        <v>17</v>
      </c>
      <c r="G14" s="13" t="s">
        <v>17</v>
      </c>
      <c r="H14" s="13" t="s">
        <v>17</v>
      </c>
      <c r="I14" s="13" t="s">
        <v>17</v>
      </c>
      <c r="J14" s="11">
        <v>39921</v>
      </c>
      <c r="K14" s="11">
        <v>25494</v>
      </c>
      <c r="L14" s="11">
        <v>65415</v>
      </c>
    </row>
    <row r="15" spans="1:12">
      <c r="A15" s="9" t="s">
        <v>25</v>
      </c>
      <c r="B15" s="11">
        <v>11816</v>
      </c>
      <c r="C15" s="11">
        <v>12936</v>
      </c>
      <c r="D15" s="11">
        <v>23619</v>
      </c>
      <c r="E15" s="11">
        <v>6887</v>
      </c>
      <c r="F15" s="13" t="s">
        <v>17</v>
      </c>
      <c r="G15" s="13" t="s">
        <v>17</v>
      </c>
      <c r="H15" s="13" t="s">
        <v>17</v>
      </c>
      <c r="I15" s="13" t="s">
        <v>17</v>
      </c>
      <c r="J15" s="11">
        <v>35435</v>
      </c>
      <c r="K15" s="11">
        <v>19823</v>
      </c>
      <c r="L15" s="11">
        <v>55258</v>
      </c>
    </row>
    <row r="16" spans="1:12">
      <c r="A16" s="9" t="s">
        <v>26</v>
      </c>
      <c r="B16" s="11">
        <v>9489</v>
      </c>
      <c r="C16" s="11">
        <v>8893</v>
      </c>
      <c r="D16" s="11">
        <v>15522</v>
      </c>
      <c r="E16" s="11">
        <v>3873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25011</v>
      </c>
      <c r="K16" s="11">
        <v>12766</v>
      </c>
      <c r="L16" s="11">
        <v>37777</v>
      </c>
    </row>
    <row r="17" spans="1:13">
      <c r="A17" s="9" t="s">
        <v>27</v>
      </c>
      <c r="B17" s="11">
        <v>6573</v>
      </c>
      <c r="C17" s="11">
        <v>5468</v>
      </c>
      <c r="D17" s="11">
        <v>7521</v>
      </c>
      <c r="E17" s="11">
        <v>1769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14094</v>
      </c>
      <c r="K17" s="11">
        <v>7237</v>
      </c>
      <c r="L17" s="11">
        <v>21331</v>
      </c>
    </row>
    <row r="18" spans="1:13">
      <c r="A18" s="9" t="s">
        <v>28</v>
      </c>
      <c r="B18" s="11">
        <v>4198</v>
      </c>
      <c r="C18" s="11">
        <v>4358</v>
      </c>
      <c r="D18" s="11">
        <v>2939</v>
      </c>
      <c r="E18" s="16">
        <v>761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7137</v>
      </c>
      <c r="K18" s="11">
        <v>5119</v>
      </c>
      <c r="L18" s="11">
        <v>12256</v>
      </c>
    </row>
    <row r="19" spans="1:13">
      <c r="A19" s="9" t="s">
        <v>29</v>
      </c>
      <c r="B19" s="11">
        <v>3822</v>
      </c>
      <c r="C19" s="11">
        <v>4172</v>
      </c>
      <c r="D19" s="11">
        <v>1115</v>
      </c>
      <c r="E19" s="16">
        <v>392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4937</v>
      </c>
      <c r="K19" s="11">
        <v>4564</v>
      </c>
      <c r="L19" s="11">
        <v>9501</v>
      </c>
    </row>
    <row r="20" spans="1:13">
      <c r="A20" s="9" t="s">
        <v>30</v>
      </c>
      <c r="B20" s="11">
        <v>2705</v>
      </c>
      <c r="C20" s="11">
        <v>3027</v>
      </c>
      <c r="D20" s="16">
        <v>448</v>
      </c>
      <c r="E20" s="16">
        <v>221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3153</v>
      </c>
      <c r="K20" s="11">
        <v>3248</v>
      </c>
      <c r="L20" s="11">
        <v>6401</v>
      </c>
    </row>
    <row r="21" spans="1:13">
      <c r="A21" s="9" t="s">
        <v>31</v>
      </c>
      <c r="B21" s="11">
        <v>2220</v>
      </c>
      <c r="C21" s="11">
        <v>2259</v>
      </c>
      <c r="D21" s="16">
        <v>276</v>
      </c>
      <c r="E21" s="16">
        <v>124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2496</v>
      </c>
      <c r="K21" s="11">
        <v>2383</v>
      </c>
      <c r="L21" s="11">
        <v>4879</v>
      </c>
    </row>
    <row r="22" spans="1:13" ht="15.75" thickBot="1">
      <c r="A22" s="7" t="s">
        <v>32</v>
      </c>
      <c r="B22" s="11">
        <v>2454</v>
      </c>
      <c r="C22" s="11">
        <v>2299</v>
      </c>
      <c r="D22" s="16">
        <v>186</v>
      </c>
      <c r="E22" s="16">
        <v>144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2640</v>
      </c>
      <c r="K22" s="11">
        <v>2443</v>
      </c>
      <c r="L22" s="11">
        <v>5083</v>
      </c>
    </row>
    <row r="23" spans="1:13" ht="30" customHeight="1" thickBot="1">
      <c r="A23" s="66" t="s">
        <v>108</v>
      </c>
      <c r="B23" s="67" t="s">
        <v>17</v>
      </c>
      <c r="C23" s="67" t="s">
        <v>17</v>
      </c>
      <c r="D23" s="67" t="s">
        <v>17</v>
      </c>
      <c r="E23" s="67" t="s">
        <v>17</v>
      </c>
      <c r="F23" s="67" t="s">
        <v>17</v>
      </c>
      <c r="G23" s="67" t="s">
        <v>17</v>
      </c>
      <c r="H23" s="67" t="s">
        <v>17</v>
      </c>
      <c r="I23" s="67" t="s">
        <v>17</v>
      </c>
      <c r="J23" s="67" t="s">
        <v>17</v>
      </c>
      <c r="K23" s="67" t="s">
        <v>17</v>
      </c>
      <c r="L23" s="67" t="s">
        <v>17</v>
      </c>
    </row>
    <row r="24" spans="1:13" ht="27" thickBot="1">
      <c r="A24" s="71" t="s">
        <v>33</v>
      </c>
      <c r="B24" s="72">
        <v>204623</v>
      </c>
      <c r="C24" s="72">
        <v>201044</v>
      </c>
      <c r="D24" s="72">
        <v>169026</v>
      </c>
      <c r="E24" s="72">
        <v>75911</v>
      </c>
      <c r="F24" s="72" t="s">
        <v>38</v>
      </c>
      <c r="G24" s="72" t="s">
        <v>38</v>
      </c>
      <c r="H24" s="72" t="s">
        <v>38</v>
      </c>
      <c r="I24" s="72" t="s">
        <v>38</v>
      </c>
      <c r="J24" s="72">
        <v>373649</v>
      </c>
      <c r="K24" s="72">
        <v>276955</v>
      </c>
      <c r="L24" s="72">
        <v>650604</v>
      </c>
    </row>
    <row r="29" spans="1:13">
      <c r="A29" s="17"/>
      <c r="B29" s="17"/>
      <c r="C29" s="17"/>
      <c r="D29" s="19"/>
      <c r="E29" s="17"/>
      <c r="F29" s="17"/>
      <c r="G29" s="17"/>
      <c r="H29" s="17"/>
      <c r="I29" s="17"/>
      <c r="J29" s="17"/>
      <c r="K29" s="17"/>
      <c r="L29" s="17"/>
      <c r="M29" s="19"/>
    </row>
    <row r="30" spans="1:13">
      <c r="A30" s="17"/>
      <c r="B30" s="17"/>
      <c r="C30" s="17"/>
      <c r="D30" s="19"/>
      <c r="E30" s="17"/>
      <c r="F30" s="17"/>
      <c r="G30" s="17"/>
      <c r="H30" s="17"/>
      <c r="I30" s="17"/>
      <c r="J30" s="17"/>
      <c r="K30" s="17"/>
      <c r="L30" s="17"/>
      <c r="M30" s="19"/>
    </row>
    <row r="31" spans="1:13">
      <c r="A31" s="17"/>
      <c r="B31" s="17"/>
      <c r="C31" s="17"/>
      <c r="D31" s="19"/>
      <c r="E31" s="17"/>
      <c r="F31" s="17"/>
      <c r="G31" s="17"/>
      <c r="H31" s="17"/>
      <c r="I31" s="17"/>
      <c r="J31" s="17"/>
      <c r="K31" s="17"/>
      <c r="L31" s="17"/>
      <c r="M31" s="19"/>
    </row>
    <row r="32" spans="1:13">
      <c r="A32" s="17"/>
      <c r="B32" s="17"/>
      <c r="C32" s="17"/>
      <c r="D32" s="19"/>
      <c r="E32" s="17"/>
      <c r="F32" s="17"/>
      <c r="G32" s="17"/>
      <c r="H32" s="17"/>
      <c r="I32" s="17"/>
      <c r="J32" s="17"/>
      <c r="K32" s="17"/>
      <c r="L32" s="17"/>
      <c r="M32" s="19"/>
    </row>
  </sheetData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B2:K24"/>
  <sheetViews>
    <sheetView topLeftCell="B1" workbookViewId="0">
      <selection activeCell="I7" sqref="I7"/>
    </sheetView>
  </sheetViews>
  <sheetFormatPr defaultRowHeight="15"/>
  <cols>
    <col min="2" max="2" width="20.5703125" customWidth="1"/>
    <col min="3" max="3" width="15.85546875" customWidth="1"/>
    <col min="4" max="4" width="18" customWidth="1"/>
    <col min="5" max="5" width="15.85546875" customWidth="1"/>
    <col min="6" max="7" width="18" customWidth="1"/>
    <col min="9" max="9" width="16.5703125" customWidth="1"/>
    <col min="11" max="11" width="11.5703125" bestFit="1" customWidth="1"/>
  </cols>
  <sheetData>
    <row r="2" spans="2:11">
      <c r="B2" s="39" t="s">
        <v>92</v>
      </c>
    </row>
    <row r="3" spans="2:11">
      <c r="B3" s="50" t="s">
        <v>93</v>
      </c>
    </row>
    <row r="4" spans="2:11">
      <c r="B4" s="38"/>
      <c r="E4" s="31"/>
      <c r="F4" s="31"/>
    </row>
    <row r="5" spans="2:11">
      <c r="B5" s="31"/>
      <c r="E5" s="33"/>
      <c r="F5" s="33"/>
    </row>
    <row r="6" spans="2:11" ht="51">
      <c r="B6" s="41"/>
      <c r="C6" s="46" t="s">
        <v>91</v>
      </c>
      <c r="D6" s="47" t="s">
        <v>94</v>
      </c>
      <c r="E6" s="46" t="s">
        <v>91</v>
      </c>
      <c r="F6" s="47" t="s">
        <v>94</v>
      </c>
      <c r="H6" t="s">
        <v>95</v>
      </c>
      <c r="I6" s="51" t="s">
        <v>96</v>
      </c>
    </row>
    <row r="7" spans="2:11">
      <c r="B7" s="52" t="s">
        <v>42</v>
      </c>
      <c r="C7" s="42">
        <v>1991</v>
      </c>
      <c r="D7" s="43">
        <v>508037</v>
      </c>
      <c r="E7" s="42">
        <v>2001</v>
      </c>
      <c r="F7" s="43">
        <v>650604</v>
      </c>
      <c r="H7">
        <f>E7-C7</f>
        <v>10</v>
      </c>
      <c r="I7" s="57">
        <f>((F7-D7)/D7*100)/H7</f>
        <v>2.8062326169156973</v>
      </c>
      <c r="K7" s="56"/>
    </row>
    <row r="8" spans="2:11">
      <c r="B8" s="53" t="s">
        <v>44</v>
      </c>
      <c r="C8" s="44">
        <v>1996</v>
      </c>
      <c r="D8" s="45">
        <v>59312914</v>
      </c>
      <c r="E8" s="44">
        <v>2006</v>
      </c>
      <c r="F8" s="45">
        <v>71463355</v>
      </c>
      <c r="H8">
        <f>E8-C8</f>
        <v>10</v>
      </c>
      <c r="I8" s="57">
        <f>((F8-D8)/D8*100)/H8</f>
        <v>2.0485321291076675</v>
      </c>
      <c r="K8" s="56"/>
    </row>
    <row r="9" spans="2:11">
      <c r="B9" s="54" t="s">
        <v>46</v>
      </c>
      <c r="C9" s="44">
        <v>1987</v>
      </c>
      <c r="D9" s="45">
        <v>16335199</v>
      </c>
      <c r="E9" s="44">
        <v>1997</v>
      </c>
      <c r="F9" s="45">
        <v>22046244</v>
      </c>
      <c r="H9">
        <f>E9-C9</f>
        <v>10</v>
      </c>
      <c r="I9" s="57">
        <f>((F9-D9)/D9*100)/H9</f>
        <v>3.496158816308268</v>
      </c>
      <c r="K9" s="56"/>
    </row>
    <row r="10" spans="2:11">
      <c r="B10" s="54" t="s">
        <v>48</v>
      </c>
      <c r="C10" s="44">
        <v>1994</v>
      </c>
      <c r="D10" s="45">
        <v>4454423</v>
      </c>
      <c r="E10" s="44">
        <v>2004</v>
      </c>
      <c r="F10" s="45">
        <v>5103639</v>
      </c>
      <c r="H10">
        <f>E10-C10</f>
        <v>10</v>
      </c>
      <c r="I10" s="57">
        <f>((F10-D10)/D10*100)/H10</f>
        <v>1.457463738850127</v>
      </c>
    </row>
    <row r="11" spans="2:11">
      <c r="B11" s="54" t="s">
        <v>50</v>
      </c>
      <c r="C11" s="44">
        <v>1995</v>
      </c>
      <c r="D11" s="45">
        <v>1575570</v>
      </c>
      <c r="E11" s="44">
        <v>2005</v>
      </c>
      <c r="F11" s="45">
        <v>2193597</v>
      </c>
      <c r="H11">
        <f>E11-C11</f>
        <v>10</v>
      </c>
      <c r="I11" s="57">
        <f>((F11-D11)/D11*100)/H11</f>
        <v>3.9225613587463584</v>
      </c>
    </row>
    <row r="12" spans="2:11">
      <c r="B12" s="54" t="s">
        <v>69</v>
      </c>
      <c r="C12" s="44" t="s">
        <v>17</v>
      </c>
      <c r="D12" s="45" t="s">
        <v>17</v>
      </c>
      <c r="E12" s="44" t="s">
        <v>17</v>
      </c>
      <c r="F12" s="45" t="s">
        <v>17</v>
      </c>
      <c r="I12" s="57"/>
    </row>
    <row r="13" spans="2:11">
      <c r="B13" s="54" t="s">
        <v>53</v>
      </c>
      <c r="C13" s="44">
        <v>1993</v>
      </c>
      <c r="D13" s="45">
        <v>2018074</v>
      </c>
      <c r="E13" s="44">
        <v>2003</v>
      </c>
      <c r="F13" s="45">
        <v>2340815</v>
      </c>
      <c r="H13">
        <f t="shared" ref="H13:H20" si="0">E13-C13</f>
        <v>10</v>
      </c>
      <c r="I13" s="57">
        <f t="shared" ref="I13:I20" si="1">((F13-D13)/D13*100)/H13</f>
        <v>1.5992525546635057</v>
      </c>
    </row>
    <row r="14" spans="2:11">
      <c r="B14" s="54" t="s">
        <v>55</v>
      </c>
      <c r="C14" s="44">
        <v>1997</v>
      </c>
      <c r="D14" s="45">
        <v>2601669</v>
      </c>
      <c r="E14" s="44">
        <v>2007</v>
      </c>
      <c r="F14" s="45">
        <v>3767125</v>
      </c>
      <c r="H14">
        <f t="shared" si="0"/>
        <v>10</v>
      </c>
      <c r="I14" s="57">
        <f t="shared" si="1"/>
        <v>4.4796474878241614</v>
      </c>
    </row>
    <row r="15" spans="2:11">
      <c r="B15" s="54" t="s">
        <v>57</v>
      </c>
      <c r="C15" s="44">
        <v>2004</v>
      </c>
      <c r="D15" s="45">
        <v>744029</v>
      </c>
      <c r="E15" s="58">
        <v>2010</v>
      </c>
      <c r="F15" s="45">
        <v>1699435</v>
      </c>
      <c r="H15">
        <f t="shared" si="0"/>
        <v>6</v>
      </c>
      <c r="I15" s="57">
        <f t="shared" si="1"/>
        <v>21.401629954387982</v>
      </c>
    </row>
    <row r="16" spans="2:11">
      <c r="B16" s="54" t="s">
        <v>59</v>
      </c>
      <c r="C16" s="44">
        <v>1992</v>
      </c>
      <c r="D16" s="45">
        <v>16948388</v>
      </c>
      <c r="E16" s="44">
        <v>2004</v>
      </c>
      <c r="F16" s="45">
        <v>22678262</v>
      </c>
      <c r="H16">
        <f t="shared" si="0"/>
        <v>12</v>
      </c>
      <c r="I16" s="57">
        <f t="shared" si="1"/>
        <v>2.8173151334510398</v>
      </c>
    </row>
    <row r="17" spans="2:11">
      <c r="B17" s="54" t="s">
        <v>61</v>
      </c>
      <c r="C17" s="44">
        <v>1993</v>
      </c>
      <c r="D17" s="45">
        <v>21266640</v>
      </c>
      <c r="E17" s="44">
        <v>2008</v>
      </c>
      <c r="F17" s="45">
        <v>39154490</v>
      </c>
      <c r="H17">
        <f t="shared" si="0"/>
        <v>15</v>
      </c>
      <c r="I17" s="57">
        <f t="shared" si="1"/>
        <v>5.6074835203555118</v>
      </c>
    </row>
    <row r="18" spans="2:11">
      <c r="B18" s="54" t="s">
        <v>63</v>
      </c>
      <c r="C18" s="44">
        <v>1994</v>
      </c>
      <c r="D18" s="45">
        <v>13782000</v>
      </c>
      <c r="E18" s="44">
        <v>2004</v>
      </c>
      <c r="F18" s="45">
        <v>17918000</v>
      </c>
      <c r="H18">
        <f t="shared" si="0"/>
        <v>10</v>
      </c>
      <c r="I18" s="57">
        <f t="shared" si="1"/>
        <v>3.0010158177332751</v>
      </c>
    </row>
    <row r="19" spans="2:11">
      <c r="B19" s="54" t="s">
        <v>64</v>
      </c>
      <c r="C19" s="44">
        <v>1995</v>
      </c>
      <c r="D19" s="45">
        <v>2411041</v>
      </c>
      <c r="E19" s="44">
        <v>2005</v>
      </c>
      <c r="F19" s="45">
        <v>4106427</v>
      </c>
      <c r="H19">
        <f t="shared" si="0"/>
        <v>10</v>
      </c>
      <c r="I19" s="57">
        <f t="shared" si="1"/>
        <v>7.0317593106048379</v>
      </c>
      <c r="K19" s="40"/>
    </row>
    <row r="20" spans="2:11">
      <c r="B20" s="55" t="s">
        <v>65</v>
      </c>
      <c r="C20" s="48">
        <v>1994</v>
      </c>
      <c r="D20" s="49">
        <v>14593807</v>
      </c>
      <c r="E20" s="48">
        <v>2004</v>
      </c>
      <c r="F20" s="49">
        <v>19685161</v>
      </c>
      <c r="H20">
        <f t="shared" si="0"/>
        <v>10</v>
      </c>
      <c r="I20" s="57">
        <f t="shared" si="1"/>
        <v>3.488708600846921</v>
      </c>
    </row>
    <row r="22" spans="2:11">
      <c r="G22" s="56"/>
    </row>
    <row r="23" spans="2:11">
      <c r="G23" s="56"/>
    </row>
    <row r="24" spans="2:11">
      <c r="G24" s="56"/>
    </row>
  </sheetData>
  <pageMargins left="0.7" right="0.7" top="0.75" bottom="0.75" header="0.3" footer="0.3"/>
  <pageSetup paperSize="9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8"/>
  <sheetViews>
    <sheetView zoomScaleNormal="100" zoomScaleSheetLayoutView="100" workbookViewId="0">
      <selection activeCell="A2" sqref="A2"/>
    </sheetView>
  </sheetViews>
  <sheetFormatPr defaultRowHeight="15"/>
  <cols>
    <col min="1" max="12" width="13.140625" customWidth="1"/>
  </cols>
  <sheetData>
    <row r="1" spans="1:12">
      <c r="A1" s="1" t="s">
        <v>137</v>
      </c>
      <c r="B1" s="1"/>
      <c r="C1" s="1"/>
      <c r="D1" s="1"/>
      <c r="E1" s="1"/>
      <c r="F1" s="2"/>
      <c r="G1" s="2"/>
      <c r="H1" s="2"/>
      <c r="I1" s="2"/>
      <c r="J1" s="1"/>
      <c r="K1" s="1"/>
      <c r="L1" s="1"/>
    </row>
    <row r="2" spans="1:12">
      <c r="A2" s="1" t="s">
        <v>128</v>
      </c>
      <c r="B2" s="4"/>
      <c r="C2" s="4"/>
      <c r="D2" s="4"/>
      <c r="E2" s="4"/>
      <c r="F2" s="5"/>
      <c r="G2" s="5"/>
      <c r="H2" s="5"/>
      <c r="I2" s="5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1" t="s">
        <v>0</v>
      </c>
      <c r="C4" s="110" t="s">
        <v>1</v>
      </c>
      <c r="D4" s="61" t="s">
        <v>2</v>
      </c>
      <c r="E4" s="110" t="s">
        <v>3</v>
      </c>
      <c r="F4" s="62" t="s">
        <v>4</v>
      </c>
      <c r="G4" s="63" t="s">
        <v>5</v>
      </c>
      <c r="H4" s="62" t="s">
        <v>6</v>
      </c>
      <c r="I4" s="63" t="s">
        <v>7</v>
      </c>
      <c r="J4" s="61" t="s">
        <v>8</v>
      </c>
      <c r="K4" s="110" t="s">
        <v>9</v>
      </c>
      <c r="L4" s="65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>
        <v>32477</v>
      </c>
      <c r="C7" s="11">
        <v>31261</v>
      </c>
      <c r="D7" s="11">
        <v>12760</v>
      </c>
      <c r="E7" s="11">
        <v>12522</v>
      </c>
      <c r="F7" s="12" t="s">
        <v>17</v>
      </c>
      <c r="G7" s="12" t="s">
        <v>17</v>
      </c>
      <c r="H7" s="12" t="s">
        <v>17</v>
      </c>
      <c r="I7" s="12" t="s">
        <v>17</v>
      </c>
      <c r="J7" s="11">
        <v>45237</v>
      </c>
      <c r="K7" s="11">
        <v>43783</v>
      </c>
      <c r="L7" s="11">
        <v>89020</v>
      </c>
    </row>
    <row r="8" spans="1:12">
      <c r="A8" s="14" t="s">
        <v>18</v>
      </c>
      <c r="B8" s="11">
        <v>30277</v>
      </c>
      <c r="C8" s="11">
        <v>28735</v>
      </c>
      <c r="D8" s="11">
        <v>12288</v>
      </c>
      <c r="E8" s="11">
        <v>11625</v>
      </c>
      <c r="F8" s="13" t="s">
        <v>17</v>
      </c>
      <c r="G8" s="13" t="s">
        <v>17</v>
      </c>
      <c r="H8" s="13" t="s">
        <v>17</v>
      </c>
      <c r="I8" s="13" t="s">
        <v>17</v>
      </c>
      <c r="J8" s="11">
        <v>42565</v>
      </c>
      <c r="K8" s="11">
        <v>40360</v>
      </c>
      <c r="L8" s="11">
        <v>82925</v>
      </c>
    </row>
    <row r="9" spans="1:12">
      <c r="A9" s="9" t="s">
        <v>19</v>
      </c>
      <c r="B9" s="11">
        <v>29842</v>
      </c>
      <c r="C9" s="11">
        <v>28342</v>
      </c>
      <c r="D9" s="11">
        <v>9049</v>
      </c>
      <c r="E9" s="11">
        <v>8425</v>
      </c>
      <c r="F9" s="13" t="s">
        <v>17</v>
      </c>
      <c r="G9" s="13" t="s">
        <v>17</v>
      </c>
      <c r="H9" s="13" t="s">
        <v>17</v>
      </c>
      <c r="I9" s="13" t="s">
        <v>17</v>
      </c>
      <c r="J9" s="11">
        <v>38891</v>
      </c>
      <c r="K9" s="11">
        <v>36767</v>
      </c>
      <c r="L9" s="11">
        <v>75658</v>
      </c>
    </row>
    <row r="10" spans="1:12">
      <c r="A10" s="9" t="s">
        <v>20</v>
      </c>
      <c r="B10" s="11">
        <v>30522</v>
      </c>
      <c r="C10" s="11">
        <v>29135</v>
      </c>
      <c r="D10" s="11">
        <v>6800</v>
      </c>
      <c r="E10" s="11">
        <v>6256</v>
      </c>
      <c r="F10" s="13" t="s">
        <v>17</v>
      </c>
      <c r="G10" s="13" t="s">
        <v>17</v>
      </c>
      <c r="H10" s="13" t="s">
        <v>17</v>
      </c>
      <c r="I10" s="13" t="s">
        <v>17</v>
      </c>
      <c r="J10" s="11">
        <v>37322</v>
      </c>
      <c r="K10" s="11">
        <v>35391</v>
      </c>
      <c r="L10" s="11">
        <v>72713</v>
      </c>
    </row>
    <row r="11" spans="1:12">
      <c r="A11" s="9" t="s">
        <v>21</v>
      </c>
      <c r="B11" s="11">
        <v>28259</v>
      </c>
      <c r="C11" s="11">
        <v>26617</v>
      </c>
      <c r="D11" s="11">
        <v>38110</v>
      </c>
      <c r="E11" s="11">
        <v>19416</v>
      </c>
      <c r="F11" s="13" t="s">
        <v>17</v>
      </c>
      <c r="G11" s="15" t="s">
        <v>17</v>
      </c>
      <c r="H11" s="13" t="s">
        <v>17</v>
      </c>
      <c r="I11" s="15" t="s">
        <v>17</v>
      </c>
      <c r="J11" s="11">
        <v>66369</v>
      </c>
      <c r="K11" s="11">
        <v>46033</v>
      </c>
      <c r="L11" s="11">
        <v>112402</v>
      </c>
    </row>
    <row r="12" spans="1:12">
      <c r="A12" s="9" t="s">
        <v>22</v>
      </c>
      <c r="B12" s="11">
        <v>24671</v>
      </c>
      <c r="C12" s="11">
        <v>23488</v>
      </c>
      <c r="D12" s="11">
        <v>102158</v>
      </c>
      <c r="E12" s="11">
        <v>31915</v>
      </c>
      <c r="F12" s="13" t="s">
        <v>17</v>
      </c>
      <c r="G12" s="13" t="s">
        <v>17</v>
      </c>
      <c r="H12" s="13" t="s">
        <v>17</v>
      </c>
      <c r="I12" s="13" t="s">
        <v>17</v>
      </c>
      <c r="J12" s="11">
        <v>126829</v>
      </c>
      <c r="K12" s="11">
        <v>55403</v>
      </c>
      <c r="L12" s="11">
        <v>182232</v>
      </c>
    </row>
    <row r="13" spans="1:12">
      <c r="A13" s="9" t="s">
        <v>23</v>
      </c>
      <c r="B13" s="11">
        <v>21096</v>
      </c>
      <c r="C13" s="11">
        <v>20978</v>
      </c>
      <c r="D13" s="11">
        <v>90272</v>
      </c>
      <c r="E13" s="11">
        <v>29102</v>
      </c>
      <c r="F13" s="13" t="s">
        <v>17</v>
      </c>
      <c r="G13" s="13" t="s">
        <v>17</v>
      </c>
      <c r="H13" s="13" t="s">
        <v>17</v>
      </c>
      <c r="I13" s="13" t="s">
        <v>17</v>
      </c>
      <c r="J13" s="11">
        <v>111368</v>
      </c>
      <c r="K13" s="11">
        <v>50080</v>
      </c>
      <c r="L13" s="11">
        <v>161448</v>
      </c>
    </row>
    <row r="14" spans="1:12">
      <c r="A14" s="9" t="s">
        <v>24</v>
      </c>
      <c r="B14" s="11">
        <v>16561</v>
      </c>
      <c r="C14" s="11">
        <v>17326</v>
      </c>
      <c r="D14" s="11">
        <v>74034</v>
      </c>
      <c r="E14" s="11">
        <v>23808</v>
      </c>
      <c r="F14" s="13" t="s">
        <v>17</v>
      </c>
      <c r="G14" s="13" t="s">
        <v>17</v>
      </c>
      <c r="H14" s="13" t="s">
        <v>17</v>
      </c>
      <c r="I14" s="13" t="s">
        <v>17</v>
      </c>
      <c r="J14" s="11">
        <v>90595</v>
      </c>
      <c r="K14" s="11">
        <v>41134</v>
      </c>
      <c r="L14" s="11">
        <v>131729</v>
      </c>
    </row>
    <row r="15" spans="1:12">
      <c r="A15" s="9" t="s">
        <v>25</v>
      </c>
      <c r="B15" s="11">
        <v>16048</v>
      </c>
      <c r="C15" s="11">
        <v>17283</v>
      </c>
      <c r="D15" s="11">
        <v>55329</v>
      </c>
      <c r="E15" s="11">
        <v>17536</v>
      </c>
      <c r="F15" s="13" t="s">
        <v>17</v>
      </c>
      <c r="G15" s="13" t="s">
        <v>17</v>
      </c>
      <c r="H15" s="13" t="s">
        <v>17</v>
      </c>
      <c r="I15" s="13" t="s">
        <v>17</v>
      </c>
      <c r="J15" s="11">
        <v>71377</v>
      </c>
      <c r="K15" s="11">
        <v>34819</v>
      </c>
      <c r="L15" s="11">
        <v>106196</v>
      </c>
    </row>
    <row r="16" spans="1:12">
      <c r="A16" s="9" t="s">
        <v>26</v>
      </c>
      <c r="B16" s="11">
        <v>15839</v>
      </c>
      <c r="C16" s="11">
        <v>17122</v>
      </c>
      <c r="D16" s="11">
        <v>36464</v>
      </c>
      <c r="E16" s="11">
        <v>12046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52303</v>
      </c>
      <c r="K16" s="11">
        <v>29168</v>
      </c>
      <c r="L16" s="11">
        <v>81471</v>
      </c>
    </row>
    <row r="17" spans="1:12">
      <c r="A17" s="9" t="s">
        <v>27</v>
      </c>
      <c r="B17" s="11">
        <v>13324</v>
      </c>
      <c r="C17" s="11">
        <v>14164</v>
      </c>
      <c r="D17" s="11">
        <v>26267</v>
      </c>
      <c r="E17" s="11">
        <v>6820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39591</v>
      </c>
      <c r="K17" s="11">
        <v>20984</v>
      </c>
      <c r="L17" s="11">
        <v>60575</v>
      </c>
    </row>
    <row r="18" spans="1:12">
      <c r="A18" s="9" t="s">
        <v>28</v>
      </c>
      <c r="B18" s="11">
        <v>10504</v>
      </c>
      <c r="C18" s="11">
        <v>8894</v>
      </c>
      <c r="D18" s="11">
        <v>12540</v>
      </c>
      <c r="E18" s="16">
        <v>3211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23044</v>
      </c>
      <c r="K18" s="11">
        <v>12105</v>
      </c>
      <c r="L18" s="11">
        <v>35149</v>
      </c>
    </row>
    <row r="19" spans="1:12">
      <c r="A19" s="9" t="s">
        <v>29</v>
      </c>
      <c r="B19" s="11">
        <v>6489</v>
      </c>
      <c r="C19" s="11">
        <v>5568</v>
      </c>
      <c r="D19" s="11">
        <v>3529</v>
      </c>
      <c r="E19" s="16">
        <v>1233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10018</v>
      </c>
      <c r="K19" s="11">
        <v>6801</v>
      </c>
      <c r="L19" s="11">
        <v>16819</v>
      </c>
    </row>
    <row r="20" spans="1:12">
      <c r="A20" s="9" t="s">
        <v>30</v>
      </c>
      <c r="B20" s="11">
        <v>4062</v>
      </c>
      <c r="C20" s="11">
        <v>4228</v>
      </c>
      <c r="D20" s="16">
        <v>878</v>
      </c>
      <c r="E20" s="16">
        <v>458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4940</v>
      </c>
      <c r="K20" s="11">
        <v>4686</v>
      </c>
      <c r="L20" s="11">
        <v>9626</v>
      </c>
    </row>
    <row r="21" spans="1:12">
      <c r="A21" s="9" t="s">
        <v>31</v>
      </c>
      <c r="B21" s="11">
        <v>3322</v>
      </c>
      <c r="C21" s="11">
        <v>3731</v>
      </c>
      <c r="D21" s="16">
        <v>364</v>
      </c>
      <c r="E21" s="16">
        <v>302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3686</v>
      </c>
      <c r="K21" s="11">
        <v>4033</v>
      </c>
      <c r="L21" s="11">
        <v>7719</v>
      </c>
    </row>
    <row r="22" spans="1:12" ht="15.75" thickBot="1">
      <c r="A22" s="7" t="s">
        <v>32</v>
      </c>
      <c r="B22" s="11">
        <v>3946</v>
      </c>
      <c r="C22" s="11">
        <v>4288</v>
      </c>
      <c r="D22" s="16">
        <v>333</v>
      </c>
      <c r="E22" s="16">
        <v>322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4279</v>
      </c>
      <c r="K22" s="11">
        <v>4610</v>
      </c>
      <c r="L22" s="11">
        <v>8889</v>
      </c>
    </row>
    <row r="23" spans="1:12" ht="26.25" thickBot="1">
      <c r="A23" s="66" t="s">
        <v>108</v>
      </c>
      <c r="B23" s="67" t="s">
        <v>17</v>
      </c>
      <c r="C23" s="67" t="s">
        <v>17</v>
      </c>
      <c r="D23" s="67" t="s">
        <v>17</v>
      </c>
      <c r="E23" s="67" t="s">
        <v>17</v>
      </c>
      <c r="F23" s="67" t="s">
        <v>17</v>
      </c>
      <c r="G23" s="67" t="s">
        <v>17</v>
      </c>
      <c r="H23" s="67" t="s">
        <v>17</v>
      </c>
      <c r="I23" s="67" t="s">
        <v>17</v>
      </c>
      <c r="J23" s="67" t="s">
        <v>17</v>
      </c>
      <c r="K23" s="67" t="s">
        <v>17</v>
      </c>
      <c r="L23" s="67" t="s">
        <v>17</v>
      </c>
    </row>
    <row r="24" spans="1:12" ht="27" thickBot="1">
      <c r="A24" s="71" t="s">
        <v>33</v>
      </c>
      <c r="B24" s="82">
        <v>287239</v>
      </c>
      <c r="C24" s="82">
        <v>281160</v>
      </c>
      <c r="D24" s="82">
        <v>481175</v>
      </c>
      <c r="E24" s="82">
        <v>184997</v>
      </c>
      <c r="F24" s="82" t="s">
        <v>38</v>
      </c>
      <c r="G24" s="82" t="s">
        <v>38</v>
      </c>
      <c r="H24" s="82" t="s">
        <v>38</v>
      </c>
      <c r="I24" s="82" t="s">
        <v>38</v>
      </c>
      <c r="J24" s="82">
        <v>768414</v>
      </c>
      <c r="K24" s="82">
        <v>466157</v>
      </c>
      <c r="L24" s="82">
        <v>1234571</v>
      </c>
    </row>
    <row r="25" spans="1:12" s="22" customFormat="1">
      <c r="A25" s="186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s="22" customFormat="1">
      <c r="A26" s="186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s="22" customFormat="1">
      <c r="A27" s="186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s="22" customFormat="1">
      <c r="A28" s="186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</sheetData>
  <pageMargins left="0.7" right="0.7" top="0.75" bottom="0.75" header="0.3" footer="0.3"/>
  <pageSetup scale="7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activeCell="A2" sqref="A2"/>
    </sheetView>
  </sheetViews>
  <sheetFormatPr defaultRowHeight="15"/>
  <cols>
    <col min="1" max="12" width="13.140625" style="22" customWidth="1"/>
    <col min="13" max="16384" width="9.140625" style="22"/>
  </cols>
  <sheetData>
    <row r="1" spans="1:12" ht="15.75">
      <c r="A1" s="143" t="s">
        <v>138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293" t="s">
        <v>73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15.75" thickBot="1">
      <c r="A3" s="144"/>
      <c r="B3" s="144"/>
      <c r="C3" s="144"/>
      <c r="D3" s="144"/>
      <c r="E3" s="144"/>
      <c r="F3" s="157"/>
      <c r="G3" s="157"/>
      <c r="H3" s="157"/>
      <c r="I3" s="157"/>
      <c r="J3" s="144"/>
      <c r="K3" s="144"/>
      <c r="L3" s="144"/>
    </row>
    <row r="4" spans="1:12" ht="15.75" thickBot="1">
      <c r="A4" s="147"/>
      <c r="B4" s="61" t="s">
        <v>0</v>
      </c>
      <c r="C4" s="158" t="s">
        <v>1</v>
      </c>
      <c r="D4" s="61" t="s">
        <v>2</v>
      </c>
      <c r="E4" s="158" t="s">
        <v>3</v>
      </c>
      <c r="F4" s="62" t="s">
        <v>4</v>
      </c>
      <c r="G4" s="159" t="s">
        <v>5</v>
      </c>
      <c r="H4" s="62" t="s">
        <v>6</v>
      </c>
      <c r="I4" s="159" t="s">
        <v>7</v>
      </c>
      <c r="J4" s="64" t="s">
        <v>8</v>
      </c>
      <c r="K4" s="158"/>
      <c r="L4" s="160" t="s">
        <v>9</v>
      </c>
    </row>
    <row r="5" spans="1:12">
      <c r="A5" s="7" t="s">
        <v>10</v>
      </c>
      <c r="B5" s="147" t="s">
        <v>104</v>
      </c>
      <c r="C5" s="147" t="s">
        <v>105</v>
      </c>
      <c r="D5" s="147" t="s">
        <v>104</v>
      </c>
      <c r="E5" s="147" t="s">
        <v>105</v>
      </c>
      <c r="F5" s="148" t="s">
        <v>104</v>
      </c>
      <c r="G5" s="148" t="s">
        <v>105</v>
      </c>
      <c r="H5" s="148" t="s">
        <v>104</v>
      </c>
      <c r="I5" s="148" t="s">
        <v>105</v>
      </c>
      <c r="J5" s="147" t="s">
        <v>104</v>
      </c>
      <c r="K5" s="147" t="s">
        <v>105</v>
      </c>
      <c r="L5" s="147" t="s">
        <v>11</v>
      </c>
    </row>
    <row r="6" spans="1:12" ht="15.75" thickBot="1">
      <c r="A6" s="60" t="s">
        <v>12</v>
      </c>
      <c r="B6" s="150" t="s">
        <v>98</v>
      </c>
      <c r="C6" s="150" t="s">
        <v>100</v>
      </c>
      <c r="D6" s="150" t="s">
        <v>98</v>
      </c>
      <c r="E6" s="150" t="s">
        <v>100</v>
      </c>
      <c r="F6" s="150" t="s">
        <v>98</v>
      </c>
      <c r="G6" s="150" t="s">
        <v>100</v>
      </c>
      <c r="H6" s="150" t="s">
        <v>98</v>
      </c>
      <c r="I6" s="150" t="s">
        <v>100</v>
      </c>
      <c r="J6" s="150" t="s">
        <v>98</v>
      </c>
      <c r="K6" s="150" t="s">
        <v>100</v>
      </c>
      <c r="L6" s="150" t="s">
        <v>15</v>
      </c>
    </row>
    <row r="7" spans="1:12">
      <c r="A7" s="9" t="s">
        <v>16</v>
      </c>
      <c r="B7" s="77" t="s">
        <v>17</v>
      </c>
      <c r="C7" s="77" t="s">
        <v>17</v>
      </c>
      <c r="D7" s="77" t="s">
        <v>17</v>
      </c>
      <c r="E7" s="77" t="s">
        <v>17</v>
      </c>
      <c r="F7" s="161">
        <v>1274892</v>
      </c>
      <c r="G7" s="161">
        <v>1221449</v>
      </c>
      <c r="H7" s="161">
        <v>2236884</v>
      </c>
      <c r="I7" s="161">
        <v>2122017</v>
      </c>
      <c r="J7" s="161">
        <v>3511776</v>
      </c>
      <c r="K7" s="161">
        <v>3343466</v>
      </c>
      <c r="L7" s="161">
        <v>6855242</v>
      </c>
    </row>
    <row r="8" spans="1:12">
      <c r="A8" s="14" t="s">
        <v>18</v>
      </c>
      <c r="B8" s="162" t="s">
        <v>17</v>
      </c>
      <c r="C8" s="162" t="s">
        <v>17</v>
      </c>
      <c r="D8" s="162" t="s">
        <v>17</v>
      </c>
      <c r="E8" s="162" t="s">
        <v>17</v>
      </c>
      <c r="F8" s="161">
        <v>1464520</v>
      </c>
      <c r="G8" s="161">
        <v>1387698</v>
      </c>
      <c r="H8" s="161">
        <v>2474601</v>
      </c>
      <c r="I8" s="161">
        <v>2299433</v>
      </c>
      <c r="J8" s="161">
        <v>3939121</v>
      </c>
      <c r="K8" s="161">
        <v>3687131</v>
      </c>
      <c r="L8" s="161">
        <v>7626252</v>
      </c>
    </row>
    <row r="9" spans="1:12">
      <c r="A9" s="9" t="s">
        <v>19</v>
      </c>
      <c r="B9" s="162" t="s">
        <v>17</v>
      </c>
      <c r="C9" s="162" t="s">
        <v>17</v>
      </c>
      <c r="D9" s="162" t="s">
        <v>17</v>
      </c>
      <c r="E9" s="162" t="s">
        <v>17</v>
      </c>
      <c r="F9" s="161">
        <v>1602009</v>
      </c>
      <c r="G9" s="161">
        <v>1514199</v>
      </c>
      <c r="H9" s="161">
        <v>2474592</v>
      </c>
      <c r="I9" s="161">
        <v>2273202</v>
      </c>
      <c r="J9" s="161">
        <v>4076601</v>
      </c>
      <c r="K9" s="161">
        <v>3787401</v>
      </c>
      <c r="L9" s="161">
        <v>7864002</v>
      </c>
    </row>
    <row r="10" spans="1:12">
      <c r="A10" s="9" t="s">
        <v>20</v>
      </c>
      <c r="B10" s="162" t="s">
        <v>17</v>
      </c>
      <c r="C10" s="162" t="s">
        <v>17</v>
      </c>
      <c r="D10" s="162" t="s">
        <v>17</v>
      </c>
      <c r="E10" s="162" t="s">
        <v>17</v>
      </c>
      <c r="F10" s="161">
        <v>1510230</v>
      </c>
      <c r="G10" s="161">
        <v>1420081</v>
      </c>
      <c r="H10" s="161">
        <v>2092627</v>
      </c>
      <c r="I10" s="161">
        <v>1878673</v>
      </c>
      <c r="J10" s="161">
        <v>3602857</v>
      </c>
      <c r="K10" s="161">
        <v>3298754</v>
      </c>
      <c r="L10" s="161">
        <v>6901611</v>
      </c>
    </row>
    <row r="11" spans="1:12">
      <c r="A11" s="9" t="s">
        <v>21</v>
      </c>
      <c r="B11" s="162" t="s">
        <v>17</v>
      </c>
      <c r="C11" s="163" t="s">
        <v>17</v>
      </c>
      <c r="D11" s="162" t="s">
        <v>17</v>
      </c>
      <c r="E11" s="163" t="s">
        <v>17</v>
      </c>
      <c r="F11" s="161">
        <v>1167895</v>
      </c>
      <c r="G11" s="161">
        <v>1105656</v>
      </c>
      <c r="H11" s="161">
        <v>1474725</v>
      </c>
      <c r="I11" s="161">
        <v>1326860</v>
      </c>
      <c r="J11" s="161">
        <v>2642620</v>
      </c>
      <c r="K11" s="161">
        <v>2432516</v>
      </c>
      <c r="L11" s="161">
        <v>5075136</v>
      </c>
    </row>
    <row r="12" spans="1:12">
      <c r="A12" s="9" t="s">
        <v>22</v>
      </c>
      <c r="B12" s="162" t="s">
        <v>17</v>
      </c>
      <c r="C12" s="162" t="s">
        <v>17</v>
      </c>
      <c r="D12" s="162" t="s">
        <v>17</v>
      </c>
      <c r="E12" s="162" t="s">
        <v>17</v>
      </c>
      <c r="F12" s="98">
        <v>933765</v>
      </c>
      <c r="G12" s="98">
        <v>982469</v>
      </c>
      <c r="H12" s="161">
        <v>1171298</v>
      </c>
      <c r="I12" s="161">
        <v>1282990</v>
      </c>
      <c r="J12" s="161">
        <v>2105063</v>
      </c>
      <c r="K12" s="161">
        <v>2265459</v>
      </c>
      <c r="L12" s="161">
        <v>4370522</v>
      </c>
    </row>
    <row r="13" spans="1:12">
      <c r="A13" s="9" t="s">
        <v>23</v>
      </c>
      <c r="B13" s="162" t="s">
        <v>17</v>
      </c>
      <c r="C13" s="162" t="s">
        <v>17</v>
      </c>
      <c r="D13" s="162" t="s">
        <v>17</v>
      </c>
      <c r="E13" s="162" t="s">
        <v>17</v>
      </c>
      <c r="F13" s="98">
        <v>917762</v>
      </c>
      <c r="G13" s="98">
        <v>929346</v>
      </c>
      <c r="H13" s="161">
        <v>1075450</v>
      </c>
      <c r="I13" s="161">
        <v>1057162</v>
      </c>
      <c r="J13" s="161">
        <v>1993212</v>
      </c>
      <c r="K13" s="161">
        <v>1986508</v>
      </c>
      <c r="L13" s="161">
        <v>3979720</v>
      </c>
    </row>
    <row r="14" spans="1:12">
      <c r="A14" s="9" t="s">
        <v>24</v>
      </c>
      <c r="B14" s="162" t="s">
        <v>17</v>
      </c>
      <c r="C14" s="162" t="s">
        <v>17</v>
      </c>
      <c r="D14" s="162" t="s">
        <v>17</v>
      </c>
      <c r="E14" s="162" t="s">
        <v>17</v>
      </c>
      <c r="F14" s="98">
        <v>879215</v>
      </c>
      <c r="G14" s="98">
        <v>896879</v>
      </c>
      <c r="H14" s="161">
        <v>1035152</v>
      </c>
      <c r="I14" s="161">
        <v>1048859</v>
      </c>
      <c r="J14" s="161">
        <v>1914367</v>
      </c>
      <c r="K14" s="161">
        <v>1945738</v>
      </c>
      <c r="L14" s="161">
        <v>3860105</v>
      </c>
    </row>
    <row r="15" spans="1:12">
      <c r="A15" s="9" t="s">
        <v>25</v>
      </c>
      <c r="B15" s="162" t="s">
        <v>17</v>
      </c>
      <c r="C15" s="162" t="s">
        <v>17</v>
      </c>
      <c r="D15" s="162" t="s">
        <v>17</v>
      </c>
      <c r="E15" s="162" t="s">
        <v>17</v>
      </c>
      <c r="F15" s="98">
        <v>810931</v>
      </c>
      <c r="G15" s="98">
        <v>763029</v>
      </c>
      <c r="H15" s="98">
        <v>805518</v>
      </c>
      <c r="I15" s="98">
        <v>793748</v>
      </c>
      <c r="J15" s="161">
        <v>1616449</v>
      </c>
      <c r="K15" s="161">
        <v>1556777</v>
      </c>
      <c r="L15" s="161">
        <v>3173226</v>
      </c>
    </row>
    <row r="16" spans="1:12">
      <c r="A16" s="9" t="s">
        <v>26</v>
      </c>
      <c r="B16" s="162" t="s">
        <v>17</v>
      </c>
      <c r="C16" s="162" t="s">
        <v>17</v>
      </c>
      <c r="D16" s="162" t="s">
        <v>17</v>
      </c>
      <c r="E16" s="162" t="s">
        <v>17</v>
      </c>
      <c r="F16" s="98">
        <v>687877</v>
      </c>
      <c r="G16" s="98">
        <v>609035</v>
      </c>
      <c r="H16" s="98">
        <v>720621</v>
      </c>
      <c r="I16" s="98">
        <v>678636</v>
      </c>
      <c r="J16" s="161">
        <v>1408498</v>
      </c>
      <c r="K16" s="161">
        <v>1287671</v>
      </c>
      <c r="L16" s="161">
        <v>2696169</v>
      </c>
    </row>
    <row r="17" spans="1:12">
      <c r="A17" s="9" t="s">
        <v>27</v>
      </c>
      <c r="B17" s="162" t="s">
        <v>17</v>
      </c>
      <c r="C17" s="162" t="s">
        <v>17</v>
      </c>
      <c r="D17" s="162" t="s">
        <v>17</v>
      </c>
      <c r="E17" s="162" t="s">
        <v>17</v>
      </c>
      <c r="F17" s="98">
        <v>503584</v>
      </c>
      <c r="G17" s="98">
        <v>481233</v>
      </c>
      <c r="H17" s="98">
        <v>491352</v>
      </c>
      <c r="I17" s="98">
        <v>545967</v>
      </c>
      <c r="J17" s="98">
        <v>994936</v>
      </c>
      <c r="K17" s="161">
        <v>1027200</v>
      </c>
      <c r="L17" s="161">
        <v>2022136</v>
      </c>
    </row>
    <row r="18" spans="1:12">
      <c r="A18" s="9" t="s">
        <v>28</v>
      </c>
      <c r="B18" s="162" t="s">
        <v>17</v>
      </c>
      <c r="C18" s="162" t="s">
        <v>17</v>
      </c>
      <c r="D18" s="162" t="s">
        <v>17</v>
      </c>
      <c r="E18" s="162" t="s">
        <v>17</v>
      </c>
      <c r="F18" s="98">
        <v>372516</v>
      </c>
      <c r="G18" s="98">
        <v>313625</v>
      </c>
      <c r="H18" s="98">
        <v>404021</v>
      </c>
      <c r="I18" s="98">
        <v>386511</v>
      </c>
      <c r="J18" s="98">
        <v>776537</v>
      </c>
      <c r="K18" s="98">
        <v>700136</v>
      </c>
      <c r="L18" s="161">
        <v>1476673</v>
      </c>
    </row>
    <row r="19" spans="1:12">
      <c r="A19" s="9" t="s">
        <v>29</v>
      </c>
      <c r="B19" s="162" t="s">
        <v>17</v>
      </c>
      <c r="C19" s="162" t="s">
        <v>17</v>
      </c>
      <c r="D19" s="162" t="s">
        <v>17</v>
      </c>
      <c r="E19" s="162" t="s">
        <v>17</v>
      </c>
      <c r="F19" s="98">
        <v>349766</v>
      </c>
      <c r="G19" s="98">
        <v>315675</v>
      </c>
      <c r="H19" s="98">
        <v>356423</v>
      </c>
      <c r="I19" s="98">
        <v>377130</v>
      </c>
      <c r="J19" s="98">
        <v>706189</v>
      </c>
      <c r="K19" s="98">
        <v>692805</v>
      </c>
      <c r="L19" s="161">
        <v>1398994</v>
      </c>
    </row>
    <row r="20" spans="1:12">
      <c r="A20" s="9" t="s">
        <v>30</v>
      </c>
      <c r="B20" s="162" t="s">
        <v>17</v>
      </c>
      <c r="C20" s="162" t="s">
        <v>17</v>
      </c>
      <c r="D20" s="162" t="s">
        <v>17</v>
      </c>
      <c r="E20" s="162" t="s">
        <v>17</v>
      </c>
      <c r="F20" s="98">
        <v>232503</v>
      </c>
      <c r="G20" s="98">
        <v>172142</v>
      </c>
      <c r="H20" s="98">
        <v>274582</v>
      </c>
      <c r="I20" s="98">
        <v>251349</v>
      </c>
      <c r="J20" s="98">
        <v>507085</v>
      </c>
      <c r="K20" s="98">
        <v>423491</v>
      </c>
      <c r="L20" s="98">
        <v>930576</v>
      </c>
    </row>
    <row r="21" spans="1:12">
      <c r="A21" s="9" t="s">
        <v>31</v>
      </c>
      <c r="B21" s="162" t="s">
        <v>17</v>
      </c>
      <c r="C21" s="162" t="s">
        <v>17</v>
      </c>
      <c r="D21" s="162" t="s">
        <v>17</v>
      </c>
      <c r="E21" s="162" t="s">
        <v>17</v>
      </c>
      <c r="F21" s="98">
        <v>144153</v>
      </c>
      <c r="G21" s="98">
        <v>124912</v>
      </c>
      <c r="H21" s="98">
        <v>171614</v>
      </c>
      <c r="I21" s="98">
        <v>176990</v>
      </c>
      <c r="J21" s="98">
        <v>315767</v>
      </c>
      <c r="K21" s="98">
        <v>301902</v>
      </c>
      <c r="L21" s="98">
        <v>617669</v>
      </c>
    </row>
    <row r="22" spans="1:12" ht="15.75" thickBot="1">
      <c r="A22" s="7" t="s">
        <v>34</v>
      </c>
      <c r="B22" s="162" t="s">
        <v>17</v>
      </c>
      <c r="C22" s="162" t="s">
        <v>17</v>
      </c>
      <c r="D22" s="162" t="s">
        <v>17</v>
      </c>
      <c r="E22" s="162" t="s">
        <v>17</v>
      </c>
      <c r="F22" s="98">
        <v>106154</v>
      </c>
      <c r="G22" s="98">
        <v>91128</v>
      </c>
      <c r="H22" s="98">
        <v>134148</v>
      </c>
      <c r="I22" s="98">
        <v>133428</v>
      </c>
      <c r="J22" s="98">
        <v>240302</v>
      </c>
      <c r="K22" s="98">
        <v>224556</v>
      </c>
      <c r="L22" s="98">
        <v>464858</v>
      </c>
    </row>
    <row r="23" spans="1:12" ht="26.25" thickBot="1">
      <c r="A23" s="66" t="s">
        <v>108</v>
      </c>
      <c r="B23" s="79" t="s">
        <v>17</v>
      </c>
      <c r="C23" s="79" t="s">
        <v>17</v>
      </c>
      <c r="D23" s="79" t="s">
        <v>17</v>
      </c>
      <c r="E23" s="79" t="s">
        <v>17</v>
      </c>
      <c r="F23" s="164">
        <v>3</v>
      </c>
      <c r="G23" s="164">
        <v>4</v>
      </c>
      <c r="H23" s="164">
        <v>7</v>
      </c>
      <c r="I23" s="164">
        <v>9</v>
      </c>
      <c r="J23" s="164">
        <v>10</v>
      </c>
      <c r="K23" s="164">
        <v>13</v>
      </c>
      <c r="L23" s="164">
        <v>23</v>
      </c>
    </row>
    <row r="24" spans="1:12" ht="27" thickBot="1">
      <c r="A24" s="153" t="s">
        <v>33</v>
      </c>
      <c r="B24" s="154" t="s">
        <v>38</v>
      </c>
      <c r="C24" s="154" t="s">
        <v>38</v>
      </c>
      <c r="D24" s="154" t="s">
        <v>38</v>
      </c>
      <c r="E24" s="154" t="s">
        <v>38</v>
      </c>
      <c r="F24" s="154">
        <v>12957775</v>
      </c>
      <c r="G24" s="154">
        <v>12328560</v>
      </c>
      <c r="H24" s="154">
        <v>17393615</v>
      </c>
      <c r="I24" s="154">
        <v>16632964</v>
      </c>
      <c r="J24" s="154">
        <v>30351390</v>
      </c>
      <c r="K24" s="154">
        <v>28961524</v>
      </c>
      <c r="L24" s="154">
        <v>59312914</v>
      </c>
    </row>
    <row r="25" spans="1:12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</row>
    <row r="26" spans="1:12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</row>
    <row r="27" spans="1:12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activeCell="A2" sqref="A2"/>
    </sheetView>
  </sheetViews>
  <sheetFormatPr defaultRowHeight="15"/>
  <cols>
    <col min="1" max="12" width="13.140625" style="22" customWidth="1"/>
    <col min="13" max="16384" width="9.140625" style="22"/>
  </cols>
  <sheetData>
    <row r="1" spans="1:12" ht="15.75">
      <c r="A1" s="143" t="s">
        <v>139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293" t="s">
        <v>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15.75" thickBot="1">
      <c r="A3" s="145"/>
      <c r="B3" s="145"/>
      <c r="C3" s="145"/>
      <c r="D3" s="145"/>
      <c r="E3" s="145"/>
      <c r="F3" s="146"/>
      <c r="G3" s="146"/>
      <c r="H3" s="146"/>
      <c r="I3" s="146"/>
      <c r="J3" s="145"/>
      <c r="K3" s="145"/>
      <c r="L3" s="145"/>
    </row>
    <row r="4" spans="1:12" ht="15.75" thickBot="1">
      <c r="A4" s="147"/>
      <c r="B4" s="69" t="s">
        <v>0</v>
      </c>
      <c r="C4" s="147" t="s">
        <v>1</v>
      </c>
      <c r="D4" s="69" t="s">
        <v>2</v>
      </c>
      <c r="E4" s="147" t="s">
        <v>3</v>
      </c>
      <c r="F4" s="75" t="s">
        <v>4</v>
      </c>
      <c r="G4" s="148" t="s">
        <v>5</v>
      </c>
      <c r="H4" s="75" t="s">
        <v>6</v>
      </c>
      <c r="I4" s="148" t="s">
        <v>7</v>
      </c>
      <c r="J4" s="69" t="s">
        <v>8</v>
      </c>
      <c r="K4" s="147" t="s">
        <v>9</v>
      </c>
      <c r="L4" s="149" t="s">
        <v>9</v>
      </c>
    </row>
    <row r="5" spans="1:12">
      <c r="A5" s="7" t="s">
        <v>10</v>
      </c>
      <c r="B5" s="147" t="s">
        <v>104</v>
      </c>
      <c r="C5" s="147" t="s">
        <v>105</v>
      </c>
      <c r="D5" s="147" t="s">
        <v>104</v>
      </c>
      <c r="E5" s="147" t="s">
        <v>105</v>
      </c>
      <c r="F5" s="148" t="s">
        <v>104</v>
      </c>
      <c r="G5" s="148" t="s">
        <v>105</v>
      </c>
      <c r="H5" s="148" t="s">
        <v>104</v>
      </c>
      <c r="I5" s="148" t="s">
        <v>105</v>
      </c>
      <c r="J5" s="147" t="s">
        <v>104</v>
      </c>
      <c r="K5" s="147" t="s">
        <v>105</v>
      </c>
      <c r="L5" s="147" t="s">
        <v>11</v>
      </c>
    </row>
    <row r="6" spans="1:12" ht="15.75" thickBot="1">
      <c r="A6" s="60" t="s">
        <v>12</v>
      </c>
      <c r="B6" s="150" t="s">
        <v>98</v>
      </c>
      <c r="C6" s="150" t="s">
        <v>100</v>
      </c>
      <c r="D6" s="150" t="s">
        <v>98</v>
      </c>
      <c r="E6" s="150" t="s">
        <v>100</v>
      </c>
      <c r="F6" s="150" t="s">
        <v>98</v>
      </c>
      <c r="G6" s="150" t="s">
        <v>100</v>
      </c>
      <c r="H6" s="150" t="s">
        <v>98</v>
      </c>
      <c r="I6" s="150" t="s">
        <v>100</v>
      </c>
      <c r="J6" s="150" t="s">
        <v>98</v>
      </c>
      <c r="K6" s="150" t="s">
        <v>100</v>
      </c>
      <c r="L6" s="150" t="s">
        <v>15</v>
      </c>
    </row>
    <row r="7" spans="1:12">
      <c r="A7" s="9" t="s">
        <v>16</v>
      </c>
      <c r="B7" s="91">
        <v>4231397</v>
      </c>
      <c r="C7" s="91">
        <v>4024007</v>
      </c>
      <c r="D7" s="91">
        <v>4214</v>
      </c>
      <c r="E7" s="91">
        <v>3850</v>
      </c>
      <c r="F7" s="91" t="s">
        <v>17</v>
      </c>
      <c r="G7" s="91" t="s">
        <v>17</v>
      </c>
      <c r="H7" s="91" t="s">
        <v>17</v>
      </c>
      <c r="I7" s="91" t="s">
        <v>17</v>
      </c>
      <c r="J7" s="91">
        <v>4235611</v>
      </c>
      <c r="K7" s="91">
        <v>4027857</v>
      </c>
      <c r="L7" s="91">
        <v>8263468</v>
      </c>
    </row>
    <row r="8" spans="1:12">
      <c r="A8" s="14" t="s">
        <v>18</v>
      </c>
      <c r="B8" s="91">
        <v>4744139</v>
      </c>
      <c r="C8" s="91">
        <v>4437825</v>
      </c>
      <c r="D8" s="91">
        <v>4427</v>
      </c>
      <c r="E8" s="91">
        <v>4012</v>
      </c>
      <c r="F8" s="151" t="s">
        <v>17</v>
      </c>
      <c r="G8" s="151" t="s">
        <v>17</v>
      </c>
      <c r="H8" s="151" t="s">
        <v>17</v>
      </c>
      <c r="I8" s="151" t="s">
        <v>17</v>
      </c>
      <c r="J8" s="91">
        <v>4748566</v>
      </c>
      <c r="K8" s="91">
        <v>4441837</v>
      </c>
      <c r="L8" s="91">
        <v>9190403</v>
      </c>
    </row>
    <row r="9" spans="1:12">
      <c r="A9" s="9" t="s">
        <v>19</v>
      </c>
      <c r="B9" s="91">
        <v>4908718</v>
      </c>
      <c r="C9" s="91">
        <v>4559117</v>
      </c>
      <c r="D9" s="91">
        <v>4574</v>
      </c>
      <c r="E9" s="91">
        <v>4338</v>
      </c>
      <c r="F9" s="151" t="s">
        <v>17</v>
      </c>
      <c r="G9" s="151" t="s">
        <v>17</v>
      </c>
      <c r="H9" s="151" t="s">
        <v>17</v>
      </c>
      <c r="I9" s="151" t="s">
        <v>17</v>
      </c>
      <c r="J9" s="91">
        <v>4913292</v>
      </c>
      <c r="K9" s="91">
        <v>4563455</v>
      </c>
      <c r="L9" s="91">
        <v>9476747</v>
      </c>
    </row>
    <row r="10" spans="1:12">
      <c r="A10" s="9" t="s">
        <v>20</v>
      </c>
      <c r="B10" s="91">
        <v>4344315</v>
      </c>
      <c r="C10" s="91">
        <v>3975933</v>
      </c>
      <c r="D10" s="91">
        <v>5759</v>
      </c>
      <c r="E10" s="91">
        <v>4740</v>
      </c>
      <c r="F10" s="151" t="s">
        <v>17</v>
      </c>
      <c r="G10" s="151" t="s">
        <v>17</v>
      </c>
      <c r="H10" s="151" t="s">
        <v>17</v>
      </c>
      <c r="I10" s="151" t="s">
        <v>17</v>
      </c>
      <c r="J10" s="91">
        <v>4350074</v>
      </c>
      <c r="K10" s="91">
        <v>3980673</v>
      </c>
      <c r="L10" s="91">
        <v>8330747</v>
      </c>
    </row>
    <row r="11" spans="1:12">
      <c r="A11" s="9" t="s">
        <v>21</v>
      </c>
      <c r="B11" s="91">
        <v>3175297</v>
      </c>
      <c r="C11" s="91">
        <v>2903359</v>
      </c>
      <c r="D11" s="91">
        <v>8978</v>
      </c>
      <c r="E11" s="91">
        <v>6143</v>
      </c>
      <c r="F11" s="151" t="s">
        <v>17</v>
      </c>
      <c r="G11" s="152" t="s">
        <v>17</v>
      </c>
      <c r="H11" s="151" t="s">
        <v>17</v>
      </c>
      <c r="I11" s="152" t="s">
        <v>17</v>
      </c>
      <c r="J11" s="91">
        <v>3184275</v>
      </c>
      <c r="K11" s="91">
        <v>2909502</v>
      </c>
      <c r="L11" s="91">
        <v>6093777</v>
      </c>
    </row>
    <row r="12" spans="1:12">
      <c r="A12" s="9" t="s">
        <v>22</v>
      </c>
      <c r="B12" s="91">
        <v>2517666</v>
      </c>
      <c r="C12" s="91">
        <v>2731447</v>
      </c>
      <c r="D12" s="91">
        <v>6517</v>
      </c>
      <c r="E12" s="91">
        <v>5337</v>
      </c>
      <c r="F12" s="151" t="s">
        <v>17</v>
      </c>
      <c r="G12" s="151" t="s">
        <v>17</v>
      </c>
      <c r="H12" s="151" t="s">
        <v>17</v>
      </c>
      <c r="I12" s="151" t="s">
        <v>17</v>
      </c>
      <c r="J12" s="91">
        <v>2524183</v>
      </c>
      <c r="K12" s="91">
        <v>2736784</v>
      </c>
      <c r="L12" s="91">
        <v>5260967</v>
      </c>
    </row>
    <row r="13" spans="1:12">
      <c r="A13" s="9" t="s">
        <v>23</v>
      </c>
      <c r="B13" s="91">
        <v>2405265</v>
      </c>
      <c r="C13" s="91">
        <v>2419374</v>
      </c>
      <c r="D13" s="91">
        <v>6218</v>
      </c>
      <c r="E13" s="91">
        <v>5351</v>
      </c>
      <c r="F13" s="151" t="s">
        <v>17</v>
      </c>
      <c r="G13" s="151" t="s">
        <v>17</v>
      </c>
      <c r="H13" s="151" t="s">
        <v>17</v>
      </c>
      <c r="I13" s="151" t="s">
        <v>17</v>
      </c>
      <c r="J13" s="91">
        <v>2411483</v>
      </c>
      <c r="K13" s="91">
        <v>2424725</v>
      </c>
      <c r="L13" s="91">
        <v>4836208</v>
      </c>
    </row>
    <row r="14" spans="1:12">
      <c r="A14" s="9" t="s">
        <v>24</v>
      </c>
      <c r="B14" s="91">
        <v>2297883</v>
      </c>
      <c r="C14" s="91">
        <v>2317903</v>
      </c>
      <c r="D14" s="91">
        <v>5030</v>
      </c>
      <c r="E14" s="91">
        <v>4175</v>
      </c>
      <c r="F14" s="151" t="s">
        <v>17</v>
      </c>
      <c r="G14" s="151" t="s">
        <v>17</v>
      </c>
      <c r="H14" s="151" t="s">
        <v>17</v>
      </c>
      <c r="I14" s="151" t="s">
        <v>17</v>
      </c>
      <c r="J14" s="91">
        <v>2302913</v>
      </c>
      <c r="K14" s="91">
        <v>2322078</v>
      </c>
      <c r="L14" s="91">
        <v>4624991</v>
      </c>
    </row>
    <row r="15" spans="1:12">
      <c r="A15" s="9" t="s">
        <v>25</v>
      </c>
      <c r="B15" s="91">
        <v>1932096</v>
      </c>
      <c r="C15" s="91">
        <v>1889329</v>
      </c>
      <c r="D15" s="91">
        <v>4896</v>
      </c>
      <c r="E15" s="91">
        <v>3602</v>
      </c>
      <c r="F15" s="151" t="s">
        <v>17</v>
      </c>
      <c r="G15" s="151" t="s">
        <v>17</v>
      </c>
      <c r="H15" s="151" t="s">
        <v>17</v>
      </c>
      <c r="I15" s="151" t="s">
        <v>17</v>
      </c>
      <c r="J15" s="91">
        <v>1936992</v>
      </c>
      <c r="K15" s="91">
        <v>1892931</v>
      </c>
      <c r="L15" s="91">
        <v>3829923</v>
      </c>
    </row>
    <row r="16" spans="1:12">
      <c r="A16" s="9" t="s">
        <v>26</v>
      </c>
      <c r="B16" s="91">
        <v>1675757</v>
      </c>
      <c r="C16" s="91">
        <v>1539636</v>
      </c>
      <c r="D16" s="91">
        <v>3810</v>
      </c>
      <c r="E16" s="91">
        <v>2712</v>
      </c>
      <c r="F16" s="151" t="s">
        <v>17</v>
      </c>
      <c r="G16" s="151" t="s">
        <v>17</v>
      </c>
      <c r="H16" s="151" t="s">
        <v>17</v>
      </c>
      <c r="I16" s="151" t="s">
        <v>17</v>
      </c>
      <c r="J16" s="91">
        <v>1679567</v>
      </c>
      <c r="K16" s="91">
        <v>1542348</v>
      </c>
      <c r="L16" s="91">
        <v>3221915</v>
      </c>
    </row>
    <row r="17" spans="1:12">
      <c r="A17" s="9" t="s">
        <v>27</v>
      </c>
      <c r="B17" s="91">
        <v>1202176</v>
      </c>
      <c r="C17" s="91">
        <v>1225326</v>
      </c>
      <c r="D17" s="91">
        <v>3567</v>
      </c>
      <c r="E17" s="91">
        <v>2296</v>
      </c>
      <c r="F17" s="151" t="s">
        <v>17</v>
      </c>
      <c r="G17" s="151" t="s">
        <v>17</v>
      </c>
      <c r="H17" s="151" t="s">
        <v>17</v>
      </c>
      <c r="I17" s="151" t="s">
        <v>17</v>
      </c>
      <c r="J17" s="91">
        <v>1205743</v>
      </c>
      <c r="K17" s="91">
        <v>1227622</v>
      </c>
      <c r="L17" s="91">
        <v>2433365</v>
      </c>
    </row>
    <row r="18" spans="1:12">
      <c r="A18" s="9" t="s">
        <v>28</v>
      </c>
      <c r="B18" s="91">
        <v>947728</v>
      </c>
      <c r="C18" s="91">
        <v>839476</v>
      </c>
      <c r="D18" s="91">
        <v>2322</v>
      </c>
      <c r="E18" s="91">
        <v>1495</v>
      </c>
      <c r="F18" s="151" t="s">
        <v>17</v>
      </c>
      <c r="G18" s="151" t="s">
        <v>17</v>
      </c>
      <c r="H18" s="151" t="s">
        <v>17</v>
      </c>
      <c r="I18" s="151" t="s">
        <v>17</v>
      </c>
      <c r="J18" s="91">
        <v>950050</v>
      </c>
      <c r="K18" s="91">
        <v>840971</v>
      </c>
      <c r="L18" s="91">
        <v>1791021</v>
      </c>
    </row>
    <row r="19" spans="1:12">
      <c r="A19" s="9" t="s">
        <v>29</v>
      </c>
      <c r="B19" s="91">
        <v>845859</v>
      </c>
      <c r="C19" s="91">
        <v>832166</v>
      </c>
      <c r="D19" s="91">
        <v>1814</v>
      </c>
      <c r="E19" s="91">
        <v>1332</v>
      </c>
      <c r="F19" s="151" t="s">
        <v>17</v>
      </c>
      <c r="G19" s="151" t="s">
        <v>17</v>
      </c>
      <c r="H19" s="151" t="s">
        <v>17</v>
      </c>
      <c r="I19" s="151" t="s">
        <v>17</v>
      </c>
      <c r="J19" s="91">
        <v>847673</v>
      </c>
      <c r="K19" s="91">
        <v>833498</v>
      </c>
      <c r="L19" s="91">
        <v>1681171</v>
      </c>
    </row>
    <row r="20" spans="1:12" ht="15.75" thickBot="1">
      <c r="A20" s="7" t="s">
        <v>35</v>
      </c>
      <c r="B20" s="89">
        <v>1280303</v>
      </c>
      <c r="C20" s="89">
        <v>1144164</v>
      </c>
      <c r="D20" s="90">
        <v>2242</v>
      </c>
      <c r="E20" s="90">
        <v>1943</v>
      </c>
      <c r="F20" s="91" t="s">
        <v>17</v>
      </c>
      <c r="G20" s="91" t="s">
        <v>17</v>
      </c>
      <c r="H20" s="91" t="s">
        <v>17</v>
      </c>
      <c r="I20" s="91" t="s">
        <v>17</v>
      </c>
      <c r="J20" s="90">
        <v>1282545</v>
      </c>
      <c r="K20" s="90">
        <v>1146107</v>
      </c>
      <c r="L20" s="90">
        <v>2428652</v>
      </c>
    </row>
    <row r="21" spans="1:12" ht="26.25" thickBot="1">
      <c r="A21" s="66" t="s">
        <v>108</v>
      </c>
      <c r="B21" s="79" t="s">
        <v>17</v>
      </c>
      <c r="C21" s="79" t="s">
        <v>17</v>
      </c>
      <c r="D21" s="79" t="s">
        <v>17</v>
      </c>
      <c r="E21" s="79" t="s">
        <v>17</v>
      </c>
      <c r="F21" s="79" t="s">
        <v>17</v>
      </c>
      <c r="G21" s="79" t="s">
        <v>17</v>
      </c>
      <c r="H21" s="79" t="s">
        <v>17</v>
      </c>
      <c r="I21" s="79" t="s">
        <v>17</v>
      </c>
      <c r="J21" s="79" t="s">
        <v>17</v>
      </c>
      <c r="K21" s="79" t="s">
        <v>17</v>
      </c>
      <c r="L21" s="79" t="s">
        <v>17</v>
      </c>
    </row>
    <row r="22" spans="1:12" ht="27" thickBot="1">
      <c r="A22" s="153" t="s">
        <v>33</v>
      </c>
      <c r="B22" s="154">
        <v>36508599</v>
      </c>
      <c r="C22" s="154">
        <v>34839062</v>
      </c>
      <c r="D22" s="154">
        <v>64368</v>
      </c>
      <c r="E22" s="154">
        <v>51326</v>
      </c>
      <c r="F22" s="154" t="s">
        <v>38</v>
      </c>
      <c r="G22" s="154" t="s">
        <v>38</v>
      </c>
      <c r="H22" s="154" t="s">
        <v>38</v>
      </c>
      <c r="I22" s="154" t="s">
        <v>38</v>
      </c>
      <c r="J22" s="154">
        <v>36572967</v>
      </c>
      <c r="K22" s="154">
        <v>34890388</v>
      </c>
      <c r="L22" s="154">
        <v>71463355</v>
      </c>
    </row>
    <row r="23" spans="1:12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</row>
    <row r="24" spans="1:12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2"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</row>
    <row r="26" spans="1:12"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140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78" t="s">
        <v>8</v>
      </c>
      <c r="K4" s="108"/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>
        <v>942152</v>
      </c>
      <c r="G7" s="11">
        <v>901738</v>
      </c>
      <c r="H7" s="11">
        <v>473924</v>
      </c>
      <c r="I7" s="11">
        <v>447019</v>
      </c>
      <c r="J7" s="18">
        <v>1416076</v>
      </c>
      <c r="K7" s="18">
        <v>1348757</v>
      </c>
      <c r="L7" s="18">
        <v>2764833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1">
        <v>849732</v>
      </c>
      <c r="G8" s="11">
        <v>816617</v>
      </c>
      <c r="H8" s="11">
        <v>410102</v>
      </c>
      <c r="I8" s="11">
        <v>391799</v>
      </c>
      <c r="J8" s="18">
        <v>1259834</v>
      </c>
      <c r="K8" s="18">
        <v>1208416</v>
      </c>
      <c r="L8" s="18">
        <v>2468250</v>
      </c>
    </row>
    <row r="9" spans="1:12">
      <c r="A9" s="14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>
        <v>757781</v>
      </c>
      <c r="G9" s="11">
        <v>719771</v>
      </c>
      <c r="H9" s="11">
        <v>344475</v>
      </c>
      <c r="I9" s="11">
        <v>326382</v>
      </c>
      <c r="J9" s="18">
        <v>1102256</v>
      </c>
      <c r="K9" s="18">
        <v>1046153</v>
      </c>
      <c r="L9" s="18">
        <v>2148409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>
        <v>692777</v>
      </c>
      <c r="G10" s="11">
        <v>636128</v>
      </c>
      <c r="H10" s="11">
        <v>304010</v>
      </c>
      <c r="I10" s="11">
        <v>276196</v>
      </c>
      <c r="J10" s="11">
        <v>996787</v>
      </c>
      <c r="K10" s="11">
        <v>912324</v>
      </c>
      <c r="L10" s="18">
        <v>1909111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>
        <v>610758</v>
      </c>
      <c r="G11" s="11">
        <v>510354</v>
      </c>
      <c r="H11" s="11">
        <v>195354</v>
      </c>
      <c r="I11" s="11">
        <v>197556</v>
      </c>
      <c r="J11" s="11">
        <v>806112</v>
      </c>
      <c r="K11" s="11">
        <v>707910</v>
      </c>
      <c r="L11" s="18">
        <v>1514022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>
        <v>438268</v>
      </c>
      <c r="G12" s="11">
        <v>364154</v>
      </c>
      <c r="H12" s="11">
        <v>92971</v>
      </c>
      <c r="I12" s="11">
        <v>122988</v>
      </c>
      <c r="J12" s="11">
        <v>531239</v>
      </c>
      <c r="K12" s="11">
        <v>487142</v>
      </c>
      <c r="L12" s="18">
        <v>1018381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>
        <v>399508</v>
      </c>
      <c r="G13" s="11">
        <v>348959</v>
      </c>
      <c r="H13" s="11">
        <v>131602</v>
      </c>
      <c r="I13" s="11">
        <v>138619</v>
      </c>
      <c r="J13" s="11">
        <v>531110</v>
      </c>
      <c r="K13" s="11">
        <v>487578</v>
      </c>
      <c r="L13" s="18">
        <v>1018688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>
        <v>276002</v>
      </c>
      <c r="G14" s="11">
        <v>257569</v>
      </c>
      <c r="H14" s="11">
        <v>96295</v>
      </c>
      <c r="I14" s="11">
        <v>111461</v>
      </c>
      <c r="J14" s="11">
        <v>372297</v>
      </c>
      <c r="K14" s="11">
        <v>369030</v>
      </c>
      <c r="L14" s="11">
        <v>741327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>
        <v>223758</v>
      </c>
      <c r="G15" s="11">
        <v>189656</v>
      </c>
      <c r="H15" s="11">
        <v>73305</v>
      </c>
      <c r="I15" s="11">
        <v>74096</v>
      </c>
      <c r="J15" s="11">
        <v>297063</v>
      </c>
      <c r="K15" s="11">
        <v>263752</v>
      </c>
      <c r="L15" s="11">
        <v>560815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>
        <v>185678</v>
      </c>
      <c r="G16" s="11">
        <v>155255</v>
      </c>
      <c r="H16" s="11">
        <v>60290</v>
      </c>
      <c r="I16" s="11">
        <v>55966</v>
      </c>
      <c r="J16" s="11">
        <v>245968</v>
      </c>
      <c r="K16" s="11">
        <v>211221</v>
      </c>
      <c r="L16" s="11">
        <v>457189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>
        <v>124782</v>
      </c>
      <c r="G17" s="11">
        <v>122564</v>
      </c>
      <c r="H17" s="11">
        <v>42891</v>
      </c>
      <c r="I17" s="11">
        <v>46977</v>
      </c>
      <c r="J17" s="11">
        <v>167673</v>
      </c>
      <c r="K17" s="11">
        <v>169541</v>
      </c>
      <c r="L17" s="11">
        <v>337214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>
        <v>126161</v>
      </c>
      <c r="G18" s="11">
        <v>127725</v>
      </c>
      <c r="H18" s="11">
        <v>49926</v>
      </c>
      <c r="I18" s="11">
        <v>52156</v>
      </c>
      <c r="J18" s="11">
        <v>176087</v>
      </c>
      <c r="K18" s="11">
        <v>179881</v>
      </c>
      <c r="L18" s="11">
        <v>355968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>
        <v>81830</v>
      </c>
      <c r="G19" s="11">
        <v>100557</v>
      </c>
      <c r="H19" s="11">
        <v>38650</v>
      </c>
      <c r="I19" s="11">
        <v>46509</v>
      </c>
      <c r="J19" s="11">
        <v>120480</v>
      </c>
      <c r="K19" s="11">
        <v>147066</v>
      </c>
      <c r="L19" s="11">
        <v>267546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>
        <v>57009</v>
      </c>
      <c r="G20" s="11">
        <v>65488</v>
      </c>
      <c r="H20" s="11">
        <v>32266</v>
      </c>
      <c r="I20" s="11">
        <v>32717</v>
      </c>
      <c r="J20" s="11">
        <v>89275</v>
      </c>
      <c r="K20" s="11">
        <v>98205</v>
      </c>
      <c r="L20" s="11">
        <v>187480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>
        <v>48946</v>
      </c>
      <c r="G21" s="11">
        <v>53784</v>
      </c>
      <c r="H21" s="11">
        <v>28313</v>
      </c>
      <c r="I21" s="11">
        <v>26272</v>
      </c>
      <c r="J21" s="11">
        <v>77259</v>
      </c>
      <c r="K21" s="11">
        <v>80056</v>
      </c>
      <c r="L21" s="11">
        <v>157315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>
        <v>65814</v>
      </c>
      <c r="G22" s="11">
        <v>79192</v>
      </c>
      <c r="H22" s="11">
        <v>37482</v>
      </c>
      <c r="I22" s="11">
        <v>39374</v>
      </c>
      <c r="J22" s="11">
        <v>103296</v>
      </c>
      <c r="K22" s="11">
        <v>118566</v>
      </c>
      <c r="L22" s="11">
        <v>221862</v>
      </c>
    </row>
    <row r="23" spans="1:12" ht="26.25" thickBot="1">
      <c r="A23" s="66" t="s">
        <v>108</v>
      </c>
      <c r="B23" s="79" t="s">
        <v>17</v>
      </c>
      <c r="C23" s="79" t="s">
        <v>17</v>
      </c>
      <c r="D23" s="79" t="s">
        <v>17</v>
      </c>
      <c r="E23" s="79" t="s">
        <v>17</v>
      </c>
      <c r="F23" s="80">
        <v>70447</v>
      </c>
      <c r="G23" s="80">
        <v>68055</v>
      </c>
      <c r="H23" s="80">
        <v>32630</v>
      </c>
      <c r="I23" s="80">
        <v>35657</v>
      </c>
      <c r="J23" s="80">
        <v>103077</v>
      </c>
      <c r="K23" s="80">
        <v>103712</v>
      </c>
      <c r="L23" s="80">
        <v>206789</v>
      </c>
    </row>
    <row r="24" spans="1:12" ht="27" thickBot="1">
      <c r="A24" s="71" t="s">
        <v>33</v>
      </c>
      <c r="B24" s="72" t="s">
        <v>17</v>
      </c>
      <c r="C24" s="72" t="s">
        <v>17</v>
      </c>
      <c r="D24" s="72" t="s">
        <v>17</v>
      </c>
      <c r="E24" s="72" t="s">
        <v>17</v>
      </c>
      <c r="F24" s="74">
        <v>5951403</v>
      </c>
      <c r="G24" s="74">
        <v>5517566</v>
      </c>
      <c r="H24" s="74">
        <v>2444486</v>
      </c>
      <c r="I24" s="74">
        <v>2421744</v>
      </c>
      <c r="J24" s="74">
        <v>8395889</v>
      </c>
      <c r="K24" s="74">
        <v>7939310</v>
      </c>
      <c r="L24" s="74">
        <v>16335199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141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76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/>
      <c r="L4" s="108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8">
        <v>1218197</v>
      </c>
      <c r="G7" s="18">
        <v>1188647</v>
      </c>
      <c r="H7" s="11">
        <v>693650</v>
      </c>
      <c r="I7" s="11">
        <v>678488</v>
      </c>
      <c r="J7" s="18">
        <v>1911847</v>
      </c>
      <c r="K7" s="18">
        <v>1867135</v>
      </c>
      <c r="L7" s="18">
        <v>3778982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8">
        <v>1124600</v>
      </c>
      <c r="G8" s="18">
        <v>1087118</v>
      </c>
      <c r="H8" s="11">
        <v>567526</v>
      </c>
      <c r="I8" s="11">
        <v>544208</v>
      </c>
      <c r="J8" s="18">
        <v>1692126</v>
      </c>
      <c r="K8" s="18">
        <v>1631326</v>
      </c>
      <c r="L8" s="18">
        <v>3323452</v>
      </c>
    </row>
    <row r="9" spans="1:12">
      <c r="A9" s="9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>
        <v>955442</v>
      </c>
      <c r="G9" s="11">
        <v>918804</v>
      </c>
      <c r="H9" s="11">
        <v>469604</v>
      </c>
      <c r="I9" s="11">
        <v>448068</v>
      </c>
      <c r="J9" s="18">
        <v>1425046</v>
      </c>
      <c r="K9" s="18">
        <v>1366872</v>
      </c>
      <c r="L9" s="18">
        <v>2791918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>
        <v>883604</v>
      </c>
      <c r="G10" s="11">
        <v>846938</v>
      </c>
      <c r="H10" s="11">
        <v>409832</v>
      </c>
      <c r="I10" s="11">
        <v>399830</v>
      </c>
      <c r="J10" s="18">
        <v>1293436</v>
      </c>
      <c r="K10" s="18">
        <v>1246768</v>
      </c>
      <c r="L10" s="18">
        <v>2540204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>
        <v>713054</v>
      </c>
      <c r="G11" s="11">
        <v>706362</v>
      </c>
      <c r="H11" s="11">
        <v>306213</v>
      </c>
      <c r="I11" s="11">
        <v>322115</v>
      </c>
      <c r="J11" s="18">
        <v>1019267</v>
      </c>
      <c r="K11" s="18">
        <v>1028477</v>
      </c>
      <c r="L11" s="18">
        <v>2047744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>
        <v>591288</v>
      </c>
      <c r="G12" s="11">
        <v>606625</v>
      </c>
      <c r="H12" s="11">
        <v>258096</v>
      </c>
      <c r="I12" s="11">
        <v>268456</v>
      </c>
      <c r="J12" s="11">
        <v>849384</v>
      </c>
      <c r="K12" s="11">
        <v>875081</v>
      </c>
      <c r="L12" s="11">
        <v>1724465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>
        <v>499004</v>
      </c>
      <c r="G13" s="11">
        <v>509079</v>
      </c>
      <c r="H13" s="11">
        <v>181806</v>
      </c>
      <c r="I13" s="11">
        <v>201197</v>
      </c>
      <c r="J13" s="11">
        <v>680810</v>
      </c>
      <c r="K13" s="11">
        <v>710276</v>
      </c>
      <c r="L13" s="11">
        <v>1391086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>
        <v>327146</v>
      </c>
      <c r="G14" s="11">
        <v>359495</v>
      </c>
      <c r="H14" s="11">
        <v>86760</v>
      </c>
      <c r="I14" s="11">
        <v>126752</v>
      </c>
      <c r="J14" s="11">
        <v>413906</v>
      </c>
      <c r="K14" s="11">
        <v>486247</v>
      </c>
      <c r="L14" s="11">
        <v>900153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>
        <v>316790</v>
      </c>
      <c r="G15" s="11">
        <v>323836</v>
      </c>
      <c r="H15" s="11">
        <v>112632</v>
      </c>
      <c r="I15" s="11">
        <v>130766</v>
      </c>
      <c r="J15" s="11">
        <v>429422</v>
      </c>
      <c r="K15" s="11">
        <v>454602</v>
      </c>
      <c r="L15" s="11">
        <v>884024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>
        <v>239218</v>
      </c>
      <c r="G16" s="11">
        <v>244225</v>
      </c>
      <c r="H16" s="11">
        <v>88217</v>
      </c>
      <c r="I16" s="11">
        <v>106065</v>
      </c>
      <c r="J16" s="11">
        <v>327435</v>
      </c>
      <c r="K16" s="11">
        <v>350290</v>
      </c>
      <c r="L16" s="11">
        <v>677725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>
        <v>197065</v>
      </c>
      <c r="G17" s="11">
        <v>184976</v>
      </c>
      <c r="H17" s="11">
        <v>66790</v>
      </c>
      <c r="I17" s="11">
        <v>71642</v>
      </c>
      <c r="J17" s="11">
        <v>263855</v>
      </c>
      <c r="K17" s="11">
        <v>256618</v>
      </c>
      <c r="L17" s="11">
        <v>520473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>
        <v>162203</v>
      </c>
      <c r="G18" s="11">
        <v>153921</v>
      </c>
      <c r="H18" s="11">
        <v>52862</v>
      </c>
      <c r="I18" s="11">
        <v>55215</v>
      </c>
      <c r="J18" s="11">
        <v>215065</v>
      </c>
      <c r="K18" s="11">
        <v>209136</v>
      </c>
      <c r="L18" s="11">
        <v>424201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>
        <v>99247</v>
      </c>
      <c r="G19" s="11">
        <v>113184</v>
      </c>
      <c r="H19" s="11">
        <v>35597</v>
      </c>
      <c r="I19" s="11">
        <v>43538</v>
      </c>
      <c r="J19" s="11">
        <v>134844</v>
      </c>
      <c r="K19" s="11">
        <v>156722</v>
      </c>
      <c r="L19" s="11">
        <v>291566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>
        <v>86028</v>
      </c>
      <c r="G20" s="11">
        <v>103180</v>
      </c>
      <c r="H20" s="11">
        <v>37398</v>
      </c>
      <c r="I20" s="11">
        <v>43858</v>
      </c>
      <c r="J20" s="11">
        <v>123426</v>
      </c>
      <c r="K20" s="11">
        <v>147038</v>
      </c>
      <c r="L20" s="11">
        <v>270464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>
        <v>53298</v>
      </c>
      <c r="G21" s="11">
        <v>75045</v>
      </c>
      <c r="H21" s="11">
        <v>28715</v>
      </c>
      <c r="I21" s="11">
        <v>36055</v>
      </c>
      <c r="J21" s="11">
        <v>82013</v>
      </c>
      <c r="K21" s="11">
        <v>111100</v>
      </c>
      <c r="L21" s="11">
        <v>193113</v>
      </c>
    </row>
    <row r="22" spans="1:12" ht="15.75" thickBot="1">
      <c r="A22" s="7" t="s">
        <v>32</v>
      </c>
      <c r="B22" s="77" t="s">
        <v>17</v>
      </c>
      <c r="C22" s="77" t="s">
        <v>17</v>
      </c>
      <c r="D22" s="77" t="s">
        <v>17</v>
      </c>
      <c r="E22" s="77" t="s">
        <v>17</v>
      </c>
      <c r="F22" s="11">
        <v>76326</v>
      </c>
      <c r="G22" s="11">
        <v>105103</v>
      </c>
      <c r="H22" s="11">
        <v>49043</v>
      </c>
      <c r="I22" s="11">
        <v>56202</v>
      </c>
      <c r="J22" s="11">
        <v>125369</v>
      </c>
      <c r="K22" s="11">
        <v>161305</v>
      </c>
      <c r="L22" s="11">
        <v>286674</v>
      </c>
    </row>
    <row r="23" spans="1:12" ht="26.25" thickBot="1">
      <c r="A23" s="66" t="s">
        <v>108</v>
      </c>
      <c r="B23" s="80" t="s">
        <v>17</v>
      </c>
      <c r="C23" s="80" t="s">
        <v>17</v>
      </c>
      <c r="D23" s="80" t="s">
        <v>17</v>
      </c>
      <c r="E23" s="80" t="s">
        <v>17</v>
      </c>
      <c r="F23" s="80" t="s">
        <v>17</v>
      </c>
      <c r="G23" s="80" t="s">
        <v>17</v>
      </c>
      <c r="H23" s="80" t="s">
        <v>17</v>
      </c>
      <c r="I23" s="80" t="s">
        <v>17</v>
      </c>
      <c r="J23" s="80" t="s">
        <v>17</v>
      </c>
      <c r="K23" s="80" t="s">
        <v>17</v>
      </c>
      <c r="L23" s="80" t="s">
        <v>17</v>
      </c>
    </row>
    <row r="24" spans="1:12" ht="27" thickBot="1">
      <c r="A24" s="71" t="s">
        <v>33</v>
      </c>
      <c r="B24" s="72" t="s">
        <v>38</v>
      </c>
      <c r="C24" s="72" t="s">
        <v>38</v>
      </c>
      <c r="D24" s="72" t="s">
        <v>38</v>
      </c>
      <c r="E24" s="72" t="s">
        <v>38</v>
      </c>
      <c r="F24" s="74">
        <v>7542510</v>
      </c>
      <c r="G24" s="74">
        <v>7526538</v>
      </c>
      <c r="H24" s="74">
        <v>3444741</v>
      </c>
      <c r="I24" s="74">
        <v>3532455</v>
      </c>
      <c r="J24" s="74">
        <v>10987251</v>
      </c>
      <c r="K24" s="74">
        <v>11058993</v>
      </c>
      <c r="L24" s="74">
        <v>22046244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style="22" customWidth="1"/>
    <col min="13" max="16384" width="9.140625" style="22"/>
  </cols>
  <sheetData>
    <row r="1" spans="1:12" ht="15.75">
      <c r="A1" s="143" t="s">
        <v>142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293" t="s">
        <v>77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15.75" thickBot="1">
      <c r="A3" s="144"/>
      <c r="B3" s="144"/>
      <c r="C3" s="144"/>
      <c r="D3" s="144"/>
      <c r="E3" s="144"/>
      <c r="F3" s="157"/>
      <c r="G3" s="157"/>
      <c r="H3" s="157"/>
      <c r="I3" s="157"/>
      <c r="J3" s="144"/>
      <c r="K3" s="144"/>
      <c r="L3" s="144"/>
    </row>
    <row r="4" spans="1:12" ht="15.75" thickBot="1">
      <c r="A4" s="147"/>
      <c r="B4" s="69" t="s">
        <v>0</v>
      </c>
      <c r="C4" s="147" t="s">
        <v>1</v>
      </c>
      <c r="D4" s="69" t="s">
        <v>2</v>
      </c>
      <c r="E4" s="147" t="s">
        <v>3</v>
      </c>
      <c r="F4" s="75" t="s">
        <v>4</v>
      </c>
      <c r="G4" s="148" t="s">
        <v>5</v>
      </c>
      <c r="H4" s="75" t="s">
        <v>6</v>
      </c>
      <c r="I4" s="148" t="s">
        <v>7</v>
      </c>
      <c r="J4" s="78" t="s">
        <v>8</v>
      </c>
      <c r="K4" s="147"/>
      <c r="L4" s="149" t="s">
        <v>9</v>
      </c>
    </row>
    <row r="5" spans="1:12">
      <c r="A5" s="7" t="s">
        <v>10</v>
      </c>
      <c r="B5" s="147" t="s">
        <v>104</v>
      </c>
      <c r="C5" s="147" t="s">
        <v>105</v>
      </c>
      <c r="D5" s="147" t="s">
        <v>104</v>
      </c>
      <c r="E5" s="147" t="s">
        <v>105</v>
      </c>
      <c r="F5" s="148" t="s">
        <v>104</v>
      </c>
      <c r="G5" s="148" t="s">
        <v>105</v>
      </c>
      <c r="H5" s="148" t="s">
        <v>104</v>
      </c>
      <c r="I5" s="148" t="s">
        <v>105</v>
      </c>
      <c r="J5" s="147" t="s">
        <v>104</v>
      </c>
      <c r="K5" s="147" t="s">
        <v>105</v>
      </c>
      <c r="L5" s="147" t="s">
        <v>11</v>
      </c>
    </row>
    <row r="6" spans="1:12" ht="15.75" thickBot="1">
      <c r="A6" s="60" t="s">
        <v>12</v>
      </c>
      <c r="B6" s="150" t="s">
        <v>98</v>
      </c>
      <c r="C6" s="150" t="s">
        <v>100</v>
      </c>
      <c r="D6" s="150" t="s">
        <v>98</v>
      </c>
      <c r="E6" s="150" t="s">
        <v>100</v>
      </c>
      <c r="F6" s="150" t="s">
        <v>98</v>
      </c>
      <c r="G6" s="150" t="s">
        <v>100</v>
      </c>
      <c r="H6" s="150" t="s">
        <v>98</v>
      </c>
      <c r="I6" s="150" t="s">
        <v>100</v>
      </c>
      <c r="J6" s="150" t="s">
        <v>98</v>
      </c>
      <c r="K6" s="150" t="s">
        <v>100</v>
      </c>
      <c r="L6" s="150" t="s">
        <v>15</v>
      </c>
    </row>
    <row r="7" spans="1:12">
      <c r="A7" s="9" t="s">
        <v>16</v>
      </c>
      <c r="B7" s="98">
        <v>316307</v>
      </c>
      <c r="C7" s="98">
        <v>300609</v>
      </c>
      <c r="D7" s="98">
        <v>16375</v>
      </c>
      <c r="E7" s="98">
        <v>15510</v>
      </c>
      <c r="F7" s="98">
        <v>242933</v>
      </c>
      <c r="G7" s="98">
        <v>230782</v>
      </c>
      <c r="H7" s="98">
        <v>73374</v>
      </c>
      <c r="I7" s="98">
        <v>69854</v>
      </c>
      <c r="J7" s="98">
        <v>332682</v>
      </c>
      <c r="K7" s="98">
        <v>316119</v>
      </c>
      <c r="L7" s="98">
        <v>648801</v>
      </c>
    </row>
    <row r="8" spans="1:12">
      <c r="A8" s="14" t="s">
        <v>18</v>
      </c>
      <c r="B8" s="98">
        <v>289767</v>
      </c>
      <c r="C8" s="98">
        <v>276639</v>
      </c>
      <c r="D8" s="98">
        <v>13289</v>
      </c>
      <c r="E8" s="98">
        <v>12914</v>
      </c>
      <c r="F8" s="162">
        <v>220987</v>
      </c>
      <c r="G8" s="162">
        <v>211628</v>
      </c>
      <c r="H8" s="98">
        <v>68780</v>
      </c>
      <c r="I8" s="98">
        <v>65011</v>
      </c>
      <c r="J8" s="98">
        <v>303056</v>
      </c>
      <c r="K8" s="98">
        <v>289553</v>
      </c>
      <c r="L8" s="98">
        <v>592609</v>
      </c>
    </row>
    <row r="9" spans="1:12">
      <c r="A9" s="9" t="s">
        <v>19</v>
      </c>
      <c r="B9" s="98">
        <v>271179</v>
      </c>
      <c r="C9" s="98">
        <v>257880</v>
      </c>
      <c r="D9" s="98">
        <v>11285</v>
      </c>
      <c r="E9" s="98">
        <v>10322</v>
      </c>
      <c r="F9" s="162">
        <v>207860</v>
      </c>
      <c r="G9" s="162">
        <v>198604</v>
      </c>
      <c r="H9" s="98">
        <v>63319</v>
      </c>
      <c r="I9" s="98">
        <v>59276</v>
      </c>
      <c r="J9" s="98">
        <v>282464</v>
      </c>
      <c r="K9" s="98">
        <v>268202</v>
      </c>
      <c r="L9" s="98">
        <v>550666</v>
      </c>
    </row>
    <row r="10" spans="1:12">
      <c r="A10" s="9" t="s">
        <v>20</v>
      </c>
      <c r="B10" s="98">
        <v>251160</v>
      </c>
      <c r="C10" s="98">
        <v>232388</v>
      </c>
      <c r="D10" s="98">
        <v>17175</v>
      </c>
      <c r="E10" s="98">
        <v>10464</v>
      </c>
      <c r="F10" s="162">
        <v>194129</v>
      </c>
      <c r="G10" s="162">
        <v>180378</v>
      </c>
      <c r="H10" s="98">
        <v>57031</v>
      </c>
      <c r="I10" s="98">
        <v>52010</v>
      </c>
      <c r="J10" s="98">
        <v>268335</v>
      </c>
      <c r="K10" s="98">
        <v>242852</v>
      </c>
      <c r="L10" s="98">
        <v>511187</v>
      </c>
    </row>
    <row r="11" spans="1:12">
      <c r="A11" s="9" t="s">
        <v>21</v>
      </c>
      <c r="B11" s="98">
        <v>243622</v>
      </c>
      <c r="C11" s="98">
        <v>209801</v>
      </c>
      <c r="D11" s="98">
        <v>35291</v>
      </c>
      <c r="E11" s="98">
        <v>12762</v>
      </c>
      <c r="F11" s="162">
        <v>191806</v>
      </c>
      <c r="G11" s="162">
        <v>166094</v>
      </c>
      <c r="H11" s="98">
        <v>51816</v>
      </c>
      <c r="I11" s="98">
        <v>43707</v>
      </c>
      <c r="J11" s="98">
        <v>278913</v>
      </c>
      <c r="K11" s="98">
        <v>222563</v>
      </c>
      <c r="L11" s="98">
        <v>501476</v>
      </c>
    </row>
    <row r="12" spans="1:12">
      <c r="A12" s="9" t="s">
        <v>22</v>
      </c>
      <c r="B12" s="98">
        <v>209365</v>
      </c>
      <c r="C12" s="98">
        <v>169587</v>
      </c>
      <c r="D12" s="98">
        <v>44406</v>
      </c>
      <c r="E12" s="98">
        <v>11504</v>
      </c>
      <c r="F12" s="162">
        <v>166150</v>
      </c>
      <c r="G12" s="162">
        <v>136017</v>
      </c>
      <c r="H12" s="98">
        <v>43215</v>
      </c>
      <c r="I12" s="98">
        <v>33570</v>
      </c>
      <c r="J12" s="98">
        <v>253771</v>
      </c>
      <c r="K12" s="98">
        <v>181091</v>
      </c>
      <c r="L12" s="98">
        <v>434862</v>
      </c>
    </row>
    <row r="13" spans="1:12">
      <c r="A13" s="9" t="s">
        <v>23</v>
      </c>
      <c r="B13" s="98">
        <v>145584</v>
      </c>
      <c r="C13" s="98">
        <v>126792</v>
      </c>
      <c r="D13" s="98">
        <v>27717</v>
      </c>
      <c r="E13" s="98">
        <v>9242</v>
      </c>
      <c r="F13" s="162">
        <v>117967</v>
      </c>
      <c r="G13" s="162">
        <v>103144</v>
      </c>
      <c r="H13" s="98">
        <v>27617</v>
      </c>
      <c r="I13" s="98">
        <v>23648</v>
      </c>
      <c r="J13" s="98">
        <v>173301</v>
      </c>
      <c r="K13" s="98">
        <v>136034</v>
      </c>
      <c r="L13" s="98">
        <v>309335</v>
      </c>
    </row>
    <row r="14" spans="1:12">
      <c r="A14" s="9" t="s">
        <v>24</v>
      </c>
      <c r="B14" s="98">
        <v>98364</v>
      </c>
      <c r="C14" s="98">
        <v>90146</v>
      </c>
      <c r="D14" s="98">
        <v>15322</v>
      </c>
      <c r="E14" s="98">
        <v>6660</v>
      </c>
      <c r="F14" s="162">
        <v>79303</v>
      </c>
      <c r="G14" s="162">
        <v>72849</v>
      </c>
      <c r="H14" s="98">
        <v>19061</v>
      </c>
      <c r="I14" s="98">
        <v>17297</v>
      </c>
      <c r="J14" s="98">
        <v>113686</v>
      </c>
      <c r="K14" s="98">
        <v>96806</v>
      </c>
      <c r="L14" s="98">
        <v>210492</v>
      </c>
    </row>
    <row r="15" spans="1:12">
      <c r="A15" s="9" t="s">
        <v>25</v>
      </c>
      <c r="B15" s="98">
        <v>73128</v>
      </c>
      <c r="C15" s="98">
        <v>68012</v>
      </c>
      <c r="D15" s="98">
        <v>10420</v>
      </c>
      <c r="E15" s="98">
        <v>4840</v>
      </c>
      <c r="F15" s="162">
        <v>57507</v>
      </c>
      <c r="G15" s="162">
        <v>54366</v>
      </c>
      <c r="H15" s="98">
        <v>15621</v>
      </c>
      <c r="I15" s="98">
        <v>13646</v>
      </c>
      <c r="J15" s="98">
        <v>83548</v>
      </c>
      <c r="K15" s="98">
        <v>72852</v>
      </c>
      <c r="L15" s="98">
        <v>156400</v>
      </c>
    </row>
    <row r="16" spans="1:12">
      <c r="A16" s="9" t="s">
        <v>26</v>
      </c>
      <c r="B16" s="98">
        <v>63161</v>
      </c>
      <c r="C16" s="98">
        <v>64239</v>
      </c>
      <c r="D16" s="98">
        <v>6570</v>
      </c>
      <c r="E16" s="98">
        <v>3607</v>
      </c>
      <c r="F16" s="162">
        <v>51162</v>
      </c>
      <c r="G16" s="162">
        <v>52235</v>
      </c>
      <c r="H16" s="98">
        <v>11999</v>
      </c>
      <c r="I16" s="98">
        <v>12004</v>
      </c>
      <c r="J16" s="98">
        <v>69731</v>
      </c>
      <c r="K16" s="98">
        <v>67846</v>
      </c>
      <c r="L16" s="98">
        <v>137577</v>
      </c>
    </row>
    <row r="17" spans="1:12">
      <c r="A17" s="9" t="s">
        <v>27</v>
      </c>
      <c r="B17" s="98">
        <v>61149</v>
      </c>
      <c r="C17" s="98">
        <v>53169</v>
      </c>
      <c r="D17" s="98">
        <v>4350</v>
      </c>
      <c r="E17" s="165">
        <v>2480</v>
      </c>
      <c r="F17" s="162">
        <v>49729</v>
      </c>
      <c r="G17" s="162">
        <v>42777</v>
      </c>
      <c r="H17" s="98">
        <v>11420</v>
      </c>
      <c r="I17" s="98">
        <v>10392</v>
      </c>
      <c r="J17" s="98">
        <v>65499</v>
      </c>
      <c r="K17" s="98">
        <v>55649</v>
      </c>
      <c r="L17" s="98">
        <v>121148</v>
      </c>
    </row>
    <row r="18" spans="1:12">
      <c r="A18" s="9" t="s">
        <v>28</v>
      </c>
      <c r="B18" s="98">
        <v>48299</v>
      </c>
      <c r="C18" s="98">
        <v>43322</v>
      </c>
      <c r="D18" s="98">
        <v>2521</v>
      </c>
      <c r="E18" s="165">
        <v>1699</v>
      </c>
      <c r="F18" s="162">
        <v>38940</v>
      </c>
      <c r="G18" s="162">
        <v>34671</v>
      </c>
      <c r="H18" s="98">
        <v>9359</v>
      </c>
      <c r="I18" s="98">
        <v>8651</v>
      </c>
      <c r="J18" s="98">
        <v>50820</v>
      </c>
      <c r="K18" s="98">
        <v>45021</v>
      </c>
      <c r="L18" s="98">
        <v>95841</v>
      </c>
    </row>
    <row r="19" spans="1:12">
      <c r="A19" s="9" t="s">
        <v>29</v>
      </c>
      <c r="B19" s="98">
        <v>35251</v>
      </c>
      <c r="C19" s="98">
        <v>32754</v>
      </c>
      <c r="D19" s="165">
        <v>1585</v>
      </c>
      <c r="E19" s="165">
        <v>1409</v>
      </c>
      <c r="F19" s="162">
        <v>27704</v>
      </c>
      <c r="G19" s="162">
        <v>25845</v>
      </c>
      <c r="H19" s="98">
        <v>7547</v>
      </c>
      <c r="I19" s="98">
        <v>6909</v>
      </c>
      <c r="J19" s="98">
        <v>36836</v>
      </c>
      <c r="K19" s="98">
        <v>34163</v>
      </c>
      <c r="L19" s="98">
        <v>70999</v>
      </c>
    </row>
    <row r="20" spans="1:12">
      <c r="A20" s="9" t="s">
        <v>30</v>
      </c>
      <c r="B20" s="98">
        <v>22799</v>
      </c>
      <c r="C20" s="98">
        <v>19433</v>
      </c>
      <c r="D20" s="165">
        <v>877</v>
      </c>
      <c r="E20" s="165">
        <v>841</v>
      </c>
      <c r="F20" s="162">
        <v>18037</v>
      </c>
      <c r="G20" s="162">
        <v>15760</v>
      </c>
      <c r="H20" s="98">
        <v>4762</v>
      </c>
      <c r="I20" s="98">
        <v>3673</v>
      </c>
      <c r="J20" s="98">
        <v>23676</v>
      </c>
      <c r="K20" s="98">
        <v>20274</v>
      </c>
      <c r="L20" s="98">
        <v>43950</v>
      </c>
    </row>
    <row r="21" spans="1:12">
      <c r="A21" s="9" t="s">
        <v>31</v>
      </c>
      <c r="B21" s="98">
        <v>13621</v>
      </c>
      <c r="C21" s="98">
        <v>15997</v>
      </c>
      <c r="D21" s="165">
        <v>531</v>
      </c>
      <c r="E21" s="165">
        <v>711</v>
      </c>
      <c r="F21" s="162">
        <v>10222</v>
      </c>
      <c r="G21" s="162">
        <v>12250</v>
      </c>
      <c r="H21" s="98">
        <v>3399</v>
      </c>
      <c r="I21" s="98">
        <v>3747</v>
      </c>
      <c r="J21" s="98">
        <v>14152</v>
      </c>
      <c r="K21" s="98">
        <v>16708</v>
      </c>
      <c r="L21" s="98">
        <v>30860</v>
      </c>
    </row>
    <row r="22" spans="1:12" ht="15.75" thickBot="1">
      <c r="A22" s="7" t="s">
        <v>32</v>
      </c>
      <c r="B22" s="98">
        <v>15835</v>
      </c>
      <c r="C22" s="98">
        <v>16448</v>
      </c>
      <c r="D22" s="165">
        <v>447</v>
      </c>
      <c r="E22" s="165">
        <v>676</v>
      </c>
      <c r="F22" s="162">
        <v>11450</v>
      </c>
      <c r="G22" s="162">
        <v>12745</v>
      </c>
      <c r="H22" s="98">
        <v>4385</v>
      </c>
      <c r="I22" s="98">
        <v>3703</v>
      </c>
      <c r="J22" s="98">
        <v>16282</v>
      </c>
      <c r="K22" s="98">
        <v>17124</v>
      </c>
      <c r="L22" s="98">
        <v>33406</v>
      </c>
    </row>
    <row r="23" spans="1:12" ht="26.25" thickBot="1">
      <c r="A23" s="66" t="s">
        <v>108</v>
      </c>
      <c r="B23" s="166">
        <v>2134</v>
      </c>
      <c r="C23" s="166">
        <v>1517</v>
      </c>
      <c r="D23" s="164">
        <v>907</v>
      </c>
      <c r="E23" s="164">
        <v>256</v>
      </c>
      <c r="F23" s="166">
        <v>1644</v>
      </c>
      <c r="G23" s="166">
        <v>1082</v>
      </c>
      <c r="H23" s="164">
        <v>490</v>
      </c>
      <c r="I23" s="164">
        <v>435</v>
      </c>
      <c r="J23" s="166">
        <v>3041</v>
      </c>
      <c r="K23" s="166">
        <v>1773</v>
      </c>
      <c r="L23" s="166">
        <v>4814</v>
      </c>
    </row>
    <row r="24" spans="1:12" ht="27" thickBot="1">
      <c r="A24" s="153" t="s">
        <v>33</v>
      </c>
      <c r="B24" s="154">
        <v>2160725</v>
      </c>
      <c r="C24" s="154">
        <v>1978733</v>
      </c>
      <c r="D24" s="154">
        <v>209068</v>
      </c>
      <c r="E24" s="154">
        <v>105897</v>
      </c>
      <c r="F24" s="154">
        <v>1687530</v>
      </c>
      <c r="G24" s="154">
        <v>1551227</v>
      </c>
      <c r="H24" s="154">
        <v>473195</v>
      </c>
      <c r="I24" s="154">
        <v>427533</v>
      </c>
      <c r="J24" s="154">
        <v>2369793</v>
      </c>
      <c r="K24" s="154">
        <v>2084630</v>
      </c>
      <c r="L24" s="154">
        <v>4454423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style="22" customWidth="1"/>
    <col min="13" max="16384" width="9.140625" style="22"/>
  </cols>
  <sheetData>
    <row r="1" spans="1:12" ht="15.75">
      <c r="A1" s="143" t="s">
        <v>143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293" t="s">
        <v>78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15.75" thickBot="1">
      <c r="A3" s="144"/>
      <c r="B3" s="144"/>
      <c r="C3" s="144"/>
      <c r="D3" s="144"/>
      <c r="E3" s="144"/>
      <c r="F3" s="157"/>
      <c r="G3" s="157"/>
      <c r="H3" s="157"/>
      <c r="I3" s="157"/>
      <c r="J3" s="144"/>
      <c r="K3" s="144"/>
      <c r="L3" s="144"/>
    </row>
    <row r="4" spans="1:12" ht="15.75" thickBot="1">
      <c r="A4" s="147"/>
      <c r="B4" s="69" t="s">
        <v>0</v>
      </c>
      <c r="C4" s="147" t="s">
        <v>1</v>
      </c>
      <c r="D4" s="69" t="s">
        <v>2</v>
      </c>
      <c r="E4" s="147" t="s">
        <v>3</v>
      </c>
      <c r="F4" s="75" t="s">
        <v>4</v>
      </c>
      <c r="G4" s="148" t="s">
        <v>5</v>
      </c>
      <c r="H4" s="75" t="s">
        <v>6</v>
      </c>
      <c r="I4" s="148" t="s">
        <v>7</v>
      </c>
      <c r="J4" s="69" t="s">
        <v>8</v>
      </c>
      <c r="K4" s="147" t="s">
        <v>9</v>
      </c>
      <c r="L4" s="149" t="s">
        <v>9</v>
      </c>
    </row>
    <row r="5" spans="1:12">
      <c r="A5" s="7" t="s">
        <v>10</v>
      </c>
      <c r="B5" s="147" t="s">
        <v>104</v>
      </c>
      <c r="C5" s="147" t="s">
        <v>105</v>
      </c>
      <c r="D5" s="147" t="s">
        <v>104</v>
      </c>
      <c r="E5" s="147" t="s">
        <v>105</v>
      </c>
      <c r="F5" s="148" t="s">
        <v>104</v>
      </c>
      <c r="G5" s="148" t="s">
        <v>105</v>
      </c>
      <c r="H5" s="148" t="s">
        <v>104</v>
      </c>
      <c r="I5" s="148" t="s">
        <v>105</v>
      </c>
      <c r="J5" s="147" t="s">
        <v>104</v>
      </c>
      <c r="K5" s="147" t="s">
        <v>105</v>
      </c>
      <c r="L5" s="147" t="s">
        <v>11</v>
      </c>
    </row>
    <row r="6" spans="1:12" ht="15.75" thickBot="1">
      <c r="A6" s="60" t="s">
        <v>12</v>
      </c>
      <c r="B6" s="150" t="s">
        <v>98</v>
      </c>
      <c r="C6" s="150" t="s">
        <v>100</v>
      </c>
      <c r="D6" s="150" t="s">
        <v>98</v>
      </c>
      <c r="E6" s="150" t="s">
        <v>100</v>
      </c>
      <c r="F6" s="150" t="s">
        <v>98</v>
      </c>
      <c r="G6" s="150" t="s">
        <v>100</v>
      </c>
      <c r="H6" s="150" t="s">
        <v>98</v>
      </c>
      <c r="I6" s="150" t="s">
        <v>100</v>
      </c>
      <c r="J6" s="150" t="s">
        <v>98</v>
      </c>
      <c r="K6" s="150" t="s">
        <v>100</v>
      </c>
      <c r="L6" s="150" t="s">
        <v>15</v>
      </c>
    </row>
    <row r="7" spans="1:12">
      <c r="A7" s="9" t="s">
        <v>16</v>
      </c>
      <c r="B7" s="98">
        <v>314778</v>
      </c>
      <c r="C7" s="98">
        <v>299417</v>
      </c>
      <c r="D7" s="98">
        <v>18438</v>
      </c>
      <c r="E7" s="98">
        <v>17698</v>
      </c>
      <c r="F7" s="98">
        <v>257669</v>
      </c>
      <c r="G7" s="98">
        <v>246198</v>
      </c>
      <c r="H7" s="98">
        <v>75547</v>
      </c>
      <c r="I7" s="98">
        <v>70917</v>
      </c>
      <c r="J7" s="98">
        <v>333216</v>
      </c>
      <c r="K7" s="98">
        <v>317115</v>
      </c>
      <c r="L7" s="98">
        <v>650331</v>
      </c>
    </row>
    <row r="8" spans="1:12">
      <c r="A8" s="14" t="s">
        <v>18</v>
      </c>
      <c r="B8" s="98">
        <v>313300</v>
      </c>
      <c r="C8" s="98">
        <v>298550</v>
      </c>
      <c r="D8" s="98">
        <v>15833</v>
      </c>
      <c r="E8" s="98">
        <v>15188</v>
      </c>
      <c r="F8" s="98">
        <v>253774</v>
      </c>
      <c r="G8" s="98">
        <v>241809</v>
      </c>
      <c r="H8" s="98">
        <v>75359</v>
      </c>
      <c r="I8" s="98">
        <v>71929</v>
      </c>
      <c r="J8" s="98">
        <v>329133</v>
      </c>
      <c r="K8" s="98">
        <v>313738</v>
      </c>
      <c r="L8" s="98">
        <v>642871</v>
      </c>
    </row>
    <row r="9" spans="1:12">
      <c r="A9" s="9" t="s">
        <v>19</v>
      </c>
      <c r="B9" s="98">
        <v>298669</v>
      </c>
      <c r="C9" s="98">
        <v>283693</v>
      </c>
      <c r="D9" s="98">
        <v>14414</v>
      </c>
      <c r="E9" s="98">
        <v>13353</v>
      </c>
      <c r="F9" s="98">
        <v>240723</v>
      </c>
      <c r="G9" s="98">
        <v>228598</v>
      </c>
      <c r="H9" s="98">
        <v>72360</v>
      </c>
      <c r="I9" s="98">
        <v>68448</v>
      </c>
      <c r="J9" s="98">
        <v>313083</v>
      </c>
      <c r="K9" s="98">
        <v>297046</v>
      </c>
      <c r="L9" s="98">
        <v>610129</v>
      </c>
    </row>
    <row r="10" spans="1:12">
      <c r="A10" s="9" t="s">
        <v>20</v>
      </c>
      <c r="B10" s="98">
        <v>270699</v>
      </c>
      <c r="C10" s="98">
        <v>257522</v>
      </c>
      <c r="D10" s="98">
        <v>16994</v>
      </c>
      <c r="E10" s="98">
        <v>14623</v>
      </c>
      <c r="F10" s="98">
        <v>221213</v>
      </c>
      <c r="G10" s="98">
        <v>210062</v>
      </c>
      <c r="H10" s="98">
        <v>66480</v>
      </c>
      <c r="I10" s="98">
        <v>62083</v>
      </c>
      <c r="J10" s="98">
        <v>287693</v>
      </c>
      <c r="K10" s="98">
        <v>272145</v>
      </c>
      <c r="L10" s="98">
        <v>559838</v>
      </c>
    </row>
    <row r="11" spans="1:12">
      <c r="A11" s="9" t="s">
        <v>21</v>
      </c>
      <c r="B11" s="98">
        <v>248508</v>
      </c>
      <c r="C11" s="98">
        <v>232933</v>
      </c>
      <c r="D11" s="98">
        <v>31092</v>
      </c>
      <c r="E11" s="98">
        <v>27660</v>
      </c>
      <c r="F11" s="98">
        <v>217092</v>
      </c>
      <c r="G11" s="98">
        <v>204308</v>
      </c>
      <c r="H11" s="98">
        <v>62508</v>
      </c>
      <c r="I11" s="98">
        <v>56285</v>
      </c>
      <c r="J11" s="98">
        <v>279600</v>
      </c>
      <c r="K11" s="98">
        <v>260593</v>
      </c>
      <c r="L11" s="98">
        <v>540193</v>
      </c>
    </row>
    <row r="12" spans="1:12">
      <c r="A12" s="9" t="s">
        <v>22</v>
      </c>
      <c r="B12" s="98">
        <v>202463</v>
      </c>
      <c r="C12" s="98">
        <v>193959</v>
      </c>
      <c r="D12" s="98">
        <v>37311</v>
      </c>
      <c r="E12" s="98">
        <v>22528</v>
      </c>
      <c r="F12" s="98">
        <v>186570</v>
      </c>
      <c r="G12" s="98">
        <v>169380</v>
      </c>
      <c r="H12" s="98">
        <v>53204</v>
      </c>
      <c r="I12" s="98">
        <v>47107</v>
      </c>
      <c r="J12" s="98">
        <v>239774</v>
      </c>
      <c r="K12" s="98">
        <v>216487</v>
      </c>
      <c r="L12" s="98">
        <v>456261</v>
      </c>
    </row>
    <row r="13" spans="1:12">
      <c r="A13" s="9" t="s">
        <v>23</v>
      </c>
      <c r="B13" s="98">
        <v>174537</v>
      </c>
      <c r="C13" s="98">
        <v>175223</v>
      </c>
      <c r="D13" s="98">
        <v>32641</v>
      </c>
      <c r="E13" s="98">
        <v>16768</v>
      </c>
      <c r="F13" s="98">
        <v>164238</v>
      </c>
      <c r="G13" s="98">
        <v>151997</v>
      </c>
      <c r="H13" s="98">
        <v>42940</v>
      </c>
      <c r="I13" s="98">
        <v>39994</v>
      </c>
      <c r="J13" s="98">
        <v>207178</v>
      </c>
      <c r="K13" s="98">
        <v>191991</v>
      </c>
      <c r="L13" s="98">
        <v>399169</v>
      </c>
    </row>
    <row r="14" spans="1:12">
      <c r="A14" s="9" t="s">
        <v>24</v>
      </c>
      <c r="B14" s="98">
        <v>145100</v>
      </c>
      <c r="C14" s="98">
        <v>145613</v>
      </c>
      <c r="D14" s="98">
        <v>22637</v>
      </c>
      <c r="E14" s="98">
        <v>10076</v>
      </c>
      <c r="F14" s="98">
        <v>134829</v>
      </c>
      <c r="G14" s="98">
        <v>124907</v>
      </c>
      <c r="H14" s="98">
        <v>32908</v>
      </c>
      <c r="I14" s="98">
        <v>30782</v>
      </c>
      <c r="J14" s="98">
        <v>167737</v>
      </c>
      <c r="K14" s="98">
        <v>155689</v>
      </c>
      <c r="L14" s="98">
        <v>323426</v>
      </c>
    </row>
    <row r="15" spans="1:12">
      <c r="A15" s="9" t="s">
        <v>25</v>
      </c>
      <c r="B15" s="98">
        <v>108609</v>
      </c>
      <c r="C15" s="98">
        <v>111054</v>
      </c>
      <c r="D15" s="98">
        <v>15336</v>
      </c>
      <c r="E15" s="98">
        <v>6401</v>
      </c>
      <c r="F15" s="98">
        <v>101442</v>
      </c>
      <c r="G15" s="98">
        <v>95481</v>
      </c>
      <c r="H15" s="98">
        <v>22503</v>
      </c>
      <c r="I15" s="98">
        <v>21974</v>
      </c>
      <c r="J15" s="98">
        <v>123945</v>
      </c>
      <c r="K15" s="98">
        <v>117455</v>
      </c>
      <c r="L15" s="98">
        <v>241400</v>
      </c>
    </row>
    <row r="16" spans="1:12">
      <c r="A16" s="9" t="s">
        <v>26</v>
      </c>
      <c r="B16" s="98">
        <v>78163</v>
      </c>
      <c r="C16" s="98">
        <v>79165</v>
      </c>
      <c r="D16" s="98">
        <v>8935</v>
      </c>
      <c r="E16" s="98">
        <v>4193</v>
      </c>
      <c r="F16" s="98">
        <v>70890</v>
      </c>
      <c r="G16" s="98">
        <v>67482</v>
      </c>
      <c r="H16" s="98">
        <v>16208</v>
      </c>
      <c r="I16" s="98">
        <v>15876</v>
      </c>
      <c r="J16" s="98">
        <v>87098</v>
      </c>
      <c r="K16" s="98">
        <v>83358</v>
      </c>
      <c r="L16" s="98">
        <v>170456</v>
      </c>
    </row>
    <row r="17" spans="1:12">
      <c r="A17" s="9" t="s">
        <v>27</v>
      </c>
      <c r="B17" s="98">
        <v>58488</v>
      </c>
      <c r="C17" s="98">
        <v>60234</v>
      </c>
      <c r="D17" s="98">
        <v>6119</v>
      </c>
      <c r="E17" s="98">
        <v>3399</v>
      </c>
      <c r="F17" s="98">
        <v>51210</v>
      </c>
      <c r="G17" s="98">
        <v>50969</v>
      </c>
      <c r="H17" s="98">
        <v>13397</v>
      </c>
      <c r="I17" s="98">
        <v>12664</v>
      </c>
      <c r="J17" s="98">
        <v>64607</v>
      </c>
      <c r="K17" s="98">
        <v>63633</v>
      </c>
      <c r="L17" s="98">
        <v>128240</v>
      </c>
    </row>
    <row r="18" spans="1:12">
      <c r="A18" s="9" t="s">
        <v>28</v>
      </c>
      <c r="B18" s="98">
        <v>51589</v>
      </c>
      <c r="C18" s="98">
        <v>55163</v>
      </c>
      <c r="D18" s="98">
        <v>4176</v>
      </c>
      <c r="E18" s="165">
        <v>2793</v>
      </c>
      <c r="F18" s="98">
        <v>45618</v>
      </c>
      <c r="G18" s="98">
        <v>47275</v>
      </c>
      <c r="H18" s="98">
        <v>10147</v>
      </c>
      <c r="I18" s="98">
        <v>10681</v>
      </c>
      <c r="J18" s="98">
        <v>55765</v>
      </c>
      <c r="K18" s="98">
        <v>57956</v>
      </c>
      <c r="L18" s="98">
        <v>113721</v>
      </c>
    </row>
    <row r="19" spans="1:12">
      <c r="A19" s="9" t="s">
        <v>29</v>
      </c>
      <c r="B19" s="98">
        <v>49252</v>
      </c>
      <c r="C19" s="98">
        <v>44722</v>
      </c>
      <c r="D19" s="98">
        <v>2832</v>
      </c>
      <c r="E19" s="165">
        <v>1981</v>
      </c>
      <c r="F19" s="98">
        <v>42634</v>
      </c>
      <c r="G19" s="98">
        <v>37635</v>
      </c>
      <c r="H19" s="98">
        <v>9450</v>
      </c>
      <c r="I19" s="98">
        <v>9068</v>
      </c>
      <c r="J19" s="98">
        <v>52084</v>
      </c>
      <c r="K19" s="98">
        <v>46703</v>
      </c>
      <c r="L19" s="98">
        <v>98787</v>
      </c>
    </row>
    <row r="20" spans="1:12">
      <c r="A20" s="9" t="s">
        <v>30</v>
      </c>
      <c r="B20" s="98">
        <v>35497</v>
      </c>
      <c r="C20" s="98">
        <v>33430</v>
      </c>
      <c r="D20" s="165">
        <v>1598</v>
      </c>
      <c r="E20" s="165">
        <v>1298</v>
      </c>
      <c r="F20" s="98">
        <v>29956</v>
      </c>
      <c r="G20" s="98">
        <v>27528</v>
      </c>
      <c r="H20" s="98">
        <v>7139</v>
      </c>
      <c r="I20" s="98">
        <v>7200</v>
      </c>
      <c r="J20" s="98">
        <v>37095</v>
      </c>
      <c r="K20" s="98">
        <v>34728</v>
      </c>
      <c r="L20" s="98">
        <v>71823</v>
      </c>
    </row>
    <row r="21" spans="1:12">
      <c r="A21" s="9" t="s">
        <v>31</v>
      </c>
      <c r="B21" s="98">
        <v>22574</v>
      </c>
      <c r="C21" s="98">
        <v>22447</v>
      </c>
      <c r="D21" s="165">
        <v>893</v>
      </c>
      <c r="E21" s="165">
        <v>906</v>
      </c>
      <c r="F21" s="98">
        <v>18503</v>
      </c>
      <c r="G21" s="98">
        <v>18455</v>
      </c>
      <c r="H21" s="98">
        <v>4964</v>
      </c>
      <c r="I21" s="98">
        <v>4898</v>
      </c>
      <c r="J21" s="98">
        <v>23467</v>
      </c>
      <c r="K21" s="98">
        <v>23353</v>
      </c>
      <c r="L21" s="98">
        <v>46820</v>
      </c>
    </row>
    <row r="22" spans="1:12" ht="15.75" thickBot="1">
      <c r="A22" s="7" t="s">
        <v>32</v>
      </c>
      <c r="B22" s="98">
        <v>22059</v>
      </c>
      <c r="C22" s="98">
        <v>22631</v>
      </c>
      <c r="D22" s="165">
        <v>729</v>
      </c>
      <c r="E22" s="165">
        <v>909</v>
      </c>
      <c r="F22" s="98">
        <v>17292</v>
      </c>
      <c r="G22" s="98">
        <v>18244</v>
      </c>
      <c r="H22" s="98">
        <v>5496</v>
      </c>
      <c r="I22" s="98">
        <v>5296</v>
      </c>
      <c r="J22" s="98">
        <v>22788</v>
      </c>
      <c r="K22" s="98">
        <v>23540</v>
      </c>
      <c r="L22" s="167">
        <v>46328</v>
      </c>
    </row>
    <row r="23" spans="1:12" ht="26.25" thickBot="1">
      <c r="A23" s="66" t="s">
        <v>108</v>
      </c>
      <c r="B23" s="79">
        <v>662</v>
      </c>
      <c r="C23" s="79">
        <v>663</v>
      </c>
      <c r="D23" s="79">
        <v>1362</v>
      </c>
      <c r="E23" s="79">
        <v>1159</v>
      </c>
      <c r="F23" s="79">
        <v>1778</v>
      </c>
      <c r="G23" s="79">
        <v>1624</v>
      </c>
      <c r="H23" s="79">
        <v>246</v>
      </c>
      <c r="I23" s="79">
        <v>198</v>
      </c>
      <c r="J23" s="79">
        <v>2024</v>
      </c>
      <c r="K23" s="79">
        <v>1822</v>
      </c>
      <c r="L23" s="168">
        <v>3846</v>
      </c>
    </row>
    <row r="24" spans="1:12" ht="27" thickBot="1">
      <c r="A24" s="153" t="s">
        <v>33</v>
      </c>
      <c r="B24" s="169">
        <v>2394947</v>
      </c>
      <c r="C24" s="169">
        <v>2316419</v>
      </c>
      <c r="D24" s="169">
        <v>231340</v>
      </c>
      <c r="E24" s="169">
        <v>160933</v>
      </c>
      <c r="F24" s="169">
        <v>2055431</v>
      </c>
      <c r="G24" s="169">
        <v>1941952</v>
      </c>
      <c r="H24" s="169">
        <v>570856</v>
      </c>
      <c r="I24" s="169">
        <v>535400</v>
      </c>
      <c r="J24" s="169">
        <v>2626287</v>
      </c>
      <c r="K24" s="169">
        <v>2477352</v>
      </c>
      <c r="L24" s="169">
        <v>5103639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30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173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38"/>
      <c r="B4" s="69" t="s">
        <v>0</v>
      </c>
      <c r="C4" s="138" t="s">
        <v>1</v>
      </c>
      <c r="D4" s="69" t="s">
        <v>2</v>
      </c>
      <c r="E4" s="13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38" t="s">
        <v>9</v>
      </c>
      <c r="L4" s="76" t="s">
        <v>9</v>
      </c>
    </row>
    <row r="5" spans="1:12">
      <c r="A5" s="7" t="s">
        <v>10</v>
      </c>
      <c r="B5" s="138" t="s">
        <v>104</v>
      </c>
      <c r="C5" s="138" t="s">
        <v>105</v>
      </c>
      <c r="D5" s="138" t="s">
        <v>104</v>
      </c>
      <c r="E5" s="13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38" t="s">
        <v>104</v>
      </c>
      <c r="K5" s="138" t="s">
        <v>105</v>
      </c>
      <c r="L5" s="138" t="s">
        <v>11</v>
      </c>
    </row>
    <row r="6" spans="1:12" ht="15.75" thickBot="1">
      <c r="A6" s="60" t="s">
        <v>12</v>
      </c>
      <c r="B6" s="139" t="s">
        <v>98</v>
      </c>
      <c r="C6" s="139" t="s">
        <v>100</v>
      </c>
      <c r="D6" s="139" t="s">
        <v>98</v>
      </c>
      <c r="E6" s="139" t="s">
        <v>100</v>
      </c>
      <c r="F6" s="139" t="s">
        <v>98</v>
      </c>
      <c r="G6" s="139" t="s">
        <v>100</v>
      </c>
      <c r="H6" s="139" t="s">
        <v>98</v>
      </c>
      <c r="I6" s="139" t="s">
        <v>100</v>
      </c>
      <c r="J6" s="139" t="s">
        <v>98</v>
      </c>
      <c r="K6" s="139" t="s">
        <v>100</v>
      </c>
      <c r="L6" s="139" t="s">
        <v>15</v>
      </c>
    </row>
    <row r="7" spans="1:12">
      <c r="A7" s="9" t="s">
        <v>16</v>
      </c>
      <c r="B7" s="24">
        <v>59349</v>
      </c>
      <c r="C7" s="24">
        <v>55874</v>
      </c>
      <c r="D7" s="24">
        <v>40116</v>
      </c>
      <c r="E7" s="24">
        <v>36836</v>
      </c>
      <c r="F7" s="24" t="s">
        <v>17</v>
      </c>
      <c r="G7" s="24" t="s">
        <v>17</v>
      </c>
      <c r="H7" s="24" t="s">
        <v>17</v>
      </c>
      <c r="I7" s="24" t="s">
        <v>17</v>
      </c>
      <c r="J7" s="24">
        <v>99465</v>
      </c>
      <c r="K7" s="24">
        <v>92710</v>
      </c>
      <c r="L7" s="24">
        <v>192175</v>
      </c>
    </row>
    <row r="8" spans="1:12">
      <c r="A8" s="14" t="s">
        <v>18</v>
      </c>
      <c r="B8" s="24">
        <v>60713</v>
      </c>
      <c r="C8" s="24">
        <v>56447</v>
      </c>
      <c r="D8" s="24">
        <v>36483</v>
      </c>
      <c r="E8" s="24">
        <v>34362</v>
      </c>
      <c r="F8" s="24" t="s">
        <v>17</v>
      </c>
      <c r="G8" s="24" t="s">
        <v>17</v>
      </c>
      <c r="H8" s="24" t="s">
        <v>17</v>
      </c>
      <c r="I8" s="24" t="s">
        <v>17</v>
      </c>
      <c r="J8" s="24">
        <v>97196</v>
      </c>
      <c r="K8" s="24">
        <v>90809</v>
      </c>
      <c r="L8" s="24">
        <v>188005</v>
      </c>
    </row>
    <row r="9" spans="1:12">
      <c r="A9" s="9" t="s">
        <v>19</v>
      </c>
      <c r="B9" s="24">
        <v>56307</v>
      </c>
      <c r="C9" s="24">
        <v>52961</v>
      </c>
      <c r="D9" s="24">
        <v>30358</v>
      </c>
      <c r="E9" s="24">
        <v>27262</v>
      </c>
      <c r="F9" s="24" t="s">
        <v>17</v>
      </c>
      <c r="G9" s="24" t="s">
        <v>17</v>
      </c>
      <c r="H9" s="24" t="s">
        <v>17</v>
      </c>
      <c r="I9" s="24" t="s">
        <v>17</v>
      </c>
      <c r="J9" s="24">
        <v>86665</v>
      </c>
      <c r="K9" s="24">
        <v>80223</v>
      </c>
      <c r="L9" s="24">
        <v>166888</v>
      </c>
    </row>
    <row r="10" spans="1:12">
      <c r="A10" s="9" t="s">
        <v>20</v>
      </c>
      <c r="B10" s="24">
        <v>49908</v>
      </c>
      <c r="C10" s="24">
        <v>48294</v>
      </c>
      <c r="D10" s="24">
        <v>30820</v>
      </c>
      <c r="E10" s="24">
        <v>27027</v>
      </c>
      <c r="F10" s="24" t="s">
        <v>17</v>
      </c>
      <c r="G10" s="24" t="s">
        <v>17</v>
      </c>
      <c r="H10" s="24" t="s">
        <v>17</v>
      </c>
      <c r="I10" s="24" t="s">
        <v>17</v>
      </c>
      <c r="J10" s="24">
        <v>80728</v>
      </c>
      <c r="K10" s="24">
        <v>75321</v>
      </c>
      <c r="L10" s="24">
        <v>156049</v>
      </c>
    </row>
    <row r="11" spans="1:12">
      <c r="A11" s="9" t="s">
        <v>21</v>
      </c>
      <c r="B11" s="24">
        <v>40363</v>
      </c>
      <c r="C11" s="24">
        <v>39596</v>
      </c>
      <c r="D11" s="24">
        <v>73278</v>
      </c>
      <c r="E11" s="24">
        <v>46927</v>
      </c>
      <c r="F11" s="24" t="s">
        <v>17</v>
      </c>
      <c r="G11" s="24" t="s">
        <v>17</v>
      </c>
      <c r="H11" s="24" t="s">
        <v>17</v>
      </c>
      <c r="I11" s="24" t="s">
        <v>17</v>
      </c>
      <c r="J11" s="24">
        <v>113641</v>
      </c>
      <c r="K11" s="24">
        <v>86523</v>
      </c>
      <c r="L11" s="24">
        <v>200164</v>
      </c>
    </row>
    <row r="12" spans="1:12">
      <c r="A12" s="9" t="s">
        <v>22</v>
      </c>
      <c r="B12" s="24">
        <v>31071</v>
      </c>
      <c r="C12" s="24">
        <v>33425</v>
      </c>
      <c r="D12" s="24">
        <v>144668</v>
      </c>
      <c r="E12" s="24">
        <v>71197</v>
      </c>
      <c r="F12" s="24" t="s">
        <v>17</v>
      </c>
      <c r="G12" s="24" t="s">
        <v>17</v>
      </c>
      <c r="H12" s="24" t="s">
        <v>17</v>
      </c>
      <c r="I12" s="24" t="s">
        <v>17</v>
      </c>
      <c r="J12" s="24">
        <v>175739</v>
      </c>
      <c r="K12" s="24">
        <v>104622</v>
      </c>
      <c r="L12" s="24">
        <v>280361</v>
      </c>
    </row>
    <row r="13" spans="1:12">
      <c r="A13" s="9" t="s">
        <v>23</v>
      </c>
      <c r="B13" s="24">
        <v>27294</v>
      </c>
      <c r="C13" s="24">
        <v>30291</v>
      </c>
      <c r="D13" s="24">
        <v>145039</v>
      </c>
      <c r="E13" s="24">
        <v>66849</v>
      </c>
      <c r="F13" s="24" t="s">
        <v>17</v>
      </c>
      <c r="G13" s="24" t="s">
        <v>17</v>
      </c>
      <c r="H13" s="24" t="s">
        <v>17</v>
      </c>
      <c r="I13" s="24" t="s">
        <v>17</v>
      </c>
      <c r="J13" s="24">
        <v>172333</v>
      </c>
      <c r="K13" s="24">
        <v>97140</v>
      </c>
      <c r="L13" s="24">
        <v>269473</v>
      </c>
    </row>
    <row r="14" spans="1:12">
      <c r="A14" s="9" t="s">
        <v>24</v>
      </c>
      <c r="B14" s="24">
        <v>24481</v>
      </c>
      <c r="C14" s="24">
        <v>27565</v>
      </c>
      <c r="D14" s="24">
        <v>130143</v>
      </c>
      <c r="E14" s="24">
        <v>55678</v>
      </c>
      <c r="F14" s="24" t="s">
        <v>17</v>
      </c>
      <c r="G14" s="24" t="s">
        <v>17</v>
      </c>
      <c r="H14" s="24" t="s">
        <v>17</v>
      </c>
      <c r="I14" s="24" t="s">
        <v>17</v>
      </c>
      <c r="J14" s="24">
        <v>154624</v>
      </c>
      <c r="K14" s="24">
        <v>83243</v>
      </c>
      <c r="L14" s="24">
        <v>237867</v>
      </c>
    </row>
    <row r="15" spans="1:12">
      <c r="A15" s="9" t="s">
        <v>25</v>
      </c>
      <c r="B15" s="24">
        <v>20827</v>
      </c>
      <c r="C15" s="24">
        <v>23616</v>
      </c>
      <c r="D15" s="24">
        <v>94116</v>
      </c>
      <c r="E15" s="24">
        <v>39253</v>
      </c>
      <c r="F15" s="24" t="s">
        <v>17</v>
      </c>
      <c r="G15" s="24" t="s">
        <v>17</v>
      </c>
      <c r="H15" s="24" t="s">
        <v>17</v>
      </c>
      <c r="I15" s="24" t="s">
        <v>17</v>
      </c>
      <c r="J15" s="24">
        <v>114943</v>
      </c>
      <c r="K15" s="24">
        <v>62869</v>
      </c>
      <c r="L15" s="24">
        <v>177812</v>
      </c>
    </row>
    <row r="16" spans="1:12">
      <c r="A16" s="9" t="s">
        <v>26</v>
      </c>
      <c r="B16" s="24">
        <v>15727</v>
      </c>
      <c r="C16" s="24">
        <v>19912</v>
      </c>
      <c r="D16" s="24">
        <v>68968</v>
      </c>
      <c r="E16" s="24">
        <v>24309</v>
      </c>
      <c r="F16" s="24" t="s">
        <v>17</v>
      </c>
      <c r="G16" s="24" t="s">
        <v>17</v>
      </c>
      <c r="H16" s="24" t="s">
        <v>17</v>
      </c>
      <c r="I16" s="24" t="s">
        <v>17</v>
      </c>
      <c r="J16" s="24">
        <v>84695</v>
      </c>
      <c r="K16" s="24">
        <v>44221</v>
      </c>
      <c r="L16" s="24">
        <v>128916</v>
      </c>
    </row>
    <row r="17" spans="1:12">
      <c r="A17" s="9" t="s">
        <v>27</v>
      </c>
      <c r="B17" s="24">
        <v>11827</v>
      </c>
      <c r="C17" s="24">
        <v>15144</v>
      </c>
      <c r="D17" s="24">
        <v>42088</v>
      </c>
      <c r="E17" s="24">
        <v>13175</v>
      </c>
      <c r="F17" s="24" t="s">
        <v>17</v>
      </c>
      <c r="G17" s="24" t="s">
        <v>17</v>
      </c>
      <c r="H17" s="24" t="s">
        <v>17</v>
      </c>
      <c r="I17" s="24" t="s">
        <v>17</v>
      </c>
      <c r="J17" s="24">
        <v>53915</v>
      </c>
      <c r="K17" s="24">
        <v>28319</v>
      </c>
      <c r="L17" s="24">
        <v>82234</v>
      </c>
    </row>
    <row r="18" spans="1:12">
      <c r="A18" s="9" t="s">
        <v>28</v>
      </c>
      <c r="B18" s="24">
        <v>8120</v>
      </c>
      <c r="C18" s="24">
        <v>11328</v>
      </c>
      <c r="D18" s="24">
        <v>22165</v>
      </c>
      <c r="E18" s="24">
        <v>6941</v>
      </c>
      <c r="F18" s="24" t="s">
        <v>17</v>
      </c>
      <c r="G18" s="24" t="s">
        <v>17</v>
      </c>
      <c r="H18" s="24" t="s">
        <v>17</v>
      </c>
      <c r="I18" s="24" t="s">
        <v>17</v>
      </c>
      <c r="J18" s="24">
        <v>30285</v>
      </c>
      <c r="K18" s="24">
        <v>18269</v>
      </c>
      <c r="L18" s="24">
        <v>48554</v>
      </c>
    </row>
    <row r="19" spans="1:12">
      <c r="A19" s="9" t="s">
        <v>29</v>
      </c>
      <c r="B19" s="24">
        <v>6834</v>
      </c>
      <c r="C19" s="24">
        <v>8134</v>
      </c>
      <c r="D19" s="24">
        <v>9652</v>
      </c>
      <c r="E19" s="24">
        <v>3714</v>
      </c>
      <c r="F19" s="24" t="s">
        <v>17</v>
      </c>
      <c r="G19" s="24" t="s">
        <v>17</v>
      </c>
      <c r="H19" s="24" t="s">
        <v>17</v>
      </c>
      <c r="I19" s="24" t="s">
        <v>17</v>
      </c>
      <c r="J19" s="24">
        <v>16486</v>
      </c>
      <c r="K19" s="24">
        <v>11848</v>
      </c>
      <c r="L19" s="24">
        <v>28334</v>
      </c>
    </row>
    <row r="20" spans="1:12" ht="15.75" thickBot="1">
      <c r="A20" s="9" t="s">
        <v>35</v>
      </c>
      <c r="B20" s="24">
        <v>12458</v>
      </c>
      <c r="C20" s="24">
        <v>12458</v>
      </c>
      <c r="D20" s="24">
        <v>7174</v>
      </c>
      <c r="E20" s="24">
        <v>4729</v>
      </c>
      <c r="F20" s="24" t="s">
        <v>17</v>
      </c>
      <c r="G20" s="24" t="s">
        <v>17</v>
      </c>
      <c r="H20" s="24" t="s">
        <v>17</v>
      </c>
      <c r="I20" s="24" t="s">
        <v>17</v>
      </c>
      <c r="J20" s="24">
        <v>19632</v>
      </c>
      <c r="K20" s="24">
        <v>17187</v>
      </c>
      <c r="L20" s="24">
        <v>36819</v>
      </c>
    </row>
    <row r="21" spans="1:12" ht="26.25" thickBot="1">
      <c r="A21" s="66" t="s">
        <v>108</v>
      </c>
      <c r="B21" s="83" t="s">
        <v>17</v>
      </c>
      <c r="C21" s="83" t="s">
        <v>17</v>
      </c>
      <c r="D21" s="83" t="s">
        <v>17</v>
      </c>
      <c r="E21" s="83" t="s">
        <v>17</v>
      </c>
      <c r="F21" s="83" t="s">
        <v>17</v>
      </c>
      <c r="G21" s="83" t="s">
        <v>17</v>
      </c>
      <c r="H21" s="83" t="s">
        <v>17</v>
      </c>
      <c r="I21" s="83" t="s">
        <v>17</v>
      </c>
      <c r="J21" s="83" t="s">
        <v>17</v>
      </c>
      <c r="K21" s="83" t="s">
        <v>17</v>
      </c>
      <c r="L21" s="83" t="s">
        <v>17</v>
      </c>
    </row>
    <row r="22" spans="1:12" ht="27" thickBot="1">
      <c r="A22" s="71" t="s">
        <v>33</v>
      </c>
      <c r="B22" s="82">
        <v>425279</v>
      </c>
      <c r="C22" s="82">
        <v>435045</v>
      </c>
      <c r="D22" s="82">
        <v>875068</v>
      </c>
      <c r="E22" s="82">
        <v>458259</v>
      </c>
      <c r="F22" s="82" t="s">
        <v>17</v>
      </c>
      <c r="G22" s="82" t="s">
        <v>17</v>
      </c>
      <c r="H22" s="82" t="s">
        <v>17</v>
      </c>
      <c r="I22" s="82" t="s">
        <v>17</v>
      </c>
      <c r="J22" s="82">
        <v>1300347</v>
      </c>
      <c r="K22" s="82">
        <v>893304</v>
      </c>
      <c r="L22" s="82">
        <v>2193651</v>
      </c>
    </row>
    <row r="23" spans="1:1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>
      <c r="A29" s="17"/>
      <c r="B29" s="17"/>
      <c r="C29" s="17"/>
      <c r="D29" s="19"/>
      <c r="E29" s="17"/>
      <c r="F29" s="17"/>
      <c r="G29" s="17"/>
      <c r="H29" s="17"/>
      <c r="I29" s="17"/>
      <c r="J29" s="17"/>
      <c r="K29" s="17"/>
      <c r="L29" s="17"/>
    </row>
    <row r="30" spans="1:12">
      <c r="A30" s="17"/>
      <c r="B30" s="17"/>
      <c r="C30" s="17"/>
      <c r="D30" s="19"/>
      <c r="E30" s="17"/>
      <c r="F30" s="17"/>
      <c r="G30" s="17"/>
      <c r="H30" s="17"/>
      <c r="I30" s="17"/>
      <c r="J30" s="17"/>
      <c r="K30" s="17"/>
      <c r="L30" s="17"/>
    </row>
    <row r="31" spans="1:12">
      <c r="A31" s="17"/>
      <c r="B31" s="17"/>
      <c r="C31" s="17"/>
      <c r="D31" s="19"/>
      <c r="E31" s="17"/>
      <c r="F31" s="17"/>
      <c r="G31" s="17"/>
      <c r="H31" s="17"/>
      <c r="I31" s="17"/>
      <c r="J31" s="17"/>
      <c r="K31" s="17"/>
      <c r="L31" s="17"/>
    </row>
    <row r="54" spans="1:1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>
      <c r="A58" s="17"/>
      <c r="B58" s="17"/>
      <c r="C58" s="17"/>
      <c r="D58" s="19"/>
      <c r="E58" s="17"/>
      <c r="F58" s="17"/>
      <c r="G58" s="19"/>
      <c r="H58" s="17"/>
      <c r="I58" s="17"/>
      <c r="J58" s="17"/>
      <c r="K58" s="17"/>
      <c r="L58" s="17"/>
    </row>
    <row r="59" spans="1:12">
      <c r="A59" s="17"/>
      <c r="B59" s="17"/>
      <c r="C59" s="17"/>
      <c r="D59" s="19"/>
      <c r="E59" s="17"/>
      <c r="F59" s="17"/>
      <c r="G59" s="19"/>
      <c r="H59" s="17"/>
      <c r="I59" s="17"/>
      <c r="J59" s="17"/>
      <c r="K59" s="17"/>
      <c r="L59" s="17"/>
    </row>
    <row r="60" spans="1:12">
      <c r="A60" s="17"/>
      <c r="B60" s="17"/>
      <c r="C60" s="17"/>
      <c r="D60" s="19"/>
      <c r="E60" s="17"/>
      <c r="F60" s="17"/>
      <c r="G60" s="19"/>
      <c r="H60" s="17"/>
      <c r="I60" s="17"/>
      <c r="J60" s="17"/>
      <c r="K60" s="17"/>
      <c r="L60" s="17"/>
    </row>
    <row r="85" spans="1:1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114" spans="1:1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spans="1:1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1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1:1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48" spans="1:12">
      <c r="A148" s="26"/>
      <c r="B148" s="26"/>
      <c r="C148" s="26"/>
      <c r="D148" s="27"/>
      <c r="E148" s="28"/>
      <c r="F148" s="28"/>
      <c r="G148" s="28"/>
      <c r="H148" s="17"/>
      <c r="I148" s="17"/>
      <c r="J148" s="17"/>
      <c r="K148" s="17"/>
      <c r="L148" s="29"/>
    </row>
    <row r="149" spans="1:12">
      <c r="A149" s="26"/>
      <c r="B149" s="26"/>
      <c r="C149" s="26"/>
      <c r="D149" s="27"/>
      <c r="E149" s="28"/>
      <c r="F149" s="28"/>
      <c r="G149" s="28"/>
      <c r="H149" s="17"/>
      <c r="I149" s="17"/>
      <c r="J149" s="17"/>
      <c r="K149" s="17"/>
      <c r="L149" s="29"/>
    </row>
    <row r="150" spans="1:12">
      <c r="A150" s="26"/>
      <c r="B150" s="26"/>
      <c r="C150" s="26"/>
      <c r="D150" s="27"/>
      <c r="E150" s="28"/>
      <c r="F150" s="28"/>
      <c r="G150" s="28"/>
      <c r="H150" s="17"/>
      <c r="I150" s="17"/>
      <c r="J150" s="17"/>
      <c r="K150" s="17"/>
      <c r="L150" s="29"/>
    </row>
    <row r="151" spans="1:1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1:1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spans="1:12">
      <c r="A153" s="17"/>
      <c r="B153" s="17"/>
      <c r="C153" s="17"/>
      <c r="D153" s="19"/>
      <c r="E153" s="17"/>
      <c r="F153" s="17"/>
      <c r="G153" s="17"/>
      <c r="H153" s="17"/>
      <c r="I153" s="17"/>
      <c r="J153" s="17"/>
      <c r="K153" s="17"/>
      <c r="L153" s="17"/>
    </row>
    <row r="154" spans="1:12">
      <c r="A154" s="17"/>
      <c r="B154" s="17"/>
      <c r="C154" s="17"/>
      <c r="D154" s="19"/>
      <c r="E154" s="17"/>
      <c r="F154" s="17"/>
      <c r="G154" s="17"/>
      <c r="H154" s="17"/>
      <c r="I154" s="17"/>
      <c r="J154" s="17"/>
      <c r="K154" s="17"/>
      <c r="L154" s="17"/>
    </row>
    <row r="182" spans="1:12">
      <c r="A182" s="106"/>
      <c r="B182" s="106"/>
      <c r="C182" s="106"/>
      <c r="D182" s="106"/>
      <c r="E182" s="106"/>
      <c r="F182" s="30"/>
      <c r="G182" s="30"/>
      <c r="H182" s="107"/>
      <c r="I182" s="107"/>
      <c r="J182" s="107"/>
      <c r="K182" s="107"/>
      <c r="L182" s="107"/>
    </row>
    <row r="183" spans="1:12">
      <c r="A183" s="106"/>
      <c r="B183" s="106"/>
      <c r="C183" s="106"/>
      <c r="D183" s="106"/>
      <c r="E183" s="106"/>
      <c r="F183" s="30"/>
      <c r="G183" s="30"/>
      <c r="H183" s="107"/>
      <c r="I183" s="107"/>
      <c r="J183" s="107"/>
      <c r="K183" s="107"/>
      <c r="L183" s="107"/>
    </row>
    <row r="184" spans="1:12">
      <c r="A184" s="106"/>
      <c r="B184" s="106"/>
      <c r="C184" s="106"/>
      <c r="D184" s="106"/>
      <c r="E184" s="106"/>
      <c r="F184" s="30"/>
      <c r="G184" s="30"/>
      <c r="H184" s="107"/>
      <c r="I184" s="107"/>
      <c r="J184" s="107"/>
      <c r="K184" s="107"/>
      <c r="L184" s="107"/>
    </row>
    <row r="211" spans="1:12">
      <c r="A211" s="17"/>
      <c r="B211" s="17"/>
      <c r="C211" s="20"/>
      <c r="D211" s="19"/>
      <c r="E211" s="17"/>
      <c r="F211" s="17"/>
      <c r="G211" s="21"/>
      <c r="H211" s="10"/>
      <c r="I211" s="10"/>
      <c r="J211" s="10"/>
      <c r="K211" s="10"/>
      <c r="L211" s="10"/>
    </row>
    <row r="212" spans="1:12">
      <c r="A212" s="17"/>
      <c r="B212" s="17"/>
      <c r="C212" s="20"/>
      <c r="D212" s="19"/>
      <c r="E212" s="17"/>
      <c r="F212" s="17"/>
      <c r="G212" s="21"/>
      <c r="H212" s="10"/>
      <c r="I212" s="10"/>
      <c r="J212" s="10"/>
      <c r="K212" s="10"/>
      <c r="L212" s="10"/>
    </row>
    <row r="213" spans="1:12">
      <c r="A213" s="17"/>
      <c r="B213" s="17"/>
      <c r="C213" s="20"/>
      <c r="D213" s="19"/>
      <c r="E213" s="17"/>
      <c r="F213" s="17"/>
      <c r="G213" s="21"/>
      <c r="H213" s="10"/>
      <c r="I213" s="10"/>
      <c r="J213" s="10"/>
      <c r="K213" s="10"/>
      <c r="L213" s="10"/>
    </row>
    <row r="214" spans="1:12">
      <c r="A214" s="17"/>
      <c r="B214" s="17"/>
      <c r="C214" s="20"/>
      <c r="D214" s="19"/>
      <c r="E214" s="17"/>
      <c r="F214" s="17"/>
      <c r="G214" s="21"/>
      <c r="H214" s="10"/>
      <c r="I214" s="10"/>
      <c r="J214" s="10"/>
      <c r="K214" s="10"/>
      <c r="L214" s="10"/>
    </row>
    <row r="215" spans="1:12">
      <c r="A215" s="17"/>
      <c r="B215" s="17"/>
      <c r="C215" s="20"/>
      <c r="D215" s="19"/>
      <c r="E215" s="17"/>
      <c r="F215" s="17"/>
      <c r="G215" s="21"/>
      <c r="H215" s="10"/>
      <c r="I215" s="10"/>
      <c r="J215" s="10"/>
      <c r="K215" s="10"/>
      <c r="L215" s="10"/>
    </row>
    <row r="216" spans="1:12">
      <c r="A216" s="17"/>
      <c r="B216" s="17"/>
      <c r="C216" s="20"/>
      <c r="D216" s="19"/>
      <c r="E216" s="17"/>
      <c r="F216" s="17"/>
      <c r="G216" s="21"/>
      <c r="H216" s="10"/>
      <c r="I216" s="10"/>
      <c r="J216" s="10"/>
      <c r="K216" s="10"/>
      <c r="L216" s="10"/>
    </row>
    <row r="217" spans="1:12">
      <c r="A217" s="17"/>
      <c r="B217" s="17"/>
      <c r="C217" s="17"/>
      <c r="D217" s="19"/>
      <c r="E217" s="17"/>
      <c r="F217" s="17"/>
      <c r="G217" s="17"/>
      <c r="H217" s="17"/>
      <c r="I217" s="17"/>
      <c r="J217" s="17"/>
      <c r="K217" s="17"/>
      <c r="L217" s="17"/>
    </row>
    <row r="218" spans="1:12">
      <c r="A218" s="17"/>
      <c r="B218" s="17"/>
      <c r="C218" s="17"/>
      <c r="D218" s="19"/>
      <c r="E218" s="17"/>
      <c r="F218" s="17"/>
      <c r="G218" s="17"/>
      <c r="H218" s="17"/>
      <c r="I218" s="17"/>
      <c r="J218" s="17"/>
      <c r="K218" s="17"/>
      <c r="L218" s="17"/>
    </row>
    <row r="243" spans="1:12">
      <c r="A243" s="17"/>
      <c r="B243" s="17"/>
      <c r="C243" s="17"/>
      <c r="D243" s="19"/>
      <c r="E243" s="17"/>
      <c r="F243" s="17"/>
      <c r="G243" s="17"/>
      <c r="H243" s="17"/>
      <c r="I243" s="17"/>
      <c r="J243" s="17"/>
      <c r="K243" s="17"/>
      <c r="L243" s="17"/>
    </row>
    <row r="244" spans="1:12">
      <c r="A244" s="17"/>
      <c r="B244" s="17"/>
      <c r="C244" s="17"/>
      <c r="D244" s="19"/>
      <c r="E244" s="17"/>
      <c r="F244" s="17"/>
      <c r="G244" s="17"/>
      <c r="H244" s="17"/>
      <c r="I244" s="17"/>
      <c r="J244" s="17"/>
      <c r="K244" s="17"/>
      <c r="L244" s="17"/>
    </row>
    <row r="245" spans="1:12">
      <c r="A245" s="17"/>
      <c r="B245" s="17"/>
      <c r="C245" s="17"/>
      <c r="D245" s="19"/>
      <c r="E245" s="17"/>
      <c r="F245" s="17"/>
      <c r="G245" s="17"/>
      <c r="H245" s="17"/>
      <c r="I245" s="17"/>
      <c r="J245" s="17"/>
      <c r="K245" s="17"/>
      <c r="L245" s="17"/>
    </row>
    <row r="246" spans="1:12">
      <c r="A246" s="17"/>
      <c r="B246" s="17"/>
      <c r="C246" s="17"/>
      <c r="D246" s="19"/>
      <c r="E246" s="17"/>
      <c r="F246" s="17"/>
      <c r="G246" s="17"/>
      <c r="H246" s="17"/>
      <c r="I246" s="17"/>
      <c r="J246" s="17"/>
      <c r="K246" s="17"/>
      <c r="L246" s="17"/>
    </row>
    <row r="247" spans="1:12">
      <c r="A247" s="17"/>
      <c r="B247" s="17"/>
      <c r="C247" s="17"/>
      <c r="D247" s="19"/>
      <c r="E247" s="17"/>
      <c r="F247" s="17"/>
      <c r="G247" s="17"/>
      <c r="H247" s="17"/>
      <c r="I247" s="17"/>
      <c r="J247" s="17"/>
      <c r="K247" s="17"/>
      <c r="L247" s="17"/>
    </row>
    <row r="275" spans="1:12">
      <c r="A275" s="17"/>
      <c r="B275" s="17"/>
      <c r="C275" s="20"/>
      <c r="D275" s="19"/>
      <c r="E275" s="17"/>
      <c r="F275" s="17"/>
      <c r="G275" s="21"/>
      <c r="H275" s="10"/>
      <c r="I275" s="10"/>
      <c r="J275" s="10"/>
      <c r="K275" s="10"/>
      <c r="L275" s="10"/>
    </row>
    <row r="276" spans="1:12">
      <c r="A276" s="17"/>
      <c r="B276" s="17"/>
      <c r="C276" s="20"/>
      <c r="D276" s="19"/>
      <c r="E276" s="17"/>
      <c r="F276" s="17"/>
      <c r="G276" s="21"/>
      <c r="H276" s="10"/>
      <c r="I276" s="10"/>
      <c r="J276" s="10"/>
      <c r="K276" s="10"/>
      <c r="L276" s="10"/>
    </row>
    <row r="277" spans="1:12">
      <c r="A277" s="17"/>
      <c r="B277" s="17"/>
      <c r="C277" s="20"/>
      <c r="D277" s="19"/>
      <c r="E277" s="17"/>
      <c r="F277" s="17"/>
      <c r="G277" s="21"/>
      <c r="H277" s="10"/>
      <c r="I277" s="10"/>
      <c r="J277" s="10"/>
      <c r="K277" s="10"/>
      <c r="L277" s="10"/>
    </row>
    <row r="278" spans="1:12">
      <c r="A278" s="17"/>
      <c r="B278" s="17"/>
      <c r="C278" s="20"/>
      <c r="D278" s="19"/>
      <c r="E278" s="17"/>
      <c r="F278" s="17"/>
      <c r="G278" s="21"/>
      <c r="H278" s="10"/>
      <c r="I278" s="10"/>
      <c r="J278" s="10"/>
      <c r="K278" s="10"/>
      <c r="L278" s="10"/>
    </row>
    <row r="279" spans="1:12">
      <c r="A279" s="17"/>
      <c r="B279" s="17"/>
      <c r="C279" s="20"/>
      <c r="D279" s="19"/>
      <c r="E279" s="17"/>
      <c r="F279" s="17"/>
      <c r="G279" s="21"/>
      <c r="H279" s="10"/>
      <c r="I279" s="10"/>
      <c r="J279" s="10"/>
      <c r="K279" s="10"/>
      <c r="L279" s="10"/>
    </row>
    <row r="280" spans="1:12">
      <c r="A280" s="17"/>
      <c r="B280" s="17"/>
      <c r="C280" s="20"/>
      <c r="D280" s="19"/>
      <c r="E280" s="17"/>
      <c r="F280" s="17"/>
      <c r="G280" s="21"/>
      <c r="H280" s="10"/>
      <c r="I280" s="10"/>
      <c r="J280" s="10"/>
      <c r="K280" s="10"/>
      <c r="L280" s="10"/>
    </row>
    <row r="281" spans="1:12">
      <c r="A281" s="17"/>
      <c r="B281" s="17"/>
      <c r="C281" s="20"/>
      <c r="D281" s="19"/>
      <c r="E281" s="17"/>
      <c r="F281" s="17"/>
      <c r="G281" s="21"/>
      <c r="H281" s="10"/>
      <c r="I281" s="10"/>
      <c r="J281" s="10"/>
      <c r="K281" s="10"/>
      <c r="L281" s="10"/>
    </row>
    <row r="282" spans="1:12">
      <c r="A282" s="17"/>
      <c r="B282" s="17"/>
      <c r="C282" s="17"/>
      <c r="D282" s="19"/>
      <c r="E282" s="17"/>
      <c r="F282" s="17"/>
      <c r="G282" s="17"/>
      <c r="H282" s="17"/>
      <c r="I282" s="17"/>
      <c r="J282" s="17"/>
      <c r="K282" s="17"/>
      <c r="L282" s="17"/>
    </row>
    <row r="283" spans="1:12">
      <c r="A283" s="17"/>
      <c r="B283" s="17"/>
      <c r="C283" s="17"/>
      <c r="D283" s="19"/>
      <c r="E283" s="17"/>
      <c r="F283" s="17"/>
      <c r="G283" s="17"/>
      <c r="H283" s="17"/>
      <c r="I283" s="17"/>
      <c r="J283" s="17"/>
      <c r="K283" s="17"/>
      <c r="L283" s="17"/>
    </row>
    <row r="308" spans="1:12">
      <c r="A308" s="17"/>
      <c r="B308" s="17"/>
      <c r="C308" s="17"/>
      <c r="D308" s="19"/>
      <c r="E308" s="17"/>
      <c r="F308" s="17"/>
      <c r="G308" s="17"/>
      <c r="H308" s="17"/>
      <c r="I308" s="17"/>
      <c r="J308" s="17"/>
      <c r="K308" s="17"/>
      <c r="L308" s="17"/>
    </row>
    <row r="309" spans="1:12">
      <c r="A309" s="17"/>
      <c r="B309" s="17"/>
      <c r="C309" s="17"/>
      <c r="D309" s="19"/>
      <c r="E309" s="17"/>
      <c r="F309" s="17"/>
      <c r="G309" s="17"/>
      <c r="H309" s="17"/>
      <c r="I309" s="17"/>
      <c r="J309" s="17"/>
      <c r="K309" s="17"/>
      <c r="L309" s="17"/>
    </row>
    <row r="310" spans="1:12">
      <c r="A310" s="17"/>
      <c r="B310" s="17"/>
      <c r="C310" s="17"/>
      <c r="D310" s="19"/>
      <c r="E310" s="17"/>
      <c r="F310" s="17"/>
      <c r="G310" s="17"/>
      <c r="H310" s="17"/>
      <c r="I310" s="17"/>
      <c r="J310" s="17"/>
      <c r="K310" s="17"/>
      <c r="L310" s="17"/>
    </row>
    <row r="311" spans="1:12">
      <c r="A311" s="17"/>
      <c r="B311" s="17"/>
      <c r="C311" s="17"/>
      <c r="D311" s="19"/>
      <c r="E311" s="17"/>
      <c r="F311" s="17"/>
      <c r="G311" s="17"/>
      <c r="H311" s="17"/>
      <c r="I311" s="17"/>
      <c r="J311" s="17"/>
      <c r="K311" s="17"/>
      <c r="L311" s="17"/>
    </row>
    <row r="312" spans="1:12">
      <c r="A312" s="17"/>
      <c r="B312" s="17"/>
      <c r="C312" s="17"/>
      <c r="D312" s="19"/>
      <c r="E312" s="17"/>
      <c r="F312" s="17"/>
      <c r="G312" s="17"/>
      <c r="H312" s="17"/>
      <c r="I312" s="17"/>
      <c r="J312" s="17"/>
      <c r="K312" s="17"/>
      <c r="L312" s="17"/>
    </row>
    <row r="313" spans="1:12">
      <c r="A313" s="17"/>
      <c r="B313" s="17"/>
      <c r="C313" s="17"/>
      <c r="D313" s="19"/>
      <c r="E313" s="17"/>
      <c r="F313" s="17"/>
      <c r="G313" s="17"/>
      <c r="H313" s="17"/>
      <c r="I313" s="17"/>
      <c r="J313" s="17"/>
      <c r="K313" s="17"/>
      <c r="L313" s="17"/>
    </row>
    <row r="314" spans="1:12">
      <c r="A314" s="17"/>
      <c r="B314" s="17"/>
      <c r="C314" s="17"/>
      <c r="D314" s="19"/>
      <c r="E314" s="17"/>
      <c r="F314" s="17"/>
      <c r="G314" s="17"/>
      <c r="H314" s="17"/>
      <c r="I314" s="17"/>
      <c r="J314" s="17"/>
      <c r="K314" s="17"/>
      <c r="L314" s="17"/>
    </row>
    <row r="342" spans="1:12">
      <c r="A342" s="17"/>
      <c r="B342" s="17"/>
      <c r="C342" s="17"/>
      <c r="D342" s="19"/>
      <c r="E342" s="17"/>
      <c r="F342" s="17"/>
      <c r="G342" s="21"/>
      <c r="H342" s="10"/>
      <c r="I342" s="10"/>
      <c r="J342" s="10"/>
      <c r="K342" s="10"/>
      <c r="L342" s="10"/>
    </row>
    <row r="343" spans="1:12">
      <c r="A343" s="17"/>
      <c r="B343" s="17"/>
      <c r="C343" s="17"/>
      <c r="D343" s="19"/>
      <c r="E343" s="17"/>
      <c r="F343" s="17"/>
      <c r="G343" s="21"/>
      <c r="H343" s="10"/>
      <c r="I343" s="10"/>
      <c r="J343" s="10"/>
      <c r="K343" s="10"/>
      <c r="L343" s="10"/>
    </row>
    <row r="344" spans="1:12">
      <c r="A344" s="17"/>
      <c r="B344" s="17"/>
      <c r="C344" s="17"/>
      <c r="D344" s="19"/>
      <c r="E344" s="17"/>
      <c r="F344" s="17"/>
      <c r="G344" s="21"/>
      <c r="H344" s="10"/>
      <c r="I344" s="10"/>
      <c r="J344" s="10"/>
      <c r="K344" s="10"/>
      <c r="L344" s="10"/>
    </row>
    <row r="345" spans="1:12">
      <c r="A345" s="17"/>
      <c r="B345" s="17"/>
      <c r="C345" s="17"/>
      <c r="D345" s="19"/>
      <c r="E345" s="17"/>
      <c r="F345" s="17"/>
      <c r="G345" s="21"/>
      <c r="H345" s="10"/>
      <c r="I345" s="10"/>
      <c r="J345" s="10"/>
      <c r="K345" s="10"/>
      <c r="L345" s="10"/>
    </row>
    <row r="346" spans="1:12">
      <c r="A346" s="17"/>
      <c r="B346" s="17"/>
      <c r="C346" s="17"/>
      <c r="D346" s="19"/>
      <c r="E346" s="17"/>
      <c r="F346" s="17"/>
      <c r="G346" s="21"/>
      <c r="H346" s="10"/>
      <c r="I346" s="10"/>
      <c r="J346" s="10"/>
      <c r="K346" s="10"/>
      <c r="L346" s="10"/>
    </row>
    <row r="347" spans="1:12">
      <c r="A347" s="17"/>
      <c r="B347" s="17"/>
      <c r="C347" s="17"/>
      <c r="D347" s="19"/>
      <c r="E347" s="17"/>
      <c r="F347" s="17"/>
      <c r="G347" s="17"/>
      <c r="H347" s="17"/>
      <c r="I347" s="17"/>
      <c r="J347" s="17"/>
      <c r="K347" s="17"/>
      <c r="L347" s="17"/>
    </row>
    <row r="372" spans="1:12">
      <c r="A372" s="17"/>
      <c r="B372" s="17"/>
      <c r="C372" s="17"/>
      <c r="D372" s="19"/>
      <c r="E372" s="17"/>
      <c r="F372" s="17"/>
      <c r="G372" s="17"/>
      <c r="H372" s="17"/>
      <c r="I372" s="17"/>
      <c r="J372" s="17"/>
      <c r="K372" s="17"/>
      <c r="L372" s="17"/>
    </row>
    <row r="373" spans="1:12">
      <c r="A373" s="17"/>
      <c r="B373" s="17"/>
      <c r="C373" s="17"/>
      <c r="D373" s="19"/>
      <c r="E373" s="17"/>
      <c r="F373" s="17"/>
      <c r="G373" s="17"/>
      <c r="H373" s="17"/>
      <c r="I373" s="17"/>
      <c r="J373" s="17"/>
      <c r="K373" s="17"/>
      <c r="L373" s="17"/>
    </row>
    <row r="374" spans="1:12">
      <c r="A374" s="17"/>
      <c r="B374" s="17"/>
      <c r="C374" s="17"/>
      <c r="D374" s="19"/>
      <c r="E374" s="17"/>
      <c r="F374" s="17"/>
      <c r="G374" s="17"/>
      <c r="H374" s="17"/>
      <c r="I374" s="17"/>
      <c r="J374" s="17"/>
      <c r="K374" s="17"/>
      <c r="L374" s="17"/>
    </row>
    <row r="375" spans="1:12">
      <c r="A375" s="17"/>
      <c r="B375" s="17"/>
      <c r="C375" s="17"/>
      <c r="D375" s="19"/>
      <c r="E375" s="17"/>
      <c r="F375" s="17"/>
      <c r="G375" s="17"/>
      <c r="H375" s="17"/>
      <c r="I375" s="17"/>
      <c r="J375" s="17"/>
      <c r="K375" s="17"/>
      <c r="L375" s="17"/>
    </row>
    <row r="376" spans="1:12">
      <c r="A376" s="17"/>
      <c r="B376" s="17"/>
      <c r="C376" s="17"/>
      <c r="D376" s="19"/>
      <c r="E376" s="17"/>
      <c r="F376" s="17"/>
      <c r="G376" s="17"/>
      <c r="H376" s="17"/>
      <c r="I376" s="17"/>
      <c r="J376" s="17"/>
      <c r="K376" s="17"/>
      <c r="L376" s="17"/>
    </row>
    <row r="402" spans="1:12">
      <c r="A402" s="17"/>
      <c r="B402" s="17"/>
      <c r="C402" s="20"/>
      <c r="D402" s="19"/>
      <c r="E402" s="17"/>
      <c r="F402" s="17"/>
      <c r="G402" s="21"/>
      <c r="H402" s="10"/>
      <c r="I402" s="10"/>
      <c r="J402" s="10"/>
      <c r="K402" s="10"/>
      <c r="L402" s="10"/>
    </row>
    <row r="403" spans="1:12">
      <c r="A403" s="17"/>
      <c r="B403" s="17"/>
      <c r="C403" s="20"/>
      <c r="D403" s="19"/>
      <c r="E403" s="17"/>
      <c r="F403" s="17"/>
      <c r="G403" s="21"/>
      <c r="H403" s="10"/>
      <c r="I403" s="10"/>
      <c r="J403" s="10"/>
      <c r="K403" s="10"/>
      <c r="L403" s="10"/>
    </row>
    <row r="404" spans="1:12">
      <c r="A404" s="17"/>
      <c r="B404" s="17"/>
      <c r="C404" s="20"/>
      <c r="D404" s="19"/>
      <c r="E404" s="17"/>
      <c r="F404" s="17"/>
      <c r="G404" s="21"/>
      <c r="H404" s="10"/>
      <c r="I404" s="10"/>
      <c r="J404" s="10"/>
      <c r="K404" s="10"/>
      <c r="L404" s="10"/>
    </row>
    <row r="405" spans="1:12">
      <c r="A405" s="17"/>
      <c r="B405" s="17"/>
      <c r="C405" s="20"/>
      <c r="D405" s="19"/>
      <c r="E405" s="17"/>
      <c r="F405" s="17"/>
      <c r="G405" s="21"/>
      <c r="H405" s="10"/>
      <c r="I405" s="10"/>
      <c r="J405" s="10"/>
      <c r="K405" s="10"/>
      <c r="L405" s="10"/>
    </row>
    <row r="406" spans="1:12">
      <c r="A406" s="17"/>
      <c r="B406" s="17"/>
      <c r="C406" s="20"/>
      <c r="D406" s="19"/>
      <c r="E406" s="17"/>
      <c r="F406" s="17"/>
      <c r="G406" s="21"/>
      <c r="H406" s="10"/>
      <c r="I406" s="10"/>
      <c r="J406" s="10"/>
      <c r="K406" s="10"/>
      <c r="L406" s="10"/>
    </row>
    <row r="407" spans="1:12">
      <c r="A407" s="17"/>
      <c r="B407" s="17"/>
      <c r="C407" s="20"/>
      <c r="D407" s="19"/>
      <c r="E407" s="17"/>
      <c r="F407" s="17"/>
      <c r="G407" s="21"/>
      <c r="H407" s="10"/>
      <c r="I407" s="10"/>
      <c r="J407" s="10"/>
      <c r="K407" s="10"/>
      <c r="L407" s="10"/>
    </row>
    <row r="408" spans="1:12">
      <c r="A408" s="17"/>
      <c r="B408" s="17"/>
      <c r="C408" s="20"/>
      <c r="D408" s="19"/>
      <c r="E408" s="17"/>
      <c r="F408" s="17"/>
      <c r="G408" s="21"/>
      <c r="H408" s="10"/>
      <c r="I408" s="10"/>
      <c r="J408" s="10"/>
      <c r="K408" s="10"/>
      <c r="L408" s="10"/>
    </row>
    <row r="409" spans="1:12">
      <c r="A409" s="17"/>
      <c r="B409" s="17"/>
      <c r="C409" s="20"/>
      <c r="D409" s="19"/>
      <c r="E409" s="17"/>
      <c r="F409" s="17"/>
      <c r="G409" s="21"/>
      <c r="H409" s="10"/>
      <c r="I409" s="10"/>
      <c r="J409" s="10"/>
      <c r="K409" s="10"/>
      <c r="L409" s="10"/>
    </row>
    <row r="410" spans="1:12">
      <c r="A410" s="17"/>
      <c r="B410" s="17"/>
      <c r="C410" s="20"/>
      <c r="D410" s="19"/>
      <c r="E410" s="17"/>
      <c r="F410" s="17"/>
      <c r="G410" s="21"/>
      <c r="H410" s="10"/>
      <c r="I410" s="10"/>
      <c r="J410" s="10"/>
      <c r="K410" s="10"/>
      <c r="L410" s="10"/>
    </row>
    <row r="411" spans="1:12">
      <c r="A411" s="17"/>
      <c r="B411" s="17"/>
      <c r="C411" s="20"/>
      <c r="D411" s="19"/>
      <c r="E411" s="17"/>
      <c r="F411" s="17"/>
      <c r="G411" s="21"/>
      <c r="H411" s="10"/>
      <c r="I411" s="10"/>
      <c r="J411" s="10"/>
      <c r="K411" s="10"/>
      <c r="L411" s="10"/>
    </row>
    <row r="412" spans="1:12">
      <c r="A412" s="17"/>
      <c r="B412" s="17"/>
      <c r="C412" s="17"/>
      <c r="D412" s="19"/>
      <c r="E412" s="17"/>
      <c r="F412" s="17"/>
      <c r="G412" s="17"/>
      <c r="H412" s="17"/>
      <c r="I412" s="17"/>
      <c r="J412" s="17"/>
      <c r="K412" s="17"/>
      <c r="L412" s="17"/>
    </row>
    <row r="437" spans="1:12">
      <c r="A437" s="17"/>
      <c r="B437" s="17"/>
      <c r="C437" s="17"/>
      <c r="D437" s="19"/>
      <c r="E437" s="17"/>
      <c r="F437" s="17"/>
      <c r="G437" s="17"/>
      <c r="H437" s="17"/>
      <c r="I437" s="17"/>
      <c r="J437" s="17"/>
      <c r="K437" s="17"/>
      <c r="L437" s="17"/>
    </row>
    <row r="438" spans="1:12">
      <c r="A438" s="17"/>
      <c r="B438" s="17"/>
      <c r="C438" s="17"/>
      <c r="D438" s="19"/>
      <c r="E438" s="17"/>
      <c r="F438" s="17"/>
      <c r="G438" s="17"/>
      <c r="H438" s="17"/>
      <c r="I438" s="17"/>
      <c r="J438" s="17"/>
      <c r="K438" s="17"/>
      <c r="L438" s="17"/>
    </row>
    <row r="439" spans="1:12">
      <c r="A439" s="17"/>
      <c r="B439" s="17"/>
      <c r="C439" s="17"/>
      <c r="D439" s="19"/>
      <c r="E439" s="17"/>
      <c r="F439" s="17"/>
      <c r="G439" s="17"/>
      <c r="H439" s="17"/>
      <c r="I439" s="17"/>
      <c r="J439" s="17"/>
      <c r="K439" s="17"/>
      <c r="L439" s="17"/>
    </row>
    <row r="440" spans="1:12">
      <c r="A440" s="17"/>
      <c r="B440" s="17"/>
      <c r="C440" s="17"/>
      <c r="D440" s="19"/>
      <c r="E440" s="17"/>
      <c r="F440" s="17"/>
      <c r="G440" s="17"/>
      <c r="H440" s="17"/>
      <c r="I440" s="17"/>
      <c r="J440" s="17"/>
      <c r="K440" s="17"/>
      <c r="L440" s="17"/>
    </row>
    <row r="441" spans="1:12">
      <c r="A441" s="17"/>
      <c r="B441" s="17"/>
      <c r="C441" s="17"/>
      <c r="D441" s="19"/>
      <c r="E441" s="17"/>
      <c r="F441" s="17"/>
      <c r="G441" s="17"/>
      <c r="H441" s="17"/>
      <c r="I441" s="17"/>
      <c r="J441" s="17"/>
      <c r="K441" s="17"/>
      <c r="L441" s="17"/>
    </row>
    <row r="442" spans="1:12">
      <c r="A442" s="17"/>
      <c r="B442" s="17"/>
      <c r="C442" s="17"/>
      <c r="D442" s="19"/>
      <c r="E442" s="17"/>
      <c r="F442" s="17"/>
      <c r="G442" s="17"/>
      <c r="H442" s="17"/>
      <c r="I442" s="17"/>
      <c r="J442" s="17"/>
      <c r="K442" s="17"/>
      <c r="L442" s="17"/>
    </row>
    <row r="467" spans="1:12">
      <c r="A467" s="17"/>
      <c r="B467" s="17"/>
      <c r="C467" s="17"/>
      <c r="D467" s="19"/>
      <c r="E467" s="17"/>
      <c r="F467" s="17"/>
      <c r="G467" s="17"/>
      <c r="H467" s="17"/>
      <c r="I467" s="17"/>
      <c r="J467" s="17"/>
      <c r="K467" s="17"/>
      <c r="L467" s="17"/>
    </row>
    <row r="468" spans="1:12">
      <c r="A468" s="17"/>
      <c r="B468" s="17"/>
      <c r="C468" s="17"/>
      <c r="D468" s="19"/>
      <c r="E468" s="17"/>
      <c r="F468" s="17"/>
      <c r="G468" s="17"/>
      <c r="H468" s="17"/>
      <c r="I468" s="17"/>
      <c r="J468" s="17"/>
      <c r="K468" s="17"/>
      <c r="L468" s="17"/>
    </row>
    <row r="469" spans="1:12">
      <c r="A469" s="17"/>
      <c r="B469" s="17"/>
      <c r="C469" s="17"/>
      <c r="D469" s="19"/>
      <c r="E469" s="17"/>
      <c r="F469" s="17"/>
      <c r="G469" s="17"/>
      <c r="H469" s="17"/>
      <c r="I469" s="17"/>
      <c r="J469" s="17"/>
      <c r="K469" s="17"/>
      <c r="L469" s="17"/>
    </row>
    <row r="470" spans="1:12">
      <c r="A470" s="17"/>
      <c r="B470" s="17"/>
      <c r="C470" s="17"/>
      <c r="D470" s="19"/>
      <c r="E470" s="17"/>
      <c r="F470" s="17"/>
      <c r="G470" s="17"/>
      <c r="H470" s="17"/>
      <c r="I470" s="17"/>
      <c r="J470" s="17"/>
      <c r="K470" s="17"/>
      <c r="L470" s="17"/>
    </row>
    <row r="471" spans="1:12">
      <c r="A471" s="17"/>
      <c r="B471" s="17"/>
      <c r="C471" s="17"/>
      <c r="D471" s="19"/>
      <c r="E471" s="17"/>
      <c r="F471" s="17"/>
      <c r="G471" s="17"/>
      <c r="H471" s="17"/>
      <c r="I471" s="17"/>
      <c r="J471" s="17"/>
      <c r="K471" s="17"/>
      <c r="L471" s="17"/>
    </row>
    <row r="472" spans="1:12">
      <c r="A472" s="17"/>
      <c r="B472" s="17"/>
      <c r="C472" s="17"/>
      <c r="D472" s="19"/>
      <c r="E472" s="17"/>
      <c r="F472" s="17"/>
      <c r="G472" s="17"/>
      <c r="H472" s="17"/>
      <c r="I472" s="17"/>
      <c r="J472" s="17"/>
      <c r="K472" s="17"/>
      <c r="L472" s="17"/>
    </row>
    <row r="498" spans="1:12">
      <c r="A498" s="17"/>
      <c r="B498" s="17"/>
      <c r="C498" s="17"/>
      <c r="D498" s="19"/>
      <c r="E498" s="17"/>
      <c r="F498" s="17"/>
      <c r="G498" s="17"/>
      <c r="H498" s="17"/>
      <c r="I498" s="17"/>
      <c r="J498" s="17"/>
      <c r="K498" s="17"/>
      <c r="L498" s="17"/>
    </row>
    <row r="499" spans="1:12">
      <c r="A499" s="17"/>
      <c r="B499" s="17"/>
      <c r="C499" s="17"/>
      <c r="D499" s="19"/>
      <c r="E499" s="17"/>
      <c r="F499" s="17"/>
      <c r="G499" s="17"/>
      <c r="H499" s="17"/>
      <c r="I499" s="17"/>
      <c r="J499" s="17"/>
      <c r="K499" s="17"/>
      <c r="L499" s="17"/>
    </row>
    <row r="526" spans="1:12">
      <c r="A526" s="19"/>
      <c r="B526" s="17"/>
      <c r="C526" s="20"/>
      <c r="D526" s="19"/>
      <c r="E526" s="17"/>
      <c r="F526" s="17"/>
      <c r="G526" s="21"/>
      <c r="H526" s="10"/>
      <c r="I526" s="10"/>
      <c r="J526" s="10"/>
      <c r="K526" s="10"/>
      <c r="L526" s="10"/>
    </row>
    <row r="527" spans="1:12">
      <c r="A527" s="19"/>
      <c r="B527" s="17"/>
      <c r="C527" s="20"/>
      <c r="D527" s="19"/>
      <c r="E527" s="17"/>
      <c r="F527" s="17"/>
      <c r="G527" s="21"/>
      <c r="H527" s="10"/>
      <c r="I527" s="10"/>
      <c r="J527" s="10"/>
      <c r="K527" s="10"/>
      <c r="L527" s="10"/>
    </row>
    <row r="528" spans="1:12">
      <c r="A528" s="19"/>
      <c r="B528" s="17"/>
      <c r="C528" s="20"/>
      <c r="D528" s="19"/>
      <c r="E528" s="17"/>
      <c r="F528" s="17"/>
      <c r="G528" s="21"/>
      <c r="H528" s="10"/>
      <c r="I528" s="10"/>
      <c r="J528" s="10"/>
      <c r="K528" s="10"/>
      <c r="L528" s="10"/>
    </row>
    <row r="529" spans="1:12">
      <c r="A529" s="17"/>
      <c r="B529" s="17"/>
      <c r="C529" s="17"/>
      <c r="D529" s="19"/>
      <c r="E529" s="17"/>
      <c r="F529" s="17"/>
      <c r="G529" s="17"/>
      <c r="H529" s="17"/>
      <c r="I529" s="17"/>
      <c r="J529" s="17"/>
      <c r="K529" s="17"/>
      <c r="L529" s="17"/>
    </row>
    <row r="530" spans="1:12">
      <c r="A530" s="17"/>
      <c r="B530" s="17"/>
      <c r="C530" s="17"/>
      <c r="D530" s="19"/>
      <c r="E530" s="17"/>
      <c r="F530" s="17"/>
      <c r="G530" s="17"/>
      <c r="H530" s="17"/>
      <c r="I530" s="17"/>
      <c r="J530" s="17"/>
      <c r="K530" s="17"/>
      <c r="L530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N13" sqref="N13:O13"/>
    </sheetView>
  </sheetViews>
  <sheetFormatPr defaultRowHeight="15"/>
  <cols>
    <col min="1" max="12" width="13.140625" customWidth="1"/>
  </cols>
  <sheetData>
    <row r="1" spans="1:12" ht="15.75">
      <c r="A1" s="131" t="s">
        <v>259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260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144"/>
      <c r="B3" s="144"/>
      <c r="C3" s="144"/>
      <c r="D3" s="144"/>
      <c r="E3" s="144"/>
      <c r="F3" s="157"/>
      <c r="G3" s="157"/>
      <c r="H3" s="157"/>
      <c r="I3" s="157"/>
      <c r="J3" s="144"/>
      <c r="K3" s="144"/>
      <c r="L3" s="144"/>
    </row>
    <row r="4" spans="1:12" ht="15.75" thickBot="1">
      <c r="A4" s="147"/>
      <c r="B4" s="69" t="s">
        <v>0</v>
      </c>
      <c r="C4" s="147" t="s">
        <v>1</v>
      </c>
      <c r="D4" s="69" t="s">
        <v>2</v>
      </c>
      <c r="E4" s="147" t="s">
        <v>3</v>
      </c>
      <c r="F4" s="75" t="s">
        <v>4</v>
      </c>
      <c r="G4" s="148" t="s">
        <v>5</v>
      </c>
      <c r="H4" s="75" t="s">
        <v>6</v>
      </c>
      <c r="I4" s="148" t="s">
        <v>7</v>
      </c>
      <c r="J4" s="69" t="s">
        <v>8</v>
      </c>
      <c r="K4" s="147"/>
      <c r="L4" s="149" t="s">
        <v>9</v>
      </c>
    </row>
    <row r="5" spans="1:12">
      <c r="A5" s="7" t="s">
        <v>10</v>
      </c>
      <c r="B5" s="147" t="s">
        <v>104</v>
      </c>
      <c r="C5" s="147" t="s">
        <v>105</v>
      </c>
      <c r="D5" s="147" t="s">
        <v>104</v>
      </c>
      <c r="E5" s="147" t="s">
        <v>105</v>
      </c>
      <c r="F5" s="148" t="s">
        <v>104</v>
      </c>
      <c r="G5" s="148" t="s">
        <v>105</v>
      </c>
      <c r="H5" s="148" t="s">
        <v>104</v>
      </c>
      <c r="I5" s="148" t="s">
        <v>105</v>
      </c>
      <c r="J5" s="147" t="s">
        <v>104</v>
      </c>
      <c r="K5" s="147" t="s">
        <v>105</v>
      </c>
      <c r="L5" s="147" t="s">
        <v>11</v>
      </c>
    </row>
    <row r="6" spans="1:12" ht="15.75" thickBot="1">
      <c r="A6" s="60" t="s">
        <v>12</v>
      </c>
      <c r="B6" s="150" t="s">
        <v>98</v>
      </c>
      <c r="C6" s="150" t="s">
        <v>100</v>
      </c>
      <c r="D6" s="150" t="s">
        <v>98</v>
      </c>
      <c r="E6" s="150" t="s">
        <v>100</v>
      </c>
      <c r="F6" s="150" t="s">
        <v>98</v>
      </c>
      <c r="G6" s="150" t="s">
        <v>100</v>
      </c>
      <c r="H6" s="150" t="s">
        <v>98</v>
      </c>
      <c r="I6" s="150" t="s">
        <v>100</v>
      </c>
      <c r="J6" s="150" t="s">
        <v>98</v>
      </c>
      <c r="K6" s="150" t="s">
        <v>100</v>
      </c>
      <c r="L6" s="150" t="s">
        <v>15</v>
      </c>
    </row>
    <row r="7" spans="1:12">
      <c r="A7" s="9" t="s">
        <v>16</v>
      </c>
      <c r="B7" s="25">
        <v>74876</v>
      </c>
      <c r="C7" s="25">
        <v>71425</v>
      </c>
      <c r="D7" s="25">
        <v>63812</v>
      </c>
      <c r="E7" s="25">
        <v>56840</v>
      </c>
      <c r="F7" s="25" t="s">
        <v>17</v>
      </c>
      <c r="G7" s="25" t="s">
        <v>17</v>
      </c>
      <c r="H7" s="25" t="s">
        <v>17</v>
      </c>
      <c r="I7" s="25" t="s">
        <v>17</v>
      </c>
      <c r="J7" s="25">
        <v>138688</v>
      </c>
      <c r="K7" s="25">
        <v>128265</v>
      </c>
      <c r="L7" s="25">
        <f>J7+K7</f>
        <v>266953</v>
      </c>
    </row>
    <row r="8" spans="1:12">
      <c r="A8" s="14" t="s">
        <v>18</v>
      </c>
      <c r="B8" s="25">
        <v>67745</v>
      </c>
      <c r="C8" s="25">
        <v>65569</v>
      </c>
      <c r="D8" s="25">
        <v>48533</v>
      </c>
      <c r="E8" s="25">
        <v>44228</v>
      </c>
      <c r="F8" s="25" t="s">
        <v>17</v>
      </c>
      <c r="G8" s="25" t="s">
        <v>17</v>
      </c>
      <c r="H8" s="25" t="s">
        <v>17</v>
      </c>
      <c r="I8" s="25" t="s">
        <v>17</v>
      </c>
      <c r="J8" s="25">
        <v>116278</v>
      </c>
      <c r="K8" s="25">
        <v>109797</v>
      </c>
      <c r="L8" s="25">
        <f t="shared" ref="L8:L20" si="0">J8+K8</f>
        <v>226075</v>
      </c>
    </row>
    <row r="9" spans="1:12">
      <c r="A9" s="9" t="s">
        <v>19</v>
      </c>
      <c r="B9" s="25">
        <v>64670</v>
      </c>
      <c r="C9" s="25">
        <v>61286</v>
      </c>
      <c r="D9" s="25">
        <v>39364</v>
      </c>
      <c r="E9" s="25">
        <v>36815</v>
      </c>
      <c r="F9" s="25" t="s">
        <v>17</v>
      </c>
      <c r="G9" s="25" t="s">
        <v>17</v>
      </c>
      <c r="H9" s="25" t="s">
        <v>17</v>
      </c>
      <c r="I9" s="25" t="s">
        <v>17</v>
      </c>
      <c r="J9" s="25">
        <v>104034</v>
      </c>
      <c r="K9" s="25">
        <v>98101</v>
      </c>
      <c r="L9" s="25">
        <f t="shared" si="0"/>
        <v>202135</v>
      </c>
    </row>
    <row r="10" spans="1:12">
      <c r="A10" s="9" t="s">
        <v>20</v>
      </c>
      <c r="B10" s="25">
        <v>60618</v>
      </c>
      <c r="C10" s="25">
        <v>58477</v>
      </c>
      <c r="D10" s="25">
        <v>35513</v>
      </c>
      <c r="E10" s="25">
        <v>28924</v>
      </c>
      <c r="F10" s="25" t="s">
        <v>17</v>
      </c>
      <c r="G10" s="25" t="s">
        <v>17</v>
      </c>
      <c r="H10" s="25" t="s">
        <v>17</v>
      </c>
      <c r="I10" s="25" t="s">
        <v>17</v>
      </c>
      <c r="J10" s="25">
        <v>96131</v>
      </c>
      <c r="K10" s="25">
        <v>87401</v>
      </c>
      <c r="L10" s="25">
        <f t="shared" si="0"/>
        <v>183532</v>
      </c>
    </row>
    <row r="11" spans="1:12">
      <c r="A11" s="9" t="s">
        <v>21</v>
      </c>
      <c r="B11" s="25">
        <v>53029</v>
      </c>
      <c r="C11" s="25">
        <v>51268</v>
      </c>
      <c r="D11" s="25">
        <v>79632</v>
      </c>
      <c r="E11" s="25">
        <v>76772</v>
      </c>
      <c r="F11" s="25" t="s">
        <v>17</v>
      </c>
      <c r="G11" s="25" t="s">
        <v>17</v>
      </c>
      <c r="H11" s="25" t="s">
        <v>17</v>
      </c>
      <c r="I11" s="25" t="s">
        <v>17</v>
      </c>
      <c r="J11" s="25">
        <v>132661</v>
      </c>
      <c r="K11" s="25">
        <v>128040</v>
      </c>
      <c r="L11" s="25">
        <f t="shared" si="0"/>
        <v>260701</v>
      </c>
    </row>
    <row r="12" spans="1:12">
      <c r="A12" s="9" t="s">
        <v>22</v>
      </c>
      <c r="B12" s="25">
        <v>43074</v>
      </c>
      <c r="C12" s="25">
        <v>42993</v>
      </c>
      <c r="D12" s="25">
        <v>176357</v>
      </c>
      <c r="E12" s="25">
        <v>130316</v>
      </c>
      <c r="F12" s="25" t="s">
        <v>17</v>
      </c>
      <c r="G12" s="25" t="s">
        <v>17</v>
      </c>
      <c r="H12" s="25" t="s">
        <v>17</v>
      </c>
      <c r="I12" s="25" t="s">
        <v>17</v>
      </c>
      <c r="J12" s="25">
        <v>219431</v>
      </c>
      <c r="K12" s="25">
        <v>173309</v>
      </c>
      <c r="L12" s="25">
        <f t="shared" si="0"/>
        <v>392740</v>
      </c>
    </row>
    <row r="13" spans="1:12">
      <c r="A13" s="9" t="s">
        <v>23</v>
      </c>
      <c r="B13" s="25">
        <v>35531</v>
      </c>
      <c r="C13" s="25">
        <v>37220</v>
      </c>
      <c r="D13" s="25">
        <v>214414</v>
      </c>
      <c r="E13" s="25">
        <v>122272</v>
      </c>
      <c r="F13" s="25" t="s">
        <v>17</v>
      </c>
      <c r="G13" s="25" t="s">
        <v>17</v>
      </c>
      <c r="H13" s="25" t="s">
        <v>17</v>
      </c>
      <c r="I13" s="25" t="s">
        <v>17</v>
      </c>
      <c r="J13" s="25">
        <v>249945</v>
      </c>
      <c r="K13" s="25">
        <v>159492</v>
      </c>
      <c r="L13" s="25">
        <f t="shared" si="0"/>
        <v>409437</v>
      </c>
    </row>
    <row r="14" spans="1:12">
      <c r="A14" s="9" t="s">
        <v>24</v>
      </c>
      <c r="B14" s="25">
        <v>31674</v>
      </c>
      <c r="C14" s="25">
        <v>34245</v>
      </c>
      <c r="D14" s="25">
        <v>169786</v>
      </c>
      <c r="E14" s="25">
        <v>99281</v>
      </c>
      <c r="F14" s="25" t="s">
        <v>17</v>
      </c>
      <c r="G14" s="25" t="s">
        <v>17</v>
      </c>
      <c r="H14" s="25" t="s">
        <v>17</v>
      </c>
      <c r="I14" s="25" t="s">
        <v>17</v>
      </c>
      <c r="J14" s="25">
        <v>201460</v>
      </c>
      <c r="K14" s="25">
        <v>133526</v>
      </c>
      <c r="L14" s="25">
        <f t="shared" si="0"/>
        <v>334986</v>
      </c>
    </row>
    <row r="15" spans="1:12">
      <c r="A15" s="9" t="s">
        <v>25</v>
      </c>
      <c r="B15" s="25">
        <v>28540</v>
      </c>
      <c r="C15" s="25">
        <v>31113</v>
      </c>
      <c r="D15" s="25">
        <v>142222</v>
      </c>
      <c r="E15" s="25">
        <v>76972</v>
      </c>
      <c r="F15" s="25" t="s">
        <v>17</v>
      </c>
      <c r="G15" s="25" t="s">
        <v>17</v>
      </c>
      <c r="H15" s="25" t="s">
        <v>17</v>
      </c>
      <c r="I15" s="25" t="s">
        <v>17</v>
      </c>
      <c r="J15" s="25">
        <v>170762</v>
      </c>
      <c r="K15" s="25">
        <v>108085</v>
      </c>
      <c r="L15" s="25">
        <f t="shared" si="0"/>
        <v>278847</v>
      </c>
    </row>
    <row r="16" spans="1:12">
      <c r="A16" s="9" t="s">
        <v>26</v>
      </c>
      <c r="B16" s="25">
        <v>24444</v>
      </c>
      <c r="C16" s="25">
        <v>26689</v>
      </c>
      <c r="D16" s="25">
        <v>97166</v>
      </c>
      <c r="E16" s="25">
        <v>50115</v>
      </c>
      <c r="F16" s="25" t="s">
        <v>17</v>
      </c>
      <c r="G16" s="25" t="s">
        <v>17</v>
      </c>
      <c r="H16" s="25" t="s">
        <v>17</v>
      </c>
      <c r="I16" s="25" t="s">
        <v>17</v>
      </c>
      <c r="J16" s="25">
        <v>121610</v>
      </c>
      <c r="K16" s="25">
        <v>76804</v>
      </c>
      <c r="L16" s="25">
        <f t="shared" si="0"/>
        <v>198414</v>
      </c>
    </row>
    <row r="17" spans="1:12">
      <c r="A17" s="9" t="s">
        <v>27</v>
      </c>
      <c r="B17" s="25">
        <v>17958</v>
      </c>
      <c r="C17" s="25">
        <v>21358</v>
      </c>
      <c r="D17" s="25">
        <v>65064</v>
      </c>
      <c r="E17" s="25">
        <v>27151</v>
      </c>
      <c r="F17" s="25" t="s">
        <v>17</v>
      </c>
      <c r="G17" s="25" t="s">
        <v>17</v>
      </c>
      <c r="H17" s="25" t="s">
        <v>17</v>
      </c>
      <c r="I17" s="25" t="s">
        <v>17</v>
      </c>
      <c r="J17" s="25">
        <v>83022</v>
      </c>
      <c r="K17" s="25">
        <v>48509</v>
      </c>
      <c r="L17" s="25">
        <f t="shared" si="0"/>
        <v>131531</v>
      </c>
    </row>
    <row r="18" spans="1:12">
      <c r="A18" s="9" t="s">
        <v>28</v>
      </c>
      <c r="B18" s="25">
        <v>13365</v>
      </c>
      <c r="C18" s="25">
        <v>16525</v>
      </c>
      <c r="D18" s="25">
        <v>36456</v>
      </c>
      <c r="E18" s="25">
        <v>13713</v>
      </c>
      <c r="F18" s="25" t="s">
        <v>17</v>
      </c>
      <c r="G18" s="25" t="s">
        <v>17</v>
      </c>
      <c r="H18" s="25" t="s">
        <v>17</v>
      </c>
      <c r="I18" s="25" t="s">
        <v>17</v>
      </c>
      <c r="J18" s="25">
        <v>49821</v>
      </c>
      <c r="K18" s="25">
        <v>30238</v>
      </c>
      <c r="L18" s="25">
        <f t="shared" si="0"/>
        <v>80059</v>
      </c>
    </row>
    <row r="19" spans="1:12">
      <c r="A19" s="9" t="s">
        <v>29</v>
      </c>
      <c r="B19" s="25">
        <v>8624</v>
      </c>
      <c r="C19" s="25">
        <v>11630</v>
      </c>
      <c r="D19" s="25">
        <v>16638</v>
      </c>
      <c r="E19" s="25">
        <v>7058</v>
      </c>
      <c r="F19" s="25" t="s">
        <v>17</v>
      </c>
      <c r="G19" s="25" t="s">
        <v>17</v>
      </c>
      <c r="H19" s="25" t="s">
        <v>17</v>
      </c>
      <c r="I19" s="25" t="s">
        <v>17</v>
      </c>
      <c r="J19" s="25">
        <v>25262</v>
      </c>
      <c r="K19" s="25">
        <v>18688</v>
      </c>
      <c r="L19" s="25">
        <f t="shared" si="0"/>
        <v>43950</v>
      </c>
    </row>
    <row r="20" spans="1:12" ht="15.75" thickBot="1">
      <c r="A20" s="9" t="s">
        <v>35</v>
      </c>
      <c r="B20" s="25">
        <v>16812</v>
      </c>
      <c r="C20" s="25">
        <v>19211</v>
      </c>
      <c r="D20" s="25">
        <v>12455</v>
      </c>
      <c r="E20" s="25">
        <v>8012</v>
      </c>
      <c r="F20" s="25" t="s">
        <v>17</v>
      </c>
      <c r="G20" s="25" t="s">
        <v>17</v>
      </c>
      <c r="H20" s="25" t="s">
        <v>17</v>
      </c>
      <c r="I20" s="25" t="s">
        <v>17</v>
      </c>
      <c r="J20" s="25">
        <v>29267</v>
      </c>
      <c r="K20" s="25">
        <v>27223</v>
      </c>
      <c r="L20" s="25">
        <f t="shared" si="0"/>
        <v>56490</v>
      </c>
    </row>
    <row r="21" spans="1:12" ht="26.25" thickBot="1">
      <c r="A21" s="66" t="s">
        <v>108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</row>
    <row r="22" spans="1:12" ht="27" thickBot="1">
      <c r="A22" s="153" t="s">
        <v>33</v>
      </c>
      <c r="B22" s="169">
        <f t="shared" ref="B22:D22" si="1">SUM(B7:B21)</f>
        <v>540960</v>
      </c>
      <c r="C22" s="169">
        <f t="shared" si="1"/>
        <v>549009</v>
      </c>
      <c r="D22" s="169">
        <f t="shared" si="1"/>
        <v>1197412</v>
      </c>
      <c r="E22" s="169">
        <f>SUM(E7:E21)</f>
        <v>778469</v>
      </c>
      <c r="F22" s="169" t="s">
        <v>17</v>
      </c>
      <c r="G22" s="169" t="s">
        <v>17</v>
      </c>
      <c r="H22" s="169" t="s">
        <v>17</v>
      </c>
      <c r="I22" s="169" t="s">
        <v>17</v>
      </c>
      <c r="J22" s="169">
        <f t="shared" ref="J22:K22" si="2">SUM(J7:J21)</f>
        <v>1738372</v>
      </c>
      <c r="K22" s="169">
        <f t="shared" si="2"/>
        <v>1327478</v>
      </c>
      <c r="L22" s="169">
        <f>SUM(L7:L21)</f>
        <v>3065850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146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>
        <v>109543</v>
      </c>
      <c r="C7" s="11">
        <v>105986</v>
      </c>
      <c r="D7" s="11">
        <v>13829</v>
      </c>
      <c r="E7" s="11">
        <v>13399</v>
      </c>
      <c r="F7" s="11">
        <v>83774</v>
      </c>
      <c r="G7" s="11">
        <v>80886</v>
      </c>
      <c r="H7" s="11">
        <v>39598</v>
      </c>
      <c r="I7" s="11">
        <v>38499</v>
      </c>
      <c r="J7" s="11">
        <v>123372</v>
      </c>
      <c r="K7" s="11">
        <v>119385</v>
      </c>
      <c r="L7" s="11">
        <v>242757</v>
      </c>
    </row>
    <row r="8" spans="1:12">
      <c r="A8" s="14" t="s">
        <v>18</v>
      </c>
      <c r="B8" s="11">
        <v>121220</v>
      </c>
      <c r="C8" s="11">
        <v>116256</v>
      </c>
      <c r="D8" s="11">
        <v>12137</v>
      </c>
      <c r="E8" s="11">
        <v>11309</v>
      </c>
      <c r="F8" s="11">
        <v>88659</v>
      </c>
      <c r="G8" s="11">
        <v>84180</v>
      </c>
      <c r="H8" s="11">
        <v>44698</v>
      </c>
      <c r="I8" s="11">
        <v>43385</v>
      </c>
      <c r="J8" s="11">
        <v>133357</v>
      </c>
      <c r="K8" s="11">
        <v>127565</v>
      </c>
      <c r="L8" s="11">
        <v>260922</v>
      </c>
    </row>
    <row r="9" spans="1:12">
      <c r="A9" s="9" t="s">
        <v>19</v>
      </c>
      <c r="B9" s="11">
        <v>137621</v>
      </c>
      <c r="C9" s="11">
        <v>132644</v>
      </c>
      <c r="D9" s="11">
        <v>9620</v>
      </c>
      <c r="E9" s="11">
        <v>8335</v>
      </c>
      <c r="F9" s="11">
        <v>97801</v>
      </c>
      <c r="G9" s="11">
        <v>93422</v>
      </c>
      <c r="H9" s="11">
        <v>49440</v>
      </c>
      <c r="I9" s="11">
        <v>47557</v>
      </c>
      <c r="J9" s="11">
        <v>147241</v>
      </c>
      <c r="K9" s="11">
        <v>140979</v>
      </c>
      <c r="L9" s="11">
        <v>288220</v>
      </c>
    </row>
    <row r="10" spans="1:12">
      <c r="A10" s="9" t="s">
        <v>20</v>
      </c>
      <c r="B10" s="11">
        <v>130466</v>
      </c>
      <c r="C10" s="11">
        <v>124741</v>
      </c>
      <c r="D10" s="11">
        <v>6082</v>
      </c>
      <c r="E10" s="11">
        <v>5467</v>
      </c>
      <c r="F10" s="11">
        <v>93894</v>
      </c>
      <c r="G10" s="11">
        <v>87920</v>
      </c>
      <c r="H10" s="11">
        <v>42654</v>
      </c>
      <c r="I10" s="11">
        <v>42288</v>
      </c>
      <c r="J10" s="11">
        <v>136548</v>
      </c>
      <c r="K10" s="11">
        <v>130208</v>
      </c>
      <c r="L10" s="11">
        <v>266756</v>
      </c>
    </row>
    <row r="11" spans="1:12">
      <c r="A11" s="9" t="s">
        <v>21</v>
      </c>
      <c r="B11" s="11">
        <v>107482</v>
      </c>
      <c r="C11" s="11">
        <v>106778</v>
      </c>
      <c r="D11" s="11">
        <v>23493</v>
      </c>
      <c r="E11" s="11">
        <v>15013</v>
      </c>
      <c r="F11" s="11">
        <v>96847</v>
      </c>
      <c r="G11" s="11">
        <v>89323</v>
      </c>
      <c r="H11" s="11">
        <v>34128</v>
      </c>
      <c r="I11" s="11">
        <v>32468</v>
      </c>
      <c r="J11" s="11">
        <v>130975</v>
      </c>
      <c r="K11" s="11">
        <v>121791</v>
      </c>
      <c r="L11" s="11">
        <v>252766</v>
      </c>
    </row>
    <row r="12" spans="1:12">
      <c r="A12" s="9" t="s">
        <v>22</v>
      </c>
      <c r="B12" s="11">
        <v>74032</v>
      </c>
      <c r="C12" s="11">
        <v>74227</v>
      </c>
      <c r="D12" s="11">
        <v>64195</v>
      </c>
      <c r="E12" s="11">
        <v>23027</v>
      </c>
      <c r="F12" s="11">
        <v>105365</v>
      </c>
      <c r="G12" s="11">
        <v>74232</v>
      </c>
      <c r="H12" s="11">
        <v>32862</v>
      </c>
      <c r="I12" s="11">
        <v>23022</v>
      </c>
      <c r="J12" s="11">
        <v>138227</v>
      </c>
      <c r="K12" s="11">
        <v>97254</v>
      </c>
      <c r="L12" s="11">
        <v>235481</v>
      </c>
    </row>
    <row r="13" spans="1:12">
      <c r="A13" s="9" t="s">
        <v>23</v>
      </c>
      <c r="B13" s="11">
        <v>47499</v>
      </c>
      <c r="C13" s="11">
        <v>45276</v>
      </c>
      <c r="D13" s="11">
        <v>77107</v>
      </c>
      <c r="E13" s="11">
        <v>23989</v>
      </c>
      <c r="F13" s="11">
        <v>97306</v>
      </c>
      <c r="G13" s="11">
        <v>54689</v>
      </c>
      <c r="H13" s="11">
        <v>27300</v>
      </c>
      <c r="I13" s="11">
        <v>14576</v>
      </c>
      <c r="J13" s="11">
        <v>124606</v>
      </c>
      <c r="K13" s="11">
        <v>69265</v>
      </c>
      <c r="L13" s="11">
        <v>193871</v>
      </c>
    </row>
    <row r="14" spans="1:12">
      <c r="A14" s="9" t="s">
        <v>24</v>
      </c>
      <c r="B14" s="11">
        <v>35741</v>
      </c>
      <c r="C14" s="11">
        <v>37347</v>
      </c>
      <c r="D14" s="11">
        <v>68399</v>
      </c>
      <c r="E14" s="11">
        <v>18972</v>
      </c>
      <c r="F14" s="11">
        <v>81623</v>
      </c>
      <c r="G14" s="11">
        <v>43348</v>
      </c>
      <c r="H14" s="11">
        <v>22517</v>
      </c>
      <c r="I14" s="11">
        <v>12971</v>
      </c>
      <c r="J14" s="11">
        <v>104140</v>
      </c>
      <c r="K14" s="11">
        <v>56319</v>
      </c>
      <c r="L14" s="11">
        <v>160459</v>
      </c>
    </row>
    <row r="15" spans="1:12">
      <c r="A15" s="9" t="s">
        <v>25</v>
      </c>
      <c r="B15" s="11">
        <v>29449</v>
      </c>
      <c r="C15" s="11">
        <v>31527</v>
      </c>
      <c r="D15" s="11">
        <v>59122</v>
      </c>
      <c r="E15" s="11">
        <v>12511</v>
      </c>
      <c r="F15" s="11">
        <v>69905</v>
      </c>
      <c r="G15" s="11">
        <v>33050</v>
      </c>
      <c r="H15" s="11">
        <v>18666</v>
      </c>
      <c r="I15" s="11">
        <v>10988</v>
      </c>
      <c r="J15" s="11">
        <v>88571</v>
      </c>
      <c r="K15" s="11">
        <v>44038</v>
      </c>
      <c r="L15" s="11">
        <v>132609</v>
      </c>
    </row>
    <row r="16" spans="1:12">
      <c r="A16" s="9" t="s">
        <v>26</v>
      </c>
      <c r="B16" s="11">
        <v>23715</v>
      </c>
      <c r="C16" s="11">
        <v>26839</v>
      </c>
      <c r="D16" s="11">
        <v>40523</v>
      </c>
      <c r="E16" s="11">
        <v>6626</v>
      </c>
      <c r="F16" s="11">
        <v>50116</v>
      </c>
      <c r="G16" s="11">
        <v>24188</v>
      </c>
      <c r="H16" s="11">
        <v>14122</v>
      </c>
      <c r="I16" s="11">
        <v>9277</v>
      </c>
      <c r="J16" s="11">
        <v>64238</v>
      </c>
      <c r="K16" s="11">
        <v>33465</v>
      </c>
      <c r="L16" s="11">
        <v>97703</v>
      </c>
    </row>
    <row r="17" spans="1:12">
      <c r="A17" s="9" t="s">
        <v>27</v>
      </c>
      <c r="B17" s="11">
        <v>20383</v>
      </c>
      <c r="C17" s="11">
        <v>22312</v>
      </c>
      <c r="D17" s="11">
        <v>23406</v>
      </c>
      <c r="E17" s="11">
        <v>3535</v>
      </c>
      <c r="F17" s="11">
        <v>33611</v>
      </c>
      <c r="G17" s="11">
        <v>17967</v>
      </c>
      <c r="H17" s="11">
        <v>10178</v>
      </c>
      <c r="I17" s="11">
        <v>7880</v>
      </c>
      <c r="J17" s="11">
        <v>43789</v>
      </c>
      <c r="K17" s="11">
        <v>25847</v>
      </c>
      <c r="L17" s="11">
        <v>69636</v>
      </c>
    </row>
    <row r="18" spans="1:12">
      <c r="A18" s="9" t="s">
        <v>28</v>
      </c>
      <c r="B18" s="11">
        <v>15935</v>
      </c>
      <c r="C18" s="11">
        <v>15203</v>
      </c>
      <c r="D18" s="11">
        <v>8707</v>
      </c>
      <c r="E18" s="16">
        <v>1732</v>
      </c>
      <c r="F18" s="11">
        <v>17948</v>
      </c>
      <c r="G18" s="11">
        <v>11508</v>
      </c>
      <c r="H18" s="11">
        <v>6694</v>
      </c>
      <c r="I18" s="11">
        <v>5427</v>
      </c>
      <c r="J18" s="11">
        <v>24642</v>
      </c>
      <c r="K18" s="11">
        <v>16935</v>
      </c>
      <c r="L18" s="11">
        <v>41577</v>
      </c>
    </row>
    <row r="19" spans="1:12">
      <c r="A19" s="9" t="s">
        <v>29</v>
      </c>
      <c r="B19" s="11">
        <v>17240</v>
      </c>
      <c r="C19" s="11">
        <v>14808</v>
      </c>
      <c r="D19" s="11">
        <v>3485</v>
      </c>
      <c r="E19" s="16">
        <v>1067</v>
      </c>
      <c r="F19" s="11">
        <v>13643</v>
      </c>
      <c r="G19" s="11">
        <v>10350</v>
      </c>
      <c r="H19" s="11">
        <v>7082</v>
      </c>
      <c r="I19" s="11">
        <v>5525</v>
      </c>
      <c r="J19" s="11">
        <v>20725</v>
      </c>
      <c r="K19" s="11">
        <v>15875</v>
      </c>
      <c r="L19" s="11">
        <v>36600</v>
      </c>
    </row>
    <row r="20" spans="1:12">
      <c r="A20" s="9" t="s">
        <v>30</v>
      </c>
      <c r="B20" s="11">
        <v>10389</v>
      </c>
      <c r="C20" s="11">
        <v>7989</v>
      </c>
      <c r="D20" s="16">
        <v>1074</v>
      </c>
      <c r="E20" s="16">
        <v>617</v>
      </c>
      <c r="F20" s="11">
        <v>7315</v>
      </c>
      <c r="G20" s="11">
        <v>5571</v>
      </c>
      <c r="H20" s="11">
        <v>4148</v>
      </c>
      <c r="I20" s="11">
        <v>3035</v>
      </c>
      <c r="J20" s="11">
        <v>11463</v>
      </c>
      <c r="K20" s="11">
        <v>8606</v>
      </c>
      <c r="L20" s="11">
        <v>20069</v>
      </c>
    </row>
    <row r="21" spans="1:12">
      <c r="A21" s="9" t="s">
        <v>31</v>
      </c>
      <c r="B21" s="11">
        <v>8959</v>
      </c>
      <c r="C21" s="11">
        <v>7973</v>
      </c>
      <c r="D21" s="16">
        <v>588</v>
      </c>
      <c r="E21" s="16">
        <v>413</v>
      </c>
      <c r="F21" s="11">
        <v>5815</v>
      </c>
      <c r="G21" s="11">
        <v>5257</v>
      </c>
      <c r="H21" s="11">
        <v>3732</v>
      </c>
      <c r="I21" s="11">
        <v>3129</v>
      </c>
      <c r="J21" s="11">
        <v>9547</v>
      </c>
      <c r="K21" s="11">
        <v>8386</v>
      </c>
      <c r="L21" s="11">
        <v>17933</v>
      </c>
    </row>
    <row r="22" spans="1:12" ht="15.75" thickBot="1">
      <c r="A22" s="9" t="s">
        <v>32</v>
      </c>
      <c r="B22" s="11">
        <v>10654</v>
      </c>
      <c r="C22" s="11">
        <v>10949</v>
      </c>
      <c r="D22" s="16">
        <v>507</v>
      </c>
      <c r="E22" s="16">
        <v>419</v>
      </c>
      <c r="F22" s="11">
        <v>6424</v>
      </c>
      <c r="G22" s="11">
        <v>6941</v>
      </c>
      <c r="H22" s="11">
        <v>4737</v>
      </c>
      <c r="I22" s="11">
        <v>4427</v>
      </c>
      <c r="J22" s="11">
        <v>11161</v>
      </c>
      <c r="K22" s="11">
        <v>11368</v>
      </c>
      <c r="L22" s="11">
        <v>22529</v>
      </c>
    </row>
    <row r="23" spans="1:12" ht="26.25" thickBot="1">
      <c r="A23" s="66" t="s">
        <v>108</v>
      </c>
      <c r="B23" s="67">
        <v>212</v>
      </c>
      <c r="C23" s="67">
        <v>163</v>
      </c>
      <c r="D23" s="67">
        <v>425</v>
      </c>
      <c r="E23" s="67">
        <v>127</v>
      </c>
      <c r="F23" s="67">
        <v>425</v>
      </c>
      <c r="G23" s="67">
        <v>177</v>
      </c>
      <c r="H23" s="67">
        <v>212</v>
      </c>
      <c r="I23" s="67">
        <v>113</v>
      </c>
      <c r="J23" s="67">
        <v>637</v>
      </c>
      <c r="K23" s="67">
        <v>290</v>
      </c>
      <c r="L23" s="68">
        <v>927</v>
      </c>
    </row>
    <row r="24" spans="1:12" ht="27" thickBot="1">
      <c r="A24" s="71" t="s">
        <v>33</v>
      </c>
      <c r="B24" s="99">
        <v>900540</v>
      </c>
      <c r="C24" s="99">
        <v>881018</v>
      </c>
      <c r="D24" s="99">
        <v>412699</v>
      </c>
      <c r="E24" s="99">
        <v>146558</v>
      </c>
      <c r="F24" s="99">
        <v>950471</v>
      </c>
      <c r="G24" s="99">
        <v>723009</v>
      </c>
      <c r="H24" s="99">
        <v>362768</v>
      </c>
      <c r="I24" s="99">
        <v>304567</v>
      </c>
      <c r="J24" s="99">
        <v>1313239</v>
      </c>
      <c r="K24" s="99">
        <v>1027576</v>
      </c>
      <c r="L24" s="99">
        <v>2340815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5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147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>
        <v>134541</v>
      </c>
      <c r="C7" s="11">
        <v>128988</v>
      </c>
      <c r="D7" s="11">
        <v>16130</v>
      </c>
      <c r="E7" s="11">
        <v>15486</v>
      </c>
      <c r="F7" s="11" t="s">
        <v>38</v>
      </c>
      <c r="G7" s="11" t="s">
        <v>38</v>
      </c>
      <c r="H7" s="11" t="s">
        <v>38</v>
      </c>
      <c r="I7" s="11" t="s">
        <v>38</v>
      </c>
      <c r="J7" s="11">
        <v>150671</v>
      </c>
      <c r="K7" s="11">
        <v>144474</v>
      </c>
      <c r="L7" s="11">
        <v>295145</v>
      </c>
    </row>
    <row r="8" spans="1:12">
      <c r="A8" s="14" t="s">
        <v>18</v>
      </c>
      <c r="B8" s="11">
        <v>108737</v>
      </c>
      <c r="C8" s="11">
        <v>105124</v>
      </c>
      <c r="D8" s="11">
        <v>14625</v>
      </c>
      <c r="E8" s="11">
        <v>13509</v>
      </c>
      <c r="F8" s="11" t="s">
        <v>38</v>
      </c>
      <c r="G8" s="11" t="s">
        <v>38</v>
      </c>
      <c r="H8" s="11" t="s">
        <v>38</v>
      </c>
      <c r="I8" s="11" t="s">
        <v>38</v>
      </c>
      <c r="J8" s="11">
        <v>123362</v>
      </c>
      <c r="K8" s="11">
        <v>118633</v>
      </c>
      <c r="L8" s="11">
        <v>241995</v>
      </c>
    </row>
    <row r="9" spans="1:12">
      <c r="A9" s="9" t="s">
        <v>19</v>
      </c>
      <c r="B9" s="11">
        <v>108989</v>
      </c>
      <c r="C9" s="11">
        <v>104322</v>
      </c>
      <c r="D9" s="11">
        <v>11329</v>
      </c>
      <c r="E9" s="11">
        <v>10057</v>
      </c>
      <c r="F9" s="11" t="s">
        <v>38</v>
      </c>
      <c r="G9" s="11" t="s">
        <v>38</v>
      </c>
      <c r="H9" s="11" t="s">
        <v>38</v>
      </c>
      <c r="I9" s="11" t="s">
        <v>38</v>
      </c>
      <c r="J9" s="11">
        <v>120318</v>
      </c>
      <c r="K9" s="11">
        <v>114379</v>
      </c>
      <c r="L9" s="11">
        <v>234697</v>
      </c>
    </row>
    <row r="10" spans="1:12">
      <c r="A10" s="9" t="s">
        <v>20</v>
      </c>
      <c r="B10" s="11">
        <v>125124</v>
      </c>
      <c r="C10" s="11">
        <v>118824</v>
      </c>
      <c r="D10" s="11">
        <v>7282</v>
      </c>
      <c r="E10" s="11">
        <v>6392</v>
      </c>
      <c r="F10" s="11" t="s">
        <v>38</v>
      </c>
      <c r="G10" s="11" t="s">
        <v>38</v>
      </c>
      <c r="H10" s="11" t="s">
        <v>38</v>
      </c>
      <c r="I10" s="11" t="s">
        <v>38</v>
      </c>
      <c r="J10" s="11">
        <v>132406</v>
      </c>
      <c r="K10" s="11">
        <v>125216</v>
      </c>
      <c r="L10" s="11">
        <v>257622</v>
      </c>
    </row>
    <row r="11" spans="1:12">
      <c r="A11" s="9" t="s">
        <v>21</v>
      </c>
      <c r="B11" s="11">
        <v>123221</v>
      </c>
      <c r="C11" s="11">
        <v>117271</v>
      </c>
      <c r="D11" s="11">
        <v>66738</v>
      </c>
      <c r="E11" s="11">
        <v>16165</v>
      </c>
      <c r="F11" s="11" t="s">
        <v>38</v>
      </c>
      <c r="G11" s="11" t="s">
        <v>38</v>
      </c>
      <c r="H11" s="11" t="s">
        <v>38</v>
      </c>
      <c r="I11" s="11" t="s">
        <v>38</v>
      </c>
      <c r="J11" s="11">
        <v>189959</v>
      </c>
      <c r="K11" s="11">
        <v>133436</v>
      </c>
      <c r="L11" s="11">
        <v>323395</v>
      </c>
    </row>
    <row r="12" spans="1:12">
      <c r="A12" s="9" t="s">
        <v>22</v>
      </c>
      <c r="B12" s="11">
        <v>103502</v>
      </c>
      <c r="C12" s="11">
        <v>102679</v>
      </c>
      <c r="D12" s="11">
        <v>137291</v>
      </c>
      <c r="E12" s="11">
        <v>29462</v>
      </c>
      <c r="F12" s="11" t="s">
        <v>38</v>
      </c>
      <c r="G12" s="11" t="s">
        <v>38</v>
      </c>
      <c r="H12" s="11" t="s">
        <v>38</v>
      </c>
      <c r="I12" s="11" t="s">
        <v>38</v>
      </c>
      <c r="J12" s="11">
        <v>240793</v>
      </c>
      <c r="K12" s="11">
        <v>132141</v>
      </c>
      <c r="L12" s="11">
        <v>372934</v>
      </c>
    </row>
    <row r="13" spans="1:12">
      <c r="A13" s="9" t="s">
        <v>23</v>
      </c>
      <c r="B13" s="11">
        <v>76105</v>
      </c>
      <c r="C13" s="11">
        <v>76737</v>
      </c>
      <c r="D13" s="11">
        <v>108729</v>
      </c>
      <c r="E13" s="11">
        <v>32241</v>
      </c>
      <c r="F13" s="11" t="s">
        <v>38</v>
      </c>
      <c r="G13" s="11" t="s">
        <v>38</v>
      </c>
      <c r="H13" s="11" t="s">
        <v>38</v>
      </c>
      <c r="I13" s="11" t="s">
        <v>38</v>
      </c>
      <c r="J13" s="11">
        <v>184834</v>
      </c>
      <c r="K13" s="11">
        <v>108978</v>
      </c>
      <c r="L13" s="11">
        <v>293812</v>
      </c>
    </row>
    <row r="14" spans="1:12">
      <c r="A14" s="9" t="s">
        <v>24</v>
      </c>
      <c r="B14" s="11">
        <v>51365</v>
      </c>
      <c r="C14" s="11">
        <v>50068</v>
      </c>
      <c r="D14" s="11">
        <v>89294</v>
      </c>
      <c r="E14" s="11">
        <v>27808</v>
      </c>
      <c r="F14" s="11" t="s">
        <v>38</v>
      </c>
      <c r="G14" s="11" t="s">
        <v>38</v>
      </c>
      <c r="H14" s="11" t="s">
        <v>38</v>
      </c>
      <c r="I14" s="11" t="s">
        <v>38</v>
      </c>
      <c r="J14" s="11">
        <v>140659</v>
      </c>
      <c r="K14" s="11">
        <v>77876</v>
      </c>
      <c r="L14" s="11">
        <v>218535</v>
      </c>
    </row>
    <row r="15" spans="1:12">
      <c r="A15" s="9" t="s">
        <v>25</v>
      </c>
      <c r="B15" s="11">
        <v>36547</v>
      </c>
      <c r="C15" s="11">
        <v>36467</v>
      </c>
      <c r="D15" s="11">
        <v>69186</v>
      </c>
      <c r="E15" s="11">
        <v>18285</v>
      </c>
      <c r="F15" s="11" t="s">
        <v>38</v>
      </c>
      <c r="G15" s="11" t="s">
        <v>38</v>
      </c>
      <c r="H15" s="11" t="s">
        <v>38</v>
      </c>
      <c r="I15" s="11" t="s">
        <v>38</v>
      </c>
      <c r="J15" s="11">
        <v>105733</v>
      </c>
      <c r="K15" s="11">
        <v>54752</v>
      </c>
      <c r="L15" s="11">
        <v>160485</v>
      </c>
    </row>
    <row r="16" spans="1:12">
      <c r="A16" s="9" t="s">
        <v>26</v>
      </c>
      <c r="B16" s="11">
        <v>29226</v>
      </c>
      <c r="C16" s="11">
        <v>30082</v>
      </c>
      <c r="D16" s="11">
        <v>44602</v>
      </c>
      <c r="E16" s="11">
        <v>11108</v>
      </c>
      <c r="F16" s="11" t="s">
        <v>38</v>
      </c>
      <c r="G16" s="11" t="s">
        <v>38</v>
      </c>
      <c r="H16" s="11" t="s">
        <v>38</v>
      </c>
      <c r="I16" s="11" t="s">
        <v>38</v>
      </c>
      <c r="J16" s="11">
        <v>73828</v>
      </c>
      <c r="K16" s="11">
        <v>41190</v>
      </c>
      <c r="L16" s="11">
        <v>115018</v>
      </c>
    </row>
    <row r="17" spans="1:12">
      <c r="A17" s="9" t="s">
        <v>27</v>
      </c>
      <c r="B17" s="11">
        <v>24580</v>
      </c>
      <c r="C17" s="11">
        <v>27539</v>
      </c>
      <c r="D17" s="11">
        <v>32554</v>
      </c>
      <c r="E17" s="11">
        <v>6634</v>
      </c>
      <c r="F17" s="11" t="s">
        <v>38</v>
      </c>
      <c r="G17" s="11" t="s">
        <v>38</v>
      </c>
      <c r="H17" s="11" t="s">
        <v>38</v>
      </c>
      <c r="I17" s="11" t="s">
        <v>38</v>
      </c>
      <c r="J17" s="11">
        <v>57134</v>
      </c>
      <c r="K17" s="11">
        <v>34173</v>
      </c>
      <c r="L17" s="11">
        <v>91307</v>
      </c>
    </row>
    <row r="18" spans="1:12">
      <c r="A18" s="9" t="s">
        <v>28</v>
      </c>
      <c r="B18" s="11">
        <v>17176</v>
      </c>
      <c r="C18" s="11">
        <v>18977</v>
      </c>
      <c r="D18" s="11">
        <v>15448</v>
      </c>
      <c r="E18" s="11">
        <v>3312</v>
      </c>
      <c r="F18" s="11" t="s">
        <v>38</v>
      </c>
      <c r="G18" s="11" t="s">
        <v>38</v>
      </c>
      <c r="H18" s="11" t="s">
        <v>38</v>
      </c>
      <c r="I18" s="11" t="s">
        <v>38</v>
      </c>
      <c r="J18" s="11">
        <v>32624</v>
      </c>
      <c r="K18" s="11">
        <v>22289</v>
      </c>
      <c r="L18" s="11">
        <v>54913</v>
      </c>
    </row>
    <row r="19" spans="1:12">
      <c r="A19" s="9" t="s">
        <v>29</v>
      </c>
      <c r="B19" s="11">
        <v>16345</v>
      </c>
      <c r="C19" s="11">
        <v>16119</v>
      </c>
      <c r="D19" s="11">
        <v>5532</v>
      </c>
      <c r="E19" s="11">
        <v>1812</v>
      </c>
      <c r="F19" s="11" t="s">
        <v>38</v>
      </c>
      <c r="G19" s="11" t="s">
        <v>38</v>
      </c>
      <c r="H19" s="11" t="s">
        <v>38</v>
      </c>
      <c r="I19" s="11" t="s">
        <v>38</v>
      </c>
      <c r="J19" s="11">
        <v>21877</v>
      </c>
      <c r="K19" s="11">
        <v>17931</v>
      </c>
      <c r="L19" s="11">
        <v>39808</v>
      </c>
    </row>
    <row r="20" spans="1:12">
      <c r="A20" s="9" t="s">
        <v>30</v>
      </c>
      <c r="B20" s="11">
        <v>11679</v>
      </c>
      <c r="C20" s="11">
        <v>11050</v>
      </c>
      <c r="D20" s="11">
        <v>1651</v>
      </c>
      <c r="E20" s="11">
        <v>899</v>
      </c>
      <c r="F20" s="11" t="s">
        <v>38</v>
      </c>
      <c r="G20" s="11" t="s">
        <v>38</v>
      </c>
      <c r="H20" s="11" t="s">
        <v>38</v>
      </c>
      <c r="I20" s="11" t="s">
        <v>38</v>
      </c>
      <c r="J20" s="11">
        <v>13330</v>
      </c>
      <c r="K20" s="11">
        <v>11949</v>
      </c>
      <c r="L20" s="11">
        <v>25279</v>
      </c>
    </row>
    <row r="21" spans="1:12">
      <c r="A21" s="9" t="s">
        <v>31</v>
      </c>
      <c r="B21" s="11">
        <v>11220</v>
      </c>
      <c r="C21" s="11">
        <v>9600</v>
      </c>
      <c r="D21" s="11">
        <v>753</v>
      </c>
      <c r="E21" s="11">
        <v>558</v>
      </c>
      <c r="F21" s="11" t="s">
        <v>38</v>
      </c>
      <c r="G21" s="11" t="s">
        <v>38</v>
      </c>
      <c r="H21" s="11" t="s">
        <v>38</v>
      </c>
      <c r="I21" s="11" t="s">
        <v>38</v>
      </c>
      <c r="J21" s="11">
        <v>11973</v>
      </c>
      <c r="K21" s="11">
        <v>10158</v>
      </c>
      <c r="L21" s="11">
        <v>22131</v>
      </c>
    </row>
    <row r="22" spans="1:12">
      <c r="A22" s="7" t="s">
        <v>119</v>
      </c>
      <c r="B22" s="11">
        <v>5442</v>
      </c>
      <c r="C22" s="11">
        <v>4885</v>
      </c>
      <c r="D22" s="11">
        <v>310</v>
      </c>
      <c r="E22" s="11">
        <v>309</v>
      </c>
      <c r="F22" s="11" t="s">
        <v>38</v>
      </c>
      <c r="G22" s="11" t="s">
        <v>38</v>
      </c>
      <c r="H22" s="11" t="s">
        <v>38</v>
      </c>
      <c r="I22" s="11" t="s">
        <v>38</v>
      </c>
      <c r="J22" s="11">
        <v>5752</v>
      </c>
      <c r="K22" s="11">
        <v>5194</v>
      </c>
      <c r="L22" s="11">
        <v>10946</v>
      </c>
    </row>
    <row r="23" spans="1:12" ht="15.75" thickBot="1">
      <c r="A23" s="7" t="s">
        <v>120</v>
      </c>
      <c r="B23" s="11">
        <v>6791</v>
      </c>
      <c r="C23" s="11">
        <v>8014</v>
      </c>
      <c r="D23" s="11">
        <v>364</v>
      </c>
      <c r="E23" s="11">
        <v>288</v>
      </c>
      <c r="F23" s="11" t="s">
        <v>38</v>
      </c>
      <c r="G23" s="11" t="s">
        <v>38</v>
      </c>
      <c r="H23" s="11" t="s">
        <v>38</v>
      </c>
      <c r="I23" s="11" t="s">
        <v>38</v>
      </c>
      <c r="J23" s="11">
        <v>7155</v>
      </c>
      <c r="K23" s="11">
        <v>8302</v>
      </c>
      <c r="L23" s="11">
        <v>15457</v>
      </c>
    </row>
    <row r="24" spans="1:12" ht="26.25" thickBot="1">
      <c r="A24" s="66" t="s">
        <v>108</v>
      </c>
      <c r="B24" s="67" t="s">
        <v>38</v>
      </c>
      <c r="C24" s="67" t="s">
        <v>38</v>
      </c>
      <c r="D24" s="67" t="s">
        <v>38</v>
      </c>
      <c r="E24" s="67" t="s">
        <v>38</v>
      </c>
      <c r="F24" s="67" t="s">
        <v>38</v>
      </c>
      <c r="G24" s="67" t="s">
        <v>38</v>
      </c>
      <c r="H24" s="67" t="s">
        <v>38</v>
      </c>
      <c r="I24" s="67" t="s">
        <v>38</v>
      </c>
      <c r="J24" s="67" t="s">
        <v>38</v>
      </c>
      <c r="K24" s="67" t="s">
        <v>38</v>
      </c>
      <c r="L24" s="68" t="s">
        <v>38</v>
      </c>
    </row>
    <row r="25" spans="1:12" ht="27" thickBot="1">
      <c r="A25" s="71" t="s">
        <v>33</v>
      </c>
      <c r="B25" s="99">
        <v>990590</v>
      </c>
      <c r="C25" s="99">
        <v>966746</v>
      </c>
      <c r="D25" s="99">
        <v>621818</v>
      </c>
      <c r="E25" s="99">
        <v>194325</v>
      </c>
      <c r="F25" s="99" t="s">
        <v>38</v>
      </c>
      <c r="G25" s="99" t="s">
        <v>38</v>
      </c>
      <c r="H25" s="99" t="s">
        <v>38</v>
      </c>
      <c r="I25" s="99" t="s">
        <v>38</v>
      </c>
      <c r="J25" s="99">
        <v>1612408</v>
      </c>
      <c r="K25" s="99">
        <v>1161071</v>
      </c>
      <c r="L25" s="99">
        <v>2773479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8.75">
      <c r="A1" s="143" t="s">
        <v>160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293" t="s">
        <v>232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78" t="s">
        <v>8</v>
      </c>
      <c r="K4" s="108"/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>
        <v>245122</v>
      </c>
      <c r="C7" s="11">
        <v>233541</v>
      </c>
      <c r="D7" s="16">
        <v>53</v>
      </c>
      <c r="E7" s="16">
        <v>56</v>
      </c>
      <c r="F7" s="11" t="s">
        <v>17</v>
      </c>
      <c r="G7" s="11" t="s">
        <v>17</v>
      </c>
      <c r="H7" s="11" t="s">
        <v>17</v>
      </c>
      <c r="I7" s="11" t="s">
        <v>17</v>
      </c>
      <c r="J7" s="11">
        <v>245175</v>
      </c>
      <c r="K7" s="11">
        <v>233597</v>
      </c>
      <c r="L7" s="11">
        <v>478772</v>
      </c>
    </row>
    <row r="8" spans="1:12">
      <c r="A8" s="14" t="s">
        <v>18</v>
      </c>
      <c r="B8" s="11">
        <v>216547</v>
      </c>
      <c r="C8" s="11">
        <v>206207</v>
      </c>
      <c r="D8" s="16">
        <v>52</v>
      </c>
      <c r="E8" s="16">
        <v>45</v>
      </c>
      <c r="F8" s="13" t="s">
        <v>17</v>
      </c>
      <c r="G8" s="13" t="s">
        <v>17</v>
      </c>
      <c r="H8" s="11" t="s">
        <v>17</v>
      </c>
      <c r="I8" s="11" t="s">
        <v>17</v>
      </c>
      <c r="J8" s="11">
        <v>216599</v>
      </c>
      <c r="K8" s="11">
        <v>206252</v>
      </c>
      <c r="L8" s="11">
        <v>422851</v>
      </c>
    </row>
    <row r="9" spans="1:12">
      <c r="A9" s="9" t="s">
        <v>19</v>
      </c>
      <c r="B9" s="11">
        <v>165224</v>
      </c>
      <c r="C9" s="11">
        <v>156222</v>
      </c>
      <c r="D9" s="16">
        <v>71</v>
      </c>
      <c r="E9" s="16">
        <v>56</v>
      </c>
      <c r="F9" s="13" t="s">
        <v>17</v>
      </c>
      <c r="G9" s="13" t="s">
        <v>17</v>
      </c>
      <c r="H9" s="11" t="s">
        <v>17</v>
      </c>
      <c r="I9" s="11" t="s">
        <v>17</v>
      </c>
      <c r="J9" s="11">
        <v>165295</v>
      </c>
      <c r="K9" s="11">
        <v>156278</v>
      </c>
      <c r="L9" s="11">
        <v>321573</v>
      </c>
    </row>
    <row r="10" spans="1:12">
      <c r="A10" s="9" t="s">
        <v>20</v>
      </c>
      <c r="B10" s="11">
        <v>140675</v>
      </c>
      <c r="C10" s="11">
        <v>132372</v>
      </c>
      <c r="D10" s="16">
        <v>72</v>
      </c>
      <c r="E10" s="16">
        <v>232</v>
      </c>
      <c r="F10" s="13" t="s">
        <v>17</v>
      </c>
      <c r="G10" s="13" t="s">
        <v>17</v>
      </c>
      <c r="H10" s="11" t="s">
        <v>17</v>
      </c>
      <c r="I10" s="11" t="s">
        <v>17</v>
      </c>
      <c r="J10" s="11">
        <v>140747</v>
      </c>
      <c r="K10" s="11">
        <v>132604</v>
      </c>
      <c r="L10" s="11">
        <v>273351</v>
      </c>
    </row>
    <row r="11" spans="1:12">
      <c r="A11" s="9" t="s">
        <v>21</v>
      </c>
      <c r="B11" s="11">
        <v>122181</v>
      </c>
      <c r="C11" s="11">
        <v>113814</v>
      </c>
      <c r="D11" s="16">
        <v>136</v>
      </c>
      <c r="E11" s="16">
        <v>525</v>
      </c>
      <c r="F11" s="13" t="s">
        <v>17</v>
      </c>
      <c r="G11" s="13" t="s">
        <v>17</v>
      </c>
      <c r="H11" s="11" t="s">
        <v>17</v>
      </c>
      <c r="I11" s="11" t="s">
        <v>17</v>
      </c>
      <c r="J11" s="11">
        <v>122317</v>
      </c>
      <c r="K11" s="11">
        <v>114339</v>
      </c>
      <c r="L11" s="11">
        <v>236656</v>
      </c>
    </row>
    <row r="12" spans="1:12">
      <c r="A12" s="9" t="s">
        <v>22</v>
      </c>
      <c r="B12" s="11">
        <v>98766</v>
      </c>
      <c r="C12" s="11">
        <v>91456</v>
      </c>
      <c r="D12" s="16">
        <v>196</v>
      </c>
      <c r="E12" s="16">
        <v>485</v>
      </c>
      <c r="F12" s="13" t="s">
        <v>17</v>
      </c>
      <c r="G12" s="13" t="s">
        <v>17</v>
      </c>
      <c r="H12" s="11" t="s">
        <v>17</v>
      </c>
      <c r="I12" s="11" t="s">
        <v>17</v>
      </c>
      <c r="J12" s="11">
        <v>98962</v>
      </c>
      <c r="K12" s="11">
        <v>91941</v>
      </c>
      <c r="L12" s="11">
        <v>190903</v>
      </c>
    </row>
    <row r="13" spans="1:12">
      <c r="A13" s="9" t="s">
        <v>23</v>
      </c>
      <c r="B13" s="11">
        <v>86044</v>
      </c>
      <c r="C13" s="11">
        <v>78840</v>
      </c>
      <c r="D13" s="16">
        <v>151</v>
      </c>
      <c r="E13" s="16">
        <v>328</v>
      </c>
      <c r="F13" s="13" t="s">
        <v>17</v>
      </c>
      <c r="G13" s="13" t="s">
        <v>17</v>
      </c>
      <c r="H13" s="11" t="s">
        <v>17</v>
      </c>
      <c r="I13" s="11" t="s">
        <v>17</v>
      </c>
      <c r="J13" s="11">
        <v>86195</v>
      </c>
      <c r="K13" s="11">
        <v>79168</v>
      </c>
      <c r="L13" s="11">
        <v>165363</v>
      </c>
    </row>
    <row r="14" spans="1:12">
      <c r="A14" s="9" t="s">
        <v>24</v>
      </c>
      <c r="B14" s="11">
        <v>64317</v>
      </c>
      <c r="C14" s="11">
        <v>59112</v>
      </c>
      <c r="D14" s="16">
        <v>108</v>
      </c>
      <c r="E14" s="16">
        <v>233</v>
      </c>
      <c r="F14" s="13" t="s">
        <v>17</v>
      </c>
      <c r="G14" s="13" t="s">
        <v>17</v>
      </c>
      <c r="H14" s="11" t="s">
        <v>17</v>
      </c>
      <c r="I14" s="11" t="s">
        <v>17</v>
      </c>
      <c r="J14" s="11">
        <v>64425</v>
      </c>
      <c r="K14" s="11">
        <v>59345</v>
      </c>
      <c r="L14" s="11">
        <v>123770</v>
      </c>
    </row>
    <row r="15" spans="1:12">
      <c r="A15" s="9" t="s">
        <v>25</v>
      </c>
      <c r="B15" s="11">
        <v>44303</v>
      </c>
      <c r="C15" s="11">
        <v>44046</v>
      </c>
      <c r="D15" s="16">
        <v>81</v>
      </c>
      <c r="E15" s="16">
        <v>238</v>
      </c>
      <c r="F15" s="13" t="s">
        <v>17</v>
      </c>
      <c r="G15" s="13" t="s">
        <v>17</v>
      </c>
      <c r="H15" s="11" t="s">
        <v>17</v>
      </c>
      <c r="I15" s="11" t="s">
        <v>17</v>
      </c>
      <c r="J15" s="11">
        <v>44384</v>
      </c>
      <c r="K15" s="11">
        <v>44284</v>
      </c>
      <c r="L15" s="11">
        <v>88668</v>
      </c>
    </row>
    <row r="16" spans="1:12">
      <c r="A16" s="9" t="s">
        <v>26</v>
      </c>
      <c r="B16" s="11">
        <v>34793</v>
      </c>
      <c r="C16" s="11">
        <v>33307</v>
      </c>
      <c r="D16" s="16">
        <v>87</v>
      </c>
      <c r="E16" s="16">
        <v>164</v>
      </c>
      <c r="F16" s="13" t="s">
        <v>17</v>
      </c>
      <c r="G16" s="13" t="s">
        <v>17</v>
      </c>
      <c r="H16" s="11" t="s">
        <v>17</v>
      </c>
      <c r="I16" s="11" t="s">
        <v>17</v>
      </c>
      <c r="J16" s="11">
        <v>34880</v>
      </c>
      <c r="K16" s="11">
        <v>33471</v>
      </c>
      <c r="L16" s="11">
        <v>68351</v>
      </c>
    </row>
    <row r="17" spans="1:12">
      <c r="A17" s="9" t="s">
        <v>27</v>
      </c>
      <c r="B17" s="11">
        <v>26018</v>
      </c>
      <c r="C17" s="11">
        <v>29800</v>
      </c>
      <c r="D17" s="16">
        <v>73</v>
      </c>
      <c r="E17" s="16">
        <v>107</v>
      </c>
      <c r="F17" s="13" t="s">
        <v>17</v>
      </c>
      <c r="G17" s="13" t="s">
        <v>17</v>
      </c>
      <c r="H17" s="11" t="s">
        <v>17</v>
      </c>
      <c r="I17" s="11" t="s">
        <v>17</v>
      </c>
      <c r="J17" s="11">
        <v>26091</v>
      </c>
      <c r="K17" s="11">
        <v>29907</v>
      </c>
      <c r="L17" s="11">
        <v>55998</v>
      </c>
    </row>
    <row r="18" spans="1:12">
      <c r="A18" s="9" t="s">
        <v>28</v>
      </c>
      <c r="B18" s="11">
        <v>17545</v>
      </c>
      <c r="C18" s="11">
        <v>24314</v>
      </c>
      <c r="D18" s="16">
        <v>53</v>
      </c>
      <c r="E18" s="16">
        <v>72</v>
      </c>
      <c r="F18" s="13" t="s">
        <v>17</v>
      </c>
      <c r="G18" s="13" t="s">
        <v>17</v>
      </c>
      <c r="H18" s="11" t="s">
        <v>17</v>
      </c>
      <c r="I18" s="11" t="s">
        <v>17</v>
      </c>
      <c r="J18" s="11">
        <v>17598</v>
      </c>
      <c r="K18" s="11">
        <v>24386</v>
      </c>
      <c r="L18" s="11">
        <v>41984</v>
      </c>
    </row>
    <row r="19" spans="1:12">
      <c r="A19" s="9" t="s">
        <v>29</v>
      </c>
      <c r="B19" s="11">
        <v>18741</v>
      </c>
      <c r="C19" s="11">
        <v>23053</v>
      </c>
      <c r="D19" s="16">
        <v>45</v>
      </c>
      <c r="E19" s="16">
        <v>64</v>
      </c>
      <c r="F19" s="13" t="s">
        <v>17</v>
      </c>
      <c r="G19" s="13" t="s">
        <v>17</v>
      </c>
      <c r="H19" s="11" t="s">
        <v>17</v>
      </c>
      <c r="I19" s="11" t="s">
        <v>17</v>
      </c>
      <c r="J19" s="11">
        <v>18786</v>
      </c>
      <c r="K19" s="11">
        <v>23117</v>
      </c>
      <c r="L19" s="11">
        <v>41903</v>
      </c>
    </row>
    <row r="20" spans="1:12">
      <c r="A20" s="9" t="s">
        <v>30</v>
      </c>
      <c r="B20" s="11">
        <v>14728</v>
      </c>
      <c r="C20" s="11">
        <v>19652</v>
      </c>
      <c r="D20" s="16">
        <v>27</v>
      </c>
      <c r="E20" s="16">
        <v>42</v>
      </c>
      <c r="F20" s="13" t="s">
        <v>17</v>
      </c>
      <c r="G20" s="13" t="s">
        <v>17</v>
      </c>
      <c r="H20" s="11" t="s">
        <v>17</v>
      </c>
      <c r="I20" s="11" t="s">
        <v>17</v>
      </c>
      <c r="J20" s="11">
        <v>14755</v>
      </c>
      <c r="K20" s="11">
        <v>19694</v>
      </c>
      <c r="L20" s="11">
        <v>34449</v>
      </c>
    </row>
    <row r="21" spans="1:12">
      <c r="A21" s="9" t="s">
        <v>31</v>
      </c>
      <c r="B21" s="11">
        <v>10925</v>
      </c>
      <c r="C21" s="11">
        <v>13971</v>
      </c>
      <c r="D21" s="16">
        <v>16</v>
      </c>
      <c r="E21" s="16">
        <v>36</v>
      </c>
      <c r="F21" s="13" t="s">
        <v>17</v>
      </c>
      <c r="G21" s="13" t="s">
        <v>17</v>
      </c>
      <c r="H21" s="11" t="s">
        <v>17</v>
      </c>
      <c r="I21" s="11" t="s">
        <v>17</v>
      </c>
      <c r="J21" s="11">
        <v>10941</v>
      </c>
      <c r="K21" s="11">
        <v>14007</v>
      </c>
      <c r="L21" s="11">
        <v>24948</v>
      </c>
    </row>
    <row r="22" spans="1:12" ht="15.75" thickBot="1">
      <c r="A22" s="7" t="s">
        <v>32</v>
      </c>
      <c r="B22" s="11">
        <v>14364</v>
      </c>
      <c r="C22" s="11">
        <v>16376</v>
      </c>
      <c r="D22" s="16">
        <v>25</v>
      </c>
      <c r="E22" s="16">
        <v>57</v>
      </c>
      <c r="F22" s="13" t="s">
        <v>17</v>
      </c>
      <c r="G22" s="13" t="s">
        <v>17</v>
      </c>
      <c r="H22" s="11" t="s">
        <v>17</v>
      </c>
      <c r="I22" s="11" t="s">
        <v>17</v>
      </c>
      <c r="J22" s="11">
        <v>14389</v>
      </c>
      <c r="K22" s="11">
        <v>16433</v>
      </c>
      <c r="L22" s="11">
        <v>30822</v>
      </c>
    </row>
    <row r="23" spans="1:12" ht="26.25" thickBot="1">
      <c r="A23" s="66" t="s">
        <v>108</v>
      </c>
      <c r="B23" s="73">
        <v>695</v>
      </c>
      <c r="C23" s="73">
        <v>545</v>
      </c>
      <c r="D23" s="73">
        <v>30</v>
      </c>
      <c r="E23" s="73">
        <v>37</v>
      </c>
      <c r="F23" s="80" t="s">
        <v>17</v>
      </c>
      <c r="G23" s="80" t="s">
        <v>17</v>
      </c>
      <c r="H23" s="73" t="s">
        <v>17</v>
      </c>
      <c r="I23" s="73" t="s">
        <v>17</v>
      </c>
      <c r="J23" s="73">
        <v>725</v>
      </c>
      <c r="K23" s="73">
        <v>582</v>
      </c>
      <c r="L23" s="80">
        <v>1307</v>
      </c>
    </row>
    <row r="24" spans="1:12" ht="27" thickBot="1">
      <c r="A24" s="71" t="s">
        <v>33</v>
      </c>
      <c r="B24" s="99">
        <v>1320988</v>
      </c>
      <c r="C24" s="99">
        <v>1276628</v>
      </c>
      <c r="D24" s="99">
        <v>1276</v>
      </c>
      <c r="E24" s="99">
        <v>2777</v>
      </c>
      <c r="F24" s="74" t="s">
        <v>17</v>
      </c>
      <c r="G24" s="74" t="s">
        <v>17</v>
      </c>
      <c r="H24" s="72" t="s">
        <v>17</v>
      </c>
      <c r="I24" s="72" t="s">
        <v>17</v>
      </c>
      <c r="J24" s="74">
        <v>1322264</v>
      </c>
      <c r="K24" s="74">
        <v>1279405</v>
      </c>
      <c r="L24" s="74">
        <v>2601669</v>
      </c>
    </row>
    <row r="25" spans="1:1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26" t="s">
        <v>36</v>
      </c>
      <c r="B26" s="26"/>
      <c r="C26" s="26"/>
      <c r="D26" s="27"/>
      <c r="E26" s="28"/>
      <c r="F26" s="28"/>
      <c r="G26" s="28"/>
      <c r="H26" s="17"/>
      <c r="I26" s="17"/>
      <c r="J26" s="17"/>
      <c r="K26" s="17"/>
      <c r="L26" s="29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8.75">
      <c r="A1" s="143" t="s">
        <v>161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293" t="s">
        <v>233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 t="s">
        <v>38</v>
      </c>
      <c r="C7" s="11" t="s">
        <v>17</v>
      </c>
      <c r="D7" s="11" t="s">
        <v>38</v>
      </c>
      <c r="E7" s="11" t="s">
        <v>17</v>
      </c>
      <c r="F7" s="11" t="s">
        <v>38</v>
      </c>
      <c r="G7" s="11" t="s">
        <v>17</v>
      </c>
      <c r="H7" s="11" t="s">
        <v>38</v>
      </c>
      <c r="I7" s="11" t="s">
        <v>17</v>
      </c>
      <c r="J7" s="92">
        <v>293848.82</v>
      </c>
      <c r="K7" s="92">
        <v>283902.20799999998</v>
      </c>
      <c r="L7" s="11">
        <v>577751.02799999993</v>
      </c>
    </row>
    <row r="8" spans="1:12">
      <c r="A8" s="14" t="s">
        <v>18</v>
      </c>
      <c r="B8" s="11" t="s">
        <v>38</v>
      </c>
      <c r="C8" s="11" t="s">
        <v>17</v>
      </c>
      <c r="D8" s="11" t="s">
        <v>38</v>
      </c>
      <c r="E8" s="11" t="s">
        <v>17</v>
      </c>
      <c r="F8" s="11" t="s">
        <v>38</v>
      </c>
      <c r="G8" s="11" t="s">
        <v>17</v>
      </c>
      <c r="H8" s="11" t="s">
        <v>38</v>
      </c>
      <c r="I8" s="11" t="s">
        <v>17</v>
      </c>
      <c r="J8" s="92">
        <v>268406.59999999998</v>
      </c>
      <c r="K8" s="92">
        <v>258971.56</v>
      </c>
      <c r="L8" s="11">
        <v>527378.15999999992</v>
      </c>
    </row>
    <row r="9" spans="1:12">
      <c r="A9" s="9" t="s">
        <v>19</v>
      </c>
      <c r="B9" s="11" t="s">
        <v>38</v>
      </c>
      <c r="C9" s="11" t="s">
        <v>17</v>
      </c>
      <c r="D9" s="11" t="s">
        <v>38</v>
      </c>
      <c r="E9" s="11" t="s">
        <v>17</v>
      </c>
      <c r="F9" s="11" t="s">
        <v>38</v>
      </c>
      <c r="G9" s="11" t="s">
        <v>17</v>
      </c>
      <c r="H9" s="11" t="s">
        <v>38</v>
      </c>
      <c r="I9" s="11" t="s">
        <v>17</v>
      </c>
      <c r="J9" s="92">
        <v>248204.96</v>
      </c>
      <c r="K9" s="92">
        <v>238052.576</v>
      </c>
      <c r="L9" s="11">
        <v>486257.53599999996</v>
      </c>
    </row>
    <row r="10" spans="1:12">
      <c r="A10" s="9" t="s">
        <v>20</v>
      </c>
      <c r="B10" s="11" t="s">
        <v>38</v>
      </c>
      <c r="C10" s="11" t="s">
        <v>17</v>
      </c>
      <c r="D10" s="11" t="s">
        <v>38</v>
      </c>
      <c r="E10" s="11" t="s">
        <v>17</v>
      </c>
      <c r="F10" s="11" t="s">
        <v>38</v>
      </c>
      <c r="G10" s="11" t="s">
        <v>17</v>
      </c>
      <c r="H10" s="11" t="s">
        <v>38</v>
      </c>
      <c r="I10" s="11" t="s">
        <v>17</v>
      </c>
      <c r="J10" s="92">
        <v>213741.04</v>
      </c>
      <c r="K10" s="92">
        <v>205547.424</v>
      </c>
      <c r="L10" s="11">
        <v>419288.46400000004</v>
      </c>
    </row>
    <row r="11" spans="1:12">
      <c r="A11" s="9" t="s">
        <v>21</v>
      </c>
      <c r="B11" s="11" t="s">
        <v>38</v>
      </c>
      <c r="C11" s="11" t="s">
        <v>17</v>
      </c>
      <c r="D11" s="11" t="s">
        <v>38</v>
      </c>
      <c r="E11" s="11" t="s">
        <v>17</v>
      </c>
      <c r="F11" s="11" t="s">
        <v>38</v>
      </c>
      <c r="G11" s="11" t="s">
        <v>17</v>
      </c>
      <c r="H11" s="11" t="s">
        <v>38</v>
      </c>
      <c r="I11" s="11" t="s">
        <v>17</v>
      </c>
      <c r="J11" s="92">
        <v>163577.82</v>
      </c>
      <c r="K11" s="92">
        <v>157298.60800000001</v>
      </c>
      <c r="L11" s="11">
        <v>320876.42800000001</v>
      </c>
    </row>
    <row r="12" spans="1:12">
      <c r="A12" s="9" t="s">
        <v>22</v>
      </c>
      <c r="B12" s="11" t="s">
        <v>38</v>
      </c>
      <c r="C12" s="11" t="s">
        <v>17</v>
      </c>
      <c r="D12" s="11" t="s">
        <v>38</v>
      </c>
      <c r="E12" s="11" t="s">
        <v>17</v>
      </c>
      <c r="F12" s="11" t="s">
        <v>38</v>
      </c>
      <c r="G12" s="11" t="s">
        <v>17</v>
      </c>
      <c r="H12" s="11" t="s">
        <v>38</v>
      </c>
      <c r="I12" s="11" t="s">
        <v>17</v>
      </c>
      <c r="J12" s="92">
        <v>135355.20000000001</v>
      </c>
      <c r="K12" s="92">
        <v>130998.12</v>
      </c>
      <c r="L12" s="11">
        <v>266353.32</v>
      </c>
    </row>
    <row r="13" spans="1:12">
      <c r="A13" s="9" t="s">
        <v>23</v>
      </c>
      <c r="B13" s="11" t="s">
        <v>38</v>
      </c>
      <c r="C13" s="11" t="s">
        <v>17</v>
      </c>
      <c r="D13" s="11" t="s">
        <v>38</v>
      </c>
      <c r="E13" s="11" t="s">
        <v>17</v>
      </c>
      <c r="F13" s="11" t="s">
        <v>38</v>
      </c>
      <c r="G13" s="11" t="s">
        <v>17</v>
      </c>
      <c r="H13" s="11" t="s">
        <v>38</v>
      </c>
      <c r="I13" s="11" t="s">
        <v>17</v>
      </c>
      <c r="J13" s="92">
        <v>115103.02</v>
      </c>
      <c r="K13" s="92">
        <v>112298.712</v>
      </c>
      <c r="L13" s="11">
        <v>227401.73200000002</v>
      </c>
    </row>
    <row r="14" spans="1:12">
      <c r="A14" s="9" t="s">
        <v>24</v>
      </c>
      <c r="B14" s="11" t="s">
        <v>38</v>
      </c>
      <c r="C14" s="11" t="s">
        <v>17</v>
      </c>
      <c r="D14" s="11" t="s">
        <v>38</v>
      </c>
      <c r="E14" s="11" t="s">
        <v>17</v>
      </c>
      <c r="F14" s="11" t="s">
        <v>38</v>
      </c>
      <c r="G14" s="11" t="s">
        <v>17</v>
      </c>
      <c r="H14" s="11" t="s">
        <v>38</v>
      </c>
      <c r="I14" s="11" t="s">
        <v>17</v>
      </c>
      <c r="J14" s="92">
        <v>95918.84</v>
      </c>
      <c r="K14" s="92">
        <v>92308.304000000004</v>
      </c>
      <c r="L14" s="11">
        <v>188227.144</v>
      </c>
    </row>
    <row r="15" spans="1:12">
      <c r="A15" s="9" t="s">
        <v>25</v>
      </c>
      <c r="B15" s="11" t="s">
        <v>38</v>
      </c>
      <c r="C15" s="11" t="s">
        <v>17</v>
      </c>
      <c r="D15" s="11" t="s">
        <v>38</v>
      </c>
      <c r="E15" s="11" t="s">
        <v>17</v>
      </c>
      <c r="F15" s="11" t="s">
        <v>38</v>
      </c>
      <c r="G15" s="11" t="s">
        <v>17</v>
      </c>
      <c r="H15" s="11" t="s">
        <v>38</v>
      </c>
      <c r="I15" s="11" t="s">
        <v>17</v>
      </c>
      <c r="J15" s="92">
        <v>82656.679999999993</v>
      </c>
      <c r="K15" s="92">
        <v>79104.224000000002</v>
      </c>
      <c r="L15" s="11">
        <v>161760.90399999998</v>
      </c>
    </row>
    <row r="16" spans="1:12">
      <c r="A16" s="9" t="s">
        <v>26</v>
      </c>
      <c r="B16" s="11" t="s">
        <v>38</v>
      </c>
      <c r="C16" s="11" t="s">
        <v>17</v>
      </c>
      <c r="D16" s="11" t="s">
        <v>38</v>
      </c>
      <c r="E16" s="11" t="s">
        <v>17</v>
      </c>
      <c r="F16" s="11" t="s">
        <v>38</v>
      </c>
      <c r="G16" s="11" t="s">
        <v>17</v>
      </c>
      <c r="H16" s="11" t="s">
        <v>38</v>
      </c>
      <c r="I16" s="11" t="s">
        <v>17</v>
      </c>
      <c r="J16" s="92">
        <v>63518.94</v>
      </c>
      <c r="K16" s="92">
        <v>60545.48</v>
      </c>
      <c r="L16" s="11">
        <v>124064.42000000001</v>
      </c>
    </row>
    <row r="17" spans="1:12">
      <c r="A17" s="9" t="s">
        <v>27</v>
      </c>
      <c r="B17" s="11" t="s">
        <v>38</v>
      </c>
      <c r="C17" s="11" t="s">
        <v>17</v>
      </c>
      <c r="D17" s="11" t="s">
        <v>38</v>
      </c>
      <c r="E17" s="11" t="s">
        <v>17</v>
      </c>
      <c r="F17" s="11" t="s">
        <v>38</v>
      </c>
      <c r="G17" s="11" t="s">
        <v>17</v>
      </c>
      <c r="H17" s="11" t="s">
        <v>38</v>
      </c>
      <c r="I17" s="11" t="s">
        <v>17</v>
      </c>
      <c r="J17" s="92">
        <v>43682.06</v>
      </c>
      <c r="K17" s="92">
        <v>43311.736000000004</v>
      </c>
      <c r="L17" s="11">
        <v>86993.796000000002</v>
      </c>
    </row>
    <row r="18" spans="1:12">
      <c r="A18" s="9" t="s">
        <v>28</v>
      </c>
      <c r="B18" s="11" t="s">
        <v>38</v>
      </c>
      <c r="C18" s="11" t="s">
        <v>17</v>
      </c>
      <c r="D18" s="11" t="s">
        <v>38</v>
      </c>
      <c r="E18" s="16" t="s">
        <v>17</v>
      </c>
      <c r="F18" s="11" t="s">
        <v>38</v>
      </c>
      <c r="G18" s="11" t="s">
        <v>17</v>
      </c>
      <c r="H18" s="11" t="s">
        <v>38</v>
      </c>
      <c r="I18" s="11" t="s">
        <v>17</v>
      </c>
      <c r="J18" s="92">
        <v>33593.620000000003</v>
      </c>
      <c r="K18" s="92">
        <v>31984.072</v>
      </c>
      <c r="L18" s="11">
        <v>65577.69200000001</v>
      </c>
    </row>
    <row r="19" spans="1:12">
      <c r="A19" s="9" t="s">
        <v>29</v>
      </c>
      <c r="B19" s="11" t="s">
        <v>38</v>
      </c>
      <c r="C19" s="11" t="s">
        <v>17</v>
      </c>
      <c r="D19" s="11" t="s">
        <v>38</v>
      </c>
      <c r="E19" s="16" t="s">
        <v>17</v>
      </c>
      <c r="F19" s="11" t="s">
        <v>38</v>
      </c>
      <c r="G19" s="11" t="s">
        <v>17</v>
      </c>
      <c r="H19" s="11" t="s">
        <v>38</v>
      </c>
      <c r="I19" s="11" t="s">
        <v>17</v>
      </c>
      <c r="J19" s="92">
        <v>24349.32</v>
      </c>
      <c r="K19" s="92">
        <v>26141.576000000001</v>
      </c>
      <c r="L19" s="11">
        <v>50490.896000000001</v>
      </c>
    </row>
    <row r="20" spans="1:12">
      <c r="A20" s="9" t="s">
        <v>30</v>
      </c>
      <c r="B20" s="11" t="s">
        <v>38</v>
      </c>
      <c r="C20" s="11" t="s">
        <v>17</v>
      </c>
      <c r="D20" s="16" t="s">
        <v>38</v>
      </c>
      <c r="E20" s="16" t="s">
        <v>17</v>
      </c>
      <c r="F20" s="11" t="s">
        <v>38</v>
      </c>
      <c r="G20" s="11" t="s">
        <v>17</v>
      </c>
      <c r="H20" s="11" t="s">
        <v>38</v>
      </c>
      <c r="I20" s="11" t="s">
        <v>17</v>
      </c>
      <c r="J20" s="92">
        <v>17696.599999999999</v>
      </c>
      <c r="K20" s="92">
        <v>20263.743999999999</v>
      </c>
      <c r="L20" s="11">
        <v>37960.343999999997</v>
      </c>
    </row>
    <row r="21" spans="1:12">
      <c r="A21" s="9" t="s">
        <v>31</v>
      </c>
      <c r="B21" s="11" t="s">
        <v>38</v>
      </c>
      <c r="C21" s="11" t="s">
        <v>17</v>
      </c>
      <c r="D21" s="16" t="s">
        <v>38</v>
      </c>
      <c r="E21" s="16" t="s">
        <v>17</v>
      </c>
      <c r="F21" s="11" t="s">
        <v>38</v>
      </c>
      <c r="G21" s="11" t="s">
        <v>17</v>
      </c>
      <c r="H21" s="11" t="s">
        <v>38</v>
      </c>
      <c r="I21" s="11" t="s">
        <v>17</v>
      </c>
      <c r="J21" s="92">
        <v>14712.88</v>
      </c>
      <c r="K21" s="92">
        <v>16610.912</v>
      </c>
      <c r="L21" s="11">
        <v>31323.792000000001</v>
      </c>
    </row>
    <row r="22" spans="1:12">
      <c r="A22" s="7" t="s">
        <v>119</v>
      </c>
      <c r="B22" s="11" t="s">
        <v>38</v>
      </c>
      <c r="C22" s="11" t="s">
        <v>17</v>
      </c>
      <c r="D22" s="16" t="s">
        <v>38</v>
      </c>
      <c r="E22" s="16" t="s">
        <v>17</v>
      </c>
      <c r="F22" s="11" t="s">
        <v>38</v>
      </c>
      <c r="G22" s="11" t="s">
        <v>17</v>
      </c>
      <c r="H22" s="11" t="s">
        <v>38</v>
      </c>
      <c r="I22" s="11" t="s">
        <v>17</v>
      </c>
      <c r="J22" s="92">
        <v>10585.16</v>
      </c>
      <c r="K22" s="92">
        <v>12138.08</v>
      </c>
      <c r="L22" s="11">
        <v>22723.239999999998</v>
      </c>
    </row>
    <row r="23" spans="1:12" ht="15.75" thickBot="1">
      <c r="A23" s="7" t="s">
        <v>120</v>
      </c>
      <c r="B23" s="11"/>
      <c r="C23" s="11"/>
      <c r="D23" s="16"/>
      <c r="E23" s="16"/>
      <c r="F23" s="11"/>
      <c r="G23" s="11"/>
      <c r="H23" s="11"/>
      <c r="I23" s="11"/>
      <c r="J23" s="92">
        <v>9346.44</v>
      </c>
      <c r="K23" s="92">
        <v>11372.664000000001</v>
      </c>
      <c r="L23" s="11">
        <v>20719.103999999999</v>
      </c>
    </row>
    <row r="24" spans="1:12" ht="26.25" thickBot="1">
      <c r="A24" s="66" t="s">
        <v>108</v>
      </c>
      <c r="B24" s="67" t="s">
        <v>38</v>
      </c>
      <c r="C24" s="67" t="s">
        <v>17</v>
      </c>
      <c r="D24" s="67" t="s">
        <v>38</v>
      </c>
      <c r="E24" s="67" t="s">
        <v>17</v>
      </c>
      <c r="F24" s="67" t="s">
        <v>38</v>
      </c>
      <c r="G24" s="67" t="s">
        <v>17</v>
      </c>
      <c r="H24" s="67" t="s">
        <v>38</v>
      </c>
      <c r="I24" s="67" t="s">
        <v>17</v>
      </c>
      <c r="J24" s="97">
        <v>27879</v>
      </c>
      <c r="K24" s="97">
        <v>25963</v>
      </c>
      <c r="L24" s="97">
        <v>53842</v>
      </c>
    </row>
    <row r="25" spans="1:12" ht="27" thickBot="1">
      <c r="A25" s="71" t="s">
        <v>33</v>
      </c>
      <c r="B25" s="74" t="s">
        <v>38</v>
      </c>
      <c r="C25" s="74" t="s">
        <v>17</v>
      </c>
      <c r="D25" s="72" t="s">
        <v>38</v>
      </c>
      <c r="E25" s="72" t="s">
        <v>17</v>
      </c>
      <c r="F25" s="74" t="s">
        <v>38</v>
      </c>
      <c r="G25" s="74" t="s">
        <v>17</v>
      </c>
      <c r="H25" s="72" t="s">
        <v>38</v>
      </c>
      <c r="I25" s="72" t="s">
        <v>17</v>
      </c>
      <c r="J25" s="74">
        <v>1862177</v>
      </c>
      <c r="K25" s="74">
        <v>1806812.9999999998</v>
      </c>
      <c r="L25" s="74">
        <v>3668989.9999999995</v>
      </c>
    </row>
    <row r="26" spans="1:12">
      <c r="A26" s="17"/>
      <c r="B26" s="17"/>
      <c r="C26" s="17"/>
      <c r="D26" s="19"/>
      <c r="E26" s="17"/>
      <c r="F26" s="17"/>
      <c r="G26" s="21"/>
      <c r="H26" s="10"/>
      <c r="I26" s="10"/>
      <c r="J26" s="10"/>
      <c r="K26" s="10"/>
      <c r="L26" s="10"/>
    </row>
    <row r="27" spans="1:12">
      <c r="A27" s="322" t="s">
        <v>39</v>
      </c>
      <c r="B27" s="322"/>
      <c r="C27" s="322"/>
      <c r="D27" s="322"/>
      <c r="E27" s="322"/>
      <c r="F27" s="30"/>
      <c r="G27" s="30"/>
      <c r="H27" s="321" t="s">
        <v>40</v>
      </c>
      <c r="I27" s="321"/>
      <c r="J27" s="321"/>
      <c r="K27" s="321"/>
      <c r="L27" s="321"/>
    </row>
  </sheetData>
  <mergeCells count="2">
    <mergeCell ref="H27:L27"/>
    <mergeCell ref="A27:E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148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6"/>
      <c r="B4" s="84" t="s">
        <v>0</v>
      </c>
      <c r="C4" s="6" t="s">
        <v>1</v>
      </c>
      <c r="D4" s="84" t="s">
        <v>2</v>
      </c>
      <c r="E4" s="6" t="s">
        <v>3</v>
      </c>
      <c r="F4" s="85" t="s">
        <v>4</v>
      </c>
      <c r="G4" s="8" t="s">
        <v>5</v>
      </c>
      <c r="H4" s="85" t="s">
        <v>6</v>
      </c>
      <c r="I4" s="8" t="s">
        <v>7</v>
      </c>
      <c r="J4" s="84" t="s">
        <v>8</v>
      </c>
      <c r="K4" s="6" t="s">
        <v>9</v>
      </c>
      <c r="L4" s="86" t="s">
        <v>9</v>
      </c>
    </row>
    <row r="5" spans="1:12">
      <c r="A5" s="69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88" t="s">
        <v>17</v>
      </c>
      <c r="C7" s="88" t="s">
        <v>17</v>
      </c>
      <c r="D7" s="88" t="s">
        <v>17</v>
      </c>
      <c r="E7" s="88" t="s">
        <v>17</v>
      </c>
      <c r="F7" s="88" t="s">
        <v>17</v>
      </c>
      <c r="G7" s="88" t="s">
        <v>17</v>
      </c>
      <c r="H7" s="88" t="s">
        <v>17</v>
      </c>
      <c r="I7" s="88" t="s">
        <v>17</v>
      </c>
      <c r="J7" s="88">
        <v>30059</v>
      </c>
      <c r="K7" s="88">
        <v>28489</v>
      </c>
      <c r="L7" s="88">
        <v>58548</v>
      </c>
    </row>
    <row r="8" spans="1:12">
      <c r="A8" s="14" t="s">
        <v>18</v>
      </c>
      <c r="B8" s="88" t="s">
        <v>17</v>
      </c>
      <c r="C8" s="88" t="s">
        <v>17</v>
      </c>
      <c r="D8" s="88" t="s">
        <v>17</v>
      </c>
      <c r="E8" s="88" t="s">
        <v>17</v>
      </c>
      <c r="F8" s="88" t="s">
        <v>17</v>
      </c>
      <c r="G8" s="88" t="s">
        <v>17</v>
      </c>
      <c r="H8" s="88" t="s">
        <v>17</v>
      </c>
      <c r="I8" s="88" t="s">
        <v>17</v>
      </c>
      <c r="J8" s="88">
        <v>28420</v>
      </c>
      <c r="K8" s="88">
        <v>27814</v>
      </c>
      <c r="L8" s="88">
        <v>56234</v>
      </c>
    </row>
    <row r="9" spans="1:12">
      <c r="A9" s="9" t="s">
        <v>19</v>
      </c>
      <c r="B9" s="88" t="s">
        <v>17</v>
      </c>
      <c r="C9" s="88" t="s">
        <v>17</v>
      </c>
      <c r="D9" s="88" t="s">
        <v>17</v>
      </c>
      <c r="E9" s="88" t="s">
        <v>17</v>
      </c>
      <c r="F9" s="88" t="s">
        <v>17</v>
      </c>
      <c r="G9" s="88" t="s">
        <v>17</v>
      </c>
      <c r="H9" s="88" t="s">
        <v>17</v>
      </c>
      <c r="I9" s="88" t="s">
        <v>17</v>
      </c>
      <c r="J9" s="88">
        <v>26687</v>
      </c>
      <c r="K9" s="88">
        <v>26149</v>
      </c>
      <c r="L9" s="88">
        <v>52836</v>
      </c>
    </row>
    <row r="10" spans="1:12">
      <c r="A10" s="9" t="s">
        <v>20</v>
      </c>
      <c r="B10" s="88" t="s">
        <v>17</v>
      </c>
      <c r="C10" s="88" t="s">
        <v>17</v>
      </c>
      <c r="D10" s="88" t="s">
        <v>17</v>
      </c>
      <c r="E10" s="88" t="s">
        <v>17</v>
      </c>
      <c r="F10" s="88" t="s">
        <v>17</v>
      </c>
      <c r="G10" s="88" t="s">
        <v>17</v>
      </c>
      <c r="H10" s="88" t="s">
        <v>17</v>
      </c>
      <c r="I10" s="88" t="s">
        <v>17</v>
      </c>
      <c r="J10" s="88">
        <v>22187</v>
      </c>
      <c r="K10" s="88">
        <v>20004</v>
      </c>
      <c r="L10" s="88">
        <v>42191</v>
      </c>
    </row>
    <row r="11" spans="1:12">
      <c r="A11" s="9" t="s">
        <v>21</v>
      </c>
      <c r="B11" s="88" t="s">
        <v>17</v>
      </c>
      <c r="C11" s="88" t="s">
        <v>17</v>
      </c>
      <c r="D11" s="88" t="s">
        <v>17</v>
      </c>
      <c r="E11" s="88" t="s">
        <v>17</v>
      </c>
      <c r="F11" s="88" t="s">
        <v>17</v>
      </c>
      <c r="G11" s="88" t="s">
        <v>17</v>
      </c>
      <c r="H11" s="88" t="s">
        <v>17</v>
      </c>
      <c r="I11" s="88" t="s">
        <v>17</v>
      </c>
      <c r="J11" s="88">
        <v>39896</v>
      </c>
      <c r="K11" s="88">
        <v>19671</v>
      </c>
      <c r="L11" s="88">
        <v>59567</v>
      </c>
    </row>
    <row r="12" spans="1:12">
      <c r="A12" s="9" t="s">
        <v>22</v>
      </c>
      <c r="B12" s="88" t="s">
        <v>17</v>
      </c>
      <c r="C12" s="88" t="s">
        <v>17</v>
      </c>
      <c r="D12" s="88" t="s">
        <v>17</v>
      </c>
      <c r="E12" s="88" t="s">
        <v>17</v>
      </c>
      <c r="F12" s="88" t="s">
        <v>17</v>
      </c>
      <c r="G12" s="88" t="s">
        <v>17</v>
      </c>
      <c r="H12" s="88" t="s">
        <v>17</v>
      </c>
      <c r="I12" s="88" t="s">
        <v>17</v>
      </c>
      <c r="J12" s="88">
        <v>59477</v>
      </c>
      <c r="K12" s="88">
        <v>24576</v>
      </c>
      <c r="L12" s="88">
        <v>84053</v>
      </c>
    </row>
    <row r="13" spans="1:12">
      <c r="A13" s="9" t="s">
        <v>23</v>
      </c>
      <c r="B13" s="88" t="s">
        <v>17</v>
      </c>
      <c r="C13" s="88" t="s">
        <v>17</v>
      </c>
      <c r="D13" s="88" t="s">
        <v>17</v>
      </c>
      <c r="E13" s="88" t="s">
        <v>17</v>
      </c>
      <c r="F13" s="88" t="s">
        <v>17</v>
      </c>
      <c r="G13" s="88" t="s">
        <v>17</v>
      </c>
      <c r="H13" s="88" t="s">
        <v>17</v>
      </c>
      <c r="I13" s="88" t="s">
        <v>17</v>
      </c>
      <c r="J13" s="88">
        <v>66976</v>
      </c>
      <c r="K13" s="88">
        <v>27833</v>
      </c>
      <c r="L13" s="88">
        <v>94809</v>
      </c>
    </row>
    <row r="14" spans="1:12">
      <c r="A14" s="9" t="s">
        <v>24</v>
      </c>
      <c r="B14" s="88" t="s">
        <v>17</v>
      </c>
      <c r="C14" s="88" t="s">
        <v>17</v>
      </c>
      <c r="D14" s="88" t="s">
        <v>17</v>
      </c>
      <c r="E14" s="88" t="s">
        <v>17</v>
      </c>
      <c r="F14" s="88" t="s">
        <v>17</v>
      </c>
      <c r="G14" s="88" t="s">
        <v>17</v>
      </c>
      <c r="H14" s="88" t="s">
        <v>17</v>
      </c>
      <c r="I14" s="88" t="s">
        <v>17</v>
      </c>
      <c r="J14" s="88">
        <v>61624</v>
      </c>
      <c r="K14" s="88">
        <v>23773</v>
      </c>
      <c r="L14" s="88">
        <v>85397</v>
      </c>
    </row>
    <row r="15" spans="1:12">
      <c r="A15" s="9" t="s">
        <v>25</v>
      </c>
      <c r="B15" s="88" t="s">
        <v>17</v>
      </c>
      <c r="C15" s="88" t="s">
        <v>17</v>
      </c>
      <c r="D15" s="88" t="s">
        <v>17</v>
      </c>
      <c r="E15" s="88" t="s">
        <v>17</v>
      </c>
      <c r="F15" s="88" t="s">
        <v>17</v>
      </c>
      <c r="G15" s="88" t="s">
        <v>17</v>
      </c>
      <c r="H15" s="88" t="s">
        <v>17</v>
      </c>
      <c r="I15" s="88" t="s">
        <v>17</v>
      </c>
      <c r="J15" s="88">
        <v>56617</v>
      </c>
      <c r="K15" s="88">
        <v>19260</v>
      </c>
      <c r="L15" s="88">
        <v>75877</v>
      </c>
    </row>
    <row r="16" spans="1:12">
      <c r="A16" s="9" t="s">
        <v>26</v>
      </c>
      <c r="B16" s="88" t="s">
        <v>17</v>
      </c>
      <c r="C16" s="88" t="s">
        <v>17</v>
      </c>
      <c r="D16" s="88" t="s">
        <v>17</v>
      </c>
      <c r="E16" s="88" t="s">
        <v>17</v>
      </c>
      <c r="F16" s="88" t="s">
        <v>17</v>
      </c>
      <c r="G16" s="88" t="s">
        <v>17</v>
      </c>
      <c r="H16" s="88" t="s">
        <v>17</v>
      </c>
      <c r="I16" s="88" t="s">
        <v>17</v>
      </c>
      <c r="J16" s="88">
        <v>46488</v>
      </c>
      <c r="K16" s="88">
        <v>12631</v>
      </c>
      <c r="L16" s="88">
        <v>59119</v>
      </c>
    </row>
    <row r="17" spans="1:12">
      <c r="A17" s="9" t="s">
        <v>27</v>
      </c>
      <c r="B17" s="88" t="s">
        <v>17</v>
      </c>
      <c r="C17" s="88" t="s">
        <v>17</v>
      </c>
      <c r="D17" s="88" t="s">
        <v>17</v>
      </c>
      <c r="E17" s="88" t="s">
        <v>17</v>
      </c>
      <c r="F17" s="88" t="s">
        <v>17</v>
      </c>
      <c r="G17" s="88" t="s">
        <v>17</v>
      </c>
      <c r="H17" s="88" t="s">
        <v>17</v>
      </c>
      <c r="I17" s="88" t="s">
        <v>17</v>
      </c>
      <c r="J17" s="88">
        <v>29738</v>
      </c>
      <c r="K17" s="88">
        <v>7615</v>
      </c>
      <c r="L17" s="88">
        <v>37353</v>
      </c>
    </row>
    <row r="18" spans="1:12">
      <c r="A18" s="9" t="s">
        <v>28</v>
      </c>
      <c r="B18" s="88" t="s">
        <v>17</v>
      </c>
      <c r="C18" s="88" t="s">
        <v>17</v>
      </c>
      <c r="D18" s="88" t="s">
        <v>17</v>
      </c>
      <c r="E18" s="88" t="s">
        <v>17</v>
      </c>
      <c r="F18" s="88" t="s">
        <v>17</v>
      </c>
      <c r="G18" s="88" t="s">
        <v>17</v>
      </c>
      <c r="H18" s="88" t="s">
        <v>17</v>
      </c>
      <c r="I18" s="88" t="s">
        <v>17</v>
      </c>
      <c r="J18" s="88">
        <v>15771</v>
      </c>
      <c r="K18" s="88">
        <v>4104</v>
      </c>
      <c r="L18" s="88">
        <v>19875</v>
      </c>
    </row>
    <row r="19" spans="1:12">
      <c r="A19" s="9" t="s">
        <v>29</v>
      </c>
      <c r="B19" s="88" t="s">
        <v>17</v>
      </c>
      <c r="C19" s="88" t="s">
        <v>17</v>
      </c>
      <c r="D19" s="88" t="s">
        <v>17</v>
      </c>
      <c r="E19" s="88" t="s">
        <v>17</v>
      </c>
      <c r="F19" s="88" t="s">
        <v>17</v>
      </c>
      <c r="G19" s="88" t="s">
        <v>17</v>
      </c>
      <c r="H19" s="88" t="s">
        <v>17</v>
      </c>
      <c r="I19" s="88" t="s">
        <v>17</v>
      </c>
      <c r="J19" s="88">
        <v>6768</v>
      </c>
      <c r="K19" s="88">
        <v>2359</v>
      </c>
      <c r="L19" s="88">
        <v>9127</v>
      </c>
    </row>
    <row r="20" spans="1:12">
      <c r="A20" s="9" t="s">
        <v>30</v>
      </c>
      <c r="B20" s="88" t="s">
        <v>17</v>
      </c>
      <c r="C20" s="88" t="s">
        <v>17</v>
      </c>
      <c r="D20" s="88" t="s">
        <v>17</v>
      </c>
      <c r="E20" s="88" t="s">
        <v>17</v>
      </c>
      <c r="F20" s="88" t="s">
        <v>17</v>
      </c>
      <c r="G20" s="88" t="s">
        <v>17</v>
      </c>
      <c r="H20" s="88" t="s">
        <v>17</v>
      </c>
      <c r="I20" s="88" t="s">
        <v>17</v>
      </c>
      <c r="J20" s="88">
        <v>2805</v>
      </c>
      <c r="K20" s="88">
        <v>1504</v>
      </c>
      <c r="L20" s="88">
        <v>4309</v>
      </c>
    </row>
    <row r="21" spans="1:12">
      <c r="A21" s="9" t="s">
        <v>31</v>
      </c>
      <c r="B21" s="88" t="s">
        <v>17</v>
      </c>
      <c r="C21" s="88" t="s">
        <v>17</v>
      </c>
      <c r="D21" s="88" t="s">
        <v>17</v>
      </c>
      <c r="E21" s="88" t="s">
        <v>17</v>
      </c>
      <c r="F21" s="88" t="s">
        <v>17</v>
      </c>
      <c r="G21" s="88" t="s">
        <v>17</v>
      </c>
      <c r="H21" s="88" t="s">
        <v>17</v>
      </c>
      <c r="I21" s="88" t="s">
        <v>17</v>
      </c>
      <c r="J21" s="88">
        <v>1619</v>
      </c>
      <c r="K21" s="88">
        <v>925</v>
      </c>
      <c r="L21" s="88">
        <v>2544</v>
      </c>
    </row>
    <row r="22" spans="1:12" ht="15.75" thickBot="1">
      <c r="A22" s="7" t="s">
        <v>32</v>
      </c>
      <c r="B22" s="88" t="s">
        <v>17</v>
      </c>
      <c r="C22" s="88" t="s">
        <v>17</v>
      </c>
      <c r="D22" s="88" t="s">
        <v>17</v>
      </c>
      <c r="E22" s="88" t="s">
        <v>17</v>
      </c>
      <c r="F22" s="88" t="s">
        <v>17</v>
      </c>
      <c r="G22" s="88" t="s">
        <v>17</v>
      </c>
      <c r="H22" s="88" t="s">
        <v>17</v>
      </c>
      <c r="I22" s="88" t="s">
        <v>17</v>
      </c>
      <c r="J22" s="88">
        <v>1250</v>
      </c>
      <c r="K22" s="88">
        <v>940</v>
      </c>
      <c r="L22" s="88">
        <v>2190</v>
      </c>
    </row>
    <row r="23" spans="1:12" ht="26.25" thickBot="1">
      <c r="A23" s="66" t="s">
        <v>108</v>
      </c>
      <c r="B23" s="67" t="s">
        <v>17</v>
      </c>
      <c r="C23" s="67" t="s">
        <v>17</v>
      </c>
      <c r="D23" s="67" t="s">
        <v>17</v>
      </c>
      <c r="E23" s="67" t="s">
        <v>17</v>
      </c>
      <c r="F23" s="67" t="s">
        <v>17</v>
      </c>
      <c r="G23" s="67" t="s">
        <v>17</v>
      </c>
      <c r="H23" s="67" t="s">
        <v>17</v>
      </c>
      <c r="I23" s="67" t="s">
        <v>17</v>
      </c>
      <c r="J23" s="67" t="s">
        <v>17</v>
      </c>
      <c r="K23" s="67" t="s">
        <v>17</v>
      </c>
      <c r="L23" s="67" t="s">
        <v>17</v>
      </c>
    </row>
    <row r="24" spans="1:12" ht="27" thickBot="1">
      <c r="A24" s="71" t="s">
        <v>33</v>
      </c>
      <c r="B24" s="74" t="s">
        <v>17</v>
      </c>
      <c r="C24" s="74" t="s">
        <v>17</v>
      </c>
      <c r="D24" s="72" t="s">
        <v>17</v>
      </c>
      <c r="E24" s="72" t="s">
        <v>17</v>
      </c>
      <c r="F24" s="74" t="s">
        <v>17</v>
      </c>
      <c r="G24" s="74" t="s">
        <v>17</v>
      </c>
      <c r="H24" s="72" t="s">
        <v>17</v>
      </c>
      <c r="I24" s="72" t="s">
        <v>17</v>
      </c>
      <c r="J24" s="72">
        <v>496382</v>
      </c>
      <c r="K24" s="72">
        <v>247647</v>
      </c>
      <c r="L24" s="72">
        <v>744029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149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1">
        <v>45838</v>
      </c>
      <c r="K7" s="11">
        <v>43669</v>
      </c>
      <c r="L7" s="11">
        <v>89507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17</v>
      </c>
      <c r="G8" s="11" t="s">
        <v>17</v>
      </c>
      <c r="H8" s="11" t="s">
        <v>17</v>
      </c>
      <c r="I8" s="11" t="s">
        <v>17</v>
      </c>
      <c r="J8" s="11">
        <v>40007</v>
      </c>
      <c r="K8" s="11">
        <v>38079</v>
      </c>
      <c r="L8" s="11">
        <v>78086</v>
      </c>
    </row>
    <row r="9" spans="1:12">
      <c r="A9" s="9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>
        <v>33295</v>
      </c>
      <c r="K9" s="11">
        <v>31696</v>
      </c>
      <c r="L9" s="11">
        <v>64991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1">
        <v>33868</v>
      </c>
      <c r="K10" s="11">
        <v>26676</v>
      </c>
      <c r="L10" s="11">
        <v>60544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1">
        <v>153931</v>
      </c>
      <c r="K11" s="11">
        <v>38022</v>
      </c>
      <c r="L11" s="11">
        <v>191953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1">
        <v>219575</v>
      </c>
      <c r="K12" s="11">
        <v>59612</v>
      </c>
      <c r="L12" s="11">
        <v>279187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>
        <v>216278</v>
      </c>
      <c r="K13" s="11">
        <v>53965</v>
      </c>
      <c r="L13" s="11">
        <v>270243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>
        <v>194313</v>
      </c>
      <c r="K14" s="11">
        <v>40260</v>
      </c>
      <c r="L14" s="11">
        <v>234573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148899</v>
      </c>
      <c r="K15" s="11">
        <v>29429</v>
      </c>
      <c r="L15" s="11">
        <v>178328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95688</v>
      </c>
      <c r="K16" s="11">
        <v>21252</v>
      </c>
      <c r="L16" s="11">
        <v>116940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54751</v>
      </c>
      <c r="K17" s="11">
        <v>14169</v>
      </c>
      <c r="L17" s="11">
        <v>68920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6" t="s">
        <v>17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29327</v>
      </c>
      <c r="K18" s="11">
        <v>8050</v>
      </c>
      <c r="L18" s="11">
        <v>37377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6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10820</v>
      </c>
      <c r="K19" s="11">
        <v>4149</v>
      </c>
      <c r="L19" s="11">
        <v>14969</v>
      </c>
    </row>
    <row r="20" spans="1:12">
      <c r="A20" s="9" t="s">
        <v>30</v>
      </c>
      <c r="B20" s="11" t="s">
        <v>17</v>
      </c>
      <c r="C20" s="11" t="s">
        <v>17</v>
      </c>
      <c r="D20" s="16" t="s">
        <v>17</v>
      </c>
      <c r="E20" s="16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4075</v>
      </c>
      <c r="K20" s="11">
        <v>2379</v>
      </c>
      <c r="L20" s="11">
        <v>6454</v>
      </c>
    </row>
    <row r="21" spans="1:12">
      <c r="A21" s="7" t="s">
        <v>31</v>
      </c>
      <c r="B21" s="11" t="s">
        <v>17</v>
      </c>
      <c r="C21" s="11" t="s">
        <v>17</v>
      </c>
      <c r="D21" s="16" t="s">
        <v>17</v>
      </c>
      <c r="E21" s="16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2108</v>
      </c>
      <c r="K21" s="11">
        <v>1529</v>
      </c>
      <c r="L21" s="11">
        <v>3637</v>
      </c>
    </row>
    <row r="22" spans="1:12">
      <c r="A22" s="7" t="s">
        <v>32</v>
      </c>
      <c r="B22" s="11"/>
      <c r="C22" s="11"/>
      <c r="D22" s="16"/>
      <c r="E22" s="16"/>
      <c r="F22" s="11"/>
      <c r="G22" s="11"/>
      <c r="H22" s="11"/>
      <c r="I22" s="11"/>
      <c r="J22" s="98">
        <v>1966</v>
      </c>
      <c r="K22" s="98">
        <v>1760</v>
      </c>
      <c r="L22" s="11">
        <v>3726</v>
      </c>
    </row>
    <row r="23" spans="1:12" ht="26.25" thickBot="1">
      <c r="A23" s="81" t="s">
        <v>108</v>
      </c>
      <c r="B23" s="87" t="s">
        <v>17</v>
      </c>
      <c r="C23" s="87" t="s">
        <v>17</v>
      </c>
      <c r="D23" s="87" t="s">
        <v>17</v>
      </c>
      <c r="E23" s="87" t="s">
        <v>17</v>
      </c>
      <c r="F23" s="87" t="s">
        <v>17</v>
      </c>
      <c r="G23" s="87" t="s">
        <v>17</v>
      </c>
      <c r="H23" s="87" t="s">
        <v>17</v>
      </c>
      <c r="I23" s="87" t="s">
        <v>17</v>
      </c>
      <c r="J23" s="87" t="s">
        <v>17</v>
      </c>
      <c r="K23" s="87" t="s">
        <v>17</v>
      </c>
      <c r="L23" s="87" t="s">
        <v>17</v>
      </c>
    </row>
    <row r="24" spans="1:12" ht="27" thickBot="1">
      <c r="A24" s="71" t="s">
        <v>33</v>
      </c>
      <c r="B24" s="82" t="s">
        <v>17</v>
      </c>
      <c r="C24" s="82" t="s">
        <v>17</v>
      </c>
      <c r="D24" s="82" t="s">
        <v>17</v>
      </c>
      <c r="E24" s="82" t="s">
        <v>17</v>
      </c>
      <c r="F24" s="82" t="s">
        <v>17</v>
      </c>
      <c r="G24" s="82" t="s">
        <v>17</v>
      </c>
      <c r="H24" s="82" t="s">
        <v>17</v>
      </c>
      <c r="I24" s="82" t="s">
        <v>17</v>
      </c>
      <c r="J24" s="82">
        <v>1284739</v>
      </c>
      <c r="K24" s="82">
        <v>414696</v>
      </c>
      <c r="L24" s="82">
        <v>1699435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78" t="s">
        <v>8</v>
      </c>
      <c r="K4" s="108"/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8">
        <v>1096513</v>
      </c>
      <c r="C7" s="18">
        <v>1059504</v>
      </c>
      <c r="D7" s="11">
        <v>203316</v>
      </c>
      <c r="E7" s="11">
        <v>194892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1299829</v>
      </c>
      <c r="K7" s="18">
        <v>1254396</v>
      </c>
      <c r="L7" s="18">
        <v>2554225</v>
      </c>
    </row>
    <row r="8" spans="1:12">
      <c r="A8" s="14" t="s">
        <v>18</v>
      </c>
      <c r="B8" s="18">
        <v>1061429</v>
      </c>
      <c r="C8" s="18">
        <v>1046203</v>
      </c>
      <c r="D8" s="11">
        <v>182545</v>
      </c>
      <c r="E8" s="11">
        <v>179478</v>
      </c>
      <c r="F8" s="13" t="s">
        <v>17</v>
      </c>
      <c r="G8" s="13" t="s">
        <v>17</v>
      </c>
      <c r="H8" s="11" t="s">
        <v>17</v>
      </c>
      <c r="I8" s="11" t="s">
        <v>17</v>
      </c>
      <c r="J8" s="18">
        <v>1243974</v>
      </c>
      <c r="K8" s="18">
        <v>1225681</v>
      </c>
      <c r="L8" s="18">
        <v>2469655</v>
      </c>
    </row>
    <row r="9" spans="1:12">
      <c r="A9" s="9" t="s">
        <v>19</v>
      </c>
      <c r="B9" s="11">
        <v>913956</v>
      </c>
      <c r="C9" s="11">
        <v>883052</v>
      </c>
      <c r="D9" s="11">
        <v>129577</v>
      </c>
      <c r="E9" s="11">
        <v>125665</v>
      </c>
      <c r="F9" s="13" t="s">
        <v>17</v>
      </c>
      <c r="G9" s="13" t="s">
        <v>17</v>
      </c>
      <c r="H9" s="11" t="s">
        <v>17</v>
      </c>
      <c r="I9" s="11" t="s">
        <v>17</v>
      </c>
      <c r="J9" s="18">
        <v>1043533</v>
      </c>
      <c r="K9" s="18">
        <v>1008717</v>
      </c>
      <c r="L9" s="18">
        <v>2052250</v>
      </c>
    </row>
    <row r="10" spans="1:12">
      <c r="A10" s="9" t="s">
        <v>20</v>
      </c>
      <c r="B10" s="11">
        <v>660372</v>
      </c>
      <c r="C10" s="11">
        <v>674584</v>
      </c>
      <c r="D10" s="11">
        <v>80154</v>
      </c>
      <c r="E10" s="11">
        <v>80695</v>
      </c>
      <c r="F10" s="13" t="s">
        <v>17</v>
      </c>
      <c r="G10" s="13" t="s">
        <v>17</v>
      </c>
      <c r="H10" s="11" t="s">
        <v>17</v>
      </c>
      <c r="I10" s="11" t="s">
        <v>17</v>
      </c>
      <c r="J10" s="11">
        <v>740526</v>
      </c>
      <c r="K10" s="11">
        <v>755279</v>
      </c>
      <c r="L10" s="11">
        <v>1495805</v>
      </c>
    </row>
    <row r="11" spans="1:12">
      <c r="A11" s="9" t="s">
        <v>21</v>
      </c>
      <c r="B11" s="11">
        <v>525534</v>
      </c>
      <c r="C11" s="11">
        <v>516615</v>
      </c>
      <c r="D11" s="11">
        <v>259179</v>
      </c>
      <c r="E11" s="11">
        <v>101744</v>
      </c>
      <c r="F11" s="13" t="s">
        <v>17</v>
      </c>
      <c r="G11" s="13" t="s">
        <v>17</v>
      </c>
      <c r="H11" s="11" t="s">
        <v>17</v>
      </c>
      <c r="I11" s="11" t="s">
        <v>17</v>
      </c>
      <c r="J11" s="11">
        <v>784713</v>
      </c>
      <c r="K11" s="11">
        <v>618359</v>
      </c>
      <c r="L11" s="11">
        <v>1403072</v>
      </c>
    </row>
    <row r="12" spans="1:12">
      <c r="A12" s="9" t="s">
        <v>22</v>
      </c>
      <c r="B12" s="11">
        <v>415443</v>
      </c>
      <c r="C12" s="11">
        <v>455358</v>
      </c>
      <c r="D12" s="11">
        <v>612593</v>
      </c>
      <c r="E12" s="11">
        <v>156401</v>
      </c>
      <c r="F12" s="13" t="s">
        <v>17</v>
      </c>
      <c r="G12" s="13" t="s">
        <v>17</v>
      </c>
      <c r="H12" s="11" t="s">
        <v>17</v>
      </c>
      <c r="I12" s="11" t="s">
        <v>17</v>
      </c>
      <c r="J12" s="18">
        <v>1028036</v>
      </c>
      <c r="K12" s="11">
        <v>611759</v>
      </c>
      <c r="L12" s="11">
        <v>1639795</v>
      </c>
    </row>
    <row r="13" spans="1:12">
      <c r="A13" s="9" t="s">
        <v>23</v>
      </c>
      <c r="B13" s="11">
        <v>326933</v>
      </c>
      <c r="C13" s="11">
        <v>320143</v>
      </c>
      <c r="D13" s="11">
        <v>633639</v>
      </c>
      <c r="E13" s="11">
        <v>226364</v>
      </c>
      <c r="F13" s="13" t="s">
        <v>17</v>
      </c>
      <c r="G13" s="13" t="s">
        <v>17</v>
      </c>
      <c r="H13" s="11" t="s">
        <v>17</v>
      </c>
      <c r="I13" s="11" t="s">
        <v>17</v>
      </c>
      <c r="J13" s="11">
        <v>960572</v>
      </c>
      <c r="K13" s="11">
        <v>546507</v>
      </c>
      <c r="L13" s="11">
        <v>1507079</v>
      </c>
    </row>
    <row r="14" spans="1:12">
      <c r="A14" s="9" t="s">
        <v>24</v>
      </c>
      <c r="B14" s="11">
        <v>264540</v>
      </c>
      <c r="C14" s="11">
        <v>283492</v>
      </c>
      <c r="D14" s="11">
        <v>499700</v>
      </c>
      <c r="E14" s="11">
        <v>143272</v>
      </c>
      <c r="F14" s="13" t="s">
        <v>17</v>
      </c>
      <c r="G14" s="13" t="s">
        <v>17</v>
      </c>
      <c r="H14" s="11" t="s">
        <v>17</v>
      </c>
      <c r="I14" s="11" t="s">
        <v>17</v>
      </c>
      <c r="J14" s="11">
        <v>764240</v>
      </c>
      <c r="K14" s="11">
        <v>426764</v>
      </c>
      <c r="L14" s="11">
        <v>1191004</v>
      </c>
    </row>
    <row r="15" spans="1:12">
      <c r="A15" s="9" t="s">
        <v>25</v>
      </c>
      <c r="B15" s="11">
        <v>180207</v>
      </c>
      <c r="C15" s="11">
        <v>186672</v>
      </c>
      <c r="D15" s="11">
        <v>320615</v>
      </c>
      <c r="E15" s="11">
        <v>72340</v>
      </c>
      <c r="F15" s="13" t="s">
        <v>17</v>
      </c>
      <c r="G15" s="13" t="s">
        <v>17</v>
      </c>
      <c r="H15" s="11" t="s">
        <v>17</v>
      </c>
      <c r="I15" s="11" t="s">
        <v>17</v>
      </c>
      <c r="J15" s="11">
        <v>500822</v>
      </c>
      <c r="K15" s="11">
        <v>259012</v>
      </c>
      <c r="L15" s="11">
        <v>759834</v>
      </c>
    </row>
    <row r="16" spans="1:12">
      <c r="A16" s="9" t="s">
        <v>26</v>
      </c>
      <c r="B16" s="11">
        <v>153968</v>
      </c>
      <c r="C16" s="11">
        <v>161226</v>
      </c>
      <c r="D16" s="11">
        <v>171716</v>
      </c>
      <c r="E16" s="11">
        <v>36619</v>
      </c>
      <c r="F16" s="13" t="s">
        <v>17</v>
      </c>
      <c r="G16" s="13" t="s">
        <v>17</v>
      </c>
      <c r="H16" s="11" t="s">
        <v>17</v>
      </c>
      <c r="I16" s="11" t="s">
        <v>17</v>
      </c>
      <c r="J16" s="11">
        <v>325684</v>
      </c>
      <c r="K16" s="11">
        <v>197845</v>
      </c>
      <c r="L16" s="11">
        <v>523529</v>
      </c>
    </row>
    <row r="17" spans="1:12">
      <c r="A17" s="9" t="s">
        <v>27</v>
      </c>
      <c r="B17" s="11">
        <v>143948</v>
      </c>
      <c r="C17" s="11">
        <v>147998</v>
      </c>
      <c r="D17" s="11">
        <v>92104</v>
      </c>
      <c r="E17" s="11">
        <v>23011</v>
      </c>
      <c r="F17" s="13" t="s">
        <v>17</v>
      </c>
      <c r="G17" s="13" t="s">
        <v>17</v>
      </c>
      <c r="H17" s="11" t="s">
        <v>17</v>
      </c>
      <c r="I17" s="11" t="s">
        <v>17</v>
      </c>
      <c r="J17" s="11">
        <v>236052</v>
      </c>
      <c r="K17" s="11">
        <v>171009</v>
      </c>
      <c r="L17" s="11">
        <v>407061</v>
      </c>
    </row>
    <row r="18" spans="1:12">
      <c r="A18" s="9" t="s">
        <v>28</v>
      </c>
      <c r="B18" s="11">
        <v>117397</v>
      </c>
      <c r="C18" s="11">
        <v>92678</v>
      </c>
      <c r="D18" s="11">
        <v>39890</v>
      </c>
      <c r="E18" s="11">
        <v>10313</v>
      </c>
      <c r="F18" s="13" t="s">
        <v>17</v>
      </c>
      <c r="G18" s="13" t="s">
        <v>17</v>
      </c>
      <c r="H18" s="11" t="s">
        <v>17</v>
      </c>
      <c r="I18" s="11" t="s">
        <v>17</v>
      </c>
      <c r="J18" s="11">
        <v>157287</v>
      </c>
      <c r="K18" s="11">
        <v>102991</v>
      </c>
      <c r="L18" s="11">
        <v>260278</v>
      </c>
    </row>
    <row r="19" spans="1:12">
      <c r="A19" s="9" t="s">
        <v>29</v>
      </c>
      <c r="B19" s="11">
        <v>127584</v>
      </c>
      <c r="C19" s="11">
        <v>92843</v>
      </c>
      <c r="D19" s="11">
        <v>20711</v>
      </c>
      <c r="E19" s="11">
        <v>9488</v>
      </c>
      <c r="F19" s="13" t="s">
        <v>17</v>
      </c>
      <c r="G19" s="13" t="s">
        <v>17</v>
      </c>
      <c r="H19" s="11" t="s">
        <v>17</v>
      </c>
      <c r="I19" s="11" t="s">
        <v>17</v>
      </c>
      <c r="J19" s="11">
        <v>148295</v>
      </c>
      <c r="K19" s="11">
        <v>102331</v>
      </c>
      <c r="L19" s="11">
        <v>250626</v>
      </c>
    </row>
    <row r="20" spans="1:12">
      <c r="A20" s="9" t="s">
        <v>30</v>
      </c>
      <c r="B20" s="11">
        <v>71059</v>
      </c>
      <c r="C20" s="11">
        <v>48789</v>
      </c>
      <c r="D20" s="11">
        <v>7939</v>
      </c>
      <c r="E20" s="11">
        <v>4280</v>
      </c>
      <c r="F20" s="13" t="s">
        <v>17</v>
      </c>
      <c r="G20" s="13" t="s">
        <v>17</v>
      </c>
      <c r="H20" s="11" t="s">
        <v>17</v>
      </c>
      <c r="I20" s="11" t="s">
        <v>17</v>
      </c>
      <c r="J20" s="11">
        <v>78998</v>
      </c>
      <c r="K20" s="11">
        <v>53069</v>
      </c>
      <c r="L20" s="11">
        <v>132067</v>
      </c>
    </row>
    <row r="21" spans="1:12">
      <c r="A21" s="9" t="s">
        <v>31</v>
      </c>
      <c r="B21" s="11">
        <v>65096</v>
      </c>
      <c r="C21" s="11">
        <v>52577</v>
      </c>
      <c r="D21" s="11">
        <v>5200</v>
      </c>
      <c r="E21" s="11">
        <v>4534</v>
      </c>
      <c r="F21" s="13" t="s">
        <v>17</v>
      </c>
      <c r="G21" s="13" t="s">
        <v>17</v>
      </c>
      <c r="H21" s="11" t="s">
        <v>17</v>
      </c>
      <c r="I21" s="11" t="s">
        <v>17</v>
      </c>
      <c r="J21" s="11">
        <v>70296</v>
      </c>
      <c r="K21" s="11">
        <v>57111</v>
      </c>
      <c r="L21" s="11">
        <v>127407</v>
      </c>
    </row>
    <row r="22" spans="1:12" ht="15.75" thickBot="1">
      <c r="A22" s="7" t="s">
        <v>32</v>
      </c>
      <c r="B22" s="11">
        <v>91814</v>
      </c>
      <c r="C22" s="11">
        <v>72526</v>
      </c>
      <c r="D22" s="11">
        <v>5302</v>
      </c>
      <c r="E22" s="11">
        <v>5059</v>
      </c>
      <c r="F22" s="13" t="s">
        <v>17</v>
      </c>
      <c r="G22" s="13" t="s">
        <v>17</v>
      </c>
      <c r="H22" s="11" t="s">
        <v>17</v>
      </c>
      <c r="I22" s="11" t="s">
        <v>17</v>
      </c>
      <c r="J22" s="11">
        <v>97116</v>
      </c>
      <c r="K22" s="11">
        <v>77585</v>
      </c>
      <c r="L22" s="11">
        <v>174701</v>
      </c>
    </row>
    <row r="23" spans="1:12" ht="26.25" thickBot="1">
      <c r="A23" s="66" t="s">
        <v>108</v>
      </c>
      <c r="B23" s="80" t="s">
        <v>17</v>
      </c>
      <c r="C23" s="80" t="s">
        <v>17</v>
      </c>
      <c r="D23" s="80" t="s">
        <v>17</v>
      </c>
      <c r="E23" s="80" t="s">
        <v>17</v>
      </c>
      <c r="F23" s="80" t="s">
        <v>17</v>
      </c>
      <c r="G23" s="80" t="s">
        <v>17</v>
      </c>
      <c r="H23" s="80" t="s">
        <v>17</v>
      </c>
      <c r="I23" s="80" t="s">
        <v>17</v>
      </c>
      <c r="J23" s="80" t="s">
        <v>17</v>
      </c>
      <c r="K23" s="80" t="s">
        <v>17</v>
      </c>
      <c r="L23" s="80" t="s">
        <v>17</v>
      </c>
    </row>
    <row r="24" spans="1:12" ht="27" thickBot="1">
      <c r="A24" s="71" t="s">
        <v>33</v>
      </c>
      <c r="B24" s="99">
        <v>6215793</v>
      </c>
      <c r="C24" s="99">
        <v>6094260</v>
      </c>
      <c r="D24" s="99">
        <v>3264180</v>
      </c>
      <c r="E24" s="99">
        <v>1374155</v>
      </c>
      <c r="F24" s="74" t="s">
        <v>17</v>
      </c>
      <c r="G24" s="74" t="s">
        <v>17</v>
      </c>
      <c r="H24" s="72" t="s">
        <v>17</v>
      </c>
      <c r="I24" s="72" t="s">
        <v>17</v>
      </c>
      <c r="J24" s="74">
        <v>9479973</v>
      </c>
      <c r="K24" s="74">
        <v>7468415</v>
      </c>
      <c r="L24" s="74">
        <v>16948388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8">
        <v>1066010</v>
      </c>
      <c r="C7" s="18">
        <v>1054525</v>
      </c>
      <c r="D7" s="11">
        <v>223381</v>
      </c>
      <c r="E7" s="11">
        <v>215747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1289391</v>
      </c>
      <c r="K7" s="18">
        <v>1270272</v>
      </c>
      <c r="L7" s="18">
        <v>2559663</v>
      </c>
    </row>
    <row r="8" spans="1:12">
      <c r="A8" s="14" t="s">
        <v>18</v>
      </c>
      <c r="B8" s="18">
        <v>1127253</v>
      </c>
      <c r="C8" s="18">
        <v>1112582</v>
      </c>
      <c r="D8" s="11">
        <v>207007</v>
      </c>
      <c r="E8" s="11">
        <v>197901</v>
      </c>
      <c r="F8" s="13" t="s">
        <v>17</v>
      </c>
      <c r="G8" s="13" t="s">
        <v>17</v>
      </c>
      <c r="H8" s="13" t="s">
        <v>17</v>
      </c>
      <c r="I8" s="13" t="s">
        <v>17</v>
      </c>
      <c r="J8" s="18">
        <v>1334260</v>
      </c>
      <c r="K8" s="18">
        <v>1310483</v>
      </c>
      <c r="L8" s="18">
        <v>2644743</v>
      </c>
    </row>
    <row r="9" spans="1:12">
      <c r="A9" s="9" t="s">
        <v>19</v>
      </c>
      <c r="B9" s="18">
        <v>1081884</v>
      </c>
      <c r="C9" s="18">
        <v>1155728</v>
      </c>
      <c r="D9" s="11">
        <v>176568</v>
      </c>
      <c r="E9" s="11">
        <v>167659</v>
      </c>
      <c r="F9" s="13" t="s">
        <v>17</v>
      </c>
      <c r="G9" s="13" t="s">
        <v>17</v>
      </c>
      <c r="H9" s="13" t="s">
        <v>17</v>
      </c>
      <c r="I9" s="13" t="s">
        <v>17</v>
      </c>
      <c r="J9" s="18">
        <v>1258452</v>
      </c>
      <c r="K9" s="18">
        <v>1323387</v>
      </c>
      <c r="L9" s="18">
        <v>2581839</v>
      </c>
    </row>
    <row r="10" spans="1:12">
      <c r="A10" s="9" t="s">
        <v>20</v>
      </c>
      <c r="B10" s="11">
        <v>948707</v>
      </c>
      <c r="C10" s="11">
        <v>938982</v>
      </c>
      <c r="D10" s="11">
        <v>150298</v>
      </c>
      <c r="E10" s="11">
        <v>142200</v>
      </c>
      <c r="F10" s="13" t="s">
        <v>17</v>
      </c>
      <c r="G10" s="13" t="s">
        <v>17</v>
      </c>
      <c r="H10" s="13" t="s">
        <v>17</v>
      </c>
      <c r="I10" s="13" t="s">
        <v>17</v>
      </c>
      <c r="J10" s="18">
        <v>1099005</v>
      </c>
      <c r="K10" s="18">
        <v>1081182</v>
      </c>
      <c r="L10" s="18">
        <v>2180187</v>
      </c>
    </row>
    <row r="11" spans="1:12">
      <c r="A11" s="9" t="s">
        <v>21</v>
      </c>
      <c r="B11" s="11">
        <v>760146</v>
      </c>
      <c r="C11" s="11">
        <v>786510</v>
      </c>
      <c r="D11" s="11">
        <v>298251</v>
      </c>
      <c r="E11" s="11">
        <v>159920</v>
      </c>
      <c r="F11" s="13" t="s">
        <v>17</v>
      </c>
      <c r="G11" s="13" t="s">
        <v>17</v>
      </c>
      <c r="H11" s="13" t="s">
        <v>17</v>
      </c>
      <c r="I11" s="13" t="s">
        <v>17</v>
      </c>
      <c r="J11" s="18">
        <v>1058397</v>
      </c>
      <c r="K11" s="11">
        <v>946430</v>
      </c>
      <c r="L11" s="18">
        <v>2004827</v>
      </c>
    </row>
    <row r="12" spans="1:12">
      <c r="A12" s="9" t="s">
        <v>22</v>
      </c>
      <c r="B12" s="11">
        <v>725413</v>
      </c>
      <c r="C12" s="11">
        <v>701326</v>
      </c>
      <c r="D12" s="11">
        <v>626706</v>
      </c>
      <c r="E12" s="11">
        <v>240156</v>
      </c>
      <c r="F12" s="13" t="s">
        <v>17</v>
      </c>
      <c r="G12" s="13" t="s">
        <v>17</v>
      </c>
      <c r="H12" s="13" t="s">
        <v>17</v>
      </c>
      <c r="I12" s="13" t="s">
        <v>17</v>
      </c>
      <c r="J12" s="18">
        <v>1352119</v>
      </c>
      <c r="K12" s="11">
        <v>941482</v>
      </c>
      <c r="L12" s="18">
        <v>2293601</v>
      </c>
    </row>
    <row r="13" spans="1:12">
      <c r="A13" s="9" t="s">
        <v>23</v>
      </c>
      <c r="B13" s="11">
        <v>569152</v>
      </c>
      <c r="C13" s="11">
        <v>575126</v>
      </c>
      <c r="D13" s="11">
        <v>709730</v>
      </c>
      <c r="E13" s="11">
        <v>271093</v>
      </c>
      <c r="F13" s="13" t="s">
        <v>17</v>
      </c>
      <c r="G13" s="13" t="s">
        <v>17</v>
      </c>
      <c r="H13" s="13" t="s">
        <v>17</v>
      </c>
      <c r="I13" s="13" t="s">
        <v>17</v>
      </c>
      <c r="J13" s="18">
        <v>1278882</v>
      </c>
      <c r="K13" s="11">
        <v>846219</v>
      </c>
      <c r="L13" s="18">
        <v>2125101</v>
      </c>
    </row>
    <row r="14" spans="1:12">
      <c r="A14" s="9" t="s">
        <v>24</v>
      </c>
      <c r="B14" s="11">
        <v>492543</v>
      </c>
      <c r="C14" s="11">
        <v>498170</v>
      </c>
      <c r="D14" s="11">
        <v>674734</v>
      </c>
      <c r="E14" s="11">
        <v>190103</v>
      </c>
      <c r="F14" s="13" t="s">
        <v>17</v>
      </c>
      <c r="G14" s="13" t="s">
        <v>17</v>
      </c>
      <c r="H14" s="13" t="s">
        <v>17</v>
      </c>
      <c r="I14" s="13" t="s">
        <v>17</v>
      </c>
      <c r="J14" s="18">
        <v>1167277</v>
      </c>
      <c r="K14" s="11">
        <v>688273</v>
      </c>
      <c r="L14" s="18">
        <v>1855550</v>
      </c>
    </row>
    <row r="15" spans="1:12">
      <c r="A15" s="9" t="s">
        <v>25</v>
      </c>
      <c r="B15" s="11">
        <v>411890</v>
      </c>
      <c r="C15" s="11">
        <v>372981</v>
      </c>
      <c r="D15" s="11">
        <v>511983</v>
      </c>
      <c r="E15" s="11">
        <v>121907</v>
      </c>
      <c r="F15" s="13" t="s">
        <v>17</v>
      </c>
      <c r="G15" s="13" t="s">
        <v>17</v>
      </c>
      <c r="H15" s="13" t="s">
        <v>17</v>
      </c>
      <c r="I15" s="13" t="s">
        <v>17</v>
      </c>
      <c r="J15" s="11">
        <v>923873</v>
      </c>
      <c r="K15" s="11">
        <v>494888</v>
      </c>
      <c r="L15" s="18">
        <v>1418761</v>
      </c>
    </row>
    <row r="16" spans="1:12">
      <c r="A16" s="9" t="s">
        <v>26</v>
      </c>
      <c r="B16" s="11">
        <v>313340</v>
      </c>
      <c r="C16" s="11">
        <v>277511</v>
      </c>
      <c r="D16" s="11">
        <v>338148</v>
      </c>
      <c r="E16" s="11">
        <v>72775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651488</v>
      </c>
      <c r="K16" s="11">
        <v>350286</v>
      </c>
      <c r="L16" s="18">
        <v>1001774</v>
      </c>
    </row>
    <row r="17" spans="1:12">
      <c r="A17" s="9" t="s">
        <v>27</v>
      </c>
      <c r="B17" s="11">
        <v>222166</v>
      </c>
      <c r="C17" s="11">
        <v>199415</v>
      </c>
      <c r="D17" s="11">
        <v>193133</v>
      </c>
      <c r="E17" s="11">
        <v>43516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415299</v>
      </c>
      <c r="K17" s="11">
        <v>242931</v>
      </c>
      <c r="L17" s="11">
        <v>658230</v>
      </c>
    </row>
    <row r="18" spans="1:12">
      <c r="A18" s="9" t="s">
        <v>28</v>
      </c>
      <c r="B18" s="11">
        <v>146079</v>
      </c>
      <c r="C18" s="11">
        <v>153194</v>
      </c>
      <c r="D18" s="11">
        <v>84880</v>
      </c>
      <c r="E18" s="11">
        <v>21644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230959</v>
      </c>
      <c r="K18" s="11">
        <v>174838</v>
      </c>
      <c r="L18" s="11">
        <v>405797</v>
      </c>
    </row>
    <row r="19" spans="1:12">
      <c r="A19" s="9" t="s">
        <v>29</v>
      </c>
      <c r="B19" s="11">
        <v>126594</v>
      </c>
      <c r="C19" s="11">
        <v>134390</v>
      </c>
      <c r="D19" s="11">
        <v>39555</v>
      </c>
      <c r="E19" s="11">
        <v>14973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166149</v>
      </c>
      <c r="K19" s="11">
        <v>149363</v>
      </c>
      <c r="L19" s="11">
        <v>315512</v>
      </c>
    </row>
    <row r="20" spans="1:12">
      <c r="A20" s="9" t="s">
        <v>30</v>
      </c>
      <c r="B20" s="11">
        <v>103245</v>
      </c>
      <c r="C20" s="11">
        <v>101213</v>
      </c>
      <c r="D20" s="11">
        <v>16678</v>
      </c>
      <c r="E20" s="11">
        <v>7846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119923</v>
      </c>
      <c r="K20" s="11">
        <v>109059</v>
      </c>
      <c r="L20" s="11">
        <v>228982</v>
      </c>
    </row>
    <row r="21" spans="1:12">
      <c r="A21" s="9" t="s">
        <v>31</v>
      </c>
      <c r="B21" s="11">
        <v>77277</v>
      </c>
      <c r="C21" s="11">
        <v>84898</v>
      </c>
      <c r="D21" s="11">
        <v>9837</v>
      </c>
      <c r="E21" s="11">
        <v>6381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87114</v>
      </c>
      <c r="K21" s="11">
        <v>91279</v>
      </c>
      <c r="L21" s="11">
        <v>178393</v>
      </c>
    </row>
    <row r="22" spans="1:12" ht="15.75" thickBot="1">
      <c r="A22" s="7" t="s">
        <v>32</v>
      </c>
      <c r="B22" s="11">
        <v>115671</v>
      </c>
      <c r="C22" s="11">
        <v>93419</v>
      </c>
      <c r="D22" s="11">
        <v>8981</v>
      </c>
      <c r="E22" s="11">
        <v>7231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124652</v>
      </c>
      <c r="K22" s="11">
        <v>100650</v>
      </c>
      <c r="L22" s="11">
        <v>225302</v>
      </c>
    </row>
    <row r="23" spans="1:12" ht="26.25" thickBot="1">
      <c r="A23" s="66" t="s">
        <v>108</v>
      </c>
      <c r="B23" s="73" t="s">
        <v>17</v>
      </c>
      <c r="C23" s="73" t="s">
        <v>17</v>
      </c>
      <c r="D23" s="73" t="s">
        <v>17</v>
      </c>
      <c r="E23" s="73" t="s">
        <v>17</v>
      </c>
      <c r="F23" s="73" t="s">
        <v>17</v>
      </c>
      <c r="G23" s="73" t="s">
        <v>17</v>
      </c>
      <c r="H23" s="73" t="s">
        <v>17</v>
      </c>
      <c r="I23" s="73" t="s">
        <v>17</v>
      </c>
      <c r="J23" s="73" t="s">
        <v>17</v>
      </c>
      <c r="K23" s="73" t="s">
        <v>17</v>
      </c>
      <c r="L23" s="73" t="s">
        <v>17</v>
      </c>
    </row>
    <row r="24" spans="1:12" ht="27" thickBot="1">
      <c r="A24" s="71" t="s">
        <v>33</v>
      </c>
      <c r="B24" s="74">
        <v>8287370</v>
      </c>
      <c r="C24" s="74">
        <v>8239970</v>
      </c>
      <c r="D24" s="74">
        <v>4269870</v>
      </c>
      <c r="E24" s="74">
        <v>1881052</v>
      </c>
      <c r="F24" s="74" t="s">
        <v>17</v>
      </c>
      <c r="G24" s="74" t="s">
        <v>17</v>
      </c>
      <c r="H24" s="74" t="s">
        <v>17</v>
      </c>
      <c r="I24" s="74" t="s">
        <v>17</v>
      </c>
      <c r="J24" s="74">
        <v>12557240</v>
      </c>
      <c r="K24" s="74">
        <v>10121022</v>
      </c>
      <c r="L24" s="74">
        <v>22678262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8" t="s">
        <v>17</v>
      </c>
      <c r="C7" s="18" t="s">
        <v>17</v>
      </c>
      <c r="D7" s="11" t="s">
        <v>17</v>
      </c>
      <c r="E7" s="11" t="s">
        <v>17</v>
      </c>
      <c r="F7" s="11">
        <v>454369</v>
      </c>
      <c r="G7" s="11">
        <v>439215</v>
      </c>
      <c r="H7" s="18">
        <v>1169733</v>
      </c>
      <c r="I7" s="18">
        <v>1148692</v>
      </c>
      <c r="J7" s="18">
        <v>1624102</v>
      </c>
      <c r="K7" s="18">
        <v>1587907</v>
      </c>
      <c r="L7" s="18">
        <v>3212009</v>
      </c>
    </row>
    <row r="8" spans="1:12">
      <c r="A8" s="14" t="s">
        <v>18</v>
      </c>
      <c r="B8" s="18" t="s">
        <v>17</v>
      </c>
      <c r="C8" s="18" t="s">
        <v>17</v>
      </c>
      <c r="D8" s="11" t="s">
        <v>17</v>
      </c>
      <c r="E8" s="11" t="s">
        <v>17</v>
      </c>
      <c r="F8" s="11">
        <v>467702</v>
      </c>
      <c r="G8" s="11">
        <v>456925</v>
      </c>
      <c r="H8" s="18">
        <v>1296421</v>
      </c>
      <c r="I8" s="18">
        <v>1229339</v>
      </c>
      <c r="J8" s="18">
        <v>1764123</v>
      </c>
      <c r="K8" s="18">
        <v>1686264</v>
      </c>
      <c r="L8" s="18">
        <v>3450387</v>
      </c>
    </row>
    <row r="9" spans="1:12">
      <c r="A9" s="9" t="s">
        <v>19</v>
      </c>
      <c r="B9" s="18" t="s">
        <v>17</v>
      </c>
      <c r="C9" s="18" t="s">
        <v>17</v>
      </c>
      <c r="D9" s="11" t="s">
        <v>17</v>
      </c>
      <c r="E9" s="11" t="s">
        <v>17</v>
      </c>
      <c r="F9" s="11">
        <v>427856</v>
      </c>
      <c r="G9" s="11">
        <v>404336</v>
      </c>
      <c r="H9" s="18">
        <v>1079671</v>
      </c>
      <c r="I9" s="11">
        <v>962681</v>
      </c>
      <c r="J9" s="18">
        <v>1507527</v>
      </c>
      <c r="K9" s="18">
        <v>1367017</v>
      </c>
      <c r="L9" s="18">
        <v>2874544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>
        <v>411410</v>
      </c>
      <c r="G10" s="11">
        <v>382512</v>
      </c>
      <c r="H10" s="11">
        <v>754105</v>
      </c>
      <c r="I10" s="11">
        <v>752599</v>
      </c>
      <c r="J10" s="18">
        <v>1165515</v>
      </c>
      <c r="K10" s="18">
        <v>1135111</v>
      </c>
      <c r="L10" s="18">
        <v>2300626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>
        <v>385865</v>
      </c>
      <c r="G11" s="11">
        <v>338926</v>
      </c>
      <c r="H11" s="11">
        <v>466392</v>
      </c>
      <c r="I11" s="11">
        <v>593414</v>
      </c>
      <c r="J11" s="11">
        <v>852257</v>
      </c>
      <c r="K11" s="11">
        <v>932340</v>
      </c>
      <c r="L11" s="18">
        <v>1784597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>
        <v>310804</v>
      </c>
      <c r="G12" s="11">
        <v>311201</v>
      </c>
      <c r="H12" s="11">
        <v>405617</v>
      </c>
      <c r="I12" s="11">
        <v>606510</v>
      </c>
      <c r="J12" s="11">
        <v>716421</v>
      </c>
      <c r="K12" s="11">
        <v>917711</v>
      </c>
      <c r="L12" s="18">
        <v>1634132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>
        <v>257706</v>
      </c>
      <c r="G13" s="11">
        <v>196196</v>
      </c>
      <c r="H13" s="11">
        <v>332792</v>
      </c>
      <c r="I13" s="11">
        <v>397917</v>
      </c>
      <c r="J13" s="11">
        <v>590498</v>
      </c>
      <c r="K13" s="11">
        <v>594113</v>
      </c>
      <c r="L13" s="18">
        <v>1184611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>
        <v>223250</v>
      </c>
      <c r="G14" s="11">
        <v>198560</v>
      </c>
      <c r="H14" s="11">
        <v>344459</v>
      </c>
      <c r="I14" s="11">
        <v>426488</v>
      </c>
      <c r="J14" s="11">
        <v>567709</v>
      </c>
      <c r="K14" s="11">
        <v>625048</v>
      </c>
      <c r="L14" s="18">
        <v>1192757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>
        <v>145782</v>
      </c>
      <c r="G15" s="11">
        <v>121294</v>
      </c>
      <c r="H15" s="11">
        <v>257873</v>
      </c>
      <c r="I15" s="11">
        <v>288168</v>
      </c>
      <c r="J15" s="11">
        <v>403655</v>
      </c>
      <c r="K15" s="11">
        <v>409462</v>
      </c>
      <c r="L15" s="11">
        <v>813117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>
        <v>128957</v>
      </c>
      <c r="G16" s="11">
        <v>114400</v>
      </c>
      <c r="H16" s="11">
        <v>227184</v>
      </c>
      <c r="I16" s="11">
        <v>249621</v>
      </c>
      <c r="J16" s="11">
        <v>356141</v>
      </c>
      <c r="K16" s="11">
        <v>364021</v>
      </c>
      <c r="L16" s="11">
        <v>720162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>
        <v>98743</v>
      </c>
      <c r="G17" s="11">
        <v>85205</v>
      </c>
      <c r="H17" s="11">
        <v>204580</v>
      </c>
      <c r="I17" s="11">
        <v>201631</v>
      </c>
      <c r="J17" s="11">
        <v>303323</v>
      </c>
      <c r="K17" s="11">
        <v>286836</v>
      </c>
      <c r="L17" s="11">
        <v>590159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>
        <v>62582</v>
      </c>
      <c r="G18" s="11">
        <v>50706</v>
      </c>
      <c r="H18" s="11">
        <v>125486</v>
      </c>
      <c r="I18" s="11">
        <v>107179</v>
      </c>
      <c r="J18" s="11">
        <v>188068</v>
      </c>
      <c r="K18" s="11">
        <v>157885</v>
      </c>
      <c r="L18" s="11">
        <v>345953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>
        <v>60257</v>
      </c>
      <c r="G19" s="11">
        <v>50241</v>
      </c>
      <c r="H19" s="11">
        <v>143798</v>
      </c>
      <c r="I19" s="11">
        <v>125094</v>
      </c>
      <c r="J19" s="11">
        <v>204055</v>
      </c>
      <c r="K19" s="11">
        <v>175335</v>
      </c>
      <c r="L19" s="11">
        <v>379390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>
        <v>38522</v>
      </c>
      <c r="G20" s="11">
        <v>30974</v>
      </c>
      <c r="H20" s="11">
        <v>97007</v>
      </c>
      <c r="I20" s="11">
        <v>70066</v>
      </c>
      <c r="J20" s="11">
        <v>135529</v>
      </c>
      <c r="K20" s="11">
        <v>101040</v>
      </c>
      <c r="L20" s="11">
        <v>236569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>
        <v>30959</v>
      </c>
      <c r="G21" s="11">
        <v>29500</v>
      </c>
      <c r="H21" s="11">
        <v>90845</v>
      </c>
      <c r="I21" s="11">
        <v>79096</v>
      </c>
      <c r="J21" s="11">
        <v>121804</v>
      </c>
      <c r="K21" s="11">
        <v>108596</v>
      </c>
      <c r="L21" s="11">
        <v>230400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>
        <v>37408</v>
      </c>
      <c r="G22" s="11">
        <v>35409</v>
      </c>
      <c r="H22" s="11">
        <v>117761</v>
      </c>
      <c r="I22" s="11">
        <v>105066</v>
      </c>
      <c r="J22" s="11">
        <v>155169</v>
      </c>
      <c r="K22" s="11">
        <v>140475</v>
      </c>
      <c r="L22" s="11">
        <v>295644</v>
      </c>
    </row>
    <row r="23" spans="1:12" ht="26.25" thickBot="1">
      <c r="A23" s="66" t="s">
        <v>108</v>
      </c>
      <c r="B23" s="67" t="s">
        <v>17</v>
      </c>
      <c r="C23" s="67" t="s">
        <v>17</v>
      </c>
      <c r="D23" s="67" t="s">
        <v>17</v>
      </c>
      <c r="E23" s="67" t="s">
        <v>17</v>
      </c>
      <c r="F23" s="80">
        <v>4612</v>
      </c>
      <c r="G23" s="80">
        <v>1879</v>
      </c>
      <c r="H23" s="80">
        <v>11107</v>
      </c>
      <c r="I23" s="80">
        <v>3985</v>
      </c>
      <c r="J23" s="80">
        <v>15719</v>
      </c>
      <c r="K23" s="80">
        <v>5864</v>
      </c>
      <c r="L23" s="80">
        <v>21583</v>
      </c>
    </row>
    <row r="24" spans="1:12" ht="27" thickBot="1">
      <c r="A24" s="71" t="s">
        <v>33</v>
      </c>
      <c r="B24" s="74" t="s">
        <v>17</v>
      </c>
      <c r="C24" s="74" t="s">
        <v>17</v>
      </c>
      <c r="D24" s="74" t="s">
        <v>17</v>
      </c>
      <c r="E24" s="74" t="s">
        <v>17</v>
      </c>
      <c r="F24" s="74">
        <v>3546784</v>
      </c>
      <c r="G24" s="74">
        <v>3247479</v>
      </c>
      <c r="H24" s="74">
        <v>7124831</v>
      </c>
      <c r="I24" s="74">
        <v>7347546</v>
      </c>
      <c r="J24" s="74">
        <v>10671615</v>
      </c>
      <c r="K24" s="74">
        <v>10595025</v>
      </c>
      <c r="L24" s="74">
        <v>21266640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108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8" t="s">
        <v>17</v>
      </c>
      <c r="C7" s="18" t="s">
        <v>17</v>
      </c>
      <c r="D7" s="11" t="s">
        <v>17</v>
      </c>
      <c r="E7" s="11" t="s">
        <v>17</v>
      </c>
      <c r="F7" s="18" t="s">
        <v>17</v>
      </c>
      <c r="G7" s="18" t="s">
        <v>17</v>
      </c>
      <c r="H7" s="18" t="s">
        <v>17</v>
      </c>
      <c r="I7" s="18" t="s">
        <v>17</v>
      </c>
      <c r="J7" s="18">
        <v>3005746</v>
      </c>
      <c r="K7" s="18">
        <v>2840245</v>
      </c>
      <c r="L7" s="18">
        <v>5845991</v>
      </c>
    </row>
    <row r="8" spans="1:12">
      <c r="A8" s="14" t="s">
        <v>18</v>
      </c>
      <c r="B8" s="18" t="s">
        <v>17</v>
      </c>
      <c r="C8" s="18" t="s">
        <v>17</v>
      </c>
      <c r="D8" s="11" t="s">
        <v>17</v>
      </c>
      <c r="E8" s="11" t="s">
        <v>17</v>
      </c>
      <c r="F8" s="18" t="s">
        <v>17</v>
      </c>
      <c r="G8" s="18" t="s">
        <v>17</v>
      </c>
      <c r="H8" s="18" t="s">
        <v>17</v>
      </c>
      <c r="I8" s="18" t="s">
        <v>17</v>
      </c>
      <c r="J8" s="18">
        <v>3023603</v>
      </c>
      <c r="K8" s="18">
        <v>2778173</v>
      </c>
      <c r="L8" s="18">
        <v>5801776</v>
      </c>
    </row>
    <row r="9" spans="1:12">
      <c r="A9" s="9" t="s">
        <v>19</v>
      </c>
      <c r="B9" s="18" t="s">
        <v>17</v>
      </c>
      <c r="C9" s="18" t="s">
        <v>17</v>
      </c>
      <c r="D9" s="11" t="s">
        <v>17</v>
      </c>
      <c r="E9" s="11" t="s">
        <v>17</v>
      </c>
      <c r="F9" s="18" t="s">
        <v>17</v>
      </c>
      <c r="G9" s="18" t="s">
        <v>17</v>
      </c>
      <c r="H9" s="18" t="s">
        <v>17</v>
      </c>
      <c r="I9" s="18" t="s">
        <v>17</v>
      </c>
      <c r="J9" s="18">
        <v>2689626</v>
      </c>
      <c r="K9" s="18">
        <v>2346411</v>
      </c>
      <c r="L9" s="18">
        <v>5036037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8">
        <v>2151401</v>
      </c>
      <c r="K10" s="18">
        <v>2024954</v>
      </c>
      <c r="L10" s="18">
        <v>4176355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8">
        <v>1740076</v>
      </c>
      <c r="K11" s="18">
        <v>1796936</v>
      </c>
      <c r="L11" s="18">
        <v>3537012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8">
        <v>1466418</v>
      </c>
      <c r="K12" s="18">
        <v>1648548</v>
      </c>
      <c r="L12" s="18">
        <v>3114966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8">
        <v>1207987</v>
      </c>
      <c r="K13" s="18">
        <v>1295976</v>
      </c>
      <c r="L13" s="18">
        <v>2503963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8">
        <v>1134069</v>
      </c>
      <c r="K14" s="18">
        <v>1180296</v>
      </c>
      <c r="L14" s="18">
        <v>2314365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905533</v>
      </c>
      <c r="K15" s="11">
        <v>868298</v>
      </c>
      <c r="L15" s="18">
        <v>1773831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689233</v>
      </c>
      <c r="K16" s="11">
        <v>614447</v>
      </c>
      <c r="L16" s="18">
        <v>1303680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581191</v>
      </c>
      <c r="K17" s="11">
        <v>513515</v>
      </c>
      <c r="L17" s="18">
        <v>1094706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350041</v>
      </c>
      <c r="K18" s="11">
        <v>285760</v>
      </c>
      <c r="L18" s="11">
        <v>635801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380847</v>
      </c>
      <c r="K19" s="11">
        <v>310256</v>
      </c>
      <c r="L19" s="11">
        <v>691103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227674</v>
      </c>
      <c r="K20" s="11">
        <v>168614</v>
      </c>
      <c r="L20" s="11">
        <v>396288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229753</v>
      </c>
      <c r="K21" s="11">
        <v>185942</v>
      </c>
      <c r="L21" s="11">
        <v>415695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>
        <v>290779</v>
      </c>
      <c r="K22" s="11">
        <v>222142</v>
      </c>
      <c r="L22" s="11">
        <v>512921</v>
      </c>
    </row>
    <row r="23" spans="1:12" ht="26.25" thickBot="1">
      <c r="A23" s="66" t="s">
        <v>108</v>
      </c>
      <c r="B23" s="67" t="s">
        <v>17</v>
      </c>
      <c r="C23" s="67" t="s">
        <v>17</v>
      </c>
      <c r="D23" s="67" t="s">
        <v>17</v>
      </c>
      <c r="E23" s="67" t="s">
        <v>17</v>
      </c>
      <c r="F23" s="67" t="s">
        <v>17</v>
      </c>
      <c r="G23" s="67" t="s">
        <v>17</v>
      </c>
      <c r="H23" s="67" t="s">
        <v>17</v>
      </c>
      <c r="I23" s="67" t="s">
        <v>17</v>
      </c>
      <c r="J23" s="67" t="s">
        <v>17</v>
      </c>
      <c r="K23" s="67" t="s">
        <v>17</v>
      </c>
      <c r="L23" s="67" t="s">
        <v>17</v>
      </c>
    </row>
    <row r="24" spans="1:12" ht="27" thickBot="1">
      <c r="A24" s="71" t="s">
        <v>33</v>
      </c>
      <c r="B24" s="74" t="s">
        <v>17</v>
      </c>
      <c r="C24" s="74" t="s">
        <v>17</v>
      </c>
      <c r="D24" s="74" t="s">
        <v>17</v>
      </c>
      <c r="E24" s="74" t="s">
        <v>17</v>
      </c>
      <c r="F24" s="74" t="s">
        <v>17</v>
      </c>
      <c r="G24" s="74" t="s">
        <v>17</v>
      </c>
      <c r="H24" s="74" t="s">
        <v>17</v>
      </c>
      <c r="I24" s="74" t="s">
        <v>17</v>
      </c>
      <c r="J24" s="74">
        <v>20073977</v>
      </c>
      <c r="K24" s="74">
        <v>19080513</v>
      </c>
      <c r="L24" s="74">
        <v>39154490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78" t="s">
        <v>8</v>
      </c>
      <c r="K4" s="108"/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 t="s">
        <v>38</v>
      </c>
      <c r="C7" s="11" t="s">
        <v>38</v>
      </c>
      <c r="D7" s="11" t="s">
        <v>38</v>
      </c>
      <c r="E7" s="11" t="s">
        <v>38</v>
      </c>
      <c r="F7" s="11" t="s">
        <v>38</v>
      </c>
      <c r="G7" s="11" t="s">
        <v>38</v>
      </c>
      <c r="H7" s="11" t="s">
        <v>38</v>
      </c>
      <c r="I7" s="11" t="s">
        <v>38</v>
      </c>
      <c r="J7" s="18">
        <v>1056000</v>
      </c>
      <c r="K7" s="11">
        <v>994000</v>
      </c>
      <c r="L7" s="18">
        <v>2050000</v>
      </c>
    </row>
    <row r="8" spans="1:12">
      <c r="A8" s="14" t="s">
        <v>18</v>
      </c>
      <c r="B8" s="11" t="s">
        <v>38</v>
      </c>
      <c r="C8" s="11" t="s">
        <v>38</v>
      </c>
      <c r="D8" s="11" t="s">
        <v>38</v>
      </c>
      <c r="E8" s="11" t="s">
        <v>38</v>
      </c>
      <c r="F8" s="13" t="s">
        <v>38</v>
      </c>
      <c r="G8" s="13" t="s">
        <v>38</v>
      </c>
      <c r="H8" s="11" t="s">
        <v>38</v>
      </c>
      <c r="I8" s="11" t="s">
        <v>38</v>
      </c>
      <c r="J8" s="18">
        <v>1087000</v>
      </c>
      <c r="K8" s="18">
        <v>1033000</v>
      </c>
      <c r="L8" s="18">
        <v>2120000</v>
      </c>
    </row>
    <row r="9" spans="1:12">
      <c r="A9" s="9" t="s">
        <v>19</v>
      </c>
      <c r="B9" s="11" t="s">
        <v>38</v>
      </c>
      <c r="C9" s="11" t="s">
        <v>38</v>
      </c>
      <c r="D9" s="11" t="s">
        <v>38</v>
      </c>
      <c r="E9" s="11" t="s">
        <v>38</v>
      </c>
      <c r="F9" s="13" t="s">
        <v>38</v>
      </c>
      <c r="G9" s="13" t="s">
        <v>38</v>
      </c>
      <c r="H9" s="11" t="s">
        <v>38</v>
      </c>
      <c r="I9" s="11" t="s">
        <v>38</v>
      </c>
      <c r="J9" s="18">
        <v>1030000</v>
      </c>
      <c r="K9" s="11">
        <v>975000</v>
      </c>
      <c r="L9" s="18">
        <v>2005000</v>
      </c>
    </row>
    <row r="10" spans="1:12">
      <c r="A10" s="9" t="s">
        <v>20</v>
      </c>
      <c r="B10" s="11" t="s">
        <v>38</v>
      </c>
      <c r="C10" s="11" t="s">
        <v>38</v>
      </c>
      <c r="D10" s="11" t="s">
        <v>38</v>
      </c>
      <c r="E10" s="11" t="s">
        <v>38</v>
      </c>
      <c r="F10" s="13" t="s">
        <v>38</v>
      </c>
      <c r="G10" s="13" t="s">
        <v>38</v>
      </c>
      <c r="H10" s="11" t="s">
        <v>38</v>
      </c>
      <c r="I10" s="11" t="s">
        <v>38</v>
      </c>
      <c r="J10" s="11">
        <v>814000</v>
      </c>
      <c r="K10" s="11">
        <v>785000</v>
      </c>
      <c r="L10" s="18">
        <v>1599000</v>
      </c>
    </row>
    <row r="11" spans="1:12">
      <c r="A11" s="9" t="s">
        <v>21</v>
      </c>
      <c r="B11" s="11" t="s">
        <v>38</v>
      </c>
      <c r="C11" s="11" t="s">
        <v>38</v>
      </c>
      <c r="D11" s="11" t="s">
        <v>38</v>
      </c>
      <c r="E11" s="11" t="s">
        <v>38</v>
      </c>
      <c r="F11" s="13" t="s">
        <v>38</v>
      </c>
      <c r="G11" s="13" t="s">
        <v>38</v>
      </c>
      <c r="H11" s="11" t="s">
        <v>38</v>
      </c>
      <c r="I11" s="11" t="s">
        <v>38</v>
      </c>
      <c r="J11" s="11">
        <v>632000</v>
      </c>
      <c r="K11" s="11">
        <v>622000</v>
      </c>
      <c r="L11" s="18">
        <v>1254000</v>
      </c>
    </row>
    <row r="12" spans="1:12">
      <c r="A12" s="9" t="s">
        <v>22</v>
      </c>
      <c r="B12" s="11" t="s">
        <v>38</v>
      </c>
      <c r="C12" s="11" t="s">
        <v>38</v>
      </c>
      <c r="D12" s="11" t="s">
        <v>38</v>
      </c>
      <c r="E12" s="11" t="s">
        <v>38</v>
      </c>
      <c r="F12" s="13" t="s">
        <v>38</v>
      </c>
      <c r="G12" s="13" t="s">
        <v>38</v>
      </c>
      <c r="H12" s="11" t="s">
        <v>38</v>
      </c>
      <c r="I12" s="11" t="s">
        <v>38</v>
      </c>
      <c r="J12" s="11">
        <v>527000</v>
      </c>
      <c r="K12" s="11">
        <v>518000</v>
      </c>
      <c r="L12" s="18">
        <v>1045000</v>
      </c>
    </row>
    <row r="13" spans="1:12">
      <c r="A13" s="9" t="s">
        <v>23</v>
      </c>
      <c r="B13" s="11" t="s">
        <v>38</v>
      </c>
      <c r="C13" s="11" t="s">
        <v>38</v>
      </c>
      <c r="D13" s="11" t="s">
        <v>38</v>
      </c>
      <c r="E13" s="11" t="s">
        <v>38</v>
      </c>
      <c r="F13" s="13" t="s">
        <v>38</v>
      </c>
      <c r="G13" s="13" t="s">
        <v>38</v>
      </c>
      <c r="H13" s="11" t="s">
        <v>38</v>
      </c>
      <c r="I13" s="11" t="s">
        <v>38</v>
      </c>
      <c r="J13" s="11">
        <v>427000</v>
      </c>
      <c r="K13" s="11">
        <v>420000</v>
      </c>
      <c r="L13" s="11">
        <v>847000</v>
      </c>
    </row>
    <row r="14" spans="1:12">
      <c r="A14" s="9" t="s">
        <v>24</v>
      </c>
      <c r="B14" s="11" t="s">
        <v>38</v>
      </c>
      <c r="C14" s="11" t="s">
        <v>38</v>
      </c>
      <c r="D14" s="11" t="s">
        <v>38</v>
      </c>
      <c r="E14" s="11" t="s">
        <v>38</v>
      </c>
      <c r="F14" s="13" t="s">
        <v>38</v>
      </c>
      <c r="G14" s="13" t="s">
        <v>38</v>
      </c>
      <c r="H14" s="11" t="s">
        <v>38</v>
      </c>
      <c r="I14" s="11" t="s">
        <v>38</v>
      </c>
      <c r="J14" s="11">
        <v>332000</v>
      </c>
      <c r="K14" s="11">
        <v>320000</v>
      </c>
      <c r="L14" s="11">
        <v>652000</v>
      </c>
    </row>
    <row r="15" spans="1:12">
      <c r="A15" s="9" t="s">
        <v>25</v>
      </c>
      <c r="B15" s="11" t="s">
        <v>38</v>
      </c>
      <c r="C15" s="11" t="s">
        <v>38</v>
      </c>
      <c r="D15" s="11" t="s">
        <v>38</v>
      </c>
      <c r="E15" s="11" t="s">
        <v>38</v>
      </c>
      <c r="F15" s="13" t="s">
        <v>38</v>
      </c>
      <c r="G15" s="13" t="s">
        <v>38</v>
      </c>
      <c r="H15" s="11" t="s">
        <v>38</v>
      </c>
      <c r="I15" s="11" t="s">
        <v>38</v>
      </c>
      <c r="J15" s="11">
        <v>271000</v>
      </c>
      <c r="K15" s="11">
        <v>256000</v>
      </c>
      <c r="L15" s="11">
        <v>527000</v>
      </c>
    </row>
    <row r="16" spans="1:12">
      <c r="A16" s="9" t="s">
        <v>26</v>
      </c>
      <c r="B16" s="11" t="s">
        <v>38</v>
      </c>
      <c r="C16" s="11" t="s">
        <v>38</v>
      </c>
      <c r="D16" s="11" t="s">
        <v>38</v>
      </c>
      <c r="E16" s="11" t="s">
        <v>38</v>
      </c>
      <c r="F16" s="13" t="s">
        <v>38</v>
      </c>
      <c r="G16" s="13" t="s">
        <v>38</v>
      </c>
      <c r="H16" s="11" t="s">
        <v>38</v>
      </c>
      <c r="I16" s="11" t="s">
        <v>38</v>
      </c>
      <c r="J16" s="11">
        <v>202000</v>
      </c>
      <c r="K16" s="11">
        <v>190000</v>
      </c>
      <c r="L16" s="11">
        <v>392000</v>
      </c>
    </row>
    <row r="17" spans="1:12">
      <c r="A17" s="9" t="s">
        <v>27</v>
      </c>
      <c r="B17" s="11" t="s">
        <v>38</v>
      </c>
      <c r="C17" s="11" t="s">
        <v>38</v>
      </c>
      <c r="D17" s="11" t="s">
        <v>38</v>
      </c>
      <c r="E17" s="16" t="s">
        <v>38</v>
      </c>
      <c r="F17" s="13" t="s">
        <v>38</v>
      </c>
      <c r="G17" s="13" t="s">
        <v>38</v>
      </c>
      <c r="H17" s="11" t="s">
        <v>38</v>
      </c>
      <c r="I17" s="11" t="s">
        <v>38</v>
      </c>
      <c r="J17" s="11">
        <v>170000</v>
      </c>
      <c r="K17" s="11">
        <v>171000</v>
      </c>
      <c r="L17" s="11">
        <v>341000</v>
      </c>
    </row>
    <row r="18" spans="1:12">
      <c r="A18" s="9" t="s">
        <v>28</v>
      </c>
      <c r="B18" s="11" t="s">
        <v>38</v>
      </c>
      <c r="C18" s="11" t="s">
        <v>38</v>
      </c>
      <c r="D18" s="11" t="s">
        <v>38</v>
      </c>
      <c r="E18" s="16" t="s">
        <v>38</v>
      </c>
      <c r="F18" s="13" t="s">
        <v>38</v>
      </c>
      <c r="G18" s="13" t="s">
        <v>38</v>
      </c>
      <c r="H18" s="11" t="s">
        <v>38</v>
      </c>
      <c r="I18" s="11" t="s">
        <v>38</v>
      </c>
      <c r="J18" s="11">
        <v>135000</v>
      </c>
      <c r="K18" s="11">
        <v>129000</v>
      </c>
      <c r="L18" s="11">
        <v>264000</v>
      </c>
    </row>
    <row r="19" spans="1:12">
      <c r="A19" s="9" t="s">
        <v>29</v>
      </c>
      <c r="B19" s="11" t="s">
        <v>38</v>
      </c>
      <c r="C19" s="11" t="s">
        <v>38</v>
      </c>
      <c r="D19" s="16" t="s">
        <v>38</v>
      </c>
      <c r="E19" s="16" t="s">
        <v>38</v>
      </c>
      <c r="F19" s="13" t="s">
        <v>38</v>
      </c>
      <c r="G19" s="13" t="s">
        <v>38</v>
      </c>
      <c r="H19" s="11" t="s">
        <v>38</v>
      </c>
      <c r="I19" s="11" t="s">
        <v>38</v>
      </c>
      <c r="J19" s="11">
        <v>144000</v>
      </c>
      <c r="K19" s="11">
        <v>133000</v>
      </c>
      <c r="L19" s="11">
        <v>277000</v>
      </c>
    </row>
    <row r="20" spans="1:12" ht="15.75" thickBot="1">
      <c r="A20" s="9" t="s">
        <v>35</v>
      </c>
      <c r="B20" s="11" t="s">
        <v>38</v>
      </c>
      <c r="C20" s="11" t="s">
        <v>38</v>
      </c>
      <c r="D20" s="16" t="s">
        <v>38</v>
      </c>
      <c r="E20" s="16" t="s">
        <v>38</v>
      </c>
      <c r="F20" s="13" t="s">
        <v>38</v>
      </c>
      <c r="G20" s="13" t="s">
        <v>38</v>
      </c>
      <c r="H20" s="11" t="s">
        <v>38</v>
      </c>
      <c r="I20" s="11" t="s">
        <v>38</v>
      </c>
      <c r="J20" s="11">
        <v>222000</v>
      </c>
      <c r="K20" s="11">
        <v>187000</v>
      </c>
      <c r="L20" s="11">
        <v>409000</v>
      </c>
    </row>
    <row r="21" spans="1:12" ht="26.25" thickBot="1">
      <c r="A21" s="66" t="s">
        <v>108</v>
      </c>
      <c r="B21" s="80" t="s">
        <v>38</v>
      </c>
      <c r="C21" s="80" t="s">
        <v>38</v>
      </c>
      <c r="D21" s="73" t="s">
        <v>38</v>
      </c>
      <c r="E21" s="73" t="s">
        <v>38</v>
      </c>
      <c r="F21" s="80" t="s">
        <v>38</v>
      </c>
      <c r="G21" s="80" t="s">
        <v>38</v>
      </c>
      <c r="H21" s="73" t="s">
        <v>38</v>
      </c>
      <c r="I21" s="73" t="s">
        <v>38</v>
      </c>
      <c r="J21" s="73" t="s">
        <v>38</v>
      </c>
      <c r="K21" s="73" t="s">
        <v>38</v>
      </c>
      <c r="L21" s="73" t="s">
        <v>38</v>
      </c>
    </row>
    <row r="22" spans="1:12" ht="27" thickBot="1">
      <c r="A22" s="71" t="s">
        <v>33</v>
      </c>
      <c r="B22" s="74" t="s">
        <v>38</v>
      </c>
      <c r="C22" s="74" t="s">
        <v>38</v>
      </c>
      <c r="D22" s="72" t="s">
        <v>38</v>
      </c>
      <c r="E22" s="72" t="s">
        <v>38</v>
      </c>
      <c r="F22" s="74" t="s">
        <v>38</v>
      </c>
      <c r="G22" s="74" t="s">
        <v>38</v>
      </c>
      <c r="H22" s="72" t="s">
        <v>38</v>
      </c>
      <c r="I22" s="72" t="s">
        <v>38</v>
      </c>
      <c r="J22" s="74">
        <v>7049000</v>
      </c>
      <c r="K22" s="74">
        <v>6733000</v>
      </c>
      <c r="L22" s="74">
        <v>13782000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6"/>
      <c r="B4" s="84" t="s">
        <v>0</v>
      </c>
      <c r="C4" s="6" t="s">
        <v>1</v>
      </c>
      <c r="D4" s="84" t="s">
        <v>2</v>
      </c>
      <c r="E4" s="6" t="s">
        <v>3</v>
      </c>
      <c r="F4" s="85" t="s">
        <v>4</v>
      </c>
      <c r="G4" s="8" t="s">
        <v>5</v>
      </c>
      <c r="H4" s="85" t="s">
        <v>6</v>
      </c>
      <c r="I4" s="8" t="s">
        <v>7</v>
      </c>
      <c r="J4" s="84" t="s">
        <v>8</v>
      </c>
      <c r="K4" s="6" t="s">
        <v>9</v>
      </c>
      <c r="L4" s="8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/>
      <c r="C7" s="11"/>
      <c r="D7" s="11" t="s">
        <v>38</v>
      </c>
      <c r="E7" s="11" t="s">
        <v>38</v>
      </c>
      <c r="F7" s="11">
        <v>644000</v>
      </c>
      <c r="G7" s="11">
        <v>609000</v>
      </c>
      <c r="H7" s="11">
        <v>629000</v>
      </c>
      <c r="I7" s="11">
        <v>594000</v>
      </c>
      <c r="J7" s="18">
        <v>1273000</v>
      </c>
      <c r="K7" s="18">
        <v>1203000</v>
      </c>
      <c r="L7" s="18">
        <v>2476000</v>
      </c>
    </row>
    <row r="8" spans="1:12">
      <c r="A8" s="14" t="s">
        <v>18</v>
      </c>
      <c r="B8" s="11" t="s">
        <v>38</v>
      </c>
      <c r="C8" s="11" t="s">
        <v>38</v>
      </c>
      <c r="D8" s="11" t="s">
        <v>38</v>
      </c>
      <c r="E8" s="11" t="s">
        <v>38</v>
      </c>
      <c r="F8" s="11">
        <v>633000</v>
      </c>
      <c r="G8" s="11">
        <v>596000</v>
      </c>
      <c r="H8" s="11">
        <v>602000</v>
      </c>
      <c r="I8" s="11">
        <v>568000</v>
      </c>
      <c r="J8" s="18">
        <v>1235000</v>
      </c>
      <c r="K8" s="18">
        <v>1164000</v>
      </c>
      <c r="L8" s="18">
        <v>2399000</v>
      </c>
    </row>
    <row r="9" spans="1:12">
      <c r="A9" s="9" t="s">
        <v>19</v>
      </c>
      <c r="B9" s="11" t="s">
        <v>38</v>
      </c>
      <c r="C9" s="11" t="s">
        <v>38</v>
      </c>
      <c r="D9" s="11" t="s">
        <v>38</v>
      </c>
      <c r="E9" s="11" t="s">
        <v>38</v>
      </c>
      <c r="F9" s="11">
        <v>578000</v>
      </c>
      <c r="G9" s="11">
        <v>539000</v>
      </c>
      <c r="H9" s="11">
        <v>536000</v>
      </c>
      <c r="I9" s="11">
        <v>501000</v>
      </c>
      <c r="J9" s="18">
        <v>1114000</v>
      </c>
      <c r="K9" s="18">
        <v>1040000</v>
      </c>
      <c r="L9" s="18">
        <v>2154000</v>
      </c>
    </row>
    <row r="10" spans="1:12">
      <c r="A10" s="9" t="s">
        <v>20</v>
      </c>
      <c r="B10" s="11" t="s">
        <v>38</v>
      </c>
      <c r="C10" s="11" t="s">
        <v>38</v>
      </c>
      <c r="D10" s="11" t="s">
        <v>38</v>
      </c>
      <c r="E10" s="11" t="s">
        <v>38</v>
      </c>
      <c r="F10" s="11">
        <v>560000</v>
      </c>
      <c r="G10" s="11">
        <v>532000</v>
      </c>
      <c r="H10" s="11">
        <v>518000</v>
      </c>
      <c r="I10" s="11">
        <v>491000</v>
      </c>
      <c r="J10" s="18">
        <v>1078000</v>
      </c>
      <c r="K10" s="18">
        <v>1023000</v>
      </c>
      <c r="L10" s="18">
        <v>2101000</v>
      </c>
    </row>
    <row r="11" spans="1:12">
      <c r="A11" s="9" t="s">
        <v>21</v>
      </c>
      <c r="B11" s="11" t="s">
        <v>38</v>
      </c>
      <c r="C11" s="11" t="s">
        <v>38</v>
      </c>
      <c r="D11" s="11" t="s">
        <v>38</v>
      </c>
      <c r="E11" s="11" t="s">
        <v>38</v>
      </c>
      <c r="F11" s="11">
        <v>504000</v>
      </c>
      <c r="G11" s="11">
        <v>486000</v>
      </c>
      <c r="H11" s="11">
        <v>444000</v>
      </c>
      <c r="I11" s="11">
        <v>430000</v>
      </c>
      <c r="J11" s="11">
        <v>948000</v>
      </c>
      <c r="K11" s="11">
        <v>916000</v>
      </c>
      <c r="L11" s="18">
        <v>1864000</v>
      </c>
    </row>
    <row r="12" spans="1:12">
      <c r="A12" s="9" t="s">
        <v>22</v>
      </c>
      <c r="B12" s="11" t="s">
        <v>38</v>
      </c>
      <c r="C12" s="11" t="s">
        <v>38</v>
      </c>
      <c r="D12" s="11" t="s">
        <v>38</v>
      </c>
      <c r="E12" s="11" t="s">
        <v>38</v>
      </c>
      <c r="F12" s="11">
        <v>393000</v>
      </c>
      <c r="G12" s="11">
        <v>380000</v>
      </c>
      <c r="H12" s="11">
        <v>334000</v>
      </c>
      <c r="I12" s="11">
        <v>329000</v>
      </c>
      <c r="J12" s="11">
        <v>727000</v>
      </c>
      <c r="K12" s="11">
        <v>709000</v>
      </c>
      <c r="L12" s="18">
        <v>1436000</v>
      </c>
    </row>
    <row r="13" spans="1:12">
      <c r="A13" s="9" t="s">
        <v>23</v>
      </c>
      <c r="B13" s="11" t="s">
        <v>38</v>
      </c>
      <c r="C13" s="11" t="s">
        <v>38</v>
      </c>
      <c r="D13" s="11" t="s">
        <v>38</v>
      </c>
      <c r="E13" s="11" t="s">
        <v>38</v>
      </c>
      <c r="F13" s="11">
        <v>335000</v>
      </c>
      <c r="G13" s="11">
        <v>325000</v>
      </c>
      <c r="H13" s="11">
        <v>262000</v>
      </c>
      <c r="I13" s="11">
        <v>258000</v>
      </c>
      <c r="J13" s="11">
        <v>597000</v>
      </c>
      <c r="K13" s="11">
        <v>583000</v>
      </c>
      <c r="L13" s="18">
        <v>1180000</v>
      </c>
    </row>
    <row r="14" spans="1:12">
      <c r="A14" s="9" t="s">
        <v>24</v>
      </c>
      <c r="B14" s="11" t="s">
        <v>38</v>
      </c>
      <c r="C14" s="11" t="s">
        <v>38</v>
      </c>
      <c r="D14" s="11" t="s">
        <v>38</v>
      </c>
      <c r="E14" s="11" t="s">
        <v>38</v>
      </c>
      <c r="F14" s="11">
        <v>296000</v>
      </c>
      <c r="G14" s="11">
        <v>284000</v>
      </c>
      <c r="H14" s="11">
        <v>220000</v>
      </c>
      <c r="I14" s="11">
        <v>216000</v>
      </c>
      <c r="J14" s="11">
        <v>516000</v>
      </c>
      <c r="K14" s="11">
        <v>500000</v>
      </c>
      <c r="L14" s="18">
        <v>1016000</v>
      </c>
    </row>
    <row r="15" spans="1:12">
      <c r="A15" s="9" t="s">
        <v>25</v>
      </c>
      <c r="B15" s="11" t="s">
        <v>38</v>
      </c>
      <c r="C15" s="11" t="s">
        <v>38</v>
      </c>
      <c r="D15" s="11" t="s">
        <v>38</v>
      </c>
      <c r="E15" s="11" t="s">
        <v>38</v>
      </c>
      <c r="F15" s="11">
        <v>259000</v>
      </c>
      <c r="G15" s="11">
        <v>239000</v>
      </c>
      <c r="H15" s="11">
        <v>168000</v>
      </c>
      <c r="I15" s="11">
        <v>169000</v>
      </c>
      <c r="J15" s="11">
        <v>427000</v>
      </c>
      <c r="K15" s="11">
        <v>408000</v>
      </c>
      <c r="L15" s="11">
        <v>835000</v>
      </c>
    </row>
    <row r="16" spans="1:12">
      <c r="A16" s="9" t="s">
        <v>26</v>
      </c>
      <c r="B16" s="11" t="s">
        <v>38</v>
      </c>
      <c r="C16" s="11" t="s">
        <v>38</v>
      </c>
      <c r="D16" s="11" t="s">
        <v>38</v>
      </c>
      <c r="E16" s="11" t="s">
        <v>38</v>
      </c>
      <c r="F16" s="11">
        <v>198000</v>
      </c>
      <c r="G16" s="11">
        <v>178000</v>
      </c>
      <c r="H16" s="11">
        <v>129000</v>
      </c>
      <c r="I16" s="11">
        <v>129000</v>
      </c>
      <c r="J16" s="11">
        <v>327000</v>
      </c>
      <c r="K16" s="11">
        <v>307000</v>
      </c>
      <c r="L16" s="11">
        <v>634000</v>
      </c>
    </row>
    <row r="17" spans="1:12">
      <c r="A17" s="9" t="s">
        <v>27</v>
      </c>
      <c r="B17" s="11" t="s">
        <v>38</v>
      </c>
      <c r="C17" s="11" t="s">
        <v>38</v>
      </c>
      <c r="D17" s="11" t="s">
        <v>38</v>
      </c>
      <c r="E17" s="11" t="s">
        <v>38</v>
      </c>
      <c r="F17" s="11">
        <v>159000</v>
      </c>
      <c r="G17" s="11">
        <v>137000</v>
      </c>
      <c r="H17" s="11">
        <v>109000</v>
      </c>
      <c r="I17" s="11">
        <v>112000</v>
      </c>
      <c r="J17" s="11">
        <v>268000</v>
      </c>
      <c r="K17" s="11">
        <v>249000</v>
      </c>
      <c r="L17" s="11">
        <v>517000</v>
      </c>
    </row>
    <row r="18" spans="1:12">
      <c r="A18" s="9" t="s">
        <v>28</v>
      </c>
      <c r="B18" s="11" t="s">
        <v>38</v>
      </c>
      <c r="C18" s="11" t="s">
        <v>38</v>
      </c>
      <c r="D18" s="11" t="s">
        <v>38</v>
      </c>
      <c r="E18" s="16" t="s">
        <v>38</v>
      </c>
      <c r="F18" s="11">
        <v>109000</v>
      </c>
      <c r="G18" s="11">
        <v>96000</v>
      </c>
      <c r="H18" s="11">
        <v>80000</v>
      </c>
      <c r="I18" s="11">
        <v>76000</v>
      </c>
      <c r="J18" s="11">
        <v>189000</v>
      </c>
      <c r="K18" s="11">
        <v>172000</v>
      </c>
      <c r="L18" s="11">
        <v>361000</v>
      </c>
    </row>
    <row r="19" spans="1:12">
      <c r="A19" s="9" t="s">
        <v>29</v>
      </c>
      <c r="B19" s="11" t="s">
        <v>38</v>
      </c>
      <c r="C19" s="11" t="s">
        <v>38</v>
      </c>
      <c r="D19" s="11" t="s">
        <v>38</v>
      </c>
      <c r="E19" s="16" t="s">
        <v>38</v>
      </c>
      <c r="F19" s="11">
        <v>85000</v>
      </c>
      <c r="G19" s="11">
        <v>78000</v>
      </c>
      <c r="H19" s="11">
        <v>65000</v>
      </c>
      <c r="I19" s="11">
        <v>68000</v>
      </c>
      <c r="J19" s="11">
        <v>150000</v>
      </c>
      <c r="K19" s="11">
        <v>146000</v>
      </c>
      <c r="L19" s="11">
        <v>296000</v>
      </c>
    </row>
    <row r="20" spans="1:12">
      <c r="A20" s="9" t="s">
        <v>30</v>
      </c>
      <c r="B20" s="11" t="s">
        <v>38</v>
      </c>
      <c r="C20" s="11" t="s">
        <v>38</v>
      </c>
      <c r="D20" s="16" t="s">
        <v>38</v>
      </c>
      <c r="E20" s="16" t="s">
        <v>38</v>
      </c>
      <c r="F20" s="11">
        <v>62000</v>
      </c>
      <c r="G20" s="11">
        <v>54000</v>
      </c>
      <c r="H20" s="11">
        <v>49000</v>
      </c>
      <c r="I20" s="11">
        <v>47000</v>
      </c>
      <c r="J20" s="11">
        <v>111000</v>
      </c>
      <c r="K20" s="11">
        <v>101000</v>
      </c>
      <c r="L20" s="11">
        <v>212000</v>
      </c>
    </row>
    <row r="21" spans="1:12">
      <c r="A21" s="9" t="s">
        <v>31</v>
      </c>
      <c r="B21" s="11" t="s">
        <v>38</v>
      </c>
      <c r="C21" s="11" t="s">
        <v>38</v>
      </c>
      <c r="D21" s="16" t="s">
        <v>38</v>
      </c>
      <c r="E21" s="16" t="s">
        <v>38</v>
      </c>
      <c r="F21" s="11">
        <v>52000</v>
      </c>
      <c r="G21" s="11">
        <v>46000</v>
      </c>
      <c r="H21" s="11">
        <v>50000</v>
      </c>
      <c r="I21" s="11">
        <v>46000</v>
      </c>
      <c r="J21" s="11">
        <v>102000</v>
      </c>
      <c r="K21" s="11">
        <v>92000</v>
      </c>
      <c r="L21" s="11">
        <v>194000</v>
      </c>
    </row>
    <row r="22" spans="1:12" ht="15.75" thickBot="1">
      <c r="A22" s="7" t="s">
        <v>32</v>
      </c>
      <c r="B22" s="11" t="s">
        <v>38</v>
      </c>
      <c r="C22" s="11" t="s">
        <v>38</v>
      </c>
      <c r="D22" s="16" t="s">
        <v>38</v>
      </c>
      <c r="E22" s="16" t="s">
        <v>38</v>
      </c>
      <c r="F22" s="11">
        <v>46000</v>
      </c>
      <c r="G22" s="11">
        <v>41000</v>
      </c>
      <c r="H22" s="11">
        <v>55000</v>
      </c>
      <c r="I22" s="11">
        <v>39000</v>
      </c>
      <c r="J22" s="11">
        <v>101000</v>
      </c>
      <c r="K22" s="11">
        <v>80000</v>
      </c>
      <c r="L22" s="23">
        <v>181000</v>
      </c>
    </row>
    <row r="23" spans="1:12" ht="26.25" thickBot="1">
      <c r="A23" s="66" t="s">
        <v>108</v>
      </c>
      <c r="B23" s="67" t="s">
        <v>38</v>
      </c>
      <c r="C23" s="67" t="s">
        <v>38</v>
      </c>
      <c r="D23" s="67" t="s">
        <v>38</v>
      </c>
      <c r="E23" s="67" t="s">
        <v>38</v>
      </c>
      <c r="F23" s="80">
        <v>28000</v>
      </c>
      <c r="G23" s="80">
        <v>26000</v>
      </c>
      <c r="H23" s="80">
        <v>4000</v>
      </c>
      <c r="I23" s="80">
        <v>4000</v>
      </c>
      <c r="J23" s="80">
        <v>32000</v>
      </c>
      <c r="K23" s="80">
        <v>30000</v>
      </c>
      <c r="L23" s="80">
        <v>62000</v>
      </c>
    </row>
    <row r="24" spans="1:12" ht="27" thickBot="1">
      <c r="A24" s="71" t="s">
        <v>33</v>
      </c>
      <c r="B24" s="74" t="s">
        <v>38</v>
      </c>
      <c r="C24" s="74" t="s">
        <v>38</v>
      </c>
      <c r="D24" s="72" t="s">
        <v>38</v>
      </c>
      <c r="E24" s="72" t="s">
        <v>38</v>
      </c>
      <c r="F24" s="82">
        <v>4941000</v>
      </c>
      <c r="G24" s="82">
        <v>4646000</v>
      </c>
      <c r="H24" s="82">
        <v>4254000</v>
      </c>
      <c r="I24" s="82">
        <v>4077000</v>
      </c>
      <c r="J24" s="82">
        <v>9195000</v>
      </c>
      <c r="K24" s="82">
        <v>8723000</v>
      </c>
      <c r="L24" s="82">
        <v>17918000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" sqref="A2"/>
    </sheetView>
  </sheetViews>
  <sheetFormatPr defaultRowHeight="15"/>
  <cols>
    <col min="1" max="12" width="13.140625" customWidth="1"/>
  </cols>
  <sheetData>
    <row r="1" spans="1:12" ht="15.75">
      <c r="A1" s="131" t="s">
        <v>156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78" t="s">
        <v>8</v>
      </c>
      <c r="K4" s="108"/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24">
        <v>44663</v>
      </c>
      <c r="C7" s="24">
        <v>42488</v>
      </c>
      <c r="D7" s="24">
        <v>64861</v>
      </c>
      <c r="E7" s="24">
        <v>61037</v>
      </c>
      <c r="F7" s="24">
        <v>82880</v>
      </c>
      <c r="G7" s="24">
        <v>78198</v>
      </c>
      <c r="H7" s="24">
        <v>26644</v>
      </c>
      <c r="I7" s="24">
        <v>25327</v>
      </c>
      <c r="J7" s="24">
        <v>109524</v>
      </c>
      <c r="K7" s="24">
        <v>103525</v>
      </c>
      <c r="L7" s="24">
        <v>213049</v>
      </c>
    </row>
    <row r="8" spans="1:12">
      <c r="A8" s="14" t="s">
        <v>18</v>
      </c>
      <c r="B8" s="24">
        <v>45450</v>
      </c>
      <c r="C8" s="24">
        <v>43461</v>
      </c>
      <c r="D8" s="24">
        <v>67534</v>
      </c>
      <c r="E8" s="24">
        <v>62846</v>
      </c>
      <c r="F8" s="24">
        <v>85413</v>
      </c>
      <c r="G8" s="24">
        <v>80455</v>
      </c>
      <c r="H8" s="24">
        <v>27571</v>
      </c>
      <c r="I8" s="24">
        <v>25852</v>
      </c>
      <c r="J8" s="24">
        <v>112984</v>
      </c>
      <c r="K8" s="24">
        <v>106307</v>
      </c>
      <c r="L8" s="24">
        <v>219291</v>
      </c>
    </row>
    <row r="9" spans="1:12">
      <c r="A9" s="9" t="s">
        <v>19</v>
      </c>
      <c r="B9" s="24">
        <v>46845</v>
      </c>
      <c r="C9" s="24">
        <v>44628</v>
      </c>
      <c r="D9" s="24">
        <v>58040</v>
      </c>
      <c r="E9" s="24">
        <v>52541</v>
      </c>
      <c r="F9" s="24">
        <v>78500</v>
      </c>
      <c r="G9" s="24">
        <v>72948</v>
      </c>
      <c r="H9" s="24">
        <v>26385</v>
      </c>
      <c r="I9" s="24">
        <v>24221</v>
      </c>
      <c r="J9" s="24">
        <v>104885</v>
      </c>
      <c r="K9" s="24">
        <v>97169</v>
      </c>
      <c r="L9" s="24">
        <v>202054</v>
      </c>
    </row>
    <row r="10" spans="1:12">
      <c r="A10" s="9" t="s">
        <v>20</v>
      </c>
      <c r="B10" s="24">
        <v>42871</v>
      </c>
      <c r="C10" s="24">
        <v>40778</v>
      </c>
      <c r="D10" s="24">
        <v>40567</v>
      </c>
      <c r="E10" s="24">
        <v>34693</v>
      </c>
      <c r="F10" s="24">
        <v>60744</v>
      </c>
      <c r="G10" s="24">
        <v>56717</v>
      </c>
      <c r="H10" s="24">
        <v>22694</v>
      </c>
      <c r="I10" s="24">
        <v>18754</v>
      </c>
      <c r="J10" s="24">
        <v>83438</v>
      </c>
      <c r="K10" s="24">
        <v>75471</v>
      </c>
      <c r="L10" s="24">
        <v>158909</v>
      </c>
    </row>
    <row r="11" spans="1:12">
      <c r="A11" s="9" t="s">
        <v>21</v>
      </c>
      <c r="B11" s="24">
        <v>28255</v>
      </c>
      <c r="C11" s="24">
        <v>29043</v>
      </c>
      <c r="D11" s="24">
        <v>111613</v>
      </c>
      <c r="E11" s="24">
        <v>48839</v>
      </c>
      <c r="F11" s="24">
        <v>107485</v>
      </c>
      <c r="G11" s="24">
        <v>63597</v>
      </c>
      <c r="H11" s="24">
        <v>32383</v>
      </c>
      <c r="I11" s="24">
        <v>14285</v>
      </c>
      <c r="J11" s="24">
        <v>139868</v>
      </c>
      <c r="K11" s="24">
        <v>77882</v>
      </c>
      <c r="L11" s="24">
        <v>217750</v>
      </c>
    </row>
    <row r="12" spans="1:12">
      <c r="A12" s="9" t="s">
        <v>22</v>
      </c>
      <c r="B12" s="24">
        <v>19836</v>
      </c>
      <c r="C12" s="24">
        <v>20159</v>
      </c>
      <c r="D12" s="24">
        <v>218268</v>
      </c>
      <c r="E12" s="24">
        <v>68250</v>
      </c>
      <c r="F12" s="24">
        <v>186342</v>
      </c>
      <c r="G12" s="24">
        <v>74380</v>
      </c>
      <c r="H12" s="24">
        <v>51762</v>
      </c>
      <c r="I12" s="24">
        <v>14029</v>
      </c>
      <c r="J12" s="24">
        <v>238104</v>
      </c>
      <c r="K12" s="24">
        <v>88409</v>
      </c>
      <c r="L12" s="24">
        <v>326513</v>
      </c>
    </row>
    <row r="13" spans="1:12">
      <c r="A13" s="9" t="s">
        <v>23</v>
      </c>
      <c r="B13" s="24">
        <v>13262</v>
      </c>
      <c r="C13" s="24">
        <v>14836</v>
      </c>
      <c r="D13" s="24">
        <v>215804</v>
      </c>
      <c r="E13" s="24">
        <v>65377</v>
      </c>
      <c r="F13" s="24">
        <v>179601</v>
      </c>
      <c r="G13" s="24">
        <v>68284</v>
      </c>
      <c r="H13" s="24">
        <v>49465</v>
      </c>
      <c r="I13" s="24">
        <v>11929</v>
      </c>
      <c r="J13" s="24">
        <v>229066</v>
      </c>
      <c r="K13" s="24">
        <v>80213</v>
      </c>
      <c r="L13" s="24">
        <v>309279</v>
      </c>
    </row>
    <row r="14" spans="1:12">
      <c r="A14" s="9" t="s">
        <v>24</v>
      </c>
      <c r="B14" s="24">
        <v>11904</v>
      </c>
      <c r="C14" s="24">
        <v>15044</v>
      </c>
      <c r="D14" s="24">
        <v>208057</v>
      </c>
      <c r="E14" s="24">
        <v>53696</v>
      </c>
      <c r="F14" s="24">
        <v>172904</v>
      </c>
      <c r="G14" s="24">
        <v>58250</v>
      </c>
      <c r="H14" s="24">
        <v>47057</v>
      </c>
      <c r="I14" s="24">
        <v>10490</v>
      </c>
      <c r="J14" s="24">
        <v>219961</v>
      </c>
      <c r="K14" s="24">
        <v>68740</v>
      </c>
      <c r="L14" s="24">
        <v>288701</v>
      </c>
    </row>
    <row r="15" spans="1:12">
      <c r="A15" s="9" t="s">
        <v>25</v>
      </c>
      <c r="B15" s="24">
        <v>8976</v>
      </c>
      <c r="C15" s="24">
        <v>9964</v>
      </c>
      <c r="D15" s="24">
        <v>152607</v>
      </c>
      <c r="E15" s="24">
        <v>31682</v>
      </c>
      <c r="F15" s="24">
        <v>128593</v>
      </c>
      <c r="G15" s="24">
        <v>35423</v>
      </c>
      <c r="H15" s="24">
        <v>32990</v>
      </c>
      <c r="I15" s="24">
        <v>6223</v>
      </c>
      <c r="J15" s="24">
        <v>161583</v>
      </c>
      <c r="K15" s="24">
        <v>41646</v>
      </c>
      <c r="L15" s="24">
        <v>203229</v>
      </c>
    </row>
    <row r="16" spans="1:12">
      <c r="A16" s="9" t="s">
        <v>26</v>
      </c>
      <c r="B16" s="24">
        <v>8815</v>
      </c>
      <c r="C16" s="24">
        <v>8445</v>
      </c>
      <c r="D16" s="24">
        <v>97351</v>
      </c>
      <c r="E16" s="24">
        <v>17405</v>
      </c>
      <c r="F16" s="24">
        <v>85075</v>
      </c>
      <c r="G16" s="24">
        <v>21742</v>
      </c>
      <c r="H16" s="24">
        <v>21091</v>
      </c>
      <c r="I16" s="24">
        <v>4108</v>
      </c>
      <c r="J16" s="24">
        <v>106166</v>
      </c>
      <c r="K16" s="24">
        <v>25850</v>
      </c>
      <c r="L16" s="24">
        <v>132016</v>
      </c>
    </row>
    <row r="17" spans="1:12">
      <c r="A17" s="9" t="s">
        <v>27</v>
      </c>
      <c r="B17" s="24">
        <v>6676</v>
      </c>
      <c r="C17" s="24">
        <v>6036</v>
      </c>
      <c r="D17" s="24">
        <v>44979</v>
      </c>
      <c r="E17" s="24">
        <v>7658</v>
      </c>
      <c r="F17" s="24">
        <v>41165</v>
      </c>
      <c r="G17" s="24">
        <v>11168</v>
      </c>
      <c r="H17" s="24">
        <v>10490</v>
      </c>
      <c r="I17" s="24">
        <v>2526</v>
      </c>
      <c r="J17" s="24">
        <v>51655</v>
      </c>
      <c r="K17" s="24">
        <v>13694</v>
      </c>
      <c r="L17" s="24">
        <v>65349</v>
      </c>
    </row>
    <row r="18" spans="1:12">
      <c r="A18" s="9" t="s">
        <v>28</v>
      </c>
      <c r="B18" s="24">
        <v>5866</v>
      </c>
      <c r="C18" s="24">
        <v>4490</v>
      </c>
      <c r="D18" s="24">
        <v>19180</v>
      </c>
      <c r="E18" s="24">
        <v>3854</v>
      </c>
      <c r="F18" s="24">
        <v>19946</v>
      </c>
      <c r="G18" s="24">
        <v>6724</v>
      </c>
      <c r="H18" s="24">
        <v>5100</v>
      </c>
      <c r="I18" s="24">
        <v>1620</v>
      </c>
      <c r="J18" s="24">
        <v>25046</v>
      </c>
      <c r="K18" s="24">
        <v>8344</v>
      </c>
      <c r="L18" s="24">
        <v>33390</v>
      </c>
    </row>
    <row r="19" spans="1:12">
      <c r="A19" s="9" t="s">
        <v>29</v>
      </c>
      <c r="B19" s="24">
        <v>4182</v>
      </c>
      <c r="C19" s="24">
        <v>3372</v>
      </c>
      <c r="D19" s="24">
        <v>6225</v>
      </c>
      <c r="E19" s="24">
        <v>2181</v>
      </c>
      <c r="F19" s="24">
        <v>8061</v>
      </c>
      <c r="G19" s="24">
        <v>4166</v>
      </c>
      <c r="H19" s="24">
        <v>2346</v>
      </c>
      <c r="I19" s="24">
        <v>1387</v>
      </c>
      <c r="J19" s="24">
        <v>10407</v>
      </c>
      <c r="K19" s="24">
        <v>5553</v>
      </c>
      <c r="L19" s="24">
        <v>15960</v>
      </c>
    </row>
    <row r="20" spans="1:12">
      <c r="A20" s="9" t="s">
        <v>30</v>
      </c>
      <c r="B20" s="24">
        <v>3940</v>
      </c>
      <c r="C20" s="24">
        <v>2870</v>
      </c>
      <c r="D20" s="24">
        <v>2552</v>
      </c>
      <c r="E20" s="24">
        <v>1727</v>
      </c>
      <c r="F20" s="24">
        <v>4839</v>
      </c>
      <c r="G20" s="24">
        <v>3432</v>
      </c>
      <c r="H20" s="24">
        <v>1653</v>
      </c>
      <c r="I20" s="24">
        <v>1165</v>
      </c>
      <c r="J20" s="24">
        <v>6492</v>
      </c>
      <c r="K20" s="24">
        <v>4597</v>
      </c>
      <c r="L20" s="24">
        <v>11089</v>
      </c>
    </row>
    <row r="21" spans="1:12">
      <c r="A21" s="9" t="s">
        <v>31</v>
      </c>
      <c r="B21" s="24">
        <v>2578</v>
      </c>
      <c r="C21" s="24">
        <v>2099</v>
      </c>
      <c r="D21" s="24">
        <v>1073</v>
      </c>
      <c r="E21" s="24">
        <v>1081</v>
      </c>
      <c r="F21" s="24">
        <v>2498</v>
      </c>
      <c r="G21" s="24">
        <v>2216</v>
      </c>
      <c r="H21" s="24">
        <v>1153</v>
      </c>
      <c r="I21" s="24">
        <v>964</v>
      </c>
      <c r="J21" s="24">
        <v>3651</v>
      </c>
      <c r="K21" s="24">
        <v>3180</v>
      </c>
      <c r="L21" s="24">
        <v>6831</v>
      </c>
    </row>
    <row r="22" spans="1:12" ht="15.75" thickBot="1">
      <c r="A22" s="7" t="s">
        <v>32</v>
      </c>
      <c r="B22" s="24">
        <v>2930</v>
      </c>
      <c r="C22" s="24">
        <v>2549</v>
      </c>
      <c r="D22" s="24">
        <v>913</v>
      </c>
      <c r="E22" s="24">
        <v>1074</v>
      </c>
      <c r="F22" s="24">
        <v>2386</v>
      </c>
      <c r="G22" s="24">
        <v>2451</v>
      </c>
      <c r="H22" s="24">
        <v>1457</v>
      </c>
      <c r="I22" s="24">
        <v>1172</v>
      </c>
      <c r="J22" s="24">
        <v>3843</v>
      </c>
      <c r="K22" s="24">
        <v>3623</v>
      </c>
      <c r="L22" s="24">
        <v>7466</v>
      </c>
    </row>
    <row r="23" spans="1:12" ht="26.25" thickBot="1">
      <c r="A23" s="66" t="s">
        <v>108</v>
      </c>
      <c r="B23" s="83">
        <v>11</v>
      </c>
      <c r="C23" s="83">
        <v>8</v>
      </c>
      <c r="D23" s="83">
        <v>120</v>
      </c>
      <c r="E23" s="83">
        <v>26</v>
      </c>
      <c r="F23" s="83">
        <v>98</v>
      </c>
      <c r="G23" s="83">
        <v>27</v>
      </c>
      <c r="H23" s="83">
        <v>33</v>
      </c>
      <c r="I23" s="83">
        <v>7</v>
      </c>
      <c r="J23" s="83">
        <v>131</v>
      </c>
      <c r="K23" s="83">
        <v>34</v>
      </c>
      <c r="L23" s="83">
        <v>165</v>
      </c>
    </row>
    <row r="24" spans="1:12" ht="27" thickBot="1">
      <c r="A24" s="71" t="s">
        <v>33</v>
      </c>
      <c r="B24" s="82">
        <v>297060</v>
      </c>
      <c r="C24" s="82">
        <v>290270</v>
      </c>
      <c r="D24" s="82">
        <v>1309744</v>
      </c>
      <c r="E24" s="82">
        <v>513967</v>
      </c>
      <c r="F24" s="82">
        <v>1246530</v>
      </c>
      <c r="G24" s="82">
        <v>640178</v>
      </c>
      <c r="H24" s="82">
        <v>360274</v>
      </c>
      <c r="I24" s="82">
        <v>164059</v>
      </c>
      <c r="J24" s="82">
        <v>1606804</v>
      </c>
      <c r="K24" s="82">
        <v>804237</v>
      </c>
      <c r="L24" s="82">
        <v>2411041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2" width="13.140625" customWidth="1"/>
  </cols>
  <sheetData>
    <row r="1" spans="1:12" ht="15.75">
      <c r="A1" s="131" t="s">
        <v>157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>
        <v>55120</v>
      </c>
      <c r="C7" s="11">
        <v>52310</v>
      </c>
      <c r="D7" s="11">
        <v>90497</v>
      </c>
      <c r="E7" s="11">
        <v>84217</v>
      </c>
      <c r="F7" s="11">
        <v>115800</v>
      </c>
      <c r="G7" s="11">
        <v>108369</v>
      </c>
      <c r="H7" s="11">
        <v>29801</v>
      </c>
      <c r="I7" s="11">
        <v>28169</v>
      </c>
      <c r="J7" s="11">
        <v>145617</v>
      </c>
      <c r="K7" s="11">
        <v>136527</v>
      </c>
      <c r="L7" s="11">
        <v>282144</v>
      </c>
    </row>
    <row r="8" spans="1:12">
      <c r="A8" s="14" t="s">
        <v>18</v>
      </c>
      <c r="B8" s="11">
        <v>52371</v>
      </c>
      <c r="C8" s="11">
        <v>49704</v>
      </c>
      <c r="D8" s="11">
        <v>87567</v>
      </c>
      <c r="E8" s="11">
        <v>79754</v>
      </c>
      <c r="F8" s="11">
        <v>111645</v>
      </c>
      <c r="G8" s="11">
        <v>102170</v>
      </c>
      <c r="H8" s="11">
        <v>28284</v>
      </c>
      <c r="I8" s="11">
        <v>27283</v>
      </c>
      <c r="J8" s="11">
        <v>139938</v>
      </c>
      <c r="K8" s="11">
        <v>129458</v>
      </c>
      <c r="L8" s="11">
        <v>269396</v>
      </c>
    </row>
    <row r="9" spans="1:12">
      <c r="A9" s="9" t="s">
        <v>19</v>
      </c>
      <c r="B9" s="11">
        <v>53985</v>
      </c>
      <c r="C9" s="11">
        <v>50382</v>
      </c>
      <c r="D9" s="11">
        <v>76777</v>
      </c>
      <c r="E9" s="11">
        <v>67887</v>
      </c>
      <c r="F9" s="11">
        <v>101461</v>
      </c>
      <c r="G9" s="11">
        <v>90889</v>
      </c>
      <c r="H9" s="11">
        <v>29317</v>
      </c>
      <c r="I9" s="11">
        <v>27390</v>
      </c>
      <c r="J9" s="11">
        <v>130762</v>
      </c>
      <c r="K9" s="11">
        <v>118269</v>
      </c>
      <c r="L9" s="11">
        <v>249031</v>
      </c>
    </row>
    <row r="10" spans="1:12">
      <c r="A10" s="9" t="s">
        <v>20</v>
      </c>
      <c r="B10" s="11">
        <v>55575</v>
      </c>
      <c r="C10" s="11">
        <v>52536</v>
      </c>
      <c r="D10" s="11">
        <v>65823</v>
      </c>
      <c r="E10" s="11">
        <v>58304</v>
      </c>
      <c r="F10" s="11">
        <v>91065</v>
      </c>
      <c r="G10" s="11">
        <v>82127</v>
      </c>
      <c r="H10" s="11">
        <v>30323</v>
      </c>
      <c r="I10" s="11">
        <v>28711</v>
      </c>
      <c r="J10" s="11">
        <v>121398</v>
      </c>
      <c r="K10" s="11">
        <v>110840</v>
      </c>
      <c r="L10" s="11">
        <v>232238</v>
      </c>
    </row>
    <row r="11" spans="1:12">
      <c r="A11" s="9" t="s">
        <v>21</v>
      </c>
      <c r="B11" s="11">
        <v>50673</v>
      </c>
      <c r="C11" s="11">
        <v>52764</v>
      </c>
      <c r="D11" s="11">
        <v>221350</v>
      </c>
      <c r="E11" s="11">
        <v>108756</v>
      </c>
      <c r="F11" s="11">
        <v>222387</v>
      </c>
      <c r="G11" s="11">
        <v>126692</v>
      </c>
      <c r="H11" s="11">
        <v>49649</v>
      </c>
      <c r="I11" s="11">
        <v>34838</v>
      </c>
      <c r="J11" s="11">
        <v>272023</v>
      </c>
      <c r="K11" s="11">
        <v>161520</v>
      </c>
      <c r="L11" s="11">
        <v>433543</v>
      </c>
    </row>
    <row r="12" spans="1:12">
      <c r="A12" s="9" t="s">
        <v>22</v>
      </c>
      <c r="B12" s="11">
        <v>39396</v>
      </c>
      <c r="C12" s="11">
        <v>41121</v>
      </c>
      <c r="D12" s="11">
        <v>444220</v>
      </c>
      <c r="E12" s="11">
        <v>137028</v>
      </c>
      <c r="F12" s="11">
        <v>410228</v>
      </c>
      <c r="G12" s="11">
        <v>148462</v>
      </c>
      <c r="H12" s="11">
        <v>73429</v>
      </c>
      <c r="I12" s="11">
        <v>29675</v>
      </c>
      <c r="J12" s="11">
        <v>483616</v>
      </c>
      <c r="K12" s="11">
        <v>178149</v>
      </c>
      <c r="L12" s="11">
        <v>661765</v>
      </c>
    </row>
    <row r="13" spans="1:12">
      <c r="A13" s="9" t="s">
        <v>23</v>
      </c>
      <c r="B13" s="11">
        <v>25846</v>
      </c>
      <c r="C13" s="11">
        <v>26497</v>
      </c>
      <c r="D13" s="11">
        <v>464072</v>
      </c>
      <c r="E13" s="11">
        <v>123994</v>
      </c>
      <c r="F13" s="11">
        <v>417909</v>
      </c>
      <c r="G13" s="11">
        <v>130590</v>
      </c>
      <c r="H13" s="11">
        <v>71970</v>
      </c>
      <c r="I13" s="11">
        <v>19892</v>
      </c>
      <c r="J13" s="11">
        <v>489918</v>
      </c>
      <c r="K13" s="11">
        <v>150491</v>
      </c>
      <c r="L13" s="11">
        <v>640409</v>
      </c>
    </row>
    <row r="14" spans="1:12">
      <c r="A14" s="9" t="s">
        <v>24</v>
      </c>
      <c r="B14" s="11">
        <v>20189</v>
      </c>
      <c r="C14" s="11">
        <v>21554</v>
      </c>
      <c r="D14" s="11">
        <v>366565</v>
      </c>
      <c r="E14" s="11">
        <v>92265</v>
      </c>
      <c r="F14" s="11">
        <v>329059</v>
      </c>
      <c r="G14" s="11">
        <v>98409</v>
      </c>
      <c r="H14" s="11">
        <v>57703</v>
      </c>
      <c r="I14" s="11">
        <v>15435</v>
      </c>
      <c r="J14" s="11">
        <v>386754</v>
      </c>
      <c r="K14" s="11">
        <v>113819</v>
      </c>
      <c r="L14" s="11">
        <v>500573</v>
      </c>
    </row>
    <row r="15" spans="1:12">
      <c r="A15" s="9" t="s">
        <v>25</v>
      </c>
      <c r="B15" s="11">
        <v>14633</v>
      </c>
      <c r="C15" s="11">
        <v>16366</v>
      </c>
      <c r="D15" s="11">
        <v>248093</v>
      </c>
      <c r="E15" s="11">
        <v>62190</v>
      </c>
      <c r="F15" s="11">
        <v>220959</v>
      </c>
      <c r="G15" s="11">
        <v>67833</v>
      </c>
      <c r="H15" s="11">
        <v>41759</v>
      </c>
      <c r="I15" s="11">
        <v>10710</v>
      </c>
      <c r="J15" s="11">
        <v>262726</v>
      </c>
      <c r="K15" s="11">
        <v>78556</v>
      </c>
      <c r="L15" s="11">
        <v>341282</v>
      </c>
    </row>
    <row r="16" spans="1:12">
      <c r="A16" s="9" t="s">
        <v>26</v>
      </c>
      <c r="B16" s="11">
        <v>12433</v>
      </c>
      <c r="C16" s="11">
        <v>13857</v>
      </c>
      <c r="D16" s="11">
        <v>162043</v>
      </c>
      <c r="E16" s="11">
        <v>37458</v>
      </c>
      <c r="F16" s="11">
        <v>145298</v>
      </c>
      <c r="G16" s="11">
        <v>43434</v>
      </c>
      <c r="H16" s="11">
        <v>29161</v>
      </c>
      <c r="I16" s="11">
        <v>7877</v>
      </c>
      <c r="J16" s="11">
        <v>174476</v>
      </c>
      <c r="K16" s="11">
        <v>51315</v>
      </c>
      <c r="L16" s="11">
        <v>225791</v>
      </c>
    </row>
    <row r="17" spans="1:12">
      <c r="A17" s="9" t="s">
        <v>27</v>
      </c>
      <c r="B17" s="11">
        <v>10246</v>
      </c>
      <c r="C17" s="11">
        <v>9947</v>
      </c>
      <c r="D17" s="11">
        <v>97081</v>
      </c>
      <c r="E17" s="11">
        <v>21592</v>
      </c>
      <c r="F17" s="11">
        <v>89983</v>
      </c>
      <c r="G17" s="11">
        <v>26536</v>
      </c>
      <c r="H17" s="11">
        <v>17356</v>
      </c>
      <c r="I17" s="11">
        <v>5003</v>
      </c>
      <c r="J17" s="11">
        <v>107327</v>
      </c>
      <c r="K17" s="11">
        <v>31539</v>
      </c>
      <c r="L17" s="11">
        <v>138866</v>
      </c>
    </row>
    <row r="18" spans="1:12">
      <c r="A18" s="9" t="s">
        <v>28</v>
      </c>
      <c r="B18" s="11">
        <v>7893</v>
      </c>
      <c r="C18" s="11">
        <v>6341</v>
      </c>
      <c r="D18" s="11">
        <v>43410</v>
      </c>
      <c r="E18" s="11">
        <v>9467</v>
      </c>
      <c r="F18" s="11">
        <v>42788</v>
      </c>
      <c r="G18" s="11">
        <v>13022</v>
      </c>
      <c r="H18" s="11">
        <v>8515</v>
      </c>
      <c r="I18" s="11">
        <v>2782</v>
      </c>
      <c r="J18" s="11">
        <v>51303</v>
      </c>
      <c r="K18" s="11">
        <v>15808</v>
      </c>
      <c r="L18" s="11">
        <v>67111</v>
      </c>
    </row>
    <row r="19" spans="1:12">
      <c r="A19" s="9" t="s">
        <v>29</v>
      </c>
      <c r="B19" s="11">
        <v>6176</v>
      </c>
      <c r="C19" s="11">
        <v>4549</v>
      </c>
      <c r="D19" s="11">
        <v>12632</v>
      </c>
      <c r="E19" s="11">
        <v>3971</v>
      </c>
      <c r="F19" s="11">
        <v>15510</v>
      </c>
      <c r="G19" s="11">
        <v>6647</v>
      </c>
      <c r="H19" s="11">
        <v>3310</v>
      </c>
      <c r="I19" s="11">
        <v>1880</v>
      </c>
      <c r="J19" s="11">
        <v>18808</v>
      </c>
      <c r="K19" s="11">
        <v>8520</v>
      </c>
      <c r="L19" s="11">
        <v>27328</v>
      </c>
    </row>
    <row r="20" spans="1:12">
      <c r="A20" s="9" t="s">
        <v>30</v>
      </c>
      <c r="B20" s="11">
        <v>5335</v>
      </c>
      <c r="C20" s="11">
        <v>3283</v>
      </c>
      <c r="D20" s="11">
        <v>3840</v>
      </c>
      <c r="E20" s="11">
        <v>2001</v>
      </c>
      <c r="F20" s="11">
        <v>6623</v>
      </c>
      <c r="G20" s="11">
        <v>3892</v>
      </c>
      <c r="H20" s="11">
        <v>2549</v>
      </c>
      <c r="I20" s="11">
        <v>1393</v>
      </c>
      <c r="J20" s="11">
        <v>9175</v>
      </c>
      <c r="K20" s="11">
        <v>5284</v>
      </c>
      <c r="L20" s="11">
        <v>14459</v>
      </c>
    </row>
    <row r="21" spans="1:12">
      <c r="A21" s="9" t="s">
        <v>31</v>
      </c>
      <c r="B21" s="11">
        <v>3657</v>
      </c>
      <c r="C21" s="11">
        <v>2699</v>
      </c>
      <c r="D21" s="11">
        <v>1746</v>
      </c>
      <c r="E21" s="11">
        <v>1319</v>
      </c>
      <c r="F21" s="11">
        <v>3659</v>
      </c>
      <c r="G21" s="11">
        <v>2762</v>
      </c>
      <c r="H21" s="11">
        <v>1732</v>
      </c>
      <c r="I21" s="11">
        <v>1251</v>
      </c>
      <c r="J21" s="11">
        <v>5403</v>
      </c>
      <c r="K21" s="11">
        <v>4018</v>
      </c>
      <c r="L21" s="11">
        <v>9421</v>
      </c>
    </row>
    <row r="22" spans="1:12">
      <c r="A22" s="7" t="s">
        <v>119</v>
      </c>
      <c r="B22" s="11">
        <v>1621</v>
      </c>
      <c r="C22" s="11">
        <v>1205</v>
      </c>
      <c r="D22" s="11">
        <v>576</v>
      </c>
      <c r="E22" s="11">
        <v>622</v>
      </c>
      <c r="F22" s="11">
        <v>1696</v>
      </c>
      <c r="G22" s="11">
        <v>1238</v>
      </c>
      <c r="H22" s="11">
        <v>744</v>
      </c>
      <c r="I22" s="11">
        <v>599</v>
      </c>
      <c r="J22" s="11">
        <v>2440</v>
      </c>
      <c r="K22" s="11">
        <v>1837</v>
      </c>
      <c r="L22" s="11">
        <v>4277</v>
      </c>
    </row>
    <row r="23" spans="1:12" ht="15.75" thickBot="1">
      <c r="A23" s="7" t="s">
        <v>120</v>
      </c>
      <c r="B23" s="11">
        <v>2118</v>
      </c>
      <c r="C23" s="11">
        <v>1790</v>
      </c>
      <c r="D23" s="11">
        <v>674</v>
      </c>
      <c r="E23" s="11">
        <v>818</v>
      </c>
      <c r="F23" s="11">
        <v>2836</v>
      </c>
      <c r="G23" s="11">
        <v>2861</v>
      </c>
      <c r="H23" s="11">
        <v>1633</v>
      </c>
      <c r="I23" s="11">
        <v>1465</v>
      </c>
      <c r="J23" s="11">
        <v>4469</v>
      </c>
      <c r="K23" s="11">
        <v>4326</v>
      </c>
      <c r="L23" s="11">
        <v>8795</v>
      </c>
    </row>
    <row r="24" spans="1:12" ht="26.25" thickBot="1">
      <c r="A24" s="66" t="s">
        <v>108</v>
      </c>
      <c r="B24" s="67">
        <v>650</v>
      </c>
      <c r="C24" s="67">
        <v>673</v>
      </c>
      <c r="D24" s="67">
        <v>1269</v>
      </c>
      <c r="E24" s="67">
        <v>1054</v>
      </c>
      <c r="F24" s="67" t="s">
        <v>38</v>
      </c>
      <c r="G24" s="67" t="s">
        <v>38</v>
      </c>
      <c r="H24" s="67" t="s">
        <v>38</v>
      </c>
      <c r="I24" s="67" t="s">
        <v>38</v>
      </c>
      <c r="J24" s="67">
        <v>1919</v>
      </c>
      <c r="K24" s="67">
        <v>1727</v>
      </c>
      <c r="L24" s="68">
        <v>3646</v>
      </c>
    </row>
    <row r="25" spans="1:12" ht="27" thickBot="1">
      <c r="A25" s="71" t="s">
        <v>33</v>
      </c>
      <c r="B25" s="82">
        <v>417917</v>
      </c>
      <c r="C25" s="82">
        <v>407578</v>
      </c>
      <c r="D25" s="82">
        <v>2388235</v>
      </c>
      <c r="E25" s="82">
        <v>892697</v>
      </c>
      <c r="F25" s="82">
        <v>2328906</v>
      </c>
      <c r="G25" s="82">
        <v>1055933</v>
      </c>
      <c r="H25" s="82">
        <v>477235</v>
      </c>
      <c r="I25" s="82">
        <v>244353</v>
      </c>
      <c r="J25" s="82">
        <v>2808072</v>
      </c>
      <c r="K25" s="82">
        <v>1302003</v>
      </c>
      <c r="L25" s="82">
        <v>4110075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cols>
    <col min="1" max="12" width="13.140625" customWidth="1"/>
  </cols>
  <sheetData>
    <row r="1" spans="1:12" ht="15.75">
      <c r="A1" s="131" t="s">
        <v>158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3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78" t="s">
        <v>8</v>
      </c>
      <c r="K4" s="108"/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1215937</v>
      </c>
      <c r="K7" s="18">
        <v>1179206</v>
      </c>
      <c r="L7" s="18">
        <v>2395143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17</v>
      </c>
      <c r="G8" s="11" t="s">
        <v>17</v>
      </c>
      <c r="H8" s="11" t="s">
        <v>17</v>
      </c>
      <c r="I8" s="11" t="s">
        <v>17</v>
      </c>
      <c r="J8" s="18">
        <v>1404565</v>
      </c>
      <c r="K8" s="18">
        <v>1331482</v>
      </c>
      <c r="L8" s="18">
        <v>2736047</v>
      </c>
    </row>
    <row r="9" spans="1:12">
      <c r="A9" s="9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8">
        <v>1186356</v>
      </c>
      <c r="K9" s="18">
        <v>1016690</v>
      </c>
      <c r="L9" s="18">
        <v>2203046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1">
        <v>785210</v>
      </c>
      <c r="K10" s="11">
        <v>701654</v>
      </c>
      <c r="L10" s="11">
        <v>1486864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1">
        <v>514211</v>
      </c>
      <c r="K11" s="11">
        <v>475867</v>
      </c>
      <c r="L11" s="11">
        <v>990078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1">
        <v>433696</v>
      </c>
      <c r="K12" s="11">
        <v>480509</v>
      </c>
      <c r="L12" s="11">
        <v>914205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>
        <v>370705</v>
      </c>
      <c r="K13" s="11">
        <v>409873</v>
      </c>
      <c r="L13" s="11">
        <v>780578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>
        <v>357799</v>
      </c>
      <c r="K14" s="11">
        <v>381442</v>
      </c>
      <c r="L14" s="11">
        <v>739241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267085</v>
      </c>
      <c r="K15" s="11">
        <v>267883</v>
      </c>
      <c r="L15" s="11">
        <v>534968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212529</v>
      </c>
      <c r="K16" s="11">
        <v>207928</v>
      </c>
      <c r="L16" s="11">
        <v>420457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193656</v>
      </c>
      <c r="K17" s="11">
        <v>190170</v>
      </c>
      <c r="L17" s="11">
        <v>383826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109384</v>
      </c>
      <c r="K18" s="11">
        <v>98220</v>
      </c>
      <c r="L18" s="11">
        <v>207604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149950</v>
      </c>
      <c r="K19" s="11">
        <v>134802</v>
      </c>
      <c r="L19" s="11">
        <v>284752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72669</v>
      </c>
      <c r="K20" s="11">
        <v>62219</v>
      </c>
      <c r="L20" s="11">
        <v>134888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89839</v>
      </c>
      <c r="K21" s="11">
        <v>82172</v>
      </c>
      <c r="L21" s="11">
        <v>172011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>
        <v>109949</v>
      </c>
      <c r="K22" s="11">
        <v>100150</v>
      </c>
      <c r="L22" s="11">
        <v>210099</v>
      </c>
    </row>
    <row r="23" spans="1:12" ht="26.25" thickBot="1">
      <c r="A23" s="66" t="s">
        <v>108</v>
      </c>
      <c r="B23" s="80" t="s">
        <v>17</v>
      </c>
      <c r="C23" s="80" t="s">
        <v>17</v>
      </c>
      <c r="D23" s="80" t="s">
        <v>17</v>
      </c>
      <c r="E23" s="80" t="s">
        <v>17</v>
      </c>
      <c r="F23" s="80" t="s">
        <v>17</v>
      </c>
      <c r="G23" s="80" t="s">
        <v>17</v>
      </c>
      <c r="H23" s="80" t="s">
        <v>17</v>
      </c>
      <c r="I23" s="80" t="s">
        <v>17</v>
      </c>
      <c r="J23" s="80" t="s">
        <v>17</v>
      </c>
      <c r="K23" s="80" t="s">
        <v>17</v>
      </c>
      <c r="L23" s="80" t="s">
        <v>17</v>
      </c>
    </row>
    <row r="24" spans="1:12" ht="27" thickBot="1">
      <c r="A24" s="71" t="s">
        <v>33</v>
      </c>
      <c r="B24" s="74" t="s">
        <v>17</v>
      </c>
      <c r="C24" s="74" t="s">
        <v>17</v>
      </c>
      <c r="D24" s="74" t="s">
        <v>17</v>
      </c>
      <c r="E24" s="74" t="s">
        <v>17</v>
      </c>
      <c r="F24" s="74" t="s">
        <v>17</v>
      </c>
      <c r="G24" s="74" t="s">
        <v>17</v>
      </c>
      <c r="H24" s="74" t="s">
        <v>17</v>
      </c>
      <c r="I24" s="74" t="s">
        <v>17</v>
      </c>
      <c r="J24" s="74">
        <v>7473540</v>
      </c>
      <c r="K24" s="74">
        <v>7120267</v>
      </c>
      <c r="L24" s="74">
        <v>14593807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cols>
    <col min="1" max="12" width="13.140625" customWidth="1"/>
  </cols>
  <sheetData>
    <row r="1" spans="1:12" ht="15.75">
      <c r="A1" s="131" t="s">
        <v>159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>
      <c r="A2" s="1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08"/>
      <c r="B4" s="69" t="s">
        <v>0</v>
      </c>
      <c r="C4" s="108" t="s">
        <v>1</v>
      </c>
      <c r="D4" s="69" t="s">
        <v>2</v>
      </c>
      <c r="E4" s="108" t="s">
        <v>3</v>
      </c>
      <c r="F4" s="75" t="s">
        <v>4</v>
      </c>
      <c r="G4" s="70" t="s">
        <v>5</v>
      </c>
      <c r="H4" s="75" t="s">
        <v>6</v>
      </c>
      <c r="I4" s="70" t="s">
        <v>7</v>
      </c>
      <c r="J4" s="69" t="s">
        <v>8</v>
      </c>
      <c r="K4" s="108" t="s">
        <v>9</v>
      </c>
      <c r="L4" s="76" t="s">
        <v>9</v>
      </c>
    </row>
    <row r="5" spans="1:12">
      <c r="A5" s="7" t="s">
        <v>10</v>
      </c>
      <c r="B5" s="108" t="s">
        <v>104</v>
      </c>
      <c r="C5" s="108" t="s">
        <v>105</v>
      </c>
      <c r="D5" s="108" t="s">
        <v>104</v>
      </c>
      <c r="E5" s="108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08" t="s">
        <v>104</v>
      </c>
      <c r="K5" s="108" t="s">
        <v>105</v>
      </c>
      <c r="L5" s="108" t="s">
        <v>11</v>
      </c>
    </row>
    <row r="6" spans="1:12" ht="15.75" thickBot="1">
      <c r="A6" s="60" t="s">
        <v>12</v>
      </c>
      <c r="B6" s="109" t="s">
        <v>98</v>
      </c>
      <c r="C6" s="109" t="s">
        <v>100</v>
      </c>
      <c r="D6" s="109" t="s">
        <v>98</v>
      </c>
      <c r="E6" s="109" t="s">
        <v>100</v>
      </c>
      <c r="F6" s="109" t="s">
        <v>98</v>
      </c>
      <c r="G6" s="109" t="s">
        <v>100</v>
      </c>
      <c r="H6" s="109" t="s">
        <v>98</v>
      </c>
      <c r="I6" s="109" t="s">
        <v>100</v>
      </c>
      <c r="J6" s="109" t="s">
        <v>98</v>
      </c>
      <c r="K6" s="109" t="s">
        <v>100</v>
      </c>
      <c r="L6" s="109" t="s">
        <v>15</v>
      </c>
    </row>
    <row r="7" spans="1:12">
      <c r="A7" s="9" t="s">
        <v>16</v>
      </c>
      <c r="B7" s="18">
        <v>1495907</v>
      </c>
      <c r="C7" s="18">
        <v>1431580</v>
      </c>
      <c r="D7" s="11">
        <v>5391</v>
      </c>
      <c r="E7" s="11">
        <v>5269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1501298</v>
      </c>
      <c r="K7" s="18">
        <v>1436849</v>
      </c>
      <c r="L7" s="18">
        <v>2938147</v>
      </c>
    </row>
    <row r="8" spans="1:12">
      <c r="A8" s="14" t="s">
        <v>18</v>
      </c>
      <c r="B8" s="18">
        <v>1563176</v>
      </c>
      <c r="C8" s="18">
        <v>1483616</v>
      </c>
      <c r="D8" s="11">
        <v>3996</v>
      </c>
      <c r="E8" s="11">
        <v>3776</v>
      </c>
      <c r="F8" s="11" t="s">
        <v>17</v>
      </c>
      <c r="G8" s="11" t="s">
        <v>17</v>
      </c>
      <c r="H8" s="11" t="s">
        <v>17</v>
      </c>
      <c r="I8" s="11" t="s">
        <v>17</v>
      </c>
      <c r="J8" s="18">
        <v>1567172</v>
      </c>
      <c r="K8" s="18">
        <v>1487392</v>
      </c>
      <c r="L8" s="18">
        <v>3054564</v>
      </c>
    </row>
    <row r="9" spans="1:12">
      <c r="A9" s="9" t="s">
        <v>19</v>
      </c>
      <c r="B9" s="18">
        <v>1509907</v>
      </c>
      <c r="C9" s="18">
        <v>1351926</v>
      </c>
      <c r="D9" s="11">
        <v>3571</v>
      </c>
      <c r="E9" s="11">
        <v>3359</v>
      </c>
      <c r="F9" s="11" t="s">
        <v>17</v>
      </c>
      <c r="G9" s="11" t="s">
        <v>17</v>
      </c>
      <c r="H9" s="11" t="s">
        <v>17</v>
      </c>
      <c r="I9" s="11" t="s">
        <v>17</v>
      </c>
      <c r="J9" s="18">
        <v>1513478</v>
      </c>
      <c r="K9" s="18">
        <v>1355285</v>
      </c>
      <c r="L9" s="18">
        <v>2868763</v>
      </c>
    </row>
    <row r="10" spans="1:12">
      <c r="A10" s="9" t="s">
        <v>20</v>
      </c>
      <c r="B10" s="18">
        <v>1260787</v>
      </c>
      <c r="C10" s="18">
        <v>1207570</v>
      </c>
      <c r="D10" s="11">
        <v>4126</v>
      </c>
      <c r="E10" s="11">
        <v>3667</v>
      </c>
      <c r="F10" s="11" t="s">
        <v>17</v>
      </c>
      <c r="G10" s="11" t="s">
        <v>17</v>
      </c>
      <c r="H10" s="11" t="s">
        <v>17</v>
      </c>
      <c r="I10" s="11" t="s">
        <v>17</v>
      </c>
      <c r="J10" s="18">
        <v>1264913</v>
      </c>
      <c r="K10" s="18">
        <v>1211237</v>
      </c>
      <c r="L10" s="18">
        <v>2476150</v>
      </c>
    </row>
    <row r="11" spans="1:12">
      <c r="A11" s="9" t="s">
        <v>21</v>
      </c>
      <c r="B11" s="11">
        <v>960318</v>
      </c>
      <c r="C11" s="11">
        <v>920894</v>
      </c>
      <c r="D11" s="11">
        <v>5681</v>
      </c>
      <c r="E11" s="11">
        <v>4768</v>
      </c>
      <c r="F11" s="11" t="s">
        <v>17</v>
      </c>
      <c r="G11" s="11" t="s">
        <v>17</v>
      </c>
      <c r="H11" s="11" t="s">
        <v>17</v>
      </c>
      <c r="I11" s="11" t="s">
        <v>17</v>
      </c>
      <c r="J11" s="11">
        <v>965999</v>
      </c>
      <c r="K11" s="11">
        <v>925662</v>
      </c>
      <c r="L11" s="18">
        <v>1891661</v>
      </c>
    </row>
    <row r="12" spans="1:12">
      <c r="A12" s="9" t="s">
        <v>22</v>
      </c>
      <c r="B12" s="11">
        <v>725065</v>
      </c>
      <c r="C12" s="11">
        <v>736659</v>
      </c>
      <c r="D12" s="11">
        <v>4571</v>
      </c>
      <c r="E12" s="11">
        <v>4778</v>
      </c>
      <c r="F12" s="11" t="s">
        <v>17</v>
      </c>
      <c r="G12" s="11" t="s">
        <v>17</v>
      </c>
      <c r="H12" s="11" t="s">
        <v>17</v>
      </c>
      <c r="I12" s="11" t="s">
        <v>17</v>
      </c>
      <c r="J12" s="11">
        <v>729636</v>
      </c>
      <c r="K12" s="11">
        <v>741437</v>
      </c>
      <c r="L12" s="18">
        <v>1471073</v>
      </c>
    </row>
    <row r="13" spans="1:12">
      <c r="A13" s="9" t="s">
        <v>23</v>
      </c>
      <c r="B13" s="11">
        <v>483419</v>
      </c>
      <c r="C13" s="11">
        <v>475573</v>
      </c>
      <c r="D13" s="11">
        <v>4078</v>
      </c>
      <c r="E13" s="11">
        <v>3907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>
        <v>487497</v>
      </c>
      <c r="K13" s="11">
        <v>479480</v>
      </c>
      <c r="L13" s="11">
        <v>966977</v>
      </c>
    </row>
    <row r="14" spans="1:12">
      <c r="A14" s="9" t="s">
        <v>24</v>
      </c>
      <c r="B14" s="11">
        <v>426646</v>
      </c>
      <c r="C14" s="11">
        <v>473942</v>
      </c>
      <c r="D14" s="11">
        <v>3875</v>
      </c>
      <c r="E14" s="11">
        <v>3318</v>
      </c>
      <c r="F14" s="11" t="s">
        <v>17</v>
      </c>
      <c r="G14" s="11" t="s">
        <v>17</v>
      </c>
      <c r="H14" s="11" t="s">
        <v>17</v>
      </c>
      <c r="I14" s="11" t="s">
        <v>17</v>
      </c>
      <c r="J14" s="11">
        <v>430521</v>
      </c>
      <c r="K14" s="11">
        <v>477260</v>
      </c>
      <c r="L14" s="11">
        <v>907781</v>
      </c>
    </row>
    <row r="15" spans="1:12">
      <c r="A15" s="9" t="s">
        <v>25</v>
      </c>
      <c r="B15" s="11">
        <v>351163</v>
      </c>
      <c r="C15" s="11">
        <v>370483</v>
      </c>
      <c r="D15" s="11">
        <v>3607</v>
      </c>
      <c r="E15" s="11">
        <v>2558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354770</v>
      </c>
      <c r="K15" s="11">
        <v>373041</v>
      </c>
      <c r="L15" s="11">
        <v>727811</v>
      </c>
    </row>
    <row r="16" spans="1:12">
      <c r="A16" s="9" t="s">
        <v>26</v>
      </c>
      <c r="B16" s="11">
        <v>280817</v>
      </c>
      <c r="C16" s="11">
        <v>299556</v>
      </c>
      <c r="D16" s="11">
        <v>2794</v>
      </c>
      <c r="E16" s="11">
        <v>1543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283611</v>
      </c>
      <c r="K16" s="11">
        <v>301099</v>
      </c>
      <c r="L16" s="11">
        <v>584710</v>
      </c>
    </row>
    <row r="17" spans="1:12">
      <c r="A17" s="9" t="s">
        <v>27</v>
      </c>
      <c r="B17" s="11">
        <v>252682</v>
      </c>
      <c r="C17" s="11">
        <v>242859</v>
      </c>
      <c r="D17" s="11">
        <v>2055</v>
      </c>
      <c r="E17" s="11">
        <v>1231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254737</v>
      </c>
      <c r="K17" s="11">
        <v>244090</v>
      </c>
      <c r="L17" s="11">
        <v>498827</v>
      </c>
    </row>
    <row r="18" spans="1:12">
      <c r="A18" s="9" t="s">
        <v>28</v>
      </c>
      <c r="B18" s="11">
        <v>148959</v>
      </c>
      <c r="C18" s="11">
        <v>136710</v>
      </c>
      <c r="D18" s="11">
        <v>1147</v>
      </c>
      <c r="E18" s="16">
        <v>650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150106</v>
      </c>
      <c r="K18" s="11">
        <v>137360</v>
      </c>
      <c r="L18" s="11">
        <v>287466</v>
      </c>
    </row>
    <row r="19" spans="1:12">
      <c r="A19" s="9" t="s">
        <v>29</v>
      </c>
      <c r="B19" s="11">
        <v>169675</v>
      </c>
      <c r="C19" s="11">
        <v>153587</v>
      </c>
      <c r="D19" s="16">
        <v>731</v>
      </c>
      <c r="E19" s="16">
        <v>626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170406</v>
      </c>
      <c r="K19" s="11">
        <v>154213</v>
      </c>
      <c r="L19" s="11">
        <v>324619</v>
      </c>
    </row>
    <row r="20" spans="1:12">
      <c r="A20" s="9" t="s">
        <v>30</v>
      </c>
      <c r="B20" s="11">
        <v>96225</v>
      </c>
      <c r="C20" s="11">
        <v>86221</v>
      </c>
      <c r="D20" s="16">
        <v>335</v>
      </c>
      <c r="E20" s="16">
        <v>300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96560</v>
      </c>
      <c r="K20" s="11">
        <v>86521</v>
      </c>
      <c r="L20" s="11">
        <v>183081</v>
      </c>
    </row>
    <row r="21" spans="1:12">
      <c r="A21" s="9" t="s">
        <v>31</v>
      </c>
      <c r="B21" s="11">
        <v>113862</v>
      </c>
      <c r="C21" s="11">
        <v>104159</v>
      </c>
      <c r="D21" s="16">
        <v>279</v>
      </c>
      <c r="E21" s="16">
        <v>319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114141</v>
      </c>
      <c r="K21" s="11">
        <v>104478</v>
      </c>
      <c r="L21" s="11">
        <v>218619</v>
      </c>
    </row>
    <row r="22" spans="1:12" ht="15.75" thickBot="1">
      <c r="A22" s="7" t="s">
        <v>32</v>
      </c>
      <c r="B22" s="11">
        <v>144496</v>
      </c>
      <c r="C22" s="11">
        <v>127498</v>
      </c>
      <c r="D22" s="16">
        <v>278</v>
      </c>
      <c r="E22" s="16">
        <v>387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>
        <v>144774</v>
      </c>
      <c r="K22" s="11">
        <v>127885</v>
      </c>
      <c r="L22" s="11">
        <v>272659</v>
      </c>
    </row>
    <row r="23" spans="1:12" ht="26.25" thickBot="1">
      <c r="A23" s="66" t="s">
        <v>108</v>
      </c>
      <c r="B23" s="80">
        <v>6677</v>
      </c>
      <c r="C23" s="80">
        <v>4676</v>
      </c>
      <c r="D23" s="73">
        <v>657</v>
      </c>
      <c r="E23" s="73">
        <v>243</v>
      </c>
      <c r="F23" s="67" t="s">
        <v>17</v>
      </c>
      <c r="G23" s="67" t="s">
        <v>17</v>
      </c>
      <c r="H23" s="67" t="s">
        <v>17</v>
      </c>
      <c r="I23" s="67" t="s">
        <v>17</v>
      </c>
      <c r="J23" s="80">
        <v>7334</v>
      </c>
      <c r="K23" s="80">
        <v>4919</v>
      </c>
      <c r="L23" s="80">
        <v>12253</v>
      </c>
    </row>
    <row r="24" spans="1:12" ht="27" thickBot="1">
      <c r="A24" s="71" t="s">
        <v>33</v>
      </c>
      <c r="B24" s="99">
        <v>9989781</v>
      </c>
      <c r="C24" s="99">
        <v>9607509</v>
      </c>
      <c r="D24" s="99">
        <v>47172</v>
      </c>
      <c r="E24" s="99">
        <v>40699</v>
      </c>
      <c r="F24" s="74" t="s">
        <v>17</v>
      </c>
      <c r="G24" s="74" t="s">
        <v>17</v>
      </c>
      <c r="H24" s="74" t="s">
        <v>17</v>
      </c>
      <c r="I24" s="74" t="s">
        <v>17</v>
      </c>
      <c r="J24" s="74">
        <v>10036953</v>
      </c>
      <c r="K24" s="74">
        <v>9648208</v>
      </c>
      <c r="L24" s="74">
        <v>19685161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cols>
    <col min="1" max="12" width="13.140625" customWidth="1"/>
  </cols>
  <sheetData>
    <row r="1" spans="1:12" ht="15.75">
      <c r="A1" s="187" t="s">
        <v>175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>
      <c r="A2" s="189" t="s">
        <v>176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2" ht="15.75" thickBot="1">
      <c r="L3" s="92"/>
    </row>
    <row r="4" spans="1:12" ht="15.75" thickBot="1">
      <c r="A4" s="140"/>
      <c r="B4" s="61" t="s">
        <v>0</v>
      </c>
      <c r="C4" s="142" t="s">
        <v>1</v>
      </c>
      <c r="D4" s="61" t="s">
        <v>2</v>
      </c>
      <c r="E4" s="142" t="s">
        <v>3</v>
      </c>
      <c r="F4" s="62" t="s">
        <v>4</v>
      </c>
      <c r="G4" s="63" t="s">
        <v>5</v>
      </c>
      <c r="H4" s="62" t="s">
        <v>6</v>
      </c>
      <c r="I4" s="63" t="s">
        <v>7</v>
      </c>
      <c r="J4" s="61" t="s">
        <v>8</v>
      </c>
      <c r="K4" s="142" t="s">
        <v>9</v>
      </c>
      <c r="L4" s="65" t="s">
        <v>9</v>
      </c>
    </row>
    <row r="5" spans="1:12">
      <c r="A5" s="7" t="s">
        <v>10</v>
      </c>
      <c r="B5" s="140" t="s">
        <v>104</v>
      </c>
      <c r="C5" s="140" t="s">
        <v>105</v>
      </c>
      <c r="D5" s="140" t="s">
        <v>104</v>
      </c>
      <c r="E5" s="140" t="s">
        <v>105</v>
      </c>
      <c r="F5" s="70" t="s">
        <v>104</v>
      </c>
      <c r="G5" s="70" t="s">
        <v>105</v>
      </c>
      <c r="H5" s="70" t="s">
        <v>104</v>
      </c>
      <c r="I5" s="70" t="s">
        <v>105</v>
      </c>
      <c r="J5" s="140" t="s">
        <v>104</v>
      </c>
      <c r="K5" s="140" t="s">
        <v>105</v>
      </c>
      <c r="L5" s="140" t="s">
        <v>11</v>
      </c>
    </row>
    <row r="6" spans="1:12" ht="15.75" thickBot="1">
      <c r="A6" s="60" t="s">
        <v>12</v>
      </c>
      <c r="B6" s="141" t="s">
        <v>98</v>
      </c>
      <c r="C6" s="141" t="s">
        <v>100</v>
      </c>
      <c r="D6" s="141" t="s">
        <v>98</v>
      </c>
      <c r="E6" s="141" t="s">
        <v>100</v>
      </c>
      <c r="F6" s="141" t="s">
        <v>98</v>
      </c>
      <c r="G6" s="141" t="s">
        <v>100</v>
      </c>
      <c r="H6" s="141" t="s">
        <v>98</v>
      </c>
      <c r="I6" s="141" t="s">
        <v>100</v>
      </c>
      <c r="J6" s="141" t="s">
        <v>98</v>
      </c>
      <c r="K6" s="141" t="s">
        <v>100</v>
      </c>
      <c r="L6" s="141" t="s">
        <v>15</v>
      </c>
    </row>
    <row r="7" spans="1:12">
      <c r="A7" s="9" t="s">
        <v>16</v>
      </c>
      <c r="B7" s="11">
        <v>33434</v>
      </c>
      <c r="C7" s="11">
        <v>32134</v>
      </c>
      <c r="D7" s="11">
        <v>13247</v>
      </c>
      <c r="E7" s="11">
        <v>12743</v>
      </c>
      <c r="F7" s="12" t="s">
        <v>17</v>
      </c>
      <c r="G7" s="12" t="s">
        <v>17</v>
      </c>
      <c r="H7" s="12" t="s">
        <v>17</v>
      </c>
      <c r="I7" s="12" t="s">
        <v>17</v>
      </c>
      <c r="J7" s="11">
        <v>46681</v>
      </c>
      <c r="K7" s="11">
        <v>44877</v>
      </c>
      <c r="L7" s="11">
        <f>SUM(J7:K7)</f>
        <v>91558</v>
      </c>
    </row>
    <row r="8" spans="1:12">
      <c r="A8" s="14" t="s">
        <v>18</v>
      </c>
      <c r="B8" s="11">
        <v>30704</v>
      </c>
      <c r="C8" s="11">
        <v>29397</v>
      </c>
      <c r="D8" s="11">
        <v>11833</v>
      </c>
      <c r="E8" s="11">
        <v>11295</v>
      </c>
      <c r="F8" s="13" t="s">
        <v>17</v>
      </c>
      <c r="G8" s="13" t="s">
        <v>17</v>
      </c>
      <c r="H8" s="13" t="s">
        <v>17</v>
      </c>
      <c r="I8" s="13" t="s">
        <v>17</v>
      </c>
      <c r="J8" s="11">
        <v>42537</v>
      </c>
      <c r="K8" s="11">
        <v>40692</v>
      </c>
      <c r="L8" s="11">
        <f t="shared" ref="L8:L22" si="0">SUM(J8:K8)</f>
        <v>83229</v>
      </c>
    </row>
    <row r="9" spans="1:12">
      <c r="A9" s="9" t="s">
        <v>19</v>
      </c>
      <c r="B9" s="11">
        <v>29985</v>
      </c>
      <c r="C9" s="11">
        <v>28397</v>
      </c>
      <c r="D9" s="11">
        <v>8687</v>
      </c>
      <c r="E9" s="11">
        <v>8181</v>
      </c>
      <c r="F9" s="13" t="s">
        <v>17</v>
      </c>
      <c r="G9" s="13" t="s">
        <v>17</v>
      </c>
      <c r="H9" s="13" t="s">
        <v>17</v>
      </c>
      <c r="I9" s="13" t="s">
        <v>17</v>
      </c>
      <c r="J9" s="11">
        <v>38672</v>
      </c>
      <c r="K9" s="11">
        <v>36578</v>
      </c>
      <c r="L9" s="11">
        <f t="shared" si="0"/>
        <v>75250</v>
      </c>
    </row>
    <row r="10" spans="1:12">
      <c r="A10" s="9" t="s">
        <v>20</v>
      </c>
      <c r="B10" s="11">
        <v>30533</v>
      </c>
      <c r="C10" s="11">
        <v>29129</v>
      </c>
      <c r="D10" s="11">
        <v>7226</v>
      </c>
      <c r="E10" s="11">
        <v>5807</v>
      </c>
      <c r="F10" s="13" t="s">
        <v>17</v>
      </c>
      <c r="G10" s="13" t="s">
        <v>17</v>
      </c>
      <c r="H10" s="13" t="s">
        <v>17</v>
      </c>
      <c r="I10" s="13" t="s">
        <v>17</v>
      </c>
      <c r="J10" s="11">
        <v>37759</v>
      </c>
      <c r="K10" s="11">
        <v>34936</v>
      </c>
      <c r="L10" s="11">
        <f t="shared" si="0"/>
        <v>72695</v>
      </c>
    </row>
    <row r="11" spans="1:12">
      <c r="A11" s="9" t="s">
        <v>21</v>
      </c>
      <c r="B11" s="11">
        <v>29223</v>
      </c>
      <c r="C11" s="11">
        <v>27432</v>
      </c>
      <c r="D11" s="11">
        <v>34713</v>
      </c>
      <c r="E11" s="11">
        <v>13420</v>
      </c>
      <c r="F11" s="13" t="s">
        <v>17</v>
      </c>
      <c r="G11" s="15" t="s">
        <v>17</v>
      </c>
      <c r="H11" s="13" t="s">
        <v>17</v>
      </c>
      <c r="I11" s="15" t="s">
        <v>17</v>
      </c>
      <c r="J11" s="11">
        <v>63936</v>
      </c>
      <c r="K11" s="11">
        <v>40852</v>
      </c>
      <c r="L11" s="11">
        <f t="shared" si="0"/>
        <v>104788</v>
      </c>
    </row>
    <row r="12" spans="1:12">
      <c r="A12" s="9" t="s">
        <v>22</v>
      </c>
      <c r="B12" s="11">
        <v>25503</v>
      </c>
      <c r="C12" s="11">
        <v>24254</v>
      </c>
      <c r="D12" s="11">
        <v>91544</v>
      </c>
      <c r="E12" s="11">
        <v>26400</v>
      </c>
      <c r="F12" s="13" t="s">
        <v>17</v>
      </c>
      <c r="G12" s="13" t="s">
        <v>17</v>
      </c>
      <c r="H12" s="13" t="s">
        <v>17</v>
      </c>
      <c r="I12" s="13" t="s">
        <v>17</v>
      </c>
      <c r="J12" s="11">
        <v>117047</v>
      </c>
      <c r="K12" s="11">
        <v>50654</v>
      </c>
      <c r="L12" s="11">
        <f t="shared" si="0"/>
        <v>167701</v>
      </c>
    </row>
    <row r="13" spans="1:12">
      <c r="A13" s="9" t="s">
        <v>23</v>
      </c>
      <c r="B13" s="11">
        <v>22241</v>
      </c>
      <c r="C13" s="11">
        <v>21759</v>
      </c>
      <c r="D13" s="11">
        <v>81403</v>
      </c>
      <c r="E13" s="11">
        <v>25725</v>
      </c>
      <c r="F13" s="13" t="s">
        <v>17</v>
      </c>
      <c r="G13" s="13" t="s">
        <v>17</v>
      </c>
      <c r="H13" s="13" t="s">
        <v>17</v>
      </c>
      <c r="I13" s="13" t="s">
        <v>17</v>
      </c>
      <c r="J13" s="11">
        <v>103644</v>
      </c>
      <c r="K13" s="11">
        <v>47484</v>
      </c>
      <c r="L13" s="11">
        <f t="shared" si="0"/>
        <v>151128</v>
      </c>
    </row>
    <row r="14" spans="1:12">
      <c r="A14" s="9" t="s">
        <v>24</v>
      </c>
      <c r="B14" s="11">
        <v>17531</v>
      </c>
      <c r="C14" s="11">
        <v>18034</v>
      </c>
      <c r="D14" s="11">
        <v>66447</v>
      </c>
      <c r="E14" s="11">
        <v>21675</v>
      </c>
      <c r="F14" s="13" t="s">
        <v>17</v>
      </c>
      <c r="G14" s="13" t="s">
        <v>17</v>
      </c>
      <c r="H14" s="13" t="s">
        <v>17</v>
      </c>
      <c r="I14" s="13" t="s">
        <v>17</v>
      </c>
      <c r="J14" s="11">
        <v>83978</v>
      </c>
      <c r="K14" s="11">
        <v>39709</v>
      </c>
      <c r="L14" s="11">
        <f t="shared" si="0"/>
        <v>123687</v>
      </c>
    </row>
    <row r="15" spans="1:12">
      <c r="A15" s="9" t="s">
        <v>25</v>
      </c>
      <c r="B15" s="11">
        <v>16187</v>
      </c>
      <c r="C15" s="11">
        <v>17108</v>
      </c>
      <c r="D15" s="11">
        <v>52651</v>
      </c>
      <c r="E15" s="11">
        <v>16144</v>
      </c>
      <c r="F15" s="13" t="s">
        <v>17</v>
      </c>
      <c r="G15" s="13" t="s">
        <v>17</v>
      </c>
      <c r="H15" s="13" t="s">
        <v>17</v>
      </c>
      <c r="I15" s="13" t="s">
        <v>17</v>
      </c>
      <c r="J15" s="11">
        <v>68838</v>
      </c>
      <c r="K15" s="11">
        <v>33252</v>
      </c>
      <c r="L15" s="11">
        <f t="shared" si="0"/>
        <v>102090</v>
      </c>
    </row>
    <row r="16" spans="1:12">
      <c r="A16" s="9" t="s">
        <v>26</v>
      </c>
      <c r="B16" s="11">
        <v>16461</v>
      </c>
      <c r="C16" s="11">
        <v>17711</v>
      </c>
      <c r="D16" s="11">
        <v>34621</v>
      </c>
      <c r="E16" s="11">
        <v>11377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51082</v>
      </c>
      <c r="K16" s="11">
        <v>29088</v>
      </c>
      <c r="L16" s="11">
        <f t="shared" si="0"/>
        <v>80170</v>
      </c>
    </row>
    <row r="17" spans="1:12">
      <c r="A17" s="9" t="s">
        <v>27</v>
      </c>
      <c r="B17" s="11">
        <v>13998</v>
      </c>
      <c r="C17" s="11">
        <v>14771</v>
      </c>
      <c r="D17" s="11">
        <v>25059</v>
      </c>
      <c r="E17" s="11">
        <v>6762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39057</v>
      </c>
      <c r="K17" s="11">
        <v>21533</v>
      </c>
      <c r="L17" s="11">
        <f t="shared" si="0"/>
        <v>60590</v>
      </c>
    </row>
    <row r="18" spans="1:12">
      <c r="A18" s="9" t="s">
        <v>28</v>
      </c>
      <c r="B18" s="11">
        <v>11162</v>
      </c>
      <c r="C18" s="11">
        <v>10127</v>
      </c>
      <c r="D18" s="11">
        <v>13012</v>
      </c>
      <c r="E18" s="16">
        <v>3159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24174</v>
      </c>
      <c r="K18" s="11">
        <v>13286</v>
      </c>
      <c r="L18" s="11">
        <f t="shared" si="0"/>
        <v>37460</v>
      </c>
    </row>
    <row r="19" spans="1:12">
      <c r="A19" s="9" t="s">
        <v>29</v>
      </c>
      <c r="B19" s="11">
        <v>7234</v>
      </c>
      <c r="C19" s="11">
        <v>5978</v>
      </c>
      <c r="D19" s="11">
        <v>3563</v>
      </c>
      <c r="E19" s="16">
        <v>1132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10797</v>
      </c>
      <c r="K19" s="11">
        <v>7110</v>
      </c>
      <c r="L19" s="11">
        <f t="shared" si="0"/>
        <v>17907</v>
      </c>
    </row>
    <row r="20" spans="1:12">
      <c r="A20" s="9" t="s">
        <v>30</v>
      </c>
      <c r="B20" s="11">
        <v>4264</v>
      </c>
      <c r="C20" s="11">
        <v>4394</v>
      </c>
      <c r="D20" s="16">
        <v>912</v>
      </c>
      <c r="E20" s="16">
        <v>428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5176</v>
      </c>
      <c r="K20" s="11">
        <v>4822</v>
      </c>
      <c r="L20" s="11">
        <f t="shared" si="0"/>
        <v>9998</v>
      </c>
    </row>
    <row r="21" spans="1:12">
      <c r="A21" s="9" t="s">
        <v>31</v>
      </c>
      <c r="B21" s="11">
        <v>3385</v>
      </c>
      <c r="C21" s="11">
        <v>3696</v>
      </c>
      <c r="D21" s="16">
        <v>351</v>
      </c>
      <c r="E21" s="16">
        <v>226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3736</v>
      </c>
      <c r="K21" s="11">
        <v>3922</v>
      </c>
      <c r="L21" s="11">
        <f t="shared" si="0"/>
        <v>7658</v>
      </c>
    </row>
    <row r="22" spans="1:12" ht="15.75" thickBot="1">
      <c r="A22" s="7" t="s">
        <v>32</v>
      </c>
      <c r="B22" s="11">
        <v>4033</v>
      </c>
      <c r="C22" s="11">
        <v>4489</v>
      </c>
      <c r="D22" s="16">
        <v>336</v>
      </c>
      <c r="E22" s="16">
        <v>253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4369</v>
      </c>
      <c r="K22" s="11">
        <v>4742</v>
      </c>
      <c r="L22" s="11">
        <f t="shared" si="0"/>
        <v>9111</v>
      </c>
    </row>
    <row r="23" spans="1:12" ht="26.25" thickBot="1">
      <c r="A23" s="66" t="s">
        <v>108</v>
      </c>
      <c r="B23" s="67" t="s">
        <v>17</v>
      </c>
      <c r="C23" s="67" t="s">
        <v>17</v>
      </c>
      <c r="D23" s="67" t="s">
        <v>17</v>
      </c>
      <c r="E23" s="67" t="s">
        <v>17</v>
      </c>
      <c r="F23" s="67" t="s">
        <v>17</v>
      </c>
      <c r="G23" s="67" t="s">
        <v>17</v>
      </c>
      <c r="H23" s="67" t="s">
        <v>17</v>
      </c>
      <c r="I23" s="67" t="s">
        <v>17</v>
      </c>
      <c r="J23" s="67" t="s">
        <v>17</v>
      </c>
      <c r="K23" s="67" t="s">
        <v>17</v>
      </c>
      <c r="L23" s="67" t="s">
        <v>17</v>
      </c>
    </row>
    <row r="24" spans="1:12" ht="27" thickBot="1">
      <c r="A24" s="71" t="s">
        <v>33</v>
      </c>
      <c r="B24" s="82">
        <f t="shared" ref="B24:E24" si="1">SUM(B7:B23)</f>
        <v>295878</v>
      </c>
      <c r="C24" s="82">
        <f t="shared" si="1"/>
        <v>288810</v>
      </c>
      <c r="D24" s="82">
        <f t="shared" si="1"/>
        <v>445605</v>
      </c>
      <c r="E24" s="82">
        <f t="shared" si="1"/>
        <v>164727</v>
      </c>
      <c r="F24" s="82" t="s">
        <v>38</v>
      </c>
      <c r="G24" s="82" t="s">
        <v>38</v>
      </c>
      <c r="H24" s="82" t="s">
        <v>38</v>
      </c>
      <c r="I24" s="82" t="s">
        <v>38</v>
      </c>
      <c r="J24" s="82">
        <f t="shared" ref="J24:K24" si="2">SUM(J7:J23)</f>
        <v>741483</v>
      </c>
      <c r="K24" s="82">
        <f t="shared" si="2"/>
        <v>453537</v>
      </c>
      <c r="L24" s="82">
        <f>SUM(L7:L23)</f>
        <v>1195020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15"/>
  <dimension ref="A1:L127"/>
  <sheetViews>
    <sheetView zoomScaleSheetLayoutView="76" workbookViewId="0"/>
  </sheetViews>
  <sheetFormatPr defaultRowHeight="15"/>
  <cols>
    <col min="1" max="12" width="13.140625" style="22" customWidth="1"/>
    <col min="13" max="13" width="3.5703125" style="22" customWidth="1"/>
    <col min="14" max="16384" width="9.140625" style="22"/>
  </cols>
  <sheetData>
    <row r="1" spans="1:12" s="171" customFormat="1" ht="15.75">
      <c r="A1" s="295" t="s">
        <v>177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2" s="171" customFormat="1">
      <c r="A2" s="294" t="s">
        <v>178</v>
      </c>
      <c r="B2" s="172"/>
      <c r="C2" s="170"/>
      <c r="D2" s="170"/>
      <c r="E2" s="170"/>
      <c r="F2" s="170"/>
      <c r="G2" s="170"/>
      <c r="H2" s="170"/>
      <c r="I2" s="170"/>
      <c r="J2" s="170"/>
      <c r="K2" s="170"/>
    </row>
    <row r="3" spans="1:12" ht="15.75" thickBot="1"/>
    <row r="4" spans="1:12" s="175" customFormat="1" ht="13.5" thickBot="1">
      <c r="A4" s="173"/>
      <c r="B4" s="174" t="s">
        <v>0</v>
      </c>
      <c r="C4" s="174" t="s">
        <v>1</v>
      </c>
      <c r="D4" s="174" t="s">
        <v>131</v>
      </c>
      <c r="E4" s="174" t="s">
        <v>3</v>
      </c>
      <c r="F4" s="174" t="s">
        <v>4</v>
      </c>
      <c r="G4" s="174" t="s">
        <v>5</v>
      </c>
      <c r="H4" s="174" t="s">
        <v>6</v>
      </c>
      <c r="I4" s="174" t="s">
        <v>7</v>
      </c>
      <c r="J4" s="174" t="s">
        <v>8</v>
      </c>
      <c r="K4" s="174"/>
      <c r="L4" s="174" t="s">
        <v>9</v>
      </c>
    </row>
    <row r="5" spans="1:12" s="175" customFormat="1" ht="12.75">
      <c r="A5" s="176" t="s">
        <v>132</v>
      </c>
      <c r="B5" s="176" t="s">
        <v>129</v>
      </c>
      <c r="C5" s="176" t="s">
        <v>130</v>
      </c>
      <c r="D5" s="176" t="s">
        <v>129</v>
      </c>
      <c r="E5" s="176" t="s">
        <v>130</v>
      </c>
      <c r="F5" s="176" t="s">
        <v>129</v>
      </c>
      <c r="G5" s="176" t="s">
        <v>130</v>
      </c>
      <c r="H5" s="176" t="s">
        <v>129</v>
      </c>
      <c r="I5" s="176" t="s">
        <v>130</v>
      </c>
      <c r="J5" s="176" t="s">
        <v>129</v>
      </c>
      <c r="K5" s="176" t="s">
        <v>130</v>
      </c>
      <c r="L5" s="147" t="s">
        <v>11</v>
      </c>
    </row>
    <row r="6" spans="1:12" s="175" customFormat="1" ht="13.5" thickBot="1">
      <c r="A6" s="177" t="s">
        <v>12</v>
      </c>
      <c r="B6" s="177" t="s">
        <v>98</v>
      </c>
      <c r="C6" s="177" t="s">
        <v>100</v>
      </c>
      <c r="D6" s="177" t="s">
        <v>98</v>
      </c>
      <c r="E6" s="177" t="s">
        <v>100</v>
      </c>
      <c r="F6" s="177" t="s">
        <v>98</v>
      </c>
      <c r="G6" s="177" t="s">
        <v>100</v>
      </c>
      <c r="H6" s="177" t="s">
        <v>98</v>
      </c>
      <c r="I6" s="177" t="s">
        <v>100</v>
      </c>
      <c r="J6" s="177" t="s">
        <v>98</v>
      </c>
      <c r="K6" s="177" t="s">
        <v>100</v>
      </c>
      <c r="L6" s="150" t="s">
        <v>15</v>
      </c>
    </row>
    <row r="7" spans="1:12">
      <c r="A7" s="175" t="s">
        <v>16</v>
      </c>
      <c r="B7" s="178">
        <v>4370269</v>
      </c>
      <c r="C7" s="178">
        <v>4156405</v>
      </c>
      <c r="D7" s="179" t="s">
        <v>38</v>
      </c>
      <c r="E7" s="179" t="s">
        <v>38</v>
      </c>
      <c r="F7" s="178">
        <v>1645898</v>
      </c>
      <c r="G7" s="178">
        <v>1569426</v>
      </c>
      <c r="H7" s="178">
        <v>2724371</v>
      </c>
      <c r="I7" s="178">
        <v>2586979</v>
      </c>
      <c r="J7" s="178">
        <v>4370269</v>
      </c>
      <c r="K7" s="178">
        <v>4156405</v>
      </c>
      <c r="L7" s="178">
        <v>8526674</v>
      </c>
    </row>
    <row r="8" spans="1:12">
      <c r="A8" s="175" t="s">
        <v>18</v>
      </c>
      <c r="B8" s="178">
        <v>4353223</v>
      </c>
      <c r="C8" s="178">
        <v>4090843</v>
      </c>
      <c r="D8" s="179" t="s">
        <v>38</v>
      </c>
      <c r="E8" s="179" t="s">
        <v>38</v>
      </c>
      <c r="F8" s="178">
        <v>1691089</v>
      </c>
      <c r="G8" s="178">
        <v>1599495</v>
      </c>
      <c r="H8" s="178">
        <v>2662134</v>
      </c>
      <c r="I8" s="178">
        <v>2491348</v>
      </c>
      <c r="J8" s="178">
        <v>4353223</v>
      </c>
      <c r="K8" s="178">
        <v>4090843</v>
      </c>
      <c r="L8" s="178">
        <v>8444066</v>
      </c>
    </row>
    <row r="9" spans="1:12">
      <c r="A9" s="175" t="s">
        <v>19</v>
      </c>
      <c r="B9" s="178">
        <v>4420078</v>
      </c>
      <c r="C9" s="178">
        <v>4108255</v>
      </c>
      <c r="D9" s="179" t="s">
        <v>38</v>
      </c>
      <c r="E9" s="179" t="s">
        <v>38</v>
      </c>
      <c r="F9" s="178">
        <v>1682584</v>
      </c>
      <c r="G9" s="178">
        <v>1578194</v>
      </c>
      <c r="H9" s="178">
        <v>2737494</v>
      </c>
      <c r="I9" s="178">
        <v>2530061</v>
      </c>
      <c r="J9" s="178">
        <v>4420078</v>
      </c>
      <c r="K9" s="178">
        <v>4108255</v>
      </c>
      <c r="L9" s="178">
        <v>8528333</v>
      </c>
    </row>
    <row r="10" spans="1:12">
      <c r="A10" s="175" t="s">
        <v>20</v>
      </c>
      <c r="B10" s="178">
        <v>4837291</v>
      </c>
      <c r="C10" s="178">
        <v>4596221</v>
      </c>
      <c r="D10" s="179" t="s">
        <v>38</v>
      </c>
      <c r="E10" s="179" t="s">
        <v>38</v>
      </c>
      <c r="F10" s="178">
        <v>1951128</v>
      </c>
      <c r="G10" s="178">
        <v>1883232</v>
      </c>
      <c r="H10" s="178">
        <v>2886163</v>
      </c>
      <c r="I10" s="178">
        <v>2712989</v>
      </c>
      <c r="J10" s="178">
        <v>4837291</v>
      </c>
      <c r="K10" s="178">
        <v>4596221</v>
      </c>
      <c r="L10" s="178">
        <v>9433512</v>
      </c>
    </row>
    <row r="11" spans="1:12">
      <c r="A11" s="175" t="s">
        <v>21</v>
      </c>
      <c r="B11" s="178">
        <v>4451881</v>
      </c>
      <c r="C11" s="178">
        <v>4244515</v>
      </c>
      <c r="D11" s="179" t="s">
        <v>38</v>
      </c>
      <c r="E11" s="179" t="s">
        <v>38</v>
      </c>
      <c r="F11" s="178">
        <v>1920777</v>
      </c>
      <c r="G11" s="178">
        <v>1895848</v>
      </c>
      <c r="H11" s="178">
        <v>2531104</v>
      </c>
      <c r="I11" s="178">
        <v>2348667</v>
      </c>
      <c r="J11" s="178">
        <v>4451881</v>
      </c>
      <c r="K11" s="178">
        <v>4244515</v>
      </c>
      <c r="L11" s="178">
        <v>8696396</v>
      </c>
    </row>
    <row r="12" spans="1:12">
      <c r="A12" s="175" t="s">
        <v>22</v>
      </c>
      <c r="B12" s="178">
        <v>3486398</v>
      </c>
      <c r="C12" s="178">
        <v>3574726</v>
      </c>
      <c r="D12" s="179" t="s">
        <v>38</v>
      </c>
      <c r="E12" s="179" t="s">
        <v>38</v>
      </c>
      <c r="F12" s="178">
        <v>1523932</v>
      </c>
      <c r="G12" s="178">
        <v>1590506</v>
      </c>
      <c r="H12" s="178">
        <v>1962466</v>
      </c>
      <c r="I12" s="178">
        <v>1984220</v>
      </c>
      <c r="J12" s="178">
        <v>3486398</v>
      </c>
      <c r="K12" s="178">
        <v>3574726</v>
      </c>
      <c r="L12" s="178">
        <v>7061124</v>
      </c>
    </row>
    <row r="13" spans="1:12">
      <c r="A13" s="175" t="s">
        <v>23</v>
      </c>
      <c r="B13" s="178">
        <v>2671664</v>
      </c>
      <c r="C13" s="178">
        <v>2557526</v>
      </c>
      <c r="D13" s="179" t="s">
        <v>38</v>
      </c>
      <c r="E13" s="179" t="s">
        <v>38</v>
      </c>
      <c r="F13" s="178">
        <v>1209471</v>
      </c>
      <c r="G13" s="178">
        <v>1176803</v>
      </c>
      <c r="H13" s="178">
        <v>1462193</v>
      </c>
      <c r="I13" s="178">
        <v>1380723</v>
      </c>
      <c r="J13" s="178">
        <v>2671664</v>
      </c>
      <c r="K13" s="178">
        <v>2557526</v>
      </c>
      <c r="L13" s="178">
        <v>5229190</v>
      </c>
    </row>
    <row r="14" spans="1:12">
      <c r="A14" s="175" t="s">
        <v>24</v>
      </c>
      <c r="B14" s="178">
        <v>2554033</v>
      </c>
      <c r="C14" s="178">
        <v>2591043</v>
      </c>
      <c r="D14" s="179" t="s">
        <v>38</v>
      </c>
      <c r="E14" s="179" t="s">
        <v>38</v>
      </c>
      <c r="F14" s="178">
        <v>1148718</v>
      </c>
      <c r="G14" s="178">
        <v>1142341</v>
      </c>
      <c r="H14" s="178">
        <v>1405315</v>
      </c>
      <c r="I14" s="178">
        <v>1448702</v>
      </c>
      <c r="J14" s="178">
        <v>2554033</v>
      </c>
      <c r="K14" s="178">
        <v>2591043</v>
      </c>
      <c r="L14" s="178">
        <v>5145076</v>
      </c>
    </row>
    <row r="15" spans="1:12">
      <c r="A15" s="175" t="s">
        <v>25</v>
      </c>
      <c r="B15" s="178">
        <v>2286131</v>
      </c>
      <c r="C15" s="178">
        <v>2233528</v>
      </c>
      <c r="D15" s="179" t="s">
        <v>38</v>
      </c>
      <c r="E15" s="179" t="s">
        <v>38</v>
      </c>
      <c r="F15" s="178">
        <v>1072465</v>
      </c>
      <c r="G15" s="178">
        <v>1062772</v>
      </c>
      <c r="H15" s="178">
        <v>1213666</v>
      </c>
      <c r="I15" s="178">
        <v>1170756</v>
      </c>
      <c r="J15" s="178">
        <v>2286131</v>
      </c>
      <c r="K15" s="178">
        <v>2233528</v>
      </c>
      <c r="L15" s="178">
        <v>4519659</v>
      </c>
    </row>
    <row r="16" spans="1:12">
      <c r="A16" s="175" t="s">
        <v>26</v>
      </c>
      <c r="B16" s="178">
        <v>2074515</v>
      </c>
      <c r="C16" s="178">
        <v>1983907</v>
      </c>
      <c r="D16" s="179" t="s">
        <v>38</v>
      </c>
      <c r="E16" s="179" t="s">
        <v>38</v>
      </c>
      <c r="F16" s="178">
        <v>979583</v>
      </c>
      <c r="G16" s="178">
        <v>940766</v>
      </c>
      <c r="H16" s="178">
        <v>1094932</v>
      </c>
      <c r="I16" s="178">
        <v>1043141</v>
      </c>
      <c r="J16" s="178">
        <v>2074515</v>
      </c>
      <c r="K16" s="178">
        <v>1983907</v>
      </c>
      <c r="L16" s="178">
        <v>4058422</v>
      </c>
    </row>
    <row r="17" spans="1:12" ht="15" customHeight="1">
      <c r="A17" s="175" t="s">
        <v>27</v>
      </c>
      <c r="B17" s="178">
        <v>1703894</v>
      </c>
      <c r="C17" s="178">
        <v>1674605</v>
      </c>
      <c r="D17" s="179" t="s">
        <v>38</v>
      </c>
      <c r="E17" s="179" t="s">
        <v>38</v>
      </c>
      <c r="F17" s="178">
        <v>866825</v>
      </c>
      <c r="G17" s="178">
        <v>838568</v>
      </c>
      <c r="H17" s="178">
        <v>837069</v>
      </c>
      <c r="I17" s="178">
        <v>836037</v>
      </c>
      <c r="J17" s="178">
        <v>1703894</v>
      </c>
      <c r="K17" s="178">
        <v>1674605</v>
      </c>
      <c r="L17" s="178">
        <v>3378499</v>
      </c>
    </row>
    <row r="18" spans="1:12" ht="15" customHeight="1">
      <c r="A18" s="175" t="s">
        <v>28</v>
      </c>
      <c r="B18" s="178">
        <v>1340259</v>
      </c>
      <c r="C18" s="178">
        <v>1160024</v>
      </c>
      <c r="D18" s="179" t="s">
        <v>38</v>
      </c>
      <c r="E18" s="179" t="s">
        <v>38</v>
      </c>
      <c r="F18" s="178">
        <v>652311</v>
      </c>
      <c r="G18" s="178">
        <v>562740</v>
      </c>
      <c r="H18" s="178">
        <v>687948</v>
      </c>
      <c r="I18" s="178">
        <v>597284</v>
      </c>
      <c r="J18" s="178">
        <v>1340259</v>
      </c>
      <c r="K18" s="178">
        <v>1160024</v>
      </c>
      <c r="L18" s="178">
        <v>2500283</v>
      </c>
    </row>
    <row r="19" spans="1:12" ht="15" customHeight="1">
      <c r="A19" s="175" t="s">
        <v>29</v>
      </c>
      <c r="B19" s="178">
        <v>991751</v>
      </c>
      <c r="C19" s="178">
        <v>889417</v>
      </c>
      <c r="D19" s="179" t="s">
        <v>38</v>
      </c>
      <c r="E19" s="179" t="s">
        <v>38</v>
      </c>
      <c r="F19" s="178">
        <v>535336</v>
      </c>
      <c r="G19" s="178">
        <v>444297</v>
      </c>
      <c r="H19" s="178">
        <v>456415</v>
      </c>
      <c r="I19" s="178">
        <v>445120</v>
      </c>
      <c r="J19" s="178">
        <v>991751</v>
      </c>
      <c r="K19" s="178">
        <v>889417</v>
      </c>
      <c r="L19" s="178">
        <v>1881168</v>
      </c>
    </row>
    <row r="20" spans="1:12">
      <c r="A20" s="175" t="s">
        <v>30</v>
      </c>
      <c r="B20" s="178">
        <v>707193</v>
      </c>
      <c r="C20" s="178">
        <v>610103</v>
      </c>
      <c r="D20" s="179" t="s">
        <v>38</v>
      </c>
      <c r="E20" s="179" t="s">
        <v>38</v>
      </c>
      <c r="F20" s="178">
        <v>338377</v>
      </c>
      <c r="G20" s="178">
        <v>257334</v>
      </c>
      <c r="H20" s="178">
        <v>368816</v>
      </c>
      <c r="I20" s="178">
        <v>352769</v>
      </c>
      <c r="J20" s="178">
        <v>707193</v>
      </c>
      <c r="K20" s="178">
        <v>610103</v>
      </c>
      <c r="L20" s="178">
        <v>1317296</v>
      </c>
    </row>
    <row r="21" spans="1:12">
      <c r="A21" s="175" t="s">
        <v>31</v>
      </c>
      <c r="B21" s="178">
        <v>444815</v>
      </c>
      <c r="C21" s="178">
        <v>427877</v>
      </c>
      <c r="D21" s="179" t="s">
        <v>38</v>
      </c>
      <c r="E21" s="179" t="s">
        <v>38</v>
      </c>
      <c r="F21" s="178">
        <v>215839</v>
      </c>
      <c r="G21" s="178">
        <v>189939</v>
      </c>
      <c r="H21" s="178">
        <v>228976</v>
      </c>
      <c r="I21" s="178">
        <v>237938</v>
      </c>
      <c r="J21" s="178">
        <v>444815</v>
      </c>
      <c r="K21" s="178">
        <v>427877</v>
      </c>
      <c r="L21" s="178">
        <v>872692</v>
      </c>
    </row>
    <row r="22" spans="1:12" ht="15.75" thickBot="1">
      <c r="A22" s="175" t="s">
        <v>32</v>
      </c>
      <c r="B22" s="178">
        <v>417183</v>
      </c>
      <c r="C22" s="178">
        <v>400444</v>
      </c>
      <c r="D22" s="179" t="s">
        <v>38</v>
      </c>
      <c r="E22" s="179" t="s">
        <v>38</v>
      </c>
      <c r="F22" s="178">
        <v>184777</v>
      </c>
      <c r="G22" s="178">
        <v>164337</v>
      </c>
      <c r="H22" s="178">
        <v>232406</v>
      </c>
      <c r="I22" s="178">
        <v>236107</v>
      </c>
      <c r="J22" s="178">
        <v>417183</v>
      </c>
      <c r="K22" s="178">
        <v>400444</v>
      </c>
      <c r="L22" s="178">
        <v>817627</v>
      </c>
    </row>
    <row r="23" spans="1:12" s="183" customFormat="1" ht="26.25" thickBot="1">
      <c r="A23" s="180" t="s">
        <v>133</v>
      </c>
      <c r="B23" s="181">
        <v>41110578</v>
      </c>
      <c r="C23" s="181">
        <v>39299439</v>
      </c>
      <c r="D23" s="182" t="s">
        <v>38</v>
      </c>
      <c r="E23" s="182" t="s">
        <v>38</v>
      </c>
      <c r="F23" s="181">
        <v>17619110</v>
      </c>
      <c r="G23" s="181">
        <v>16896598</v>
      </c>
      <c r="H23" s="181">
        <v>23491468</v>
      </c>
      <c r="I23" s="181">
        <v>22402841</v>
      </c>
      <c r="J23" s="181">
        <v>41110578</v>
      </c>
      <c r="K23" s="181">
        <v>39299439</v>
      </c>
      <c r="L23" s="182">
        <v>80410017</v>
      </c>
    </row>
    <row r="30" spans="1:12" s="175" customFormat="1" ht="15" customHeight="1"/>
    <row r="31" spans="1:12" s="175" customFormat="1" ht="15" customHeight="1"/>
    <row r="32" spans="1:12" s="175" customFormat="1" ht="15" customHeight="1"/>
    <row r="49" s="183" customFormat="1"/>
    <row r="53" s="184" customFormat="1"/>
    <row r="54" s="185" customFormat="1" ht="12.75"/>
    <row r="56" s="175" customFormat="1" ht="12.75"/>
    <row r="57" s="175" customFormat="1" ht="12.75"/>
    <row r="58" s="175" customFormat="1" ht="12.75"/>
    <row r="75" s="183" customFormat="1"/>
    <row r="79" s="184" customFormat="1"/>
    <row r="80" s="185" customFormat="1" ht="12.75"/>
    <row r="82" s="175" customFormat="1" ht="12.75"/>
    <row r="83" s="175" customFormat="1" ht="12.75"/>
    <row r="84" s="175" customFormat="1" ht="12.75"/>
    <row r="98" ht="15" customHeight="1"/>
    <row r="99" ht="15" customHeight="1"/>
    <row r="100" ht="15" customHeight="1"/>
    <row r="101" s="183" customFormat="1"/>
    <row r="105" s="184" customFormat="1"/>
    <row r="106" s="185" customFormat="1" ht="12.75"/>
    <row r="108" s="175" customFormat="1" ht="15" customHeight="1"/>
    <row r="109" s="175" customFormat="1" ht="15" customHeight="1"/>
    <row r="110" s="175" customFormat="1" ht="15" customHeight="1"/>
    <row r="127" s="183" customFormat="1"/>
  </sheetData>
  <pageMargins left="0.7" right="0.7" top="0.75" bottom="0.75" header="0.3" footer="0.3"/>
  <pageSetup paperSize="9" scale="80" orientation="landscape" r:id="rId1"/>
  <rowBreaks count="4" manualBreakCount="4">
    <brk id="25" max="16383" man="1"/>
    <brk id="51" max="16383" man="1"/>
    <brk id="78" max="16383" man="1"/>
    <brk id="104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L23" sqref="L23"/>
    </sheetView>
  </sheetViews>
  <sheetFormatPr defaultRowHeight="15"/>
  <cols>
    <col min="1" max="12" width="13.140625" customWidth="1"/>
  </cols>
  <sheetData>
    <row r="1" spans="1:12" s="22" customFormat="1" ht="15.75">
      <c r="A1" s="187" t="s">
        <v>171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1:12" s="22" customFormat="1">
      <c r="A2" s="189" t="s">
        <v>172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spans="1:12" ht="15.75" thickBot="1"/>
    <row r="4" spans="1:12" ht="15.75" thickBot="1">
      <c r="A4" s="102"/>
      <c r="B4" s="105" t="s">
        <v>0</v>
      </c>
      <c r="C4" s="105" t="s">
        <v>1</v>
      </c>
      <c r="D4" s="105" t="s">
        <v>131</v>
      </c>
      <c r="E4" s="105" t="s">
        <v>3</v>
      </c>
      <c r="F4" s="105" t="s">
        <v>4</v>
      </c>
      <c r="G4" s="105" t="s">
        <v>5</v>
      </c>
      <c r="H4" s="105" t="s">
        <v>6</v>
      </c>
      <c r="I4" s="105" t="s">
        <v>7</v>
      </c>
      <c r="J4" s="105" t="s">
        <v>8</v>
      </c>
      <c r="K4" s="105" t="s">
        <v>9</v>
      </c>
      <c r="L4" s="105" t="s">
        <v>9</v>
      </c>
    </row>
    <row r="5" spans="1:12">
      <c r="A5" s="103" t="s">
        <v>132</v>
      </c>
      <c r="B5" s="103" t="s">
        <v>129</v>
      </c>
      <c r="C5" s="103" t="s">
        <v>130</v>
      </c>
      <c r="D5" s="103" t="s">
        <v>129</v>
      </c>
      <c r="E5" s="103" t="s">
        <v>130</v>
      </c>
      <c r="F5" s="103" t="s">
        <v>129</v>
      </c>
      <c r="G5" s="103" t="s">
        <v>130</v>
      </c>
      <c r="H5" s="103" t="s">
        <v>129</v>
      </c>
      <c r="I5" s="103" t="s">
        <v>130</v>
      </c>
      <c r="J5" s="103" t="s">
        <v>129</v>
      </c>
      <c r="K5" s="103" t="s">
        <v>130</v>
      </c>
      <c r="L5" s="108" t="s">
        <v>11</v>
      </c>
    </row>
    <row r="6" spans="1:12" ht="15.75" thickBot="1">
      <c r="A6" s="104" t="s">
        <v>12</v>
      </c>
      <c r="B6" s="104" t="s">
        <v>13</v>
      </c>
      <c r="C6" s="104" t="s">
        <v>14</v>
      </c>
      <c r="D6" s="104" t="s">
        <v>13</v>
      </c>
      <c r="E6" s="104" t="s">
        <v>14</v>
      </c>
      <c r="F6" s="104" t="s">
        <v>13</v>
      </c>
      <c r="G6" s="104" t="s">
        <v>14</v>
      </c>
      <c r="H6" s="104" t="s">
        <v>13</v>
      </c>
      <c r="I6" s="104" t="s">
        <v>14</v>
      </c>
      <c r="J6" s="104" t="s">
        <v>13</v>
      </c>
      <c r="K6" s="104" t="s">
        <v>14</v>
      </c>
      <c r="L6" s="109" t="s">
        <v>15</v>
      </c>
    </row>
    <row r="7" spans="1:12">
      <c r="A7" s="102" t="s">
        <v>16</v>
      </c>
      <c r="B7" s="132" t="s">
        <v>38</v>
      </c>
      <c r="C7" s="132" t="s">
        <v>38</v>
      </c>
      <c r="D7" s="132" t="s">
        <v>38</v>
      </c>
      <c r="E7" s="132" t="s">
        <v>38</v>
      </c>
      <c r="F7" s="132" t="s">
        <v>38</v>
      </c>
      <c r="G7" s="132" t="s">
        <v>38</v>
      </c>
      <c r="H7" s="132" t="s">
        <v>38</v>
      </c>
      <c r="I7" s="132" t="s">
        <v>38</v>
      </c>
      <c r="J7" s="101">
        <v>409070</v>
      </c>
      <c r="K7" s="101">
        <v>387890</v>
      </c>
      <c r="L7" s="101">
        <f>J7+K7</f>
        <v>796960</v>
      </c>
    </row>
    <row r="8" spans="1:12">
      <c r="A8" s="103" t="s">
        <v>18</v>
      </c>
      <c r="B8" s="93" t="s">
        <v>38</v>
      </c>
      <c r="C8" s="93" t="s">
        <v>38</v>
      </c>
      <c r="D8" s="93" t="s">
        <v>38</v>
      </c>
      <c r="E8" s="93" t="s">
        <v>38</v>
      </c>
      <c r="F8" s="93" t="s">
        <v>38</v>
      </c>
      <c r="G8" s="93" t="s">
        <v>38</v>
      </c>
      <c r="H8" s="93" t="s">
        <v>38</v>
      </c>
      <c r="I8" s="93" t="s">
        <v>38</v>
      </c>
      <c r="J8" s="100">
        <v>403930</v>
      </c>
      <c r="K8" s="100">
        <v>383640</v>
      </c>
      <c r="L8" s="101">
        <f t="shared" ref="L8:L23" si="0">J8+K8</f>
        <v>787570</v>
      </c>
    </row>
    <row r="9" spans="1:12">
      <c r="A9" s="103" t="s">
        <v>19</v>
      </c>
      <c r="B9" s="93" t="s">
        <v>38</v>
      </c>
      <c r="C9" s="93" t="s">
        <v>38</v>
      </c>
      <c r="D9" s="93" t="s">
        <v>38</v>
      </c>
      <c r="E9" s="93" t="s">
        <v>38</v>
      </c>
      <c r="F9" s="93" t="s">
        <v>38</v>
      </c>
      <c r="G9" s="93" t="s">
        <v>38</v>
      </c>
      <c r="H9" s="93" t="s">
        <v>38</v>
      </c>
      <c r="I9" s="93" t="s">
        <v>38</v>
      </c>
      <c r="J9" s="100">
        <v>384600</v>
      </c>
      <c r="K9" s="100">
        <v>363350</v>
      </c>
      <c r="L9" s="101">
        <f t="shared" si="0"/>
        <v>747950</v>
      </c>
    </row>
    <row r="10" spans="1:12">
      <c r="A10" s="103" t="s">
        <v>20</v>
      </c>
      <c r="B10" s="93" t="s">
        <v>38</v>
      </c>
      <c r="C10" s="93" t="s">
        <v>38</v>
      </c>
      <c r="D10" s="93" t="s">
        <v>38</v>
      </c>
      <c r="E10" s="93" t="s">
        <v>38</v>
      </c>
      <c r="F10" s="93" t="s">
        <v>38</v>
      </c>
      <c r="G10" s="93" t="s">
        <v>38</v>
      </c>
      <c r="H10" s="93" t="s">
        <v>38</v>
      </c>
      <c r="I10" s="93" t="s">
        <v>38</v>
      </c>
      <c r="J10" s="100">
        <v>353030</v>
      </c>
      <c r="K10" s="100">
        <v>332770</v>
      </c>
      <c r="L10" s="101">
        <f t="shared" si="0"/>
        <v>685800</v>
      </c>
    </row>
    <row r="11" spans="1:12">
      <c r="A11" s="103" t="s">
        <v>21</v>
      </c>
      <c r="B11" s="93" t="s">
        <v>38</v>
      </c>
      <c r="C11" s="93" t="s">
        <v>38</v>
      </c>
      <c r="D11" s="93" t="s">
        <v>38</v>
      </c>
      <c r="E11" s="93" t="s">
        <v>38</v>
      </c>
      <c r="F11" s="93" t="s">
        <v>38</v>
      </c>
      <c r="G11" s="93" t="s">
        <v>38</v>
      </c>
      <c r="H11" s="93" t="s">
        <v>38</v>
      </c>
      <c r="I11" s="93" t="s">
        <v>38</v>
      </c>
      <c r="J11" s="100">
        <v>343050</v>
      </c>
      <c r="K11" s="100">
        <v>318830</v>
      </c>
      <c r="L11" s="101">
        <f t="shared" si="0"/>
        <v>661880</v>
      </c>
    </row>
    <row r="12" spans="1:12">
      <c r="A12" s="103" t="s">
        <v>22</v>
      </c>
      <c r="B12" s="93" t="s">
        <v>38</v>
      </c>
      <c r="C12" s="93" t="s">
        <v>38</v>
      </c>
      <c r="D12" s="93" t="s">
        <v>38</v>
      </c>
      <c r="E12" s="93" t="s">
        <v>38</v>
      </c>
      <c r="F12" s="93" t="s">
        <v>38</v>
      </c>
      <c r="G12" s="93" t="s">
        <v>38</v>
      </c>
      <c r="H12" s="93" t="s">
        <v>38</v>
      </c>
      <c r="I12" s="93" t="s">
        <v>38</v>
      </c>
      <c r="J12" s="100">
        <v>294410</v>
      </c>
      <c r="K12" s="100">
        <v>264940</v>
      </c>
      <c r="L12" s="101">
        <f t="shared" si="0"/>
        <v>559350</v>
      </c>
    </row>
    <row r="13" spans="1:12">
      <c r="A13" s="103" t="s">
        <v>23</v>
      </c>
      <c r="B13" s="93" t="s">
        <v>38</v>
      </c>
      <c r="C13" s="93" t="s">
        <v>38</v>
      </c>
      <c r="D13" s="93" t="s">
        <v>38</v>
      </c>
      <c r="E13" s="93" t="s">
        <v>38</v>
      </c>
      <c r="F13" s="93" t="s">
        <v>38</v>
      </c>
      <c r="G13" s="93" t="s">
        <v>38</v>
      </c>
      <c r="H13" s="93" t="s">
        <v>38</v>
      </c>
      <c r="I13" s="93" t="s">
        <v>38</v>
      </c>
      <c r="J13" s="100">
        <v>254470</v>
      </c>
      <c r="K13" s="100">
        <v>234960</v>
      </c>
      <c r="L13" s="101">
        <f t="shared" si="0"/>
        <v>489430</v>
      </c>
    </row>
    <row r="14" spans="1:12">
      <c r="A14" s="103" t="s">
        <v>24</v>
      </c>
      <c r="B14" s="93" t="s">
        <v>38</v>
      </c>
      <c r="C14" s="93" t="s">
        <v>38</v>
      </c>
      <c r="D14" s="93" t="s">
        <v>38</v>
      </c>
      <c r="E14" s="93" t="s">
        <v>38</v>
      </c>
      <c r="F14" s="93" t="s">
        <v>38</v>
      </c>
      <c r="G14" s="93" t="s">
        <v>38</v>
      </c>
      <c r="H14" s="93" t="s">
        <v>38</v>
      </c>
      <c r="I14" s="93" t="s">
        <v>38</v>
      </c>
      <c r="J14" s="100">
        <v>206150</v>
      </c>
      <c r="K14" s="100">
        <v>190450</v>
      </c>
      <c r="L14" s="101">
        <f t="shared" si="0"/>
        <v>396600</v>
      </c>
    </row>
    <row r="15" spans="1:12">
      <c r="A15" s="103" t="s">
        <v>25</v>
      </c>
      <c r="B15" s="93" t="s">
        <v>38</v>
      </c>
      <c r="C15" s="93" t="s">
        <v>38</v>
      </c>
      <c r="D15" s="93" t="s">
        <v>38</v>
      </c>
      <c r="E15" s="93" t="s">
        <v>38</v>
      </c>
      <c r="F15" s="93" t="s">
        <v>38</v>
      </c>
      <c r="G15" s="93" t="s">
        <v>38</v>
      </c>
      <c r="H15" s="93" t="s">
        <v>38</v>
      </c>
      <c r="I15" s="93" t="s">
        <v>38</v>
      </c>
      <c r="J15" s="100">
        <v>152040</v>
      </c>
      <c r="K15" s="100">
        <v>143520</v>
      </c>
      <c r="L15" s="101">
        <f t="shared" si="0"/>
        <v>295560</v>
      </c>
    </row>
    <row r="16" spans="1:12">
      <c r="A16" s="103" t="s">
        <v>26</v>
      </c>
      <c r="B16" s="93" t="s">
        <v>38</v>
      </c>
      <c r="C16" s="93" t="s">
        <v>38</v>
      </c>
      <c r="D16" s="93" t="s">
        <v>38</v>
      </c>
      <c r="E16" s="93" t="s">
        <v>38</v>
      </c>
      <c r="F16" s="93" t="s">
        <v>38</v>
      </c>
      <c r="G16" s="93" t="s">
        <v>38</v>
      </c>
      <c r="H16" s="93" t="s">
        <v>38</v>
      </c>
      <c r="I16" s="93" t="s">
        <v>38</v>
      </c>
      <c r="J16" s="100">
        <v>106940</v>
      </c>
      <c r="K16" s="100">
        <v>102040</v>
      </c>
      <c r="L16" s="101">
        <f t="shared" si="0"/>
        <v>208980</v>
      </c>
    </row>
    <row r="17" spans="1:12">
      <c r="A17" s="103" t="s">
        <v>27</v>
      </c>
      <c r="B17" s="93" t="s">
        <v>38</v>
      </c>
      <c r="C17" s="93" t="s">
        <v>38</v>
      </c>
      <c r="D17" s="93" t="s">
        <v>38</v>
      </c>
      <c r="E17" s="93" t="s">
        <v>38</v>
      </c>
      <c r="F17" s="93" t="s">
        <v>38</v>
      </c>
      <c r="G17" s="93" t="s">
        <v>38</v>
      </c>
      <c r="H17" s="93" t="s">
        <v>38</v>
      </c>
      <c r="I17" s="93" t="s">
        <v>38</v>
      </c>
      <c r="J17" s="100">
        <v>79230</v>
      </c>
      <c r="K17" s="100">
        <v>77820</v>
      </c>
      <c r="L17" s="101">
        <f t="shared" si="0"/>
        <v>157050</v>
      </c>
    </row>
    <row r="18" spans="1:12">
      <c r="A18" s="103" t="s">
        <v>28</v>
      </c>
      <c r="B18" s="93" t="s">
        <v>38</v>
      </c>
      <c r="C18" s="93" t="s">
        <v>38</v>
      </c>
      <c r="D18" s="93" t="s">
        <v>38</v>
      </c>
      <c r="E18" s="93" t="s">
        <v>38</v>
      </c>
      <c r="F18" s="93" t="s">
        <v>38</v>
      </c>
      <c r="G18" s="93" t="s">
        <v>38</v>
      </c>
      <c r="H18" s="93" t="s">
        <v>38</v>
      </c>
      <c r="I18" s="93" t="s">
        <v>38</v>
      </c>
      <c r="J18" s="100">
        <v>68290</v>
      </c>
      <c r="K18" s="100">
        <v>70850</v>
      </c>
      <c r="L18" s="101">
        <f t="shared" si="0"/>
        <v>139140</v>
      </c>
    </row>
    <row r="19" spans="1:12">
      <c r="A19" s="103" t="s">
        <v>29</v>
      </c>
      <c r="B19" s="93" t="s">
        <v>38</v>
      </c>
      <c r="C19" s="93" t="s">
        <v>38</v>
      </c>
      <c r="D19" s="93" t="s">
        <v>38</v>
      </c>
      <c r="E19" s="93" t="s">
        <v>38</v>
      </c>
      <c r="F19" s="93" t="s">
        <v>38</v>
      </c>
      <c r="G19" s="93" t="s">
        <v>38</v>
      </c>
      <c r="H19" s="93" t="s">
        <v>38</v>
      </c>
      <c r="I19" s="93" t="s">
        <v>38</v>
      </c>
      <c r="J19" s="100">
        <v>63780</v>
      </c>
      <c r="K19" s="100">
        <v>57220</v>
      </c>
      <c r="L19" s="101">
        <f t="shared" si="0"/>
        <v>121000</v>
      </c>
    </row>
    <row r="20" spans="1:12">
      <c r="A20" s="103" t="s">
        <v>30</v>
      </c>
      <c r="B20" s="93" t="s">
        <v>38</v>
      </c>
      <c r="C20" s="93" t="s">
        <v>38</v>
      </c>
      <c r="D20" s="93" t="s">
        <v>38</v>
      </c>
      <c r="E20" s="93" t="s">
        <v>38</v>
      </c>
      <c r="F20" s="93" t="s">
        <v>38</v>
      </c>
      <c r="G20" s="93" t="s">
        <v>38</v>
      </c>
      <c r="H20" s="93" t="s">
        <v>38</v>
      </c>
      <c r="I20" s="93" t="s">
        <v>38</v>
      </c>
      <c r="J20" s="100">
        <v>45444</v>
      </c>
      <c r="K20" s="100">
        <v>42383</v>
      </c>
      <c r="L20" s="101">
        <f t="shared" si="0"/>
        <v>87827</v>
      </c>
    </row>
    <row r="21" spans="1:12">
      <c r="A21" s="103" t="s">
        <v>31</v>
      </c>
      <c r="B21" s="93" t="s">
        <v>38</v>
      </c>
      <c r="C21" s="93" t="s">
        <v>38</v>
      </c>
      <c r="D21" s="93" t="s">
        <v>38</v>
      </c>
      <c r="E21" s="93" t="s">
        <v>38</v>
      </c>
      <c r="F21" s="93" t="s">
        <v>38</v>
      </c>
      <c r="G21" s="93" t="s">
        <v>38</v>
      </c>
      <c r="H21" s="93" t="s">
        <v>38</v>
      </c>
      <c r="I21" s="93" t="s">
        <v>38</v>
      </c>
      <c r="J21" s="100">
        <v>28748</v>
      </c>
      <c r="K21" s="100">
        <v>28504</v>
      </c>
      <c r="L21" s="101">
        <f t="shared" si="0"/>
        <v>57252</v>
      </c>
    </row>
    <row r="22" spans="1:12" ht="15.75" thickBot="1">
      <c r="A22" s="103" t="s">
        <v>32</v>
      </c>
      <c r="B22" s="93" t="s">
        <v>38</v>
      </c>
      <c r="C22" s="93" t="s">
        <v>38</v>
      </c>
      <c r="D22" s="93" t="s">
        <v>38</v>
      </c>
      <c r="E22" s="93" t="s">
        <v>38</v>
      </c>
      <c r="F22" s="93" t="s">
        <v>38</v>
      </c>
      <c r="G22" s="93" t="s">
        <v>38</v>
      </c>
      <c r="H22" s="93" t="s">
        <v>38</v>
      </c>
      <c r="I22" s="93" t="s">
        <v>38</v>
      </c>
      <c r="J22" s="100">
        <v>27918</v>
      </c>
      <c r="K22" s="100">
        <v>28733</v>
      </c>
      <c r="L22" s="101">
        <f t="shared" si="0"/>
        <v>56651</v>
      </c>
    </row>
    <row r="23" spans="1:12" ht="26.25" thickBot="1">
      <c r="A23" s="111" t="s">
        <v>133</v>
      </c>
      <c r="B23" s="133" t="s">
        <v>38</v>
      </c>
      <c r="C23" s="133" t="s">
        <v>38</v>
      </c>
      <c r="D23" s="133" t="s">
        <v>38</v>
      </c>
      <c r="E23" s="133" t="s">
        <v>38</v>
      </c>
      <c r="F23" s="133" t="s">
        <v>38</v>
      </c>
      <c r="G23" s="133" t="s">
        <v>38</v>
      </c>
      <c r="H23" s="133" t="s">
        <v>38</v>
      </c>
      <c r="I23" s="133" t="s">
        <v>38</v>
      </c>
      <c r="J23" s="112">
        <v>3221100</v>
      </c>
      <c r="K23" s="112">
        <v>3027900</v>
      </c>
      <c r="L23" s="112">
        <f t="shared" si="0"/>
        <v>6249000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R13" sqref="R13"/>
    </sheetView>
  </sheetViews>
  <sheetFormatPr defaultRowHeight="15"/>
  <cols>
    <col min="1" max="12" width="13.140625" customWidth="1"/>
  </cols>
  <sheetData>
    <row r="1" spans="1:12" s="22" customFormat="1" ht="15.75">
      <c r="A1" s="187" t="s">
        <v>248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304"/>
    </row>
    <row r="2" spans="1:12" s="22" customFormat="1" ht="15.75">
      <c r="A2" s="189" t="s">
        <v>247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304"/>
    </row>
    <row r="3" spans="1:12" ht="16.5" thickBot="1">
      <c r="A3" s="301"/>
      <c r="B3" s="301"/>
      <c r="C3" s="301"/>
      <c r="D3" s="301"/>
      <c r="E3" s="302"/>
      <c r="F3" s="301"/>
      <c r="G3" s="302"/>
      <c r="H3" s="301"/>
      <c r="I3" s="187"/>
      <c r="J3" s="303"/>
      <c r="K3" s="187"/>
      <c r="L3" s="92"/>
    </row>
    <row r="4" spans="1:12" ht="15.75" thickBot="1">
      <c r="A4" s="102"/>
      <c r="B4" s="291" t="s">
        <v>0</v>
      </c>
      <c r="C4" s="291" t="s">
        <v>1</v>
      </c>
      <c r="D4" s="291" t="s">
        <v>131</v>
      </c>
      <c r="E4" s="291" t="s">
        <v>3</v>
      </c>
      <c r="F4" s="291" t="s">
        <v>4</v>
      </c>
      <c r="G4" s="291" t="s">
        <v>5</v>
      </c>
      <c r="H4" s="291" t="s">
        <v>6</v>
      </c>
      <c r="I4" s="291" t="s">
        <v>7</v>
      </c>
      <c r="J4" s="291" t="s">
        <v>8</v>
      </c>
      <c r="K4" s="291" t="s">
        <v>9</v>
      </c>
      <c r="L4" s="291" t="s">
        <v>9</v>
      </c>
    </row>
    <row r="5" spans="1:12">
      <c r="A5" s="103" t="s">
        <v>132</v>
      </c>
      <c r="B5" s="103" t="s">
        <v>129</v>
      </c>
      <c r="C5" s="103" t="s">
        <v>130</v>
      </c>
      <c r="D5" s="103" t="s">
        <v>129</v>
      </c>
      <c r="E5" s="103" t="s">
        <v>130</v>
      </c>
      <c r="F5" s="103" t="s">
        <v>129</v>
      </c>
      <c r="G5" s="103" t="s">
        <v>130</v>
      </c>
      <c r="H5" s="103" t="s">
        <v>129</v>
      </c>
      <c r="I5" s="103" t="s">
        <v>130</v>
      </c>
      <c r="J5" s="103" t="s">
        <v>129</v>
      </c>
      <c r="K5" s="103" t="s">
        <v>130</v>
      </c>
      <c r="L5" s="140" t="s">
        <v>11</v>
      </c>
    </row>
    <row r="6" spans="1:12" ht="15.75" thickBot="1">
      <c r="A6" s="104" t="s">
        <v>12</v>
      </c>
      <c r="B6" s="104" t="s">
        <v>98</v>
      </c>
      <c r="C6" s="104" t="s">
        <v>100</v>
      </c>
      <c r="D6" s="104" t="s">
        <v>98</v>
      </c>
      <c r="E6" s="104" t="s">
        <v>100</v>
      </c>
      <c r="F6" s="104" t="s">
        <v>98</v>
      </c>
      <c r="G6" s="104" t="s">
        <v>100</v>
      </c>
      <c r="H6" s="104" t="s">
        <v>98</v>
      </c>
      <c r="I6" s="104" t="s">
        <v>100</v>
      </c>
      <c r="J6" s="104" t="s">
        <v>98</v>
      </c>
      <c r="K6" s="104" t="s">
        <v>100</v>
      </c>
      <c r="L6" s="141" t="s">
        <v>15</v>
      </c>
    </row>
    <row r="7" spans="1:12">
      <c r="A7" s="102" t="s">
        <v>16</v>
      </c>
      <c r="B7" s="101">
        <v>1264052</v>
      </c>
      <c r="C7" s="101">
        <v>1206367</v>
      </c>
      <c r="D7" s="101">
        <v>328546</v>
      </c>
      <c r="E7" s="101">
        <v>291572</v>
      </c>
      <c r="F7" s="101"/>
      <c r="G7" s="101"/>
      <c r="H7" s="101"/>
      <c r="I7" s="101"/>
      <c r="J7" s="101">
        <v>1592598</v>
      </c>
      <c r="K7" s="101">
        <v>1497939</v>
      </c>
      <c r="L7" s="101">
        <v>3090537</v>
      </c>
    </row>
    <row r="8" spans="1:12">
      <c r="A8" s="103" t="s">
        <v>18</v>
      </c>
      <c r="B8" s="101">
        <v>1160621</v>
      </c>
      <c r="C8" s="101">
        <v>1121534</v>
      </c>
      <c r="D8" s="101">
        <v>314797</v>
      </c>
      <c r="E8" s="101">
        <v>282944</v>
      </c>
      <c r="F8" s="101"/>
      <c r="G8" s="101"/>
      <c r="H8" s="101"/>
      <c r="I8" s="101"/>
      <c r="J8" s="101">
        <v>1475418</v>
      </c>
      <c r="K8" s="101">
        <v>1404478</v>
      </c>
      <c r="L8" s="101">
        <v>2879896</v>
      </c>
    </row>
    <row r="9" spans="1:12">
      <c r="A9" s="103" t="s">
        <v>19</v>
      </c>
      <c r="B9" s="101">
        <v>1083508</v>
      </c>
      <c r="C9" s="101">
        <v>1073603</v>
      </c>
      <c r="D9" s="101">
        <v>280705</v>
      </c>
      <c r="E9" s="101">
        <v>241608</v>
      </c>
      <c r="F9" s="101"/>
      <c r="G9" s="101"/>
      <c r="H9" s="101"/>
      <c r="I9" s="101"/>
      <c r="J9" s="101">
        <v>1364213</v>
      </c>
      <c r="K9" s="101">
        <v>1315211</v>
      </c>
      <c r="L9" s="101">
        <v>2679424</v>
      </c>
    </row>
    <row r="10" spans="1:12">
      <c r="A10" s="103" t="s">
        <v>20</v>
      </c>
      <c r="B10" s="101">
        <v>1028354</v>
      </c>
      <c r="C10" s="101">
        <v>1038970</v>
      </c>
      <c r="D10" s="101">
        <v>212004</v>
      </c>
      <c r="E10" s="101">
        <v>181758</v>
      </c>
      <c r="F10" s="101"/>
      <c r="G10" s="101"/>
      <c r="H10" s="101"/>
      <c r="I10" s="101"/>
      <c r="J10" s="101">
        <v>1240358</v>
      </c>
      <c r="K10" s="101">
        <v>1220728</v>
      </c>
      <c r="L10" s="101">
        <v>2461086</v>
      </c>
    </row>
    <row r="11" spans="1:12">
      <c r="A11" s="103" t="s">
        <v>21</v>
      </c>
      <c r="B11" s="101">
        <v>949543</v>
      </c>
      <c r="C11" s="101">
        <v>969916</v>
      </c>
      <c r="D11" s="101">
        <v>224494</v>
      </c>
      <c r="E11" s="101">
        <v>164430</v>
      </c>
      <c r="F11" s="101"/>
      <c r="G11" s="101"/>
      <c r="H11" s="101"/>
      <c r="I11" s="101"/>
      <c r="J11" s="101">
        <v>1174037</v>
      </c>
      <c r="K11" s="101">
        <v>1134346</v>
      </c>
      <c r="L11" s="101">
        <v>2308383</v>
      </c>
    </row>
    <row r="12" spans="1:12">
      <c r="A12" s="103" t="s">
        <v>22</v>
      </c>
      <c r="B12" s="101">
        <v>844414</v>
      </c>
      <c r="C12" s="101">
        <v>863449</v>
      </c>
      <c r="D12" s="101">
        <v>520271</v>
      </c>
      <c r="E12" s="101">
        <v>232362</v>
      </c>
      <c r="F12" s="101"/>
      <c r="G12" s="101"/>
      <c r="H12" s="101"/>
      <c r="I12" s="101"/>
      <c r="J12" s="101">
        <v>1364685</v>
      </c>
      <c r="K12" s="101">
        <v>1095811</v>
      </c>
      <c r="L12" s="101">
        <v>2460496</v>
      </c>
    </row>
    <row r="13" spans="1:12">
      <c r="A13" s="103" t="s">
        <v>23</v>
      </c>
      <c r="B13" s="101">
        <v>737202</v>
      </c>
      <c r="C13" s="101">
        <v>750746</v>
      </c>
      <c r="D13" s="101">
        <v>1029269</v>
      </c>
      <c r="E13" s="101">
        <v>366126</v>
      </c>
      <c r="F13" s="101"/>
      <c r="G13" s="101"/>
      <c r="H13" s="101"/>
      <c r="I13" s="101"/>
      <c r="J13" s="101">
        <v>1766471</v>
      </c>
      <c r="K13" s="101">
        <v>1116872</v>
      </c>
      <c r="L13" s="101">
        <v>2883343</v>
      </c>
    </row>
    <row r="14" spans="1:12">
      <c r="A14" s="103" t="s">
        <v>24</v>
      </c>
      <c r="B14" s="101">
        <v>624755</v>
      </c>
      <c r="C14" s="101">
        <v>628837</v>
      </c>
      <c r="D14" s="101">
        <v>1116681</v>
      </c>
      <c r="E14" s="101">
        <v>404721</v>
      </c>
      <c r="F14" s="101"/>
      <c r="G14" s="101"/>
      <c r="H14" s="101"/>
      <c r="I14" s="101"/>
      <c r="J14" s="101">
        <v>1741436</v>
      </c>
      <c r="K14" s="101">
        <v>1033558</v>
      </c>
      <c r="L14" s="101">
        <v>2774994</v>
      </c>
    </row>
    <row r="15" spans="1:12">
      <c r="A15" s="103" t="s">
        <v>25</v>
      </c>
      <c r="B15" s="101">
        <v>520168</v>
      </c>
      <c r="C15" s="101">
        <v>516203</v>
      </c>
      <c r="D15" s="101">
        <v>884600</v>
      </c>
      <c r="E15" s="101">
        <v>247599</v>
      </c>
      <c r="F15" s="101"/>
      <c r="G15" s="101"/>
      <c r="H15" s="101"/>
      <c r="I15" s="101"/>
      <c r="J15" s="101">
        <v>1404768</v>
      </c>
      <c r="K15" s="101">
        <v>763802</v>
      </c>
      <c r="L15" s="101">
        <v>2168570</v>
      </c>
    </row>
    <row r="16" spans="1:12">
      <c r="A16" s="103" t="s">
        <v>26</v>
      </c>
      <c r="B16" s="101">
        <v>423607</v>
      </c>
      <c r="C16" s="101">
        <v>410991</v>
      </c>
      <c r="D16" s="101">
        <v>628492</v>
      </c>
      <c r="E16" s="101">
        <v>100682</v>
      </c>
      <c r="F16" s="101"/>
      <c r="G16" s="101"/>
      <c r="H16" s="101"/>
      <c r="I16" s="101"/>
      <c r="J16" s="101">
        <v>1052099</v>
      </c>
      <c r="K16" s="101">
        <v>511673</v>
      </c>
      <c r="L16" s="101">
        <v>1563772</v>
      </c>
    </row>
    <row r="17" spans="1:12">
      <c r="A17" s="103" t="s">
        <v>27</v>
      </c>
      <c r="B17" s="101">
        <v>336247</v>
      </c>
      <c r="C17" s="101">
        <v>320801</v>
      </c>
      <c r="D17" s="101">
        <v>388609</v>
      </c>
      <c r="E17" s="101">
        <v>60799</v>
      </c>
      <c r="F17" s="101"/>
      <c r="G17" s="101"/>
      <c r="H17" s="101"/>
      <c r="I17" s="101"/>
      <c r="J17" s="101">
        <v>724856</v>
      </c>
      <c r="K17" s="101">
        <v>381600</v>
      </c>
      <c r="L17" s="101">
        <v>1106456</v>
      </c>
    </row>
    <row r="18" spans="1:12">
      <c r="A18" s="103" t="s">
        <v>28</v>
      </c>
      <c r="B18" s="101">
        <v>251292</v>
      </c>
      <c r="C18" s="101">
        <v>240525</v>
      </c>
      <c r="D18" s="101">
        <v>216472</v>
      </c>
      <c r="E18" s="101">
        <v>42146</v>
      </c>
      <c r="F18" s="101"/>
      <c r="G18" s="101"/>
      <c r="H18" s="101"/>
      <c r="I18" s="101"/>
      <c r="J18" s="101">
        <v>467764</v>
      </c>
      <c r="K18" s="101">
        <v>282671</v>
      </c>
      <c r="L18" s="101">
        <v>750435</v>
      </c>
    </row>
    <row r="19" spans="1:12">
      <c r="A19" s="103" t="s">
        <v>29</v>
      </c>
      <c r="B19" s="101">
        <v>182269</v>
      </c>
      <c r="C19" s="101">
        <v>176791</v>
      </c>
      <c r="D19" s="101">
        <v>90507</v>
      </c>
      <c r="E19" s="101">
        <v>22721</v>
      </c>
      <c r="F19" s="101"/>
      <c r="G19" s="101"/>
      <c r="H19" s="101"/>
      <c r="I19" s="101"/>
      <c r="J19" s="101">
        <v>272776</v>
      </c>
      <c r="K19" s="101">
        <v>199512</v>
      </c>
      <c r="L19" s="101">
        <v>472288</v>
      </c>
    </row>
    <row r="20" spans="1:12">
      <c r="A20" s="103" t="s">
        <v>30</v>
      </c>
      <c r="B20" s="101">
        <v>129226</v>
      </c>
      <c r="C20" s="101">
        <v>130758</v>
      </c>
      <c r="D20" s="101">
        <v>32588</v>
      </c>
      <c r="E20" s="101">
        <v>13903</v>
      </c>
      <c r="F20" s="101"/>
      <c r="G20" s="101"/>
      <c r="H20" s="101"/>
      <c r="I20" s="101"/>
      <c r="J20" s="101">
        <v>161814</v>
      </c>
      <c r="K20" s="101">
        <v>144661</v>
      </c>
      <c r="L20" s="101">
        <v>306475</v>
      </c>
    </row>
    <row r="21" spans="1:12">
      <c r="A21" s="103" t="s">
        <v>31</v>
      </c>
      <c r="B21" s="101">
        <v>87149</v>
      </c>
      <c r="C21" s="101">
        <v>91562</v>
      </c>
      <c r="D21" s="101">
        <v>14349</v>
      </c>
      <c r="E21" s="101">
        <v>8648</v>
      </c>
      <c r="F21" s="101"/>
      <c r="G21" s="101"/>
      <c r="H21" s="101"/>
      <c r="I21" s="101"/>
      <c r="J21" s="101">
        <v>101498</v>
      </c>
      <c r="K21" s="101">
        <v>100210</v>
      </c>
      <c r="L21" s="101">
        <v>201708</v>
      </c>
    </row>
    <row r="22" spans="1:12" ht="15.75" thickBot="1">
      <c r="A22" s="103" t="s">
        <v>32</v>
      </c>
      <c r="B22" s="101">
        <v>121219</v>
      </c>
      <c r="C22" s="101">
        <v>121006</v>
      </c>
      <c r="D22" s="101">
        <v>15351</v>
      </c>
      <c r="E22" s="101">
        <v>10916</v>
      </c>
      <c r="F22" s="101"/>
      <c r="G22" s="101"/>
      <c r="H22" s="101"/>
      <c r="I22" s="101"/>
      <c r="J22" s="101">
        <v>136570</v>
      </c>
      <c r="K22" s="101">
        <v>131922</v>
      </c>
      <c r="L22" s="101">
        <v>268492</v>
      </c>
    </row>
    <row r="23" spans="1:12" ht="26.25" thickBot="1">
      <c r="A23" s="111" t="s">
        <v>133</v>
      </c>
      <c r="B23" s="112">
        <v>9743626</v>
      </c>
      <c r="C23" s="112">
        <v>9662059</v>
      </c>
      <c r="D23" s="112">
        <v>6297735</v>
      </c>
      <c r="E23" s="112">
        <v>2672935</v>
      </c>
      <c r="F23" s="112" t="s">
        <v>17</v>
      </c>
      <c r="G23" s="112" t="s">
        <v>17</v>
      </c>
      <c r="H23" s="112" t="s">
        <v>17</v>
      </c>
      <c r="I23" s="112" t="s">
        <v>17</v>
      </c>
      <c r="J23" s="112">
        <v>16041361</v>
      </c>
      <c r="K23" s="112">
        <v>12334994</v>
      </c>
      <c r="L23" s="112">
        <v>28376355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"/>
  <dimension ref="A2:F23"/>
  <sheetViews>
    <sheetView workbookViewId="0">
      <selection activeCell="H19" sqref="H19"/>
    </sheetView>
  </sheetViews>
  <sheetFormatPr defaultRowHeight="15"/>
  <cols>
    <col min="1" max="1" width="25.7109375" customWidth="1"/>
    <col min="2" max="5" width="15.7109375" customWidth="1"/>
    <col min="6" max="6" width="25.7109375" customWidth="1"/>
  </cols>
  <sheetData>
    <row r="2" spans="1:6" ht="15.75">
      <c r="A2" s="131" t="s">
        <v>242</v>
      </c>
      <c r="B2" s="1"/>
      <c r="C2" s="1"/>
      <c r="D2" s="1"/>
      <c r="E2" s="1"/>
      <c r="F2" s="1"/>
    </row>
    <row r="3" spans="1:6">
      <c r="A3" s="1" t="s">
        <v>236</v>
      </c>
      <c r="B3" s="1"/>
      <c r="C3" s="1"/>
      <c r="D3" s="1"/>
      <c r="E3" s="1"/>
      <c r="F3" s="1"/>
    </row>
    <row r="4" spans="1:6" ht="15.75" thickBot="1">
      <c r="A4" s="4"/>
      <c r="B4" s="4"/>
      <c r="C4" s="4"/>
      <c r="D4" s="3"/>
      <c r="E4" s="4"/>
      <c r="F4" s="4"/>
    </row>
    <row r="5" spans="1:6" ht="20.100000000000001" customHeight="1" thickBot="1">
      <c r="A5" s="323" t="s">
        <v>41</v>
      </c>
      <c r="B5" s="323" t="s">
        <v>71</v>
      </c>
      <c r="C5" s="323"/>
      <c r="D5" s="197" t="s">
        <v>72</v>
      </c>
      <c r="E5" s="198"/>
      <c r="F5" s="323" t="s">
        <v>67</v>
      </c>
    </row>
    <row r="6" spans="1:6" ht="30" customHeight="1" thickBot="1">
      <c r="A6" s="324"/>
      <c r="B6" s="199" t="s">
        <v>68</v>
      </c>
      <c r="C6" s="192" t="s">
        <v>112</v>
      </c>
      <c r="D6" s="200" t="s">
        <v>68</v>
      </c>
      <c r="E6" s="192" t="s">
        <v>112</v>
      </c>
      <c r="F6" s="324" t="s">
        <v>67</v>
      </c>
    </row>
    <row r="7" spans="1:6">
      <c r="A7" s="201" t="s">
        <v>42</v>
      </c>
      <c r="B7" s="202">
        <v>2001</v>
      </c>
      <c r="C7" s="203">
        <v>43.661785228497237</v>
      </c>
      <c r="D7" s="204">
        <v>2010</v>
      </c>
      <c r="E7" s="205">
        <v>28.502894661789842</v>
      </c>
      <c r="F7" s="206" t="s">
        <v>43</v>
      </c>
    </row>
    <row r="8" spans="1:6">
      <c r="A8" s="207" t="s">
        <v>44</v>
      </c>
      <c r="B8" s="208">
        <v>1996</v>
      </c>
      <c r="C8" s="203">
        <v>69.687004388473952</v>
      </c>
      <c r="D8" s="209">
        <v>2006</v>
      </c>
      <c r="E8" s="205">
        <v>69.730217388645315</v>
      </c>
      <c r="F8" s="210" t="s">
        <v>45</v>
      </c>
    </row>
    <row r="9" spans="1:6">
      <c r="A9" s="193" t="s">
        <v>46</v>
      </c>
      <c r="B9" s="208">
        <v>1997</v>
      </c>
      <c r="C9" s="203">
        <v>93.360271560909524</v>
      </c>
      <c r="D9" s="204" t="s">
        <v>17</v>
      </c>
      <c r="E9" s="211" t="s">
        <v>17</v>
      </c>
      <c r="F9" s="194" t="s">
        <v>47</v>
      </c>
    </row>
    <row r="10" spans="1:6">
      <c r="A10" s="193" t="s">
        <v>48</v>
      </c>
      <c r="B10" s="208">
        <v>2004</v>
      </c>
      <c r="C10" s="203">
        <v>68.227218883381141</v>
      </c>
      <c r="D10" s="204" t="s">
        <v>17</v>
      </c>
      <c r="E10" s="211" t="s">
        <v>17</v>
      </c>
      <c r="F10" s="194" t="s">
        <v>49</v>
      </c>
    </row>
    <row r="11" spans="1:6">
      <c r="A11" s="193" t="s">
        <v>50</v>
      </c>
      <c r="B11" s="208">
        <v>1995</v>
      </c>
      <c r="C11" s="203">
        <v>45.596303756093853</v>
      </c>
      <c r="D11" s="209">
        <v>2011</v>
      </c>
      <c r="E11" s="205">
        <v>32.48007840300545</v>
      </c>
      <c r="F11" s="194" t="s">
        <v>51</v>
      </c>
    </row>
    <row r="12" spans="1:6">
      <c r="A12" s="193" t="s">
        <v>69</v>
      </c>
      <c r="B12" s="212" t="s">
        <v>17</v>
      </c>
      <c r="C12" s="213" t="s">
        <v>17</v>
      </c>
      <c r="D12" s="204" t="s">
        <v>17</v>
      </c>
      <c r="E12" s="211" t="s">
        <v>17</v>
      </c>
      <c r="F12" s="194" t="s">
        <v>52</v>
      </c>
    </row>
    <row r="13" spans="1:6">
      <c r="A13" s="193" t="s">
        <v>53</v>
      </c>
      <c r="B13" s="208">
        <v>2003</v>
      </c>
      <c r="C13" s="203">
        <v>57.307836591016347</v>
      </c>
      <c r="D13" s="204">
        <v>2010</v>
      </c>
      <c r="E13" s="205">
        <v>43.865405074827699</v>
      </c>
      <c r="F13" s="194" t="s">
        <v>54</v>
      </c>
    </row>
    <row r="14" spans="1:6">
      <c r="A14" s="193" t="s">
        <v>55</v>
      </c>
      <c r="B14" s="208">
        <v>1997</v>
      </c>
      <c r="C14" s="203">
        <v>102.05665035156848</v>
      </c>
      <c r="D14" s="209">
        <v>2007</v>
      </c>
      <c r="E14" s="205">
        <v>89.172275019109577</v>
      </c>
      <c r="F14" s="194" t="s">
        <v>56</v>
      </c>
    </row>
    <row r="15" spans="1:6">
      <c r="A15" s="193" t="s">
        <v>57</v>
      </c>
      <c r="B15" s="208">
        <v>2004</v>
      </c>
      <c r="C15" s="203">
        <v>31.136934053383342</v>
      </c>
      <c r="D15" s="204">
        <v>2010</v>
      </c>
      <c r="E15" s="205">
        <v>16.957689909527236</v>
      </c>
      <c r="F15" s="194" t="s">
        <v>58</v>
      </c>
    </row>
    <row r="16" spans="1:6">
      <c r="A16" s="193" t="s">
        <v>59</v>
      </c>
      <c r="B16" s="208">
        <v>2004</v>
      </c>
      <c r="C16" s="203">
        <v>59.041456336688789</v>
      </c>
      <c r="D16" s="204" t="s">
        <v>17</v>
      </c>
      <c r="E16" s="211" t="s">
        <v>17</v>
      </c>
      <c r="F16" s="194" t="s">
        <v>60</v>
      </c>
    </row>
    <row r="17" spans="1:6">
      <c r="A17" s="193" t="s">
        <v>61</v>
      </c>
      <c r="B17" s="212" t="s">
        <v>17</v>
      </c>
      <c r="C17" s="213" t="s">
        <v>17</v>
      </c>
      <c r="D17" s="209">
        <v>2010</v>
      </c>
      <c r="E17" s="205">
        <v>117.41976159533488</v>
      </c>
      <c r="F17" s="194" t="s">
        <v>62</v>
      </c>
    </row>
    <row r="18" spans="1:6">
      <c r="A18" s="193" t="s">
        <v>63</v>
      </c>
      <c r="B18" s="208">
        <v>2004</v>
      </c>
      <c r="C18" s="203">
        <v>134.45378151260505</v>
      </c>
      <c r="D18" s="204" t="s">
        <v>17</v>
      </c>
      <c r="E18" s="211" t="s">
        <v>17</v>
      </c>
      <c r="F18" s="194" t="s">
        <v>70</v>
      </c>
    </row>
    <row r="19" spans="1:6">
      <c r="A19" s="193" t="s">
        <v>64</v>
      </c>
      <c r="B19" s="208">
        <v>1995</v>
      </c>
      <c r="C19" s="203">
        <v>37.678117019283924</v>
      </c>
      <c r="D19" s="204">
        <v>2005</v>
      </c>
      <c r="E19" s="205">
        <v>25.516763100560247</v>
      </c>
      <c r="F19" s="194" t="s">
        <v>111</v>
      </c>
    </row>
    <row r="20" spans="1:6" ht="15.75" thickBot="1">
      <c r="A20" s="195" t="s">
        <v>65</v>
      </c>
      <c r="B20" s="214">
        <v>2004</v>
      </c>
      <c r="C20" s="215">
        <v>94.068880816211774</v>
      </c>
      <c r="D20" s="216" t="s">
        <v>17</v>
      </c>
      <c r="E20" s="217" t="s">
        <v>17</v>
      </c>
      <c r="F20" s="196" t="s">
        <v>66</v>
      </c>
    </row>
    <row r="23" spans="1:6">
      <c r="A23" s="27"/>
      <c r="B23" s="36"/>
      <c r="C23" s="35"/>
      <c r="D23" s="37"/>
      <c r="E23" s="35"/>
      <c r="F23" s="28"/>
    </row>
  </sheetData>
  <mergeCells count="3">
    <mergeCell ref="A5:A6"/>
    <mergeCell ref="B5:C5"/>
    <mergeCell ref="F5:F6"/>
  </mergeCells>
  <printOptions horizontalCentered="1"/>
  <pageMargins left="0.94488188976377963" right="0.70866141732283472" top="0.74803149606299213" bottom="0.74803149606299213" header="0.31496062992125984" footer="0.31496062992125984"/>
  <pageSetup paperSize="9"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4"/>
  <dimension ref="A2:J23"/>
  <sheetViews>
    <sheetView workbookViewId="0">
      <selection activeCell="H25" sqref="H25"/>
    </sheetView>
  </sheetViews>
  <sheetFormatPr defaultRowHeight="15"/>
  <cols>
    <col min="1" max="1" width="20.28515625" customWidth="1"/>
    <col min="2" max="2" width="8.5703125" bestFit="1" customWidth="1"/>
    <col min="3" max="9" width="11.28515625" customWidth="1"/>
    <col min="10" max="10" width="18.140625" customWidth="1"/>
  </cols>
  <sheetData>
    <row r="2" spans="1:10" ht="15" customHeight="1">
      <c r="A2" s="296" t="s">
        <v>243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15" customHeight="1">
      <c r="A3" s="95" t="s">
        <v>237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15.75" thickBot="1">
      <c r="A4" s="4"/>
      <c r="B4" s="4"/>
      <c r="C4" s="4"/>
      <c r="D4" s="4"/>
      <c r="E4" s="3"/>
      <c r="F4" s="4"/>
      <c r="G4" s="4"/>
      <c r="H4" s="4"/>
      <c r="I4" s="3"/>
      <c r="J4" s="32"/>
    </row>
    <row r="5" spans="1:10" ht="15.75" thickBot="1">
      <c r="A5" s="323" t="s">
        <v>41</v>
      </c>
      <c r="B5" s="325" t="s">
        <v>71</v>
      </c>
      <c r="C5" s="325"/>
      <c r="D5" s="325"/>
      <c r="E5" s="325"/>
      <c r="F5" s="326" t="s">
        <v>72</v>
      </c>
      <c r="G5" s="325"/>
      <c r="H5" s="325"/>
      <c r="I5" s="325"/>
      <c r="J5" s="327" t="s">
        <v>67</v>
      </c>
    </row>
    <row r="6" spans="1:10" ht="39" thickBot="1">
      <c r="A6" s="324"/>
      <c r="B6" s="199" t="s">
        <v>103</v>
      </c>
      <c r="C6" s="192" t="s">
        <v>106</v>
      </c>
      <c r="D6" s="192" t="s">
        <v>107</v>
      </c>
      <c r="E6" s="192" t="s">
        <v>102</v>
      </c>
      <c r="F6" s="200" t="s">
        <v>101</v>
      </c>
      <c r="G6" s="192" t="s">
        <v>106</v>
      </c>
      <c r="H6" s="192" t="s">
        <v>107</v>
      </c>
      <c r="I6" s="192" t="s">
        <v>102</v>
      </c>
      <c r="J6" s="328"/>
    </row>
    <row r="7" spans="1:10">
      <c r="A7" s="201" t="s">
        <v>42</v>
      </c>
      <c r="B7" s="219">
        <v>2001</v>
      </c>
      <c r="C7" s="220">
        <v>1.2740468856631684</v>
      </c>
      <c r="D7" s="220">
        <v>1.2410006701465102</v>
      </c>
      <c r="E7" s="220">
        <v>2.5150475558096783</v>
      </c>
      <c r="F7" s="221">
        <v>2010</v>
      </c>
      <c r="G7" s="203">
        <v>1.0453023762910356</v>
      </c>
      <c r="H7" s="203">
        <v>1.0796462900878119</v>
      </c>
      <c r="I7" s="203">
        <v>2.1249486663788475</v>
      </c>
      <c r="J7" s="206" t="s">
        <v>43</v>
      </c>
    </row>
    <row r="8" spans="1:10">
      <c r="A8" s="207" t="s">
        <v>44</v>
      </c>
      <c r="B8" s="208">
        <v>1996</v>
      </c>
      <c r="C8" s="222">
        <v>1.7924494486984739</v>
      </c>
      <c r="D8" s="222">
        <v>1.601588820943783</v>
      </c>
      <c r="E8" s="222">
        <v>3.3940382696422571</v>
      </c>
      <c r="F8" s="209">
        <v>2006</v>
      </c>
      <c r="G8" s="203">
        <v>1.794689040278056</v>
      </c>
      <c r="H8" s="203">
        <v>1.6037688127012788</v>
      </c>
      <c r="I8" s="203">
        <v>3.3984578529793348</v>
      </c>
      <c r="J8" s="210" t="s">
        <v>45</v>
      </c>
    </row>
    <row r="9" spans="1:10">
      <c r="A9" s="193" t="s">
        <v>46</v>
      </c>
      <c r="B9" s="208">
        <v>1997</v>
      </c>
      <c r="C9" s="218">
        <v>1.5005186370975481</v>
      </c>
      <c r="D9" s="218">
        <v>1.9025599099783166</v>
      </c>
      <c r="E9" s="218">
        <v>3.4030785470758649</v>
      </c>
      <c r="F9" s="204"/>
      <c r="G9" s="211" t="s">
        <v>38</v>
      </c>
      <c r="H9" s="211" t="s">
        <v>38</v>
      </c>
      <c r="I9" s="211" t="s">
        <v>38</v>
      </c>
      <c r="J9" s="194" t="s">
        <v>47</v>
      </c>
    </row>
    <row r="10" spans="1:10">
      <c r="A10" s="193" t="s">
        <v>48</v>
      </c>
      <c r="B10" s="208">
        <v>2004</v>
      </c>
      <c r="C10" s="218">
        <v>1.6331484260544291</v>
      </c>
      <c r="D10" s="218">
        <v>1.5992706380682489</v>
      </c>
      <c r="E10" s="218">
        <v>3.2324190641226784</v>
      </c>
      <c r="F10" s="204"/>
      <c r="G10" s="211" t="s">
        <v>38</v>
      </c>
      <c r="H10" s="211" t="s">
        <v>38</v>
      </c>
      <c r="I10" s="211" t="s">
        <v>38</v>
      </c>
      <c r="J10" s="194" t="s">
        <v>49</v>
      </c>
    </row>
    <row r="11" spans="1:10">
      <c r="A11" s="193" t="s">
        <v>50</v>
      </c>
      <c r="B11" s="208">
        <v>1995</v>
      </c>
      <c r="C11" s="218">
        <v>0.69105149247573894</v>
      </c>
      <c r="D11" s="218">
        <v>0.61990263841022608</v>
      </c>
      <c r="E11" s="218">
        <v>1.3109541308859651</v>
      </c>
      <c r="F11" s="209">
        <v>2011</v>
      </c>
      <c r="G11" s="203">
        <v>0.95461291322145569</v>
      </c>
      <c r="H11" s="203">
        <v>0.88794298481660872</v>
      </c>
      <c r="I11" s="203">
        <v>1.8425558980380647</v>
      </c>
      <c r="J11" s="194" t="s">
        <v>51</v>
      </c>
    </row>
    <row r="12" spans="1:10">
      <c r="A12" s="193" t="s">
        <v>69</v>
      </c>
      <c r="B12" s="208"/>
      <c r="C12" s="203" t="s">
        <v>38</v>
      </c>
      <c r="D12" s="203" t="s">
        <v>38</v>
      </c>
      <c r="E12" s="203" t="s">
        <v>38</v>
      </c>
      <c r="F12" s="223"/>
      <c r="G12" s="224" t="s">
        <v>38</v>
      </c>
      <c r="H12" s="224" t="s">
        <v>38</v>
      </c>
      <c r="I12" s="224" t="s">
        <v>38</v>
      </c>
      <c r="J12" s="194" t="s">
        <v>52</v>
      </c>
    </row>
    <row r="13" spans="1:10">
      <c r="A13" s="193" t="s">
        <v>53</v>
      </c>
      <c r="B13" s="208">
        <v>2003</v>
      </c>
      <c r="C13" s="218">
        <v>1.3743503865106812</v>
      </c>
      <c r="D13" s="218">
        <v>1.211543842636005</v>
      </c>
      <c r="E13" s="218">
        <v>2.5858942291466862</v>
      </c>
      <c r="F13" s="204">
        <v>2010</v>
      </c>
      <c r="G13" s="203">
        <v>1.3776920611261163</v>
      </c>
      <c r="H13" s="203">
        <v>1.2836945944065199</v>
      </c>
      <c r="I13" s="203">
        <v>2.661386655532636</v>
      </c>
      <c r="J13" s="194" t="s">
        <v>54</v>
      </c>
    </row>
    <row r="14" spans="1:10">
      <c r="A14" s="193" t="s">
        <v>55</v>
      </c>
      <c r="B14" s="208">
        <v>1997</v>
      </c>
      <c r="C14" s="218">
        <v>1.5407417315577039</v>
      </c>
      <c r="D14" s="218">
        <v>1.9269937874495178</v>
      </c>
      <c r="E14" s="218">
        <v>3.4677355190072223</v>
      </c>
      <c r="F14" s="209">
        <v>2007</v>
      </c>
      <c r="G14" s="218">
        <v>1.4265800669939142</v>
      </c>
      <c r="H14" s="218">
        <v>1.6458316866494598</v>
      </c>
      <c r="I14" s="218">
        <v>3.0724117536433733</v>
      </c>
      <c r="J14" s="194" t="s">
        <v>56</v>
      </c>
    </row>
    <row r="15" spans="1:10">
      <c r="A15" s="193" t="s">
        <v>57</v>
      </c>
      <c r="B15" s="208">
        <v>2004</v>
      </c>
      <c r="C15" s="218">
        <v>0.76260468341959786</v>
      </c>
      <c r="D15" s="218">
        <v>0.4528049309905931</v>
      </c>
      <c r="E15" s="218">
        <v>1.2154096144101911</v>
      </c>
      <c r="F15" s="204">
        <v>2010</v>
      </c>
      <c r="G15" s="205">
        <v>0.47951230850253174</v>
      </c>
      <c r="H15" s="205">
        <v>0.33352261192690513</v>
      </c>
      <c r="I15" s="205">
        <v>0.81303492042943681</v>
      </c>
      <c r="J15" s="194" t="s">
        <v>58</v>
      </c>
    </row>
    <row r="16" spans="1:10">
      <c r="A16" s="193" t="s">
        <v>59</v>
      </c>
      <c r="B16" s="208">
        <v>2004</v>
      </c>
      <c r="C16" s="218">
        <v>1.4625856249478024</v>
      </c>
      <c r="D16" s="218">
        <v>1.3272092896713161</v>
      </c>
      <c r="E16" s="218">
        <v>2.7897949146191188</v>
      </c>
      <c r="F16" s="204"/>
      <c r="G16" s="211" t="s">
        <v>38</v>
      </c>
      <c r="H16" s="211" t="s">
        <v>38</v>
      </c>
      <c r="I16" s="211" t="s">
        <v>38</v>
      </c>
      <c r="J16" s="194" t="s">
        <v>60</v>
      </c>
    </row>
    <row r="17" spans="1:10">
      <c r="A17" s="193" t="s">
        <v>61</v>
      </c>
      <c r="B17" s="208"/>
      <c r="C17" s="218" t="s">
        <v>38</v>
      </c>
      <c r="D17" s="218" t="s">
        <v>38</v>
      </c>
      <c r="E17" s="218" t="s">
        <v>38</v>
      </c>
      <c r="F17" s="209">
        <v>2008</v>
      </c>
      <c r="G17" s="218">
        <v>1.9109072803655469</v>
      </c>
      <c r="H17" s="218">
        <v>1.4728783340046059</v>
      </c>
      <c r="I17" s="218">
        <v>3.383785614370153</v>
      </c>
      <c r="J17" s="194" t="s">
        <v>62</v>
      </c>
    </row>
    <row r="18" spans="1:10">
      <c r="A18" s="193" t="s">
        <v>63</v>
      </c>
      <c r="B18" s="208">
        <v>2004</v>
      </c>
      <c r="C18" s="218">
        <v>1.7524277263087398</v>
      </c>
      <c r="D18" s="218">
        <v>1.5236075454849871</v>
      </c>
      <c r="E18" s="218">
        <v>3.2760352717937273</v>
      </c>
      <c r="F18" s="204"/>
      <c r="G18" s="211" t="s">
        <v>38</v>
      </c>
      <c r="H18" s="211" t="s">
        <v>38</v>
      </c>
      <c r="I18" s="211" t="s">
        <v>38</v>
      </c>
      <c r="J18" s="194" t="s">
        <v>70</v>
      </c>
    </row>
    <row r="19" spans="1:10">
      <c r="A19" s="193" t="s">
        <v>64</v>
      </c>
      <c r="B19" s="208">
        <v>1995</v>
      </c>
      <c r="C19" s="218">
        <v>0.58008138393332997</v>
      </c>
      <c r="D19" s="218">
        <v>0.47282480886886613</v>
      </c>
      <c r="E19" s="218">
        <v>1.0529061928021963</v>
      </c>
      <c r="F19" s="209">
        <v>2005</v>
      </c>
      <c r="G19" s="203">
        <v>0.48112958237028403</v>
      </c>
      <c r="H19" s="203">
        <v>0.33401916787192182</v>
      </c>
      <c r="I19" s="203">
        <v>0.81561067354008532</v>
      </c>
      <c r="J19" s="194" t="s">
        <v>111</v>
      </c>
    </row>
    <row r="20" spans="1:10" ht="15.75" thickBot="1">
      <c r="A20" s="195" t="s">
        <v>65</v>
      </c>
      <c r="B20" s="214">
        <v>2004</v>
      </c>
      <c r="C20" s="225">
        <v>1.8058018423115767</v>
      </c>
      <c r="D20" s="225">
        <v>1.619920710833912</v>
      </c>
      <c r="E20" s="225">
        <v>3.4257225531454889</v>
      </c>
      <c r="F20" s="216"/>
      <c r="G20" s="217" t="s">
        <v>38</v>
      </c>
      <c r="H20" s="217" t="s">
        <v>38</v>
      </c>
      <c r="I20" s="217" t="s">
        <v>38</v>
      </c>
      <c r="J20" s="196" t="s">
        <v>66</v>
      </c>
    </row>
    <row r="23" spans="1:10">
      <c r="A23" s="34"/>
      <c r="B23" s="36"/>
      <c r="C23" s="35"/>
      <c r="D23" s="35"/>
      <c r="E23" s="37"/>
      <c r="F23" s="35"/>
      <c r="G23" s="37"/>
      <c r="H23" s="35"/>
      <c r="I23" s="37"/>
      <c r="J23" s="34"/>
    </row>
  </sheetData>
  <mergeCells count="4">
    <mergeCell ref="A5:A6"/>
    <mergeCell ref="B5:E5"/>
    <mergeCell ref="F5:I5"/>
    <mergeCell ref="J5:J6"/>
  </mergeCells>
  <printOptions horizontalCentered="1"/>
  <pageMargins left="0" right="0" top="0.74803149606299213" bottom="0.74803149606299213" header="0.31496062992125984" footer="0.31496062992125984"/>
  <pageSetup scale="90" orientation="landscape" r:id="rId1"/>
  <colBreaks count="1" manualBreakCount="1">
    <brk id="1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5"/>
  <dimension ref="A2:J22"/>
  <sheetViews>
    <sheetView workbookViewId="0">
      <selection activeCell="I25" sqref="I25"/>
    </sheetView>
  </sheetViews>
  <sheetFormatPr defaultRowHeight="15"/>
  <cols>
    <col min="1" max="1" width="20" customWidth="1"/>
    <col min="2" max="9" width="11.28515625" customWidth="1"/>
    <col min="10" max="10" width="17.85546875" customWidth="1"/>
  </cols>
  <sheetData>
    <row r="2" spans="1:10" ht="15.75">
      <c r="A2" s="131" t="s">
        <v>244</v>
      </c>
      <c r="B2" s="96"/>
      <c r="C2" s="96"/>
      <c r="D2" s="96"/>
      <c r="E2" s="96"/>
      <c r="F2" s="96"/>
      <c r="G2" s="96"/>
      <c r="H2" s="96"/>
      <c r="I2" s="96"/>
      <c r="J2" s="96"/>
    </row>
    <row r="3" spans="1:10">
      <c r="A3" s="1" t="s">
        <v>238</v>
      </c>
      <c r="B3" s="96"/>
      <c r="C3" s="96"/>
      <c r="D3" s="96"/>
      <c r="E3" s="96"/>
      <c r="F3" s="96"/>
      <c r="G3" s="96"/>
      <c r="H3" s="96"/>
      <c r="I3" s="96"/>
      <c r="J3" s="96"/>
    </row>
    <row r="4" spans="1:10" ht="15.75" thickBot="1">
      <c r="A4" s="4"/>
      <c r="B4" s="4"/>
      <c r="C4" s="4"/>
      <c r="D4" s="4"/>
      <c r="E4" s="3"/>
      <c r="F4" s="4"/>
      <c r="G4" s="4"/>
      <c r="H4" s="4"/>
      <c r="I4" s="3"/>
      <c r="J4" s="32"/>
    </row>
    <row r="5" spans="1:10" ht="15.75" thickBot="1">
      <c r="A5" s="329" t="s">
        <v>41</v>
      </c>
      <c r="B5" s="325" t="s">
        <v>71</v>
      </c>
      <c r="C5" s="325"/>
      <c r="D5" s="325"/>
      <c r="E5" s="325"/>
      <c r="F5" s="326" t="s">
        <v>72</v>
      </c>
      <c r="G5" s="325"/>
      <c r="H5" s="325"/>
      <c r="I5" s="325"/>
      <c r="J5" s="327" t="s">
        <v>67</v>
      </c>
    </row>
    <row r="6" spans="1:10" ht="51.75" thickBot="1">
      <c r="A6" s="330"/>
      <c r="B6" s="199" t="s">
        <v>103</v>
      </c>
      <c r="C6" s="192" t="s">
        <v>113</v>
      </c>
      <c r="D6" s="192" t="s">
        <v>114</v>
      </c>
      <c r="E6" s="192" t="s">
        <v>115</v>
      </c>
      <c r="F6" s="200" t="s">
        <v>103</v>
      </c>
      <c r="G6" s="192" t="s">
        <v>113</v>
      </c>
      <c r="H6" s="192" t="s">
        <v>114</v>
      </c>
      <c r="I6" s="192" t="s">
        <v>115</v>
      </c>
      <c r="J6" s="324"/>
    </row>
    <row r="7" spans="1:10">
      <c r="A7" s="207" t="s">
        <v>42</v>
      </c>
      <c r="B7" s="202">
        <v>2001</v>
      </c>
      <c r="C7" s="226">
        <v>8.9908761704508429</v>
      </c>
      <c r="D7" s="226">
        <v>7.8657678096046135</v>
      </c>
      <c r="E7" s="226">
        <v>16.856643980055456</v>
      </c>
      <c r="F7" s="209">
        <v>2010</v>
      </c>
      <c r="G7" s="227">
        <v>8.3989499186357044</v>
      </c>
      <c r="H7" s="227">
        <v>6.5953274457281106</v>
      </c>
      <c r="I7" s="227">
        <v>14.994277364363814</v>
      </c>
      <c r="J7" s="210" t="s">
        <v>43</v>
      </c>
    </row>
    <row r="8" spans="1:10">
      <c r="A8" s="207" t="s">
        <v>44</v>
      </c>
      <c r="B8" s="228">
        <v>1996</v>
      </c>
      <c r="C8" s="226">
        <v>10.529708589262702</v>
      </c>
      <c r="D8" s="226">
        <v>9.6627692242535925</v>
      </c>
      <c r="E8" s="226">
        <v>20.192477813516295</v>
      </c>
      <c r="F8" s="209">
        <v>2006</v>
      </c>
      <c r="G8" s="229">
        <v>10.542954497448378</v>
      </c>
      <c r="H8" s="229">
        <v>9.6415498544673692</v>
      </c>
      <c r="I8" s="229">
        <v>20.184504351915749</v>
      </c>
      <c r="J8" s="210" t="s">
        <v>45</v>
      </c>
    </row>
    <row r="9" spans="1:10">
      <c r="A9" s="193" t="s">
        <v>46</v>
      </c>
      <c r="B9" s="228">
        <v>1997</v>
      </c>
      <c r="C9" s="226">
        <v>10.490235887800207</v>
      </c>
      <c r="D9" s="226">
        <v>10.320329394884679</v>
      </c>
      <c r="E9" s="226">
        <v>20.810565282684887</v>
      </c>
      <c r="F9" s="230" t="s">
        <v>17</v>
      </c>
      <c r="G9" s="231" t="s">
        <v>38</v>
      </c>
      <c r="H9" s="231" t="s">
        <v>38</v>
      </c>
      <c r="I9" s="231" t="s">
        <v>38</v>
      </c>
      <c r="J9" s="194" t="s">
        <v>47</v>
      </c>
    </row>
    <row r="10" spans="1:10">
      <c r="A10" s="193" t="s">
        <v>48</v>
      </c>
      <c r="B10" s="228">
        <v>2004</v>
      </c>
      <c r="C10" s="226">
        <v>11.115460948550632</v>
      </c>
      <c r="D10" s="226">
        <v>10.438395035385534</v>
      </c>
      <c r="E10" s="226">
        <v>21.553855983936167</v>
      </c>
      <c r="F10" s="230" t="s">
        <v>17</v>
      </c>
      <c r="G10" s="231" t="s">
        <v>38</v>
      </c>
      <c r="H10" s="231" t="s">
        <v>38</v>
      </c>
      <c r="I10" s="231" t="s">
        <v>38</v>
      </c>
      <c r="J10" s="194" t="s">
        <v>49</v>
      </c>
    </row>
    <row r="11" spans="1:10">
      <c r="A11" s="193" t="s">
        <v>50</v>
      </c>
      <c r="B11" s="228">
        <v>1995</v>
      </c>
      <c r="C11" s="226">
        <v>7.9519158145940834</v>
      </c>
      <c r="D11" s="226">
        <v>7.5178506826101028</v>
      </c>
      <c r="E11" s="226">
        <v>15.469766497204187</v>
      </c>
      <c r="F11" s="209">
        <v>2011</v>
      </c>
      <c r="G11" s="229">
        <v>7.462596017417682</v>
      </c>
      <c r="H11" s="203">
        <v>7.0271213529689973</v>
      </c>
      <c r="I11" s="229">
        <v>14.489717370386678</v>
      </c>
      <c r="J11" s="194" t="s">
        <v>51</v>
      </c>
    </row>
    <row r="12" spans="1:10">
      <c r="A12" s="193" t="s">
        <v>69</v>
      </c>
      <c r="B12" s="208" t="s">
        <v>17</v>
      </c>
      <c r="C12" s="227" t="s">
        <v>38</v>
      </c>
      <c r="D12" s="227" t="s">
        <v>38</v>
      </c>
      <c r="E12" s="227" t="s">
        <v>38</v>
      </c>
      <c r="F12" s="223" t="s">
        <v>17</v>
      </c>
      <c r="G12" s="224" t="s">
        <v>38</v>
      </c>
      <c r="H12" s="224" t="s">
        <v>38</v>
      </c>
      <c r="I12" s="224" t="s">
        <v>38</v>
      </c>
      <c r="J12" s="194" t="s">
        <v>52</v>
      </c>
    </row>
    <row r="13" spans="1:10">
      <c r="A13" s="193" t="s">
        <v>53</v>
      </c>
      <c r="B13" s="228">
        <v>2003</v>
      </c>
      <c r="C13" s="226">
        <v>11.42862635449619</v>
      </c>
      <c r="D13" s="226">
        <v>10.765438533160459</v>
      </c>
      <c r="E13" s="226">
        <v>22.194064887656651</v>
      </c>
      <c r="F13" s="209">
        <v>2010</v>
      </c>
      <c r="G13" s="229">
        <v>11.623127487174051</v>
      </c>
      <c r="H13" s="229">
        <v>9.3259043966080153</v>
      </c>
      <c r="I13" s="229">
        <v>20.949031883782066</v>
      </c>
      <c r="J13" s="194" t="s">
        <v>54</v>
      </c>
    </row>
    <row r="14" spans="1:10">
      <c r="A14" s="193" t="s">
        <v>55</v>
      </c>
      <c r="B14" s="228">
        <v>1997</v>
      </c>
      <c r="C14" s="218">
        <v>10.111355441449316</v>
      </c>
      <c r="D14" s="218">
        <v>9.4917147415755032</v>
      </c>
      <c r="E14" s="218">
        <v>19.603070183024819</v>
      </c>
      <c r="F14" s="209">
        <v>2007</v>
      </c>
      <c r="G14" s="218">
        <v>10.283998048509263</v>
      </c>
      <c r="H14" s="218">
        <v>9.8895345040460736</v>
      </c>
      <c r="I14" s="218">
        <v>20.173532552555336</v>
      </c>
      <c r="J14" s="194" t="s">
        <v>56</v>
      </c>
    </row>
    <row r="15" spans="1:10">
      <c r="A15" s="193" t="s">
        <v>57</v>
      </c>
      <c r="B15" s="228">
        <v>2004</v>
      </c>
      <c r="C15" s="226">
        <v>8.3441640043600458</v>
      </c>
      <c r="D15" s="226">
        <v>5.3324534393148655</v>
      </c>
      <c r="E15" s="226">
        <v>13.67661744367491</v>
      </c>
      <c r="F15" s="209">
        <v>2010</v>
      </c>
      <c r="G15" s="232">
        <v>13.009853274764849</v>
      </c>
      <c r="H15" s="229">
        <v>5.6721204400285972</v>
      </c>
      <c r="I15" s="229">
        <v>18.681973714793447</v>
      </c>
      <c r="J15" s="194" t="s">
        <v>58</v>
      </c>
    </row>
    <row r="16" spans="1:10">
      <c r="A16" s="193" t="s">
        <v>59</v>
      </c>
      <c r="B16" s="228">
        <v>2004</v>
      </c>
      <c r="C16" s="226">
        <v>9.5130834981975241</v>
      </c>
      <c r="D16" s="226">
        <v>8.9407733273387517</v>
      </c>
      <c r="E16" s="226">
        <v>18.453856825536278</v>
      </c>
      <c r="F16" s="230" t="s">
        <v>17</v>
      </c>
      <c r="G16" s="231" t="s">
        <v>38</v>
      </c>
      <c r="H16" s="231" t="s">
        <v>38</v>
      </c>
      <c r="I16" s="231" t="s">
        <v>38</v>
      </c>
      <c r="J16" s="194" t="s">
        <v>60</v>
      </c>
    </row>
    <row r="17" spans="1:10">
      <c r="A17" s="193" t="s">
        <v>61</v>
      </c>
      <c r="B17" s="208" t="s">
        <v>17</v>
      </c>
      <c r="C17" s="227" t="s">
        <v>38</v>
      </c>
      <c r="D17" s="227" t="s">
        <v>38</v>
      </c>
      <c r="E17" s="227" t="s">
        <v>38</v>
      </c>
      <c r="F17" s="209">
        <v>2010</v>
      </c>
      <c r="G17" s="229">
        <v>9.938775859422508</v>
      </c>
      <c r="H17" s="229">
        <v>9.7610516699361938</v>
      </c>
      <c r="I17" s="229">
        <v>19.6998275293587</v>
      </c>
      <c r="J17" s="194" t="s">
        <v>62</v>
      </c>
    </row>
    <row r="18" spans="1:10">
      <c r="A18" s="193" t="s">
        <v>63</v>
      </c>
      <c r="B18" s="228">
        <v>2004</v>
      </c>
      <c r="C18" s="226">
        <v>11.307065520705436</v>
      </c>
      <c r="D18" s="226">
        <v>10.821520258957474</v>
      </c>
      <c r="E18" s="226">
        <v>22.12858577966291</v>
      </c>
      <c r="F18" s="230" t="s">
        <v>17</v>
      </c>
      <c r="G18" s="231" t="s">
        <v>38</v>
      </c>
      <c r="H18" s="231" t="s">
        <v>38</v>
      </c>
      <c r="I18" s="231" t="s">
        <v>38</v>
      </c>
      <c r="J18" s="194" t="s">
        <v>70</v>
      </c>
    </row>
    <row r="19" spans="1:10">
      <c r="A19" s="193" t="s">
        <v>64</v>
      </c>
      <c r="B19" s="228">
        <v>1995</v>
      </c>
      <c r="C19" s="226">
        <v>9.2618084885325462</v>
      </c>
      <c r="D19" s="226">
        <v>6.3604476240760741</v>
      </c>
      <c r="E19" s="226">
        <v>15.622256112608621</v>
      </c>
      <c r="F19" s="209">
        <v>2005</v>
      </c>
      <c r="G19" s="229">
        <v>9.5648269234182219</v>
      </c>
      <c r="H19" s="229">
        <v>6.621743410360259</v>
      </c>
      <c r="I19" s="229">
        <v>16.186302904500764</v>
      </c>
      <c r="J19" s="194" t="s">
        <v>111</v>
      </c>
    </row>
    <row r="20" spans="1:10" ht="15.75" thickBot="1">
      <c r="A20" s="195" t="s">
        <v>65</v>
      </c>
      <c r="B20" s="233">
        <v>2004</v>
      </c>
      <c r="C20" s="234">
        <v>11.332962935888611</v>
      </c>
      <c r="D20" s="234">
        <v>10.855379846779002</v>
      </c>
      <c r="E20" s="234">
        <v>22.188342782667615</v>
      </c>
      <c r="F20" s="235" t="s">
        <v>17</v>
      </c>
      <c r="G20" s="236" t="s">
        <v>38</v>
      </c>
      <c r="H20" s="236" t="s">
        <v>38</v>
      </c>
      <c r="I20" s="236" t="s">
        <v>38</v>
      </c>
      <c r="J20" s="196" t="s">
        <v>66</v>
      </c>
    </row>
    <row r="22" spans="1:10">
      <c r="A22" s="34"/>
      <c r="B22" s="36"/>
      <c r="C22" s="35"/>
      <c r="D22" s="35"/>
      <c r="E22" s="37"/>
      <c r="F22" s="35"/>
      <c r="G22" s="37"/>
      <c r="H22" s="35"/>
      <c r="I22" s="59"/>
      <c r="J22" s="34"/>
    </row>
  </sheetData>
  <mergeCells count="4">
    <mergeCell ref="A5:A6"/>
    <mergeCell ref="B5:E5"/>
    <mergeCell ref="F5:I5"/>
    <mergeCell ref="J5:J6"/>
  </mergeCells>
  <printOptions horizontalCentered="1"/>
  <pageMargins left="0" right="0" top="0.74803149606299213" bottom="0.74803149606299213" header="0.31496062992125984" footer="0.31496062992125984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6"/>
  <dimension ref="A2:J22"/>
  <sheetViews>
    <sheetView workbookViewId="0">
      <selection activeCell="F26" sqref="F26"/>
    </sheetView>
  </sheetViews>
  <sheetFormatPr defaultRowHeight="15"/>
  <cols>
    <col min="1" max="1" width="20.85546875" customWidth="1"/>
    <col min="2" max="2" width="10.140625" customWidth="1"/>
    <col min="3" max="5" width="14.28515625" customWidth="1"/>
    <col min="6" max="6" width="10.140625" customWidth="1"/>
    <col min="7" max="9" width="14.28515625" customWidth="1"/>
    <col min="10" max="10" width="17.5703125" customWidth="1"/>
  </cols>
  <sheetData>
    <row r="2" spans="1:10" ht="15.75">
      <c r="A2" s="131" t="s">
        <v>245</v>
      </c>
      <c r="B2" s="96"/>
      <c r="C2" s="96"/>
      <c r="D2" s="96"/>
      <c r="E2" s="96"/>
      <c r="F2" s="96"/>
      <c r="G2" s="96"/>
      <c r="H2" s="96"/>
      <c r="I2" s="96"/>
      <c r="J2" s="96"/>
    </row>
    <row r="3" spans="1:10">
      <c r="A3" s="1" t="s">
        <v>239</v>
      </c>
      <c r="B3" s="96"/>
      <c r="C3" s="96"/>
      <c r="D3" s="96"/>
      <c r="E3" s="96"/>
      <c r="F3" s="96"/>
      <c r="G3" s="96"/>
      <c r="H3" s="96"/>
      <c r="I3" s="96"/>
      <c r="J3" s="96"/>
    </row>
    <row r="4" spans="1:10" ht="15.75" thickBot="1">
      <c r="A4" s="4"/>
      <c r="B4" s="4"/>
      <c r="C4" s="4"/>
      <c r="D4" s="4"/>
      <c r="E4" s="4"/>
      <c r="F4" s="3"/>
      <c r="G4" s="4"/>
      <c r="H4" s="4"/>
      <c r="I4" s="4"/>
      <c r="J4" s="32"/>
    </row>
    <row r="5" spans="1:10" ht="15.75" thickBot="1">
      <c r="A5" s="323" t="s">
        <v>41</v>
      </c>
      <c r="B5" s="325" t="s">
        <v>71</v>
      </c>
      <c r="C5" s="325"/>
      <c r="D5" s="325"/>
      <c r="E5" s="325"/>
      <c r="F5" s="326" t="s">
        <v>72</v>
      </c>
      <c r="G5" s="325"/>
      <c r="H5" s="325"/>
      <c r="I5" s="325"/>
      <c r="J5" s="327" t="s">
        <v>67</v>
      </c>
    </row>
    <row r="6" spans="1:10" ht="39" thickBot="1">
      <c r="A6" s="324"/>
      <c r="B6" s="199" t="s">
        <v>103</v>
      </c>
      <c r="C6" s="192" t="s">
        <v>116</v>
      </c>
      <c r="D6" s="192" t="s">
        <v>117</v>
      </c>
      <c r="E6" s="192" t="s">
        <v>118</v>
      </c>
      <c r="F6" s="200" t="s">
        <v>103</v>
      </c>
      <c r="G6" s="192" t="s">
        <v>116</v>
      </c>
      <c r="H6" s="192" t="s">
        <v>117</v>
      </c>
      <c r="I6" s="192" t="s">
        <v>118</v>
      </c>
      <c r="J6" s="324"/>
    </row>
    <row r="7" spans="1:10">
      <c r="A7" s="207" t="s">
        <v>42</v>
      </c>
      <c r="B7" s="202">
        <v>2001</v>
      </c>
      <c r="C7" s="227">
        <v>14.253831823966653</v>
      </c>
      <c r="D7" s="227">
        <v>13.623187069246423</v>
      </c>
      <c r="E7" s="237">
        <v>27.877018893213073</v>
      </c>
      <c r="F7" s="202">
        <v>2010</v>
      </c>
      <c r="G7" s="227">
        <v>10.262107242110822</v>
      </c>
      <c r="H7" s="227">
        <v>9.793685417849602</v>
      </c>
      <c r="I7" s="227">
        <v>20.055792659960421</v>
      </c>
      <c r="J7" s="210" t="s">
        <v>43</v>
      </c>
    </row>
    <row r="8" spans="1:10">
      <c r="A8" s="207" t="s">
        <v>44</v>
      </c>
      <c r="B8" s="208">
        <v>1996</v>
      </c>
      <c r="C8" s="227">
        <v>19.435055913793072</v>
      </c>
      <c r="D8" s="227">
        <v>18.238857730038351</v>
      </c>
      <c r="E8" s="227">
        <v>37.673913643831426</v>
      </c>
      <c r="F8" s="209">
        <v>2006</v>
      </c>
      <c r="G8" s="227">
        <v>19.446986500983616</v>
      </c>
      <c r="H8" s="227">
        <v>18.237527471247329</v>
      </c>
      <c r="I8" s="227">
        <v>37.684513972230945</v>
      </c>
      <c r="J8" s="210" t="s">
        <v>45</v>
      </c>
    </row>
    <row r="9" spans="1:10">
      <c r="A9" s="193" t="s">
        <v>46</v>
      </c>
      <c r="B9" s="208">
        <v>1997</v>
      </c>
      <c r="C9" s="227">
        <v>22.811228071321356</v>
      </c>
      <c r="D9" s="227">
        <v>22.068761463403924</v>
      </c>
      <c r="E9" s="227">
        <v>44.879989534725276</v>
      </c>
      <c r="F9" s="238" t="s">
        <v>38</v>
      </c>
      <c r="G9" s="227" t="s">
        <v>38</v>
      </c>
      <c r="H9" s="227" t="s">
        <v>38</v>
      </c>
      <c r="I9" s="227"/>
      <c r="J9" s="194" t="s">
        <v>47</v>
      </c>
    </row>
    <row r="10" spans="1:10">
      <c r="A10" s="193" t="s">
        <v>48</v>
      </c>
      <c r="B10" s="208">
        <v>2004</v>
      </c>
      <c r="C10" s="227">
        <v>19.112480330211444</v>
      </c>
      <c r="D10" s="227">
        <v>18.181125271595423</v>
      </c>
      <c r="E10" s="227">
        <v>37.293605601806867</v>
      </c>
      <c r="F10" s="238" t="s">
        <v>38</v>
      </c>
      <c r="G10" s="227" t="s">
        <v>38</v>
      </c>
      <c r="H10" s="227" t="s">
        <v>38</v>
      </c>
      <c r="I10" s="227"/>
      <c r="J10" s="194" t="s">
        <v>109</v>
      </c>
    </row>
    <row r="11" spans="1:10">
      <c r="A11" s="193" t="s">
        <v>50</v>
      </c>
      <c r="B11" s="208">
        <v>1995</v>
      </c>
      <c r="C11" s="227">
        <v>15.320931472419504</v>
      </c>
      <c r="D11" s="227">
        <v>14.604492342453842</v>
      </c>
      <c r="E11" s="227">
        <v>29.925423814873348</v>
      </c>
      <c r="F11" s="209">
        <v>2011</v>
      </c>
      <c r="G11" s="227">
        <v>11.709640067191806</v>
      </c>
      <c r="H11" s="227">
        <v>10.964756918962115</v>
      </c>
      <c r="I11" s="227">
        <v>22.674396986153923</v>
      </c>
      <c r="J11" s="194" t="s">
        <v>51</v>
      </c>
    </row>
    <row r="12" spans="1:10">
      <c r="A12" s="193" t="s">
        <v>69</v>
      </c>
      <c r="B12" s="208" t="s">
        <v>38</v>
      </c>
      <c r="C12" s="227" t="s">
        <v>38</v>
      </c>
      <c r="D12" s="227" t="s">
        <v>38</v>
      </c>
      <c r="E12" s="227" t="s">
        <v>38</v>
      </c>
      <c r="F12" s="223" t="s">
        <v>38</v>
      </c>
      <c r="G12" s="227" t="s">
        <v>38</v>
      </c>
      <c r="H12" s="227" t="s">
        <v>38</v>
      </c>
      <c r="I12" s="227"/>
      <c r="J12" s="194" t="s">
        <v>52</v>
      </c>
    </row>
    <row r="13" spans="1:10">
      <c r="A13" s="193" t="s">
        <v>53</v>
      </c>
      <c r="B13" s="208">
        <v>2003</v>
      </c>
      <c r="C13" s="227">
        <v>17.257664531370484</v>
      </c>
      <c r="D13" s="227">
        <v>16.572390385399956</v>
      </c>
      <c r="E13" s="227">
        <v>33.830054916770443</v>
      </c>
      <c r="F13" s="223" t="s">
        <v>123</v>
      </c>
      <c r="G13" s="227">
        <v>14.218640198826096</v>
      </c>
      <c r="H13" s="227">
        <v>13.610559156928897</v>
      </c>
      <c r="I13" s="227">
        <v>27.829199355754991</v>
      </c>
      <c r="J13" s="194" t="s">
        <v>54</v>
      </c>
    </row>
    <row r="14" spans="1:10">
      <c r="A14" s="193" t="s">
        <v>55</v>
      </c>
      <c r="B14" s="208">
        <v>1997</v>
      </c>
      <c r="C14" s="229">
        <v>24.102566467909639</v>
      </c>
      <c r="D14" s="229">
        <v>22.913252992598213</v>
      </c>
      <c r="E14" s="227">
        <v>47.015819460507849</v>
      </c>
      <c r="F14" s="209">
        <v>2007</v>
      </c>
      <c r="G14" s="227">
        <v>22.089468218774101</v>
      </c>
      <c r="H14" s="227">
        <v>21.284504563926312</v>
      </c>
      <c r="I14" s="227">
        <v>43.37397278270042</v>
      </c>
      <c r="J14" s="194" t="s">
        <v>56</v>
      </c>
    </row>
    <row r="15" spans="1:10">
      <c r="A15" s="193" t="s">
        <v>57</v>
      </c>
      <c r="B15" s="208">
        <v>2004</v>
      </c>
      <c r="C15" s="229">
        <v>11.446596839639316</v>
      </c>
      <c r="D15" s="229">
        <v>11.081826111616618</v>
      </c>
      <c r="E15" s="229">
        <v>22.528422951255934</v>
      </c>
      <c r="F15" s="223">
        <v>2010</v>
      </c>
      <c r="G15" s="227">
        <v>7.0105652761064698</v>
      </c>
      <c r="H15" s="227">
        <v>6.6753950577692001</v>
      </c>
      <c r="I15" s="227">
        <v>13.685960333875672</v>
      </c>
      <c r="J15" s="194" t="s">
        <v>58</v>
      </c>
    </row>
    <row r="16" spans="1:10">
      <c r="A16" s="193" t="s">
        <v>59</v>
      </c>
      <c r="B16" s="208">
        <v>2004</v>
      </c>
      <c r="C16" s="229">
        <v>17.118168050091317</v>
      </c>
      <c r="D16" s="229">
        <v>17.215349218560046</v>
      </c>
      <c r="E16" s="229">
        <v>34.333517268651363</v>
      </c>
      <c r="F16" s="230" t="s">
        <v>38</v>
      </c>
      <c r="G16" s="227" t="s">
        <v>38</v>
      </c>
      <c r="H16" s="227" t="s">
        <v>38</v>
      </c>
      <c r="I16" s="227"/>
      <c r="J16" s="194" t="s">
        <v>60</v>
      </c>
    </row>
    <row r="17" spans="1:10">
      <c r="A17" s="193" t="s">
        <v>61</v>
      </c>
      <c r="B17" s="208" t="s">
        <v>38</v>
      </c>
      <c r="C17" s="229" t="s">
        <v>38</v>
      </c>
      <c r="D17" s="229" t="s">
        <v>38</v>
      </c>
      <c r="E17" s="229" t="s">
        <v>38</v>
      </c>
      <c r="F17" s="209">
        <v>2008</v>
      </c>
      <c r="G17" s="227">
        <v>22.268135787236663</v>
      </c>
      <c r="H17" s="227">
        <v>20.34205783295862</v>
      </c>
      <c r="I17" s="227">
        <v>42.610193620195282</v>
      </c>
      <c r="J17" s="194" t="s">
        <v>62</v>
      </c>
    </row>
    <row r="18" spans="1:10">
      <c r="A18" s="193" t="s">
        <v>63</v>
      </c>
      <c r="B18" s="208">
        <v>2004</v>
      </c>
      <c r="C18" s="229">
        <v>20.214309632771517</v>
      </c>
      <c r="D18" s="227">
        <v>19.014398928451836</v>
      </c>
      <c r="E18" s="229">
        <v>39.22870856122335</v>
      </c>
      <c r="F18" s="230" t="s">
        <v>38</v>
      </c>
      <c r="G18" s="227" t="s">
        <v>38</v>
      </c>
      <c r="H18" s="227" t="s">
        <v>38</v>
      </c>
      <c r="I18" s="227"/>
      <c r="J18" s="194" t="s">
        <v>70</v>
      </c>
    </row>
    <row r="19" spans="1:10">
      <c r="A19" s="193" t="s">
        <v>64</v>
      </c>
      <c r="B19" s="208">
        <v>1995</v>
      </c>
      <c r="C19" s="229">
        <v>13.578906372807431</v>
      </c>
      <c r="D19" s="229">
        <v>12.73313062697814</v>
      </c>
      <c r="E19" s="227">
        <v>26.312036999785569</v>
      </c>
      <c r="F19" s="209">
        <v>2005</v>
      </c>
      <c r="G19" s="227">
        <v>10.121177068085306</v>
      </c>
      <c r="H19" s="227">
        <v>9.3422771408503813</v>
      </c>
      <c r="I19" s="227">
        <v>19.463284026668049</v>
      </c>
      <c r="J19" s="194" t="s">
        <v>111</v>
      </c>
    </row>
    <row r="20" spans="1:10" ht="15.75" thickBot="1">
      <c r="A20" s="195" t="s">
        <v>65</v>
      </c>
      <c r="B20" s="214">
        <v>2004</v>
      </c>
      <c r="C20" s="239">
        <v>23.276152021311891</v>
      </c>
      <c r="D20" s="239">
        <v>21.739857753766913</v>
      </c>
      <c r="E20" s="240">
        <v>45.0160097750788</v>
      </c>
      <c r="F20" s="235" t="s">
        <v>38</v>
      </c>
      <c r="G20" s="240" t="s">
        <v>38</v>
      </c>
      <c r="H20" s="240" t="s">
        <v>38</v>
      </c>
      <c r="I20" s="240"/>
      <c r="J20" s="196" t="s">
        <v>66</v>
      </c>
    </row>
    <row r="22" spans="1:10">
      <c r="A22" s="34"/>
      <c r="B22" s="36"/>
      <c r="C22" s="35"/>
      <c r="D22" s="35"/>
      <c r="E22" s="35"/>
      <c r="F22" s="37"/>
      <c r="G22" s="35"/>
      <c r="H22" s="37"/>
      <c r="I22" s="35"/>
      <c r="J22" s="34"/>
    </row>
  </sheetData>
  <mergeCells count="4">
    <mergeCell ref="A5:A6"/>
    <mergeCell ref="B5:E5"/>
    <mergeCell ref="F5:I5"/>
    <mergeCell ref="J5:J6"/>
  </mergeCells>
  <printOptions horizontalCentered="1"/>
  <pageMargins left="0" right="0" top="0.74803149606299213" bottom="0.74803149606299213" header="0.31496062992125984" footer="0.31496062992125984"/>
  <pageSetup scale="90" orientation="landscape" r:id="rId1"/>
  <colBreaks count="1" manualBreakCount="1">
    <brk id="1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>
  <dimension ref="A2:N45"/>
  <sheetViews>
    <sheetView workbookViewId="0">
      <selection activeCell="K37" sqref="K37"/>
    </sheetView>
  </sheetViews>
  <sheetFormatPr defaultRowHeight="12.75"/>
  <cols>
    <col min="1" max="1" width="20.7109375" style="113" customWidth="1"/>
    <col min="2" max="13" width="8.28515625" style="113" customWidth="1"/>
    <col min="14" max="14" width="17.7109375" style="113" customWidth="1"/>
    <col min="15" max="16384" width="9.140625" style="113"/>
  </cols>
  <sheetData>
    <row r="2" spans="1:14" ht="15" customHeight="1">
      <c r="A2" s="297" t="s">
        <v>246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 ht="15" customHeight="1">
      <c r="A3" s="122" t="s">
        <v>240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</row>
    <row r="4" spans="1:14" ht="20.100000000000001" customHeight="1" thickBot="1">
      <c r="A4" s="127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ht="20.100000000000001" customHeight="1" thickBot="1">
      <c r="A5" s="128" t="s">
        <v>41</v>
      </c>
      <c r="B5" s="129">
        <v>2000</v>
      </c>
      <c r="C5" s="129">
        <v>2001</v>
      </c>
      <c r="D5" s="129">
        <v>2002</v>
      </c>
      <c r="E5" s="129">
        <v>2003</v>
      </c>
      <c r="F5" s="129">
        <v>2004</v>
      </c>
      <c r="G5" s="129">
        <v>2005</v>
      </c>
      <c r="H5" s="129">
        <v>2006</v>
      </c>
      <c r="I5" s="129">
        <v>2007</v>
      </c>
      <c r="J5" s="129">
        <v>2008</v>
      </c>
      <c r="K5" s="129">
        <v>2009</v>
      </c>
      <c r="L5" s="129">
        <v>2010</v>
      </c>
      <c r="M5" s="129">
        <v>2011</v>
      </c>
      <c r="N5" s="128" t="s">
        <v>67</v>
      </c>
    </row>
    <row r="6" spans="1:14" ht="15" customHeight="1">
      <c r="A6" s="119" t="s">
        <v>42</v>
      </c>
      <c r="B6" s="241" t="s">
        <v>17</v>
      </c>
      <c r="C6" s="241" t="s">
        <v>17</v>
      </c>
      <c r="D6" s="241" t="s">
        <v>17</v>
      </c>
      <c r="E6" s="241" t="s">
        <v>17</v>
      </c>
      <c r="F6" s="241" t="s">
        <v>17</v>
      </c>
      <c r="G6" s="241" t="s">
        <v>17</v>
      </c>
      <c r="H6" s="241" t="s">
        <v>17</v>
      </c>
      <c r="I6" s="241" t="s">
        <v>17</v>
      </c>
      <c r="J6" s="241">
        <v>6.18</v>
      </c>
      <c r="K6" s="241">
        <v>6.79</v>
      </c>
      <c r="L6" s="241">
        <v>4.25</v>
      </c>
      <c r="M6" s="241">
        <v>-2.73</v>
      </c>
      <c r="N6" s="118" t="s">
        <v>43</v>
      </c>
    </row>
    <row r="7" spans="1:14" ht="15" customHeight="1">
      <c r="A7" s="119" t="s">
        <v>44</v>
      </c>
      <c r="B7" s="241" t="s">
        <v>17</v>
      </c>
      <c r="C7" s="241" t="s">
        <v>17</v>
      </c>
      <c r="D7" s="241" t="s">
        <v>17</v>
      </c>
      <c r="E7" s="241" t="s">
        <v>17</v>
      </c>
      <c r="F7" s="241" t="s">
        <v>17</v>
      </c>
      <c r="G7" s="241" t="s">
        <v>17</v>
      </c>
      <c r="H7" s="241" t="s">
        <v>17</v>
      </c>
      <c r="I7" s="241">
        <v>2.02</v>
      </c>
      <c r="J7" s="241" t="s">
        <v>17</v>
      </c>
      <c r="K7" s="241" t="s">
        <v>17</v>
      </c>
      <c r="L7" s="241" t="s">
        <v>17</v>
      </c>
      <c r="M7" s="241"/>
      <c r="N7" s="118" t="s">
        <v>45</v>
      </c>
    </row>
    <row r="8" spans="1:14" ht="15" customHeight="1">
      <c r="A8" s="119" t="s">
        <v>46</v>
      </c>
      <c r="B8" s="241" t="s">
        <v>17</v>
      </c>
      <c r="C8" s="241" t="s">
        <v>17</v>
      </c>
      <c r="D8" s="241" t="s">
        <v>17</v>
      </c>
      <c r="E8" s="241" t="s">
        <v>17</v>
      </c>
      <c r="F8" s="241" t="s">
        <v>17</v>
      </c>
      <c r="G8" s="241" t="s">
        <v>17</v>
      </c>
      <c r="H8" s="241" t="s">
        <v>17</v>
      </c>
      <c r="I8" s="241">
        <v>2.9</v>
      </c>
      <c r="J8" s="241">
        <v>2.9</v>
      </c>
      <c r="K8" s="241">
        <v>2.9</v>
      </c>
      <c r="L8" s="241" t="s">
        <v>38</v>
      </c>
      <c r="M8" s="241"/>
      <c r="N8" s="118" t="s">
        <v>47</v>
      </c>
    </row>
    <row r="9" spans="1:14" ht="15" customHeight="1">
      <c r="A9" s="119" t="s">
        <v>48</v>
      </c>
      <c r="B9" s="241">
        <v>2.5</v>
      </c>
      <c r="C9" s="241">
        <v>2.5</v>
      </c>
      <c r="D9" s="241">
        <v>2.4</v>
      </c>
      <c r="E9" s="241">
        <v>2.6</v>
      </c>
      <c r="F9" s="241">
        <v>2.2999999999999998</v>
      </c>
      <c r="G9" s="241">
        <v>2.2999999999999998</v>
      </c>
      <c r="H9" s="241">
        <v>2.2999999999999998</v>
      </c>
      <c r="I9" s="241">
        <v>2.2000000000000002</v>
      </c>
      <c r="J9" s="241">
        <v>2.2000000000000002</v>
      </c>
      <c r="K9" s="241">
        <v>2.2000000000000002</v>
      </c>
      <c r="L9" s="241">
        <v>2.2000000000000002</v>
      </c>
      <c r="M9" s="241">
        <v>2.2000000000000002</v>
      </c>
      <c r="N9" s="118" t="s">
        <v>109</v>
      </c>
    </row>
    <row r="10" spans="1:14" ht="15" customHeight="1">
      <c r="A10" s="119" t="s">
        <v>50</v>
      </c>
      <c r="B10" s="241">
        <v>3.46</v>
      </c>
      <c r="C10" s="241">
        <v>3.47</v>
      </c>
      <c r="D10" s="241">
        <v>3.47</v>
      </c>
      <c r="E10" s="241">
        <v>3.48</v>
      </c>
      <c r="F10" s="241">
        <v>3.48</v>
      </c>
      <c r="G10" s="241">
        <v>3.51</v>
      </c>
      <c r="H10" s="241">
        <v>3.64</v>
      </c>
      <c r="I10" s="241">
        <v>3.49</v>
      </c>
      <c r="J10" s="241">
        <v>3.47</v>
      </c>
      <c r="K10" s="241">
        <v>3.43</v>
      </c>
      <c r="L10" s="241">
        <v>3.42</v>
      </c>
      <c r="M10" s="241"/>
      <c r="N10" s="118" t="s">
        <v>51</v>
      </c>
    </row>
    <row r="11" spans="1:14" ht="15" customHeight="1">
      <c r="A11" s="119" t="s">
        <v>69</v>
      </c>
      <c r="B11" s="241" t="s">
        <v>17</v>
      </c>
      <c r="C11" s="241" t="s">
        <v>17</v>
      </c>
      <c r="D11" s="241" t="s">
        <v>17</v>
      </c>
      <c r="E11" s="241" t="s">
        <v>17</v>
      </c>
      <c r="F11" s="241" t="s">
        <v>17</v>
      </c>
      <c r="G11" s="241" t="s">
        <v>17</v>
      </c>
      <c r="H11" s="241" t="s">
        <v>17</v>
      </c>
      <c r="I11" s="241" t="s">
        <v>17</v>
      </c>
      <c r="J11" s="241" t="s">
        <v>17</v>
      </c>
      <c r="K11" s="241" t="s">
        <v>17</v>
      </c>
      <c r="L11" s="241" t="s">
        <v>17</v>
      </c>
      <c r="M11" s="241"/>
      <c r="N11" s="118" t="s">
        <v>52</v>
      </c>
    </row>
    <row r="12" spans="1:14" ht="15" customHeight="1">
      <c r="A12" s="119" t="s">
        <v>53</v>
      </c>
      <c r="B12" s="241" t="s">
        <v>38</v>
      </c>
      <c r="C12" s="241">
        <v>3.1829592513251441</v>
      </c>
      <c r="D12" s="241">
        <v>2.4238331960413149</v>
      </c>
      <c r="E12" s="241">
        <v>7.8</v>
      </c>
      <c r="F12" s="241">
        <v>3.1938021586498593</v>
      </c>
      <c r="G12" s="241">
        <v>3.8608182893024292</v>
      </c>
      <c r="H12" s="241">
        <v>2.7193875090330693</v>
      </c>
      <c r="I12" s="241">
        <v>6.458401078437376</v>
      </c>
      <c r="J12" s="241">
        <v>4.5171877226855202</v>
      </c>
      <c r="K12" s="241">
        <v>10.688638040780802</v>
      </c>
      <c r="L12" s="241" t="s">
        <v>38</v>
      </c>
      <c r="M12" s="241"/>
      <c r="N12" s="120" t="s">
        <v>54</v>
      </c>
    </row>
    <row r="13" spans="1:14" ht="15" customHeight="1">
      <c r="A13" s="119" t="s">
        <v>124</v>
      </c>
      <c r="B13" s="241" t="s">
        <v>38</v>
      </c>
      <c r="C13" s="241" t="s">
        <v>38</v>
      </c>
      <c r="D13" s="241" t="s">
        <v>38</v>
      </c>
      <c r="E13" s="241" t="s">
        <v>38</v>
      </c>
      <c r="F13" s="241" t="s">
        <v>38</v>
      </c>
      <c r="G13" s="241" t="s">
        <v>38</v>
      </c>
      <c r="H13" s="241" t="s">
        <v>38</v>
      </c>
      <c r="I13" s="241">
        <v>2.86</v>
      </c>
      <c r="J13" s="241">
        <v>2.87</v>
      </c>
      <c r="K13" s="241">
        <v>2.88</v>
      </c>
      <c r="L13" s="241">
        <v>2.9</v>
      </c>
      <c r="M13" s="241" t="s">
        <v>17</v>
      </c>
      <c r="N13" s="118" t="s">
        <v>164</v>
      </c>
    </row>
    <row r="14" spans="1:14" ht="15" customHeight="1">
      <c r="A14" s="119" t="s">
        <v>57</v>
      </c>
      <c r="B14" s="241" t="s">
        <v>38</v>
      </c>
      <c r="C14" s="241" t="s">
        <v>38</v>
      </c>
      <c r="D14" s="241" t="s">
        <v>38</v>
      </c>
      <c r="E14" s="241">
        <v>0.06</v>
      </c>
      <c r="F14" s="241">
        <v>0.12</v>
      </c>
      <c r="G14" s="241">
        <v>0.14000000000000001</v>
      </c>
      <c r="H14" s="241">
        <v>0.15</v>
      </c>
      <c r="I14" s="241">
        <v>0.17</v>
      </c>
      <c r="J14" s="241">
        <v>0.19</v>
      </c>
      <c r="K14" s="241">
        <v>0.13</v>
      </c>
      <c r="L14" s="241">
        <v>4.5999999999999999E-2</v>
      </c>
      <c r="M14" s="241">
        <v>0</v>
      </c>
      <c r="N14" s="118" t="s">
        <v>58</v>
      </c>
    </row>
    <row r="15" spans="1:14" ht="15" customHeight="1">
      <c r="A15" s="119" t="s">
        <v>59</v>
      </c>
      <c r="B15" s="241" t="s">
        <v>38</v>
      </c>
      <c r="C15" s="241" t="s">
        <v>38</v>
      </c>
      <c r="D15" s="241" t="s">
        <v>38</v>
      </c>
      <c r="E15" s="241" t="s">
        <v>38</v>
      </c>
      <c r="F15" s="241">
        <v>2.38</v>
      </c>
      <c r="G15" s="241">
        <v>2.36</v>
      </c>
      <c r="H15" s="241">
        <v>2.3199999999999998</v>
      </c>
      <c r="I15" s="241">
        <v>2.2799999999999998</v>
      </c>
      <c r="J15" s="241">
        <v>2.23</v>
      </c>
      <c r="K15" s="241">
        <v>2.1800000000000002</v>
      </c>
      <c r="L15" s="241">
        <v>2.13</v>
      </c>
      <c r="M15" s="241">
        <v>2.08</v>
      </c>
      <c r="N15" s="118" t="s">
        <v>60</v>
      </c>
    </row>
    <row r="16" spans="1:14" ht="15" customHeight="1">
      <c r="A16" s="119" t="s">
        <v>125</v>
      </c>
      <c r="B16" s="241" t="s">
        <v>17</v>
      </c>
      <c r="C16" s="241" t="s">
        <v>17</v>
      </c>
      <c r="D16" s="241" t="s">
        <v>17</v>
      </c>
      <c r="E16" s="241" t="s">
        <v>17</v>
      </c>
      <c r="F16" s="241" t="s">
        <v>17</v>
      </c>
      <c r="G16" s="241" t="s">
        <v>17</v>
      </c>
      <c r="H16" s="241" t="s">
        <v>17</v>
      </c>
      <c r="I16" s="241" t="s">
        <v>17</v>
      </c>
      <c r="J16" s="241">
        <v>2.827</v>
      </c>
      <c r="K16" s="241" t="s">
        <v>17</v>
      </c>
      <c r="L16" s="241" t="s">
        <v>17</v>
      </c>
      <c r="M16" s="241"/>
      <c r="N16" s="118" t="s">
        <v>165</v>
      </c>
    </row>
    <row r="17" spans="1:14" ht="15" customHeight="1">
      <c r="A17" s="119" t="s">
        <v>63</v>
      </c>
      <c r="B17" s="241">
        <v>2.5</v>
      </c>
      <c r="C17" s="241">
        <v>2.5</v>
      </c>
      <c r="D17" s="241">
        <v>2.4</v>
      </c>
      <c r="E17" s="241">
        <v>2.4</v>
      </c>
      <c r="F17" s="241">
        <v>2.1</v>
      </c>
      <c r="G17" s="241">
        <v>1.9</v>
      </c>
      <c r="H17" s="241">
        <v>2.4</v>
      </c>
      <c r="I17" s="241">
        <v>2.4</v>
      </c>
      <c r="J17" s="241">
        <v>2.4</v>
      </c>
      <c r="K17" s="241">
        <v>2.4</v>
      </c>
      <c r="L17" s="241" t="s">
        <v>17</v>
      </c>
      <c r="M17" s="241"/>
      <c r="N17" s="118" t="s">
        <v>135</v>
      </c>
    </row>
    <row r="18" spans="1:14" ht="15" customHeight="1">
      <c r="A18" s="119" t="s">
        <v>64</v>
      </c>
      <c r="B18" s="241" t="s">
        <v>17</v>
      </c>
      <c r="C18" s="241" t="s">
        <v>17</v>
      </c>
      <c r="D18" s="241" t="s">
        <v>17</v>
      </c>
      <c r="E18" s="241" t="s">
        <v>17</v>
      </c>
      <c r="F18" s="241" t="s">
        <v>17</v>
      </c>
      <c r="G18" s="241" t="s">
        <v>17</v>
      </c>
      <c r="H18" s="241" t="s">
        <v>17</v>
      </c>
      <c r="I18" s="241" t="s">
        <v>17</v>
      </c>
      <c r="J18" s="241">
        <v>2.23</v>
      </c>
      <c r="K18" s="241">
        <v>2.1800000000000002</v>
      </c>
      <c r="L18" s="241" t="s">
        <v>17</v>
      </c>
      <c r="M18" s="241" t="s">
        <v>17</v>
      </c>
      <c r="N18" s="118" t="s">
        <v>111</v>
      </c>
    </row>
    <row r="19" spans="1:14" ht="15" customHeight="1" thickBot="1">
      <c r="A19" s="123" t="s">
        <v>65</v>
      </c>
      <c r="B19" s="242" t="s">
        <v>17</v>
      </c>
      <c r="C19" s="242" t="s">
        <v>17</v>
      </c>
      <c r="D19" s="242" t="s">
        <v>17</v>
      </c>
      <c r="E19" s="242" t="s">
        <v>17</v>
      </c>
      <c r="F19" s="242">
        <v>3</v>
      </c>
      <c r="G19" s="242" t="s">
        <v>17</v>
      </c>
      <c r="H19" s="242" t="s">
        <v>17</v>
      </c>
      <c r="I19" s="242" t="s">
        <v>17</v>
      </c>
      <c r="J19" s="242" t="s">
        <v>17</v>
      </c>
      <c r="K19" s="242" t="s">
        <v>17</v>
      </c>
      <c r="L19" s="242"/>
      <c r="M19" s="242"/>
      <c r="N19" s="117" t="s">
        <v>66</v>
      </c>
    </row>
    <row r="20" spans="1:14">
      <c r="A20" s="124" t="s">
        <v>126</v>
      </c>
      <c r="N20" s="125" t="s">
        <v>162</v>
      </c>
    </row>
    <row r="21" spans="1:14">
      <c r="A21" s="124" t="s">
        <v>127</v>
      </c>
      <c r="N21" s="125" t="s">
        <v>163</v>
      </c>
    </row>
    <row r="26" spans="1:14" s="116" customFormat="1"/>
    <row r="27" spans="1:14" s="116" customFormat="1"/>
    <row r="28" spans="1:14" s="116" customFormat="1"/>
    <row r="29" spans="1:14" s="116" customFormat="1"/>
    <row r="30" spans="1:14" s="116" customFormat="1"/>
    <row r="31" spans="1:14" s="116" customFormat="1"/>
    <row r="32" spans="1:14" s="116" customFormat="1"/>
    <row r="33" spans="1:11" s="116" customFormat="1"/>
    <row r="34" spans="1:11" s="116" customFormat="1"/>
    <row r="35" spans="1:11" s="116" customFormat="1"/>
    <row r="36" spans="1:11" s="116" customFormat="1"/>
    <row r="37" spans="1:11" s="116" customFormat="1"/>
    <row r="38" spans="1:11" s="116" customFormat="1"/>
    <row r="39" spans="1:11" s="116" customFormat="1"/>
    <row r="40" spans="1:11" s="116" customFormat="1"/>
    <row r="41" spans="1:11" s="116" customFormat="1"/>
    <row r="42" spans="1:11">
      <c r="B42" s="114"/>
      <c r="C42" s="114"/>
      <c r="D42" s="114"/>
      <c r="E42" s="114"/>
      <c r="F42" s="114"/>
      <c r="G42" s="114"/>
      <c r="H42" s="114"/>
      <c r="I42" s="114"/>
      <c r="J42" s="114"/>
      <c r="K42" s="114"/>
    </row>
    <row r="43" spans="1:11">
      <c r="A43" s="115"/>
      <c r="B43" s="115"/>
    </row>
    <row r="44" spans="1:11">
      <c r="A44" s="114"/>
    </row>
    <row r="45" spans="1:11">
      <c r="A45" s="114"/>
    </row>
  </sheetData>
  <printOptions horizontalCentered="1"/>
  <pageMargins left="0.6" right="0.57999999999999996" top="0.98425196850393704" bottom="0.98425196850393704" header="0.51181102362204722" footer="0.51181102362204722"/>
  <pageSetup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</vt:i4>
      </vt:variant>
    </vt:vector>
  </HeadingPairs>
  <TitlesOfParts>
    <vt:vector size="41" baseType="lpstr">
      <vt:lpstr>List of tables</vt:lpstr>
      <vt:lpstr>pop pyramids</vt:lpstr>
      <vt:lpstr>T1</vt:lpstr>
      <vt:lpstr>T2</vt:lpstr>
      <vt:lpstr>Population growth_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  <vt:lpstr>T23</vt:lpstr>
      <vt:lpstr>T24</vt:lpstr>
      <vt:lpstr>T25</vt:lpstr>
      <vt:lpstr>T26</vt:lpstr>
      <vt:lpstr>T27</vt:lpstr>
      <vt:lpstr>T28</vt:lpstr>
      <vt:lpstr>T29</vt:lpstr>
      <vt:lpstr>T30</vt:lpstr>
      <vt:lpstr>T31</vt:lpstr>
      <vt:lpstr>T32</vt:lpstr>
      <vt:lpstr>T33</vt:lpstr>
      <vt:lpstr>T34</vt:lpstr>
      <vt:lpstr>T35</vt:lpstr>
      <vt:lpstr>T36</vt:lpstr>
      <vt:lpstr>'Population growth_'!Print_Area</vt:lpstr>
      <vt:lpstr>'T2'!Print_Area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Raffi Shirinian</cp:lastModifiedBy>
  <cp:lastPrinted>2011-11-30T13:20:15Z</cp:lastPrinted>
  <dcterms:created xsi:type="dcterms:W3CDTF">2010-10-25T09:43:26Z</dcterms:created>
  <dcterms:modified xsi:type="dcterms:W3CDTF">2013-02-06T11:03:16Z</dcterms:modified>
</cp:coreProperties>
</file>