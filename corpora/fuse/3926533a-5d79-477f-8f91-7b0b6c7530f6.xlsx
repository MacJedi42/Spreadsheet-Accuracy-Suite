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8735" windowHeight="11955" activeTab="2"/>
  </bookViews>
  <sheets>
    <sheet name="2007" sheetId="1" r:id="rId1"/>
    <sheet name="2008" sheetId="2" r:id="rId2"/>
    <sheet name="2009" sheetId="3" r:id="rId3"/>
  </sheets>
  <definedNames>
    <definedName name="_Regression_Int" localSheetId="0" hidden="1">1</definedName>
    <definedName name="_Regression_Int" localSheetId="1" hidden="1">1</definedName>
    <definedName name="_Regression_Int" localSheetId="2" hidden="1">1</definedName>
    <definedName name="A_impresión_IM" localSheetId="0">'2007'!$A$9:$K$302</definedName>
    <definedName name="A_impresión_IM" localSheetId="1">'2008'!$A$9:$K$302</definedName>
    <definedName name="A_impresión_IM" localSheetId="2">'2009'!$A$9:$K$302</definedName>
    <definedName name="_xlnm.Print_Area" localSheetId="0">'2007'!$A$2:$L$302</definedName>
    <definedName name="_xlnm.Print_Area" localSheetId="1">'2008'!$A$2:$L$302</definedName>
    <definedName name="_xlnm.Print_Area" localSheetId="2">'2009'!$A$2:$L$302</definedName>
    <definedName name="_xlnm.Print_Titles" localSheetId="0">'2007'!$2:$9</definedName>
    <definedName name="_xlnm.Print_Titles" localSheetId="1">'2008'!$2:$9</definedName>
    <definedName name="_xlnm.Print_Titles" localSheetId="2">'2009'!$2:$9</definedName>
    <definedName name="Títulos_a_imprimir_IM" localSheetId="0">'2007'!$2:$8</definedName>
    <definedName name="Títulos_a_imprimir_IM" localSheetId="1">'2008'!$2:$8</definedName>
    <definedName name="Títulos_a_imprimir_IM" localSheetId="2">'2009'!$2:$8</definedName>
  </definedNames>
  <calcPr calcId="124519"/>
</workbook>
</file>

<file path=xl/calcChain.xml><?xml version="1.0" encoding="utf-8"?>
<calcChain xmlns="http://schemas.openxmlformats.org/spreadsheetml/2006/main">
  <c r="C12" i="3"/>
  <c r="C10" s="1"/>
  <c r="D12"/>
  <c r="E12"/>
  <c r="E10" s="1"/>
  <c r="F12"/>
  <c r="G12"/>
  <c r="G10" s="1"/>
  <c r="H12"/>
  <c r="I12"/>
  <c r="I10" s="1"/>
  <c r="J12"/>
  <c r="K12"/>
  <c r="K10" s="1"/>
  <c r="C26"/>
  <c r="D26"/>
  <c r="D10" s="1"/>
  <c r="E26"/>
  <c r="F26"/>
  <c r="F10" s="1"/>
  <c r="G26"/>
  <c r="H26"/>
  <c r="H10" s="1"/>
  <c r="I26"/>
  <c r="J26"/>
  <c r="J10" s="1"/>
  <c r="K26"/>
  <c r="C41"/>
  <c r="D41"/>
  <c r="E41"/>
  <c r="F41"/>
  <c r="G41"/>
  <c r="H41"/>
  <c r="I41"/>
  <c r="J41"/>
  <c r="K41"/>
  <c r="C59"/>
  <c r="D59"/>
  <c r="E59"/>
  <c r="F59"/>
  <c r="G59"/>
  <c r="H59"/>
  <c r="I59"/>
  <c r="J59"/>
  <c r="K59"/>
  <c r="C94"/>
  <c r="D94"/>
  <c r="E94"/>
  <c r="F94"/>
  <c r="G94"/>
  <c r="H94"/>
  <c r="I94"/>
  <c r="J94"/>
  <c r="K94"/>
  <c r="C118"/>
  <c r="D118"/>
  <c r="E118"/>
  <c r="F118"/>
  <c r="G118"/>
  <c r="H118"/>
  <c r="I118"/>
  <c r="J118"/>
  <c r="K118"/>
  <c r="C139"/>
  <c r="D139"/>
  <c r="E139"/>
  <c r="F139"/>
  <c r="G139"/>
  <c r="H139"/>
  <c r="I139"/>
  <c r="J139"/>
  <c r="K139"/>
  <c r="C157"/>
  <c r="D157"/>
  <c r="E157"/>
  <c r="F157"/>
  <c r="G157"/>
  <c r="H157"/>
  <c r="I157"/>
  <c r="J157"/>
  <c r="K157"/>
  <c r="C181"/>
  <c r="D181"/>
  <c r="E181"/>
  <c r="F181"/>
  <c r="G181"/>
  <c r="H181"/>
  <c r="I181"/>
  <c r="J181"/>
  <c r="K181"/>
  <c r="C192"/>
  <c r="D192"/>
  <c r="E192"/>
  <c r="F192"/>
  <c r="G192"/>
  <c r="H192"/>
  <c r="I192"/>
  <c r="J192"/>
  <c r="K192"/>
  <c r="C207"/>
  <c r="D207"/>
  <c r="E207"/>
  <c r="F207"/>
  <c r="G207"/>
  <c r="H207"/>
  <c r="I207"/>
  <c r="J207"/>
  <c r="K207"/>
  <c r="C232"/>
  <c r="D232"/>
  <c r="E232"/>
  <c r="F232"/>
  <c r="G232"/>
  <c r="H232"/>
  <c r="I232"/>
  <c r="J232"/>
  <c r="K232"/>
  <c r="C254"/>
  <c r="D254"/>
  <c r="E254"/>
  <c r="F254"/>
  <c r="G254"/>
  <c r="H254"/>
  <c r="I254"/>
  <c r="J254"/>
  <c r="K254"/>
  <c r="C282"/>
  <c r="D282"/>
  <c r="E282"/>
  <c r="F282"/>
  <c r="G282"/>
  <c r="H282"/>
  <c r="I282"/>
  <c r="J282"/>
  <c r="K282"/>
  <c r="C12" i="2"/>
  <c r="C10" s="1"/>
  <c r="D12"/>
  <c r="D10" s="1"/>
  <c r="E12"/>
  <c r="E10" s="1"/>
  <c r="F12"/>
  <c r="F10" s="1"/>
  <c r="G12"/>
  <c r="G10" s="1"/>
  <c r="H12"/>
  <c r="H10" s="1"/>
  <c r="I12"/>
  <c r="I10" s="1"/>
  <c r="J12"/>
  <c r="J10" s="1"/>
  <c r="K12"/>
  <c r="K10" s="1"/>
  <c r="C26"/>
  <c r="D26"/>
  <c r="E26"/>
  <c r="F26"/>
  <c r="G26"/>
  <c r="H26"/>
  <c r="I26"/>
  <c r="J26"/>
  <c r="K26"/>
  <c r="C41"/>
  <c r="D41"/>
  <c r="E41"/>
  <c r="F41"/>
  <c r="G41"/>
  <c r="H41"/>
  <c r="I41"/>
  <c r="J41"/>
  <c r="K41"/>
  <c r="C59"/>
  <c r="D59"/>
  <c r="E59"/>
  <c r="F59"/>
  <c r="G59"/>
  <c r="H59"/>
  <c r="I59"/>
  <c r="J59"/>
  <c r="K59"/>
  <c r="C94"/>
  <c r="D94"/>
  <c r="E94"/>
  <c r="F94"/>
  <c r="G94"/>
  <c r="H94"/>
  <c r="I94"/>
  <c r="J94"/>
  <c r="K94"/>
  <c r="C118"/>
  <c r="D118"/>
  <c r="E118"/>
  <c r="F118"/>
  <c r="G118"/>
  <c r="H118"/>
  <c r="I118"/>
  <c r="J118"/>
  <c r="K118"/>
  <c r="C139"/>
  <c r="D139"/>
  <c r="E139"/>
  <c r="F139"/>
  <c r="G139"/>
  <c r="H139"/>
  <c r="I139"/>
  <c r="J139"/>
  <c r="K139"/>
  <c r="C157"/>
  <c r="D157"/>
  <c r="E157"/>
  <c r="F157"/>
  <c r="G157"/>
  <c r="H157"/>
  <c r="I157"/>
  <c r="J157"/>
  <c r="K157"/>
  <c r="C181"/>
  <c r="D181"/>
  <c r="E181"/>
  <c r="F181"/>
  <c r="G181"/>
  <c r="H181"/>
  <c r="I181"/>
  <c r="J181"/>
  <c r="K181"/>
  <c r="C192"/>
  <c r="D192"/>
  <c r="E192"/>
  <c r="F192"/>
  <c r="G192"/>
  <c r="H192"/>
  <c r="I192"/>
  <c r="J192"/>
  <c r="K192"/>
  <c r="C207"/>
  <c r="D207"/>
  <c r="E207"/>
  <c r="F207"/>
  <c r="G207"/>
  <c r="H207"/>
  <c r="I207"/>
  <c r="J207"/>
  <c r="K207"/>
  <c r="C232"/>
  <c r="D232"/>
  <c r="E232"/>
  <c r="F232"/>
  <c r="G232"/>
  <c r="H232"/>
  <c r="I232"/>
  <c r="J232"/>
  <c r="K232"/>
  <c r="C254"/>
  <c r="D254"/>
  <c r="E254"/>
  <c r="F254"/>
  <c r="G254"/>
  <c r="H254"/>
  <c r="I254"/>
  <c r="J254"/>
  <c r="K254"/>
  <c r="C282"/>
  <c r="D282"/>
  <c r="E282"/>
  <c r="F282"/>
  <c r="G282"/>
  <c r="H282"/>
  <c r="I282"/>
  <c r="J282"/>
  <c r="K282"/>
  <c r="K282" i="1" l="1"/>
  <c r="J282"/>
  <c r="I282"/>
  <c r="H282"/>
  <c r="G282"/>
  <c r="F282"/>
  <c r="E282"/>
  <c r="D282"/>
  <c r="C282"/>
  <c r="K254"/>
  <c r="J254"/>
  <c r="I254"/>
  <c r="H254"/>
  <c r="G254"/>
  <c r="F254"/>
  <c r="E254"/>
  <c r="D254"/>
  <c r="C254"/>
  <c r="K232"/>
  <c r="J232"/>
  <c r="I232"/>
  <c r="H232"/>
  <c r="G232"/>
  <c r="F232"/>
  <c r="E232"/>
  <c r="D232"/>
  <c r="C232"/>
  <c r="K207"/>
  <c r="J207"/>
  <c r="I207"/>
  <c r="H207"/>
  <c r="G207"/>
  <c r="F207"/>
  <c r="E207"/>
  <c r="D207"/>
  <c r="C207"/>
  <c r="K192"/>
  <c r="J192"/>
  <c r="I192"/>
  <c r="H192"/>
  <c r="G192"/>
  <c r="F192"/>
  <c r="E192"/>
  <c r="D192"/>
  <c r="C192"/>
  <c r="K181"/>
  <c r="J181"/>
  <c r="I181"/>
  <c r="H181"/>
  <c r="G181"/>
  <c r="F181"/>
  <c r="E181"/>
  <c r="D181"/>
  <c r="C181"/>
  <c r="K157"/>
  <c r="J157"/>
  <c r="I157"/>
  <c r="H157"/>
  <c r="G157"/>
  <c r="F157"/>
  <c r="E157"/>
  <c r="D157"/>
  <c r="C157"/>
  <c r="K139"/>
  <c r="J139"/>
  <c r="I139"/>
  <c r="H139"/>
  <c r="G139"/>
  <c r="F139"/>
  <c r="E139"/>
  <c r="D139"/>
  <c r="C139"/>
  <c r="K118"/>
  <c r="J118"/>
  <c r="I118"/>
  <c r="H118"/>
  <c r="G118"/>
  <c r="F118"/>
  <c r="E118"/>
  <c r="D118"/>
  <c r="C118"/>
  <c r="K94"/>
  <c r="J94"/>
  <c r="I94"/>
  <c r="H94"/>
  <c r="G94"/>
  <c r="F94"/>
  <c r="E94"/>
  <c r="D94"/>
  <c r="C94"/>
  <c r="K59"/>
  <c r="J59"/>
  <c r="I59"/>
  <c r="H59"/>
  <c r="G59"/>
  <c r="F59"/>
  <c r="E59"/>
  <c r="D59"/>
  <c r="C59"/>
  <c r="K41"/>
  <c r="J41"/>
  <c r="I41"/>
  <c r="H41"/>
  <c r="G41"/>
  <c r="F41"/>
  <c r="E41"/>
  <c r="D41"/>
  <c r="C41"/>
  <c r="K26"/>
  <c r="J26"/>
  <c r="I26"/>
  <c r="H26"/>
  <c r="G26"/>
  <c r="F26"/>
  <c r="E26"/>
  <c r="D26"/>
  <c r="C26"/>
  <c r="K12"/>
  <c r="K10" s="1"/>
  <c r="J12"/>
  <c r="I12"/>
  <c r="I10" s="1"/>
  <c r="H12"/>
  <c r="G12"/>
  <c r="G10" s="1"/>
  <c r="F12"/>
  <c r="E12"/>
  <c r="E10" s="1"/>
  <c r="D12"/>
  <c r="C12"/>
  <c r="C10" s="1"/>
  <c r="J10"/>
  <c r="H10"/>
  <c r="F10"/>
  <c r="D10"/>
</calcChain>
</file>

<file path=xl/sharedStrings.xml><?xml version="1.0" encoding="utf-8"?>
<sst xmlns="http://schemas.openxmlformats.org/spreadsheetml/2006/main" count="900" uniqueCount="295">
  <si>
    <t>NACIDOS VIVOS, POR ÁREA Y SEXO,</t>
  </si>
  <si>
    <t>SEGÚN DEPARTAMENTO  Y MUNICIPIO DE RESIDENCIA</t>
  </si>
  <si>
    <t>2 0 0 7</t>
  </si>
  <si>
    <t>DEPARTAMENTO 
Y
MUNICIPIO*</t>
  </si>
  <si>
    <t>N      A      C     I     D     O     S             V     I     V      O     S **</t>
  </si>
  <si>
    <t>T  O  T  A  L</t>
  </si>
  <si>
    <t>A      R      E      A</t>
  </si>
  <si>
    <t>U  R   B  A  N  A</t>
  </si>
  <si>
    <t>R  U  R  A  L</t>
  </si>
  <si>
    <t>TOTAL</t>
  </si>
  <si>
    <t>HOMBRES</t>
  </si>
  <si>
    <t>MUJERES</t>
  </si>
  <si>
    <t xml:space="preserve"> </t>
  </si>
  <si>
    <t>01 - A H U A C H A P A N</t>
  </si>
  <si>
    <t xml:space="preserve"> 01- Ahuachapán</t>
  </si>
  <si>
    <t xml:space="preserve"> 02- Apaneca</t>
  </si>
  <si>
    <t xml:space="preserve"> 03- Atiquizaya</t>
  </si>
  <si>
    <t xml:space="preserve"> 04- Concepción de Ataco</t>
  </si>
  <si>
    <t xml:space="preserve"> 05- El Refugio</t>
  </si>
  <si>
    <t xml:space="preserve"> 06- Guaymango</t>
  </si>
  <si>
    <t xml:space="preserve"> 07- Jujutla</t>
  </si>
  <si>
    <t xml:space="preserve"> 08- San Francisco Menéndez</t>
  </si>
  <si>
    <t xml:space="preserve"> 09- San Lorenzo</t>
  </si>
  <si>
    <t xml:space="preserve"> 10- San Pedro Puxtla</t>
  </si>
  <si>
    <t xml:space="preserve"> 11- Tacuba</t>
  </si>
  <si>
    <t xml:space="preserve"> 12- Turín</t>
  </si>
  <si>
    <t>02 - S A N T A     A N A</t>
  </si>
  <si>
    <t xml:space="preserve"> 01- Santa Ana</t>
  </si>
  <si>
    <t xml:space="preserve"> 02- Candelaria de la Frontera</t>
  </si>
  <si>
    <t xml:space="preserve"> 03- Coatepeque</t>
  </si>
  <si>
    <t xml:space="preserve"> 04- Chalchuapa</t>
  </si>
  <si>
    <t xml:space="preserve"> 05- El Congo</t>
  </si>
  <si>
    <t xml:space="preserve"> 06- El Porvenir</t>
  </si>
  <si>
    <t xml:space="preserve"> 07- Masahuat</t>
  </si>
  <si>
    <t xml:space="preserve"> 08- Metapán</t>
  </si>
  <si>
    <t xml:space="preserve"> 09- San Antonio Pajonal</t>
  </si>
  <si>
    <t xml:space="preserve"> 10- San Sebastián Salitrillo</t>
  </si>
  <si>
    <t xml:space="preserve"> 11- Santa Rosa Guachipilín</t>
  </si>
  <si>
    <t xml:space="preserve"> 12- Santiago de la Frontera</t>
  </si>
  <si>
    <t xml:space="preserve"> 13- Texistepeque</t>
  </si>
  <si>
    <t>03 - S O N S O N A T E</t>
  </si>
  <si>
    <t xml:space="preserve"> 01- Sonsonate</t>
  </si>
  <si>
    <t xml:space="preserve"> 02- Acajutla</t>
  </si>
  <si>
    <t xml:space="preserve"> 03- Armenia</t>
  </si>
  <si>
    <t xml:space="preserve"> 04- Caluco</t>
  </si>
  <si>
    <t xml:space="preserve"> 05- Cuisnahuat</t>
  </si>
  <si>
    <t xml:space="preserve"> 06- Izalco</t>
  </si>
  <si>
    <t xml:space="preserve"> 07- Juayúa</t>
  </si>
  <si>
    <t xml:space="preserve"> 08- Nahuizalco</t>
  </si>
  <si>
    <t xml:space="preserve"> 09- Nahulingo</t>
  </si>
  <si>
    <t xml:space="preserve"> 10- Salcoatitán</t>
  </si>
  <si>
    <t xml:space="preserve"> 11- San Antonio del Monte</t>
  </si>
  <si>
    <t xml:space="preserve"> 12- San Julián</t>
  </si>
  <si>
    <t xml:space="preserve"> 13- Santa Catarina Masahuat</t>
  </si>
  <si>
    <t xml:space="preserve"> 14- Santa Isabel Ishuatán</t>
  </si>
  <si>
    <t xml:space="preserve"> 15- Santo Domingo de Guzmán</t>
  </si>
  <si>
    <t xml:space="preserve"> 16- Sonzacate</t>
  </si>
  <si>
    <t>04 - CHALATENANGO</t>
  </si>
  <si>
    <t xml:space="preserve"> 01- Chalatenango</t>
  </si>
  <si>
    <t xml:space="preserve"> 02- Agua Caliente</t>
  </si>
  <si>
    <t xml:space="preserve"> 03- Arcatao</t>
  </si>
  <si>
    <t xml:space="preserve"> 04- Azacualpa</t>
  </si>
  <si>
    <t xml:space="preserve"> 05- Cancasque</t>
  </si>
  <si>
    <t xml:space="preserve"> 06- Citalá</t>
  </si>
  <si>
    <t xml:space="preserve"> 07- Comalapa</t>
  </si>
  <si>
    <t xml:space="preserve"> 08- Concepción Quezaltepeque</t>
  </si>
  <si>
    <t xml:space="preserve"> 09- Dulce Nombre de María</t>
  </si>
  <si>
    <t xml:space="preserve"> 10- El Carrizal</t>
  </si>
  <si>
    <t xml:space="preserve"> 11- El Paraíso</t>
  </si>
  <si>
    <t xml:space="preserve"> 12- La Laguna</t>
  </si>
  <si>
    <t xml:space="preserve"> 13- La Palma</t>
  </si>
  <si>
    <t xml:space="preserve"> 14- La Reina</t>
  </si>
  <si>
    <t xml:space="preserve"> 15- Las Flores</t>
  </si>
  <si>
    <t xml:space="preserve"> 16- Las Vueltas</t>
  </si>
  <si>
    <t xml:space="preserve"> 17- Nombre de Jesús</t>
  </si>
  <si>
    <t xml:space="preserve"> 18- Nueva Concepción</t>
  </si>
  <si>
    <t xml:space="preserve"> 19- Nueva Trinidad</t>
  </si>
  <si>
    <t xml:space="preserve"> 20- Ojos de Agua</t>
  </si>
  <si>
    <t xml:space="preserve"> 21- Potonico</t>
  </si>
  <si>
    <t xml:space="preserve"> 22- San Antonio de la Cruz</t>
  </si>
  <si>
    <t xml:space="preserve"> 23- San Antonio los Ranchos</t>
  </si>
  <si>
    <t xml:space="preserve"> 24- San Fernando</t>
  </si>
  <si>
    <t xml:space="preserve"> 25- San Francisco Lempa</t>
  </si>
  <si>
    <t xml:space="preserve"> 26- San Francisco Morazán</t>
  </si>
  <si>
    <t xml:space="preserve"> 27- San Ignacio</t>
  </si>
  <si>
    <t xml:space="preserve"> 28- San Isidro Labrador</t>
  </si>
  <si>
    <t xml:space="preserve"> 29- San Luis del Carmen</t>
  </si>
  <si>
    <t xml:space="preserve"> 30- San Miguel de Mercedes</t>
  </si>
  <si>
    <t xml:space="preserve"> 31- San Rafael</t>
  </si>
  <si>
    <t xml:space="preserve"> 32- Santa Rita</t>
  </si>
  <si>
    <t xml:space="preserve"> 33- Tejutla</t>
  </si>
  <si>
    <t>05 - L A     L I B E R T A D</t>
  </si>
  <si>
    <t xml:space="preserve"> 01- Santa Tecla</t>
  </si>
  <si>
    <t xml:space="preserve"> 02- Antiguo Cuscatlán</t>
  </si>
  <si>
    <t xml:space="preserve"> 03- Ciudad Arce</t>
  </si>
  <si>
    <t xml:space="preserve"> 04- Colón</t>
  </si>
  <si>
    <t xml:space="preserve"> 05- Comasagua</t>
  </si>
  <si>
    <t xml:space="preserve"> 06- Chiltiupán</t>
  </si>
  <si>
    <t xml:space="preserve"> 07- Huizúcar</t>
  </si>
  <si>
    <t xml:space="preserve"> 08- Jayaque</t>
  </si>
  <si>
    <t xml:space="preserve"> 09- Jicalapa</t>
  </si>
  <si>
    <t xml:space="preserve"> 10- La Libertad</t>
  </si>
  <si>
    <t xml:space="preserve"> 11- Nuevo Cuscatlán</t>
  </si>
  <si>
    <t xml:space="preserve"> 12- San Juan Opico</t>
  </si>
  <si>
    <t xml:space="preserve"> 13- Quezaltepeque</t>
  </si>
  <si>
    <t xml:space="preserve"> 14- Sacacoyo</t>
  </si>
  <si>
    <t xml:space="preserve"> 15- San José Villanueva</t>
  </si>
  <si>
    <t xml:space="preserve"> 16- San Matías</t>
  </si>
  <si>
    <t xml:space="preserve"> 17- San Pablo Tacachico</t>
  </si>
  <si>
    <t xml:space="preserve"> 18- Talnique</t>
  </si>
  <si>
    <t xml:space="preserve"> 19- Tamanique</t>
  </si>
  <si>
    <t xml:space="preserve"> 20- Teotepeque</t>
  </si>
  <si>
    <t xml:space="preserve"> 21- Tepecoyo</t>
  </si>
  <si>
    <t xml:space="preserve"> 22- Zaragoza</t>
  </si>
  <si>
    <t>06 - S A N    S A L V A D O R</t>
  </si>
  <si>
    <t xml:space="preserve"> 01- San Salvador</t>
  </si>
  <si>
    <t xml:space="preserve"> 02- Aguilares</t>
  </si>
  <si>
    <t xml:space="preserve"> 03- Apopa</t>
  </si>
  <si>
    <t xml:space="preserve"> 04- Ayutuxtepeque</t>
  </si>
  <si>
    <t xml:space="preserve"> 05- Cuscatancingo</t>
  </si>
  <si>
    <t xml:space="preserve"> 06- Delgado</t>
  </si>
  <si>
    <t xml:space="preserve"> 07- El Paísnal</t>
  </si>
  <si>
    <t xml:space="preserve"> 08- Guazapa</t>
  </si>
  <si>
    <t xml:space="preserve"> 09- Ilopango</t>
  </si>
  <si>
    <t xml:space="preserve"> 10- Mejicanos</t>
  </si>
  <si>
    <t xml:space="preserve"> 11- Nejapa</t>
  </si>
  <si>
    <t xml:space="preserve"> 12- Panchimalco</t>
  </si>
  <si>
    <t xml:space="preserve"> 13- Rosario de Mora</t>
  </si>
  <si>
    <t xml:space="preserve"> 14- San Marcos</t>
  </si>
  <si>
    <t xml:space="preserve"> 15- San Martín</t>
  </si>
  <si>
    <t xml:space="preserve"> 16- Santiago Texacuangos</t>
  </si>
  <si>
    <t xml:space="preserve"> 17- Santo Tomás</t>
  </si>
  <si>
    <t xml:space="preserve"> 18- Soyapango</t>
  </si>
  <si>
    <t xml:space="preserve"> 19- Tonacatepeque</t>
  </si>
  <si>
    <t>07 - C U S C A T L A N</t>
  </si>
  <si>
    <t xml:space="preserve"> 01- Cojutepeque</t>
  </si>
  <si>
    <t xml:space="preserve"> 02- Candelaría</t>
  </si>
  <si>
    <t xml:space="preserve"> 03- El Carmen</t>
  </si>
  <si>
    <t xml:space="preserve"> 04- El Rosario</t>
  </si>
  <si>
    <t xml:space="preserve"> 05- Monte San Juan</t>
  </si>
  <si>
    <t xml:space="preserve"> 06- Oratorio de Concepción</t>
  </si>
  <si>
    <t xml:space="preserve"> 07- San Bartolomé Perulapía</t>
  </si>
  <si>
    <t xml:space="preserve"> 08- San Cristóbal</t>
  </si>
  <si>
    <t xml:space="preserve"> 09- San José Guayabal</t>
  </si>
  <si>
    <t xml:space="preserve"> 10- San Pedro Perulapán</t>
  </si>
  <si>
    <t xml:space="preserve"> 11- San Rafael Cedros</t>
  </si>
  <si>
    <t xml:space="preserve"> 12- San Ramón</t>
  </si>
  <si>
    <t xml:space="preserve"> 13- Santa Cruz Analquito</t>
  </si>
  <si>
    <t xml:space="preserve"> 14- Santa Cruz Michapa</t>
  </si>
  <si>
    <t xml:space="preserve"> 15- Suchitoto</t>
  </si>
  <si>
    <t xml:space="preserve"> 16- Tenancingo</t>
  </si>
  <si>
    <t>08 - LA PAZ</t>
  </si>
  <si>
    <t xml:space="preserve"> 01- Zacatecoluca</t>
  </si>
  <si>
    <t xml:space="preserve"> 02- Cuyultitán</t>
  </si>
  <si>
    <t xml:space="preserve"> 03- El Rosario</t>
  </si>
  <si>
    <t xml:space="preserve"> 04- Jerusalén</t>
  </si>
  <si>
    <t xml:space="preserve"> 05- Mercedes la Ceiba</t>
  </si>
  <si>
    <t xml:space="preserve"> 06- Olocuilta</t>
  </si>
  <si>
    <t xml:space="preserve"> 07- Paraiso de Osorio</t>
  </si>
  <si>
    <t xml:space="preserve"> 08- San Antonio Masahuat</t>
  </si>
  <si>
    <t xml:space="preserve"> 09- San Emigdio</t>
  </si>
  <si>
    <t xml:space="preserve"> 10- San Francisco Chinameca</t>
  </si>
  <si>
    <t xml:space="preserve"> 11- San Juan Nonualco</t>
  </si>
  <si>
    <t xml:space="preserve"> 12- San Juan Talpa</t>
  </si>
  <si>
    <t xml:space="preserve"> 13- San Juan Tepezontes</t>
  </si>
  <si>
    <t xml:space="preserve"> 14- San Luis Talpa</t>
  </si>
  <si>
    <t xml:space="preserve"> 15- San Luis la Herradura</t>
  </si>
  <si>
    <t xml:space="preserve"> 16- San Miguel Tepezontes</t>
  </si>
  <si>
    <t xml:space="preserve"> 17- San Pedro Masahuat</t>
  </si>
  <si>
    <t xml:space="preserve"> 18- San Pedro Nonualco</t>
  </si>
  <si>
    <t xml:space="preserve"> 19- San Rafael Obrajuelo</t>
  </si>
  <si>
    <t xml:space="preserve"> 20- Santa María Ostuma</t>
  </si>
  <si>
    <t xml:space="preserve"> 21- Santiago Nonualco</t>
  </si>
  <si>
    <t xml:space="preserve"> 22- Tapalhuaca</t>
  </si>
  <si>
    <t>09 - C A B A Ñ A S</t>
  </si>
  <si>
    <t xml:space="preserve"> 01- Sensuntepeque</t>
  </si>
  <si>
    <t xml:space="preserve"> 02- Cinquera</t>
  </si>
  <si>
    <t xml:space="preserve"> 03- Dolores</t>
  </si>
  <si>
    <t xml:space="preserve"> 04- Guacotecti</t>
  </si>
  <si>
    <t xml:space="preserve"> 05- Ilobasco</t>
  </si>
  <si>
    <t xml:space="preserve"> 06- Jutiapa</t>
  </si>
  <si>
    <t xml:space="preserve"> 07- San Isidro</t>
  </si>
  <si>
    <t xml:space="preserve"> 08- Tejutepeque</t>
  </si>
  <si>
    <t xml:space="preserve"> 09- Victoria</t>
  </si>
  <si>
    <t>10 - S A N    V I C E N T E</t>
  </si>
  <si>
    <t xml:space="preserve"> 01- San Vicente</t>
  </si>
  <si>
    <t xml:space="preserve"> 02- Apastepeque</t>
  </si>
  <si>
    <t xml:space="preserve"> 03- Guadalupe</t>
  </si>
  <si>
    <t xml:space="preserve"> 04- San Cayetano Istepeque</t>
  </si>
  <si>
    <t xml:space="preserve"> 05- San Estebán Catarina</t>
  </si>
  <si>
    <t xml:space="preserve"> 06- San Ildefonso</t>
  </si>
  <si>
    <t xml:space="preserve"> 07- San Lorenzo</t>
  </si>
  <si>
    <t xml:space="preserve"> 08- San Sebastián</t>
  </si>
  <si>
    <t xml:space="preserve"> 09- Santa Clara</t>
  </si>
  <si>
    <t xml:space="preserve"> 10- Santo Domingo</t>
  </si>
  <si>
    <t xml:space="preserve"> 11- Tecoluca</t>
  </si>
  <si>
    <t xml:space="preserve"> 12- Tepetitán</t>
  </si>
  <si>
    <t xml:space="preserve"> 13- Verapaz</t>
  </si>
  <si>
    <t xml:space="preserve"> 11 -  U S U L U T A N</t>
  </si>
  <si>
    <t xml:space="preserve"> 01- Usulután</t>
  </si>
  <si>
    <t xml:space="preserve"> 02- Alegría</t>
  </si>
  <si>
    <t xml:space="preserve"> 03- Berlín</t>
  </si>
  <si>
    <t xml:space="preserve"> 04- California</t>
  </si>
  <si>
    <t xml:space="preserve"> 05- Concepción Batres</t>
  </si>
  <si>
    <t xml:space="preserve"> 06- El Triunfo</t>
  </si>
  <si>
    <t xml:space="preserve"> 07- Ereguayquín</t>
  </si>
  <si>
    <t xml:space="preserve"> 08- Estanzuelas</t>
  </si>
  <si>
    <t xml:space="preserve"> 09- Jiquilisco</t>
  </si>
  <si>
    <t xml:space="preserve"> 10- Jucuapa</t>
  </si>
  <si>
    <t xml:space="preserve"> 11- Jucuarán</t>
  </si>
  <si>
    <t xml:space="preserve"> 12- Mercedes Umaña</t>
  </si>
  <si>
    <t xml:space="preserve"> 13- Nueva Granada</t>
  </si>
  <si>
    <t xml:space="preserve"> 14- Ozatlán</t>
  </si>
  <si>
    <t xml:space="preserve"> 15- Puerto el Triunfo</t>
  </si>
  <si>
    <t xml:space="preserve"> 16- San Agustín</t>
  </si>
  <si>
    <t xml:space="preserve"> 17- San Buenaventura</t>
  </si>
  <si>
    <t xml:space="preserve"> 18- San Dionisio</t>
  </si>
  <si>
    <t xml:space="preserve"> 19- San Francisco Javier</t>
  </si>
  <si>
    <t xml:space="preserve"> 20- Santa Elena</t>
  </si>
  <si>
    <t xml:space="preserve"> 21- Santa María</t>
  </si>
  <si>
    <t xml:space="preserve"> 22- Santiago de María</t>
  </si>
  <si>
    <t xml:space="preserve"> 23- Tecapán</t>
  </si>
  <si>
    <t xml:space="preserve"> 12- SAN MIGUEL</t>
  </si>
  <si>
    <t xml:space="preserve"> 01- San Miguel</t>
  </si>
  <si>
    <t xml:space="preserve"> 02- Carolina</t>
  </si>
  <si>
    <t xml:space="preserve"> 03- Ciudad Barrios</t>
  </si>
  <si>
    <t xml:space="preserve"> 04- Comacarán</t>
  </si>
  <si>
    <t xml:space="preserve"> 05- Chapeltique</t>
  </si>
  <si>
    <t xml:space="preserve"> 06- Chinameca</t>
  </si>
  <si>
    <t xml:space="preserve"> 07- Chirilagua</t>
  </si>
  <si>
    <t xml:space="preserve"> 08- El Tránsito</t>
  </si>
  <si>
    <t xml:space="preserve"> 09- Lolotique</t>
  </si>
  <si>
    <t xml:space="preserve"> 10- Moncagua</t>
  </si>
  <si>
    <t xml:space="preserve"> 11- Nueva Guadalupe</t>
  </si>
  <si>
    <t xml:space="preserve"> 12- Nuevo Edén de San Juan</t>
  </si>
  <si>
    <t xml:space="preserve"> 13- Quelepa</t>
  </si>
  <si>
    <t xml:space="preserve"> 14- San Antonio</t>
  </si>
  <si>
    <t xml:space="preserve"> 15- San Gerardo</t>
  </si>
  <si>
    <t xml:space="preserve"> 16- San Jorge</t>
  </si>
  <si>
    <t xml:space="preserve"> 17- San Luis de la Reina</t>
  </si>
  <si>
    <t xml:space="preserve"> 18- San Rafael Oriente</t>
  </si>
  <si>
    <t xml:space="preserve"> 19- Sesori</t>
  </si>
  <si>
    <t xml:space="preserve"> 20- Uluazapa</t>
  </si>
  <si>
    <t xml:space="preserve"> 13- MORAZÁN</t>
  </si>
  <si>
    <t xml:space="preserve"> 01- San Francisco Gotera</t>
  </si>
  <si>
    <t xml:space="preserve"> 02- Arambala</t>
  </si>
  <si>
    <t xml:space="preserve"> 03- Cacaopera</t>
  </si>
  <si>
    <t xml:space="preserve"> 04- Corinto</t>
  </si>
  <si>
    <t xml:space="preserve"> 05- Chilanga</t>
  </si>
  <si>
    <t xml:space="preserve"> 06- Delicias de Concepción</t>
  </si>
  <si>
    <t xml:space="preserve"> 07- El Divisadero</t>
  </si>
  <si>
    <t xml:space="preserve"> 08- El Rosario</t>
  </si>
  <si>
    <t xml:space="preserve"> 09- Gualococti</t>
  </si>
  <si>
    <t xml:space="preserve"> 10- Guatajiagua</t>
  </si>
  <si>
    <t xml:space="preserve"> 11- Joateca</t>
  </si>
  <si>
    <t xml:space="preserve"> 12- Jocoaitique</t>
  </si>
  <si>
    <t xml:space="preserve"> 13- Jocoro</t>
  </si>
  <si>
    <t xml:space="preserve"> 14- Lolotiquillo</t>
  </si>
  <si>
    <t xml:space="preserve"> 15- Meanguera</t>
  </si>
  <si>
    <t xml:space="preserve"> 16- Osicala</t>
  </si>
  <si>
    <t xml:space="preserve"> 17- Perquín</t>
  </si>
  <si>
    <t xml:space="preserve"> 18- San Carlos</t>
  </si>
  <si>
    <t xml:space="preserve"> 19- San Fernando</t>
  </si>
  <si>
    <t xml:space="preserve"> 20- San Isidro</t>
  </si>
  <si>
    <t xml:space="preserve"> 21- San Simón</t>
  </si>
  <si>
    <t xml:space="preserve"> 22- Sensembra</t>
  </si>
  <si>
    <t xml:space="preserve"> 23- Sociedad</t>
  </si>
  <si>
    <t xml:space="preserve"> 24- Torola</t>
  </si>
  <si>
    <t xml:space="preserve"> 25- Yamabal</t>
  </si>
  <si>
    <t xml:space="preserve"> 26- Yoloaiquín</t>
  </si>
  <si>
    <t>14- L A    U N I O N</t>
  </si>
  <si>
    <t xml:space="preserve"> 01- La Unión</t>
  </si>
  <si>
    <t xml:space="preserve"> 02- Anamorós</t>
  </si>
  <si>
    <t xml:space="preserve"> 03- Bolívar</t>
  </si>
  <si>
    <t xml:space="preserve"> 04- Concepción de Oriente</t>
  </si>
  <si>
    <t xml:space="preserve"> 05- Conchagua</t>
  </si>
  <si>
    <t xml:space="preserve"> 06- El Carmen</t>
  </si>
  <si>
    <t xml:space="preserve"> 07- El Sauce</t>
  </si>
  <si>
    <t xml:space="preserve"> 08- Intipucá</t>
  </si>
  <si>
    <t xml:space="preserve"> 09- Lislique</t>
  </si>
  <si>
    <t xml:space="preserve"> 10- Meanguera del Golfo</t>
  </si>
  <si>
    <t xml:space="preserve"> 11- Nueva Esparta</t>
  </si>
  <si>
    <t xml:space="preserve"> 12- Pasaquina</t>
  </si>
  <si>
    <t xml:space="preserve"> 13- Polorós</t>
  </si>
  <si>
    <t xml:space="preserve"> 14- San Alejo</t>
  </si>
  <si>
    <t xml:space="preserve"> 15- San José</t>
  </si>
  <si>
    <t xml:space="preserve"> 16- Santa Rosa de Lima</t>
  </si>
  <si>
    <t xml:space="preserve"> 17- Yayantique</t>
  </si>
  <si>
    <t xml:space="preserve"> 18- Yucuaiquín</t>
  </si>
  <si>
    <t xml:space="preserve">   * SE  REFIERE  A  LA  RESIDENCIA  HABITUAL  DE  LA  MADRE.</t>
  </si>
  <si>
    <t xml:space="preserve"> ** EXCLUYE  LOS  HIJOS  NACIDOS  EN  EL  PAIS,  DE  MADRES  RESIDENTES  EN  EL  EXTRANJERO.</t>
  </si>
  <si>
    <t>FUENTE: DIGESTYC - ANUARIO ESTADISTICO 2009</t>
  </si>
  <si>
    <t>FUENTE: DIGESTYC - ANUARIO ESTADÍSTICO 2009</t>
  </si>
  <si>
    <t>2 0 0 8</t>
  </si>
  <si>
    <t>2 0 0 9</t>
  </si>
</sst>
</file>

<file path=xl/styles.xml><?xml version="1.0" encoding="utf-8"?>
<styleSheet xmlns="http://schemas.openxmlformats.org/spreadsheetml/2006/main">
  <numFmts count="1">
    <numFmt numFmtId="164" formatCode="0_);\(0\)"/>
  </numFmts>
  <fonts count="12">
    <font>
      <sz val="11"/>
      <name val="Helv"/>
    </font>
    <font>
      <sz val="11"/>
      <name val="Helv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37" fontId="0" fillId="0" borderId="0"/>
    <xf numFmtId="0" fontId="9" fillId="0" borderId="0"/>
    <xf numFmtId="0" fontId="9" fillId="0" borderId="0"/>
    <xf numFmtId="37" fontId="1" fillId="0" borderId="0"/>
    <xf numFmtId="0" fontId="9" fillId="0" borderId="0"/>
  </cellStyleXfs>
  <cellXfs count="37">
    <xf numFmtId="37" fontId="0" fillId="0" borderId="0" xfId="0"/>
    <xf numFmtId="37" fontId="2" fillId="0" borderId="0" xfId="0" applyFont="1" applyBorder="1"/>
    <xf numFmtId="37" fontId="3" fillId="0" borderId="0" xfId="0" applyFont="1" applyBorder="1"/>
    <xf numFmtId="37" fontId="4" fillId="0" borderId="0" xfId="0" applyFont="1" applyBorder="1" applyAlignment="1">
      <alignment vertical="center"/>
    </xf>
    <xf numFmtId="37" fontId="4" fillId="0" borderId="0" xfId="0" applyFont="1" applyBorder="1"/>
    <xf numFmtId="37" fontId="5" fillId="0" borderId="0" xfId="0" applyFont="1" applyBorder="1"/>
    <xf numFmtId="37" fontId="4" fillId="0" borderId="0" xfId="0" applyFont="1" applyBorder="1" applyAlignment="1" applyProtection="1">
      <alignment horizontal="centerContinuous"/>
    </xf>
    <xf numFmtId="37" fontId="5" fillId="0" borderId="0" xfId="0" applyFont="1" applyFill="1" applyBorder="1"/>
    <xf numFmtId="37" fontId="7" fillId="0" borderId="0" xfId="0" applyFont="1" applyFill="1" applyBorder="1" applyAlignment="1">
      <alignment vertical="center"/>
    </xf>
    <xf numFmtId="37" fontId="7" fillId="0" borderId="0" xfId="0" applyFont="1" applyFill="1" applyBorder="1"/>
    <xf numFmtId="37" fontId="6" fillId="0" borderId="0" xfId="0" applyFont="1" applyFill="1" applyBorder="1" applyAlignment="1" applyProtection="1">
      <alignment horizontal="center" vertical="center"/>
    </xf>
    <xf numFmtId="3" fontId="6" fillId="0" borderId="0" xfId="0" applyNumberFormat="1" applyFont="1" applyFill="1" applyBorder="1" applyAlignment="1" applyProtection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37" fontId="7" fillId="0" borderId="0" xfId="0" applyFont="1" applyFill="1" applyBorder="1" applyAlignment="1" applyProtection="1">
      <alignment horizontal="left" vertical="center"/>
    </xf>
    <xf numFmtId="3" fontId="7" fillId="0" borderId="0" xfId="0" applyNumberFormat="1" applyFont="1" applyFill="1" applyBorder="1" applyAlignment="1" applyProtection="1">
      <alignment horizontal="right" vertical="center"/>
    </xf>
    <xf numFmtId="37" fontId="7" fillId="0" borderId="0" xfId="0" quotePrefix="1" applyFont="1" applyFill="1" applyBorder="1" applyAlignment="1" applyProtection="1">
      <alignment horizontal="left" vertical="center"/>
    </xf>
    <xf numFmtId="3" fontId="6" fillId="0" borderId="0" xfId="0" applyNumberFormat="1" applyFont="1" applyFill="1" applyBorder="1" applyAlignment="1">
      <alignment horizontal="right" vertical="center"/>
    </xf>
    <xf numFmtId="3" fontId="8" fillId="0" borderId="0" xfId="0" applyNumberFormat="1" applyFont="1" applyFill="1" applyBorder="1" applyAlignment="1">
      <alignment horizontal="right" vertical="center"/>
    </xf>
    <xf numFmtId="37" fontId="9" fillId="0" borderId="0" xfId="0" applyFont="1" applyBorder="1" applyAlignment="1" applyProtection="1">
      <alignment horizontal="centerContinuous" vertical="center"/>
    </xf>
    <xf numFmtId="37" fontId="7" fillId="0" borderId="0" xfId="0" applyFont="1" applyBorder="1"/>
    <xf numFmtId="37" fontId="6" fillId="0" borderId="0" xfId="0" quotePrefix="1" applyFont="1" applyFill="1" applyBorder="1" applyAlignment="1" applyProtection="1">
      <alignment horizontal="center" vertical="center"/>
    </xf>
    <xf numFmtId="37" fontId="7" fillId="0" borderId="1" xfId="0" applyFont="1" applyFill="1" applyBorder="1" applyAlignment="1" applyProtection="1">
      <alignment horizontal="left" vertical="center"/>
    </xf>
    <xf numFmtId="3" fontId="7" fillId="0" borderId="1" xfId="0" applyNumberFormat="1" applyFont="1" applyFill="1" applyBorder="1" applyAlignment="1" applyProtection="1">
      <alignment horizontal="right" vertical="center"/>
    </xf>
    <xf numFmtId="37" fontId="10" fillId="0" borderId="0" xfId="0" applyFont="1" applyBorder="1"/>
    <xf numFmtId="37" fontId="10" fillId="0" borderId="0" xfId="0" applyFont="1" applyFill="1" applyBorder="1" applyAlignment="1">
      <alignment vertical="center"/>
    </xf>
    <xf numFmtId="37" fontId="3" fillId="0" borderId="0" xfId="0" applyFont="1" applyFill="1" applyBorder="1" applyAlignment="1">
      <alignment vertical="center"/>
    </xf>
    <xf numFmtId="37" fontId="3" fillId="0" borderId="0" xfId="0" applyFont="1" applyFill="1" applyBorder="1"/>
    <xf numFmtId="37" fontId="11" fillId="0" borderId="0" xfId="0" quotePrefix="1" applyFont="1" applyFill="1" applyBorder="1" applyAlignment="1" applyProtection="1">
      <alignment horizontal="left" vertical="center"/>
    </xf>
    <xf numFmtId="37" fontId="11" fillId="0" borderId="0" xfId="0" applyFont="1" applyFill="1" applyBorder="1" applyAlignment="1" applyProtection="1">
      <alignment horizontal="left" vertical="center"/>
    </xf>
    <xf numFmtId="37" fontId="6" fillId="0" borderId="2" xfId="0" applyFont="1" applyFill="1" applyBorder="1" applyAlignment="1" applyProtection="1">
      <alignment horizontal="centerContinuous" vertical="center"/>
    </xf>
    <xf numFmtId="37" fontId="6" fillId="0" borderId="2" xfId="0" applyFont="1" applyFill="1" applyBorder="1" applyAlignment="1">
      <alignment horizontal="centerContinuous" vertical="center"/>
    </xf>
    <xf numFmtId="37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37" fontId="6" fillId="0" borderId="2" xfId="0" applyFont="1" applyFill="1" applyBorder="1" applyAlignment="1" applyProtection="1">
      <alignment horizontal="center" vertical="center" wrapText="1"/>
    </xf>
    <xf numFmtId="37" fontId="6" fillId="0" borderId="2" xfId="0" applyFont="1" applyBorder="1" applyAlignment="1">
      <alignment horizontal="center" vertical="center" wrapText="1"/>
    </xf>
    <xf numFmtId="37" fontId="11" fillId="0" borderId="0" xfId="0" applyFont="1" applyFill="1" applyBorder="1"/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BC432"/>
  <sheetViews>
    <sheetView workbookViewId="0">
      <selection activeCell="B4" sqref="B4"/>
    </sheetView>
  </sheetViews>
  <sheetFormatPr baseColWidth="10" defaultColWidth="9.7109375" defaultRowHeight="14.25"/>
  <cols>
    <col min="1" max="1" width="0.7109375" style="5" customWidth="1"/>
    <col min="2" max="2" width="25.140625" style="5" customWidth="1"/>
    <col min="3" max="11" width="9.7109375" style="5" customWidth="1"/>
    <col min="12" max="12" width="1.5703125" style="5" customWidth="1"/>
    <col min="13" max="16384" width="9.7109375" style="5"/>
  </cols>
  <sheetData>
    <row r="1" spans="1:55" s="1" customFormat="1" ht="21" customHeight="1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</row>
    <row r="2" spans="1:55" s="1" customFormat="1" ht="21" customHeight="1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</row>
    <row r="3" spans="1:55" s="1" customFormat="1" ht="21" customHeight="1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</row>
    <row r="4" spans="1:55" ht="21" customHeight="1" thickBot="1">
      <c r="A4" s="2"/>
      <c r="B4" s="3"/>
      <c r="C4" s="3"/>
      <c r="D4" s="3"/>
      <c r="E4" s="3"/>
      <c r="F4" s="3"/>
      <c r="G4" s="3"/>
      <c r="H4" s="3"/>
      <c r="I4" s="3"/>
      <c r="J4" s="3"/>
      <c r="K4" s="4"/>
    </row>
    <row r="5" spans="1:55" ht="21" customHeight="1" thickBot="1">
      <c r="A5" s="6"/>
      <c r="B5" s="34" t="s">
        <v>3</v>
      </c>
      <c r="C5" s="30" t="s">
        <v>4</v>
      </c>
      <c r="D5" s="31"/>
      <c r="E5" s="31"/>
      <c r="F5" s="31"/>
      <c r="G5" s="31"/>
      <c r="H5" s="31"/>
      <c r="I5" s="31"/>
      <c r="J5" s="31"/>
      <c r="K5" s="3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spans="1:55" ht="21" customHeight="1" thickBot="1">
      <c r="A6" s="2"/>
      <c r="B6" s="35"/>
      <c r="C6" s="34" t="s">
        <v>5</v>
      </c>
      <c r="D6" s="35"/>
      <c r="E6" s="35"/>
      <c r="F6" s="30" t="s">
        <v>6</v>
      </c>
      <c r="G6" s="31"/>
      <c r="H6" s="31"/>
      <c r="I6" s="31"/>
      <c r="J6" s="31"/>
      <c r="K6" s="3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</row>
    <row r="7" spans="1:55" ht="21" customHeight="1" thickBot="1">
      <c r="A7" s="2"/>
      <c r="B7" s="35"/>
      <c r="C7" s="35"/>
      <c r="D7" s="35"/>
      <c r="E7" s="35"/>
      <c r="F7" s="30" t="s">
        <v>7</v>
      </c>
      <c r="G7" s="31"/>
      <c r="H7" s="31"/>
      <c r="I7" s="30" t="s">
        <v>8</v>
      </c>
      <c r="J7" s="31"/>
      <c r="K7" s="3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ht="21" customHeight="1" thickBot="1">
      <c r="A8" s="2"/>
      <c r="B8" s="35"/>
      <c r="C8" s="30" t="s">
        <v>9</v>
      </c>
      <c r="D8" s="30" t="s">
        <v>10</v>
      </c>
      <c r="E8" s="30" t="s">
        <v>11</v>
      </c>
      <c r="F8" s="30" t="s">
        <v>9</v>
      </c>
      <c r="G8" s="30" t="s">
        <v>10</v>
      </c>
      <c r="H8" s="30" t="s">
        <v>11</v>
      </c>
      <c r="I8" s="30" t="s">
        <v>9</v>
      </c>
      <c r="J8" s="30" t="s">
        <v>10</v>
      </c>
      <c r="K8" s="30" t="s">
        <v>11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ht="12.95" customHeight="1">
      <c r="A9" s="2"/>
      <c r="B9" s="8"/>
      <c r="C9" s="8"/>
      <c r="D9" s="8"/>
      <c r="E9" s="8"/>
      <c r="F9" s="8"/>
      <c r="G9" s="8"/>
      <c r="H9" s="8"/>
      <c r="I9" s="8"/>
      <c r="J9" s="8"/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ht="12.95" customHeight="1">
      <c r="A10" s="2"/>
      <c r="B10" s="10" t="s">
        <v>5</v>
      </c>
      <c r="C10" s="11">
        <f t="shared" ref="C10:K10" si="0">SUM(C12+C26+C41+C59+C94+C118+C139+C157+C181+C192+C207+C232+C254+C282)</f>
        <v>110730</v>
      </c>
      <c r="D10" s="11">
        <f t="shared" si="0"/>
        <v>57993</v>
      </c>
      <c r="E10" s="11">
        <f t="shared" si="0"/>
        <v>52737</v>
      </c>
      <c r="F10" s="11">
        <f t="shared" si="0"/>
        <v>71494</v>
      </c>
      <c r="G10" s="11">
        <f t="shared" si="0"/>
        <v>37367</v>
      </c>
      <c r="H10" s="11">
        <f t="shared" si="0"/>
        <v>34127</v>
      </c>
      <c r="I10" s="11">
        <f t="shared" si="0"/>
        <v>39236</v>
      </c>
      <c r="J10" s="11">
        <f t="shared" si="0"/>
        <v>20626</v>
      </c>
      <c r="K10" s="11">
        <f t="shared" si="0"/>
        <v>18610</v>
      </c>
      <c r="L10" s="1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</row>
    <row r="11" spans="1:55" ht="12.95" customHeight="1">
      <c r="A11" s="2"/>
      <c r="B11" s="8"/>
      <c r="C11" s="13" t="s">
        <v>12</v>
      </c>
      <c r="D11" s="13"/>
      <c r="E11" s="13"/>
      <c r="F11" s="13"/>
      <c r="G11" s="13"/>
      <c r="H11" s="13"/>
      <c r="I11" s="13"/>
      <c r="J11" s="13"/>
      <c r="K11" s="13"/>
      <c r="L11" s="1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</row>
    <row r="12" spans="1:55" ht="12.95" customHeight="1">
      <c r="A12" s="2"/>
      <c r="B12" s="10" t="s">
        <v>13</v>
      </c>
      <c r="C12" s="11">
        <f>SUM(C13:C24)</f>
        <v>6140</v>
      </c>
      <c r="D12" s="11">
        <f t="shared" ref="D12:K12" si="1">SUM(D13:D24)</f>
        <v>3246</v>
      </c>
      <c r="E12" s="11">
        <f t="shared" si="1"/>
        <v>2894</v>
      </c>
      <c r="F12" s="11">
        <f t="shared" si="1"/>
        <v>2115</v>
      </c>
      <c r="G12" s="11">
        <f t="shared" si="1"/>
        <v>1094</v>
      </c>
      <c r="H12" s="11">
        <f t="shared" si="1"/>
        <v>1021</v>
      </c>
      <c r="I12" s="11">
        <f t="shared" si="1"/>
        <v>4025</v>
      </c>
      <c r="J12" s="11">
        <f t="shared" si="1"/>
        <v>2152</v>
      </c>
      <c r="K12" s="11">
        <f t="shared" si="1"/>
        <v>1873</v>
      </c>
      <c r="L12" s="1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1:55" ht="12.95" customHeight="1">
      <c r="A13" s="2"/>
      <c r="B13" s="14" t="s">
        <v>14</v>
      </c>
      <c r="C13" s="15">
        <v>2294</v>
      </c>
      <c r="D13" s="15">
        <v>1243</v>
      </c>
      <c r="E13" s="15">
        <v>1051</v>
      </c>
      <c r="F13" s="15">
        <v>751</v>
      </c>
      <c r="G13" s="15">
        <v>406</v>
      </c>
      <c r="H13" s="15">
        <v>345</v>
      </c>
      <c r="I13" s="15">
        <v>1543</v>
      </c>
      <c r="J13" s="15">
        <v>837</v>
      </c>
      <c r="K13" s="15">
        <v>706</v>
      </c>
      <c r="L13" s="1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</row>
    <row r="14" spans="1:55" ht="12.95" customHeight="1">
      <c r="A14" s="2"/>
      <c r="B14" s="14" t="s">
        <v>15</v>
      </c>
      <c r="C14" s="15">
        <v>176</v>
      </c>
      <c r="D14" s="15">
        <v>92</v>
      </c>
      <c r="E14" s="15">
        <v>84</v>
      </c>
      <c r="F14" s="15">
        <v>101</v>
      </c>
      <c r="G14" s="15">
        <v>59</v>
      </c>
      <c r="H14" s="15">
        <v>42</v>
      </c>
      <c r="I14" s="15">
        <v>75</v>
      </c>
      <c r="J14" s="15">
        <v>33</v>
      </c>
      <c r="K14" s="15">
        <v>42</v>
      </c>
      <c r="L14" s="12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</row>
    <row r="15" spans="1:55" ht="12.95" customHeight="1">
      <c r="A15" s="2"/>
      <c r="B15" s="14" t="s">
        <v>16</v>
      </c>
      <c r="C15" s="15">
        <v>529</v>
      </c>
      <c r="D15" s="15">
        <v>295</v>
      </c>
      <c r="E15" s="15">
        <v>234</v>
      </c>
      <c r="F15" s="15">
        <v>176</v>
      </c>
      <c r="G15" s="15">
        <v>97</v>
      </c>
      <c r="H15" s="15">
        <v>79</v>
      </c>
      <c r="I15" s="15">
        <v>353</v>
      </c>
      <c r="J15" s="15">
        <v>198</v>
      </c>
      <c r="K15" s="15">
        <v>155</v>
      </c>
      <c r="L15" s="12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</row>
    <row r="16" spans="1:55" ht="12.95" customHeight="1">
      <c r="A16" s="2"/>
      <c r="B16" s="14" t="s">
        <v>17</v>
      </c>
      <c r="C16" s="15">
        <v>270</v>
      </c>
      <c r="D16" s="15">
        <v>154</v>
      </c>
      <c r="E16" s="15">
        <v>116</v>
      </c>
      <c r="F16" s="15">
        <v>114</v>
      </c>
      <c r="G16" s="15">
        <v>65</v>
      </c>
      <c r="H16" s="15">
        <v>49</v>
      </c>
      <c r="I16" s="15">
        <v>156</v>
      </c>
      <c r="J16" s="15">
        <v>89</v>
      </c>
      <c r="K16" s="15">
        <v>67</v>
      </c>
      <c r="L16" s="12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spans="1:55" ht="12.95" customHeight="1">
      <c r="A17" s="2"/>
      <c r="B17" s="14" t="s">
        <v>18</v>
      </c>
      <c r="C17" s="15">
        <v>110</v>
      </c>
      <c r="D17" s="15">
        <v>57</v>
      </c>
      <c r="E17" s="15">
        <v>53</v>
      </c>
      <c r="F17" s="15">
        <v>109</v>
      </c>
      <c r="G17" s="15">
        <v>57</v>
      </c>
      <c r="H17" s="15">
        <v>52</v>
      </c>
      <c r="I17" s="15">
        <v>1</v>
      </c>
      <c r="J17" s="15">
        <v>0</v>
      </c>
      <c r="K17" s="15">
        <v>1</v>
      </c>
      <c r="L17" s="12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</row>
    <row r="18" spans="1:55" ht="12.95" customHeight="1">
      <c r="A18" s="2"/>
      <c r="B18" s="14" t="s">
        <v>19</v>
      </c>
      <c r="C18" s="15">
        <v>324</v>
      </c>
      <c r="D18" s="15">
        <v>163</v>
      </c>
      <c r="E18" s="15">
        <v>161</v>
      </c>
      <c r="F18" s="15">
        <v>36</v>
      </c>
      <c r="G18" s="15">
        <v>14</v>
      </c>
      <c r="H18" s="15">
        <v>22</v>
      </c>
      <c r="I18" s="15">
        <v>288</v>
      </c>
      <c r="J18" s="15">
        <v>149</v>
      </c>
      <c r="K18" s="15">
        <v>139</v>
      </c>
      <c r="L18" s="12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</row>
    <row r="19" spans="1:55" ht="12.95" customHeight="1">
      <c r="A19" s="2"/>
      <c r="B19" s="14" t="s">
        <v>20</v>
      </c>
      <c r="C19" s="15">
        <v>456</v>
      </c>
      <c r="D19" s="15">
        <v>243</v>
      </c>
      <c r="E19" s="15">
        <v>213</v>
      </c>
      <c r="F19" s="15">
        <v>81</v>
      </c>
      <c r="G19" s="15">
        <v>41</v>
      </c>
      <c r="H19" s="15">
        <v>40</v>
      </c>
      <c r="I19" s="15">
        <v>375</v>
      </c>
      <c r="J19" s="15">
        <v>202</v>
      </c>
      <c r="K19" s="15">
        <v>173</v>
      </c>
      <c r="L19" s="12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ht="12.95" customHeight="1">
      <c r="A20" s="2"/>
      <c r="B20" s="14" t="s">
        <v>21</v>
      </c>
      <c r="C20" s="15">
        <v>971</v>
      </c>
      <c r="D20" s="15">
        <v>503</v>
      </c>
      <c r="E20" s="15">
        <v>468</v>
      </c>
      <c r="F20" s="15">
        <v>381</v>
      </c>
      <c r="G20" s="15">
        <v>182</v>
      </c>
      <c r="H20" s="15">
        <v>199</v>
      </c>
      <c r="I20" s="15">
        <v>590</v>
      </c>
      <c r="J20" s="15">
        <v>321</v>
      </c>
      <c r="K20" s="15">
        <v>269</v>
      </c>
      <c r="L20" s="12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1:55" ht="12.95" customHeight="1">
      <c r="A21" s="2"/>
      <c r="B21" s="14" t="s">
        <v>22</v>
      </c>
      <c r="C21" s="15">
        <v>145</v>
      </c>
      <c r="D21" s="15">
        <v>67</v>
      </c>
      <c r="E21" s="15">
        <v>78</v>
      </c>
      <c r="F21" s="15">
        <v>32</v>
      </c>
      <c r="G21" s="15">
        <v>16</v>
      </c>
      <c r="H21" s="15">
        <v>16</v>
      </c>
      <c r="I21" s="15">
        <v>113</v>
      </c>
      <c r="J21" s="15">
        <v>51</v>
      </c>
      <c r="K21" s="15">
        <v>62</v>
      </c>
      <c r="L21" s="1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</row>
    <row r="22" spans="1:55" ht="12.95" customHeight="1">
      <c r="A22" s="2"/>
      <c r="B22" s="14" t="s">
        <v>23</v>
      </c>
      <c r="C22" s="15">
        <v>171</v>
      </c>
      <c r="D22" s="15">
        <v>95</v>
      </c>
      <c r="E22" s="15">
        <v>76</v>
      </c>
      <c r="F22" s="15">
        <v>36</v>
      </c>
      <c r="G22" s="15">
        <v>19</v>
      </c>
      <c r="H22" s="15">
        <v>17</v>
      </c>
      <c r="I22" s="15">
        <v>135</v>
      </c>
      <c r="J22" s="15">
        <v>76</v>
      </c>
      <c r="K22" s="15">
        <v>59</v>
      </c>
      <c r="L22" s="12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</row>
    <row r="23" spans="1:55" ht="12.95" customHeight="1">
      <c r="A23" s="2"/>
      <c r="B23" s="14" t="s">
        <v>24</v>
      </c>
      <c r="C23" s="15">
        <v>505</v>
      </c>
      <c r="D23" s="15">
        <v>243</v>
      </c>
      <c r="E23" s="15">
        <v>262</v>
      </c>
      <c r="F23" s="15">
        <v>226</v>
      </c>
      <c r="G23" s="15">
        <v>110</v>
      </c>
      <c r="H23" s="15">
        <v>116</v>
      </c>
      <c r="I23" s="15">
        <v>279</v>
      </c>
      <c r="J23" s="15">
        <v>133</v>
      </c>
      <c r="K23" s="15">
        <v>146</v>
      </c>
      <c r="L23" s="1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</row>
    <row r="24" spans="1:55" ht="12.95" customHeight="1">
      <c r="A24" s="2"/>
      <c r="B24" s="14" t="s">
        <v>25</v>
      </c>
      <c r="C24" s="15">
        <v>189</v>
      </c>
      <c r="D24" s="15">
        <v>91</v>
      </c>
      <c r="E24" s="15">
        <v>98</v>
      </c>
      <c r="F24" s="15">
        <v>72</v>
      </c>
      <c r="G24" s="15">
        <v>28</v>
      </c>
      <c r="H24" s="15">
        <v>44</v>
      </c>
      <c r="I24" s="15">
        <v>117</v>
      </c>
      <c r="J24" s="15">
        <v>63</v>
      </c>
      <c r="K24" s="15">
        <v>54</v>
      </c>
      <c r="L24" s="12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</row>
    <row r="25" spans="1:55" ht="12.95" customHeight="1">
      <c r="A25" s="2"/>
      <c r="B25" s="8"/>
      <c r="C25" s="13"/>
      <c r="D25" s="13"/>
      <c r="E25" s="13"/>
      <c r="F25" s="13"/>
      <c r="G25" s="13"/>
      <c r="H25" s="13"/>
      <c r="I25" s="13"/>
      <c r="J25" s="13"/>
      <c r="K25" s="13"/>
      <c r="L25" s="1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2.95" customHeight="1">
      <c r="A26" s="2"/>
      <c r="B26" s="10" t="s">
        <v>26</v>
      </c>
      <c r="C26" s="11">
        <f>SUM(C27:C39)</f>
        <v>9789</v>
      </c>
      <c r="D26" s="11">
        <f t="shared" ref="D26:K26" si="2">SUM(D27:D39)</f>
        <v>5201</v>
      </c>
      <c r="E26" s="11">
        <f t="shared" si="2"/>
        <v>4588</v>
      </c>
      <c r="F26" s="11">
        <f t="shared" si="2"/>
        <v>7267</v>
      </c>
      <c r="G26" s="11">
        <f t="shared" si="2"/>
        <v>3862</v>
      </c>
      <c r="H26" s="11">
        <f t="shared" si="2"/>
        <v>3405</v>
      </c>
      <c r="I26" s="11">
        <f t="shared" si="2"/>
        <v>2522</v>
      </c>
      <c r="J26" s="11">
        <f t="shared" si="2"/>
        <v>1339</v>
      </c>
      <c r="K26" s="11">
        <f t="shared" si="2"/>
        <v>1183</v>
      </c>
      <c r="L26" s="1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2.95" customHeight="1">
      <c r="A27" s="2"/>
      <c r="B27" s="14" t="s">
        <v>27</v>
      </c>
      <c r="C27" s="15">
        <v>5117</v>
      </c>
      <c r="D27" s="15">
        <v>2724</v>
      </c>
      <c r="E27" s="15">
        <v>2393</v>
      </c>
      <c r="F27" s="15">
        <v>5022</v>
      </c>
      <c r="G27" s="15">
        <v>2665</v>
      </c>
      <c r="H27" s="15">
        <v>2357</v>
      </c>
      <c r="I27" s="15">
        <v>95</v>
      </c>
      <c r="J27" s="15">
        <v>59</v>
      </c>
      <c r="K27" s="15">
        <v>36</v>
      </c>
      <c r="L27" s="1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2.95" customHeight="1">
      <c r="A28" s="2"/>
      <c r="B28" s="14" t="s">
        <v>28</v>
      </c>
      <c r="C28" s="15">
        <v>357</v>
      </c>
      <c r="D28" s="15">
        <v>186</v>
      </c>
      <c r="E28" s="15">
        <v>171</v>
      </c>
      <c r="F28" s="15">
        <v>120</v>
      </c>
      <c r="G28" s="15">
        <v>62</v>
      </c>
      <c r="H28" s="15">
        <v>58</v>
      </c>
      <c r="I28" s="15">
        <v>237</v>
      </c>
      <c r="J28" s="15">
        <v>124</v>
      </c>
      <c r="K28" s="15">
        <v>113</v>
      </c>
      <c r="L28" s="1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ht="12.95" customHeight="1">
      <c r="A29" s="2"/>
      <c r="B29" s="14" t="s">
        <v>29</v>
      </c>
      <c r="C29" s="15">
        <v>491</v>
      </c>
      <c r="D29" s="15">
        <v>260</v>
      </c>
      <c r="E29" s="15">
        <v>231</v>
      </c>
      <c r="F29" s="15">
        <v>159</v>
      </c>
      <c r="G29" s="15">
        <v>88</v>
      </c>
      <c r="H29" s="15">
        <v>71</v>
      </c>
      <c r="I29" s="15">
        <v>332</v>
      </c>
      <c r="J29" s="15">
        <v>172</v>
      </c>
      <c r="K29" s="15">
        <v>160</v>
      </c>
      <c r="L29" s="1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ht="12.95" customHeight="1">
      <c r="A30" s="2"/>
      <c r="B30" s="14" t="s">
        <v>30</v>
      </c>
      <c r="C30" s="15">
        <v>1286</v>
      </c>
      <c r="D30" s="15">
        <v>725</v>
      </c>
      <c r="E30" s="15">
        <v>561</v>
      </c>
      <c r="F30" s="15">
        <v>878</v>
      </c>
      <c r="G30" s="15">
        <v>496</v>
      </c>
      <c r="H30" s="15">
        <v>382</v>
      </c>
      <c r="I30" s="15">
        <v>408</v>
      </c>
      <c r="J30" s="15">
        <v>229</v>
      </c>
      <c r="K30" s="15">
        <v>179</v>
      </c>
      <c r="L30" s="1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12.95" customHeight="1">
      <c r="A31" s="2"/>
      <c r="B31" s="14" t="s">
        <v>31</v>
      </c>
      <c r="C31" s="15">
        <v>442</v>
      </c>
      <c r="D31" s="15">
        <v>209</v>
      </c>
      <c r="E31" s="15">
        <v>233</v>
      </c>
      <c r="F31" s="15">
        <v>248</v>
      </c>
      <c r="G31" s="15">
        <v>116</v>
      </c>
      <c r="H31" s="15">
        <v>132</v>
      </c>
      <c r="I31" s="15">
        <v>194</v>
      </c>
      <c r="J31" s="15">
        <v>93</v>
      </c>
      <c r="K31" s="15">
        <v>101</v>
      </c>
      <c r="L31" s="1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ht="12.95" customHeight="1">
      <c r="A32" s="2"/>
      <c r="B32" s="14" t="s">
        <v>32</v>
      </c>
      <c r="C32" s="15">
        <v>133</v>
      </c>
      <c r="D32" s="15">
        <v>64</v>
      </c>
      <c r="E32" s="15">
        <v>69</v>
      </c>
      <c r="F32" s="15">
        <v>45</v>
      </c>
      <c r="G32" s="15">
        <v>21</v>
      </c>
      <c r="H32" s="15">
        <v>24</v>
      </c>
      <c r="I32" s="15">
        <v>88</v>
      </c>
      <c r="J32" s="15">
        <v>43</v>
      </c>
      <c r="K32" s="15">
        <v>45</v>
      </c>
      <c r="L32" s="1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12.95" customHeight="1">
      <c r="A33" s="2"/>
      <c r="B33" s="14" t="s">
        <v>33</v>
      </c>
      <c r="C33" s="15">
        <v>51</v>
      </c>
      <c r="D33" s="15">
        <v>24</v>
      </c>
      <c r="E33" s="15">
        <v>27</v>
      </c>
      <c r="F33" s="15">
        <v>25</v>
      </c>
      <c r="G33" s="15">
        <v>12</v>
      </c>
      <c r="H33" s="15">
        <v>13</v>
      </c>
      <c r="I33" s="15">
        <v>26</v>
      </c>
      <c r="J33" s="15">
        <v>12</v>
      </c>
      <c r="K33" s="15">
        <v>14</v>
      </c>
      <c r="L33" s="1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12.95" customHeight="1">
      <c r="A34" s="2"/>
      <c r="B34" s="14" t="s">
        <v>34</v>
      </c>
      <c r="C34" s="15">
        <v>1165</v>
      </c>
      <c r="D34" s="15">
        <v>615</v>
      </c>
      <c r="E34" s="15">
        <v>550</v>
      </c>
      <c r="F34" s="15">
        <v>578</v>
      </c>
      <c r="G34" s="15">
        <v>305</v>
      </c>
      <c r="H34" s="15">
        <v>273</v>
      </c>
      <c r="I34" s="15">
        <v>587</v>
      </c>
      <c r="J34" s="15">
        <v>310</v>
      </c>
      <c r="K34" s="15">
        <v>277</v>
      </c>
      <c r="L34" s="1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ht="12.95" customHeight="1">
      <c r="A35" s="2"/>
      <c r="B35" s="14" t="s">
        <v>35</v>
      </c>
      <c r="C35" s="15">
        <v>44</v>
      </c>
      <c r="D35" s="15">
        <v>26</v>
      </c>
      <c r="E35" s="15">
        <v>18</v>
      </c>
      <c r="F35" s="15">
        <v>28</v>
      </c>
      <c r="G35" s="15">
        <v>16</v>
      </c>
      <c r="H35" s="15">
        <v>12</v>
      </c>
      <c r="I35" s="15">
        <v>16</v>
      </c>
      <c r="J35" s="15">
        <v>10</v>
      </c>
      <c r="K35" s="15">
        <v>6</v>
      </c>
      <c r="L35" s="1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12.95" customHeight="1">
      <c r="A36" s="2"/>
      <c r="B36" s="14" t="s">
        <v>36</v>
      </c>
      <c r="C36" s="15">
        <v>190</v>
      </c>
      <c r="D36" s="15">
        <v>100</v>
      </c>
      <c r="E36" s="15">
        <v>90</v>
      </c>
      <c r="F36" s="15">
        <v>56</v>
      </c>
      <c r="G36" s="15">
        <v>27</v>
      </c>
      <c r="H36" s="15">
        <v>29</v>
      </c>
      <c r="I36" s="15">
        <v>134</v>
      </c>
      <c r="J36" s="15">
        <v>73</v>
      </c>
      <c r="K36" s="15">
        <v>61</v>
      </c>
      <c r="L36" s="1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12.95" customHeight="1">
      <c r="A37" s="2"/>
      <c r="B37" s="16" t="s">
        <v>37</v>
      </c>
      <c r="C37" s="15">
        <v>81</v>
      </c>
      <c r="D37" s="15">
        <v>38</v>
      </c>
      <c r="E37" s="15">
        <v>43</v>
      </c>
      <c r="F37" s="15">
        <v>23</v>
      </c>
      <c r="G37" s="15">
        <v>12</v>
      </c>
      <c r="H37" s="15">
        <v>11</v>
      </c>
      <c r="I37" s="15">
        <v>58</v>
      </c>
      <c r="J37" s="15">
        <v>26</v>
      </c>
      <c r="K37" s="15">
        <v>32</v>
      </c>
      <c r="L37" s="1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12.95" customHeight="1">
      <c r="A38" s="2"/>
      <c r="B38" s="14" t="s">
        <v>38</v>
      </c>
      <c r="C38" s="15">
        <v>75</v>
      </c>
      <c r="D38" s="15">
        <v>33</v>
      </c>
      <c r="E38" s="15">
        <v>42</v>
      </c>
      <c r="F38" s="15">
        <v>28</v>
      </c>
      <c r="G38" s="15">
        <v>13</v>
      </c>
      <c r="H38" s="15">
        <v>15</v>
      </c>
      <c r="I38" s="15">
        <v>47</v>
      </c>
      <c r="J38" s="15">
        <v>20</v>
      </c>
      <c r="K38" s="15">
        <v>27</v>
      </c>
      <c r="L38" s="1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12.95" customHeight="1">
      <c r="A39" s="2"/>
      <c r="B39" s="14" t="s">
        <v>39</v>
      </c>
      <c r="C39" s="15">
        <v>357</v>
      </c>
      <c r="D39" s="15">
        <v>197</v>
      </c>
      <c r="E39" s="15">
        <v>160</v>
      </c>
      <c r="F39" s="15">
        <v>57</v>
      </c>
      <c r="G39" s="15">
        <v>29</v>
      </c>
      <c r="H39" s="15">
        <v>28</v>
      </c>
      <c r="I39" s="15">
        <v>300</v>
      </c>
      <c r="J39" s="15">
        <v>168</v>
      </c>
      <c r="K39" s="15">
        <v>132</v>
      </c>
      <c r="L39" s="1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12.95" customHeight="1">
      <c r="A40" s="2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12.95" customHeight="1">
      <c r="A41" s="2"/>
      <c r="B41" s="10" t="s">
        <v>40</v>
      </c>
      <c r="C41" s="11">
        <f>SUM(C42:C57)</f>
        <v>8857</v>
      </c>
      <c r="D41" s="11">
        <f t="shared" ref="D41:K41" si="3">SUM(D42:D57)</f>
        <v>4522</v>
      </c>
      <c r="E41" s="11">
        <f t="shared" si="3"/>
        <v>4335</v>
      </c>
      <c r="F41" s="11">
        <f t="shared" si="3"/>
        <v>4382</v>
      </c>
      <c r="G41" s="11">
        <f t="shared" si="3"/>
        <v>2239</v>
      </c>
      <c r="H41" s="11">
        <f t="shared" si="3"/>
        <v>2143</v>
      </c>
      <c r="I41" s="11">
        <f t="shared" si="3"/>
        <v>4475</v>
      </c>
      <c r="J41" s="11">
        <f t="shared" si="3"/>
        <v>2283</v>
      </c>
      <c r="K41" s="11">
        <f t="shared" si="3"/>
        <v>2192</v>
      </c>
      <c r="L41" s="1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ht="12.95" customHeight="1">
      <c r="A42" s="2"/>
      <c r="B42" s="14" t="s">
        <v>41</v>
      </c>
      <c r="C42" s="15">
        <v>1574</v>
      </c>
      <c r="D42" s="15">
        <v>802</v>
      </c>
      <c r="E42" s="15">
        <v>772</v>
      </c>
      <c r="F42" s="15">
        <v>1181</v>
      </c>
      <c r="G42" s="15">
        <v>592</v>
      </c>
      <c r="H42" s="15">
        <v>589</v>
      </c>
      <c r="I42" s="15">
        <v>393</v>
      </c>
      <c r="J42" s="15">
        <v>210</v>
      </c>
      <c r="K42" s="15">
        <v>183</v>
      </c>
      <c r="L42" s="12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ht="12.95" customHeight="1">
      <c r="A43" s="2"/>
      <c r="B43" s="14" t="s">
        <v>42</v>
      </c>
      <c r="C43" s="15">
        <v>974</v>
      </c>
      <c r="D43" s="15">
        <v>484</v>
      </c>
      <c r="E43" s="15">
        <v>490</v>
      </c>
      <c r="F43" s="15">
        <v>351</v>
      </c>
      <c r="G43" s="15">
        <v>165</v>
      </c>
      <c r="H43" s="15">
        <v>186</v>
      </c>
      <c r="I43" s="15">
        <v>623</v>
      </c>
      <c r="J43" s="15">
        <v>319</v>
      </c>
      <c r="K43" s="15">
        <v>304</v>
      </c>
      <c r="L43" s="12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ht="12.95" customHeight="1">
      <c r="A44" s="2"/>
      <c r="B44" s="16" t="s">
        <v>43</v>
      </c>
      <c r="C44" s="15">
        <v>799</v>
      </c>
      <c r="D44" s="15">
        <v>406</v>
      </c>
      <c r="E44" s="15">
        <v>393</v>
      </c>
      <c r="F44" s="15">
        <v>553</v>
      </c>
      <c r="G44" s="15">
        <v>284</v>
      </c>
      <c r="H44" s="15">
        <v>269</v>
      </c>
      <c r="I44" s="15">
        <v>246</v>
      </c>
      <c r="J44" s="15">
        <v>122</v>
      </c>
      <c r="K44" s="15">
        <v>124</v>
      </c>
      <c r="L44" s="12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12.95" customHeight="1">
      <c r="A45" s="2"/>
      <c r="B45" s="14" t="s">
        <v>44</v>
      </c>
      <c r="C45" s="15">
        <v>184</v>
      </c>
      <c r="D45" s="15">
        <v>93</v>
      </c>
      <c r="E45" s="15">
        <v>91</v>
      </c>
      <c r="F45" s="15">
        <v>41</v>
      </c>
      <c r="G45" s="15">
        <v>19</v>
      </c>
      <c r="H45" s="15">
        <v>22</v>
      </c>
      <c r="I45" s="15">
        <v>143</v>
      </c>
      <c r="J45" s="15">
        <v>74</v>
      </c>
      <c r="K45" s="15">
        <v>69</v>
      </c>
      <c r="L45" s="12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12.95" customHeight="1">
      <c r="A46" s="2"/>
      <c r="B46" s="14" t="s">
        <v>45</v>
      </c>
      <c r="C46" s="15">
        <v>246</v>
      </c>
      <c r="D46" s="15">
        <v>117</v>
      </c>
      <c r="E46" s="15">
        <v>129</v>
      </c>
      <c r="F46" s="15">
        <v>85</v>
      </c>
      <c r="G46" s="15">
        <v>44</v>
      </c>
      <c r="H46" s="15">
        <v>41</v>
      </c>
      <c r="I46" s="15">
        <v>161</v>
      </c>
      <c r="J46" s="15">
        <v>73</v>
      </c>
      <c r="K46" s="15">
        <v>88</v>
      </c>
      <c r="L46" s="12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12.95" customHeight="1">
      <c r="A47" s="2"/>
      <c r="B47" s="14" t="s">
        <v>46</v>
      </c>
      <c r="C47" s="15">
        <v>1342</v>
      </c>
      <c r="D47" s="15">
        <v>680</v>
      </c>
      <c r="E47" s="15">
        <v>662</v>
      </c>
      <c r="F47" s="15">
        <v>377</v>
      </c>
      <c r="G47" s="15">
        <v>192</v>
      </c>
      <c r="H47" s="15">
        <v>185</v>
      </c>
      <c r="I47" s="15">
        <v>965</v>
      </c>
      <c r="J47" s="15">
        <v>488</v>
      </c>
      <c r="K47" s="15">
        <v>477</v>
      </c>
      <c r="L47" s="1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12.95" customHeight="1">
      <c r="A48" s="2"/>
      <c r="B48" s="14" t="s">
        <v>47</v>
      </c>
      <c r="C48" s="15">
        <v>477</v>
      </c>
      <c r="D48" s="15">
        <v>238</v>
      </c>
      <c r="E48" s="15">
        <v>239</v>
      </c>
      <c r="F48" s="15">
        <v>286</v>
      </c>
      <c r="G48" s="15">
        <v>141</v>
      </c>
      <c r="H48" s="15">
        <v>145</v>
      </c>
      <c r="I48" s="15">
        <v>191</v>
      </c>
      <c r="J48" s="15">
        <v>97</v>
      </c>
      <c r="K48" s="15">
        <v>94</v>
      </c>
      <c r="L48" s="12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1:55" ht="12.95" customHeight="1">
      <c r="A49" s="2"/>
      <c r="B49" s="14" t="s">
        <v>48</v>
      </c>
      <c r="C49" s="15">
        <v>1004</v>
      </c>
      <c r="D49" s="15">
        <v>492</v>
      </c>
      <c r="E49" s="15">
        <v>512</v>
      </c>
      <c r="F49" s="15">
        <v>233</v>
      </c>
      <c r="G49" s="15">
        <v>108</v>
      </c>
      <c r="H49" s="15">
        <v>125</v>
      </c>
      <c r="I49" s="15">
        <v>771</v>
      </c>
      <c r="J49" s="15">
        <v>384</v>
      </c>
      <c r="K49" s="15">
        <v>387</v>
      </c>
      <c r="L49" s="12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  <row r="50" spans="1:55" ht="12.95" customHeight="1">
      <c r="A50" s="2"/>
      <c r="B50" s="16" t="s">
        <v>49</v>
      </c>
      <c r="C50" s="15">
        <v>205</v>
      </c>
      <c r="D50" s="15">
        <v>111</v>
      </c>
      <c r="E50" s="15">
        <v>94</v>
      </c>
      <c r="F50" s="15">
        <v>130</v>
      </c>
      <c r="G50" s="15">
        <v>69</v>
      </c>
      <c r="H50" s="15">
        <v>61</v>
      </c>
      <c r="I50" s="15">
        <v>75</v>
      </c>
      <c r="J50" s="15">
        <v>42</v>
      </c>
      <c r="K50" s="15">
        <v>33</v>
      </c>
      <c r="L50" s="12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spans="1:55" ht="12.95" customHeight="1">
      <c r="A51" s="2"/>
      <c r="B51" s="14" t="s">
        <v>50</v>
      </c>
      <c r="C51" s="15">
        <v>122</v>
      </c>
      <c r="D51" s="15">
        <v>70</v>
      </c>
      <c r="E51" s="15">
        <v>52</v>
      </c>
      <c r="F51" s="15">
        <v>112</v>
      </c>
      <c r="G51" s="15">
        <v>63</v>
      </c>
      <c r="H51" s="15">
        <v>49</v>
      </c>
      <c r="I51" s="15">
        <v>10</v>
      </c>
      <c r="J51" s="15">
        <v>7</v>
      </c>
      <c r="K51" s="15">
        <v>3</v>
      </c>
      <c r="L51" s="12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12.95" customHeight="1">
      <c r="A52" s="2"/>
      <c r="B52" s="14" t="s">
        <v>51</v>
      </c>
      <c r="C52" s="15">
        <v>544</v>
      </c>
      <c r="D52" s="15">
        <v>296</v>
      </c>
      <c r="E52" s="15">
        <v>248</v>
      </c>
      <c r="F52" s="15">
        <v>349</v>
      </c>
      <c r="G52" s="15">
        <v>191</v>
      </c>
      <c r="H52" s="15">
        <v>158</v>
      </c>
      <c r="I52" s="15">
        <v>195</v>
      </c>
      <c r="J52" s="15">
        <v>105</v>
      </c>
      <c r="K52" s="15">
        <v>90</v>
      </c>
      <c r="L52" s="12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</row>
    <row r="53" spans="1:55" ht="12.95" customHeight="1">
      <c r="A53" s="2"/>
      <c r="B53" s="14" t="s">
        <v>52</v>
      </c>
      <c r="C53" s="15">
        <v>408</v>
      </c>
      <c r="D53" s="15">
        <v>209</v>
      </c>
      <c r="E53" s="15">
        <v>199</v>
      </c>
      <c r="F53" s="15">
        <v>78</v>
      </c>
      <c r="G53" s="15">
        <v>39</v>
      </c>
      <c r="H53" s="15">
        <v>39</v>
      </c>
      <c r="I53" s="15">
        <v>330</v>
      </c>
      <c r="J53" s="15">
        <v>170</v>
      </c>
      <c r="K53" s="15">
        <v>160</v>
      </c>
      <c r="L53" s="12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</row>
    <row r="54" spans="1:55" ht="12.95" customHeight="1">
      <c r="A54" s="2"/>
      <c r="B54" s="14" t="s">
        <v>53</v>
      </c>
      <c r="C54" s="15">
        <v>163</v>
      </c>
      <c r="D54" s="15">
        <v>97</v>
      </c>
      <c r="E54" s="15">
        <v>66</v>
      </c>
      <c r="F54" s="15">
        <v>73</v>
      </c>
      <c r="G54" s="15">
        <v>46</v>
      </c>
      <c r="H54" s="15">
        <v>27</v>
      </c>
      <c r="I54" s="15">
        <v>90</v>
      </c>
      <c r="J54" s="15">
        <v>51</v>
      </c>
      <c r="K54" s="15">
        <v>39</v>
      </c>
      <c r="L54" s="12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</row>
    <row r="55" spans="1:55" ht="12.95" customHeight="1">
      <c r="A55" s="2"/>
      <c r="B55" s="14" t="s">
        <v>54</v>
      </c>
      <c r="C55" s="15">
        <v>191</v>
      </c>
      <c r="D55" s="15">
        <v>93</v>
      </c>
      <c r="E55" s="15">
        <v>98</v>
      </c>
      <c r="F55" s="15">
        <v>19</v>
      </c>
      <c r="G55" s="15">
        <v>10</v>
      </c>
      <c r="H55" s="15">
        <v>9</v>
      </c>
      <c r="I55" s="15">
        <v>172</v>
      </c>
      <c r="J55" s="15">
        <v>83</v>
      </c>
      <c r="K55" s="15">
        <v>89</v>
      </c>
      <c r="L55" s="12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 ht="12.95" customHeight="1">
      <c r="A56" s="2"/>
      <c r="B56" s="14" t="s">
        <v>55</v>
      </c>
      <c r="C56" s="15">
        <v>154</v>
      </c>
      <c r="D56" s="15">
        <v>84</v>
      </c>
      <c r="E56" s="15">
        <v>70</v>
      </c>
      <c r="F56" s="15">
        <v>44</v>
      </c>
      <c r="G56" s="15">
        <v>26</v>
      </c>
      <c r="H56" s="15">
        <v>18</v>
      </c>
      <c r="I56" s="15">
        <v>110</v>
      </c>
      <c r="J56" s="15">
        <v>58</v>
      </c>
      <c r="K56" s="15">
        <v>52</v>
      </c>
      <c r="L56" s="12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spans="1:55" ht="12.95" customHeight="1">
      <c r="A57" s="2"/>
      <c r="B57" s="14" t="s">
        <v>56</v>
      </c>
      <c r="C57" s="15">
        <v>470</v>
      </c>
      <c r="D57" s="15">
        <v>250</v>
      </c>
      <c r="E57" s="15">
        <v>220</v>
      </c>
      <c r="F57" s="15">
        <v>470</v>
      </c>
      <c r="G57" s="15">
        <v>250</v>
      </c>
      <c r="H57" s="15">
        <v>220</v>
      </c>
      <c r="I57" s="15">
        <v>0</v>
      </c>
      <c r="J57" s="15">
        <v>0</v>
      </c>
      <c r="K57" s="15">
        <v>0</v>
      </c>
      <c r="L57" s="12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spans="1:55" ht="12.95" customHeight="1">
      <c r="A58" s="2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2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1:55" ht="12.95" customHeight="1">
      <c r="A59" s="2"/>
      <c r="B59" s="10" t="s">
        <v>57</v>
      </c>
      <c r="C59" s="17">
        <f>SUM(C60:C92)</f>
        <v>3268</v>
      </c>
      <c r="D59" s="17">
        <f t="shared" ref="D59:K59" si="4">SUM(D60:D92)</f>
        <v>1737</v>
      </c>
      <c r="E59" s="17">
        <f t="shared" si="4"/>
        <v>1531</v>
      </c>
      <c r="F59" s="17">
        <f t="shared" si="4"/>
        <v>1570</v>
      </c>
      <c r="G59" s="17">
        <f t="shared" si="4"/>
        <v>848</v>
      </c>
      <c r="H59" s="17">
        <f t="shared" si="4"/>
        <v>722</v>
      </c>
      <c r="I59" s="17">
        <f t="shared" si="4"/>
        <v>1698</v>
      </c>
      <c r="J59" s="17">
        <f t="shared" si="4"/>
        <v>889</v>
      </c>
      <c r="K59" s="17">
        <f t="shared" si="4"/>
        <v>809</v>
      </c>
      <c r="L59" s="12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spans="1:55" ht="12.95" customHeight="1">
      <c r="A60" s="2"/>
      <c r="B60" s="14" t="s">
        <v>58</v>
      </c>
      <c r="C60" s="15">
        <v>498</v>
      </c>
      <c r="D60" s="15">
        <v>283</v>
      </c>
      <c r="E60" s="15">
        <v>215</v>
      </c>
      <c r="F60" s="15">
        <v>362</v>
      </c>
      <c r="G60" s="15">
        <v>208</v>
      </c>
      <c r="H60" s="15">
        <v>154</v>
      </c>
      <c r="I60" s="15">
        <v>136</v>
      </c>
      <c r="J60" s="15">
        <v>75</v>
      </c>
      <c r="K60" s="15">
        <v>61</v>
      </c>
      <c r="L60" s="12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 ht="12.95" customHeight="1">
      <c r="A61" s="2"/>
      <c r="B61" s="14" t="s">
        <v>59</v>
      </c>
      <c r="C61" s="15">
        <v>162</v>
      </c>
      <c r="D61" s="15">
        <v>84</v>
      </c>
      <c r="E61" s="15">
        <v>78</v>
      </c>
      <c r="F61" s="15">
        <v>85</v>
      </c>
      <c r="G61" s="15">
        <v>45</v>
      </c>
      <c r="H61" s="15">
        <v>40</v>
      </c>
      <c r="I61" s="15">
        <v>77</v>
      </c>
      <c r="J61" s="15">
        <v>39</v>
      </c>
      <c r="K61" s="15">
        <v>38</v>
      </c>
      <c r="L61" s="12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spans="1:55" ht="12.95" customHeight="1">
      <c r="A62" s="2"/>
      <c r="B62" s="14" t="s">
        <v>60</v>
      </c>
      <c r="C62" s="15">
        <v>28</v>
      </c>
      <c r="D62" s="15">
        <v>18</v>
      </c>
      <c r="E62" s="15">
        <v>10</v>
      </c>
      <c r="F62" s="15">
        <v>14</v>
      </c>
      <c r="G62" s="15">
        <v>7</v>
      </c>
      <c r="H62" s="15">
        <v>7</v>
      </c>
      <c r="I62" s="15">
        <v>14</v>
      </c>
      <c r="J62" s="15">
        <v>11</v>
      </c>
      <c r="K62" s="15">
        <v>3</v>
      </c>
      <c r="L62" s="12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spans="1:55" ht="12.95" customHeight="1">
      <c r="A63" s="2"/>
      <c r="B63" s="14" t="s">
        <v>61</v>
      </c>
      <c r="C63" s="15">
        <v>16</v>
      </c>
      <c r="D63" s="15">
        <v>10</v>
      </c>
      <c r="E63" s="15">
        <v>6</v>
      </c>
      <c r="F63" s="15">
        <v>11</v>
      </c>
      <c r="G63" s="15">
        <v>6</v>
      </c>
      <c r="H63" s="15">
        <v>5</v>
      </c>
      <c r="I63" s="15">
        <v>5</v>
      </c>
      <c r="J63" s="15">
        <v>4</v>
      </c>
      <c r="K63" s="15">
        <v>1</v>
      </c>
      <c r="L63" s="12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spans="1:55" ht="12.95" customHeight="1">
      <c r="A64" s="2"/>
      <c r="B64" s="14" t="s">
        <v>62</v>
      </c>
      <c r="C64" s="15">
        <v>35</v>
      </c>
      <c r="D64" s="15">
        <v>17</v>
      </c>
      <c r="E64" s="15">
        <v>18</v>
      </c>
      <c r="F64" s="15">
        <v>19</v>
      </c>
      <c r="G64" s="15">
        <v>10</v>
      </c>
      <c r="H64" s="15">
        <v>9</v>
      </c>
      <c r="I64" s="15">
        <v>16</v>
      </c>
      <c r="J64" s="15">
        <v>7</v>
      </c>
      <c r="K64" s="15">
        <v>9</v>
      </c>
      <c r="L64" s="12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5" spans="1:55" ht="12.95" customHeight="1">
      <c r="A65" s="2"/>
      <c r="B65" s="14" t="s">
        <v>63</v>
      </c>
      <c r="C65" s="15">
        <v>107</v>
      </c>
      <c r="D65" s="15">
        <v>56</v>
      </c>
      <c r="E65" s="15">
        <v>51</v>
      </c>
      <c r="F65" s="15">
        <v>41</v>
      </c>
      <c r="G65" s="15">
        <v>25</v>
      </c>
      <c r="H65" s="15">
        <v>16</v>
      </c>
      <c r="I65" s="15">
        <v>66</v>
      </c>
      <c r="J65" s="15">
        <v>31</v>
      </c>
      <c r="K65" s="15">
        <v>35</v>
      </c>
      <c r="L65" s="12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spans="1:55" ht="12.95" customHeight="1">
      <c r="A66" s="2"/>
      <c r="B66" s="14" t="s">
        <v>64</v>
      </c>
      <c r="C66" s="15">
        <v>54</v>
      </c>
      <c r="D66" s="15">
        <v>26</v>
      </c>
      <c r="E66" s="15">
        <v>28</v>
      </c>
      <c r="F66" s="15">
        <v>12</v>
      </c>
      <c r="G66" s="15">
        <v>8</v>
      </c>
      <c r="H66" s="15">
        <v>4</v>
      </c>
      <c r="I66" s="15">
        <v>42</v>
      </c>
      <c r="J66" s="15">
        <v>18</v>
      </c>
      <c r="K66" s="15">
        <v>24</v>
      </c>
      <c r="L66" s="12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spans="1:55" ht="12.95" customHeight="1">
      <c r="A67" s="2"/>
      <c r="B67" s="14" t="s">
        <v>65</v>
      </c>
      <c r="C67" s="15">
        <v>108</v>
      </c>
      <c r="D67" s="15">
        <v>63</v>
      </c>
      <c r="E67" s="15">
        <v>45</v>
      </c>
      <c r="F67" s="15">
        <v>84</v>
      </c>
      <c r="G67" s="15">
        <v>51</v>
      </c>
      <c r="H67" s="15">
        <v>33</v>
      </c>
      <c r="I67" s="15">
        <v>24</v>
      </c>
      <c r="J67" s="15">
        <v>12</v>
      </c>
      <c r="K67" s="15">
        <v>12</v>
      </c>
      <c r="L67" s="12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</row>
    <row r="68" spans="1:55" ht="12.95" customHeight="1">
      <c r="A68" s="2"/>
      <c r="B68" s="14" t="s">
        <v>66</v>
      </c>
      <c r="C68" s="15">
        <v>85</v>
      </c>
      <c r="D68" s="15">
        <v>46</v>
      </c>
      <c r="E68" s="15">
        <v>39</v>
      </c>
      <c r="F68" s="15">
        <v>46</v>
      </c>
      <c r="G68" s="15">
        <v>23</v>
      </c>
      <c r="H68" s="15">
        <v>23</v>
      </c>
      <c r="I68" s="15">
        <v>39</v>
      </c>
      <c r="J68" s="15">
        <v>23</v>
      </c>
      <c r="K68" s="15">
        <v>16</v>
      </c>
      <c r="L68" s="12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spans="1:55" ht="12.95" customHeight="1">
      <c r="A69" s="2"/>
      <c r="B69" s="14" t="s">
        <v>67</v>
      </c>
      <c r="C69" s="15">
        <v>43</v>
      </c>
      <c r="D69" s="15">
        <v>27</v>
      </c>
      <c r="E69" s="15">
        <v>16</v>
      </c>
      <c r="F69" s="15">
        <v>13</v>
      </c>
      <c r="G69" s="15">
        <v>6</v>
      </c>
      <c r="H69" s="15">
        <v>7</v>
      </c>
      <c r="I69" s="15">
        <v>30</v>
      </c>
      <c r="J69" s="15">
        <v>21</v>
      </c>
      <c r="K69" s="15">
        <v>9</v>
      </c>
      <c r="L69" s="12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1:55" ht="12.95" customHeight="1">
      <c r="A70" s="2"/>
      <c r="B70" s="14" t="s">
        <v>68</v>
      </c>
      <c r="C70" s="15">
        <v>189</v>
      </c>
      <c r="D70" s="15">
        <v>97</v>
      </c>
      <c r="E70" s="15">
        <v>92</v>
      </c>
      <c r="F70" s="15">
        <v>84</v>
      </c>
      <c r="G70" s="15">
        <v>44</v>
      </c>
      <c r="H70" s="15">
        <v>40</v>
      </c>
      <c r="I70" s="15">
        <v>105</v>
      </c>
      <c r="J70" s="15">
        <v>53</v>
      </c>
      <c r="K70" s="15">
        <v>52</v>
      </c>
      <c r="L70" s="12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1:55" ht="12.95" customHeight="1">
      <c r="A71" s="2"/>
      <c r="B71" s="14" t="s">
        <v>69</v>
      </c>
      <c r="C71" s="15">
        <v>68</v>
      </c>
      <c r="D71" s="15">
        <v>36</v>
      </c>
      <c r="E71" s="15">
        <v>32</v>
      </c>
      <c r="F71" s="15">
        <v>25</v>
      </c>
      <c r="G71" s="15">
        <v>13</v>
      </c>
      <c r="H71" s="15">
        <v>12</v>
      </c>
      <c r="I71" s="15">
        <v>43</v>
      </c>
      <c r="J71" s="15">
        <v>23</v>
      </c>
      <c r="K71" s="15">
        <v>20</v>
      </c>
      <c r="L71" s="12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1:55" ht="12.95" customHeight="1">
      <c r="A72" s="2"/>
      <c r="B72" s="14" t="s">
        <v>70</v>
      </c>
      <c r="C72" s="15">
        <v>272</v>
      </c>
      <c r="D72" s="15">
        <v>143</v>
      </c>
      <c r="E72" s="15">
        <v>129</v>
      </c>
      <c r="F72" s="15">
        <v>88</v>
      </c>
      <c r="G72" s="15">
        <v>54</v>
      </c>
      <c r="H72" s="15">
        <v>34</v>
      </c>
      <c r="I72" s="15">
        <v>184</v>
      </c>
      <c r="J72" s="15">
        <v>89</v>
      </c>
      <c r="K72" s="15">
        <v>95</v>
      </c>
      <c r="L72" s="12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1:55" ht="12.95" customHeight="1">
      <c r="A73" s="2"/>
      <c r="B73" s="14" t="s">
        <v>71</v>
      </c>
      <c r="C73" s="15">
        <v>123</v>
      </c>
      <c r="D73" s="15">
        <v>64</v>
      </c>
      <c r="E73" s="15">
        <v>59</v>
      </c>
      <c r="F73" s="15">
        <v>93</v>
      </c>
      <c r="G73" s="15">
        <v>48</v>
      </c>
      <c r="H73" s="15">
        <v>45</v>
      </c>
      <c r="I73" s="15">
        <v>30</v>
      </c>
      <c r="J73" s="15">
        <v>16</v>
      </c>
      <c r="K73" s="15">
        <v>14</v>
      </c>
      <c r="L73" s="12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1:55" ht="12.95" customHeight="1">
      <c r="A74" s="2"/>
      <c r="B74" s="14" t="s">
        <v>72</v>
      </c>
      <c r="C74" s="15">
        <v>21</v>
      </c>
      <c r="D74" s="15">
        <v>15</v>
      </c>
      <c r="E74" s="15">
        <v>6</v>
      </c>
      <c r="F74" s="15">
        <v>14</v>
      </c>
      <c r="G74" s="15">
        <v>11</v>
      </c>
      <c r="H74" s="15">
        <v>3</v>
      </c>
      <c r="I74" s="15">
        <v>7</v>
      </c>
      <c r="J74" s="15">
        <v>4</v>
      </c>
      <c r="K74" s="15">
        <v>3</v>
      </c>
      <c r="L74" s="12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55" ht="12.95" customHeight="1">
      <c r="A75" s="2"/>
      <c r="B75" s="14" t="s">
        <v>73</v>
      </c>
      <c r="C75" s="15">
        <v>25</v>
      </c>
      <c r="D75" s="15">
        <v>18</v>
      </c>
      <c r="E75" s="15">
        <v>7</v>
      </c>
      <c r="F75" s="15">
        <v>23</v>
      </c>
      <c r="G75" s="15">
        <v>16</v>
      </c>
      <c r="H75" s="15">
        <v>7</v>
      </c>
      <c r="I75" s="15">
        <v>2</v>
      </c>
      <c r="J75" s="15">
        <v>2</v>
      </c>
      <c r="K75" s="15">
        <v>0</v>
      </c>
      <c r="L75" s="12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55" ht="12.95" customHeight="1">
      <c r="A76" s="2"/>
      <c r="B76" s="14" t="s">
        <v>74</v>
      </c>
      <c r="C76" s="15">
        <v>67</v>
      </c>
      <c r="D76" s="15">
        <v>33</v>
      </c>
      <c r="E76" s="15">
        <v>34</v>
      </c>
      <c r="F76" s="15">
        <v>19</v>
      </c>
      <c r="G76" s="15">
        <v>10</v>
      </c>
      <c r="H76" s="15">
        <v>9</v>
      </c>
      <c r="I76" s="15">
        <v>48</v>
      </c>
      <c r="J76" s="15">
        <v>23</v>
      </c>
      <c r="K76" s="15">
        <v>25</v>
      </c>
      <c r="L76" s="12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spans="1:55" ht="12.95" customHeight="1">
      <c r="A77" s="2"/>
      <c r="B77" s="14" t="s">
        <v>75</v>
      </c>
      <c r="C77" s="15">
        <v>557</v>
      </c>
      <c r="D77" s="15">
        <v>283</v>
      </c>
      <c r="E77" s="15">
        <v>274</v>
      </c>
      <c r="F77" s="15">
        <v>228</v>
      </c>
      <c r="G77" s="15">
        <v>108</v>
      </c>
      <c r="H77" s="15">
        <v>120</v>
      </c>
      <c r="I77" s="15">
        <v>329</v>
      </c>
      <c r="J77" s="15">
        <v>175</v>
      </c>
      <c r="K77" s="15">
        <v>154</v>
      </c>
      <c r="L77" s="12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spans="1:55" ht="12.95" customHeight="1">
      <c r="A78" s="2"/>
      <c r="B78" s="14" t="s">
        <v>76</v>
      </c>
      <c r="C78" s="15">
        <v>27</v>
      </c>
      <c r="D78" s="15">
        <v>15</v>
      </c>
      <c r="E78" s="15">
        <v>12</v>
      </c>
      <c r="F78" s="15">
        <v>7</v>
      </c>
      <c r="G78" s="15">
        <v>3</v>
      </c>
      <c r="H78" s="15">
        <v>4</v>
      </c>
      <c r="I78" s="15">
        <v>20</v>
      </c>
      <c r="J78" s="15">
        <v>12</v>
      </c>
      <c r="K78" s="15">
        <v>8</v>
      </c>
      <c r="L78" s="12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 ht="12.95" customHeight="1">
      <c r="A79" s="2"/>
      <c r="B79" s="14" t="s">
        <v>77</v>
      </c>
      <c r="C79" s="15">
        <v>50</v>
      </c>
      <c r="D79" s="15">
        <v>24</v>
      </c>
      <c r="E79" s="15">
        <v>26</v>
      </c>
      <c r="F79" s="15">
        <v>24</v>
      </c>
      <c r="G79" s="15">
        <v>13</v>
      </c>
      <c r="H79" s="15">
        <v>11</v>
      </c>
      <c r="I79" s="15">
        <v>26</v>
      </c>
      <c r="J79" s="15">
        <v>11</v>
      </c>
      <c r="K79" s="15">
        <v>15</v>
      </c>
      <c r="L79" s="12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 ht="12.95" customHeight="1">
      <c r="A80" s="2"/>
      <c r="B80" s="14" t="s">
        <v>78</v>
      </c>
      <c r="C80" s="15">
        <v>22</v>
      </c>
      <c r="D80" s="15">
        <v>14</v>
      </c>
      <c r="E80" s="15">
        <v>8</v>
      </c>
      <c r="F80" s="15">
        <v>16</v>
      </c>
      <c r="G80" s="15">
        <v>10</v>
      </c>
      <c r="H80" s="15">
        <v>6</v>
      </c>
      <c r="I80" s="15">
        <v>6</v>
      </c>
      <c r="J80" s="15">
        <v>4</v>
      </c>
      <c r="K80" s="15">
        <v>2</v>
      </c>
      <c r="L80" s="12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 ht="12.95" customHeight="1">
      <c r="A81" s="2"/>
      <c r="B81" s="14" t="s">
        <v>79</v>
      </c>
      <c r="C81" s="15">
        <v>20</v>
      </c>
      <c r="D81" s="15">
        <v>9</v>
      </c>
      <c r="E81" s="15">
        <v>11</v>
      </c>
      <c r="F81" s="15">
        <v>8</v>
      </c>
      <c r="G81" s="15">
        <v>3</v>
      </c>
      <c r="H81" s="15">
        <v>5</v>
      </c>
      <c r="I81" s="15">
        <v>12</v>
      </c>
      <c r="J81" s="15">
        <v>6</v>
      </c>
      <c r="K81" s="15">
        <v>6</v>
      </c>
      <c r="L81" s="12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 ht="12.95" customHeight="1">
      <c r="A82" s="2"/>
      <c r="B82" s="14" t="s">
        <v>80</v>
      </c>
      <c r="C82" s="15">
        <v>10</v>
      </c>
      <c r="D82" s="15">
        <v>3</v>
      </c>
      <c r="E82" s="15">
        <v>7</v>
      </c>
      <c r="F82" s="15">
        <v>10</v>
      </c>
      <c r="G82" s="15">
        <v>3</v>
      </c>
      <c r="H82" s="15">
        <v>7</v>
      </c>
      <c r="I82" s="15">
        <v>0</v>
      </c>
      <c r="J82" s="15">
        <v>0</v>
      </c>
      <c r="K82" s="15">
        <v>0</v>
      </c>
      <c r="L82" s="12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 ht="12.95" customHeight="1">
      <c r="A83" s="2"/>
      <c r="B83" s="14" t="s">
        <v>81</v>
      </c>
      <c r="C83" s="15">
        <v>41</v>
      </c>
      <c r="D83" s="15">
        <v>19</v>
      </c>
      <c r="E83" s="15">
        <v>22</v>
      </c>
      <c r="F83" s="15">
        <v>13</v>
      </c>
      <c r="G83" s="15">
        <v>4</v>
      </c>
      <c r="H83" s="15">
        <v>9</v>
      </c>
      <c r="I83" s="15">
        <v>28</v>
      </c>
      <c r="J83" s="15">
        <v>15</v>
      </c>
      <c r="K83" s="15">
        <v>13</v>
      </c>
      <c r="L83" s="12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1:55" ht="12.95" customHeight="1">
      <c r="A84" s="2"/>
      <c r="B84" s="14" t="s">
        <v>82</v>
      </c>
      <c r="C84" s="15">
        <v>13</v>
      </c>
      <c r="D84" s="15">
        <v>7</v>
      </c>
      <c r="E84" s="15">
        <v>6</v>
      </c>
      <c r="F84" s="15">
        <v>13</v>
      </c>
      <c r="G84" s="15">
        <v>7</v>
      </c>
      <c r="H84" s="15">
        <v>6</v>
      </c>
      <c r="I84" s="15">
        <v>0</v>
      </c>
      <c r="J84" s="15">
        <v>0</v>
      </c>
      <c r="K84" s="15">
        <v>0</v>
      </c>
      <c r="L84" s="12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spans="1:55" ht="12.95" customHeight="1">
      <c r="A85" s="2"/>
      <c r="B85" s="14" t="s">
        <v>83</v>
      </c>
      <c r="C85" s="15">
        <v>30</v>
      </c>
      <c r="D85" s="15">
        <v>16</v>
      </c>
      <c r="E85" s="15">
        <v>14</v>
      </c>
      <c r="F85" s="15">
        <v>15</v>
      </c>
      <c r="G85" s="15">
        <v>6</v>
      </c>
      <c r="H85" s="15">
        <v>9</v>
      </c>
      <c r="I85" s="15">
        <v>15</v>
      </c>
      <c r="J85" s="15">
        <v>10</v>
      </c>
      <c r="K85" s="15">
        <v>5</v>
      </c>
      <c r="L85" s="12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spans="1:55" ht="12.95" customHeight="1">
      <c r="A86" s="2"/>
      <c r="B86" s="14" t="s">
        <v>84</v>
      </c>
      <c r="C86" s="15">
        <v>164</v>
      </c>
      <c r="D86" s="15">
        <v>79</v>
      </c>
      <c r="E86" s="15">
        <v>85</v>
      </c>
      <c r="F86" s="15">
        <v>32</v>
      </c>
      <c r="G86" s="15">
        <v>12</v>
      </c>
      <c r="H86" s="15">
        <v>20</v>
      </c>
      <c r="I86" s="15">
        <v>132</v>
      </c>
      <c r="J86" s="15">
        <v>67</v>
      </c>
      <c r="K86" s="15">
        <v>65</v>
      </c>
      <c r="L86" s="12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spans="1:55" ht="12.95" customHeight="1">
      <c r="A87" s="2"/>
      <c r="B87" s="14" t="s">
        <v>85</v>
      </c>
      <c r="C87" s="15">
        <v>10</v>
      </c>
      <c r="D87" s="15">
        <v>5</v>
      </c>
      <c r="E87" s="15">
        <v>5</v>
      </c>
      <c r="F87" s="15">
        <v>7</v>
      </c>
      <c r="G87" s="15">
        <v>3</v>
      </c>
      <c r="H87" s="15">
        <v>4</v>
      </c>
      <c r="I87" s="15">
        <v>3</v>
      </c>
      <c r="J87" s="15">
        <v>2</v>
      </c>
      <c r="K87" s="15">
        <v>1</v>
      </c>
      <c r="L87" s="12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</row>
    <row r="88" spans="1:55" ht="12.95" customHeight="1">
      <c r="A88" s="2"/>
      <c r="B88" s="14" t="s">
        <v>86</v>
      </c>
      <c r="C88" s="15">
        <v>13</v>
      </c>
      <c r="D88" s="15">
        <v>5</v>
      </c>
      <c r="E88" s="15">
        <v>8</v>
      </c>
      <c r="F88" s="15">
        <v>9</v>
      </c>
      <c r="G88" s="15">
        <v>5</v>
      </c>
      <c r="H88" s="15">
        <v>4</v>
      </c>
      <c r="I88" s="15">
        <v>4</v>
      </c>
      <c r="J88" s="15">
        <v>0</v>
      </c>
      <c r="K88" s="15">
        <v>4</v>
      </c>
      <c r="L88" s="12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spans="1:55" ht="12.95" customHeight="1">
      <c r="A89" s="2"/>
      <c r="B89" s="14" t="s">
        <v>87</v>
      </c>
      <c r="C89" s="15">
        <v>29</v>
      </c>
      <c r="D89" s="15">
        <v>18</v>
      </c>
      <c r="E89" s="15">
        <v>11</v>
      </c>
      <c r="F89" s="15">
        <v>15</v>
      </c>
      <c r="G89" s="15">
        <v>9</v>
      </c>
      <c r="H89" s="15">
        <v>6</v>
      </c>
      <c r="I89" s="15">
        <v>14</v>
      </c>
      <c r="J89" s="15">
        <v>9</v>
      </c>
      <c r="K89" s="15">
        <v>5</v>
      </c>
      <c r="L89" s="12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spans="1:55" ht="12.95" customHeight="1">
      <c r="A90" s="2"/>
      <c r="B90" s="14" t="s">
        <v>88</v>
      </c>
      <c r="C90" s="15">
        <v>63</v>
      </c>
      <c r="D90" s="15">
        <v>40</v>
      </c>
      <c r="E90" s="15">
        <v>23</v>
      </c>
      <c r="F90" s="15">
        <v>39</v>
      </c>
      <c r="G90" s="15">
        <v>25</v>
      </c>
      <c r="H90" s="15">
        <v>14</v>
      </c>
      <c r="I90" s="15">
        <v>24</v>
      </c>
      <c r="J90" s="15">
        <v>15</v>
      </c>
      <c r="K90" s="15">
        <v>9</v>
      </c>
      <c r="L90" s="12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spans="1:55" ht="12.95" customHeight="1">
      <c r="A91" s="2"/>
      <c r="B91" s="14" t="s">
        <v>89</v>
      </c>
      <c r="C91" s="15">
        <v>63</v>
      </c>
      <c r="D91" s="15">
        <v>35</v>
      </c>
      <c r="E91" s="15">
        <v>28</v>
      </c>
      <c r="F91" s="15">
        <v>34</v>
      </c>
      <c r="G91" s="15">
        <v>21</v>
      </c>
      <c r="H91" s="15">
        <v>13</v>
      </c>
      <c r="I91" s="15">
        <v>29</v>
      </c>
      <c r="J91" s="15">
        <v>14</v>
      </c>
      <c r="K91" s="15">
        <v>15</v>
      </c>
      <c r="L91" s="12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spans="1:55" ht="12.95" customHeight="1">
      <c r="A92" s="2"/>
      <c r="B92" s="14" t="s">
        <v>90</v>
      </c>
      <c r="C92" s="15">
        <v>255</v>
      </c>
      <c r="D92" s="15">
        <v>129</v>
      </c>
      <c r="E92" s="15">
        <v>126</v>
      </c>
      <c r="F92" s="15">
        <v>67</v>
      </c>
      <c r="G92" s="15">
        <v>31</v>
      </c>
      <c r="H92" s="15">
        <v>36</v>
      </c>
      <c r="I92" s="15">
        <v>188</v>
      </c>
      <c r="J92" s="15">
        <v>98</v>
      </c>
      <c r="K92" s="15">
        <v>90</v>
      </c>
      <c r="L92" s="12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spans="1:55" ht="12.95" customHeight="1">
      <c r="A93" s="2"/>
      <c r="B93" s="8"/>
      <c r="C93" s="15" t="s">
        <v>12</v>
      </c>
      <c r="D93" s="13"/>
      <c r="E93" s="13"/>
      <c r="F93" s="13"/>
      <c r="G93" s="13"/>
      <c r="H93" s="13"/>
      <c r="I93" s="13"/>
      <c r="J93" s="13"/>
      <c r="K93" s="13"/>
      <c r="L93" s="12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spans="1:55" ht="12.95" customHeight="1">
      <c r="A94" s="2"/>
      <c r="B94" s="10" t="s">
        <v>91</v>
      </c>
      <c r="C94" s="11">
        <f>SUM(C95:C116)</f>
        <v>11864</v>
      </c>
      <c r="D94" s="11">
        <f t="shared" ref="D94:K94" si="5">SUM(D95:D116)</f>
        <v>6231</v>
      </c>
      <c r="E94" s="11">
        <f t="shared" si="5"/>
        <v>5633</v>
      </c>
      <c r="F94" s="11">
        <f t="shared" si="5"/>
        <v>7631</v>
      </c>
      <c r="G94" s="11">
        <f t="shared" si="5"/>
        <v>4016</v>
      </c>
      <c r="H94" s="11">
        <f t="shared" si="5"/>
        <v>3615</v>
      </c>
      <c r="I94" s="11">
        <f t="shared" si="5"/>
        <v>4233</v>
      </c>
      <c r="J94" s="11">
        <f t="shared" si="5"/>
        <v>2215</v>
      </c>
      <c r="K94" s="11">
        <f t="shared" si="5"/>
        <v>2018</v>
      </c>
      <c r="L94" s="12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spans="1:55" ht="12.95" customHeight="1">
      <c r="A95" s="2"/>
      <c r="B95" s="14" t="s">
        <v>92</v>
      </c>
      <c r="C95" s="15">
        <v>2518</v>
      </c>
      <c r="D95" s="15">
        <v>1330</v>
      </c>
      <c r="E95" s="15">
        <v>1188</v>
      </c>
      <c r="F95" s="15">
        <v>2059</v>
      </c>
      <c r="G95" s="15">
        <v>1075</v>
      </c>
      <c r="H95" s="15">
        <v>984</v>
      </c>
      <c r="I95" s="15">
        <v>459</v>
      </c>
      <c r="J95" s="15">
        <v>255</v>
      </c>
      <c r="K95" s="15">
        <v>204</v>
      </c>
      <c r="L95" s="12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1:55" ht="12.95" customHeight="1">
      <c r="A96" s="2"/>
      <c r="B96" s="14" t="s">
        <v>93</v>
      </c>
      <c r="C96" s="15">
        <v>276</v>
      </c>
      <c r="D96" s="15">
        <v>145</v>
      </c>
      <c r="E96" s="15">
        <v>131</v>
      </c>
      <c r="F96" s="15">
        <v>276</v>
      </c>
      <c r="G96" s="15">
        <v>145</v>
      </c>
      <c r="H96" s="15">
        <v>131</v>
      </c>
      <c r="I96" s="15">
        <v>0</v>
      </c>
      <c r="J96" s="15">
        <v>0</v>
      </c>
      <c r="K96" s="15">
        <v>0</v>
      </c>
      <c r="L96" s="12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1:55" ht="12.95" customHeight="1">
      <c r="A97" s="2"/>
      <c r="B97" s="14" t="s">
        <v>94</v>
      </c>
      <c r="C97" s="15">
        <v>1011</v>
      </c>
      <c r="D97" s="15">
        <v>527</v>
      </c>
      <c r="E97" s="15">
        <v>484</v>
      </c>
      <c r="F97" s="15">
        <v>508</v>
      </c>
      <c r="G97" s="15">
        <v>258</v>
      </c>
      <c r="H97" s="15">
        <v>250</v>
      </c>
      <c r="I97" s="15">
        <v>503</v>
      </c>
      <c r="J97" s="15">
        <v>269</v>
      </c>
      <c r="K97" s="15">
        <v>234</v>
      </c>
      <c r="L97" s="12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1:55" ht="12.95" customHeight="1">
      <c r="A98" s="2"/>
      <c r="B98" s="14" t="s">
        <v>95</v>
      </c>
      <c r="C98" s="15">
        <v>1840</v>
      </c>
      <c r="D98" s="15">
        <v>985</v>
      </c>
      <c r="E98" s="15">
        <v>855</v>
      </c>
      <c r="F98" s="15">
        <v>1822</v>
      </c>
      <c r="G98" s="15">
        <v>978</v>
      </c>
      <c r="H98" s="15">
        <v>844</v>
      </c>
      <c r="I98" s="15">
        <v>18</v>
      </c>
      <c r="J98" s="15">
        <v>7</v>
      </c>
      <c r="K98" s="15">
        <v>11</v>
      </c>
      <c r="L98" s="12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spans="1:55" ht="12.95" customHeight="1">
      <c r="A99" s="2"/>
      <c r="B99" s="14" t="s">
        <v>96</v>
      </c>
      <c r="C99" s="15">
        <v>275</v>
      </c>
      <c r="D99" s="15">
        <v>127</v>
      </c>
      <c r="E99" s="15">
        <v>148</v>
      </c>
      <c r="F99" s="15">
        <v>109</v>
      </c>
      <c r="G99" s="15">
        <v>53</v>
      </c>
      <c r="H99" s="15">
        <v>56</v>
      </c>
      <c r="I99" s="15">
        <v>166</v>
      </c>
      <c r="J99" s="15">
        <v>74</v>
      </c>
      <c r="K99" s="15">
        <v>92</v>
      </c>
      <c r="L99" s="12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spans="1:55" ht="12.95" customHeight="1">
      <c r="A100" s="2"/>
      <c r="B100" s="14" t="s">
        <v>97</v>
      </c>
      <c r="C100" s="15">
        <v>229</v>
      </c>
      <c r="D100" s="15">
        <v>129</v>
      </c>
      <c r="E100" s="15">
        <v>100</v>
      </c>
      <c r="F100" s="15">
        <v>60</v>
      </c>
      <c r="G100" s="15">
        <v>32</v>
      </c>
      <c r="H100" s="15">
        <v>28</v>
      </c>
      <c r="I100" s="15">
        <v>169</v>
      </c>
      <c r="J100" s="15">
        <v>97</v>
      </c>
      <c r="K100" s="15">
        <v>72</v>
      </c>
      <c r="L100" s="12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1:55" ht="12.95" customHeight="1">
      <c r="A101" s="2"/>
      <c r="B101" s="14" t="s">
        <v>98</v>
      </c>
      <c r="C101" s="15">
        <v>219</v>
      </c>
      <c r="D101" s="15">
        <v>118</v>
      </c>
      <c r="E101" s="15">
        <v>101</v>
      </c>
      <c r="F101" s="15">
        <v>76</v>
      </c>
      <c r="G101" s="15">
        <v>45</v>
      </c>
      <c r="H101" s="15">
        <v>31</v>
      </c>
      <c r="I101" s="15">
        <v>143</v>
      </c>
      <c r="J101" s="15">
        <v>73</v>
      </c>
      <c r="K101" s="15">
        <v>70</v>
      </c>
      <c r="L101" s="12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spans="1:55" ht="12.95" customHeight="1">
      <c r="A102" s="2"/>
      <c r="B102" s="14" t="s">
        <v>99</v>
      </c>
      <c r="C102" s="15">
        <v>271</v>
      </c>
      <c r="D102" s="15">
        <v>149</v>
      </c>
      <c r="E102" s="15">
        <v>122</v>
      </c>
      <c r="F102" s="15">
        <v>172</v>
      </c>
      <c r="G102" s="15">
        <v>97</v>
      </c>
      <c r="H102" s="15">
        <v>75</v>
      </c>
      <c r="I102" s="15">
        <v>99</v>
      </c>
      <c r="J102" s="15">
        <v>52</v>
      </c>
      <c r="K102" s="15">
        <v>47</v>
      </c>
      <c r="L102" s="12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spans="1:55" ht="12.95" customHeight="1">
      <c r="A103" s="2"/>
      <c r="B103" s="14" t="s">
        <v>100</v>
      </c>
      <c r="C103" s="15">
        <v>148</v>
      </c>
      <c r="D103" s="15">
        <v>73</v>
      </c>
      <c r="E103" s="15">
        <v>75</v>
      </c>
      <c r="F103" s="15">
        <v>84</v>
      </c>
      <c r="G103" s="15">
        <v>41</v>
      </c>
      <c r="H103" s="15">
        <v>43</v>
      </c>
      <c r="I103" s="15">
        <v>64</v>
      </c>
      <c r="J103" s="15">
        <v>32</v>
      </c>
      <c r="K103" s="15">
        <v>32</v>
      </c>
      <c r="L103" s="12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spans="1:55" ht="12.95" customHeight="1">
      <c r="A104" s="2"/>
      <c r="B104" s="14" t="s">
        <v>101</v>
      </c>
      <c r="C104" s="15">
        <v>528</v>
      </c>
      <c r="D104" s="15">
        <v>275</v>
      </c>
      <c r="E104" s="15">
        <v>253</v>
      </c>
      <c r="F104" s="15">
        <v>197</v>
      </c>
      <c r="G104" s="15">
        <v>99</v>
      </c>
      <c r="H104" s="15">
        <v>98</v>
      </c>
      <c r="I104" s="15">
        <v>331</v>
      </c>
      <c r="J104" s="15">
        <v>176</v>
      </c>
      <c r="K104" s="15">
        <v>155</v>
      </c>
      <c r="L104" s="12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spans="1:55" ht="12.95" customHeight="1">
      <c r="A105" s="2"/>
      <c r="B105" s="14" t="s">
        <v>102</v>
      </c>
      <c r="C105" s="15">
        <v>107</v>
      </c>
      <c r="D105" s="15">
        <v>60</v>
      </c>
      <c r="E105" s="15">
        <v>47</v>
      </c>
      <c r="F105" s="15">
        <v>107</v>
      </c>
      <c r="G105" s="15">
        <v>60</v>
      </c>
      <c r="H105" s="15">
        <v>47</v>
      </c>
      <c r="I105" s="15">
        <v>0</v>
      </c>
      <c r="J105" s="15">
        <v>0</v>
      </c>
      <c r="K105" s="15">
        <v>0</v>
      </c>
      <c r="L105" s="12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spans="1:55" ht="12.95" customHeight="1">
      <c r="A106" s="2"/>
      <c r="B106" s="14" t="s">
        <v>103</v>
      </c>
      <c r="C106" s="15">
        <v>1338</v>
      </c>
      <c r="D106" s="15">
        <v>704</v>
      </c>
      <c r="E106" s="15">
        <v>634</v>
      </c>
      <c r="F106" s="15">
        <v>442</v>
      </c>
      <c r="G106" s="15">
        <v>241</v>
      </c>
      <c r="H106" s="15">
        <v>201</v>
      </c>
      <c r="I106" s="15">
        <v>896</v>
      </c>
      <c r="J106" s="15">
        <v>463</v>
      </c>
      <c r="K106" s="15">
        <v>433</v>
      </c>
      <c r="L106" s="12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spans="1:55" ht="12.95" customHeight="1">
      <c r="A107" s="2"/>
      <c r="B107" s="14" t="s">
        <v>104</v>
      </c>
      <c r="C107" s="15">
        <v>791</v>
      </c>
      <c r="D107" s="15">
        <v>400</v>
      </c>
      <c r="E107" s="15">
        <v>391</v>
      </c>
      <c r="F107" s="15">
        <v>738</v>
      </c>
      <c r="G107" s="15">
        <v>373</v>
      </c>
      <c r="H107" s="15">
        <v>365</v>
      </c>
      <c r="I107" s="15">
        <v>53</v>
      </c>
      <c r="J107" s="15">
        <v>27</v>
      </c>
      <c r="K107" s="15">
        <v>26</v>
      </c>
      <c r="L107" s="12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spans="1:55" ht="12.95" customHeight="1">
      <c r="A108" s="2"/>
      <c r="B108" s="14" t="s">
        <v>105</v>
      </c>
      <c r="C108" s="15">
        <v>292</v>
      </c>
      <c r="D108" s="15">
        <v>144</v>
      </c>
      <c r="E108" s="15">
        <v>148</v>
      </c>
      <c r="F108" s="15">
        <v>117</v>
      </c>
      <c r="G108" s="15">
        <v>52</v>
      </c>
      <c r="H108" s="15">
        <v>65</v>
      </c>
      <c r="I108" s="15">
        <v>175</v>
      </c>
      <c r="J108" s="15">
        <v>92</v>
      </c>
      <c r="K108" s="15">
        <v>83</v>
      </c>
      <c r="L108" s="12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spans="1:55" ht="12.95" customHeight="1">
      <c r="A109" s="2"/>
      <c r="B109" s="14" t="s">
        <v>106</v>
      </c>
      <c r="C109" s="15">
        <v>248</v>
      </c>
      <c r="D109" s="15">
        <v>130</v>
      </c>
      <c r="E109" s="15">
        <v>118</v>
      </c>
      <c r="F109" s="15">
        <v>76</v>
      </c>
      <c r="G109" s="15">
        <v>43</v>
      </c>
      <c r="H109" s="15">
        <v>33</v>
      </c>
      <c r="I109" s="15">
        <v>172</v>
      </c>
      <c r="J109" s="15">
        <v>87</v>
      </c>
      <c r="K109" s="15">
        <v>85</v>
      </c>
      <c r="L109" s="12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spans="1:55" ht="12.95" customHeight="1">
      <c r="A110" s="2"/>
      <c r="B110" s="14" t="s">
        <v>107</v>
      </c>
      <c r="C110" s="15">
        <v>136</v>
      </c>
      <c r="D110" s="15">
        <v>73</v>
      </c>
      <c r="E110" s="15">
        <v>63</v>
      </c>
      <c r="F110" s="15">
        <v>60</v>
      </c>
      <c r="G110" s="15">
        <v>34</v>
      </c>
      <c r="H110" s="15">
        <v>26</v>
      </c>
      <c r="I110" s="15">
        <v>76</v>
      </c>
      <c r="J110" s="15">
        <v>39</v>
      </c>
      <c r="K110" s="15">
        <v>37</v>
      </c>
      <c r="L110" s="12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1:55" ht="12.95" customHeight="1">
      <c r="A111" s="2"/>
      <c r="B111" s="14" t="s">
        <v>108</v>
      </c>
      <c r="C111" s="15">
        <v>404</v>
      </c>
      <c r="D111" s="15">
        <v>213</v>
      </c>
      <c r="E111" s="15">
        <v>191</v>
      </c>
      <c r="F111" s="15">
        <v>113</v>
      </c>
      <c r="G111" s="15">
        <v>62</v>
      </c>
      <c r="H111" s="15">
        <v>51</v>
      </c>
      <c r="I111" s="15">
        <v>291</v>
      </c>
      <c r="J111" s="15">
        <v>151</v>
      </c>
      <c r="K111" s="15">
        <v>140</v>
      </c>
      <c r="L111" s="12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1:55" ht="12.95" customHeight="1">
      <c r="A112" s="2"/>
      <c r="B112" s="14" t="s">
        <v>109</v>
      </c>
      <c r="C112" s="15">
        <v>137</v>
      </c>
      <c r="D112" s="15">
        <v>73</v>
      </c>
      <c r="E112" s="15">
        <v>64</v>
      </c>
      <c r="F112" s="15">
        <v>63</v>
      </c>
      <c r="G112" s="15">
        <v>33</v>
      </c>
      <c r="H112" s="15">
        <v>30</v>
      </c>
      <c r="I112" s="15">
        <v>74</v>
      </c>
      <c r="J112" s="15">
        <v>40</v>
      </c>
      <c r="K112" s="15">
        <v>34</v>
      </c>
      <c r="L112" s="12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5" ht="12.95" customHeight="1">
      <c r="A113" s="2"/>
      <c r="B113" s="14" t="s">
        <v>110</v>
      </c>
      <c r="C113" s="15">
        <v>245</v>
      </c>
      <c r="D113" s="15">
        <v>121</v>
      </c>
      <c r="E113" s="15">
        <v>124</v>
      </c>
      <c r="F113" s="15">
        <v>67</v>
      </c>
      <c r="G113" s="15">
        <v>31</v>
      </c>
      <c r="H113" s="15">
        <v>36</v>
      </c>
      <c r="I113" s="15">
        <v>178</v>
      </c>
      <c r="J113" s="15">
        <v>90</v>
      </c>
      <c r="K113" s="15">
        <v>88</v>
      </c>
      <c r="L113" s="12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 ht="12.95" customHeight="1">
      <c r="A114" s="2"/>
      <c r="B114" s="14" t="s">
        <v>111</v>
      </c>
      <c r="C114" s="15">
        <v>210</v>
      </c>
      <c r="D114" s="15">
        <v>107</v>
      </c>
      <c r="E114" s="15">
        <v>103</v>
      </c>
      <c r="F114" s="15">
        <v>52</v>
      </c>
      <c r="G114" s="15">
        <v>31</v>
      </c>
      <c r="H114" s="15">
        <v>21</v>
      </c>
      <c r="I114" s="15">
        <v>158</v>
      </c>
      <c r="J114" s="15">
        <v>76</v>
      </c>
      <c r="K114" s="15">
        <v>82</v>
      </c>
      <c r="L114" s="12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1:55" ht="12.95" customHeight="1">
      <c r="A115" s="2"/>
      <c r="B115" s="14" t="s">
        <v>112</v>
      </c>
      <c r="C115" s="15">
        <v>246</v>
      </c>
      <c r="D115" s="15">
        <v>135</v>
      </c>
      <c r="E115" s="15">
        <v>111</v>
      </c>
      <c r="F115" s="15">
        <v>88</v>
      </c>
      <c r="G115" s="15">
        <v>49</v>
      </c>
      <c r="H115" s="15">
        <v>39</v>
      </c>
      <c r="I115" s="15">
        <v>158</v>
      </c>
      <c r="J115" s="15">
        <v>86</v>
      </c>
      <c r="K115" s="15">
        <v>72</v>
      </c>
      <c r="L115" s="12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 ht="12.95" customHeight="1">
      <c r="A116" s="2"/>
      <c r="B116" s="14" t="s">
        <v>113</v>
      </c>
      <c r="C116" s="15">
        <v>395</v>
      </c>
      <c r="D116" s="15">
        <v>213</v>
      </c>
      <c r="E116" s="15">
        <v>182</v>
      </c>
      <c r="F116" s="15">
        <v>345</v>
      </c>
      <c r="G116" s="15">
        <v>184</v>
      </c>
      <c r="H116" s="15">
        <v>161</v>
      </c>
      <c r="I116" s="15">
        <v>50</v>
      </c>
      <c r="J116" s="15">
        <v>29</v>
      </c>
      <c r="K116" s="15">
        <v>21</v>
      </c>
      <c r="L116" s="12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 ht="12.95" customHeight="1">
      <c r="A117" s="2"/>
      <c r="B117" s="8"/>
      <c r="C117" s="13"/>
      <c r="D117" s="13"/>
      <c r="E117" s="13"/>
      <c r="F117" s="13"/>
      <c r="G117" s="13"/>
      <c r="H117" s="13"/>
      <c r="I117" s="13"/>
      <c r="J117" s="13"/>
      <c r="K117" s="13"/>
      <c r="L117" s="12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 ht="12.95" customHeight="1">
      <c r="A118" s="2"/>
      <c r="B118" s="10" t="s">
        <v>114</v>
      </c>
      <c r="C118" s="11">
        <f>SUM(C119:C137)</f>
        <v>28561</v>
      </c>
      <c r="D118" s="11">
        <f t="shared" ref="D118:K118" si="6">SUM(D119:D137)</f>
        <v>14702</v>
      </c>
      <c r="E118" s="11">
        <f t="shared" si="6"/>
        <v>13859</v>
      </c>
      <c r="F118" s="11">
        <f t="shared" si="6"/>
        <v>26968</v>
      </c>
      <c r="G118" s="11">
        <f t="shared" si="6"/>
        <v>13894</v>
      </c>
      <c r="H118" s="11">
        <f t="shared" si="6"/>
        <v>13074</v>
      </c>
      <c r="I118" s="11">
        <f t="shared" si="6"/>
        <v>1593</v>
      </c>
      <c r="J118" s="11">
        <f t="shared" si="6"/>
        <v>808</v>
      </c>
      <c r="K118" s="11">
        <f t="shared" si="6"/>
        <v>785</v>
      </c>
      <c r="L118" s="18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1:55" ht="12.95" customHeight="1">
      <c r="A119" s="2"/>
      <c r="B119" s="14" t="s">
        <v>115</v>
      </c>
      <c r="C119" s="15">
        <v>6093</v>
      </c>
      <c r="D119" s="15">
        <v>3145</v>
      </c>
      <c r="E119" s="15">
        <v>2948</v>
      </c>
      <c r="F119" s="15">
        <v>6093</v>
      </c>
      <c r="G119" s="15">
        <v>3145</v>
      </c>
      <c r="H119" s="15">
        <v>2948</v>
      </c>
      <c r="I119" s="15">
        <v>0</v>
      </c>
      <c r="J119" s="15">
        <v>0</v>
      </c>
      <c r="K119" s="15">
        <v>0</v>
      </c>
      <c r="L119" s="12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 ht="12.95" customHeight="1">
      <c r="A120" s="2"/>
      <c r="B120" s="14" t="s">
        <v>116</v>
      </c>
      <c r="C120" s="15">
        <v>467</v>
      </c>
      <c r="D120" s="15">
        <v>236</v>
      </c>
      <c r="E120" s="15">
        <v>231</v>
      </c>
      <c r="F120" s="15">
        <v>444</v>
      </c>
      <c r="G120" s="15">
        <v>226</v>
      </c>
      <c r="H120" s="15">
        <v>218</v>
      </c>
      <c r="I120" s="15">
        <v>23</v>
      </c>
      <c r="J120" s="15">
        <v>10</v>
      </c>
      <c r="K120" s="15">
        <v>13</v>
      </c>
      <c r="L120" s="12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1:55" ht="12.95" customHeight="1">
      <c r="A121" s="2"/>
      <c r="B121" s="14" t="s">
        <v>117</v>
      </c>
      <c r="C121" s="15">
        <v>2471</v>
      </c>
      <c r="D121" s="15">
        <v>1252</v>
      </c>
      <c r="E121" s="15">
        <v>1219</v>
      </c>
      <c r="F121" s="15">
        <v>2471</v>
      </c>
      <c r="G121" s="15">
        <v>1252</v>
      </c>
      <c r="H121" s="15">
        <v>1219</v>
      </c>
      <c r="I121" s="15">
        <v>0</v>
      </c>
      <c r="J121" s="15">
        <v>0</v>
      </c>
      <c r="K121" s="15">
        <v>0</v>
      </c>
      <c r="L121" s="12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1:55" ht="12.95" customHeight="1">
      <c r="A122" s="2"/>
      <c r="B122" s="14" t="s">
        <v>118</v>
      </c>
      <c r="C122" s="15">
        <v>528</v>
      </c>
      <c r="D122" s="15">
        <v>277</v>
      </c>
      <c r="E122" s="15">
        <v>251</v>
      </c>
      <c r="F122" s="15">
        <v>528</v>
      </c>
      <c r="G122" s="15">
        <v>277</v>
      </c>
      <c r="H122" s="15">
        <v>251</v>
      </c>
      <c r="I122" s="15">
        <v>0</v>
      </c>
      <c r="J122" s="15">
        <v>0</v>
      </c>
      <c r="K122" s="15">
        <v>0</v>
      </c>
      <c r="L122" s="12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spans="1:55" ht="12.95" customHeight="1">
      <c r="A123" s="2"/>
      <c r="B123" s="14" t="s">
        <v>119</v>
      </c>
      <c r="C123" s="15">
        <v>1348</v>
      </c>
      <c r="D123" s="15">
        <v>671</v>
      </c>
      <c r="E123" s="15">
        <v>677</v>
      </c>
      <c r="F123" s="15">
        <v>1348</v>
      </c>
      <c r="G123" s="15">
        <v>671</v>
      </c>
      <c r="H123" s="15">
        <v>677</v>
      </c>
      <c r="I123" s="15">
        <v>0</v>
      </c>
      <c r="J123" s="15">
        <v>0</v>
      </c>
      <c r="K123" s="15">
        <v>0</v>
      </c>
      <c r="L123" s="12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spans="1:55" ht="12.95" customHeight="1">
      <c r="A124" s="2"/>
      <c r="B124" s="14" t="s">
        <v>120</v>
      </c>
      <c r="C124" s="15">
        <v>1572</v>
      </c>
      <c r="D124" s="15">
        <v>796</v>
      </c>
      <c r="E124" s="15">
        <v>776</v>
      </c>
      <c r="F124" s="15">
        <v>1514</v>
      </c>
      <c r="G124" s="15">
        <v>769</v>
      </c>
      <c r="H124" s="15">
        <v>745</v>
      </c>
      <c r="I124" s="15">
        <v>58</v>
      </c>
      <c r="J124" s="15">
        <v>27</v>
      </c>
      <c r="K124" s="15">
        <v>31</v>
      </c>
      <c r="L124" s="12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1:55" ht="12.95" customHeight="1">
      <c r="A125" s="2"/>
      <c r="B125" s="14" t="s">
        <v>121</v>
      </c>
      <c r="C125" s="15">
        <v>265</v>
      </c>
      <c r="D125" s="15">
        <v>143</v>
      </c>
      <c r="E125" s="15">
        <v>122</v>
      </c>
      <c r="F125" s="15">
        <v>75</v>
      </c>
      <c r="G125" s="15">
        <v>43</v>
      </c>
      <c r="H125" s="15">
        <v>32</v>
      </c>
      <c r="I125" s="15">
        <v>190</v>
      </c>
      <c r="J125" s="15">
        <v>100</v>
      </c>
      <c r="K125" s="15">
        <v>90</v>
      </c>
      <c r="L125" s="12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 ht="12.95" customHeight="1">
      <c r="A126" s="2"/>
      <c r="B126" s="14" t="s">
        <v>122</v>
      </c>
      <c r="C126" s="15">
        <v>405</v>
      </c>
      <c r="D126" s="15">
        <v>215</v>
      </c>
      <c r="E126" s="15">
        <v>190</v>
      </c>
      <c r="F126" s="15">
        <v>395</v>
      </c>
      <c r="G126" s="15">
        <v>208</v>
      </c>
      <c r="H126" s="15">
        <v>187</v>
      </c>
      <c r="I126" s="15">
        <v>10</v>
      </c>
      <c r="J126" s="15">
        <v>7</v>
      </c>
      <c r="K126" s="15">
        <v>3</v>
      </c>
      <c r="L126" s="12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1:55" ht="12.95" customHeight="1">
      <c r="A127" s="2"/>
      <c r="B127" s="14" t="s">
        <v>123</v>
      </c>
      <c r="C127" s="15">
        <v>1913</v>
      </c>
      <c r="D127" s="15">
        <v>935</v>
      </c>
      <c r="E127" s="15">
        <v>978</v>
      </c>
      <c r="F127" s="15">
        <v>1913</v>
      </c>
      <c r="G127" s="15">
        <v>935</v>
      </c>
      <c r="H127" s="15">
        <v>978</v>
      </c>
      <c r="I127" s="15">
        <v>0</v>
      </c>
      <c r="J127" s="15">
        <v>0</v>
      </c>
      <c r="K127" s="15">
        <v>0</v>
      </c>
      <c r="L127" s="12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1:55" ht="12.95" customHeight="1">
      <c r="A128" s="2"/>
      <c r="B128" s="14" t="s">
        <v>124</v>
      </c>
      <c r="C128" s="15">
        <v>2564</v>
      </c>
      <c r="D128" s="15">
        <v>1302</v>
      </c>
      <c r="E128" s="15">
        <v>1262</v>
      </c>
      <c r="F128" s="15">
        <v>2564</v>
      </c>
      <c r="G128" s="15">
        <v>1302</v>
      </c>
      <c r="H128" s="15">
        <v>1262</v>
      </c>
      <c r="I128" s="15">
        <v>0</v>
      </c>
      <c r="J128" s="15">
        <v>0</v>
      </c>
      <c r="K128" s="15">
        <v>0</v>
      </c>
      <c r="L128" s="12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1:55" ht="12.95" customHeight="1">
      <c r="A129" s="2"/>
      <c r="B129" s="14" t="s">
        <v>125</v>
      </c>
      <c r="C129" s="15">
        <v>557</v>
      </c>
      <c r="D129" s="15">
        <v>292</v>
      </c>
      <c r="E129" s="15">
        <v>265</v>
      </c>
      <c r="F129" s="15">
        <v>360</v>
      </c>
      <c r="G129" s="15">
        <v>194</v>
      </c>
      <c r="H129" s="15">
        <v>166</v>
      </c>
      <c r="I129" s="15">
        <v>197</v>
      </c>
      <c r="J129" s="15">
        <v>98</v>
      </c>
      <c r="K129" s="15">
        <v>99</v>
      </c>
      <c r="L129" s="12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1:55" ht="12.95" customHeight="1">
      <c r="A130" s="2"/>
      <c r="B130" s="14" t="s">
        <v>126</v>
      </c>
      <c r="C130" s="15">
        <v>980</v>
      </c>
      <c r="D130" s="15">
        <v>515</v>
      </c>
      <c r="E130" s="15">
        <v>465</v>
      </c>
      <c r="F130" s="15">
        <v>445</v>
      </c>
      <c r="G130" s="15">
        <v>234</v>
      </c>
      <c r="H130" s="15">
        <v>211</v>
      </c>
      <c r="I130" s="15">
        <v>535</v>
      </c>
      <c r="J130" s="15">
        <v>281</v>
      </c>
      <c r="K130" s="15">
        <v>254</v>
      </c>
      <c r="L130" s="12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spans="1:55" ht="12.95" customHeight="1">
      <c r="A131" s="2"/>
      <c r="B131" s="14" t="s">
        <v>127</v>
      </c>
      <c r="C131" s="15">
        <v>327</v>
      </c>
      <c r="D131" s="15">
        <v>177</v>
      </c>
      <c r="E131" s="15">
        <v>150</v>
      </c>
      <c r="F131" s="15">
        <v>199</v>
      </c>
      <c r="G131" s="15">
        <v>110</v>
      </c>
      <c r="H131" s="15">
        <v>89</v>
      </c>
      <c r="I131" s="15">
        <v>128</v>
      </c>
      <c r="J131" s="15">
        <v>67</v>
      </c>
      <c r="K131" s="15">
        <v>61</v>
      </c>
      <c r="L131" s="12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spans="1:55" ht="12.95" customHeight="1">
      <c r="A132" s="2"/>
      <c r="B132" s="14" t="s">
        <v>128</v>
      </c>
      <c r="C132" s="15">
        <v>1085</v>
      </c>
      <c r="D132" s="15">
        <v>541</v>
      </c>
      <c r="E132" s="15">
        <v>544</v>
      </c>
      <c r="F132" s="15">
        <v>1085</v>
      </c>
      <c r="G132" s="15">
        <v>541</v>
      </c>
      <c r="H132" s="15">
        <v>544</v>
      </c>
      <c r="I132" s="15">
        <v>0</v>
      </c>
      <c r="J132" s="15">
        <v>0</v>
      </c>
      <c r="K132" s="15">
        <v>0</v>
      </c>
      <c r="L132" s="12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spans="1:55" ht="12.95" customHeight="1">
      <c r="A133" s="2"/>
      <c r="B133" s="14" t="s">
        <v>129</v>
      </c>
      <c r="C133" s="15">
        <v>1400</v>
      </c>
      <c r="D133" s="15">
        <v>736</v>
      </c>
      <c r="E133" s="15">
        <v>664</v>
      </c>
      <c r="F133" s="15">
        <v>1149</v>
      </c>
      <c r="G133" s="15">
        <v>615</v>
      </c>
      <c r="H133" s="15">
        <v>534</v>
      </c>
      <c r="I133" s="15">
        <v>251</v>
      </c>
      <c r="J133" s="15">
        <v>121</v>
      </c>
      <c r="K133" s="15">
        <v>130</v>
      </c>
      <c r="L133" s="12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spans="1:55" ht="12.95" customHeight="1">
      <c r="A134" s="2"/>
      <c r="B134" s="14" t="s">
        <v>130</v>
      </c>
      <c r="C134" s="15">
        <v>351</v>
      </c>
      <c r="D134" s="15">
        <v>189</v>
      </c>
      <c r="E134" s="15">
        <v>162</v>
      </c>
      <c r="F134" s="15">
        <v>289</v>
      </c>
      <c r="G134" s="15">
        <v>152</v>
      </c>
      <c r="H134" s="15">
        <v>137</v>
      </c>
      <c r="I134" s="15">
        <v>62</v>
      </c>
      <c r="J134" s="15">
        <v>37</v>
      </c>
      <c r="K134" s="15">
        <v>25</v>
      </c>
      <c r="L134" s="12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spans="1:55" ht="12.95" customHeight="1">
      <c r="A135" s="2"/>
      <c r="B135" s="14" t="s">
        <v>131</v>
      </c>
      <c r="C135" s="15">
        <v>394</v>
      </c>
      <c r="D135" s="15">
        <v>194</v>
      </c>
      <c r="E135" s="15">
        <v>200</v>
      </c>
      <c r="F135" s="15">
        <v>327</v>
      </c>
      <c r="G135" s="15">
        <v>164</v>
      </c>
      <c r="H135" s="15">
        <v>163</v>
      </c>
      <c r="I135" s="15">
        <v>67</v>
      </c>
      <c r="J135" s="15">
        <v>30</v>
      </c>
      <c r="K135" s="15">
        <v>37</v>
      </c>
      <c r="L135" s="12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</row>
    <row r="136" spans="1:55" ht="12.95" customHeight="1">
      <c r="A136" s="2"/>
      <c r="B136" s="14" t="s">
        <v>132</v>
      </c>
      <c r="C136" s="15">
        <v>4663</v>
      </c>
      <c r="D136" s="15">
        <v>2472</v>
      </c>
      <c r="E136" s="15">
        <v>2191</v>
      </c>
      <c r="F136" s="15">
        <v>4663</v>
      </c>
      <c r="G136" s="15">
        <v>2472</v>
      </c>
      <c r="H136" s="15">
        <v>2191</v>
      </c>
      <c r="I136" s="15">
        <v>0</v>
      </c>
      <c r="J136" s="15">
        <v>0</v>
      </c>
      <c r="K136" s="15">
        <v>0</v>
      </c>
      <c r="L136" s="12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</row>
    <row r="137" spans="1:55" ht="12.95" customHeight="1">
      <c r="A137" s="2"/>
      <c r="B137" s="14" t="s">
        <v>133</v>
      </c>
      <c r="C137" s="15">
        <v>1178</v>
      </c>
      <c r="D137" s="15">
        <v>614</v>
      </c>
      <c r="E137" s="15">
        <v>564</v>
      </c>
      <c r="F137" s="15">
        <v>1106</v>
      </c>
      <c r="G137" s="15">
        <v>584</v>
      </c>
      <c r="H137" s="15">
        <v>522</v>
      </c>
      <c r="I137" s="15">
        <v>72</v>
      </c>
      <c r="J137" s="15">
        <v>30</v>
      </c>
      <c r="K137" s="15">
        <v>42</v>
      </c>
      <c r="L137" s="12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</row>
    <row r="138" spans="1:55" ht="12.95" customHeight="1">
      <c r="A138" s="2"/>
      <c r="B138" s="8"/>
      <c r="C138" s="13"/>
      <c r="D138" s="13"/>
      <c r="E138" s="13"/>
      <c r="F138" s="13"/>
      <c r="G138" s="13"/>
      <c r="H138" s="13"/>
      <c r="I138" s="13"/>
      <c r="J138" s="13"/>
      <c r="K138" s="13"/>
      <c r="L138" s="12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</row>
    <row r="139" spans="1:55" ht="12.95" customHeight="1">
      <c r="A139" s="2"/>
      <c r="B139" s="10" t="s">
        <v>134</v>
      </c>
      <c r="C139" s="11">
        <f>SUM(C140:C155)</f>
        <v>4644</v>
      </c>
      <c r="D139" s="11">
        <f t="shared" ref="D139:K139" si="7">SUM(D140:D155)</f>
        <v>2478</v>
      </c>
      <c r="E139" s="11">
        <f t="shared" si="7"/>
        <v>2166</v>
      </c>
      <c r="F139" s="11">
        <f t="shared" si="7"/>
        <v>2140</v>
      </c>
      <c r="G139" s="11">
        <f t="shared" si="7"/>
        <v>1134</v>
      </c>
      <c r="H139" s="11">
        <f t="shared" si="7"/>
        <v>1006</v>
      </c>
      <c r="I139" s="11">
        <f t="shared" si="7"/>
        <v>2504</v>
      </c>
      <c r="J139" s="11">
        <f t="shared" si="7"/>
        <v>1344</v>
      </c>
      <c r="K139" s="11">
        <f t="shared" si="7"/>
        <v>1160</v>
      </c>
      <c r="L139" s="12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</row>
    <row r="140" spans="1:55" ht="12.95" customHeight="1">
      <c r="A140" s="2"/>
      <c r="B140" s="14" t="s">
        <v>135</v>
      </c>
      <c r="C140" s="15">
        <v>1176</v>
      </c>
      <c r="D140" s="15">
        <v>623</v>
      </c>
      <c r="E140" s="15">
        <v>553</v>
      </c>
      <c r="F140" s="15">
        <v>1032</v>
      </c>
      <c r="G140" s="15">
        <v>544</v>
      </c>
      <c r="H140" s="15">
        <v>488</v>
      </c>
      <c r="I140" s="15">
        <v>144</v>
      </c>
      <c r="J140" s="15">
        <v>79</v>
      </c>
      <c r="K140" s="15">
        <v>65</v>
      </c>
      <c r="L140" s="12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</row>
    <row r="141" spans="1:55" ht="12.95" customHeight="1">
      <c r="A141" s="2"/>
      <c r="B141" s="14" t="s">
        <v>136</v>
      </c>
      <c r="C141" s="15">
        <v>180</v>
      </c>
      <c r="D141" s="15">
        <v>107</v>
      </c>
      <c r="E141" s="15">
        <v>73</v>
      </c>
      <c r="F141" s="15">
        <v>59</v>
      </c>
      <c r="G141" s="15">
        <v>37</v>
      </c>
      <c r="H141" s="15">
        <v>22</v>
      </c>
      <c r="I141" s="15">
        <v>121</v>
      </c>
      <c r="J141" s="15">
        <v>70</v>
      </c>
      <c r="K141" s="15">
        <v>51</v>
      </c>
      <c r="L141" s="12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</row>
    <row r="142" spans="1:55" ht="12.95" customHeight="1">
      <c r="A142" s="2"/>
      <c r="B142" s="14" t="s">
        <v>137</v>
      </c>
      <c r="C142" s="15">
        <v>254</v>
      </c>
      <c r="D142" s="15">
        <v>130</v>
      </c>
      <c r="E142" s="15">
        <v>124</v>
      </c>
      <c r="F142" s="15">
        <v>62</v>
      </c>
      <c r="G142" s="15">
        <v>34</v>
      </c>
      <c r="H142" s="15">
        <v>28</v>
      </c>
      <c r="I142" s="15">
        <v>192</v>
      </c>
      <c r="J142" s="15">
        <v>96</v>
      </c>
      <c r="K142" s="15">
        <v>96</v>
      </c>
      <c r="L142" s="12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</row>
    <row r="143" spans="1:55" ht="12.95" customHeight="1">
      <c r="A143" s="2"/>
      <c r="B143" s="14" t="s">
        <v>138</v>
      </c>
      <c r="C143" s="15">
        <v>101</v>
      </c>
      <c r="D143" s="15">
        <v>52</v>
      </c>
      <c r="E143" s="15">
        <v>49</v>
      </c>
      <c r="F143" s="15">
        <v>39</v>
      </c>
      <c r="G143" s="15">
        <v>18</v>
      </c>
      <c r="H143" s="15">
        <v>21</v>
      </c>
      <c r="I143" s="15">
        <v>62</v>
      </c>
      <c r="J143" s="15">
        <v>34</v>
      </c>
      <c r="K143" s="15">
        <v>28</v>
      </c>
      <c r="L143" s="12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</row>
    <row r="144" spans="1:55" ht="12.95" customHeight="1">
      <c r="A144" s="2"/>
      <c r="B144" s="14" t="s">
        <v>139</v>
      </c>
      <c r="C144" s="15">
        <v>202</v>
      </c>
      <c r="D144" s="15">
        <v>112</v>
      </c>
      <c r="E144" s="15">
        <v>90</v>
      </c>
      <c r="F144" s="15">
        <v>34</v>
      </c>
      <c r="G144" s="15">
        <v>20</v>
      </c>
      <c r="H144" s="15">
        <v>14</v>
      </c>
      <c r="I144" s="15">
        <v>168</v>
      </c>
      <c r="J144" s="15">
        <v>92</v>
      </c>
      <c r="K144" s="15">
        <v>76</v>
      </c>
      <c r="L144" s="12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</row>
    <row r="145" spans="1:55" ht="12.95" customHeight="1">
      <c r="A145" s="2"/>
      <c r="B145" s="14" t="s">
        <v>140</v>
      </c>
      <c r="C145" s="15">
        <v>60</v>
      </c>
      <c r="D145" s="15">
        <v>34</v>
      </c>
      <c r="E145" s="15">
        <v>26</v>
      </c>
      <c r="F145" s="15">
        <v>37</v>
      </c>
      <c r="G145" s="15">
        <v>18</v>
      </c>
      <c r="H145" s="15">
        <v>19</v>
      </c>
      <c r="I145" s="15">
        <v>23</v>
      </c>
      <c r="J145" s="15">
        <v>16</v>
      </c>
      <c r="K145" s="15">
        <v>7</v>
      </c>
      <c r="L145" s="12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</row>
    <row r="146" spans="1:55" ht="12.95" customHeight="1">
      <c r="A146" s="2"/>
      <c r="B146" s="14" t="s">
        <v>141</v>
      </c>
      <c r="C146" s="15">
        <v>141</v>
      </c>
      <c r="D146" s="15">
        <v>72</v>
      </c>
      <c r="E146" s="15">
        <v>69</v>
      </c>
      <c r="F146" s="15">
        <v>93</v>
      </c>
      <c r="G146" s="15">
        <v>46</v>
      </c>
      <c r="H146" s="15">
        <v>47</v>
      </c>
      <c r="I146" s="15">
        <v>48</v>
      </c>
      <c r="J146" s="15">
        <v>26</v>
      </c>
      <c r="K146" s="15">
        <v>22</v>
      </c>
      <c r="L146" s="12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</row>
    <row r="147" spans="1:55" ht="12.95" customHeight="1">
      <c r="A147" s="2"/>
      <c r="B147" s="14" t="s">
        <v>142</v>
      </c>
      <c r="C147" s="15">
        <v>152</v>
      </c>
      <c r="D147" s="15">
        <v>83</v>
      </c>
      <c r="E147" s="15">
        <v>69</v>
      </c>
      <c r="F147" s="15">
        <v>25</v>
      </c>
      <c r="G147" s="15">
        <v>14</v>
      </c>
      <c r="H147" s="15">
        <v>11</v>
      </c>
      <c r="I147" s="15">
        <v>127</v>
      </c>
      <c r="J147" s="15">
        <v>69</v>
      </c>
      <c r="K147" s="15">
        <v>58</v>
      </c>
      <c r="L147" s="12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</row>
    <row r="148" spans="1:55" ht="12.95" customHeight="1">
      <c r="A148" s="2"/>
      <c r="B148" s="14" t="s">
        <v>143</v>
      </c>
      <c r="C148" s="15">
        <v>243</v>
      </c>
      <c r="D148" s="15">
        <v>131</v>
      </c>
      <c r="E148" s="15">
        <v>112</v>
      </c>
      <c r="F148" s="15">
        <v>116</v>
      </c>
      <c r="G148" s="15">
        <v>62</v>
      </c>
      <c r="H148" s="15">
        <v>54</v>
      </c>
      <c r="I148" s="15">
        <v>127</v>
      </c>
      <c r="J148" s="15">
        <v>69</v>
      </c>
      <c r="K148" s="15">
        <v>58</v>
      </c>
      <c r="L148" s="12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</row>
    <row r="149" spans="1:55" ht="12.95" customHeight="1">
      <c r="A149" s="2"/>
      <c r="B149" s="14" t="s">
        <v>144</v>
      </c>
      <c r="C149" s="15">
        <v>875</v>
      </c>
      <c r="D149" s="15">
        <v>489</v>
      </c>
      <c r="E149" s="15">
        <v>386</v>
      </c>
      <c r="F149" s="15">
        <v>132</v>
      </c>
      <c r="G149" s="15">
        <v>74</v>
      </c>
      <c r="H149" s="15">
        <v>58</v>
      </c>
      <c r="I149" s="15">
        <v>743</v>
      </c>
      <c r="J149" s="15">
        <v>415</v>
      </c>
      <c r="K149" s="15">
        <v>328</v>
      </c>
      <c r="L149" s="12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</row>
    <row r="150" spans="1:55" ht="12.95" customHeight="1">
      <c r="A150" s="2"/>
      <c r="B150" s="14" t="s">
        <v>145</v>
      </c>
      <c r="C150" s="15">
        <v>307</v>
      </c>
      <c r="D150" s="15">
        <v>156</v>
      </c>
      <c r="E150" s="15">
        <v>151</v>
      </c>
      <c r="F150" s="15">
        <v>98</v>
      </c>
      <c r="G150" s="15">
        <v>48</v>
      </c>
      <c r="H150" s="15">
        <v>50</v>
      </c>
      <c r="I150" s="15">
        <v>209</v>
      </c>
      <c r="J150" s="15">
        <v>108</v>
      </c>
      <c r="K150" s="15">
        <v>101</v>
      </c>
      <c r="L150" s="12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</row>
    <row r="151" spans="1:55" ht="12.95" customHeight="1">
      <c r="A151" s="2"/>
      <c r="B151" s="14" t="s">
        <v>146</v>
      </c>
      <c r="C151" s="15">
        <v>95</v>
      </c>
      <c r="D151" s="15">
        <v>48</v>
      </c>
      <c r="E151" s="15">
        <v>47</v>
      </c>
      <c r="F151" s="15">
        <v>39</v>
      </c>
      <c r="G151" s="15">
        <v>18</v>
      </c>
      <c r="H151" s="15">
        <v>21</v>
      </c>
      <c r="I151" s="15">
        <v>56</v>
      </c>
      <c r="J151" s="15">
        <v>30</v>
      </c>
      <c r="K151" s="15">
        <v>26</v>
      </c>
      <c r="L151" s="12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</row>
    <row r="152" spans="1:55" ht="12.95" customHeight="1">
      <c r="A152" s="2"/>
      <c r="B152" s="14" t="s">
        <v>147</v>
      </c>
      <c r="C152" s="15">
        <v>60</v>
      </c>
      <c r="D152" s="15">
        <v>30</v>
      </c>
      <c r="E152" s="15">
        <v>30</v>
      </c>
      <c r="F152" s="15">
        <v>54</v>
      </c>
      <c r="G152" s="15">
        <v>28</v>
      </c>
      <c r="H152" s="15">
        <v>26</v>
      </c>
      <c r="I152" s="15">
        <v>6</v>
      </c>
      <c r="J152" s="15">
        <v>2</v>
      </c>
      <c r="K152" s="15">
        <v>4</v>
      </c>
      <c r="L152" s="12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</row>
    <row r="153" spans="1:55" ht="12.95" customHeight="1">
      <c r="A153" s="2"/>
      <c r="B153" s="14" t="s">
        <v>148</v>
      </c>
      <c r="C153" s="15">
        <v>206</v>
      </c>
      <c r="D153" s="15">
        <v>114</v>
      </c>
      <c r="E153" s="15">
        <v>92</v>
      </c>
      <c r="F153" s="15">
        <v>114</v>
      </c>
      <c r="G153" s="15">
        <v>68</v>
      </c>
      <c r="H153" s="15">
        <v>46</v>
      </c>
      <c r="I153" s="15">
        <v>92</v>
      </c>
      <c r="J153" s="15">
        <v>46</v>
      </c>
      <c r="K153" s="15">
        <v>46</v>
      </c>
      <c r="L153" s="12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</row>
    <row r="154" spans="1:55" ht="12.95" customHeight="1">
      <c r="A154" s="2"/>
      <c r="B154" s="14" t="s">
        <v>149</v>
      </c>
      <c r="C154" s="15">
        <v>477</v>
      </c>
      <c r="D154" s="15">
        <v>246</v>
      </c>
      <c r="E154" s="15">
        <v>231</v>
      </c>
      <c r="F154" s="15">
        <v>183</v>
      </c>
      <c r="G154" s="15">
        <v>95</v>
      </c>
      <c r="H154" s="15">
        <v>88</v>
      </c>
      <c r="I154" s="15">
        <v>294</v>
      </c>
      <c r="J154" s="15">
        <v>151</v>
      </c>
      <c r="K154" s="15">
        <v>143</v>
      </c>
      <c r="L154" s="12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</row>
    <row r="155" spans="1:55" ht="12.95" customHeight="1">
      <c r="A155" s="2"/>
      <c r="B155" s="14" t="s">
        <v>150</v>
      </c>
      <c r="C155" s="15">
        <v>115</v>
      </c>
      <c r="D155" s="15">
        <v>51</v>
      </c>
      <c r="E155" s="15">
        <v>64</v>
      </c>
      <c r="F155" s="15">
        <v>23</v>
      </c>
      <c r="G155" s="15">
        <v>10</v>
      </c>
      <c r="H155" s="15">
        <v>13</v>
      </c>
      <c r="I155" s="15">
        <v>92</v>
      </c>
      <c r="J155" s="15">
        <v>41</v>
      </c>
      <c r="K155" s="15">
        <v>51</v>
      </c>
      <c r="L155" s="12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</row>
    <row r="156" spans="1:55" ht="12.95" customHeight="1">
      <c r="A156" s="2"/>
      <c r="B156" s="8"/>
      <c r="C156" s="13"/>
      <c r="D156" s="13"/>
      <c r="E156" s="13"/>
      <c r="F156" s="13"/>
      <c r="G156" s="13"/>
      <c r="H156" s="13"/>
      <c r="I156" s="13"/>
      <c r="J156" s="13"/>
      <c r="K156" s="13"/>
      <c r="L156" s="12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</row>
    <row r="157" spans="1:55" ht="12.95" customHeight="1">
      <c r="A157" s="2"/>
      <c r="B157" s="10" t="s">
        <v>151</v>
      </c>
      <c r="C157" s="17">
        <f>SUM(C158:C179)</f>
        <v>5920</v>
      </c>
      <c r="D157" s="17">
        <f t="shared" ref="D157:K157" si="8">SUM(D158:D179)</f>
        <v>3146</v>
      </c>
      <c r="E157" s="17">
        <f t="shared" si="8"/>
        <v>2774</v>
      </c>
      <c r="F157" s="17">
        <f t="shared" si="8"/>
        <v>2940</v>
      </c>
      <c r="G157" s="17">
        <f t="shared" si="8"/>
        <v>1556</v>
      </c>
      <c r="H157" s="17">
        <f t="shared" si="8"/>
        <v>1384</v>
      </c>
      <c r="I157" s="17">
        <f t="shared" si="8"/>
        <v>2980</v>
      </c>
      <c r="J157" s="17">
        <f t="shared" si="8"/>
        <v>1590</v>
      </c>
      <c r="K157" s="17">
        <f t="shared" si="8"/>
        <v>1390</v>
      </c>
      <c r="L157" s="12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</row>
    <row r="158" spans="1:55" ht="12.95" customHeight="1">
      <c r="A158" s="2"/>
      <c r="B158" s="14" t="s">
        <v>152</v>
      </c>
      <c r="C158" s="15">
        <v>1525</v>
      </c>
      <c r="D158" s="15">
        <v>807</v>
      </c>
      <c r="E158" s="15">
        <v>718</v>
      </c>
      <c r="F158" s="15">
        <v>787</v>
      </c>
      <c r="G158" s="15">
        <v>432</v>
      </c>
      <c r="H158" s="15">
        <v>355</v>
      </c>
      <c r="I158" s="15">
        <v>738</v>
      </c>
      <c r="J158" s="15">
        <v>375</v>
      </c>
      <c r="K158" s="15">
        <v>363</v>
      </c>
      <c r="L158" s="12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</row>
    <row r="159" spans="1:55" ht="12.95" customHeight="1">
      <c r="A159" s="2"/>
      <c r="B159" s="14" t="s">
        <v>153</v>
      </c>
      <c r="C159" s="15">
        <v>83</v>
      </c>
      <c r="D159" s="15">
        <v>36</v>
      </c>
      <c r="E159" s="15">
        <v>47</v>
      </c>
      <c r="F159" s="15">
        <v>61</v>
      </c>
      <c r="G159" s="15">
        <v>29</v>
      </c>
      <c r="H159" s="15">
        <v>32</v>
      </c>
      <c r="I159" s="15">
        <v>22</v>
      </c>
      <c r="J159" s="15">
        <v>7</v>
      </c>
      <c r="K159" s="15">
        <v>15</v>
      </c>
      <c r="L159" s="12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</row>
    <row r="160" spans="1:55" ht="12.95" customHeight="1">
      <c r="A160" s="2"/>
      <c r="B160" s="14" t="s">
        <v>154</v>
      </c>
      <c r="C160" s="15">
        <v>231</v>
      </c>
      <c r="D160" s="15">
        <v>115</v>
      </c>
      <c r="E160" s="15">
        <v>116</v>
      </c>
      <c r="F160" s="15">
        <v>138</v>
      </c>
      <c r="G160" s="15">
        <v>65</v>
      </c>
      <c r="H160" s="15">
        <v>73</v>
      </c>
      <c r="I160" s="15">
        <v>93</v>
      </c>
      <c r="J160" s="15">
        <v>50</v>
      </c>
      <c r="K160" s="15">
        <v>43</v>
      </c>
      <c r="L160" s="12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</row>
    <row r="161" spans="1:55" ht="12.95" customHeight="1">
      <c r="A161" s="2"/>
      <c r="B161" s="14" t="s">
        <v>155</v>
      </c>
      <c r="C161" s="15">
        <v>64</v>
      </c>
      <c r="D161" s="15">
        <v>36</v>
      </c>
      <c r="E161" s="15">
        <v>28</v>
      </c>
      <c r="F161" s="15">
        <v>27</v>
      </c>
      <c r="G161" s="15">
        <v>15</v>
      </c>
      <c r="H161" s="15">
        <v>12</v>
      </c>
      <c r="I161" s="15">
        <v>37</v>
      </c>
      <c r="J161" s="15">
        <v>21</v>
      </c>
      <c r="K161" s="15">
        <v>16</v>
      </c>
      <c r="L161" s="12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</row>
    <row r="162" spans="1:55" ht="12.95" customHeight="1">
      <c r="A162" s="2"/>
      <c r="B162" s="14" t="s">
        <v>156</v>
      </c>
      <c r="C162" s="15">
        <v>22</v>
      </c>
      <c r="D162" s="15">
        <v>12</v>
      </c>
      <c r="E162" s="15">
        <v>10</v>
      </c>
      <c r="F162" s="15">
        <v>11</v>
      </c>
      <c r="G162" s="15">
        <v>6</v>
      </c>
      <c r="H162" s="15">
        <v>5</v>
      </c>
      <c r="I162" s="15">
        <v>11</v>
      </c>
      <c r="J162" s="15">
        <v>6</v>
      </c>
      <c r="K162" s="15">
        <v>5</v>
      </c>
      <c r="L162" s="12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</row>
    <row r="163" spans="1:55" ht="12.95" customHeight="1">
      <c r="A163" s="2"/>
      <c r="B163" s="14" t="s">
        <v>157</v>
      </c>
      <c r="C163" s="15">
        <v>535</v>
      </c>
      <c r="D163" s="15">
        <v>290</v>
      </c>
      <c r="E163" s="15">
        <v>245</v>
      </c>
      <c r="F163" s="15">
        <v>350</v>
      </c>
      <c r="G163" s="15">
        <v>182</v>
      </c>
      <c r="H163" s="15">
        <v>168</v>
      </c>
      <c r="I163" s="15">
        <v>185</v>
      </c>
      <c r="J163" s="15">
        <v>108</v>
      </c>
      <c r="K163" s="15">
        <v>77</v>
      </c>
      <c r="L163" s="12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</row>
    <row r="164" spans="1:55" ht="12.95" customHeight="1">
      <c r="A164" s="2"/>
      <c r="B164" s="14" t="s">
        <v>158</v>
      </c>
      <c r="C164" s="15">
        <v>36</v>
      </c>
      <c r="D164" s="15">
        <v>20</v>
      </c>
      <c r="E164" s="15">
        <v>16</v>
      </c>
      <c r="F164" s="15">
        <v>35</v>
      </c>
      <c r="G164" s="15">
        <v>20</v>
      </c>
      <c r="H164" s="15">
        <v>15</v>
      </c>
      <c r="I164" s="15">
        <v>1</v>
      </c>
      <c r="J164" s="15">
        <v>0</v>
      </c>
      <c r="K164" s="15">
        <v>1</v>
      </c>
      <c r="L164" s="12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</row>
    <row r="165" spans="1:55" ht="12.95" customHeight="1">
      <c r="A165" s="2"/>
      <c r="B165" s="14" t="s">
        <v>159</v>
      </c>
      <c r="C165" s="15">
        <v>55</v>
      </c>
      <c r="D165" s="15">
        <v>22</v>
      </c>
      <c r="E165" s="15">
        <v>33</v>
      </c>
      <c r="F165" s="15">
        <v>50</v>
      </c>
      <c r="G165" s="15">
        <v>19</v>
      </c>
      <c r="H165" s="15">
        <v>31</v>
      </c>
      <c r="I165" s="15">
        <v>5</v>
      </c>
      <c r="J165" s="15">
        <v>3</v>
      </c>
      <c r="K165" s="15">
        <v>2</v>
      </c>
      <c r="L165" s="12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</row>
    <row r="166" spans="1:55" ht="12.95" customHeight="1">
      <c r="A166" s="2"/>
      <c r="B166" s="14" t="s">
        <v>160</v>
      </c>
      <c r="C166" s="15">
        <v>45</v>
      </c>
      <c r="D166" s="15">
        <v>27</v>
      </c>
      <c r="E166" s="15">
        <v>18</v>
      </c>
      <c r="F166" s="15">
        <v>26</v>
      </c>
      <c r="G166" s="15">
        <v>15</v>
      </c>
      <c r="H166" s="15">
        <v>11</v>
      </c>
      <c r="I166" s="15">
        <v>19</v>
      </c>
      <c r="J166" s="15">
        <v>12</v>
      </c>
      <c r="K166" s="15">
        <v>7</v>
      </c>
      <c r="L166" s="12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</row>
    <row r="167" spans="1:55" ht="12.95" customHeight="1">
      <c r="A167" s="2"/>
      <c r="B167" s="14" t="s">
        <v>161</v>
      </c>
      <c r="C167" s="15">
        <v>96</v>
      </c>
      <c r="D167" s="15">
        <v>57</v>
      </c>
      <c r="E167" s="15">
        <v>39</v>
      </c>
      <c r="F167" s="15">
        <v>64</v>
      </c>
      <c r="G167" s="15">
        <v>35</v>
      </c>
      <c r="H167" s="15">
        <v>29</v>
      </c>
      <c r="I167" s="15">
        <v>32</v>
      </c>
      <c r="J167" s="15">
        <v>22</v>
      </c>
      <c r="K167" s="15">
        <v>10</v>
      </c>
      <c r="L167" s="12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</row>
    <row r="168" spans="1:55" ht="12.95" customHeight="1">
      <c r="A168" s="2"/>
      <c r="B168" s="14" t="s">
        <v>162</v>
      </c>
      <c r="C168" s="15">
        <v>305</v>
      </c>
      <c r="D168" s="15">
        <v>176</v>
      </c>
      <c r="E168" s="15">
        <v>129</v>
      </c>
      <c r="F168" s="15">
        <v>153</v>
      </c>
      <c r="G168" s="15">
        <v>91</v>
      </c>
      <c r="H168" s="15">
        <v>62</v>
      </c>
      <c r="I168" s="15">
        <v>152</v>
      </c>
      <c r="J168" s="15">
        <v>85</v>
      </c>
      <c r="K168" s="15">
        <v>67</v>
      </c>
      <c r="L168" s="12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</row>
    <row r="169" spans="1:55" ht="12.95" customHeight="1">
      <c r="A169" s="2"/>
      <c r="B169" s="14" t="s">
        <v>163</v>
      </c>
      <c r="C169" s="15">
        <v>132</v>
      </c>
      <c r="D169" s="15">
        <v>67</v>
      </c>
      <c r="E169" s="15">
        <v>65</v>
      </c>
      <c r="F169" s="15">
        <v>71</v>
      </c>
      <c r="G169" s="15">
        <v>34</v>
      </c>
      <c r="H169" s="15">
        <v>37</v>
      </c>
      <c r="I169" s="15">
        <v>61</v>
      </c>
      <c r="J169" s="15">
        <v>33</v>
      </c>
      <c r="K169" s="15">
        <v>28</v>
      </c>
      <c r="L169" s="12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</row>
    <row r="170" spans="1:55" ht="12.95" customHeight="1">
      <c r="A170" s="2"/>
      <c r="B170" s="14" t="s">
        <v>164</v>
      </c>
      <c r="C170" s="15">
        <v>53</v>
      </c>
      <c r="D170" s="15">
        <v>26</v>
      </c>
      <c r="E170" s="15">
        <v>27</v>
      </c>
      <c r="F170" s="15">
        <v>34</v>
      </c>
      <c r="G170" s="15">
        <v>16</v>
      </c>
      <c r="H170" s="15">
        <v>18</v>
      </c>
      <c r="I170" s="15">
        <v>19</v>
      </c>
      <c r="J170" s="15">
        <v>10</v>
      </c>
      <c r="K170" s="15">
        <v>9</v>
      </c>
      <c r="L170" s="12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</row>
    <row r="171" spans="1:55" ht="12.95" customHeight="1">
      <c r="A171" s="2"/>
      <c r="B171" s="14" t="s">
        <v>165</v>
      </c>
      <c r="C171" s="15">
        <v>429</v>
      </c>
      <c r="D171" s="15">
        <v>244</v>
      </c>
      <c r="E171" s="15">
        <v>185</v>
      </c>
      <c r="F171" s="15">
        <v>240</v>
      </c>
      <c r="G171" s="15">
        <v>139</v>
      </c>
      <c r="H171" s="15">
        <v>101</v>
      </c>
      <c r="I171" s="15">
        <v>189</v>
      </c>
      <c r="J171" s="15">
        <v>105</v>
      </c>
      <c r="K171" s="15">
        <v>84</v>
      </c>
      <c r="L171" s="12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</row>
    <row r="172" spans="1:55" ht="12.95" customHeight="1">
      <c r="A172" s="2"/>
      <c r="B172" s="14" t="s">
        <v>166</v>
      </c>
      <c r="C172" s="15">
        <v>478</v>
      </c>
      <c r="D172" s="15">
        <v>244</v>
      </c>
      <c r="E172" s="15">
        <v>234</v>
      </c>
      <c r="F172" s="15">
        <v>159</v>
      </c>
      <c r="G172" s="15">
        <v>73</v>
      </c>
      <c r="H172" s="15">
        <v>86</v>
      </c>
      <c r="I172" s="15">
        <v>319</v>
      </c>
      <c r="J172" s="15">
        <v>171</v>
      </c>
      <c r="K172" s="15">
        <v>148</v>
      </c>
      <c r="L172" s="12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</row>
    <row r="173" spans="1:55" ht="12.95" customHeight="1">
      <c r="A173" s="2"/>
      <c r="B173" s="14" t="s">
        <v>167</v>
      </c>
      <c r="C173" s="15">
        <v>97</v>
      </c>
      <c r="D173" s="15">
        <v>43</v>
      </c>
      <c r="E173" s="15">
        <v>54</v>
      </c>
      <c r="F173" s="15">
        <v>82</v>
      </c>
      <c r="G173" s="15">
        <v>34</v>
      </c>
      <c r="H173" s="15">
        <v>48</v>
      </c>
      <c r="I173" s="15">
        <v>15</v>
      </c>
      <c r="J173" s="15">
        <v>9</v>
      </c>
      <c r="K173" s="15">
        <v>6</v>
      </c>
      <c r="L173" s="12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</row>
    <row r="174" spans="1:55" ht="12.95" customHeight="1">
      <c r="A174" s="2"/>
      <c r="B174" s="14" t="s">
        <v>168</v>
      </c>
      <c r="C174" s="15">
        <v>431</v>
      </c>
      <c r="D174" s="15">
        <v>232</v>
      </c>
      <c r="E174" s="15">
        <v>199</v>
      </c>
      <c r="F174" s="15">
        <v>136</v>
      </c>
      <c r="G174" s="15">
        <v>79</v>
      </c>
      <c r="H174" s="15">
        <v>57</v>
      </c>
      <c r="I174" s="15">
        <v>295</v>
      </c>
      <c r="J174" s="15">
        <v>153</v>
      </c>
      <c r="K174" s="15">
        <v>142</v>
      </c>
      <c r="L174" s="12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</row>
    <row r="175" spans="1:55" ht="12.95" customHeight="1">
      <c r="A175" s="2"/>
      <c r="B175" s="14" t="s">
        <v>169</v>
      </c>
      <c r="C175" s="15">
        <v>183</v>
      </c>
      <c r="D175" s="15">
        <v>103</v>
      </c>
      <c r="E175" s="15">
        <v>80</v>
      </c>
      <c r="F175" s="15">
        <v>74</v>
      </c>
      <c r="G175" s="15">
        <v>38</v>
      </c>
      <c r="H175" s="15">
        <v>36</v>
      </c>
      <c r="I175" s="15">
        <v>109</v>
      </c>
      <c r="J175" s="15">
        <v>65</v>
      </c>
      <c r="K175" s="15">
        <v>44</v>
      </c>
      <c r="L175" s="12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</row>
    <row r="176" spans="1:55" ht="12.95" customHeight="1">
      <c r="A176" s="2"/>
      <c r="B176" s="14" t="s">
        <v>170</v>
      </c>
      <c r="C176" s="15">
        <v>196</v>
      </c>
      <c r="D176" s="15">
        <v>111</v>
      </c>
      <c r="E176" s="15">
        <v>85</v>
      </c>
      <c r="F176" s="15">
        <v>139</v>
      </c>
      <c r="G176" s="15">
        <v>80</v>
      </c>
      <c r="H176" s="15">
        <v>59</v>
      </c>
      <c r="I176" s="15">
        <v>57</v>
      </c>
      <c r="J176" s="15">
        <v>31</v>
      </c>
      <c r="K176" s="15">
        <v>26</v>
      </c>
      <c r="L176" s="12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</row>
    <row r="177" spans="1:55" ht="12.95" customHeight="1">
      <c r="A177" s="2"/>
      <c r="B177" s="14" t="s">
        <v>171</v>
      </c>
      <c r="C177" s="15">
        <v>87</v>
      </c>
      <c r="D177" s="15">
        <v>45</v>
      </c>
      <c r="E177" s="15">
        <v>42</v>
      </c>
      <c r="F177" s="15">
        <v>33</v>
      </c>
      <c r="G177" s="15">
        <v>17</v>
      </c>
      <c r="H177" s="15">
        <v>16</v>
      </c>
      <c r="I177" s="15">
        <v>54</v>
      </c>
      <c r="J177" s="15">
        <v>28</v>
      </c>
      <c r="K177" s="15">
        <v>26</v>
      </c>
      <c r="L177" s="12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</row>
    <row r="178" spans="1:55" ht="12.95" customHeight="1">
      <c r="A178" s="2"/>
      <c r="B178" s="14" t="s">
        <v>172</v>
      </c>
      <c r="C178" s="15">
        <v>790</v>
      </c>
      <c r="D178" s="15">
        <v>408</v>
      </c>
      <c r="E178" s="15">
        <v>382</v>
      </c>
      <c r="F178" s="15">
        <v>247</v>
      </c>
      <c r="G178" s="15">
        <v>126</v>
      </c>
      <c r="H178" s="15">
        <v>121</v>
      </c>
      <c r="I178" s="15">
        <v>543</v>
      </c>
      <c r="J178" s="15">
        <v>282</v>
      </c>
      <c r="K178" s="15">
        <v>261</v>
      </c>
      <c r="L178" s="12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</row>
    <row r="179" spans="1:55" ht="12.95" customHeight="1">
      <c r="A179" s="2"/>
      <c r="B179" s="14" t="s">
        <v>173</v>
      </c>
      <c r="C179" s="15">
        <v>47</v>
      </c>
      <c r="D179" s="15">
        <v>25</v>
      </c>
      <c r="E179" s="15">
        <v>22</v>
      </c>
      <c r="F179" s="15">
        <v>23</v>
      </c>
      <c r="G179" s="15">
        <v>11</v>
      </c>
      <c r="H179" s="15">
        <v>12</v>
      </c>
      <c r="I179" s="15">
        <v>24</v>
      </c>
      <c r="J179" s="15">
        <v>14</v>
      </c>
      <c r="K179" s="15">
        <v>10</v>
      </c>
      <c r="L179" s="12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</row>
    <row r="180" spans="1:55" ht="12.95" customHeight="1">
      <c r="A180" s="2"/>
      <c r="B180" s="8"/>
      <c r="C180" s="13"/>
      <c r="D180" s="13"/>
      <c r="E180" s="13"/>
      <c r="F180" s="13"/>
      <c r="G180" s="13"/>
      <c r="H180" s="13"/>
      <c r="I180" s="13"/>
      <c r="J180" s="13"/>
      <c r="K180" s="13"/>
      <c r="L180" s="12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</row>
    <row r="181" spans="1:55" ht="12.95" customHeight="1">
      <c r="A181" s="2"/>
      <c r="B181" s="10" t="s">
        <v>174</v>
      </c>
      <c r="C181" s="11">
        <f>SUM(C182:C190)</f>
        <v>3280</v>
      </c>
      <c r="D181" s="11">
        <f t="shared" ref="D181:K181" si="9">SUM(D182:D190)</f>
        <v>1736</v>
      </c>
      <c r="E181" s="11">
        <f t="shared" si="9"/>
        <v>1544</v>
      </c>
      <c r="F181" s="11">
        <f t="shared" si="9"/>
        <v>1306</v>
      </c>
      <c r="G181" s="11">
        <f t="shared" si="9"/>
        <v>733</v>
      </c>
      <c r="H181" s="11">
        <f t="shared" si="9"/>
        <v>573</v>
      </c>
      <c r="I181" s="11">
        <f t="shared" si="9"/>
        <v>1974</v>
      </c>
      <c r="J181" s="11">
        <f t="shared" si="9"/>
        <v>1003</v>
      </c>
      <c r="K181" s="11">
        <f t="shared" si="9"/>
        <v>971</v>
      </c>
      <c r="L181" s="12"/>
      <c r="M181" s="7"/>
      <c r="N181" s="7"/>
      <c r="O181" s="7"/>
      <c r="P181" s="1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</row>
    <row r="182" spans="1:55" ht="12.95" customHeight="1">
      <c r="A182" s="2"/>
      <c r="B182" s="14" t="s">
        <v>175</v>
      </c>
      <c r="C182" s="15">
        <v>929</v>
      </c>
      <c r="D182" s="15">
        <v>488</v>
      </c>
      <c r="E182" s="15">
        <v>441</v>
      </c>
      <c r="F182" s="15">
        <v>450</v>
      </c>
      <c r="G182" s="15">
        <v>257</v>
      </c>
      <c r="H182" s="15">
        <v>193</v>
      </c>
      <c r="I182" s="15">
        <v>479</v>
      </c>
      <c r="J182" s="15">
        <v>231</v>
      </c>
      <c r="K182" s="15">
        <v>248</v>
      </c>
      <c r="L182" s="12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</row>
    <row r="183" spans="1:55" ht="12.95" customHeight="1">
      <c r="A183" s="2"/>
      <c r="B183" s="14" t="s">
        <v>176</v>
      </c>
      <c r="C183" s="15">
        <v>29</v>
      </c>
      <c r="D183" s="15">
        <v>14</v>
      </c>
      <c r="E183" s="15">
        <v>15</v>
      </c>
      <c r="F183" s="15">
        <v>13</v>
      </c>
      <c r="G183" s="15">
        <v>6</v>
      </c>
      <c r="H183" s="15">
        <v>7</v>
      </c>
      <c r="I183" s="15">
        <v>16</v>
      </c>
      <c r="J183" s="15">
        <v>8</v>
      </c>
      <c r="K183" s="15">
        <v>8</v>
      </c>
      <c r="L183" s="12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</row>
    <row r="184" spans="1:55" ht="12.95" customHeight="1">
      <c r="A184" s="2"/>
      <c r="B184" s="14" t="s">
        <v>177</v>
      </c>
      <c r="C184" s="15">
        <v>106</v>
      </c>
      <c r="D184" s="15">
        <v>48</v>
      </c>
      <c r="E184" s="15">
        <v>58</v>
      </c>
      <c r="F184" s="15">
        <v>43</v>
      </c>
      <c r="G184" s="15">
        <v>24</v>
      </c>
      <c r="H184" s="15">
        <v>19</v>
      </c>
      <c r="I184" s="15">
        <v>63</v>
      </c>
      <c r="J184" s="15">
        <v>24</v>
      </c>
      <c r="K184" s="15">
        <v>39</v>
      </c>
      <c r="L184" s="12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</row>
    <row r="185" spans="1:55" ht="12.95" customHeight="1">
      <c r="A185" s="2"/>
      <c r="B185" s="14" t="s">
        <v>178</v>
      </c>
      <c r="C185" s="15">
        <v>107</v>
      </c>
      <c r="D185" s="15">
        <v>62</v>
      </c>
      <c r="E185" s="15">
        <v>45</v>
      </c>
      <c r="F185" s="15">
        <v>29</v>
      </c>
      <c r="G185" s="15">
        <v>18</v>
      </c>
      <c r="H185" s="15">
        <v>11</v>
      </c>
      <c r="I185" s="15">
        <v>78</v>
      </c>
      <c r="J185" s="15">
        <v>44</v>
      </c>
      <c r="K185" s="15">
        <v>34</v>
      </c>
      <c r="L185" s="12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</row>
    <row r="186" spans="1:55" ht="12.95" customHeight="1">
      <c r="A186" s="2"/>
      <c r="B186" s="14" t="s">
        <v>179</v>
      </c>
      <c r="C186" s="15">
        <v>1481</v>
      </c>
      <c r="D186" s="15">
        <v>780</v>
      </c>
      <c r="E186" s="15">
        <v>701</v>
      </c>
      <c r="F186" s="15">
        <v>580</v>
      </c>
      <c r="G186" s="15">
        <v>318</v>
      </c>
      <c r="H186" s="15">
        <v>262</v>
      </c>
      <c r="I186" s="15">
        <v>901</v>
      </c>
      <c r="J186" s="15">
        <v>462</v>
      </c>
      <c r="K186" s="15">
        <v>439</v>
      </c>
      <c r="L186" s="12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</row>
    <row r="187" spans="1:55" ht="12.95" customHeight="1">
      <c r="A187" s="2"/>
      <c r="B187" s="14" t="s">
        <v>180</v>
      </c>
      <c r="C187" s="15">
        <v>132</v>
      </c>
      <c r="D187" s="15">
        <v>66</v>
      </c>
      <c r="E187" s="15">
        <v>66</v>
      </c>
      <c r="F187" s="15">
        <v>29</v>
      </c>
      <c r="G187" s="15">
        <v>15</v>
      </c>
      <c r="H187" s="15">
        <v>14</v>
      </c>
      <c r="I187" s="15">
        <v>103</v>
      </c>
      <c r="J187" s="15">
        <v>51</v>
      </c>
      <c r="K187" s="15">
        <v>52</v>
      </c>
      <c r="L187" s="12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</row>
    <row r="188" spans="1:55" ht="12.95" customHeight="1">
      <c r="A188" s="2"/>
      <c r="B188" s="14" t="s">
        <v>181</v>
      </c>
      <c r="C188" s="15">
        <v>159</v>
      </c>
      <c r="D188" s="15">
        <v>90</v>
      </c>
      <c r="E188" s="15">
        <v>69</v>
      </c>
      <c r="F188" s="15">
        <v>60</v>
      </c>
      <c r="G188" s="15">
        <v>33</v>
      </c>
      <c r="H188" s="15">
        <v>27</v>
      </c>
      <c r="I188" s="15">
        <v>99</v>
      </c>
      <c r="J188" s="15">
        <v>57</v>
      </c>
      <c r="K188" s="15">
        <v>42</v>
      </c>
      <c r="L188" s="12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</row>
    <row r="189" spans="1:55" ht="12.95" customHeight="1">
      <c r="A189" s="2"/>
      <c r="B189" s="14" t="s">
        <v>182</v>
      </c>
      <c r="C189" s="15">
        <v>111</v>
      </c>
      <c r="D189" s="15">
        <v>57</v>
      </c>
      <c r="E189" s="15">
        <v>54</v>
      </c>
      <c r="F189" s="15">
        <v>61</v>
      </c>
      <c r="G189" s="15">
        <v>34</v>
      </c>
      <c r="H189" s="15">
        <v>27</v>
      </c>
      <c r="I189" s="15">
        <v>50</v>
      </c>
      <c r="J189" s="15">
        <v>23</v>
      </c>
      <c r="K189" s="15">
        <v>27</v>
      </c>
      <c r="L189" s="12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</row>
    <row r="190" spans="1:55" ht="12.95" customHeight="1">
      <c r="A190" s="2"/>
      <c r="B190" s="14" t="s">
        <v>183</v>
      </c>
      <c r="C190" s="15">
        <v>226</v>
      </c>
      <c r="D190" s="15">
        <v>131</v>
      </c>
      <c r="E190" s="15">
        <v>95</v>
      </c>
      <c r="F190" s="15">
        <v>41</v>
      </c>
      <c r="G190" s="15">
        <v>28</v>
      </c>
      <c r="H190" s="15">
        <v>13</v>
      </c>
      <c r="I190" s="15">
        <v>185</v>
      </c>
      <c r="J190" s="15">
        <v>103</v>
      </c>
      <c r="K190" s="15">
        <v>82</v>
      </c>
      <c r="L190" s="12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</row>
    <row r="191" spans="1:55" ht="12.95" customHeight="1">
      <c r="A191" s="2"/>
      <c r="B191" s="8"/>
      <c r="C191" s="13"/>
      <c r="D191" s="13"/>
      <c r="E191" s="13"/>
      <c r="F191" s="13"/>
      <c r="G191" s="13"/>
      <c r="H191" s="13"/>
      <c r="I191" s="15"/>
      <c r="J191" s="13"/>
      <c r="K191" s="13"/>
      <c r="L191" s="12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spans="1:55" ht="12.95" customHeight="1">
      <c r="A192" s="2"/>
      <c r="B192" s="10" t="s">
        <v>184</v>
      </c>
      <c r="C192" s="11">
        <f>SUM(C193:C205)</f>
        <v>2967</v>
      </c>
      <c r="D192" s="11">
        <f t="shared" ref="D192:K192" si="10">SUM(D193:D205)</f>
        <v>1616</v>
      </c>
      <c r="E192" s="11">
        <f t="shared" si="10"/>
        <v>1351</v>
      </c>
      <c r="F192" s="11">
        <f t="shared" si="10"/>
        <v>1728</v>
      </c>
      <c r="G192" s="11">
        <f t="shared" si="10"/>
        <v>940</v>
      </c>
      <c r="H192" s="11">
        <f t="shared" si="10"/>
        <v>788</v>
      </c>
      <c r="I192" s="11">
        <f t="shared" si="10"/>
        <v>1239</v>
      </c>
      <c r="J192" s="11">
        <f t="shared" si="10"/>
        <v>676</v>
      </c>
      <c r="K192" s="11">
        <f t="shared" si="10"/>
        <v>563</v>
      </c>
      <c r="L192" s="12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spans="1:55" ht="12.95" customHeight="1">
      <c r="A193" s="2"/>
      <c r="B193" s="14" t="s">
        <v>185</v>
      </c>
      <c r="C193" s="15">
        <v>1052</v>
      </c>
      <c r="D193" s="15">
        <v>558</v>
      </c>
      <c r="E193" s="15">
        <v>494</v>
      </c>
      <c r="F193" s="15">
        <v>836</v>
      </c>
      <c r="G193" s="15">
        <v>448</v>
      </c>
      <c r="H193" s="15">
        <v>388</v>
      </c>
      <c r="I193" s="15">
        <v>216</v>
      </c>
      <c r="J193" s="15">
        <v>110</v>
      </c>
      <c r="K193" s="15">
        <v>106</v>
      </c>
      <c r="L193" s="12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spans="1:55" ht="12.95" customHeight="1">
      <c r="A194" s="2"/>
      <c r="B194" s="14" t="s">
        <v>186</v>
      </c>
      <c r="C194" s="15">
        <v>343</v>
      </c>
      <c r="D194" s="15">
        <v>200</v>
      </c>
      <c r="E194" s="15">
        <v>143</v>
      </c>
      <c r="F194" s="15">
        <v>143</v>
      </c>
      <c r="G194" s="15">
        <v>80</v>
      </c>
      <c r="H194" s="15">
        <v>63</v>
      </c>
      <c r="I194" s="15">
        <v>200</v>
      </c>
      <c r="J194" s="15">
        <v>120</v>
      </c>
      <c r="K194" s="15">
        <v>80</v>
      </c>
      <c r="L194" s="12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</row>
    <row r="195" spans="1:55" ht="12.95" customHeight="1">
      <c r="A195" s="2"/>
      <c r="B195" s="14" t="s">
        <v>187</v>
      </c>
      <c r="C195" s="15">
        <v>98</v>
      </c>
      <c r="D195" s="15">
        <v>45</v>
      </c>
      <c r="E195" s="15">
        <v>53</v>
      </c>
      <c r="F195" s="15">
        <v>64</v>
      </c>
      <c r="G195" s="15">
        <v>30</v>
      </c>
      <c r="H195" s="15">
        <v>34</v>
      </c>
      <c r="I195" s="15">
        <v>34</v>
      </c>
      <c r="J195" s="15">
        <v>15</v>
      </c>
      <c r="K195" s="15">
        <v>19</v>
      </c>
      <c r="L195" s="12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</row>
    <row r="196" spans="1:55" ht="12.95" customHeight="1">
      <c r="A196" s="2"/>
      <c r="B196" s="14" t="s">
        <v>188</v>
      </c>
      <c r="C196" s="15">
        <v>70</v>
      </c>
      <c r="D196" s="15">
        <v>45</v>
      </c>
      <c r="E196" s="15">
        <v>25</v>
      </c>
      <c r="F196" s="15">
        <v>47</v>
      </c>
      <c r="G196" s="15">
        <v>27</v>
      </c>
      <c r="H196" s="15">
        <v>20</v>
      </c>
      <c r="I196" s="15">
        <v>23</v>
      </c>
      <c r="J196" s="15">
        <v>18</v>
      </c>
      <c r="K196" s="15">
        <v>5</v>
      </c>
      <c r="L196" s="12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</row>
    <row r="197" spans="1:55" ht="12.95" customHeight="1">
      <c r="A197" s="2"/>
      <c r="B197" s="14" t="s">
        <v>189</v>
      </c>
      <c r="C197" s="15">
        <v>105</v>
      </c>
      <c r="D197" s="15">
        <v>57</v>
      </c>
      <c r="E197" s="15">
        <v>48</v>
      </c>
      <c r="F197" s="15">
        <v>56</v>
      </c>
      <c r="G197" s="15">
        <v>32</v>
      </c>
      <c r="H197" s="15">
        <v>24</v>
      </c>
      <c r="I197" s="15">
        <v>49</v>
      </c>
      <c r="J197" s="15">
        <v>25</v>
      </c>
      <c r="K197" s="15">
        <v>24</v>
      </c>
      <c r="L197" s="12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</row>
    <row r="198" spans="1:55" ht="12.95" customHeight="1">
      <c r="A198" s="2"/>
      <c r="B198" s="14" t="s">
        <v>190</v>
      </c>
      <c r="C198" s="15">
        <v>166</v>
      </c>
      <c r="D198" s="15">
        <v>90</v>
      </c>
      <c r="E198" s="15">
        <v>76</v>
      </c>
      <c r="F198" s="15">
        <v>46</v>
      </c>
      <c r="G198" s="15">
        <v>26</v>
      </c>
      <c r="H198" s="15">
        <v>20</v>
      </c>
      <c r="I198" s="15">
        <v>120</v>
      </c>
      <c r="J198" s="15">
        <v>64</v>
      </c>
      <c r="K198" s="15">
        <v>56</v>
      </c>
      <c r="L198" s="12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</row>
    <row r="199" spans="1:55" ht="12.95" customHeight="1">
      <c r="A199" s="2"/>
      <c r="B199" s="14" t="s">
        <v>191</v>
      </c>
      <c r="C199" s="15">
        <v>69</v>
      </c>
      <c r="D199" s="15">
        <v>36</v>
      </c>
      <c r="E199" s="15">
        <v>33</v>
      </c>
      <c r="F199" s="15">
        <v>28</v>
      </c>
      <c r="G199" s="15">
        <v>14</v>
      </c>
      <c r="H199" s="15">
        <v>14</v>
      </c>
      <c r="I199" s="15">
        <v>41</v>
      </c>
      <c r="J199" s="15">
        <v>22</v>
      </c>
      <c r="K199" s="15">
        <v>19</v>
      </c>
      <c r="L199" s="12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</row>
    <row r="200" spans="1:55" ht="12.95" customHeight="1">
      <c r="A200" s="2"/>
      <c r="B200" s="14" t="s">
        <v>192</v>
      </c>
      <c r="C200" s="15">
        <v>206</v>
      </c>
      <c r="D200" s="15">
        <v>120</v>
      </c>
      <c r="E200" s="15">
        <v>86</v>
      </c>
      <c r="F200" s="15">
        <v>98</v>
      </c>
      <c r="G200" s="15">
        <v>54</v>
      </c>
      <c r="H200" s="15">
        <v>44</v>
      </c>
      <c r="I200" s="15">
        <v>108</v>
      </c>
      <c r="J200" s="15">
        <v>66</v>
      </c>
      <c r="K200" s="15">
        <v>42</v>
      </c>
      <c r="L200" s="12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</row>
    <row r="201" spans="1:55" ht="12.95" customHeight="1">
      <c r="A201" s="2"/>
      <c r="B201" s="14" t="s">
        <v>193</v>
      </c>
      <c r="C201" s="15">
        <v>91</v>
      </c>
      <c r="D201" s="15">
        <v>51</v>
      </c>
      <c r="E201" s="15">
        <v>40</v>
      </c>
      <c r="F201" s="15">
        <v>43</v>
      </c>
      <c r="G201" s="15">
        <v>23</v>
      </c>
      <c r="H201" s="15">
        <v>20</v>
      </c>
      <c r="I201" s="15">
        <v>48</v>
      </c>
      <c r="J201" s="15">
        <v>28</v>
      </c>
      <c r="K201" s="15">
        <v>20</v>
      </c>
      <c r="L201" s="12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</row>
    <row r="202" spans="1:55" ht="12.95" customHeight="1">
      <c r="A202" s="2"/>
      <c r="B202" s="14" t="s">
        <v>194</v>
      </c>
      <c r="C202" s="15">
        <v>147</v>
      </c>
      <c r="D202" s="15">
        <v>74</v>
      </c>
      <c r="E202" s="15">
        <v>73</v>
      </c>
      <c r="F202" s="15">
        <v>79</v>
      </c>
      <c r="G202" s="15">
        <v>40</v>
      </c>
      <c r="H202" s="15">
        <v>39</v>
      </c>
      <c r="I202" s="15">
        <v>68</v>
      </c>
      <c r="J202" s="15">
        <v>34</v>
      </c>
      <c r="K202" s="15">
        <v>34</v>
      </c>
      <c r="L202" s="12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</row>
    <row r="203" spans="1:55" ht="12.95" customHeight="1">
      <c r="A203" s="2"/>
      <c r="B203" s="14" t="s">
        <v>195</v>
      </c>
      <c r="C203" s="15">
        <v>413</v>
      </c>
      <c r="D203" s="15">
        <v>228</v>
      </c>
      <c r="E203" s="15">
        <v>185</v>
      </c>
      <c r="F203" s="15">
        <v>179</v>
      </c>
      <c r="G203" s="15">
        <v>108</v>
      </c>
      <c r="H203" s="15">
        <v>71</v>
      </c>
      <c r="I203" s="15">
        <v>234</v>
      </c>
      <c r="J203" s="15">
        <v>120</v>
      </c>
      <c r="K203" s="15">
        <v>114</v>
      </c>
      <c r="L203" s="12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</row>
    <row r="204" spans="1:55" ht="12.95" customHeight="1">
      <c r="A204" s="2"/>
      <c r="B204" s="14" t="s">
        <v>196</v>
      </c>
      <c r="C204" s="15">
        <v>67</v>
      </c>
      <c r="D204" s="15">
        <v>37</v>
      </c>
      <c r="E204" s="15">
        <v>30</v>
      </c>
      <c r="F204" s="15">
        <v>49</v>
      </c>
      <c r="G204" s="15">
        <v>28</v>
      </c>
      <c r="H204" s="15">
        <v>21</v>
      </c>
      <c r="I204" s="15">
        <v>18</v>
      </c>
      <c r="J204" s="15">
        <v>9</v>
      </c>
      <c r="K204" s="15">
        <v>9</v>
      </c>
      <c r="L204" s="12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</row>
    <row r="205" spans="1:55" ht="12.95" customHeight="1">
      <c r="A205" s="2"/>
      <c r="B205" s="14" t="s">
        <v>197</v>
      </c>
      <c r="C205" s="15">
        <v>140</v>
      </c>
      <c r="D205" s="15">
        <v>75</v>
      </c>
      <c r="E205" s="15">
        <v>65</v>
      </c>
      <c r="F205" s="15">
        <v>60</v>
      </c>
      <c r="G205" s="15">
        <v>30</v>
      </c>
      <c r="H205" s="15">
        <v>30</v>
      </c>
      <c r="I205" s="15">
        <v>80</v>
      </c>
      <c r="J205" s="15">
        <v>45</v>
      </c>
      <c r="K205" s="15">
        <v>35</v>
      </c>
      <c r="L205" s="12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</row>
    <row r="206" spans="1:55" ht="12.95" customHeight="1">
      <c r="A206" s="2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12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</row>
    <row r="207" spans="1:55" ht="12.95" customHeight="1">
      <c r="A207" s="2"/>
      <c r="B207" s="21" t="s">
        <v>198</v>
      </c>
      <c r="C207" s="11">
        <f>SUM(C208:C230)</f>
        <v>6659</v>
      </c>
      <c r="D207" s="11">
        <f t="shared" ref="D207:K207" si="11">SUM(D208:D230)</f>
        <v>3522</v>
      </c>
      <c r="E207" s="11">
        <f t="shared" si="11"/>
        <v>3137</v>
      </c>
      <c r="F207" s="11">
        <f t="shared" si="11"/>
        <v>3379</v>
      </c>
      <c r="G207" s="11">
        <f t="shared" si="11"/>
        <v>1759</v>
      </c>
      <c r="H207" s="11">
        <f t="shared" si="11"/>
        <v>1620</v>
      </c>
      <c r="I207" s="11">
        <f t="shared" si="11"/>
        <v>3280</v>
      </c>
      <c r="J207" s="11">
        <f t="shared" si="11"/>
        <v>1763</v>
      </c>
      <c r="K207" s="11">
        <f t="shared" si="11"/>
        <v>1517</v>
      </c>
      <c r="L207" s="12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</row>
    <row r="208" spans="1:55" ht="12.95" customHeight="1">
      <c r="A208" s="2"/>
      <c r="B208" s="14" t="s">
        <v>199</v>
      </c>
      <c r="C208" s="15">
        <v>1466</v>
      </c>
      <c r="D208" s="15">
        <v>766</v>
      </c>
      <c r="E208" s="15">
        <v>700</v>
      </c>
      <c r="F208" s="15">
        <v>1058</v>
      </c>
      <c r="G208" s="15">
        <v>545</v>
      </c>
      <c r="H208" s="15">
        <v>513</v>
      </c>
      <c r="I208" s="15">
        <v>408</v>
      </c>
      <c r="J208" s="15">
        <v>221</v>
      </c>
      <c r="K208" s="15">
        <v>187</v>
      </c>
      <c r="L208" s="12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</row>
    <row r="209" spans="1:55" ht="12.95" customHeight="1">
      <c r="A209" s="2"/>
      <c r="B209" s="14" t="s">
        <v>200</v>
      </c>
      <c r="C209" s="15">
        <v>229</v>
      </c>
      <c r="D209" s="15">
        <v>121</v>
      </c>
      <c r="E209" s="15">
        <v>108</v>
      </c>
      <c r="F209" s="15">
        <v>56</v>
      </c>
      <c r="G209" s="15">
        <v>29</v>
      </c>
      <c r="H209" s="15">
        <v>27</v>
      </c>
      <c r="I209" s="15">
        <v>173</v>
      </c>
      <c r="J209" s="15">
        <v>92</v>
      </c>
      <c r="K209" s="15">
        <v>81</v>
      </c>
      <c r="L209" s="12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</row>
    <row r="210" spans="1:55" ht="12.95" customHeight="1">
      <c r="A210" s="2"/>
      <c r="B210" s="14" t="s">
        <v>201</v>
      </c>
      <c r="C210" s="15">
        <v>436</v>
      </c>
      <c r="D210" s="15">
        <v>231</v>
      </c>
      <c r="E210" s="15">
        <v>205</v>
      </c>
      <c r="F210" s="15">
        <v>226</v>
      </c>
      <c r="G210" s="15">
        <v>113</v>
      </c>
      <c r="H210" s="15">
        <v>113</v>
      </c>
      <c r="I210" s="15">
        <v>210</v>
      </c>
      <c r="J210" s="15">
        <v>118</v>
      </c>
      <c r="K210" s="15">
        <v>92</v>
      </c>
      <c r="L210" s="12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</row>
    <row r="211" spans="1:55" ht="12.95" customHeight="1">
      <c r="A211" s="2"/>
      <c r="B211" s="14" t="s">
        <v>202</v>
      </c>
      <c r="C211" s="15">
        <v>51</v>
      </c>
      <c r="D211" s="15">
        <v>29</v>
      </c>
      <c r="E211" s="15">
        <v>22</v>
      </c>
      <c r="F211" s="15">
        <v>38</v>
      </c>
      <c r="G211" s="15">
        <v>21</v>
      </c>
      <c r="H211" s="15">
        <v>17</v>
      </c>
      <c r="I211" s="15">
        <v>13</v>
      </c>
      <c r="J211" s="15">
        <v>8</v>
      </c>
      <c r="K211" s="15">
        <v>5</v>
      </c>
      <c r="L211" s="12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</row>
    <row r="212" spans="1:55" ht="12.95" customHeight="1">
      <c r="A212" s="2"/>
      <c r="B212" s="14" t="s">
        <v>203</v>
      </c>
      <c r="C212" s="15">
        <v>236</v>
      </c>
      <c r="D212" s="15">
        <v>124</v>
      </c>
      <c r="E212" s="15">
        <v>112</v>
      </c>
      <c r="F212" s="15">
        <v>82</v>
      </c>
      <c r="G212" s="15">
        <v>35</v>
      </c>
      <c r="H212" s="15">
        <v>47</v>
      </c>
      <c r="I212" s="15">
        <v>154</v>
      </c>
      <c r="J212" s="15">
        <v>89</v>
      </c>
      <c r="K212" s="15">
        <v>65</v>
      </c>
      <c r="L212" s="12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</row>
    <row r="213" spans="1:55" ht="12.95" customHeight="1">
      <c r="A213" s="2"/>
      <c r="B213" s="14" t="s">
        <v>204</v>
      </c>
      <c r="C213" s="15">
        <v>147</v>
      </c>
      <c r="D213" s="15">
        <v>89</v>
      </c>
      <c r="E213" s="15">
        <v>58</v>
      </c>
      <c r="F213" s="15">
        <v>104</v>
      </c>
      <c r="G213" s="15">
        <v>60</v>
      </c>
      <c r="H213" s="15">
        <v>44</v>
      </c>
      <c r="I213" s="15">
        <v>43</v>
      </c>
      <c r="J213" s="15">
        <v>29</v>
      </c>
      <c r="K213" s="15">
        <v>14</v>
      </c>
      <c r="L213" s="12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</row>
    <row r="214" spans="1:55" ht="12.95" customHeight="1">
      <c r="A214" s="2"/>
      <c r="B214" s="14" t="s">
        <v>205</v>
      </c>
      <c r="C214" s="15">
        <v>126</v>
      </c>
      <c r="D214" s="15">
        <v>67</v>
      </c>
      <c r="E214" s="15">
        <v>59</v>
      </c>
      <c r="F214" s="15">
        <v>66</v>
      </c>
      <c r="G214" s="15">
        <v>36</v>
      </c>
      <c r="H214" s="15">
        <v>30</v>
      </c>
      <c r="I214" s="15">
        <v>60</v>
      </c>
      <c r="J214" s="15">
        <v>31</v>
      </c>
      <c r="K214" s="15">
        <v>29</v>
      </c>
      <c r="L214" s="12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</row>
    <row r="215" spans="1:55" ht="12.95" customHeight="1">
      <c r="A215" s="2"/>
      <c r="B215" s="14" t="s">
        <v>206</v>
      </c>
      <c r="C215" s="15">
        <v>179</v>
      </c>
      <c r="D215" s="15">
        <v>97</v>
      </c>
      <c r="E215" s="15">
        <v>82</v>
      </c>
      <c r="F215" s="15">
        <v>85</v>
      </c>
      <c r="G215" s="15">
        <v>47</v>
      </c>
      <c r="H215" s="15">
        <v>38</v>
      </c>
      <c r="I215" s="15">
        <v>94</v>
      </c>
      <c r="J215" s="15">
        <v>50</v>
      </c>
      <c r="K215" s="15">
        <v>44</v>
      </c>
      <c r="L215" s="12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</row>
    <row r="216" spans="1:55" ht="12.95" customHeight="1">
      <c r="A216" s="2"/>
      <c r="B216" s="14" t="s">
        <v>207</v>
      </c>
      <c r="C216" s="15">
        <v>949</v>
      </c>
      <c r="D216" s="15">
        <v>487</v>
      </c>
      <c r="E216" s="15">
        <v>462</v>
      </c>
      <c r="F216" s="15">
        <v>224</v>
      </c>
      <c r="G216" s="15">
        <v>115</v>
      </c>
      <c r="H216" s="15">
        <v>109</v>
      </c>
      <c r="I216" s="15">
        <v>725</v>
      </c>
      <c r="J216" s="15">
        <v>372</v>
      </c>
      <c r="K216" s="15">
        <v>353</v>
      </c>
      <c r="L216" s="12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</row>
    <row r="217" spans="1:55" ht="12.95" customHeight="1">
      <c r="A217" s="2"/>
      <c r="B217" s="14" t="s">
        <v>208</v>
      </c>
      <c r="C217" s="15">
        <v>374</v>
      </c>
      <c r="D217" s="15">
        <v>212</v>
      </c>
      <c r="E217" s="15">
        <v>162</v>
      </c>
      <c r="F217" s="15">
        <v>239</v>
      </c>
      <c r="G217" s="15">
        <v>137</v>
      </c>
      <c r="H217" s="15">
        <v>102</v>
      </c>
      <c r="I217" s="15">
        <v>135</v>
      </c>
      <c r="J217" s="15">
        <v>75</v>
      </c>
      <c r="K217" s="15">
        <v>60</v>
      </c>
      <c r="L217" s="12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</row>
    <row r="218" spans="1:55" ht="12.95" customHeight="1">
      <c r="A218" s="2"/>
      <c r="B218" s="14" t="s">
        <v>209</v>
      </c>
      <c r="C218" s="15">
        <v>184</v>
      </c>
      <c r="D218" s="15">
        <v>99</v>
      </c>
      <c r="E218" s="15">
        <v>85</v>
      </c>
      <c r="F218" s="15">
        <v>54</v>
      </c>
      <c r="G218" s="15">
        <v>30</v>
      </c>
      <c r="H218" s="15">
        <v>24</v>
      </c>
      <c r="I218" s="15">
        <v>130</v>
      </c>
      <c r="J218" s="15">
        <v>69</v>
      </c>
      <c r="K218" s="15">
        <v>61</v>
      </c>
      <c r="L218" s="12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</row>
    <row r="219" spans="1:55" ht="12.95" customHeight="1">
      <c r="A219" s="2"/>
      <c r="B219" s="14" t="s">
        <v>210</v>
      </c>
      <c r="C219" s="15">
        <v>222</v>
      </c>
      <c r="D219" s="15">
        <v>109</v>
      </c>
      <c r="E219" s="15">
        <v>113</v>
      </c>
      <c r="F219" s="15">
        <v>87</v>
      </c>
      <c r="G219" s="15">
        <v>42</v>
      </c>
      <c r="H219" s="15">
        <v>45</v>
      </c>
      <c r="I219" s="15">
        <v>135</v>
      </c>
      <c r="J219" s="15">
        <v>67</v>
      </c>
      <c r="K219" s="15">
        <v>68</v>
      </c>
      <c r="L219" s="12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</row>
    <row r="220" spans="1:55" ht="12.95" customHeight="1">
      <c r="A220" s="2"/>
      <c r="B220" s="14" t="s">
        <v>211</v>
      </c>
      <c r="C220" s="15">
        <v>130</v>
      </c>
      <c r="D220" s="15">
        <v>83</v>
      </c>
      <c r="E220" s="15">
        <v>47</v>
      </c>
      <c r="F220" s="15">
        <v>29</v>
      </c>
      <c r="G220" s="15">
        <v>20</v>
      </c>
      <c r="H220" s="15">
        <v>9</v>
      </c>
      <c r="I220" s="15">
        <v>101</v>
      </c>
      <c r="J220" s="15">
        <v>63</v>
      </c>
      <c r="K220" s="15">
        <v>38</v>
      </c>
      <c r="L220" s="12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</row>
    <row r="221" spans="1:55" ht="12.95" customHeight="1">
      <c r="A221" s="2"/>
      <c r="B221" s="14" t="s">
        <v>212</v>
      </c>
      <c r="C221" s="15">
        <v>205</v>
      </c>
      <c r="D221" s="15">
        <v>107</v>
      </c>
      <c r="E221" s="15">
        <v>98</v>
      </c>
      <c r="F221" s="15">
        <v>77</v>
      </c>
      <c r="G221" s="15">
        <v>43</v>
      </c>
      <c r="H221" s="15">
        <v>34</v>
      </c>
      <c r="I221" s="15">
        <v>128</v>
      </c>
      <c r="J221" s="15">
        <v>64</v>
      </c>
      <c r="K221" s="15">
        <v>64</v>
      </c>
      <c r="L221" s="12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</row>
    <row r="222" spans="1:55" ht="12.95" customHeight="1">
      <c r="A222" s="2"/>
      <c r="B222" s="14" t="s">
        <v>213</v>
      </c>
      <c r="C222" s="15">
        <v>281</v>
      </c>
      <c r="D222" s="15">
        <v>130</v>
      </c>
      <c r="E222" s="15">
        <v>151</v>
      </c>
      <c r="F222" s="15">
        <v>194</v>
      </c>
      <c r="G222" s="15">
        <v>94</v>
      </c>
      <c r="H222" s="15">
        <v>100</v>
      </c>
      <c r="I222" s="15">
        <v>87</v>
      </c>
      <c r="J222" s="15">
        <v>36</v>
      </c>
      <c r="K222" s="15">
        <v>51</v>
      </c>
      <c r="L222" s="12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</row>
    <row r="223" spans="1:55" ht="12.95" customHeight="1">
      <c r="A223" s="2"/>
      <c r="B223" s="14" t="s">
        <v>214</v>
      </c>
      <c r="C223" s="15">
        <v>99</v>
      </c>
      <c r="D223" s="15">
        <v>54</v>
      </c>
      <c r="E223" s="15">
        <v>45</v>
      </c>
      <c r="F223" s="15">
        <v>49</v>
      </c>
      <c r="G223" s="15">
        <v>25</v>
      </c>
      <c r="H223" s="15">
        <v>24</v>
      </c>
      <c r="I223" s="15">
        <v>50</v>
      </c>
      <c r="J223" s="15">
        <v>29</v>
      </c>
      <c r="K223" s="15">
        <v>21</v>
      </c>
      <c r="L223" s="12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</row>
    <row r="224" spans="1:55" ht="12.95" customHeight="1">
      <c r="A224" s="2"/>
      <c r="B224" s="14" t="s">
        <v>215</v>
      </c>
      <c r="C224" s="15">
        <v>73</v>
      </c>
      <c r="D224" s="15">
        <v>43</v>
      </c>
      <c r="E224" s="15">
        <v>30</v>
      </c>
      <c r="F224" s="15">
        <v>41</v>
      </c>
      <c r="G224" s="15">
        <v>24</v>
      </c>
      <c r="H224" s="15">
        <v>17</v>
      </c>
      <c r="I224" s="15">
        <v>32</v>
      </c>
      <c r="J224" s="15">
        <v>19</v>
      </c>
      <c r="K224" s="15">
        <v>13</v>
      </c>
      <c r="L224" s="12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</row>
    <row r="225" spans="1:55" ht="12.95" customHeight="1">
      <c r="A225" s="2"/>
      <c r="B225" s="14" t="s">
        <v>216</v>
      </c>
      <c r="C225" s="15">
        <v>95</v>
      </c>
      <c r="D225" s="15">
        <v>45</v>
      </c>
      <c r="E225" s="15">
        <v>50</v>
      </c>
      <c r="F225" s="15">
        <v>49</v>
      </c>
      <c r="G225" s="15">
        <v>24</v>
      </c>
      <c r="H225" s="15">
        <v>25</v>
      </c>
      <c r="I225" s="15">
        <v>46</v>
      </c>
      <c r="J225" s="15">
        <v>21</v>
      </c>
      <c r="K225" s="15">
        <v>25</v>
      </c>
      <c r="L225" s="12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</row>
    <row r="226" spans="1:55" ht="12.95" customHeight="1">
      <c r="A226" s="2"/>
      <c r="B226" s="14" t="s">
        <v>217</v>
      </c>
      <c r="C226" s="15">
        <v>99</v>
      </c>
      <c r="D226" s="15">
        <v>56</v>
      </c>
      <c r="E226" s="15">
        <v>43</v>
      </c>
      <c r="F226" s="15">
        <v>26</v>
      </c>
      <c r="G226" s="15">
        <v>14</v>
      </c>
      <c r="H226" s="15">
        <v>12</v>
      </c>
      <c r="I226" s="15">
        <v>73</v>
      </c>
      <c r="J226" s="15">
        <v>42</v>
      </c>
      <c r="K226" s="15">
        <v>31</v>
      </c>
      <c r="L226" s="12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</row>
    <row r="227" spans="1:55" ht="12.95" customHeight="1">
      <c r="A227" s="2"/>
      <c r="B227" s="14" t="s">
        <v>218</v>
      </c>
      <c r="C227" s="15">
        <v>378</v>
      </c>
      <c r="D227" s="15">
        <v>200</v>
      </c>
      <c r="E227" s="15">
        <v>178</v>
      </c>
      <c r="F227" s="15">
        <v>123</v>
      </c>
      <c r="G227" s="15">
        <v>55</v>
      </c>
      <c r="H227" s="15">
        <v>68</v>
      </c>
      <c r="I227" s="15">
        <v>255</v>
      </c>
      <c r="J227" s="15">
        <v>145</v>
      </c>
      <c r="K227" s="15">
        <v>110</v>
      </c>
      <c r="L227" s="12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</row>
    <row r="228" spans="1:55" ht="12.95" customHeight="1">
      <c r="A228" s="2"/>
      <c r="B228" s="14" t="s">
        <v>219</v>
      </c>
      <c r="C228" s="15">
        <v>155</v>
      </c>
      <c r="D228" s="15">
        <v>91</v>
      </c>
      <c r="E228" s="15">
        <v>64</v>
      </c>
      <c r="F228" s="15">
        <v>131</v>
      </c>
      <c r="G228" s="15">
        <v>76</v>
      </c>
      <c r="H228" s="15">
        <v>55</v>
      </c>
      <c r="I228" s="15">
        <v>24</v>
      </c>
      <c r="J228" s="15">
        <v>15</v>
      </c>
      <c r="K228" s="15">
        <v>9</v>
      </c>
      <c r="L228" s="12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</row>
    <row r="229" spans="1:55" ht="12.95" customHeight="1">
      <c r="A229" s="2"/>
      <c r="B229" s="14" t="s">
        <v>220</v>
      </c>
      <c r="C229" s="15">
        <v>383</v>
      </c>
      <c r="D229" s="15">
        <v>192</v>
      </c>
      <c r="E229" s="15">
        <v>191</v>
      </c>
      <c r="F229" s="15">
        <v>276</v>
      </c>
      <c r="G229" s="15">
        <v>139</v>
      </c>
      <c r="H229" s="15">
        <v>137</v>
      </c>
      <c r="I229" s="15">
        <v>107</v>
      </c>
      <c r="J229" s="15">
        <v>53</v>
      </c>
      <c r="K229" s="15">
        <v>54</v>
      </c>
      <c r="L229" s="12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</row>
    <row r="230" spans="1:55" ht="12.95" customHeight="1">
      <c r="A230" s="2"/>
      <c r="B230" s="14" t="s">
        <v>221</v>
      </c>
      <c r="C230" s="15">
        <v>162</v>
      </c>
      <c r="D230" s="15">
        <v>90</v>
      </c>
      <c r="E230" s="15">
        <v>72</v>
      </c>
      <c r="F230" s="15">
        <v>65</v>
      </c>
      <c r="G230" s="15">
        <v>35</v>
      </c>
      <c r="H230" s="15">
        <v>30</v>
      </c>
      <c r="I230" s="15">
        <v>97</v>
      </c>
      <c r="J230" s="15">
        <v>55</v>
      </c>
      <c r="K230" s="15">
        <v>42</v>
      </c>
      <c r="L230" s="12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</row>
    <row r="231" spans="1:55" ht="12.95" customHeight="1">
      <c r="A231" s="2"/>
      <c r="B231" s="8"/>
      <c r="C231" s="13"/>
      <c r="D231" s="13"/>
      <c r="E231" s="13"/>
      <c r="F231" s="13"/>
      <c r="G231" s="13"/>
      <c r="H231" s="13"/>
      <c r="I231" s="13"/>
      <c r="J231" s="13"/>
      <c r="K231" s="13"/>
      <c r="L231" s="12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</row>
    <row r="232" spans="1:55" ht="12.95" customHeight="1">
      <c r="A232" s="2"/>
      <c r="B232" s="10" t="s">
        <v>222</v>
      </c>
      <c r="C232" s="11">
        <f>SUM(C233:C252)</f>
        <v>9398</v>
      </c>
      <c r="D232" s="11">
        <f t="shared" ref="D232:K232" si="12">SUM(D233:D252)</f>
        <v>4914</v>
      </c>
      <c r="E232" s="11">
        <f t="shared" si="12"/>
        <v>4484</v>
      </c>
      <c r="F232" s="11">
        <f t="shared" si="12"/>
        <v>6685</v>
      </c>
      <c r="G232" s="11">
        <f t="shared" si="12"/>
        <v>3490</v>
      </c>
      <c r="H232" s="11">
        <f t="shared" si="12"/>
        <v>3195</v>
      </c>
      <c r="I232" s="11">
        <f t="shared" si="12"/>
        <v>2713</v>
      </c>
      <c r="J232" s="11">
        <f t="shared" si="12"/>
        <v>1424</v>
      </c>
      <c r="K232" s="11">
        <f t="shared" si="12"/>
        <v>1289</v>
      </c>
      <c r="L232" s="12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</row>
    <row r="233" spans="1:55" ht="12.95" customHeight="1">
      <c r="A233" s="2"/>
      <c r="B233" s="14" t="s">
        <v>223</v>
      </c>
      <c r="C233" s="15">
        <v>4859</v>
      </c>
      <c r="D233" s="15">
        <v>2525</v>
      </c>
      <c r="E233" s="15">
        <v>2334</v>
      </c>
      <c r="F233" s="15">
        <v>4750</v>
      </c>
      <c r="G233" s="15">
        <v>2464</v>
      </c>
      <c r="H233" s="15">
        <v>2286</v>
      </c>
      <c r="I233" s="15">
        <v>109</v>
      </c>
      <c r="J233" s="15">
        <v>61</v>
      </c>
      <c r="K233" s="15">
        <v>48</v>
      </c>
      <c r="L233" s="12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</row>
    <row r="234" spans="1:55" ht="12.95" customHeight="1">
      <c r="A234" s="2"/>
      <c r="B234" s="14" t="s">
        <v>224</v>
      </c>
      <c r="C234" s="15">
        <v>131</v>
      </c>
      <c r="D234" s="15">
        <v>68</v>
      </c>
      <c r="E234" s="15">
        <v>63</v>
      </c>
      <c r="F234" s="15">
        <v>54</v>
      </c>
      <c r="G234" s="15">
        <v>28</v>
      </c>
      <c r="H234" s="15">
        <v>26</v>
      </c>
      <c r="I234" s="15">
        <v>77</v>
      </c>
      <c r="J234" s="15">
        <v>40</v>
      </c>
      <c r="K234" s="15">
        <v>37</v>
      </c>
      <c r="L234" s="12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</row>
    <row r="235" spans="1:55" ht="12.95" customHeight="1">
      <c r="A235" s="2"/>
      <c r="B235" s="14" t="s">
        <v>225</v>
      </c>
      <c r="C235" s="15">
        <v>675</v>
      </c>
      <c r="D235" s="15">
        <v>350</v>
      </c>
      <c r="E235" s="15">
        <v>325</v>
      </c>
      <c r="F235" s="15">
        <v>330</v>
      </c>
      <c r="G235" s="15">
        <v>174</v>
      </c>
      <c r="H235" s="15">
        <v>156</v>
      </c>
      <c r="I235" s="15">
        <v>345</v>
      </c>
      <c r="J235" s="15">
        <v>176</v>
      </c>
      <c r="K235" s="15">
        <v>169</v>
      </c>
      <c r="L235" s="12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</row>
    <row r="236" spans="1:55" ht="12.95" customHeight="1">
      <c r="A236" s="2"/>
      <c r="B236" s="14" t="s">
        <v>226</v>
      </c>
      <c r="C236" s="15">
        <v>67</v>
      </c>
      <c r="D236" s="15">
        <v>40</v>
      </c>
      <c r="E236" s="15">
        <v>27</v>
      </c>
      <c r="F236" s="15">
        <v>23</v>
      </c>
      <c r="G236" s="15">
        <v>12</v>
      </c>
      <c r="H236" s="15">
        <v>11</v>
      </c>
      <c r="I236" s="15">
        <v>44</v>
      </c>
      <c r="J236" s="15">
        <v>28</v>
      </c>
      <c r="K236" s="15">
        <v>16</v>
      </c>
      <c r="L236" s="12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</row>
    <row r="237" spans="1:55" ht="12.95" customHeight="1">
      <c r="A237" s="2"/>
      <c r="B237" s="14" t="s">
        <v>227</v>
      </c>
      <c r="C237" s="15">
        <v>276</v>
      </c>
      <c r="D237" s="15">
        <v>179</v>
      </c>
      <c r="E237" s="15">
        <v>97</v>
      </c>
      <c r="F237" s="15">
        <v>111</v>
      </c>
      <c r="G237" s="15">
        <v>71</v>
      </c>
      <c r="H237" s="15">
        <v>40</v>
      </c>
      <c r="I237" s="15">
        <v>165</v>
      </c>
      <c r="J237" s="15">
        <v>108</v>
      </c>
      <c r="K237" s="15">
        <v>57</v>
      </c>
      <c r="L237" s="12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</row>
    <row r="238" spans="1:55" ht="12.95" customHeight="1">
      <c r="A238" s="2"/>
      <c r="B238" s="14" t="s">
        <v>228</v>
      </c>
      <c r="C238" s="15">
        <v>442</v>
      </c>
      <c r="D238" s="15">
        <v>231</v>
      </c>
      <c r="E238" s="15">
        <v>211</v>
      </c>
      <c r="F238" s="15">
        <v>242</v>
      </c>
      <c r="G238" s="15">
        <v>123</v>
      </c>
      <c r="H238" s="15">
        <v>119</v>
      </c>
      <c r="I238" s="15">
        <v>200</v>
      </c>
      <c r="J238" s="15">
        <v>108</v>
      </c>
      <c r="K238" s="15">
        <v>92</v>
      </c>
      <c r="L238" s="12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</row>
    <row r="239" spans="1:55" ht="12.95" customHeight="1">
      <c r="A239" s="2"/>
      <c r="B239" s="14" t="s">
        <v>229</v>
      </c>
      <c r="C239" s="15">
        <v>428</v>
      </c>
      <c r="D239" s="15">
        <v>222</v>
      </c>
      <c r="E239" s="15">
        <v>206</v>
      </c>
      <c r="F239" s="15">
        <v>139</v>
      </c>
      <c r="G239" s="15">
        <v>76</v>
      </c>
      <c r="H239" s="15">
        <v>63</v>
      </c>
      <c r="I239" s="15">
        <v>289</v>
      </c>
      <c r="J239" s="15">
        <v>146</v>
      </c>
      <c r="K239" s="15">
        <v>143</v>
      </c>
      <c r="L239" s="12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</row>
    <row r="240" spans="1:55" ht="12.95" customHeight="1">
      <c r="A240" s="2"/>
      <c r="B240" s="14" t="s">
        <v>230</v>
      </c>
      <c r="C240" s="15">
        <v>360</v>
      </c>
      <c r="D240" s="15">
        <v>205</v>
      </c>
      <c r="E240" s="15">
        <v>155</v>
      </c>
      <c r="F240" s="15">
        <v>203</v>
      </c>
      <c r="G240" s="15">
        <v>124</v>
      </c>
      <c r="H240" s="15">
        <v>79</v>
      </c>
      <c r="I240" s="15">
        <v>157</v>
      </c>
      <c r="J240" s="15">
        <v>81</v>
      </c>
      <c r="K240" s="15">
        <v>76</v>
      </c>
      <c r="L240" s="12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</row>
    <row r="241" spans="1:55" ht="12.95" customHeight="1">
      <c r="A241" s="2"/>
      <c r="B241" s="14" t="s">
        <v>231</v>
      </c>
      <c r="C241" s="15">
        <v>289</v>
      </c>
      <c r="D241" s="15">
        <v>141</v>
      </c>
      <c r="E241" s="15">
        <v>148</v>
      </c>
      <c r="F241" s="15">
        <v>112</v>
      </c>
      <c r="G241" s="15">
        <v>57</v>
      </c>
      <c r="H241" s="15">
        <v>55</v>
      </c>
      <c r="I241" s="15">
        <v>177</v>
      </c>
      <c r="J241" s="15">
        <v>84</v>
      </c>
      <c r="K241" s="15">
        <v>93</v>
      </c>
      <c r="L241" s="12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</row>
    <row r="242" spans="1:55" ht="12.95" customHeight="1">
      <c r="A242" s="2"/>
      <c r="B242" s="14" t="s">
        <v>232</v>
      </c>
      <c r="C242" s="15">
        <v>433</v>
      </c>
      <c r="D242" s="15">
        <v>238</v>
      </c>
      <c r="E242" s="15">
        <v>195</v>
      </c>
      <c r="F242" s="15">
        <v>76</v>
      </c>
      <c r="G242" s="15">
        <v>39</v>
      </c>
      <c r="H242" s="15">
        <v>37</v>
      </c>
      <c r="I242" s="15">
        <v>357</v>
      </c>
      <c r="J242" s="15">
        <v>199</v>
      </c>
      <c r="K242" s="15">
        <v>158</v>
      </c>
      <c r="L242" s="12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</row>
    <row r="243" spans="1:55" ht="12.95" customHeight="1">
      <c r="A243" s="2"/>
      <c r="B243" s="14" t="s">
        <v>233</v>
      </c>
      <c r="C243" s="15">
        <v>123</v>
      </c>
      <c r="D243" s="15">
        <v>61</v>
      </c>
      <c r="E243" s="15">
        <v>62</v>
      </c>
      <c r="F243" s="15">
        <v>112</v>
      </c>
      <c r="G243" s="15">
        <v>56</v>
      </c>
      <c r="H243" s="15">
        <v>56</v>
      </c>
      <c r="I243" s="15">
        <v>11</v>
      </c>
      <c r="J243" s="15">
        <v>5</v>
      </c>
      <c r="K243" s="15">
        <v>6</v>
      </c>
      <c r="L243" s="12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</row>
    <row r="244" spans="1:55" ht="12.95" customHeight="1">
      <c r="A244" s="2"/>
      <c r="B244" s="14" t="s">
        <v>234</v>
      </c>
      <c r="C244" s="15">
        <v>65</v>
      </c>
      <c r="D244" s="15">
        <v>29</v>
      </c>
      <c r="E244" s="15">
        <v>36</v>
      </c>
      <c r="F244" s="15">
        <v>18</v>
      </c>
      <c r="G244" s="15">
        <v>9</v>
      </c>
      <c r="H244" s="15">
        <v>9</v>
      </c>
      <c r="I244" s="15">
        <v>47</v>
      </c>
      <c r="J244" s="15">
        <v>20</v>
      </c>
      <c r="K244" s="15">
        <v>27</v>
      </c>
      <c r="L244" s="12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</row>
    <row r="245" spans="1:55" ht="12.95" customHeight="1">
      <c r="A245" s="2"/>
      <c r="B245" s="14" t="s">
        <v>235</v>
      </c>
      <c r="C245" s="15">
        <v>127</v>
      </c>
      <c r="D245" s="15">
        <v>69</v>
      </c>
      <c r="E245" s="15">
        <v>58</v>
      </c>
      <c r="F245" s="15">
        <v>56</v>
      </c>
      <c r="G245" s="15">
        <v>33</v>
      </c>
      <c r="H245" s="15">
        <v>23</v>
      </c>
      <c r="I245" s="15">
        <v>71</v>
      </c>
      <c r="J245" s="15">
        <v>36</v>
      </c>
      <c r="K245" s="15">
        <v>35</v>
      </c>
      <c r="L245" s="12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</row>
    <row r="246" spans="1:55" ht="12.95" customHeight="1">
      <c r="A246" s="2"/>
      <c r="B246" s="14" t="s">
        <v>236</v>
      </c>
      <c r="C246" s="15">
        <v>132</v>
      </c>
      <c r="D246" s="15">
        <v>66</v>
      </c>
      <c r="E246" s="15">
        <v>66</v>
      </c>
      <c r="F246" s="15">
        <v>30</v>
      </c>
      <c r="G246" s="15">
        <v>14</v>
      </c>
      <c r="H246" s="15">
        <v>16</v>
      </c>
      <c r="I246" s="15">
        <v>102</v>
      </c>
      <c r="J246" s="15">
        <v>52</v>
      </c>
      <c r="K246" s="15">
        <v>50</v>
      </c>
      <c r="L246" s="12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</row>
    <row r="247" spans="1:55" ht="12.95" customHeight="1">
      <c r="A247" s="2"/>
      <c r="B247" s="14" t="s">
        <v>237</v>
      </c>
      <c r="C247" s="15">
        <v>124</v>
      </c>
      <c r="D247" s="15">
        <v>68</v>
      </c>
      <c r="E247" s="15">
        <v>56</v>
      </c>
      <c r="F247" s="15">
        <v>46</v>
      </c>
      <c r="G247" s="15">
        <v>26</v>
      </c>
      <c r="H247" s="15">
        <v>20</v>
      </c>
      <c r="I247" s="15">
        <v>78</v>
      </c>
      <c r="J247" s="15">
        <v>42</v>
      </c>
      <c r="K247" s="15">
        <v>36</v>
      </c>
      <c r="L247" s="12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</row>
    <row r="248" spans="1:55" ht="12.95" customHeight="1">
      <c r="A248" s="2"/>
      <c r="B248" s="14" t="s">
        <v>238</v>
      </c>
      <c r="C248" s="15">
        <v>224</v>
      </c>
      <c r="D248" s="15">
        <v>115</v>
      </c>
      <c r="E248" s="15">
        <v>109</v>
      </c>
      <c r="F248" s="15">
        <v>107</v>
      </c>
      <c r="G248" s="15">
        <v>59</v>
      </c>
      <c r="H248" s="15">
        <v>48</v>
      </c>
      <c r="I248" s="15">
        <v>117</v>
      </c>
      <c r="J248" s="15">
        <v>56</v>
      </c>
      <c r="K248" s="15">
        <v>61</v>
      </c>
      <c r="L248" s="12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</row>
    <row r="249" spans="1:55" ht="12.95" customHeight="1">
      <c r="A249" s="2"/>
      <c r="B249" s="14" t="s">
        <v>239</v>
      </c>
      <c r="C249" s="15">
        <v>96</v>
      </c>
      <c r="D249" s="15">
        <v>48</v>
      </c>
      <c r="E249" s="15">
        <v>48</v>
      </c>
      <c r="F249" s="15">
        <v>28</v>
      </c>
      <c r="G249" s="15">
        <v>12</v>
      </c>
      <c r="H249" s="15">
        <v>16</v>
      </c>
      <c r="I249" s="15">
        <v>68</v>
      </c>
      <c r="J249" s="15">
        <v>36</v>
      </c>
      <c r="K249" s="15">
        <v>32</v>
      </c>
      <c r="L249" s="12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</row>
    <row r="250" spans="1:55" ht="12.95" customHeight="1">
      <c r="A250" s="2"/>
      <c r="B250" s="14" t="s">
        <v>240</v>
      </c>
      <c r="C250" s="15">
        <v>259</v>
      </c>
      <c r="D250" s="15">
        <v>121</v>
      </c>
      <c r="E250" s="15">
        <v>138</v>
      </c>
      <c r="F250" s="15">
        <v>159</v>
      </c>
      <c r="G250" s="15">
        <v>72</v>
      </c>
      <c r="H250" s="15">
        <v>87</v>
      </c>
      <c r="I250" s="15">
        <v>100</v>
      </c>
      <c r="J250" s="15">
        <v>49</v>
      </c>
      <c r="K250" s="15">
        <v>51</v>
      </c>
      <c r="L250" s="12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</row>
    <row r="251" spans="1:55" ht="12.95" customHeight="1">
      <c r="A251" s="2"/>
      <c r="B251" s="14" t="s">
        <v>241</v>
      </c>
      <c r="C251" s="15">
        <v>221</v>
      </c>
      <c r="D251" s="15">
        <v>108</v>
      </c>
      <c r="E251" s="15">
        <v>113</v>
      </c>
      <c r="F251" s="15">
        <v>57</v>
      </c>
      <c r="G251" s="15">
        <v>30</v>
      </c>
      <c r="H251" s="15">
        <v>27</v>
      </c>
      <c r="I251" s="15">
        <v>164</v>
      </c>
      <c r="J251" s="15">
        <v>78</v>
      </c>
      <c r="K251" s="15">
        <v>86</v>
      </c>
      <c r="L251" s="12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</row>
    <row r="252" spans="1:55" ht="12.95" customHeight="1">
      <c r="A252" s="2"/>
      <c r="B252" s="14" t="s">
        <v>242</v>
      </c>
      <c r="C252" s="15">
        <v>67</v>
      </c>
      <c r="D252" s="15">
        <v>30</v>
      </c>
      <c r="E252" s="15">
        <v>37</v>
      </c>
      <c r="F252" s="15">
        <v>32</v>
      </c>
      <c r="G252" s="15">
        <v>11</v>
      </c>
      <c r="H252" s="15">
        <v>21</v>
      </c>
      <c r="I252" s="15">
        <v>35</v>
      </c>
      <c r="J252" s="15">
        <v>19</v>
      </c>
      <c r="K252" s="15">
        <v>16</v>
      </c>
      <c r="L252" s="12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</row>
    <row r="253" spans="1:55" ht="12.95" customHeight="1">
      <c r="A253" s="2"/>
      <c r="B253" s="8"/>
      <c r="C253" s="13"/>
      <c r="D253" s="13"/>
      <c r="E253" s="13"/>
      <c r="F253" s="13"/>
      <c r="G253" s="13"/>
      <c r="H253" s="13"/>
      <c r="I253" s="13"/>
      <c r="J253" s="13"/>
      <c r="K253" s="13"/>
      <c r="L253" s="12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</row>
    <row r="254" spans="1:55" ht="12.95" customHeight="1">
      <c r="A254" s="2"/>
      <c r="B254" s="10" t="s">
        <v>243</v>
      </c>
      <c r="C254" s="17">
        <f>SUM(C255:C280)</f>
        <v>3912</v>
      </c>
      <c r="D254" s="17">
        <f t="shared" ref="D254:K254" si="13">SUM(D255:D280)</f>
        <v>2017</v>
      </c>
      <c r="E254" s="17">
        <f t="shared" si="13"/>
        <v>1895</v>
      </c>
      <c r="F254" s="17">
        <f t="shared" si="13"/>
        <v>1337</v>
      </c>
      <c r="G254" s="17">
        <f t="shared" si="13"/>
        <v>700</v>
      </c>
      <c r="H254" s="17">
        <f t="shared" si="13"/>
        <v>637</v>
      </c>
      <c r="I254" s="17">
        <f t="shared" si="13"/>
        <v>2575</v>
      </c>
      <c r="J254" s="17">
        <f t="shared" si="13"/>
        <v>1317</v>
      </c>
      <c r="K254" s="17">
        <f t="shared" si="13"/>
        <v>1258</v>
      </c>
      <c r="L254" s="12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</row>
    <row r="255" spans="1:55" ht="12.95" customHeight="1">
      <c r="A255" s="2"/>
      <c r="B255" s="14" t="s">
        <v>244</v>
      </c>
      <c r="C255" s="15">
        <v>519</v>
      </c>
      <c r="D255" s="15">
        <v>268</v>
      </c>
      <c r="E255" s="15">
        <v>251</v>
      </c>
      <c r="F255" s="15">
        <v>378</v>
      </c>
      <c r="G255" s="15">
        <v>201</v>
      </c>
      <c r="H255" s="15">
        <v>177</v>
      </c>
      <c r="I255" s="15">
        <v>141</v>
      </c>
      <c r="J255" s="15">
        <v>67</v>
      </c>
      <c r="K255" s="15">
        <v>74</v>
      </c>
      <c r="L255" s="12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</row>
    <row r="256" spans="1:55" ht="12.95" customHeight="1">
      <c r="A256" s="2"/>
      <c r="B256" s="14" t="s">
        <v>245</v>
      </c>
      <c r="C256" s="15">
        <v>120</v>
      </c>
      <c r="D256" s="15">
        <v>61</v>
      </c>
      <c r="E256" s="15">
        <v>59</v>
      </c>
      <c r="F256" s="15">
        <v>24</v>
      </c>
      <c r="G256" s="15">
        <v>7</v>
      </c>
      <c r="H256" s="15">
        <v>17</v>
      </c>
      <c r="I256" s="15">
        <v>96</v>
      </c>
      <c r="J256" s="15">
        <v>54</v>
      </c>
      <c r="K256" s="15">
        <v>42</v>
      </c>
      <c r="L256" s="12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</row>
    <row r="257" spans="1:55" ht="12.95" customHeight="1">
      <c r="A257" s="2"/>
      <c r="B257" s="14" t="s">
        <v>246</v>
      </c>
      <c r="C257" s="15">
        <v>256</v>
      </c>
      <c r="D257" s="15">
        <v>129</v>
      </c>
      <c r="E257" s="15">
        <v>127</v>
      </c>
      <c r="F257" s="15">
        <v>35</v>
      </c>
      <c r="G257" s="15">
        <v>17</v>
      </c>
      <c r="H257" s="15">
        <v>18</v>
      </c>
      <c r="I257" s="15">
        <v>221</v>
      </c>
      <c r="J257" s="15">
        <v>112</v>
      </c>
      <c r="K257" s="15">
        <v>109</v>
      </c>
      <c r="L257" s="12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</row>
    <row r="258" spans="1:55" ht="12.95" customHeight="1">
      <c r="A258" s="2"/>
      <c r="B258" s="14" t="s">
        <v>247</v>
      </c>
      <c r="C258" s="15">
        <v>390</v>
      </c>
      <c r="D258" s="15">
        <v>196</v>
      </c>
      <c r="E258" s="15">
        <v>194</v>
      </c>
      <c r="F258" s="15">
        <v>97</v>
      </c>
      <c r="G258" s="15">
        <v>51</v>
      </c>
      <c r="H258" s="15">
        <v>46</v>
      </c>
      <c r="I258" s="15">
        <v>293</v>
      </c>
      <c r="J258" s="15">
        <v>145</v>
      </c>
      <c r="K258" s="15">
        <v>148</v>
      </c>
      <c r="L258" s="12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</row>
    <row r="259" spans="1:55" ht="12.95" customHeight="1">
      <c r="A259" s="2"/>
      <c r="B259" s="14" t="s">
        <v>248</v>
      </c>
      <c r="C259" s="15">
        <v>207</v>
      </c>
      <c r="D259" s="15">
        <v>105</v>
      </c>
      <c r="E259" s="15">
        <v>102</v>
      </c>
      <c r="F259" s="15">
        <v>61</v>
      </c>
      <c r="G259" s="15">
        <v>29</v>
      </c>
      <c r="H259" s="15">
        <v>32</v>
      </c>
      <c r="I259" s="15">
        <v>146</v>
      </c>
      <c r="J259" s="15">
        <v>76</v>
      </c>
      <c r="K259" s="15">
        <v>70</v>
      </c>
      <c r="L259" s="12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</row>
    <row r="260" spans="1:55" ht="12.95" customHeight="1">
      <c r="A260" s="2"/>
      <c r="B260" s="14" t="s">
        <v>249</v>
      </c>
      <c r="C260" s="15">
        <v>95</v>
      </c>
      <c r="D260" s="15">
        <v>45</v>
      </c>
      <c r="E260" s="15">
        <v>50</v>
      </c>
      <c r="F260" s="15">
        <v>60</v>
      </c>
      <c r="G260" s="15">
        <v>30</v>
      </c>
      <c r="H260" s="15">
        <v>30</v>
      </c>
      <c r="I260" s="15">
        <v>35</v>
      </c>
      <c r="J260" s="15">
        <v>15</v>
      </c>
      <c r="K260" s="15">
        <v>20</v>
      </c>
      <c r="L260" s="12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</row>
    <row r="261" spans="1:55" ht="12.95" customHeight="1">
      <c r="A261" s="2"/>
      <c r="B261" s="14" t="s">
        <v>250</v>
      </c>
      <c r="C261" s="15">
        <v>141</v>
      </c>
      <c r="D261" s="15">
        <v>74</v>
      </c>
      <c r="E261" s="15">
        <v>67</v>
      </c>
      <c r="F261" s="15">
        <v>38</v>
      </c>
      <c r="G261" s="15">
        <v>18</v>
      </c>
      <c r="H261" s="15">
        <v>20</v>
      </c>
      <c r="I261" s="15">
        <v>103</v>
      </c>
      <c r="J261" s="15">
        <v>56</v>
      </c>
      <c r="K261" s="15">
        <v>47</v>
      </c>
      <c r="L261" s="12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</row>
    <row r="262" spans="1:55" ht="12.95" customHeight="1">
      <c r="A262" s="2"/>
      <c r="B262" s="14" t="s">
        <v>251</v>
      </c>
      <c r="C262" s="15">
        <v>18</v>
      </c>
      <c r="D262" s="15">
        <v>11</v>
      </c>
      <c r="E262" s="15">
        <v>7</v>
      </c>
      <c r="F262" s="15">
        <v>10</v>
      </c>
      <c r="G262" s="15">
        <v>7</v>
      </c>
      <c r="H262" s="15">
        <v>3</v>
      </c>
      <c r="I262" s="15">
        <v>8</v>
      </c>
      <c r="J262" s="15">
        <v>4</v>
      </c>
      <c r="K262" s="15">
        <v>4</v>
      </c>
      <c r="L262" s="12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</row>
    <row r="263" spans="1:55" ht="12.95" customHeight="1">
      <c r="A263" s="2"/>
      <c r="B263" s="14" t="s">
        <v>252</v>
      </c>
      <c r="C263" s="15">
        <v>81</v>
      </c>
      <c r="D263" s="15">
        <v>46</v>
      </c>
      <c r="E263" s="15">
        <v>35</v>
      </c>
      <c r="F263" s="15">
        <v>36</v>
      </c>
      <c r="G263" s="15">
        <v>18</v>
      </c>
      <c r="H263" s="15">
        <v>18</v>
      </c>
      <c r="I263" s="15">
        <v>45</v>
      </c>
      <c r="J263" s="15">
        <v>28</v>
      </c>
      <c r="K263" s="15">
        <v>17</v>
      </c>
      <c r="L263" s="12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</row>
    <row r="264" spans="1:55" ht="12.95" customHeight="1">
      <c r="A264" s="2"/>
      <c r="B264" s="14" t="s">
        <v>253</v>
      </c>
      <c r="C264" s="15">
        <v>305</v>
      </c>
      <c r="D264" s="15">
        <v>161</v>
      </c>
      <c r="E264" s="15">
        <v>144</v>
      </c>
      <c r="F264" s="15">
        <v>110</v>
      </c>
      <c r="G264" s="15">
        <v>61</v>
      </c>
      <c r="H264" s="15">
        <v>49</v>
      </c>
      <c r="I264" s="15">
        <v>195</v>
      </c>
      <c r="J264" s="15">
        <v>100</v>
      </c>
      <c r="K264" s="15">
        <v>95</v>
      </c>
      <c r="L264" s="12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</row>
    <row r="265" spans="1:55" ht="12.95" customHeight="1">
      <c r="A265" s="2"/>
      <c r="B265" s="14" t="s">
        <v>254</v>
      </c>
      <c r="C265" s="15">
        <v>71</v>
      </c>
      <c r="D265" s="15">
        <v>37</v>
      </c>
      <c r="E265" s="15">
        <v>34</v>
      </c>
      <c r="F265" s="15">
        <v>18</v>
      </c>
      <c r="G265" s="15">
        <v>9</v>
      </c>
      <c r="H265" s="15">
        <v>9</v>
      </c>
      <c r="I265" s="15">
        <v>53</v>
      </c>
      <c r="J265" s="15">
        <v>28</v>
      </c>
      <c r="K265" s="15">
        <v>25</v>
      </c>
      <c r="L265" s="12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</row>
    <row r="266" spans="1:55" ht="12.95" customHeight="1">
      <c r="A266" s="2"/>
      <c r="B266" s="14" t="s">
        <v>255</v>
      </c>
      <c r="C266" s="15">
        <v>70</v>
      </c>
      <c r="D266" s="15">
        <v>30</v>
      </c>
      <c r="E266" s="15">
        <v>40</v>
      </c>
      <c r="F266" s="15">
        <v>31</v>
      </c>
      <c r="G266" s="15">
        <v>12</v>
      </c>
      <c r="H266" s="15">
        <v>19</v>
      </c>
      <c r="I266" s="15">
        <v>39</v>
      </c>
      <c r="J266" s="15">
        <v>18</v>
      </c>
      <c r="K266" s="15">
        <v>21</v>
      </c>
      <c r="L266" s="12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</row>
    <row r="267" spans="1:55" ht="12.95" customHeight="1">
      <c r="A267" s="2"/>
      <c r="B267" s="14" t="s">
        <v>256</v>
      </c>
      <c r="C267" s="15">
        <v>201</v>
      </c>
      <c r="D267" s="15">
        <v>106</v>
      </c>
      <c r="E267" s="15">
        <v>95</v>
      </c>
      <c r="F267" s="15">
        <v>66</v>
      </c>
      <c r="G267" s="15">
        <v>32</v>
      </c>
      <c r="H267" s="15">
        <v>34</v>
      </c>
      <c r="I267" s="15">
        <v>135</v>
      </c>
      <c r="J267" s="15">
        <v>74</v>
      </c>
      <c r="K267" s="15">
        <v>61</v>
      </c>
      <c r="L267" s="12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</row>
    <row r="268" spans="1:55" ht="12.95" customHeight="1">
      <c r="A268" s="2"/>
      <c r="B268" s="14" t="s">
        <v>257</v>
      </c>
      <c r="C268" s="15">
        <v>99</v>
      </c>
      <c r="D268" s="15">
        <v>53</v>
      </c>
      <c r="E268" s="15">
        <v>46</v>
      </c>
      <c r="F268" s="15">
        <v>48</v>
      </c>
      <c r="G268" s="15">
        <v>23</v>
      </c>
      <c r="H268" s="15">
        <v>25</v>
      </c>
      <c r="I268" s="15">
        <v>51</v>
      </c>
      <c r="J268" s="15">
        <v>30</v>
      </c>
      <c r="K268" s="15">
        <v>21</v>
      </c>
      <c r="L268" s="12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</row>
    <row r="269" spans="1:55" ht="12.95" customHeight="1">
      <c r="A269" s="2"/>
      <c r="B269" s="14" t="s">
        <v>258</v>
      </c>
      <c r="C269" s="15">
        <v>121</v>
      </c>
      <c r="D269" s="15">
        <v>69</v>
      </c>
      <c r="E269" s="15">
        <v>52</v>
      </c>
      <c r="F269" s="15">
        <v>13</v>
      </c>
      <c r="G269" s="15">
        <v>9</v>
      </c>
      <c r="H269" s="15">
        <v>4</v>
      </c>
      <c r="I269" s="15">
        <v>108</v>
      </c>
      <c r="J269" s="15">
        <v>60</v>
      </c>
      <c r="K269" s="15">
        <v>48</v>
      </c>
      <c r="L269" s="12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</row>
    <row r="270" spans="1:55" ht="12.95" customHeight="1">
      <c r="A270" s="2"/>
      <c r="B270" s="14" t="s">
        <v>259</v>
      </c>
      <c r="C270" s="15">
        <v>175</v>
      </c>
      <c r="D270" s="15">
        <v>85</v>
      </c>
      <c r="E270" s="15">
        <v>90</v>
      </c>
      <c r="F270" s="15">
        <v>50</v>
      </c>
      <c r="G270" s="15">
        <v>24</v>
      </c>
      <c r="H270" s="15">
        <v>26</v>
      </c>
      <c r="I270" s="15">
        <v>125</v>
      </c>
      <c r="J270" s="15">
        <v>61</v>
      </c>
      <c r="K270" s="15">
        <v>64</v>
      </c>
      <c r="L270" s="12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</row>
    <row r="271" spans="1:55" ht="12.95" customHeight="1">
      <c r="A271" s="2"/>
      <c r="B271" s="14" t="s">
        <v>260</v>
      </c>
      <c r="C271" s="15">
        <v>124</v>
      </c>
      <c r="D271" s="15">
        <v>65</v>
      </c>
      <c r="E271" s="15">
        <v>59</v>
      </c>
      <c r="F271" s="15">
        <v>18</v>
      </c>
      <c r="G271" s="15">
        <v>9</v>
      </c>
      <c r="H271" s="15">
        <v>9</v>
      </c>
      <c r="I271" s="15">
        <v>106</v>
      </c>
      <c r="J271" s="15">
        <v>56</v>
      </c>
      <c r="K271" s="15">
        <v>50</v>
      </c>
      <c r="L271" s="12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</row>
    <row r="272" spans="1:55" ht="12.95" customHeight="1">
      <c r="A272" s="2"/>
      <c r="B272" s="14" t="s">
        <v>261</v>
      </c>
      <c r="C272" s="15">
        <v>88</v>
      </c>
      <c r="D272" s="15">
        <v>46</v>
      </c>
      <c r="E272" s="15">
        <v>42</v>
      </c>
      <c r="F272" s="15">
        <v>33</v>
      </c>
      <c r="G272" s="15">
        <v>20</v>
      </c>
      <c r="H272" s="15">
        <v>13</v>
      </c>
      <c r="I272" s="15">
        <v>55</v>
      </c>
      <c r="J272" s="15">
        <v>26</v>
      </c>
      <c r="K272" s="15">
        <v>29</v>
      </c>
      <c r="L272" s="12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</row>
    <row r="273" spans="1:55" ht="12.95" customHeight="1">
      <c r="A273" s="2"/>
      <c r="B273" s="14" t="s">
        <v>262</v>
      </c>
      <c r="C273" s="15">
        <v>40</v>
      </c>
      <c r="D273" s="15">
        <v>21</v>
      </c>
      <c r="E273" s="15">
        <v>19</v>
      </c>
      <c r="F273" s="15">
        <v>10</v>
      </c>
      <c r="G273" s="15">
        <v>7</v>
      </c>
      <c r="H273" s="15">
        <v>3</v>
      </c>
      <c r="I273" s="15">
        <v>30</v>
      </c>
      <c r="J273" s="15">
        <v>14</v>
      </c>
      <c r="K273" s="15">
        <v>16</v>
      </c>
      <c r="L273" s="12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</row>
    <row r="274" spans="1:55" ht="12.95" customHeight="1">
      <c r="A274" s="2"/>
      <c r="B274" s="14" t="s">
        <v>263</v>
      </c>
      <c r="C274" s="15">
        <v>44</v>
      </c>
      <c r="D274" s="15">
        <v>19</v>
      </c>
      <c r="E274" s="15">
        <v>25</v>
      </c>
      <c r="F274" s="15">
        <v>20</v>
      </c>
      <c r="G274" s="15">
        <v>12</v>
      </c>
      <c r="H274" s="15">
        <v>8</v>
      </c>
      <c r="I274" s="15">
        <v>24</v>
      </c>
      <c r="J274" s="15">
        <v>7</v>
      </c>
      <c r="K274" s="15">
        <v>17</v>
      </c>
      <c r="L274" s="12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</row>
    <row r="275" spans="1:55" ht="12.95" customHeight="1">
      <c r="A275" s="2"/>
      <c r="B275" s="14" t="s">
        <v>264</v>
      </c>
      <c r="C275" s="15">
        <v>266</v>
      </c>
      <c r="D275" s="15">
        <v>142</v>
      </c>
      <c r="E275" s="15">
        <v>124</v>
      </c>
      <c r="F275" s="15">
        <v>57</v>
      </c>
      <c r="G275" s="15">
        <v>33</v>
      </c>
      <c r="H275" s="15">
        <v>24</v>
      </c>
      <c r="I275" s="15">
        <v>209</v>
      </c>
      <c r="J275" s="15">
        <v>109</v>
      </c>
      <c r="K275" s="15">
        <v>100</v>
      </c>
      <c r="L275" s="12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</row>
    <row r="276" spans="1:55" ht="12.95" customHeight="1">
      <c r="A276" s="2"/>
      <c r="B276" s="14" t="s">
        <v>265</v>
      </c>
      <c r="C276" s="15">
        <v>63</v>
      </c>
      <c r="D276" s="15">
        <v>35</v>
      </c>
      <c r="E276" s="15">
        <v>28</v>
      </c>
      <c r="F276" s="15">
        <v>28</v>
      </c>
      <c r="G276" s="15">
        <v>14</v>
      </c>
      <c r="H276" s="15">
        <v>14</v>
      </c>
      <c r="I276" s="15">
        <v>35</v>
      </c>
      <c r="J276" s="15">
        <v>21</v>
      </c>
      <c r="K276" s="15">
        <v>14</v>
      </c>
      <c r="L276" s="12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</row>
    <row r="277" spans="1:55" ht="12.95" customHeight="1">
      <c r="A277" s="2"/>
      <c r="B277" s="14" t="s">
        <v>266</v>
      </c>
      <c r="C277" s="15">
        <v>186</v>
      </c>
      <c r="D277" s="15">
        <v>105</v>
      </c>
      <c r="E277" s="15">
        <v>81</v>
      </c>
      <c r="F277" s="15">
        <v>39</v>
      </c>
      <c r="G277" s="15">
        <v>25</v>
      </c>
      <c r="H277" s="15">
        <v>14</v>
      </c>
      <c r="I277" s="15">
        <v>147</v>
      </c>
      <c r="J277" s="15">
        <v>80</v>
      </c>
      <c r="K277" s="15">
        <v>67</v>
      </c>
      <c r="L277" s="12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</row>
    <row r="278" spans="1:55" ht="12.95" customHeight="1">
      <c r="A278" s="2"/>
      <c r="B278" s="14" t="s">
        <v>267</v>
      </c>
      <c r="C278" s="15">
        <v>47</v>
      </c>
      <c r="D278" s="15">
        <v>22</v>
      </c>
      <c r="E278" s="15">
        <v>25</v>
      </c>
      <c r="F278" s="15">
        <v>9</v>
      </c>
      <c r="G278" s="15">
        <v>4</v>
      </c>
      <c r="H278" s="15">
        <v>5</v>
      </c>
      <c r="I278" s="15">
        <v>38</v>
      </c>
      <c r="J278" s="15">
        <v>18</v>
      </c>
      <c r="K278" s="15">
        <v>20</v>
      </c>
      <c r="L278" s="12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</row>
    <row r="279" spans="1:55" ht="12.95" customHeight="1">
      <c r="A279" s="2"/>
      <c r="B279" s="14" t="s">
        <v>268</v>
      </c>
      <c r="C279" s="15">
        <v>110</v>
      </c>
      <c r="D279" s="15">
        <v>52</v>
      </c>
      <c r="E279" s="15">
        <v>58</v>
      </c>
      <c r="F279" s="15">
        <v>20</v>
      </c>
      <c r="G279" s="15">
        <v>12</v>
      </c>
      <c r="H279" s="15">
        <v>8</v>
      </c>
      <c r="I279" s="15">
        <v>90</v>
      </c>
      <c r="J279" s="15">
        <v>40</v>
      </c>
      <c r="K279" s="15">
        <v>50</v>
      </c>
      <c r="L279" s="12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</row>
    <row r="280" spans="1:55" ht="12.95" customHeight="1">
      <c r="A280" s="2"/>
      <c r="B280" s="14" t="s">
        <v>269</v>
      </c>
      <c r="C280" s="15">
        <v>75</v>
      </c>
      <c r="D280" s="15">
        <v>34</v>
      </c>
      <c r="E280" s="15">
        <v>41</v>
      </c>
      <c r="F280" s="15">
        <v>28</v>
      </c>
      <c r="G280" s="15">
        <v>16</v>
      </c>
      <c r="H280" s="15">
        <v>12</v>
      </c>
      <c r="I280" s="15">
        <v>47</v>
      </c>
      <c r="J280" s="15">
        <v>18</v>
      </c>
      <c r="K280" s="15">
        <v>29</v>
      </c>
      <c r="L280" s="12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</row>
    <row r="281" spans="1:55" ht="12.95" customHeight="1">
      <c r="A281" s="2"/>
      <c r="B281" s="8"/>
      <c r="C281" s="13"/>
      <c r="D281" s="13"/>
      <c r="E281" s="13"/>
      <c r="F281" s="13"/>
      <c r="G281" s="13"/>
      <c r="H281" s="13"/>
      <c r="I281" s="15"/>
      <c r="J281" s="13"/>
      <c r="K281" s="13"/>
      <c r="L281" s="12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</row>
    <row r="282" spans="1:55" ht="12.95" customHeight="1">
      <c r="A282" s="2"/>
      <c r="B282" s="10" t="s">
        <v>270</v>
      </c>
      <c r="C282" s="11">
        <f>SUM(C283:C300)</f>
        <v>5471</v>
      </c>
      <c r="D282" s="11">
        <f t="shared" ref="D282:K282" si="14">SUM(D283:D300)</f>
        <v>2925</v>
      </c>
      <c r="E282" s="11">
        <f t="shared" si="14"/>
        <v>2546</v>
      </c>
      <c r="F282" s="11">
        <f t="shared" si="14"/>
        <v>2046</v>
      </c>
      <c r="G282" s="11">
        <f t="shared" si="14"/>
        <v>1102</v>
      </c>
      <c r="H282" s="11">
        <f t="shared" si="14"/>
        <v>944</v>
      </c>
      <c r="I282" s="11">
        <f t="shared" si="14"/>
        <v>3425</v>
      </c>
      <c r="J282" s="11">
        <f t="shared" si="14"/>
        <v>1823</v>
      </c>
      <c r="K282" s="11">
        <f t="shared" si="14"/>
        <v>1602</v>
      </c>
      <c r="L282" s="12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</row>
    <row r="283" spans="1:55" ht="12.95" customHeight="1">
      <c r="A283" s="2"/>
      <c r="B283" s="14" t="s">
        <v>271</v>
      </c>
      <c r="C283" s="15">
        <v>968</v>
      </c>
      <c r="D283" s="15">
        <v>531</v>
      </c>
      <c r="E283" s="15">
        <v>437</v>
      </c>
      <c r="F283" s="15">
        <v>635</v>
      </c>
      <c r="G283" s="15">
        <v>342</v>
      </c>
      <c r="H283" s="15">
        <v>293</v>
      </c>
      <c r="I283" s="15">
        <v>333</v>
      </c>
      <c r="J283" s="15">
        <v>189</v>
      </c>
      <c r="K283" s="15">
        <v>144</v>
      </c>
      <c r="L283" s="12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</row>
    <row r="284" spans="1:55" ht="12.95" customHeight="1">
      <c r="A284" s="2"/>
      <c r="B284" s="14" t="s">
        <v>272</v>
      </c>
      <c r="C284" s="15">
        <v>313</v>
      </c>
      <c r="D284" s="15">
        <v>166</v>
      </c>
      <c r="E284" s="15">
        <v>147</v>
      </c>
      <c r="F284" s="15">
        <v>67</v>
      </c>
      <c r="G284" s="15">
        <v>38</v>
      </c>
      <c r="H284" s="15">
        <v>29</v>
      </c>
      <c r="I284" s="15">
        <v>246</v>
      </c>
      <c r="J284" s="15">
        <v>128</v>
      </c>
      <c r="K284" s="15">
        <v>118</v>
      </c>
      <c r="L284" s="12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</row>
    <row r="285" spans="1:55" ht="12.95" customHeight="1">
      <c r="A285" s="2"/>
      <c r="B285" s="14" t="s">
        <v>273</v>
      </c>
      <c r="C285" s="15">
        <v>89</v>
      </c>
      <c r="D285" s="15">
        <v>52</v>
      </c>
      <c r="E285" s="15">
        <v>37</v>
      </c>
      <c r="F285" s="15">
        <v>23</v>
      </c>
      <c r="G285" s="15">
        <v>12</v>
      </c>
      <c r="H285" s="15">
        <v>11</v>
      </c>
      <c r="I285" s="15">
        <v>66</v>
      </c>
      <c r="J285" s="15">
        <v>40</v>
      </c>
      <c r="K285" s="15">
        <v>26</v>
      </c>
      <c r="L285" s="12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</row>
    <row r="286" spans="1:55" ht="12.95" customHeight="1">
      <c r="A286" s="2"/>
      <c r="B286" s="14" t="s">
        <v>274</v>
      </c>
      <c r="C286" s="15">
        <v>217</v>
      </c>
      <c r="D286" s="15">
        <v>115</v>
      </c>
      <c r="E286" s="15">
        <v>102</v>
      </c>
      <c r="F286" s="15">
        <v>41</v>
      </c>
      <c r="G286" s="15">
        <v>26</v>
      </c>
      <c r="H286" s="15">
        <v>15</v>
      </c>
      <c r="I286" s="15">
        <v>176</v>
      </c>
      <c r="J286" s="15">
        <v>89</v>
      </c>
      <c r="K286" s="15">
        <v>87</v>
      </c>
      <c r="L286" s="12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</row>
    <row r="287" spans="1:55" ht="12.95" customHeight="1">
      <c r="A287" s="2"/>
      <c r="B287" s="14" t="s">
        <v>275</v>
      </c>
      <c r="C287" s="15">
        <v>781</v>
      </c>
      <c r="D287" s="15">
        <v>424</v>
      </c>
      <c r="E287" s="15">
        <v>357</v>
      </c>
      <c r="F287" s="15">
        <v>216</v>
      </c>
      <c r="G287" s="15">
        <v>134</v>
      </c>
      <c r="H287" s="15">
        <v>82</v>
      </c>
      <c r="I287" s="15">
        <v>565</v>
      </c>
      <c r="J287" s="15">
        <v>290</v>
      </c>
      <c r="K287" s="15">
        <v>275</v>
      </c>
      <c r="L287" s="12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</row>
    <row r="288" spans="1:55" ht="12.95" customHeight="1">
      <c r="A288" s="2"/>
      <c r="B288" s="14" t="s">
        <v>276</v>
      </c>
      <c r="C288" s="15">
        <v>296</v>
      </c>
      <c r="D288" s="15">
        <v>175</v>
      </c>
      <c r="E288" s="15">
        <v>121</v>
      </c>
      <c r="F288" s="15">
        <v>69</v>
      </c>
      <c r="G288" s="15">
        <v>42</v>
      </c>
      <c r="H288" s="15">
        <v>27</v>
      </c>
      <c r="I288" s="15">
        <v>227</v>
      </c>
      <c r="J288" s="15">
        <v>133</v>
      </c>
      <c r="K288" s="15">
        <v>94</v>
      </c>
      <c r="L288" s="12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</row>
    <row r="289" spans="1:55" ht="12.95" customHeight="1">
      <c r="A289" s="2"/>
      <c r="B289" s="14" t="s">
        <v>277</v>
      </c>
      <c r="C289" s="15">
        <v>135</v>
      </c>
      <c r="D289" s="15">
        <v>73</v>
      </c>
      <c r="E289" s="15">
        <v>62</v>
      </c>
      <c r="F289" s="15">
        <v>28</v>
      </c>
      <c r="G289" s="15">
        <v>16</v>
      </c>
      <c r="H289" s="15">
        <v>12</v>
      </c>
      <c r="I289" s="15">
        <v>107</v>
      </c>
      <c r="J289" s="15">
        <v>57</v>
      </c>
      <c r="K289" s="15">
        <v>50</v>
      </c>
      <c r="L289" s="12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</row>
    <row r="290" spans="1:55" ht="12.95" customHeight="1">
      <c r="A290" s="2"/>
      <c r="B290" s="14" t="s">
        <v>278</v>
      </c>
      <c r="C290" s="15">
        <v>122</v>
      </c>
      <c r="D290" s="15">
        <v>58</v>
      </c>
      <c r="E290" s="15">
        <v>64</v>
      </c>
      <c r="F290" s="15">
        <v>79</v>
      </c>
      <c r="G290" s="15">
        <v>41</v>
      </c>
      <c r="H290" s="15">
        <v>38</v>
      </c>
      <c r="I290" s="15">
        <v>43</v>
      </c>
      <c r="J290" s="15">
        <v>17</v>
      </c>
      <c r="K290" s="15">
        <v>26</v>
      </c>
      <c r="L290" s="12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</row>
    <row r="291" spans="1:55" ht="12.95" customHeight="1">
      <c r="A291" s="2"/>
      <c r="B291" s="14" t="s">
        <v>279</v>
      </c>
      <c r="C291" s="15">
        <v>340</v>
      </c>
      <c r="D291" s="15">
        <v>182</v>
      </c>
      <c r="E291" s="15">
        <v>158</v>
      </c>
      <c r="F291" s="15">
        <v>32</v>
      </c>
      <c r="G291" s="15">
        <v>16</v>
      </c>
      <c r="H291" s="15">
        <v>16</v>
      </c>
      <c r="I291" s="15">
        <v>308</v>
      </c>
      <c r="J291" s="15">
        <v>166</v>
      </c>
      <c r="K291" s="15">
        <v>142</v>
      </c>
      <c r="L291" s="12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</row>
    <row r="292" spans="1:55" ht="12.95" customHeight="1">
      <c r="A292" s="2"/>
      <c r="B292" s="14" t="s">
        <v>280</v>
      </c>
      <c r="C292" s="15">
        <v>55</v>
      </c>
      <c r="D292" s="15">
        <v>30</v>
      </c>
      <c r="E292" s="15">
        <v>25</v>
      </c>
      <c r="F292" s="15">
        <v>40</v>
      </c>
      <c r="G292" s="15">
        <v>22</v>
      </c>
      <c r="H292" s="15">
        <v>18</v>
      </c>
      <c r="I292" s="15">
        <v>15</v>
      </c>
      <c r="J292" s="15">
        <v>8</v>
      </c>
      <c r="K292" s="15">
        <v>7</v>
      </c>
      <c r="L292" s="12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</row>
    <row r="293" spans="1:55" ht="12.95" customHeight="1">
      <c r="A293" s="2"/>
      <c r="B293" s="14" t="s">
        <v>281</v>
      </c>
      <c r="C293" s="15">
        <v>251</v>
      </c>
      <c r="D293" s="15">
        <v>114</v>
      </c>
      <c r="E293" s="15">
        <v>137</v>
      </c>
      <c r="F293" s="15">
        <v>54</v>
      </c>
      <c r="G293" s="15">
        <v>34</v>
      </c>
      <c r="H293" s="15">
        <v>20</v>
      </c>
      <c r="I293" s="15">
        <v>197</v>
      </c>
      <c r="J293" s="15">
        <v>80</v>
      </c>
      <c r="K293" s="15">
        <v>117</v>
      </c>
      <c r="L293" s="12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</row>
    <row r="294" spans="1:55" ht="12.95" customHeight="1">
      <c r="A294" s="2"/>
      <c r="B294" s="14" t="s">
        <v>282</v>
      </c>
      <c r="C294" s="15">
        <v>499</v>
      </c>
      <c r="D294" s="15">
        <v>260</v>
      </c>
      <c r="E294" s="15">
        <v>239</v>
      </c>
      <c r="F294" s="15">
        <v>74</v>
      </c>
      <c r="G294" s="15">
        <v>36</v>
      </c>
      <c r="H294" s="15">
        <v>38</v>
      </c>
      <c r="I294" s="15">
        <v>425</v>
      </c>
      <c r="J294" s="15">
        <v>224</v>
      </c>
      <c r="K294" s="15">
        <v>201</v>
      </c>
      <c r="L294" s="12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spans="1:55" ht="12.95" customHeight="1">
      <c r="A295" s="2"/>
      <c r="B295" s="14" t="s">
        <v>283</v>
      </c>
      <c r="C295" s="15">
        <v>218</v>
      </c>
      <c r="D295" s="15">
        <v>121</v>
      </c>
      <c r="E295" s="15">
        <v>97</v>
      </c>
      <c r="F295" s="15">
        <v>62</v>
      </c>
      <c r="G295" s="15">
        <v>35</v>
      </c>
      <c r="H295" s="15">
        <v>27</v>
      </c>
      <c r="I295" s="15">
        <v>156</v>
      </c>
      <c r="J295" s="15">
        <v>86</v>
      </c>
      <c r="K295" s="15">
        <v>70</v>
      </c>
      <c r="L295" s="12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spans="1:55" ht="12.95" customHeight="1">
      <c r="A296" s="2"/>
      <c r="B296" s="14" t="s">
        <v>284</v>
      </c>
      <c r="C296" s="15">
        <v>335</v>
      </c>
      <c r="D296" s="15">
        <v>181</v>
      </c>
      <c r="E296" s="15">
        <v>154</v>
      </c>
      <c r="F296" s="15">
        <v>115</v>
      </c>
      <c r="G296" s="15">
        <v>58</v>
      </c>
      <c r="H296" s="15">
        <v>57</v>
      </c>
      <c r="I296" s="15">
        <v>220</v>
      </c>
      <c r="J296" s="15">
        <v>123</v>
      </c>
      <c r="K296" s="15">
        <v>97</v>
      </c>
      <c r="L296" s="12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spans="1:55" ht="12.95" customHeight="1">
      <c r="A297" s="2"/>
      <c r="B297" s="14" t="s">
        <v>285</v>
      </c>
      <c r="C297" s="15">
        <v>54</v>
      </c>
      <c r="D297" s="15">
        <v>35</v>
      </c>
      <c r="E297" s="15">
        <v>19</v>
      </c>
      <c r="F297" s="15">
        <v>22</v>
      </c>
      <c r="G297" s="15">
        <v>17</v>
      </c>
      <c r="H297" s="15">
        <v>5</v>
      </c>
      <c r="I297" s="15">
        <v>32</v>
      </c>
      <c r="J297" s="15">
        <v>18</v>
      </c>
      <c r="K297" s="15">
        <v>14</v>
      </c>
      <c r="L297" s="12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</row>
    <row r="298" spans="1:55" ht="12.95" customHeight="1">
      <c r="A298" s="2"/>
      <c r="B298" s="14" t="s">
        <v>286</v>
      </c>
      <c r="C298" s="15">
        <v>587</v>
      </c>
      <c r="D298" s="15">
        <v>295</v>
      </c>
      <c r="E298" s="15">
        <v>292</v>
      </c>
      <c r="F298" s="15">
        <v>410</v>
      </c>
      <c r="G298" s="15">
        <v>195</v>
      </c>
      <c r="H298" s="15">
        <v>215</v>
      </c>
      <c r="I298" s="15">
        <v>177</v>
      </c>
      <c r="J298" s="15">
        <v>100</v>
      </c>
      <c r="K298" s="15">
        <v>77</v>
      </c>
      <c r="L298" s="12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</row>
    <row r="299" spans="1:55" ht="12.95" customHeight="1">
      <c r="A299" s="2"/>
      <c r="B299" s="14" t="s">
        <v>287</v>
      </c>
      <c r="C299" s="15">
        <v>69</v>
      </c>
      <c r="D299" s="15">
        <v>41</v>
      </c>
      <c r="E299" s="15">
        <v>28</v>
      </c>
      <c r="F299" s="15">
        <v>24</v>
      </c>
      <c r="G299" s="15">
        <v>14</v>
      </c>
      <c r="H299" s="15">
        <v>10</v>
      </c>
      <c r="I299" s="15">
        <v>45</v>
      </c>
      <c r="J299" s="15">
        <v>27</v>
      </c>
      <c r="K299" s="15">
        <v>18</v>
      </c>
      <c r="L299" s="12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</row>
    <row r="300" spans="1:55" ht="12.95" customHeight="1">
      <c r="A300" s="2"/>
      <c r="B300" s="22" t="s">
        <v>288</v>
      </c>
      <c r="C300" s="23">
        <v>142</v>
      </c>
      <c r="D300" s="23">
        <v>72</v>
      </c>
      <c r="E300" s="23">
        <v>70</v>
      </c>
      <c r="F300" s="23">
        <v>55</v>
      </c>
      <c r="G300" s="23">
        <v>24</v>
      </c>
      <c r="H300" s="23">
        <v>31</v>
      </c>
      <c r="I300" s="23">
        <v>87</v>
      </c>
      <c r="J300" s="23">
        <v>48</v>
      </c>
      <c r="K300" s="23">
        <v>39</v>
      </c>
      <c r="L300" s="12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</row>
    <row r="301" spans="1:55" ht="12.95" customHeight="1">
      <c r="A301" s="24"/>
      <c r="B301" s="28" t="s">
        <v>289</v>
      </c>
      <c r="C301" s="25"/>
      <c r="D301" s="25"/>
      <c r="E301" s="25"/>
      <c r="F301" s="25"/>
      <c r="G301" s="25"/>
      <c r="H301" s="25"/>
      <c r="I301" s="25"/>
      <c r="J301" s="26"/>
      <c r="K301" s="2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</row>
    <row r="302" spans="1:55" ht="12.95" customHeight="1">
      <c r="A302" s="24"/>
      <c r="B302" s="28" t="s">
        <v>290</v>
      </c>
      <c r="C302" s="25"/>
      <c r="D302" s="25"/>
      <c r="E302" s="25"/>
      <c r="F302" s="25"/>
      <c r="G302" s="25"/>
      <c r="H302" s="25"/>
      <c r="I302" s="25"/>
      <c r="J302" s="26"/>
      <c r="K302" s="2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</row>
    <row r="303" spans="1:55" ht="12.95" customHeight="1">
      <c r="B303" s="29" t="s">
        <v>291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</row>
    <row r="304" spans="1:55" ht="10.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</row>
    <row r="305" spans="2:55" ht="10.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</row>
    <row r="306" spans="2:55" ht="10.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</row>
    <row r="307" spans="2:55" ht="10.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</row>
    <row r="308" spans="2:55" ht="12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</row>
    <row r="309" spans="2:55" ht="12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</row>
    <row r="310" spans="2:55" ht="12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</row>
    <row r="311" spans="2:55" ht="12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</row>
    <row r="312" spans="2:55" ht="12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</row>
    <row r="313" spans="2:55" ht="12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</row>
    <row r="314" spans="2:55" ht="12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</row>
    <row r="315" spans="2:55" ht="12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</row>
    <row r="316" spans="2:55" ht="12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</row>
    <row r="317" spans="2:55" ht="12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</row>
    <row r="318" spans="2:55" ht="12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</row>
    <row r="319" spans="2:55" ht="12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</row>
    <row r="320" spans="2:55" ht="12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</row>
    <row r="321" spans="2:55" ht="12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</row>
    <row r="322" spans="2:55" ht="12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</row>
    <row r="323" spans="2:55" ht="12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</row>
    <row r="324" spans="2:55" ht="12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</row>
    <row r="325" spans="2:55" ht="12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</row>
    <row r="326" spans="2:55" ht="12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</row>
    <row r="327" spans="2:55" ht="12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</row>
    <row r="328" spans="2:55" ht="12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</row>
    <row r="329" spans="2:55" ht="12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</row>
    <row r="330" spans="2:55" ht="12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</row>
    <row r="331" spans="2:55" ht="12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</row>
    <row r="332" spans="2:55" ht="12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</row>
    <row r="333" spans="2:55" ht="12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</row>
    <row r="334" spans="2:55" ht="12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</row>
    <row r="335" spans="2:55" ht="12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</row>
    <row r="336" spans="2:55" ht="12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</row>
    <row r="337" spans="2:55" ht="12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</row>
    <row r="338" spans="2:55" ht="12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</row>
    <row r="339" spans="2:55" ht="12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</row>
    <row r="340" spans="2:55" ht="12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</row>
    <row r="341" spans="2:55" ht="12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</row>
    <row r="342" spans="2:55" ht="12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</row>
    <row r="343" spans="2:55" ht="12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</row>
    <row r="344" spans="2:55" ht="12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</row>
    <row r="345" spans="2:55" ht="12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</row>
    <row r="346" spans="2:55" ht="12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</row>
    <row r="347" spans="2:55" ht="12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</row>
    <row r="348" spans="2:55" ht="12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</row>
    <row r="349" spans="2:55" ht="12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</row>
    <row r="350" spans="2:55" ht="12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</row>
    <row r="351" spans="2:55" ht="12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</row>
    <row r="352" spans="2:55" ht="12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</row>
    <row r="353" spans="2:55" ht="12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</row>
    <row r="354" spans="2:55" ht="12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</row>
    <row r="355" spans="2:55" ht="12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</row>
    <row r="356" spans="2:55" ht="12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</row>
    <row r="357" spans="2:55" ht="12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</row>
    <row r="358" spans="2:55" ht="12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</row>
    <row r="359" spans="2:55" ht="12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</row>
    <row r="360" spans="2:55" ht="12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</row>
    <row r="361" spans="2:55" ht="12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</row>
    <row r="362" spans="2:55" ht="12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</row>
    <row r="363" spans="2:55" ht="12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</row>
    <row r="364" spans="2:55" ht="12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</row>
    <row r="365" spans="2:55" ht="12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</row>
    <row r="366" spans="2:55" ht="12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</row>
    <row r="367" spans="2:55" ht="12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</row>
    <row r="368" spans="2:55" ht="12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</row>
    <row r="369" spans="2:55" ht="12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</row>
    <row r="370" spans="2:55" ht="12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</row>
    <row r="371" spans="2:55" ht="12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</row>
    <row r="372" spans="2:55" ht="12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</row>
    <row r="373" spans="2:55" ht="12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</row>
    <row r="374" spans="2:55" ht="12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</row>
    <row r="375" spans="2:55" ht="12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</row>
    <row r="376" spans="2:55" ht="12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</row>
    <row r="377" spans="2:55" ht="12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</row>
    <row r="378" spans="2:55" ht="12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</row>
    <row r="379" spans="2:55" ht="12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</row>
    <row r="380" spans="2:55" ht="12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</row>
    <row r="381" spans="2:55" ht="12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</row>
    <row r="382" spans="2:55" ht="12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</row>
    <row r="383" spans="2:55" ht="12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</row>
    <row r="384" spans="2:55" ht="12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</row>
    <row r="385" spans="2:55" ht="12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</row>
    <row r="386" spans="2:55" ht="12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</row>
    <row r="387" spans="2:55" ht="12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</row>
    <row r="388" spans="2:55" ht="12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</row>
    <row r="389" spans="2:55" ht="12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</row>
    <row r="390" spans="2:55" ht="12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</row>
    <row r="391" spans="2:55" ht="12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</row>
    <row r="392" spans="2:5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</row>
    <row r="393" spans="2:5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</row>
    <row r="394" spans="2:5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</row>
    <row r="395" spans="2:5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</row>
    <row r="396" spans="2:5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</row>
    <row r="397" spans="2:5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</row>
    <row r="398" spans="2:5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</row>
    <row r="399" spans="2:5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</row>
    <row r="400" spans="2:5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</row>
    <row r="401" spans="2:5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</row>
    <row r="402" spans="2:5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</row>
    <row r="403" spans="2:5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</row>
    <row r="404" spans="2:5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</row>
    <row r="405" spans="2:5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</row>
    <row r="406" spans="2:5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</row>
    <row r="407" spans="2:5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</row>
    <row r="408" spans="2:5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</row>
    <row r="409" spans="2:5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</row>
    <row r="410" spans="2:5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</row>
    <row r="411" spans="2:5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</row>
    <row r="412" spans="2:5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</row>
    <row r="413" spans="2:5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</row>
    <row r="414" spans="2:5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</row>
    <row r="415" spans="2:5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</row>
    <row r="416" spans="2:5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</row>
    <row r="417" spans="2:5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</row>
    <row r="418" spans="2:5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</row>
    <row r="419" spans="2:5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</row>
    <row r="420" spans="2:5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</row>
    <row r="421" spans="2:5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</row>
    <row r="422" spans="2:5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</row>
    <row r="423" spans="2:5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</row>
    <row r="424" spans="2:5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</row>
    <row r="425" spans="2:5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</row>
    <row r="426" spans="2:5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</row>
    <row r="427" spans="2:5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</row>
    <row r="428" spans="2:5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</row>
    <row r="429" spans="2:5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</row>
    <row r="430" spans="2:5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</row>
    <row r="431" spans="2:5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</row>
    <row r="432" spans="2:5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</row>
  </sheetData>
  <mergeCells count="5">
    <mergeCell ref="B1:K1"/>
    <mergeCell ref="B2:K2"/>
    <mergeCell ref="B3:K3"/>
    <mergeCell ref="B5:B8"/>
    <mergeCell ref="C6:E7"/>
  </mergeCells>
  <printOptions horizontalCentered="1" gridLines="1" gridLinesSet="0"/>
  <pageMargins left="0.51181102362204722" right="0.51181102362204722" top="0.34" bottom="0.56000000000000005" header="0" footer="0.38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BC432"/>
  <sheetViews>
    <sheetView topLeftCell="B1" workbookViewId="0">
      <selection activeCell="B4" sqref="B4"/>
    </sheetView>
  </sheetViews>
  <sheetFormatPr baseColWidth="10" defaultColWidth="9.7109375" defaultRowHeight="14.25"/>
  <cols>
    <col min="1" max="1" width="0.7109375" style="5" customWidth="1"/>
    <col min="2" max="2" width="24.28515625" style="5" customWidth="1"/>
    <col min="3" max="11" width="9.7109375" style="5" customWidth="1"/>
    <col min="12" max="12" width="1.5703125" style="5" customWidth="1"/>
    <col min="13" max="16384" width="9.7109375" style="5"/>
  </cols>
  <sheetData>
    <row r="1" spans="1:55" s="1" customFormat="1" ht="21" customHeight="1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</row>
    <row r="2" spans="1:55" s="1" customFormat="1" ht="21" customHeight="1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</row>
    <row r="3" spans="1:55" s="1" customFormat="1" ht="21" customHeight="1">
      <c r="B3" s="33" t="s">
        <v>293</v>
      </c>
      <c r="C3" s="33"/>
      <c r="D3" s="33"/>
      <c r="E3" s="33"/>
      <c r="F3" s="33"/>
      <c r="G3" s="33"/>
      <c r="H3" s="33"/>
      <c r="I3" s="33"/>
      <c r="J3" s="33"/>
      <c r="K3" s="33"/>
    </row>
    <row r="4" spans="1:55" ht="21" customHeight="1" thickBot="1">
      <c r="A4" s="2"/>
      <c r="B4" s="3"/>
      <c r="C4" s="3"/>
      <c r="D4" s="3"/>
      <c r="E4" s="3"/>
      <c r="F4" s="3"/>
      <c r="G4" s="3"/>
      <c r="H4" s="3"/>
      <c r="I4" s="3"/>
      <c r="J4" s="3"/>
      <c r="K4" s="4"/>
    </row>
    <row r="5" spans="1:55" ht="21" customHeight="1" thickBot="1">
      <c r="A5" s="6"/>
      <c r="B5" s="34" t="s">
        <v>3</v>
      </c>
      <c r="C5" s="30" t="s">
        <v>4</v>
      </c>
      <c r="D5" s="31"/>
      <c r="E5" s="31"/>
      <c r="F5" s="31"/>
      <c r="G5" s="31"/>
      <c r="H5" s="31"/>
      <c r="I5" s="31"/>
      <c r="J5" s="31"/>
      <c r="K5" s="3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spans="1:55" ht="21" customHeight="1" thickBot="1">
      <c r="A6" s="2"/>
      <c r="B6" s="35"/>
      <c r="C6" s="34" t="s">
        <v>5</v>
      </c>
      <c r="D6" s="35"/>
      <c r="E6" s="35"/>
      <c r="F6" s="30" t="s">
        <v>6</v>
      </c>
      <c r="G6" s="31"/>
      <c r="H6" s="31"/>
      <c r="I6" s="31"/>
      <c r="J6" s="31"/>
      <c r="K6" s="3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</row>
    <row r="7" spans="1:55" ht="21" customHeight="1" thickBot="1">
      <c r="A7" s="2"/>
      <c r="B7" s="35"/>
      <c r="C7" s="35"/>
      <c r="D7" s="35"/>
      <c r="E7" s="35"/>
      <c r="F7" s="30" t="s">
        <v>7</v>
      </c>
      <c r="G7" s="31"/>
      <c r="H7" s="31"/>
      <c r="I7" s="30" t="s">
        <v>8</v>
      </c>
      <c r="J7" s="31"/>
      <c r="K7" s="3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ht="21" customHeight="1" thickBot="1">
      <c r="A8" s="2"/>
      <c r="B8" s="35"/>
      <c r="C8" s="30" t="s">
        <v>9</v>
      </c>
      <c r="D8" s="30" t="s">
        <v>10</v>
      </c>
      <c r="E8" s="30" t="s">
        <v>11</v>
      </c>
      <c r="F8" s="30" t="s">
        <v>9</v>
      </c>
      <c r="G8" s="30" t="s">
        <v>10</v>
      </c>
      <c r="H8" s="30" t="s">
        <v>11</v>
      </c>
      <c r="I8" s="30" t="s">
        <v>9</v>
      </c>
      <c r="J8" s="30" t="s">
        <v>10</v>
      </c>
      <c r="K8" s="30" t="s">
        <v>11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ht="12.95" customHeight="1">
      <c r="A9" s="2"/>
      <c r="B9" s="8"/>
      <c r="C9" s="8"/>
      <c r="D9" s="8"/>
      <c r="E9" s="8"/>
      <c r="F9" s="8"/>
      <c r="G9" s="8"/>
      <c r="H9" s="8"/>
      <c r="I9" s="8"/>
      <c r="J9" s="8"/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ht="12.95" customHeight="1">
      <c r="A10" s="2"/>
      <c r="B10" s="10" t="s">
        <v>5</v>
      </c>
      <c r="C10" s="11">
        <f>SUM(C12+C26+C41+C59+C94+C118+C139+C157+C181+C192+C207+C232+C254+C282)</f>
        <v>111278</v>
      </c>
      <c r="D10" s="11">
        <f>SUM(D12+D26+D41+D59+D94+D118+D139+D157+D181+D192+D207+D232+D254+D282)</f>
        <v>57027</v>
      </c>
      <c r="E10" s="11">
        <f>SUM(E12+E26+E41+E59+E94+E118+E139+E157+E181+E192+E207+E232+E254+E282)</f>
        <v>54251</v>
      </c>
      <c r="F10" s="11">
        <f>SUM(F12+F26+F41+F59+F94+F118+F139+F157+F181+F192+F207+F232+F254+F282)</f>
        <v>69427</v>
      </c>
      <c r="G10" s="11">
        <f>SUM(G12+G26+G41+G59+G94+G118+G139+G157+G181+G192+G207+G232+G254+G282)</f>
        <v>35608</v>
      </c>
      <c r="H10" s="11">
        <f>SUM(H12+H26+H41+H59+H94+H118+H139+H157+H181+H192+H207+H232+H254+H282)</f>
        <v>33819</v>
      </c>
      <c r="I10" s="11">
        <f>SUM(I12+I26+I41+I59+I94+I118+I139+I157+I181+I192+I207+I232+I254+I282)</f>
        <v>41851</v>
      </c>
      <c r="J10" s="11">
        <f>SUM(J12+J26+J41+J59+J94+J118+J139+J157+J181+J192+J207+J232+J254+J282)</f>
        <v>21419</v>
      </c>
      <c r="K10" s="11">
        <f>SUM(K12+K26+K41+K59+K94+K118+K139+K157+K181+K192+K207+K232+K254+K282)</f>
        <v>20432</v>
      </c>
      <c r="L10" s="1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</row>
    <row r="11" spans="1:55" ht="12.95" customHeight="1">
      <c r="A11" s="2"/>
      <c r="B11" s="8"/>
      <c r="C11" s="13" t="s">
        <v>12</v>
      </c>
      <c r="D11" s="13"/>
      <c r="E11" s="13"/>
      <c r="F11" s="13"/>
      <c r="G11" s="13"/>
      <c r="H11" s="13"/>
      <c r="I11" s="13"/>
      <c r="J11" s="13"/>
      <c r="K11" s="13"/>
      <c r="L11" s="1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</row>
    <row r="12" spans="1:55" ht="12.95" customHeight="1">
      <c r="A12" s="2"/>
      <c r="B12" s="10" t="s">
        <v>13</v>
      </c>
      <c r="C12" s="11">
        <f>SUM(C13:C24)</f>
        <v>6471</v>
      </c>
      <c r="D12" s="11">
        <f>SUM(D13:D24)</f>
        <v>3352</v>
      </c>
      <c r="E12" s="11">
        <f>SUM(E13:E24)</f>
        <v>3119</v>
      </c>
      <c r="F12" s="11">
        <f>SUM(F13:F24)</f>
        <v>1978</v>
      </c>
      <c r="G12" s="11">
        <f>SUM(G13:G24)</f>
        <v>1009</v>
      </c>
      <c r="H12" s="11">
        <f>SUM(H13:H24)</f>
        <v>969</v>
      </c>
      <c r="I12" s="11">
        <f>SUM(I13:I24)</f>
        <v>4493</v>
      </c>
      <c r="J12" s="11">
        <f>SUM(J13:J24)</f>
        <v>2343</v>
      </c>
      <c r="K12" s="11">
        <f>SUM(K13:K24)</f>
        <v>2150</v>
      </c>
      <c r="L12" s="1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1:55" ht="12.95" customHeight="1">
      <c r="A13" s="2"/>
      <c r="B13" s="14" t="s">
        <v>14</v>
      </c>
      <c r="C13" s="15">
        <v>2146</v>
      </c>
      <c r="D13" s="15">
        <v>1108</v>
      </c>
      <c r="E13" s="15">
        <v>1038</v>
      </c>
      <c r="F13" s="15">
        <v>468</v>
      </c>
      <c r="G13" s="15">
        <v>239</v>
      </c>
      <c r="H13" s="15">
        <v>229</v>
      </c>
      <c r="I13" s="15">
        <v>1678</v>
      </c>
      <c r="J13" s="15">
        <v>869</v>
      </c>
      <c r="K13" s="15">
        <v>809</v>
      </c>
      <c r="L13" s="1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</row>
    <row r="14" spans="1:55" ht="12.95" customHeight="1">
      <c r="A14" s="2"/>
      <c r="B14" s="14" t="s">
        <v>15</v>
      </c>
      <c r="C14" s="15">
        <v>191</v>
      </c>
      <c r="D14" s="15">
        <v>121</v>
      </c>
      <c r="E14" s="15">
        <v>70</v>
      </c>
      <c r="F14" s="15">
        <v>99</v>
      </c>
      <c r="G14" s="15">
        <v>60</v>
      </c>
      <c r="H14" s="15">
        <v>39</v>
      </c>
      <c r="I14" s="15">
        <v>92</v>
      </c>
      <c r="J14" s="15">
        <v>61</v>
      </c>
      <c r="K14" s="15">
        <v>31</v>
      </c>
      <c r="L14" s="12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</row>
    <row r="15" spans="1:55" ht="12.95" customHeight="1">
      <c r="A15" s="2"/>
      <c r="B15" s="14" t="s">
        <v>16</v>
      </c>
      <c r="C15" s="15">
        <v>508</v>
      </c>
      <c r="D15" s="15">
        <v>261</v>
      </c>
      <c r="E15" s="15">
        <v>247</v>
      </c>
      <c r="F15" s="15">
        <v>145</v>
      </c>
      <c r="G15" s="15">
        <v>74</v>
      </c>
      <c r="H15" s="15">
        <v>71</v>
      </c>
      <c r="I15" s="15">
        <v>363</v>
      </c>
      <c r="J15" s="15">
        <v>187</v>
      </c>
      <c r="K15" s="15">
        <v>176</v>
      </c>
      <c r="L15" s="12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</row>
    <row r="16" spans="1:55" ht="12.95" customHeight="1">
      <c r="A16" s="2"/>
      <c r="B16" s="14" t="s">
        <v>17</v>
      </c>
      <c r="C16" s="15">
        <v>287</v>
      </c>
      <c r="D16" s="15">
        <v>148</v>
      </c>
      <c r="E16" s="15">
        <v>139</v>
      </c>
      <c r="F16" s="15">
        <v>137</v>
      </c>
      <c r="G16" s="15">
        <v>64</v>
      </c>
      <c r="H16" s="15">
        <v>73</v>
      </c>
      <c r="I16" s="15">
        <v>150</v>
      </c>
      <c r="J16" s="15">
        <v>84</v>
      </c>
      <c r="K16" s="15">
        <v>66</v>
      </c>
      <c r="L16" s="12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spans="1:55" ht="12.95" customHeight="1">
      <c r="A17" s="2"/>
      <c r="B17" s="14" t="s">
        <v>18</v>
      </c>
      <c r="C17" s="15">
        <v>139</v>
      </c>
      <c r="D17" s="15">
        <v>63</v>
      </c>
      <c r="E17" s="15">
        <v>76</v>
      </c>
      <c r="F17" s="15">
        <v>138</v>
      </c>
      <c r="G17" s="15">
        <v>63</v>
      </c>
      <c r="H17" s="15">
        <v>75</v>
      </c>
      <c r="I17" s="15">
        <v>1</v>
      </c>
      <c r="J17" s="15">
        <v>0</v>
      </c>
      <c r="K17" s="15">
        <v>1</v>
      </c>
      <c r="L17" s="12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</row>
    <row r="18" spans="1:55" ht="12.95" customHeight="1">
      <c r="A18" s="2"/>
      <c r="B18" s="14" t="s">
        <v>19</v>
      </c>
      <c r="C18" s="15">
        <v>423</v>
      </c>
      <c r="D18" s="15">
        <v>219</v>
      </c>
      <c r="E18" s="15">
        <v>204</v>
      </c>
      <c r="F18" s="15">
        <v>61</v>
      </c>
      <c r="G18" s="15">
        <v>34</v>
      </c>
      <c r="H18" s="15">
        <v>27</v>
      </c>
      <c r="I18" s="15">
        <v>362</v>
      </c>
      <c r="J18" s="15">
        <v>185</v>
      </c>
      <c r="K18" s="15">
        <v>177</v>
      </c>
      <c r="L18" s="12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</row>
    <row r="19" spans="1:55" ht="12.95" customHeight="1">
      <c r="A19" s="2"/>
      <c r="B19" s="14" t="s">
        <v>20</v>
      </c>
      <c r="C19" s="15">
        <v>461</v>
      </c>
      <c r="D19" s="15">
        <v>241</v>
      </c>
      <c r="E19" s="15">
        <v>220</v>
      </c>
      <c r="F19" s="15">
        <v>76</v>
      </c>
      <c r="G19" s="15">
        <v>34</v>
      </c>
      <c r="H19" s="15">
        <v>42</v>
      </c>
      <c r="I19" s="15">
        <v>385</v>
      </c>
      <c r="J19" s="15">
        <v>207</v>
      </c>
      <c r="K19" s="15">
        <v>178</v>
      </c>
      <c r="L19" s="12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ht="12.95" customHeight="1">
      <c r="A20" s="2"/>
      <c r="B20" s="14" t="s">
        <v>21</v>
      </c>
      <c r="C20" s="15">
        <v>1053</v>
      </c>
      <c r="D20" s="15">
        <v>537</v>
      </c>
      <c r="E20" s="15">
        <v>516</v>
      </c>
      <c r="F20" s="15">
        <v>358</v>
      </c>
      <c r="G20" s="15">
        <v>171</v>
      </c>
      <c r="H20" s="15">
        <v>187</v>
      </c>
      <c r="I20" s="15">
        <v>695</v>
      </c>
      <c r="J20" s="15">
        <v>366</v>
      </c>
      <c r="K20" s="15">
        <v>329</v>
      </c>
      <c r="L20" s="12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1:55" ht="12.95" customHeight="1">
      <c r="A21" s="2"/>
      <c r="B21" s="14" t="s">
        <v>22</v>
      </c>
      <c r="C21" s="15">
        <v>156</v>
      </c>
      <c r="D21" s="15">
        <v>80</v>
      </c>
      <c r="E21" s="15">
        <v>76</v>
      </c>
      <c r="F21" s="15">
        <v>36</v>
      </c>
      <c r="G21" s="15">
        <v>24</v>
      </c>
      <c r="H21" s="15">
        <v>12</v>
      </c>
      <c r="I21" s="15">
        <v>120</v>
      </c>
      <c r="J21" s="15">
        <v>56</v>
      </c>
      <c r="K21" s="15">
        <v>64</v>
      </c>
      <c r="L21" s="1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</row>
    <row r="22" spans="1:55" ht="12.95" customHeight="1">
      <c r="A22" s="2"/>
      <c r="B22" s="14" t="s">
        <v>23</v>
      </c>
      <c r="C22" s="15">
        <v>203</v>
      </c>
      <c r="D22" s="15">
        <v>95</v>
      </c>
      <c r="E22" s="15">
        <v>108</v>
      </c>
      <c r="F22" s="15">
        <v>55</v>
      </c>
      <c r="G22" s="15">
        <v>28</v>
      </c>
      <c r="H22" s="15">
        <v>27</v>
      </c>
      <c r="I22" s="15">
        <v>148</v>
      </c>
      <c r="J22" s="15">
        <v>67</v>
      </c>
      <c r="K22" s="15">
        <v>81</v>
      </c>
      <c r="L22" s="12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</row>
    <row r="23" spans="1:55" ht="12.95" customHeight="1">
      <c r="A23" s="2"/>
      <c r="B23" s="14" t="s">
        <v>24</v>
      </c>
      <c r="C23" s="15">
        <v>694</v>
      </c>
      <c r="D23" s="15">
        <v>361</v>
      </c>
      <c r="E23" s="15">
        <v>333</v>
      </c>
      <c r="F23" s="15">
        <v>319</v>
      </c>
      <c r="G23" s="15">
        <v>172</v>
      </c>
      <c r="H23" s="15">
        <v>147</v>
      </c>
      <c r="I23" s="15">
        <v>375</v>
      </c>
      <c r="J23" s="15">
        <v>189</v>
      </c>
      <c r="K23" s="15">
        <v>186</v>
      </c>
      <c r="L23" s="1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</row>
    <row r="24" spans="1:55" ht="12.95" customHeight="1">
      <c r="A24" s="2"/>
      <c r="B24" s="14" t="s">
        <v>25</v>
      </c>
      <c r="C24" s="15">
        <v>210</v>
      </c>
      <c r="D24" s="15">
        <v>118</v>
      </c>
      <c r="E24" s="15">
        <v>92</v>
      </c>
      <c r="F24" s="15">
        <v>86</v>
      </c>
      <c r="G24" s="15">
        <v>46</v>
      </c>
      <c r="H24" s="15">
        <v>40</v>
      </c>
      <c r="I24" s="15">
        <v>124</v>
      </c>
      <c r="J24" s="15">
        <v>72</v>
      </c>
      <c r="K24" s="15">
        <v>52</v>
      </c>
      <c r="L24" s="12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</row>
    <row r="25" spans="1:55" ht="12.95" customHeight="1">
      <c r="A25" s="2"/>
      <c r="B25" s="8"/>
      <c r="C25" s="13"/>
      <c r="D25" s="13"/>
      <c r="E25" s="13"/>
      <c r="F25" s="13"/>
      <c r="G25" s="13"/>
      <c r="H25" s="13"/>
      <c r="I25" s="13"/>
      <c r="J25" s="13"/>
      <c r="K25" s="13"/>
      <c r="L25" s="1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2.95" customHeight="1">
      <c r="A26" s="2"/>
      <c r="B26" s="10" t="s">
        <v>26</v>
      </c>
      <c r="C26" s="11">
        <f>SUM(C27:C39)</f>
        <v>9845</v>
      </c>
      <c r="D26" s="11">
        <f>SUM(D27:D39)</f>
        <v>5010</v>
      </c>
      <c r="E26" s="11">
        <f>SUM(E27:E39)</f>
        <v>4835</v>
      </c>
      <c r="F26" s="11">
        <f>SUM(F27:F39)</f>
        <v>6638</v>
      </c>
      <c r="G26" s="11">
        <f>SUM(G27:G39)</f>
        <v>3353</v>
      </c>
      <c r="H26" s="11">
        <f>SUM(H27:H39)</f>
        <v>3285</v>
      </c>
      <c r="I26" s="11">
        <f>SUM(I27:I39)</f>
        <v>3207</v>
      </c>
      <c r="J26" s="11">
        <f>SUM(J27:J39)</f>
        <v>1657</v>
      </c>
      <c r="K26" s="11">
        <f>SUM(K27:K39)</f>
        <v>1550</v>
      </c>
      <c r="L26" s="1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2.95" customHeight="1">
      <c r="A27" s="2"/>
      <c r="B27" s="14" t="s">
        <v>27</v>
      </c>
      <c r="C27" s="15">
        <v>4854</v>
      </c>
      <c r="D27" s="15">
        <v>2488</v>
      </c>
      <c r="E27" s="15">
        <v>2366</v>
      </c>
      <c r="F27" s="15">
        <v>4036</v>
      </c>
      <c r="G27" s="15">
        <v>2051</v>
      </c>
      <c r="H27" s="15">
        <v>1985</v>
      </c>
      <c r="I27" s="15">
        <v>818</v>
      </c>
      <c r="J27" s="15">
        <v>437</v>
      </c>
      <c r="K27" s="15">
        <v>381</v>
      </c>
      <c r="L27" s="1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2.95" customHeight="1">
      <c r="A28" s="2"/>
      <c r="B28" s="14" t="s">
        <v>28</v>
      </c>
      <c r="C28" s="15">
        <v>379</v>
      </c>
      <c r="D28" s="15">
        <v>218</v>
      </c>
      <c r="E28" s="15">
        <v>161</v>
      </c>
      <c r="F28" s="15">
        <v>115</v>
      </c>
      <c r="G28" s="15">
        <v>66</v>
      </c>
      <c r="H28" s="15">
        <v>49</v>
      </c>
      <c r="I28" s="15">
        <v>264</v>
      </c>
      <c r="J28" s="15">
        <v>152</v>
      </c>
      <c r="K28" s="15">
        <v>112</v>
      </c>
      <c r="L28" s="1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ht="12.95" customHeight="1">
      <c r="A29" s="2"/>
      <c r="B29" s="14" t="s">
        <v>29</v>
      </c>
      <c r="C29" s="15">
        <v>532</v>
      </c>
      <c r="D29" s="15">
        <v>249</v>
      </c>
      <c r="E29" s="15">
        <v>283</v>
      </c>
      <c r="F29" s="15">
        <v>128</v>
      </c>
      <c r="G29" s="15">
        <v>64</v>
      </c>
      <c r="H29" s="15">
        <v>64</v>
      </c>
      <c r="I29" s="15">
        <v>404</v>
      </c>
      <c r="J29" s="15">
        <v>185</v>
      </c>
      <c r="K29" s="15">
        <v>219</v>
      </c>
      <c r="L29" s="1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ht="12.95" customHeight="1">
      <c r="A30" s="2"/>
      <c r="B30" s="14" t="s">
        <v>30</v>
      </c>
      <c r="C30" s="15">
        <v>1356</v>
      </c>
      <c r="D30" s="15">
        <v>665</v>
      </c>
      <c r="E30" s="15">
        <v>691</v>
      </c>
      <c r="F30" s="15">
        <v>959</v>
      </c>
      <c r="G30" s="15">
        <v>463</v>
      </c>
      <c r="H30" s="15">
        <v>496</v>
      </c>
      <c r="I30" s="15">
        <v>397</v>
      </c>
      <c r="J30" s="15">
        <v>202</v>
      </c>
      <c r="K30" s="15">
        <v>195</v>
      </c>
      <c r="L30" s="1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12.95" customHeight="1">
      <c r="A31" s="2"/>
      <c r="B31" s="14" t="s">
        <v>31</v>
      </c>
      <c r="C31" s="15">
        <v>494</v>
      </c>
      <c r="D31" s="15">
        <v>259</v>
      </c>
      <c r="E31" s="15">
        <v>235</v>
      </c>
      <c r="F31" s="15">
        <v>255</v>
      </c>
      <c r="G31" s="15">
        <v>141</v>
      </c>
      <c r="H31" s="15">
        <v>114</v>
      </c>
      <c r="I31" s="15">
        <v>239</v>
      </c>
      <c r="J31" s="15">
        <v>118</v>
      </c>
      <c r="K31" s="15">
        <v>121</v>
      </c>
      <c r="L31" s="1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ht="12.95" customHeight="1">
      <c r="A32" s="2"/>
      <c r="B32" s="14" t="s">
        <v>32</v>
      </c>
      <c r="C32" s="15">
        <v>119</v>
      </c>
      <c r="D32" s="15">
        <v>72</v>
      </c>
      <c r="E32" s="15">
        <v>47</v>
      </c>
      <c r="F32" s="15">
        <v>33</v>
      </c>
      <c r="G32" s="15">
        <v>18</v>
      </c>
      <c r="H32" s="15">
        <v>15</v>
      </c>
      <c r="I32" s="15">
        <v>86</v>
      </c>
      <c r="J32" s="15">
        <v>54</v>
      </c>
      <c r="K32" s="15">
        <v>32</v>
      </c>
      <c r="L32" s="1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12.95" customHeight="1">
      <c r="A33" s="2"/>
      <c r="B33" s="14" t="s">
        <v>33</v>
      </c>
      <c r="C33" s="15">
        <v>65</v>
      </c>
      <c r="D33" s="15">
        <v>30</v>
      </c>
      <c r="E33" s="15">
        <v>35</v>
      </c>
      <c r="F33" s="15">
        <v>18</v>
      </c>
      <c r="G33" s="15">
        <v>7</v>
      </c>
      <c r="H33" s="15">
        <v>11</v>
      </c>
      <c r="I33" s="15">
        <v>47</v>
      </c>
      <c r="J33" s="15">
        <v>23</v>
      </c>
      <c r="K33" s="15">
        <v>24</v>
      </c>
      <c r="L33" s="1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12.95" customHeight="1">
      <c r="A34" s="2"/>
      <c r="B34" s="14" t="s">
        <v>34</v>
      </c>
      <c r="C34" s="15">
        <v>1240</v>
      </c>
      <c r="D34" s="15">
        <v>608</v>
      </c>
      <c r="E34" s="15">
        <v>632</v>
      </c>
      <c r="F34" s="15">
        <v>847</v>
      </c>
      <c r="G34" s="15">
        <v>411</v>
      </c>
      <c r="H34" s="15">
        <v>436</v>
      </c>
      <c r="I34" s="15">
        <v>393</v>
      </c>
      <c r="J34" s="15">
        <v>197</v>
      </c>
      <c r="K34" s="15">
        <v>196</v>
      </c>
      <c r="L34" s="1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ht="12.95" customHeight="1">
      <c r="A35" s="2"/>
      <c r="B35" s="14" t="s">
        <v>35</v>
      </c>
      <c r="C35" s="15">
        <v>48</v>
      </c>
      <c r="D35" s="15">
        <v>23</v>
      </c>
      <c r="E35" s="15">
        <v>25</v>
      </c>
      <c r="F35" s="15">
        <v>31</v>
      </c>
      <c r="G35" s="15">
        <v>16</v>
      </c>
      <c r="H35" s="15">
        <v>15</v>
      </c>
      <c r="I35" s="15">
        <v>17</v>
      </c>
      <c r="J35" s="15">
        <v>7</v>
      </c>
      <c r="K35" s="15">
        <v>10</v>
      </c>
      <c r="L35" s="1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12.95" customHeight="1">
      <c r="A36" s="2"/>
      <c r="B36" s="14" t="s">
        <v>36</v>
      </c>
      <c r="C36" s="15">
        <v>218</v>
      </c>
      <c r="D36" s="15">
        <v>109</v>
      </c>
      <c r="E36" s="15">
        <v>109</v>
      </c>
      <c r="F36" s="15">
        <v>105</v>
      </c>
      <c r="G36" s="15">
        <v>55</v>
      </c>
      <c r="H36" s="15">
        <v>50</v>
      </c>
      <c r="I36" s="15">
        <v>113</v>
      </c>
      <c r="J36" s="15">
        <v>54</v>
      </c>
      <c r="K36" s="15">
        <v>59</v>
      </c>
      <c r="L36" s="1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12.95" customHeight="1">
      <c r="A37" s="2"/>
      <c r="B37" s="16" t="s">
        <v>37</v>
      </c>
      <c r="C37" s="15">
        <v>69</v>
      </c>
      <c r="D37" s="15">
        <v>45</v>
      </c>
      <c r="E37" s="15">
        <v>24</v>
      </c>
      <c r="F37" s="15">
        <v>17</v>
      </c>
      <c r="G37" s="15">
        <v>16</v>
      </c>
      <c r="H37" s="15">
        <v>1</v>
      </c>
      <c r="I37" s="15">
        <v>52</v>
      </c>
      <c r="J37" s="15">
        <v>29</v>
      </c>
      <c r="K37" s="15">
        <v>23</v>
      </c>
      <c r="L37" s="1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12.95" customHeight="1">
      <c r="A38" s="2"/>
      <c r="B38" s="14" t="s">
        <v>38</v>
      </c>
      <c r="C38" s="15">
        <v>81</v>
      </c>
      <c r="D38" s="15">
        <v>43</v>
      </c>
      <c r="E38" s="15">
        <v>38</v>
      </c>
      <c r="F38" s="15">
        <v>31</v>
      </c>
      <c r="G38" s="15">
        <v>13</v>
      </c>
      <c r="H38" s="15">
        <v>18</v>
      </c>
      <c r="I38" s="15">
        <v>50</v>
      </c>
      <c r="J38" s="15">
        <v>30</v>
      </c>
      <c r="K38" s="15">
        <v>20</v>
      </c>
      <c r="L38" s="1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12.95" customHeight="1">
      <c r="A39" s="2"/>
      <c r="B39" s="14" t="s">
        <v>39</v>
      </c>
      <c r="C39" s="15">
        <v>390</v>
      </c>
      <c r="D39" s="15">
        <v>201</v>
      </c>
      <c r="E39" s="15">
        <v>189</v>
      </c>
      <c r="F39" s="15">
        <v>63</v>
      </c>
      <c r="G39" s="15">
        <v>32</v>
      </c>
      <c r="H39" s="15">
        <v>31</v>
      </c>
      <c r="I39" s="15">
        <v>327</v>
      </c>
      <c r="J39" s="15">
        <v>169</v>
      </c>
      <c r="K39" s="15">
        <v>158</v>
      </c>
      <c r="L39" s="1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12.95" customHeight="1">
      <c r="A40" s="2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12.95" customHeight="1">
      <c r="A41" s="2"/>
      <c r="B41" s="10" t="s">
        <v>40</v>
      </c>
      <c r="C41" s="11">
        <f>SUM(C42:C57)</f>
        <v>9181</v>
      </c>
      <c r="D41" s="11">
        <f>SUM(D42:D57)</f>
        <v>4746</v>
      </c>
      <c r="E41" s="11">
        <f>SUM(E42:E57)</f>
        <v>4435</v>
      </c>
      <c r="F41" s="11">
        <f>SUM(F42:F57)</f>
        <v>4180</v>
      </c>
      <c r="G41" s="11">
        <f>SUM(G42:G57)</f>
        <v>2198</v>
      </c>
      <c r="H41" s="11">
        <f>SUM(H42:H57)</f>
        <v>1982</v>
      </c>
      <c r="I41" s="11">
        <f>SUM(I42:I57)</f>
        <v>5001</v>
      </c>
      <c r="J41" s="11">
        <f>SUM(J42:J57)</f>
        <v>2548</v>
      </c>
      <c r="K41" s="11">
        <f>SUM(K42:K57)</f>
        <v>2453</v>
      </c>
      <c r="L41" s="1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ht="12.95" customHeight="1">
      <c r="A42" s="2"/>
      <c r="B42" s="14" t="s">
        <v>41</v>
      </c>
      <c r="C42" s="15">
        <v>1523</v>
      </c>
      <c r="D42" s="15">
        <v>811</v>
      </c>
      <c r="E42" s="15">
        <v>712</v>
      </c>
      <c r="F42" s="15">
        <v>1064</v>
      </c>
      <c r="G42" s="15">
        <v>574</v>
      </c>
      <c r="H42" s="15">
        <v>490</v>
      </c>
      <c r="I42" s="15">
        <v>459</v>
      </c>
      <c r="J42" s="15">
        <v>237</v>
      </c>
      <c r="K42" s="15">
        <v>222</v>
      </c>
      <c r="L42" s="12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ht="12.95" customHeight="1">
      <c r="A43" s="2"/>
      <c r="B43" s="14" t="s">
        <v>42</v>
      </c>
      <c r="C43" s="15">
        <v>1098</v>
      </c>
      <c r="D43" s="15">
        <v>598</v>
      </c>
      <c r="E43" s="15">
        <v>500</v>
      </c>
      <c r="F43" s="15">
        <v>327</v>
      </c>
      <c r="G43" s="15">
        <v>186</v>
      </c>
      <c r="H43" s="15">
        <v>141</v>
      </c>
      <c r="I43" s="15">
        <v>771</v>
      </c>
      <c r="J43" s="15">
        <v>412</v>
      </c>
      <c r="K43" s="15">
        <v>359</v>
      </c>
      <c r="L43" s="12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ht="12.95" customHeight="1">
      <c r="A44" s="2"/>
      <c r="B44" s="16" t="s">
        <v>43</v>
      </c>
      <c r="C44" s="15">
        <v>689</v>
      </c>
      <c r="D44" s="15">
        <v>360</v>
      </c>
      <c r="E44" s="15">
        <v>329</v>
      </c>
      <c r="F44" s="15">
        <v>458</v>
      </c>
      <c r="G44" s="15">
        <v>254</v>
      </c>
      <c r="H44" s="15">
        <v>204</v>
      </c>
      <c r="I44" s="15">
        <v>231</v>
      </c>
      <c r="J44" s="15">
        <v>106</v>
      </c>
      <c r="K44" s="15">
        <v>125</v>
      </c>
      <c r="L44" s="12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12.95" customHeight="1">
      <c r="A45" s="2"/>
      <c r="B45" s="14" t="s">
        <v>44</v>
      </c>
      <c r="C45" s="15">
        <v>195</v>
      </c>
      <c r="D45" s="15">
        <v>94</v>
      </c>
      <c r="E45" s="15">
        <v>101</v>
      </c>
      <c r="F45" s="15">
        <v>36</v>
      </c>
      <c r="G45" s="15">
        <v>22</v>
      </c>
      <c r="H45" s="15">
        <v>14</v>
      </c>
      <c r="I45" s="15">
        <v>159</v>
      </c>
      <c r="J45" s="15">
        <v>72</v>
      </c>
      <c r="K45" s="15">
        <v>87</v>
      </c>
      <c r="L45" s="12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12.95" customHeight="1">
      <c r="A46" s="2"/>
      <c r="B46" s="14" t="s">
        <v>45</v>
      </c>
      <c r="C46" s="15">
        <v>249</v>
      </c>
      <c r="D46" s="15">
        <v>122</v>
      </c>
      <c r="E46" s="15">
        <v>127</v>
      </c>
      <c r="F46" s="15">
        <v>57</v>
      </c>
      <c r="G46" s="15">
        <v>25</v>
      </c>
      <c r="H46" s="15">
        <v>32</v>
      </c>
      <c r="I46" s="15">
        <v>192</v>
      </c>
      <c r="J46" s="15">
        <v>97</v>
      </c>
      <c r="K46" s="15">
        <v>95</v>
      </c>
      <c r="L46" s="12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12.95" customHeight="1">
      <c r="A47" s="2"/>
      <c r="B47" s="14" t="s">
        <v>46</v>
      </c>
      <c r="C47" s="15">
        <v>1464</v>
      </c>
      <c r="D47" s="15">
        <v>733</v>
      </c>
      <c r="E47" s="15">
        <v>731</v>
      </c>
      <c r="F47" s="15">
        <v>356</v>
      </c>
      <c r="G47" s="15">
        <v>177</v>
      </c>
      <c r="H47" s="15">
        <v>179</v>
      </c>
      <c r="I47" s="15">
        <v>1108</v>
      </c>
      <c r="J47" s="15">
        <v>556</v>
      </c>
      <c r="K47" s="15">
        <v>552</v>
      </c>
      <c r="L47" s="1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12.95" customHeight="1">
      <c r="A48" s="2"/>
      <c r="B48" s="14" t="s">
        <v>47</v>
      </c>
      <c r="C48" s="15">
        <v>436</v>
      </c>
      <c r="D48" s="15">
        <v>227</v>
      </c>
      <c r="E48" s="15">
        <v>209</v>
      </c>
      <c r="F48" s="15">
        <v>277</v>
      </c>
      <c r="G48" s="15">
        <v>142</v>
      </c>
      <c r="H48" s="15">
        <v>135</v>
      </c>
      <c r="I48" s="15">
        <v>159</v>
      </c>
      <c r="J48" s="15">
        <v>85</v>
      </c>
      <c r="K48" s="15">
        <v>74</v>
      </c>
      <c r="L48" s="12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1:55" ht="12.95" customHeight="1">
      <c r="A49" s="2"/>
      <c r="B49" s="14" t="s">
        <v>48</v>
      </c>
      <c r="C49" s="15">
        <v>1135</v>
      </c>
      <c r="D49" s="15">
        <v>574</v>
      </c>
      <c r="E49" s="15">
        <v>561</v>
      </c>
      <c r="F49" s="15">
        <v>247</v>
      </c>
      <c r="G49" s="15">
        <v>122</v>
      </c>
      <c r="H49" s="15">
        <v>125</v>
      </c>
      <c r="I49" s="15">
        <v>888</v>
      </c>
      <c r="J49" s="15">
        <v>452</v>
      </c>
      <c r="K49" s="15">
        <v>436</v>
      </c>
      <c r="L49" s="12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  <row r="50" spans="1:55" ht="12.95" customHeight="1">
      <c r="A50" s="2"/>
      <c r="B50" s="16" t="s">
        <v>49</v>
      </c>
      <c r="C50" s="15">
        <v>218</v>
      </c>
      <c r="D50" s="15">
        <v>125</v>
      </c>
      <c r="E50" s="15">
        <v>93</v>
      </c>
      <c r="F50" s="15">
        <v>118</v>
      </c>
      <c r="G50" s="15">
        <v>69</v>
      </c>
      <c r="H50" s="15">
        <v>49</v>
      </c>
      <c r="I50" s="15">
        <v>100</v>
      </c>
      <c r="J50" s="15">
        <v>56</v>
      </c>
      <c r="K50" s="15">
        <v>44</v>
      </c>
      <c r="L50" s="12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spans="1:55" ht="12.95" customHeight="1">
      <c r="A51" s="2"/>
      <c r="B51" s="14" t="s">
        <v>50</v>
      </c>
      <c r="C51" s="15">
        <v>136</v>
      </c>
      <c r="D51" s="15">
        <v>67</v>
      </c>
      <c r="E51" s="15">
        <v>69</v>
      </c>
      <c r="F51" s="15">
        <v>122</v>
      </c>
      <c r="G51" s="15">
        <v>59</v>
      </c>
      <c r="H51" s="15">
        <v>63</v>
      </c>
      <c r="I51" s="15">
        <v>14</v>
      </c>
      <c r="J51" s="15">
        <v>8</v>
      </c>
      <c r="K51" s="15">
        <v>6</v>
      </c>
      <c r="L51" s="12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12.95" customHeight="1">
      <c r="A52" s="2"/>
      <c r="B52" s="14" t="s">
        <v>51</v>
      </c>
      <c r="C52" s="15">
        <v>595</v>
      </c>
      <c r="D52" s="15">
        <v>314</v>
      </c>
      <c r="E52" s="15">
        <v>281</v>
      </c>
      <c r="F52" s="15">
        <v>384</v>
      </c>
      <c r="G52" s="15">
        <v>198</v>
      </c>
      <c r="H52" s="15">
        <v>186</v>
      </c>
      <c r="I52" s="15">
        <v>211</v>
      </c>
      <c r="J52" s="15">
        <v>116</v>
      </c>
      <c r="K52" s="15">
        <v>95</v>
      </c>
      <c r="L52" s="12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</row>
    <row r="53" spans="1:55" ht="12.95" customHeight="1">
      <c r="A53" s="2"/>
      <c r="B53" s="14" t="s">
        <v>52</v>
      </c>
      <c r="C53" s="15">
        <v>417</v>
      </c>
      <c r="D53" s="15">
        <v>220</v>
      </c>
      <c r="E53" s="15">
        <v>197</v>
      </c>
      <c r="F53" s="15">
        <v>85</v>
      </c>
      <c r="G53" s="15">
        <v>47</v>
      </c>
      <c r="H53" s="15">
        <v>38</v>
      </c>
      <c r="I53" s="15">
        <v>332</v>
      </c>
      <c r="J53" s="15">
        <v>173</v>
      </c>
      <c r="K53" s="15">
        <v>159</v>
      </c>
      <c r="L53" s="12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</row>
    <row r="54" spans="1:55" ht="12.95" customHeight="1">
      <c r="A54" s="2"/>
      <c r="B54" s="14" t="s">
        <v>53</v>
      </c>
      <c r="C54" s="15">
        <v>200</v>
      </c>
      <c r="D54" s="15">
        <v>101</v>
      </c>
      <c r="E54" s="15">
        <v>99</v>
      </c>
      <c r="F54" s="15">
        <v>94</v>
      </c>
      <c r="G54" s="15">
        <v>48</v>
      </c>
      <c r="H54" s="15">
        <v>46</v>
      </c>
      <c r="I54" s="15">
        <v>106</v>
      </c>
      <c r="J54" s="15">
        <v>53</v>
      </c>
      <c r="K54" s="15">
        <v>53</v>
      </c>
      <c r="L54" s="12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</row>
    <row r="55" spans="1:55" ht="12.95" customHeight="1">
      <c r="A55" s="2"/>
      <c r="B55" s="14" t="s">
        <v>54</v>
      </c>
      <c r="C55" s="15">
        <v>201</v>
      </c>
      <c r="D55" s="15">
        <v>85</v>
      </c>
      <c r="E55" s="15">
        <v>116</v>
      </c>
      <c r="F55" s="15">
        <v>33</v>
      </c>
      <c r="G55" s="15">
        <v>13</v>
      </c>
      <c r="H55" s="15">
        <v>20</v>
      </c>
      <c r="I55" s="15">
        <v>168</v>
      </c>
      <c r="J55" s="15">
        <v>72</v>
      </c>
      <c r="K55" s="15">
        <v>96</v>
      </c>
      <c r="L55" s="12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 ht="12.95" customHeight="1">
      <c r="A56" s="2"/>
      <c r="B56" s="14" t="s">
        <v>55</v>
      </c>
      <c r="C56" s="15">
        <v>148</v>
      </c>
      <c r="D56" s="15">
        <v>71</v>
      </c>
      <c r="E56" s="15">
        <v>77</v>
      </c>
      <c r="F56" s="15">
        <v>45</v>
      </c>
      <c r="G56" s="15">
        <v>18</v>
      </c>
      <c r="H56" s="15">
        <v>27</v>
      </c>
      <c r="I56" s="15">
        <v>103</v>
      </c>
      <c r="J56" s="15">
        <v>53</v>
      </c>
      <c r="K56" s="15">
        <v>50</v>
      </c>
      <c r="L56" s="12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spans="1:55" ht="12.95" customHeight="1">
      <c r="A57" s="2"/>
      <c r="B57" s="14" t="s">
        <v>56</v>
      </c>
      <c r="C57" s="15">
        <v>477</v>
      </c>
      <c r="D57" s="15">
        <v>244</v>
      </c>
      <c r="E57" s="15">
        <v>233</v>
      </c>
      <c r="F57" s="15">
        <v>477</v>
      </c>
      <c r="G57" s="15">
        <v>244</v>
      </c>
      <c r="H57" s="15">
        <v>233</v>
      </c>
      <c r="I57" s="15">
        <v>0</v>
      </c>
      <c r="J57" s="15">
        <v>0</v>
      </c>
      <c r="K57" s="15">
        <v>0</v>
      </c>
      <c r="L57" s="12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spans="1:55" ht="12.95" customHeight="1">
      <c r="A58" s="2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2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1:55" ht="12.95" customHeight="1">
      <c r="A59" s="2"/>
      <c r="B59" s="10" t="s">
        <v>57</v>
      </c>
      <c r="C59" s="17">
        <f>SUM(C60:C92)</f>
        <v>3398</v>
      </c>
      <c r="D59" s="17">
        <f>SUM(D60:D92)</f>
        <v>1795</v>
      </c>
      <c r="E59" s="17">
        <f>SUM(E60:E92)</f>
        <v>1603</v>
      </c>
      <c r="F59" s="17">
        <f>SUM(F60:F92)</f>
        <v>1561</v>
      </c>
      <c r="G59" s="17">
        <f>SUM(G60:G92)</f>
        <v>834</v>
      </c>
      <c r="H59" s="17">
        <f>SUM(H60:H92)</f>
        <v>727</v>
      </c>
      <c r="I59" s="17">
        <f>SUM(I60:I92)</f>
        <v>1837</v>
      </c>
      <c r="J59" s="17">
        <f>SUM(J60:J92)</f>
        <v>961</v>
      </c>
      <c r="K59" s="17">
        <f>SUM(K60:K92)</f>
        <v>876</v>
      </c>
      <c r="L59" s="12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spans="1:55" ht="12.95" customHeight="1">
      <c r="A60" s="2"/>
      <c r="B60" s="14" t="s">
        <v>58</v>
      </c>
      <c r="C60" s="15">
        <v>539</v>
      </c>
      <c r="D60" s="15">
        <v>291</v>
      </c>
      <c r="E60" s="15">
        <v>248</v>
      </c>
      <c r="F60" s="15">
        <v>352</v>
      </c>
      <c r="G60" s="15">
        <v>183</v>
      </c>
      <c r="H60" s="15">
        <v>169</v>
      </c>
      <c r="I60" s="15">
        <v>187</v>
      </c>
      <c r="J60" s="15">
        <v>108</v>
      </c>
      <c r="K60" s="15">
        <v>79</v>
      </c>
      <c r="L60" s="12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 ht="12.95" customHeight="1">
      <c r="A61" s="2"/>
      <c r="B61" s="14" t="s">
        <v>59</v>
      </c>
      <c r="C61" s="15">
        <v>174</v>
      </c>
      <c r="D61" s="15">
        <v>92</v>
      </c>
      <c r="E61" s="15">
        <v>82</v>
      </c>
      <c r="F61" s="15">
        <v>72</v>
      </c>
      <c r="G61" s="15">
        <v>41</v>
      </c>
      <c r="H61" s="15">
        <v>31</v>
      </c>
      <c r="I61" s="15">
        <v>102</v>
      </c>
      <c r="J61" s="15">
        <v>51</v>
      </c>
      <c r="K61" s="15">
        <v>51</v>
      </c>
      <c r="L61" s="12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spans="1:55" ht="12.95" customHeight="1">
      <c r="A62" s="2"/>
      <c r="B62" s="14" t="s">
        <v>60</v>
      </c>
      <c r="C62" s="15">
        <v>41</v>
      </c>
      <c r="D62" s="15">
        <v>25</v>
      </c>
      <c r="E62" s="15">
        <v>16</v>
      </c>
      <c r="F62" s="15">
        <v>15</v>
      </c>
      <c r="G62" s="15">
        <v>10</v>
      </c>
      <c r="H62" s="15">
        <v>5</v>
      </c>
      <c r="I62" s="15">
        <v>26</v>
      </c>
      <c r="J62" s="15">
        <v>15</v>
      </c>
      <c r="K62" s="15">
        <v>11</v>
      </c>
      <c r="L62" s="12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spans="1:55" ht="12.95" customHeight="1">
      <c r="A63" s="2"/>
      <c r="B63" s="14" t="s">
        <v>61</v>
      </c>
      <c r="C63" s="15">
        <v>17</v>
      </c>
      <c r="D63" s="15">
        <v>11</v>
      </c>
      <c r="E63" s="15">
        <v>6</v>
      </c>
      <c r="F63" s="15">
        <v>15</v>
      </c>
      <c r="G63" s="15">
        <v>10</v>
      </c>
      <c r="H63" s="15">
        <v>5</v>
      </c>
      <c r="I63" s="15">
        <v>2</v>
      </c>
      <c r="J63" s="15">
        <v>1</v>
      </c>
      <c r="K63" s="15">
        <v>1</v>
      </c>
      <c r="L63" s="12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spans="1:55" ht="12.95" customHeight="1">
      <c r="A64" s="2"/>
      <c r="B64" s="14" t="s">
        <v>62</v>
      </c>
      <c r="C64" s="15">
        <v>45</v>
      </c>
      <c r="D64" s="15">
        <v>22</v>
      </c>
      <c r="E64" s="15">
        <v>23</v>
      </c>
      <c r="F64" s="15">
        <v>22</v>
      </c>
      <c r="G64" s="15">
        <v>13</v>
      </c>
      <c r="H64" s="15">
        <v>9</v>
      </c>
      <c r="I64" s="15">
        <v>23</v>
      </c>
      <c r="J64" s="15">
        <v>9</v>
      </c>
      <c r="K64" s="15">
        <v>14</v>
      </c>
      <c r="L64" s="12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5" spans="1:55" ht="12.95" customHeight="1">
      <c r="A65" s="2"/>
      <c r="B65" s="14" t="s">
        <v>63</v>
      </c>
      <c r="C65" s="15">
        <v>97</v>
      </c>
      <c r="D65" s="15">
        <v>49</v>
      </c>
      <c r="E65" s="15">
        <v>48</v>
      </c>
      <c r="F65" s="15">
        <v>39</v>
      </c>
      <c r="G65" s="15">
        <v>20</v>
      </c>
      <c r="H65" s="15">
        <v>19</v>
      </c>
      <c r="I65" s="15">
        <v>58</v>
      </c>
      <c r="J65" s="15">
        <v>29</v>
      </c>
      <c r="K65" s="15">
        <v>29</v>
      </c>
      <c r="L65" s="12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spans="1:55" ht="12.95" customHeight="1">
      <c r="A66" s="2"/>
      <c r="B66" s="14" t="s">
        <v>64</v>
      </c>
      <c r="C66" s="15">
        <v>64</v>
      </c>
      <c r="D66" s="15">
        <v>34</v>
      </c>
      <c r="E66" s="15">
        <v>30</v>
      </c>
      <c r="F66" s="15">
        <v>18</v>
      </c>
      <c r="G66" s="15">
        <v>10</v>
      </c>
      <c r="H66" s="15">
        <v>8</v>
      </c>
      <c r="I66" s="15">
        <v>46</v>
      </c>
      <c r="J66" s="15">
        <v>24</v>
      </c>
      <c r="K66" s="15">
        <v>22</v>
      </c>
      <c r="L66" s="12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spans="1:55" ht="12.95" customHeight="1">
      <c r="A67" s="2"/>
      <c r="B67" s="14" t="s">
        <v>65</v>
      </c>
      <c r="C67" s="15">
        <v>93</v>
      </c>
      <c r="D67" s="15">
        <v>51</v>
      </c>
      <c r="E67" s="15">
        <v>42</v>
      </c>
      <c r="F67" s="15">
        <v>72</v>
      </c>
      <c r="G67" s="15">
        <v>37</v>
      </c>
      <c r="H67" s="15">
        <v>35</v>
      </c>
      <c r="I67" s="15">
        <v>21</v>
      </c>
      <c r="J67" s="15">
        <v>14</v>
      </c>
      <c r="K67" s="15">
        <v>7</v>
      </c>
      <c r="L67" s="12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</row>
    <row r="68" spans="1:55" ht="12.95" customHeight="1">
      <c r="A68" s="2"/>
      <c r="B68" s="14" t="s">
        <v>66</v>
      </c>
      <c r="C68" s="15">
        <v>107</v>
      </c>
      <c r="D68" s="15">
        <v>58</v>
      </c>
      <c r="E68" s="15">
        <v>49</v>
      </c>
      <c r="F68" s="15">
        <v>43</v>
      </c>
      <c r="G68" s="15">
        <v>22</v>
      </c>
      <c r="H68" s="15">
        <v>21</v>
      </c>
      <c r="I68" s="15">
        <v>64</v>
      </c>
      <c r="J68" s="15">
        <v>36</v>
      </c>
      <c r="K68" s="15">
        <v>28</v>
      </c>
      <c r="L68" s="12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spans="1:55" ht="12.95" customHeight="1">
      <c r="A69" s="2"/>
      <c r="B69" s="14" t="s">
        <v>67</v>
      </c>
      <c r="C69" s="15">
        <v>36</v>
      </c>
      <c r="D69" s="15">
        <v>19</v>
      </c>
      <c r="E69" s="15">
        <v>17</v>
      </c>
      <c r="F69" s="15">
        <v>9</v>
      </c>
      <c r="G69" s="15">
        <v>7</v>
      </c>
      <c r="H69" s="15">
        <v>2</v>
      </c>
      <c r="I69" s="15">
        <v>27</v>
      </c>
      <c r="J69" s="15">
        <v>12</v>
      </c>
      <c r="K69" s="15">
        <v>15</v>
      </c>
      <c r="L69" s="12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1:55" ht="12.95" customHeight="1">
      <c r="A70" s="2"/>
      <c r="B70" s="14" t="s">
        <v>68</v>
      </c>
      <c r="C70" s="15">
        <v>153</v>
      </c>
      <c r="D70" s="15">
        <v>87</v>
      </c>
      <c r="E70" s="15">
        <v>66</v>
      </c>
      <c r="F70" s="15">
        <v>61</v>
      </c>
      <c r="G70" s="15">
        <v>36</v>
      </c>
      <c r="H70" s="15">
        <v>25</v>
      </c>
      <c r="I70" s="15">
        <v>92</v>
      </c>
      <c r="J70" s="15">
        <v>51</v>
      </c>
      <c r="K70" s="15">
        <v>41</v>
      </c>
      <c r="L70" s="12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1:55" ht="12.95" customHeight="1">
      <c r="A71" s="2"/>
      <c r="B71" s="14" t="s">
        <v>69</v>
      </c>
      <c r="C71" s="15">
        <v>64</v>
      </c>
      <c r="D71" s="15">
        <v>29</v>
      </c>
      <c r="E71" s="15">
        <v>35</v>
      </c>
      <c r="F71" s="15">
        <v>32</v>
      </c>
      <c r="G71" s="15">
        <v>14</v>
      </c>
      <c r="H71" s="15">
        <v>18</v>
      </c>
      <c r="I71" s="15">
        <v>32</v>
      </c>
      <c r="J71" s="15">
        <v>15</v>
      </c>
      <c r="K71" s="15">
        <v>17</v>
      </c>
      <c r="L71" s="12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1:55" ht="12.95" customHeight="1">
      <c r="A72" s="2"/>
      <c r="B72" s="14" t="s">
        <v>70</v>
      </c>
      <c r="C72" s="15">
        <v>252</v>
      </c>
      <c r="D72" s="15">
        <v>131</v>
      </c>
      <c r="E72" s="15">
        <v>121</v>
      </c>
      <c r="F72" s="15">
        <v>99</v>
      </c>
      <c r="G72" s="15">
        <v>51</v>
      </c>
      <c r="H72" s="15">
        <v>48</v>
      </c>
      <c r="I72" s="15">
        <v>153</v>
      </c>
      <c r="J72" s="15">
        <v>80</v>
      </c>
      <c r="K72" s="15">
        <v>73</v>
      </c>
      <c r="L72" s="12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1:55" ht="12.95" customHeight="1">
      <c r="A73" s="2"/>
      <c r="B73" s="14" t="s">
        <v>71</v>
      </c>
      <c r="C73" s="15">
        <v>141</v>
      </c>
      <c r="D73" s="15">
        <v>77</v>
      </c>
      <c r="E73" s="15">
        <v>64</v>
      </c>
      <c r="F73" s="15">
        <v>118</v>
      </c>
      <c r="G73" s="15">
        <v>65</v>
      </c>
      <c r="H73" s="15">
        <v>53</v>
      </c>
      <c r="I73" s="15">
        <v>23</v>
      </c>
      <c r="J73" s="15">
        <v>12</v>
      </c>
      <c r="K73" s="15">
        <v>11</v>
      </c>
      <c r="L73" s="12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1:55" ht="12.95" customHeight="1">
      <c r="A74" s="2"/>
      <c r="B74" s="14" t="s">
        <v>72</v>
      </c>
      <c r="C74" s="15">
        <v>26</v>
      </c>
      <c r="D74" s="15">
        <v>13</v>
      </c>
      <c r="E74" s="15">
        <v>13</v>
      </c>
      <c r="F74" s="15">
        <v>15</v>
      </c>
      <c r="G74" s="15">
        <v>7</v>
      </c>
      <c r="H74" s="15">
        <v>8</v>
      </c>
      <c r="I74" s="15">
        <v>11</v>
      </c>
      <c r="J74" s="15">
        <v>6</v>
      </c>
      <c r="K74" s="15">
        <v>5</v>
      </c>
      <c r="L74" s="12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55" ht="12.95" customHeight="1">
      <c r="A75" s="2"/>
      <c r="B75" s="14" t="s">
        <v>73</v>
      </c>
      <c r="C75" s="15">
        <v>23</v>
      </c>
      <c r="D75" s="15">
        <v>14</v>
      </c>
      <c r="E75" s="15">
        <v>9</v>
      </c>
      <c r="F75" s="15">
        <v>22</v>
      </c>
      <c r="G75" s="15">
        <v>14</v>
      </c>
      <c r="H75" s="15">
        <v>8</v>
      </c>
      <c r="I75" s="15">
        <v>1</v>
      </c>
      <c r="J75" s="15">
        <v>0</v>
      </c>
      <c r="K75" s="15">
        <v>1</v>
      </c>
      <c r="L75" s="12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55" ht="12.95" customHeight="1">
      <c r="A76" s="2"/>
      <c r="B76" s="14" t="s">
        <v>74</v>
      </c>
      <c r="C76" s="15">
        <v>59</v>
      </c>
      <c r="D76" s="15">
        <v>31</v>
      </c>
      <c r="E76" s="15">
        <v>28</v>
      </c>
      <c r="F76" s="15">
        <v>19</v>
      </c>
      <c r="G76" s="15">
        <v>10</v>
      </c>
      <c r="H76" s="15">
        <v>9</v>
      </c>
      <c r="I76" s="15">
        <v>40</v>
      </c>
      <c r="J76" s="15">
        <v>21</v>
      </c>
      <c r="K76" s="15">
        <v>19</v>
      </c>
      <c r="L76" s="12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spans="1:55" ht="12.95" customHeight="1">
      <c r="A77" s="2"/>
      <c r="B77" s="14" t="s">
        <v>75</v>
      </c>
      <c r="C77" s="15">
        <v>564</v>
      </c>
      <c r="D77" s="15">
        <v>299</v>
      </c>
      <c r="E77" s="15">
        <v>265</v>
      </c>
      <c r="F77" s="15">
        <v>213</v>
      </c>
      <c r="G77" s="15">
        <v>108</v>
      </c>
      <c r="H77" s="15">
        <v>105</v>
      </c>
      <c r="I77" s="15">
        <v>351</v>
      </c>
      <c r="J77" s="15">
        <v>191</v>
      </c>
      <c r="K77" s="15">
        <v>160</v>
      </c>
      <c r="L77" s="12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spans="1:55" ht="12.95" customHeight="1">
      <c r="A78" s="2"/>
      <c r="B78" s="14" t="s">
        <v>76</v>
      </c>
      <c r="C78" s="15">
        <v>34</v>
      </c>
      <c r="D78" s="15">
        <v>18</v>
      </c>
      <c r="E78" s="15">
        <v>16</v>
      </c>
      <c r="F78" s="15">
        <v>9</v>
      </c>
      <c r="G78" s="15">
        <v>3</v>
      </c>
      <c r="H78" s="15">
        <v>6</v>
      </c>
      <c r="I78" s="15">
        <v>25</v>
      </c>
      <c r="J78" s="15">
        <v>15</v>
      </c>
      <c r="K78" s="15">
        <v>10</v>
      </c>
      <c r="L78" s="12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 ht="12.95" customHeight="1">
      <c r="A79" s="2"/>
      <c r="B79" s="14" t="s">
        <v>77</v>
      </c>
      <c r="C79" s="15">
        <v>50</v>
      </c>
      <c r="D79" s="15">
        <v>24</v>
      </c>
      <c r="E79" s="15">
        <v>26</v>
      </c>
      <c r="F79" s="15">
        <v>15</v>
      </c>
      <c r="G79" s="15">
        <v>5</v>
      </c>
      <c r="H79" s="15">
        <v>10</v>
      </c>
      <c r="I79" s="15">
        <v>35</v>
      </c>
      <c r="J79" s="15">
        <v>19</v>
      </c>
      <c r="K79" s="15">
        <v>16</v>
      </c>
      <c r="L79" s="12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 ht="12.95" customHeight="1">
      <c r="A80" s="2"/>
      <c r="B80" s="14" t="s">
        <v>78</v>
      </c>
      <c r="C80" s="15">
        <v>32</v>
      </c>
      <c r="D80" s="15">
        <v>21</v>
      </c>
      <c r="E80" s="15">
        <v>11</v>
      </c>
      <c r="F80" s="15">
        <v>24</v>
      </c>
      <c r="G80" s="15">
        <v>18</v>
      </c>
      <c r="H80" s="15">
        <v>6</v>
      </c>
      <c r="I80" s="15">
        <v>8</v>
      </c>
      <c r="J80" s="15">
        <v>3</v>
      </c>
      <c r="K80" s="15">
        <v>5</v>
      </c>
      <c r="L80" s="12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 ht="12.95" customHeight="1">
      <c r="A81" s="2"/>
      <c r="B81" s="14" t="s">
        <v>79</v>
      </c>
      <c r="C81" s="15">
        <v>39</v>
      </c>
      <c r="D81" s="15">
        <v>18</v>
      </c>
      <c r="E81" s="15">
        <v>21</v>
      </c>
      <c r="F81" s="15">
        <v>12</v>
      </c>
      <c r="G81" s="15">
        <v>6</v>
      </c>
      <c r="H81" s="15">
        <v>6</v>
      </c>
      <c r="I81" s="15">
        <v>27</v>
      </c>
      <c r="J81" s="15">
        <v>12</v>
      </c>
      <c r="K81" s="15">
        <v>15</v>
      </c>
      <c r="L81" s="12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 ht="12.95" customHeight="1">
      <c r="A82" s="2"/>
      <c r="B82" s="14" t="s">
        <v>80</v>
      </c>
      <c r="C82" s="15">
        <v>13</v>
      </c>
      <c r="D82" s="15">
        <v>10</v>
      </c>
      <c r="E82" s="15">
        <v>3</v>
      </c>
      <c r="F82" s="15">
        <v>12</v>
      </c>
      <c r="G82" s="15">
        <v>9</v>
      </c>
      <c r="H82" s="15">
        <v>3</v>
      </c>
      <c r="I82" s="15">
        <v>1</v>
      </c>
      <c r="J82" s="15">
        <v>1</v>
      </c>
      <c r="K82" s="15">
        <v>0</v>
      </c>
      <c r="L82" s="12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 ht="12.95" customHeight="1">
      <c r="A83" s="2"/>
      <c r="B83" s="14" t="s">
        <v>81</v>
      </c>
      <c r="C83" s="15">
        <v>47</v>
      </c>
      <c r="D83" s="15">
        <v>18</v>
      </c>
      <c r="E83" s="15">
        <v>29</v>
      </c>
      <c r="F83" s="15">
        <v>14</v>
      </c>
      <c r="G83" s="15">
        <v>5</v>
      </c>
      <c r="H83" s="15">
        <v>9</v>
      </c>
      <c r="I83" s="15">
        <v>33</v>
      </c>
      <c r="J83" s="15">
        <v>13</v>
      </c>
      <c r="K83" s="15">
        <v>20</v>
      </c>
      <c r="L83" s="12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1:55" ht="12.95" customHeight="1">
      <c r="A84" s="2"/>
      <c r="B84" s="14" t="s">
        <v>82</v>
      </c>
      <c r="C84" s="15">
        <v>6</v>
      </c>
      <c r="D84" s="15">
        <v>1</v>
      </c>
      <c r="E84" s="15">
        <v>5</v>
      </c>
      <c r="F84" s="15">
        <v>4</v>
      </c>
      <c r="G84" s="15">
        <v>1</v>
      </c>
      <c r="H84" s="15">
        <v>3</v>
      </c>
      <c r="I84" s="15">
        <v>2</v>
      </c>
      <c r="J84" s="15">
        <v>0</v>
      </c>
      <c r="K84" s="15">
        <v>2</v>
      </c>
      <c r="L84" s="12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spans="1:55" ht="12.95" customHeight="1">
      <c r="A85" s="2"/>
      <c r="B85" s="14" t="s">
        <v>83</v>
      </c>
      <c r="C85" s="15">
        <v>60</v>
      </c>
      <c r="D85" s="15">
        <v>33</v>
      </c>
      <c r="E85" s="15">
        <v>27</v>
      </c>
      <c r="F85" s="15">
        <v>22</v>
      </c>
      <c r="G85" s="15">
        <v>11</v>
      </c>
      <c r="H85" s="15">
        <v>11</v>
      </c>
      <c r="I85" s="15">
        <v>38</v>
      </c>
      <c r="J85" s="15">
        <v>22</v>
      </c>
      <c r="K85" s="15">
        <v>16</v>
      </c>
      <c r="L85" s="12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spans="1:55" ht="12.95" customHeight="1">
      <c r="A86" s="2"/>
      <c r="B86" s="14" t="s">
        <v>84</v>
      </c>
      <c r="C86" s="15">
        <v>155</v>
      </c>
      <c r="D86" s="15">
        <v>86</v>
      </c>
      <c r="E86" s="15">
        <v>69</v>
      </c>
      <c r="F86" s="15">
        <v>43</v>
      </c>
      <c r="G86" s="15">
        <v>26</v>
      </c>
      <c r="H86" s="15">
        <v>17</v>
      </c>
      <c r="I86" s="15">
        <v>112</v>
      </c>
      <c r="J86" s="15">
        <v>60</v>
      </c>
      <c r="K86" s="15">
        <v>52</v>
      </c>
      <c r="L86" s="12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spans="1:55" ht="12.95" customHeight="1">
      <c r="A87" s="2"/>
      <c r="B87" s="14" t="s">
        <v>85</v>
      </c>
      <c r="C87" s="15">
        <v>8</v>
      </c>
      <c r="D87" s="15">
        <v>4</v>
      </c>
      <c r="E87" s="15">
        <v>4</v>
      </c>
      <c r="F87" s="15">
        <v>3</v>
      </c>
      <c r="G87" s="15">
        <v>2</v>
      </c>
      <c r="H87" s="15">
        <v>1</v>
      </c>
      <c r="I87" s="15">
        <v>5</v>
      </c>
      <c r="J87" s="15">
        <v>2</v>
      </c>
      <c r="K87" s="15">
        <v>3</v>
      </c>
      <c r="L87" s="12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</row>
    <row r="88" spans="1:55" ht="12.95" customHeight="1">
      <c r="A88" s="2"/>
      <c r="B88" s="14" t="s">
        <v>86</v>
      </c>
      <c r="C88" s="15">
        <v>14</v>
      </c>
      <c r="D88" s="15">
        <v>9</v>
      </c>
      <c r="E88" s="15">
        <v>5</v>
      </c>
      <c r="F88" s="15">
        <v>5</v>
      </c>
      <c r="G88" s="15">
        <v>4</v>
      </c>
      <c r="H88" s="15">
        <v>1</v>
      </c>
      <c r="I88" s="15">
        <v>9</v>
      </c>
      <c r="J88" s="15">
        <v>5</v>
      </c>
      <c r="K88" s="15">
        <v>4</v>
      </c>
      <c r="L88" s="12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spans="1:55" ht="12.95" customHeight="1">
      <c r="A89" s="2"/>
      <c r="B89" s="14" t="s">
        <v>87</v>
      </c>
      <c r="C89" s="15">
        <v>36</v>
      </c>
      <c r="D89" s="15">
        <v>16</v>
      </c>
      <c r="E89" s="15">
        <v>20</v>
      </c>
      <c r="F89" s="15">
        <v>25</v>
      </c>
      <c r="G89" s="15">
        <v>13</v>
      </c>
      <c r="H89" s="15">
        <v>12</v>
      </c>
      <c r="I89" s="15">
        <v>11</v>
      </c>
      <c r="J89" s="15">
        <v>3</v>
      </c>
      <c r="K89" s="15">
        <v>8</v>
      </c>
      <c r="L89" s="12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spans="1:55" ht="12.95" customHeight="1">
      <c r="A90" s="2"/>
      <c r="B90" s="14" t="s">
        <v>88</v>
      </c>
      <c r="C90" s="15">
        <v>58</v>
      </c>
      <c r="D90" s="15">
        <v>31</v>
      </c>
      <c r="E90" s="15">
        <v>27</v>
      </c>
      <c r="F90" s="15">
        <v>37</v>
      </c>
      <c r="G90" s="15">
        <v>20</v>
      </c>
      <c r="H90" s="15">
        <v>17</v>
      </c>
      <c r="I90" s="15">
        <v>21</v>
      </c>
      <c r="J90" s="15">
        <v>11</v>
      </c>
      <c r="K90" s="15">
        <v>10</v>
      </c>
      <c r="L90" s="12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spans="1:55" ht="12.95" customHeight="1">
      <c r="A91" s="2"/>
      <c r="B91" s="14" t="s">
        <v>89</v>
      </c>
      <c r="C91" s="15">
        <v>76</v>
      </c>
      <c r="D91" s="15">
        <v>36</v>
      </c>
      <c r="E91" s="15">
        <v>40</v>
      </c>
      <c r="F91" s="15">
        <v>35</v>
      </c>
      <c r="G91" s="15">
        <v>16</v>
      </c>
      <c r="H91" s="15">
        <v>19</v>
      </c>
      <c r="I91" s="15">
        <v>41</v>
      </c>
      <c r="J91" s="15">
        <v>20</v>
      </c>
      <c r="K91" s="15">
        <v>21</v>
      </c>
      <c r="L91" s="12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spans="1:55" ht="12.95" customHeight="1">
      <c r="A92" s="2"/>
      <c r="B92" s="14" t="s">
        <v>90</v>
      </c>
      <c r="C92" s="15">
        <v>275</v>
      </c>
      <c r="D92" s="15">
        <v>137</v>
      </c>
      <c r="E92" s="15">
        <v>138</v>
      </c>
      <c r="F92" s="15">
        <v>65</v>
      </c>
      <c r="G92" s="15">
        <v>37</v>
      </c>
      <c r="H92" s="15">
        <v>28</v>
      </c>
      <c r="I92" s="15">
        <v>210</v>
      </c>
      <c r="J92" s="15">
        <v>100</v>
      </c>
      <c r="K92" s="15">
        <v>110</v>
      </c>
      <c r="L92" s="12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spans="1:55" ht="12.95" customHeight="1">
      <c r="A93" s="2"/>
      <c r="B93" s="8"/>
      <c r="C93" s="15" t="s">
        <v>12</v>
      </c>
      <c r="D93" s="13"/>
      <c r="E93" s="13"/>
      <c r="F93" s="13"/>
      <c r="G93" s="13"/>
      <c r="H93" s="13"/>
      <c r="I93" s="13"/>
      <c r="J93" s="13"/>
      <c r="K93" s="13"/>
      <c r="L93" s="12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spans="1:55" ht="12.95" customHeight="1">
      <c r="A94" s="2"/>
      <c r="B94" s="10" t="s">
        <v>91</v>
      </c>
      <c r="C94" s="11">
        <f>SUM(C95:C116)</f>
        <v>12048</v>
      </c>
      <c r="D94" s="11">
        <f>SUM(D95:D116)</f>
        <v>6231</v>
      </c>
      <c r="E94" s="11">
        <f>SUM(E95:E116)</f>
        <v>5817</v>
      </c>
      <c r="F94" s="11">
        <f>SUM(F95:F116)</f>
        <v>7684</v>
      </c>
      <c r="G94" s="11">
        <f>SUM(G95:G116)</f>
        <v>4011</v>
      </c>
      <c r="H94" s="11">
        <f>SUM(H95:H116)</f>
        <v>3673</v>
      </c>
      <c r="I94" s="11">
        <f>SUM(I95:I116)</f>
        <v>4364</v>
      </c>
      <c r="J94" s="11">
        <f>SUM(J95:J116)</f>
        <v>2220</v>
      </c>
      <c r="K94" s="11">
        <f>SUM(K95:K116)</f>
        <v>2144</v>
      </c>
      <c r="L94" s="12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spans="1:55" ht="12.95" customHeight="1">
      <c r="A95" s="2"/>
      <c r="B95" s="14" t="s">
        <v>92</v>
      </c>
      <c r="C95" s="15">
        <v>1919</v>
      </c>
      <c r="D95" s="15">
        <v>978</v>
      </c>
      <c r="E95" s="15">
        <v>941</v>
      </c>
      <c r="F95" s="15">
        <v>1699</v>
      </c>
      <c r="G95" s="15">
        <v>883</v>
      </c>
      <c r="H95" s="15">
        <v>816</v>
      </c>
      <c r="I95" s="15">
        <v>220</v>
      </c>
      <c r="J95" s="15">
        <v>95</v>
      </c>
      <c r="K95" s="15">
        <v>125</v>
      </c>
      <c r="L95" s="12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1:55" ht="12.95" customHeight="1">
      <c r="A96" s="2"/>
      <c r="B96" s="14" t="s">
        <v>93</v>
      </c>
      <c r="C96" s="15">
        <v>290</v>
      </c>
      <c r="D96" s="15">
        <v>150</v>
      </c>
      <c r="E96" s="15">
        <v>140</v>
      </c>
      <c r="F96" s="15">
        <v>290</v>
      </c>
      <c r="G96" s="15">
        <v>150</v>
      </c>
      <c r="H96" s="15">
        <v>140</v>
      </c>
      <c r="I96" s="15">
        <v>0</v>
      </c>
      <c r="J96" s="15">
        <v>0</v>
      </c>
      <c r="K96" s="15">
        <v>0</v>
      </c>
      <c r="L96" s="12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1:55" ht="12.95" customHeight="1">
      <c r="A97" s="2"/>
      <c r="B97" s="14" t="s">
        <v>94</v>
      </c>
      <c r="C97" s="15">
        <v>1121</v>
      </c>
      <c r="D97" s="15">
        <v>573</v>
      </c>
      <c r="E97" s="15">
        <v>548</v>
      </c>
      <c r="F97" s="15">
        <v>518</v>
      </c>
      <c r="G97" s="15">
        <v>278</v>
      </c>
      <c r="H97" s="15">
        <v>240</v>
      </c>
      <c r="I97" s="15">
        <v>603</v>
      </c>
      <c r="J97" s="15">
        <v>295</v>
      </c>
      <c r="K97" s="15">
        <v>308</v>
      </c>
      <c r="L97" s="12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1:55" ht="12.95" customHeight="1">
      <c r="A98" s="2"/>
      <c r="B98" s="14" t="s">
        <v>95</v>
      </c>
      <c r="C98" s="15">
        <v>1840</v>
      </c>
      <c r="D98" s="15">
        <v>927</v>
      </c>
      <c r="E98" s="15">
        <v>913</v>
      </c>
      <c r="F98" s="15">
        <v>1807</v>
      </c>
      <c r="G98" s="15">
        <v>909</v>
      </c>
      <c r="H98" s="15">
        <v>898</v>
      </c>
      <c r="I98" s="15">
        <v>33</v>
      </c>
      <c r="J98" s="15">
        <v>18</v>
      </c>
      <c r="K98" s="15">
        <v>15</v>
      </c>
      <c r="L98" s="12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spans="1:55" ht="12.95" customHeight="1">
      <c r="A99" s="2"/>
      <c r="B99" s="14" t="s">
        <v>96</v>
      </c>
      <c r="C99" s="15">
        <v>268</v>
      </c>
      <c r="D99" s="15">
        <v>140</v>
      </c>
      <c r="E99" s="15">
        <v>128</v>
      </c>
      <c r="F99" s="15">
        <v>113</v>
      </c>
      <c r="G99" s="15">
        <v>57</v>
      </c>
      <c r="H99" s="15">
        <v>56</v>
      </c>
      <c r="I99" s="15">
        <v>155</v>
      </c>
      <c r="J99" s="15">
        <v>83</v>
      </c>
      <c r="K99" s="15">
        <v>72</v>
      </c>
      <c r="L99" s="12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spans="1:55" ht="12.95" customHeight="1">
      <c r="A100" s="2"/>
      <c r="B100" s="14" t="s">
        <v>97</v>
      </c>
      <c r="C100" s="15">
        <v>220</v>
      </c>
      <c r="D100" s="15">
        <v>122</v>
      </c>
      <c r="E100" s="15">
        <v>98</v>
      </c>
      <c r="F100" s="15">
        <v>49</v>
      </c>
      <c r="G100" s="15">
        <v>30</v>
      </c>
      <c r="H100" s="15">
        <v>19</v>
      </c>
      <c r="I100" s="15">
        <v>171</v>
      </c>
      <c r="J100" s="15">
        <v>92</v>
      </c>
      <c r="K100" s="15">
        <v>79</v>
      </c>
      <c r="L100" s="12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1:55" ht="12.95" customHeight="1">
      <c r="A101" s="2"/>
      <c r="B101" s="14" t="s">
        <v>98</v>
      </c>
      <c r="C101" s="15">
        <v>192</v>
      </c>
      <c r="D101" s="15">
        <v>95</v>
      </c>
      <c r="E101" s="15">
        <v>97</v>
      </c>
      <c r="F101" s="15">
        <v>74</v>
      </c>
      <c r="G101" s="15">
        <v>40</v>
      </c>
      <c r="H101" s="15">
        <v>34</v>
      </c>
      <c r="I101" s="15">
        <v>118</v>
      </c>
      <c r="J101" s="15">
        <v>55</v>
      </c>
      <c r="K101" s="15">
        <v>63</v>
      </c>
      <c r="L101" s="12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spans="1:55" ht="12.95" customHeight="1">
      <c r="A102" s="2"/>
      <c r="B102" s="14" t="s">
        <v>99</v>
      </c>
      <c r="C102" s="15">
        <v>280</v>
      </c>
      <c r="D102" s="15">
        <v>139</v>
      </c>
      <c r="E102" s="15">
        <v>141</v>
      </c>
      <c r="F102" s="15">
        <v>242</v>
      </c>
      <c r="G102" s="15">
        <v>121</v>
      </c>
      <c r="H102" s="15">
        <v>121</v>
      </c>
      <c r="I102" s="15">
        <v>38</v>
      </c>
      <c r="J102" s="15">
        <v>18</v>
      </c>
      <c r="K102" s="15">
        <v>20</v>
      </c>
      <c r="L102" s="12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spans="1:55" ht="12.95" customHeight="1">
      <c r="A103" s="2"/>
      <c r="B103" s="14" t="s">
        <v>100</v>
      </c>
      <c r="C103" s="15">
        <v>130</v>
      </c>
      <c r="D103" s="15">
        <v>72</v>
      </c>
      <c r="E103" s="15">
        <v>58</v>
      </c>
      <c r="F103" s="15">
        <v>57</v>
      </c>
      <c r="G103" s="15">
        <v>33</v>
      </c>
      <c r="H103" s="15">
        <v>24</v>
      </c>
      <c r="I103" s="15">
        <v>73</v>
      </c>
      <c r="J103" s="15">
        <v>39</v>
      </c>
      <c r="K103" s="15">
        <v>34</v>
      </c>
      <c r="L103" s="12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spans="1:55" ht="12.95" customHeight="1">
      <c r="A104" s="2"/>
      <c r="B104" s="14" t="s">
        <v>101</v>
      </c>
      <c r="C104" s="15">
        <v>880</v>
      </c>
      <c r="D104" s="15">
        <v>449</v>
      </c>
      <c r="E104" s="15">
        <v>431</v>
      </c>
      <c r="F104" s="15">
        <v>355</v>
      </c>
      <c r="G104" s="15">
        <v>184</v>
      </c>
      <c r="H104" s="15">
        <v>171</v>
      </c>
      <c r="I104" s="15">
        <v>525</v>
      </c>
      <c r="J104" s="15">
        <v>265</v>
      </c>
      <c r="K104" s="15">
        <v>260</v>
      </c>
      <c r="L104" s="12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spans="1:55" ht="12.95" customHeight="1">
      <c r="A105" s="2"/>
      <c r="B105" s="14" t="s">
        <v>102</v>
      </c>
      <c r="C105" s="15">
        <v>133</v>
      </c>
      <c r="D105" s="15">
        <v>73</v>
      </c>
      <c r="E105" s="15">
        <v>60</v>
      </c>
      <c r="F105" s="15">
        <v>133</v>
      </c>
      <c r="G105" s="15">
        <v>73</v>
      </c>
      <c r="H105" s="15">
        <v>60</v>
      </c>
      <c r="I105" s="15">
        <v>0</v>
      </c>
      <c r="J105" s="15">
        <v>0</v>
      </c>
      <c r="K105" s="15">
        <v>0</v>
      </c>
      <c r="L105" s="12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spans="1:55" ht="12.95" customHeight="1">
      <c r="A106" s="2"/>
      <c r="B106" s="14" t="s">
        <v>103</v>
      </c>
      <c r="C106" s="15">
        <v>1343</v>
      </c>
      <c r="D106" s="15">
        <v>701</v>
      </c>
      <c r="E106" s="15">
        <v>642</v>
      </c>
      <c r="F106" s="15">
        <v>441</v>
      </c>
      <c r="G106" s="15">
        <v>224</v>
      </c>
      <c r="H106" s="15">
        <v>217</v>
      </c>
      <c r="I106" s="15">
        <v>902</v>
      </c>
      <c r="J106" s="15">
        <v>477</v>
      </c>
      <c r="K106" s="15">
        <v>425</v>
      </c>
      <c r="L106" s="12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spans="1:55" ht="12.95" customHeight="1">
      <c r="A107" s="2"/>
      <c r="B107" s="14" t="s">
        <v>104</v>
      </c>
      <c r="C107" s="15">
        <v>990</v>
      </c>
      <c r="D107" s="15">
        <v>529</v>
      </c>
      <c r="E107" s="15">
        <v>461</v>
      </c>
      <c r="F107" s="15">
        <v>902</v>
      </c>
      <c r="G107" s="15">
        <v>491</v>
      </c>
      <c r="H107" s="15">
        <v>411</v>
      </c>
      <c r="I107" s="15">
        <v>88</v>
      </c>
      <c r="J107" s="15">
        <v>38</v>
      </c>
      <c r="K107" s="15">
        <v>50</v>
      </c>
      <c r="L107" s="12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spans="1:55" ht="12.95" customHeight="1">
      <c r="A108" s="2"/>
      <c r="B108" s="14" t="s">
        <v>105</v>
      </c>
      <c r="C108" s="15">
        <v>271</v>
      </c>
      <c r="D108" s="15">
        <v>142</v>
      </c>
      <c r="E108" s="15">
        <v>129</v>
      </c>
      <c r="F108" s="15">
        <v>81</v>
      </c>
      <c r="G108" s="15">
        <v>45</v>
      </c>
      <c r="H108" s="15">
        <v>36</v>
      </c>
      <c r="I108" s="15">
        <v>190</v>
      </c>
      <c r="J108" s="15">
        <v>97</v>
      </c>
      <c r="K108" s="15">
        <v>93</v>
      </c>
      <c r="L108" s="12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spans="1:55" ht="12.95" customHeight="1">
      <c r="A109" s="2"/>
      <c r="B109" s="14" t="s">
        <v>106</v>
      </c>
      <c r="C109" s="15">
        <v>274</v>
      </c>
      <c r="D109" s="15">
        <v>141</v>
      </c>
      <c r="E109" s="15">
        <v>133</v>
      </c>
      <c r="F109" s="15">
        <v>91</v>
      </c>
      <c r="G109" s="15">
        <v>46</v>
      </c>
      <c r="H109" s="15">
        <v>45</v>
      </c>
      <c r="I109" s="15">
        <v>183</v>
      </c>
      <c r="J109" s="15">
        <v>95</v>
      </c>
      <c r="K109" s="15">
        <v>88</v>
      </c>
      <c r="L109" s="12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spans="1:55" ht="12.95" customHeight="1">
      <c r="A110" s="2"/>
      <c r="B110" s="14" t="s">
        <v>107</v>
      </c>
      <c r="C110" s="15">
        <v>141</v>
      </c>
      <c r="D110" s="15">
        <v>83</v>
      </c>
      <c r="E110" s="15">
        <v>58</v>
      </c>
      <c r="F110" s="15">
        <v>46</v>
      </c>
      <c r="G110" s="15">
        <v>28</v>
      </c>
      <c r="H110" s="15">
        <v>18</v>
      </c>
      <c r="I110" s="15">
        <v>95</v>
      </c>
      <c r="J110" s="15">
        <v>55</v>
      </c>
      <c r="K110" s="15">
        <v>40</v>
      </c>
      <c r="L110" s="12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1:55" ht="12.95" customHeight="1">
      <c r="A111" s="2"/>
      <c r="B111" s="14" t="s">
        <v>108</v>
      </c>
      <c r="C111" s="15">
        <v>435</v>
      </c>
      <c r="D111" s="15">
        <v>209</v>
      </c>
      <c r="E111" s="15">
        <v>226</v>
      </c>
      <c r="F111" s="15">
        <v>114</v>
      </c>
      <c r="G111" s="15">
        <v>60</v>
      </c>
      <c r="H111" s="15">
        <v>54</v>
      </c>
      <c r="I111" s="15">
        <v>321</v>
      </c>
      <c r="J111" s="15">
        <v>149</v>
      </c>
      <c r="K111" s="15">
        <v>172</v>
      </c>
      <c r="L111" s="12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1:55" ht="12.95" customHeight="1">
      <c r="A112" s="2"/>
      <c r="B112" s="14" t="s">
        <v>109</v>
      </c>
      <c r="C112" s="15">
        <v>147</v>
      </c>
      <c r="D112" s="15">
        <v>74</v>
      </c>
      <c r="E112" s="15">
        <v>73</v>
      </c>
      <c r="F112" s="15">
        <v>57</v>
      </c>
      <c r="G112" s="15">
        <v>27</v>
      </c>
      <c r="H112" s="15">
        <v>30</v>
      </c>
      <c r="I112" s="15">
        <v>90</v>
      </c>
      <c r="J112" s="15">
        <v>47</v>
      </c>
      <c r="K112" s="15">
        <v>43</v>
      </c>
      <c r="L112" s="12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5" ht="12.95" customHeight="1">
      <c r="A113" s="2"/>
      <c r="B113" s="14" t="s">
        <v>110</v>
      </c>
      <c r="C113" s="15">
        <v>264</v>
      </c>
      <c r="D113" s="15">
        <v>140</v>
      </c>
      <c r="E113" s="15">
        <v>124</v>
      </c>
      <c r="F113" s="15">
        <v>73</v>
      </c>
      <c r="G113" s="15">
        <v>41</v>
      </c>
      <c r="H113" s="15">
        <v>32</v>
      </c>
      <c r="I113" s="15">
        <v>191</v>
      </c>
      <c r="J113" s="15">
        <v>99</v>
      </c>
      <c r="K113" s="15">
        <v>92</v>
      </c>
      <c r="L113" s="12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 ht="12.95" customHeight="1">
      <c r="A114" s="2"/>
      <c r="B114" s="14" t="s">
        <v>111</v>
      </c>
      <c r="C114" s="15">
        <v>227</v>
      </c>
      <c r="D114" s="15">
        <v>124</v>
      </c>
      <c r="E114" s="15">
        <v>103</v>
      </c>
      <c r="F114" s="15">
        <v>51</v>
      </c>
      <c r="G114" s="15">
        <v>25</v>
      </c>
      <c r="H114" s="15">
        <v>26</v>
      </c>
      <c r="I114" s="15">
        <v>176</v>
      </c>
      <c r="J114" s="15">
        <v>99</v>
      </c>
      <c r="K114" s="15">
        <v>77</v>
      </c>
      <c r="L114" s="12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1:55" ht="12.95" customHeight="1">
      <c r="A115" s="2"/>
      <c r="B115" s="14" t="s">
        <v>112</v>
      </c>
      <c r="C115" s="15">
        <v>254</v>
      </c>
      <c r="D115" s="15">
        <v>139</v>
      </c>
      <c r="E115" s="15">
        <v>115</v>
      </c>
      <c r="F115" s="15">
        <v>107</v>
      </c>
      <c r="G115" s="15">
        <v>63</v>
      </c>
      <c r="H115" s="15">
        <v>44</v>
      </c>
      <c r="I115" s="15">
        <v>147</v>
      </c>
      <c r="J115" s="15">
        <v>76</v>
      </c>
      <c r="K115" s="15">
        <v>71</v>
      </c>
      <c r="L115" s="12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 ht="12.95" customHeight="1">
      <c r="A116" s="2"/>
      <c r="B116" s="14" t="s">
        <v>113</v>
      </c>
      <c r="C116" s="15">
        <v>429</v>
      </c>
      <c r="D116" s="15">
        <v>231</v>
      </c>
      <c r="E116" s="15">
        <v>198</v>
      </c>
      <c r="F116" s="15">
        <v>384</v>
      </c>
      <c r="G116" s="15">
        <v>203</v>
      </c>
      <c r="H116" s="15">
        <v>181</v>
      </c>
      <c r="I116" s="15">
        <v>45</v>
      </c>
      <c r="J116" s="15">
        <v>28</v>
      </c>
      <c r="K116" s="15">
        <v>17</v>
      </c>
      <c r="L116" s="12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 ht="12.95" customHeight="1">
      <c r="A117" s="2"/>
      <c r="B117" s="8"/>
      <c r="C117" s="13"/>
      <c r="D117" s="13"/>
      <c r="E117" s="13"/>
      <c r="F117" s="13"/>
      <c r="G117" s="13"/>
      <c r="H117" s="13"/>
      <c r="I117" s="13"/>
      <c r="J117" s="13"/>
      <c r="K117" s="13"/>
      <c r="L117" s="12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 ht="12.95" customHeight="1">
      <c r="A118" s="2"/>
      <c r="B118" s="10" t="s">
        <v>114</v>
      </c>
      <c r="C118" s="11">
        <f>SUM(C119:C137)</f>
        <v>27338</v>
      </c>
      <c r="D118" s="11">
        <f>SUM(D119:D137)</f>
        <v>13942</v>
      </c>
      <c r="E118" s="11">
        <f>SUM(E119:E137)</f>
        <v>13396</v>
      </c>
      <c r="F118" s="11">
        <f>SUM(F119:F137)</f>
        <v>25573</v>
      </c>
      <c r="G118" s="11">
        <f>SUM(G119:G137)</f>
        <v>13056</v>
      </c>
      <c r="H118" s="11">
        <f>SUM(H119:H137)</f>
        <v>12517</v>
      </c>
      <c r="I118" s="11">
        <f>SUM(I119:I137)</f>
        <v>1765</v>
      </c>
      <c r="J118" s="11">
        <f>SUM(J119:J137)</f>
        <v>886</v>
      </c>
      <c r="K118" s="11">
        <f>SUM(K119:K137)</f>
        <v>879</v>
      </c>
      <c r="L118" s="18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1:55" ht="12.95" customHeight="1">
      <c r="A119" s="2"/>
      <c r="B119" s="14" t="s">
        <v>115</v>
      </c>
      <c r="C119" s="15">
        <v>6691</v>
      </c>
      <c r="D119" s="15">
        <v>3376</v>
      </c>
      <c r="E119" s="15">
        <v>3315</v>
      </c>
      <c r="F119" s="15">
        <v>6691</v>
      </c>
      <c r="G119" s="15">
        <v>3376</v>
      </c>
      <c r="H119" s="15">
        <v>3315</v>
      </c>
      <c r="I119" s="15">
        <v>0</v>
      </c>
      <c r="J119" s="15">
        <v>0</v>
      </c>
      <c r="K119" s="15">
        <v>0</v>
      </c>
      <c r="L119" s="12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 ht="12.95" customHeight="1">
      <c r="A120" s="2"/>
      <c r="B120" s="14" t="s">
        <v>116</v>
      </c>
      <c r="C120" s="15">
        <v>387</v>
      </c>
      <c r="D120" s="15">
        <v>205</v>
      </c>
      <c r="E120" s="15">
        <v>182</v>
      </c>
      <c r="F120" s="15">
        <v>368</v>
      </c>
      <c r="G120" s="15">
        <v>193</v>
      </c>
      <c r="H120" s="15">
        <v>175</v>
      </c>
      <c r="I120" s="15">
        <v>19</v>
      </c>
      <c r="J120" s="15">
        <v>12</v>
      </c>
      <c r="K120" s="15">
        <v>7</v>
      </c>
      <c r="L120" s="12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1:55" ht="12.95" customHeight="1">
      <c r="A121" s="2"/>
      <c r="B121" s="14" t="s">
        <v>117</v>
      </c>
      <c r="C121" s="15">
        <v>2341</v>
      </c>
      <c r="D121" s="15">
        <v>1236</v>
      </c>
      <c r="E121" s="15">
        <v>1105</v>
      </c>
      <c r="F121" s="15">
        <v>2341</v>
      </c>
      <c r="G121" s="15">
        <v>1236</v>
      </c>
      <c r="H121" s="15">
        <v>1105</v>
      </c>
      <c r="I121" s="15">
        <v>0</v>
      </c>
      <c r="J121" s="15">
        <v>0</v>
      </c>
      <c r="K121" s="15">
        <v>0</v>
      </c>
      <c r="L121" s="12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1:55" ht="12.95" customHeight="1">
      <c r="A122" s="2"/>
      <c r="B122" s="14" t="s">
        <v>118</v>
      </c>
      <c r="C122" s="15">
        <v>492</v>
      </c>
      <c r="D122" s="15">
        <v>261</v>
      </c>
      <c r="E122" s="15">
        <v>231</v>
      </c>
      <c r="F122" s="15">
        <v>492</v>
      </c>
      <c r="G122" s="15">
        <v>261</v>
      </c>
      <c r="H122" s="15">
        <v>231</v>
      </c>
      <c r="I122" s="15">
        <v>0</v>
      </c>
      <c r="J122" s="15">
        <v>0</v>
      </c>
      <c r="K122" s="15">
        <v>0</v>
      </c>
      <c r="L122" s="12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spans="1:55" ht="12.95" customHeight="1">
      <c r="A123" s="2"/>
      <c r="B123" s="14" t="s">
        <v>119</v>
      </c>
      <c r="C123" s="15">
        <v>1166</v>
      </c>
      <c r="D123" s="15">
        <v>573</v>
      </c>
      <c r="E123" s="15">
        <v>593</v>
      </c>
      <c r="F123" s="15">
        <v>1166</v>
      </c>
      <c r="G123" s="15">
        <v>573</v>
      </c>
      <c r="H123" s="15">
        <v>593</v>
      </c>
      <c r="I123" s="15">
        <v>0</v>
      </c>
      <c r="J123" s="15">
        <v>0</v>
      </c>
      <c r="K123" s="15">
        <v>0</v>
      </c>
      <c r="L123" s="12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spans="1:55" ht="12.95" customHeight="1">
      <c r="A124" s="2"/>
      <c r="B124" s="14" t="s">
        <v>120</v>
      </c>
      <c r="C124" s="15">
        <v>1582</v>
      </c>
      <c r="D124" s="15">
        <v>808</v>
      </c>
      <c r="E124" s="15">
        <v>774</v>
      </c>
      <c r="F124" s="15">
        <v>1553</v>
      </c>
      <c r="G124" s="15">
        <v>792</v>
      </c>
      <c r="H124" s="15">
        <v>761</v>
      </c>
      <c r="I124" s="15">
        <v>29</v>
      </c>
      <c r="J124" s="15">
        <v>16</v>
      </c>
      <c r="K124" s="15">
        <v>13</v>
      </c>
      <c r="L124" s="12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1:55" ht="12.95" customHeight="1">
      <c r="A125" s="2"/>
      <c r="B125" s="14" t="s">
        <v>121</v>
      </c>
      <c r="C125" s="15">
        <v>239</v>
      </c>
      <c r="D125" s="15">
        <v>114</v>
      </c>
      <c r="E125" s="15">
        <v>125</v>
      </c>
      <c r="F125" s="15">
        <v>46</v>
      </c>
      <c r="G125" s="15">
        <v>22</v>
      </c>
      <c r="H125" s="15">
        <v>24</v>
      </c>
      <c r="I125" s="15">
        <v>193</v>
      </c>
      <c r="J125" s="15">
        <v>92</v>
      </c>
      <c r="K125" s="15">
        <v>101</v>
      </c>
      <c r="L125" s="12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 ht="12.95" customHeight="1">
      <c r="A126" s="2"/>
      <c r="B126" s="14" t="s">
        <v>122</v>
      </c>
      <c r="C126" s="15">
        <v>447</v>
      </c>
      <c r="D126" s="15">
        <v>242</v>
      </c>
      <c r="E126" s="15">
        <v>205</v>
      </c>
      <c r="F126" s="15">
        <v>440</v>
      </c>
      <c r="G126" s="15">
        <v>239</v>
      </c>
      <c r="H126" s="15">
        <v>201</v>
      </c>
      <c r="I126" s="15">
        <v>7</v>
      </c>
      <c r="J126" s="15">
        <v>3</v>
      </c>
      <c r="K126" s="15">
        <v>4</v>
      </c>
      <c r="L126" s="12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1:55" ht="12.95" customHeight="1">
      <c r="A127" s="2"/>
      <c r="B127" s="14" t="s">
        <v>123</v>
      </c>
      <c r="C127" s="15">
        <v>1725</v>
      </c>
      <c r="D127" s="15">
        <v>905</v>
      </c>
      <c r="E127" s="15">
        <v>820</v>
      </c>
      <c r="F127" s="15">
        <v>1725</v>
      </c>
      <c r="G127" s="15">
        <v>905</v>
      </c>
      <c r="H127" s="15">
        <v>820</v>
      </c>
      <c r="I127" s="15">
        <v>0</v>
      </c>
      <c r="J127" s="15">
        <v>0</v>
      </c>
      <c r="K127" s="15">
        <v>0</v>
      </c>
      <c r="L127" s="12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1:55" ht="12.95" customHeight="1">
      <c r="A128" s="2"/>
      <c r="B128" s="14" t="s">
        <v>124</v>
      </c>
      <c r="C128" s="15">
        <v>2268</v>
      </c>
      <c r="D128" s="15">
        <v>1130</v>
      </c>
      <c r="E128" s="15">
        <v>1138</v>
      </c>
      <c r="F128" s="15">
        <v>2268</v>
      </c>
      <c r="G128" s="15">
        <v>1130</v>
      </c>
      <c r="H128" s="15">
        <v>1138</v>
      </c>
      <c r="I128" s="15">
        <v>0</v>
      </c>
      <c r="J128" s="15">
        <v>0</v>
      </c>
      <c r="K128" s="15">
        <v>0</v>
      </c>
      <c r="L128" s="12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1:55" ht="12.95" customHeight="1">
      <c r="A129" s="2"/>
      <c r="B129" s="14" t="s">
        <v>125</v>
      </c>
      <c r="C129" s="15">
        <v>483</v>
      </c>
      <c r="D129" s="15">
        <v>243</v>
      </c>
      <c r="E129" s="15">
        <v>240</v>
      </c>
      <c r="F129" s="15">
        <v>212</v>
      </c>
      <c r="G129" s="15">
        <v>105</v>
      </c>
      <c r="H129" s="15">
        <v>107</v>
      </c>
      <c r="I129" s="15">
        <v>271</v>
      </c>
      <c r="J129" s="15">
        <v>138</v>
      </c>
      <c r="K129" s="15">
        <v>133</v>
      </c>
      <c r="L129" s="12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1:55" ht="12.95" customHeight="1">
      <c r="A130" s="2"/>
      <c r="B130" s="14" t="s">
        <v>126</v>
      </c>
      <c r="C130" s="15">
        <v>914</v>
      </c>
      <c r="D130" s="15">
        <v>492</v>
      </c>
      <c r="E130" s="15">
        <v>422</v>
      </c>
      <c r="F130" s="15">
        <v>371</v>
      </c>
      <c r="G130" s="15">
        <v>216</v>
      </c>
      <c r="H130" s="15">
        <v>155</v>
      </c>
      <c r="I130" s="15">
        <v>543</v>
      </c>
      <c r="J130" s="15">
        <v>276</v>
      </c>
      <c r="K130" s="15">
        <v>267</v>
      </c>
      <c r="L130" s="12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spans="1:55" ht="12.95" customHeight="1">
      <c r="A131" s="2"/>
      <c r="B131" s="14" t="s">
        <v>127</v>
      </c>
      <c r="C131" s="15">
        <v>282</v>
      </c>
      <c r="D131" s="15">
        <v>128</v>
      </c>
      <c r="E131" s="15">
        <v>154</v>
      </c>
      <c r="F131" s="15">
        <v>168</v>
      </c>
      <c r="G131" s="15">
        <v>72</v>
      </c>
      <c r="H131" s="15">
        <v>96</v>
      </c>
      <c r="I131" s="15">
        <v>114</v>
      </c>
      <c r="J131" s="15">
        <v>56</v>
      </c>
      <c r="K131" s="15">
        <v>58</v>
      </c>
      <c r="L131" s="12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spans="1:55" ht="12.95" customHeight="1">
      <c r="A132" s="2"/>
      <c r="B132" s="14" t="s">
        <v>128</v>
      </c>
      <c r="C132" s="15">
        <v>1079</v>
      </c>
      <c r="D132" s="15">
        <v>552</v>
      </c>
      <c r="E132" s="15">
        <v>527</v>
      </c>
      <c r="F132" s="15">
        <v>1079</v>
      </c>
      <c r="G132" s="15">
        <v>552</v>
      </c>
      <c r="H132" s="15">
        <v>527</v>
      </c>
      <c r="I132" s="15">
        <v>0</v>
      </c>
      <c r="J132" s="15">
        <v>0</v>
      </c>
      <c r="K132" s="15">
        <v>0</v>
      </c>
      <c r="L132" s="12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spans="1:55" ht="12.95" customHeight="1">
      <c r="A133" s="2"/>
      <c r="B133" s="14" t="s">
        <v>129</v>
      </c>
      <c r="C133" s="15">
        <v>1423</v>
      </c>
      <c r="D133" s="15">
        <v>730</v>
      </c>
      <c r="E133" s="15">
        <v>693</v>
      </c>
      <c r="F133" s="15">
        <v>1127</v>
      </c>
      <c r="G133" s="15">
        <v>583</v>
      </c>
      <c r="H133" s="15">
        <v>544</v>
      </c>
      <c r="I133" s="15">
        <v>296</v>
      </c>
      <c r="J133" s="15">
        <v>147</v>
      </c>
      <c r="K133" s="15">
        <v>149</v>
      </c>
      <c r="L133" s="12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spans="1:55" ht="12.95" customHeight="1">
      <c r="A134" s="2"/>
      <c r="B134" s="14" t="s">
        <v>130</v>
      </c>
      <c r="C134" s="15">
        <v>343</v>
      </c>
      <c r="D134" s="15">
        <v>179</v>
      </c>
      <c r="E134" s="15">
        <v>164</v>
      </c>
      <c r="F134" s="15">
        <v>238</v>
      </c>
      <c r="G134" s="15">
        <v>127</v>
      </c>
      <c r="H134" s="15">
        <v>111</v>
      </c>
      <c r="I134" s="15">
        <v>105</v>
      </c>
      <c r="J134" s="15">
        <v>52</v>
      </c>
      <c r="K134" s="15">
        <v>53</v>
      </c>
      <c r="L134" s="12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spans="1:55" ht="12.95" customHeight="1">
      <c r="A135" s="2"/>
      <c r="B135" s="14" t="s">
        <v>131</v>
      </c>
      <c r="C135" s="15">
        <v>430</v>
      </c>
      <c r="D135" s="15">
        <v>210</v>
      </c>
      <c r="E135" s="15">
        <v>220</v>
      </c>
      <c r="F135" s="15">
        <v>349</v>
      </c>
      <c r="G135" s="15">
        <v>172</v>
      </c>
      <c r="H135" s="15">
        <v>177</v>
      </c>
      <c r="I135" s="15">
        <v>81</v>
      </c>
      <c r="J135" s="15">
        <v>38</v>
      </c>
      <c r="K135" s="15">
        <v>43</v>
      </c>
      <c r="L135" s="12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</row>
    <row r="136" spans="1:55" ht="12.95" customHeight="1">
      <c r="A136" s="2"/>
      <c r="B136" s="14" t="s">
        <v>132</v>
      </c>
      <c r="C136" s="15">
        <v>3784</v>
      </c>
      <c r="D136" s="15">
        <v>1901</v>
      </c>
      <c r="E136" s="15">
        <v>1883</v>
      </c>
      <c r="F136" s="15">
        <v>3784</v>
      </c>
      <c r="G136" s="15">
        <v>1901</v>
      </c>
      <c r="H136" s="15">
        <v>1883</v>
      </c>
      <c r="I136" s="15">
        <v>0</v>
      </c>
      <c r="J136" s="15">
        <v>0</v>
      </c>
      <c r="K136" s="15">
        <v>0</v>
      </c>
      <c r="L136" s="12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</row>
    <row r="137" spans="1:55" ht="12.95" customHeight="1">
      <c r="A137" s="2"/>
      <c r="B137" s="14" t="s">
        <v>133</v>
      </c>
      <c r="C137" s="15">
        <v>1262</v>
      </c>
      <c r="D137" s="15">
        <v>657</v>
      </c>
      <c r="E137" s="15">
        <v>605</v>
      </c>
      <c r="F137" s="15">
        <v>1155</v>
      </c>
      <c r="G137" s="15">
        <v>601</v>
      </c>
      <c r="H137" s="15">
        <v>554</v>
      </c>
      <c r="I137" s="15">
        <v>107</v>
      </c>
      <c r="J137" s="15">
        <v>56</v>
      </c>
      <c r="K137" s="15">
        <v>51</v>
      </c>
      <c r="L137" s="12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</row>
    <row r="138" spans="1:55" ht="12.95" customHeight="1">
      <c r="A138" s="2"/>
      <c r="B138" s="8"/>
      <c r="C138" s="13"/>
      <c r="D138" s="13"/>
      <c r="E138" s="13"/>
      <c r="F138" s="13"/>
      <c r="G138" s="13"/>
      <c r="H138" s="13"/>
      <c r="I138" s="13"/>
      <c r="J138" s="13"/>
      <c r="K138" s="13"/>
      <c r="L138" s="12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</row>
    <row r="139" spans="1:55" ht="12.95" customHeight="1">
      <c r="A139" s="2"/>
      <c r="B139" s="10" t="s">
        <v>134</v>
      </c>
      <c r="C139" s="11">
        <f>SUM(C140:C155)</f>
        <v>4610</v>
      </c>
      <c r="D139" s="11">
        <f>SUM(D140:D155)</f>
        <v>2330</v>
      </c>
      <c r="E139" s="11">
        <f>SUM(E140:E155)</f>
        <v>2280</v>
      </c>
      <c r="F139" s="11">
        <f>SUM(F140:F155)</f>
        <v>2006</v>
      </c>
      <c r="G139" s="11">
        <f>SUM(G140:G155)</f>
        <v>1013</v>
      </c>
      <c r="H139" s="11">
        <f>SUM(H140:H155)</f>
        <v>993</v>
      </c>
      <c r="I139" s="11">
        <f>SUM(I140:I155)</f>
        <v>2604</v>
      </c>
      <c r="J139" s="11">
        <f>SUM(J140:J155)</f>
        <v>1317</v>
      </c>
      <c r="K139" s="11">
        <f>SUM(K140:K155)</f>
        <v>1287</v>
      </c>
      <c r="L139" s="12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</row>
    <row r="140" spans="1:55" ht="12.95" customHeight="1">
      <c r="A140" s="2"/>
      <c r="B140" s="14" t="s">
        <v>135</v>
      </c>
      <c r="C140" s="15">
        <v>1083</v>
      </c>
      <c r="D140" s="15">
        <v>534</v>
      </c>
      <c r="E140" s="15">
        <v>549</v>
      </c>
      <c r="F140" s="15">
        <v>955</v>
      </c>
      <c r="G140" s="15">
        <v>470</v>
      </c>
      <c r="H140" s="15">
        <v>485</v>
      </c>
      <c r="I140" s="15">
        <v>128</v>
      </c>
      <c r="J140" s="15">
        <v>64</v>
      </c>
      <c r="K140" s="15">
        <v>64</v>
      </c>
      <c r="L140" s="12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</row>
    <row r="141" spans="1:55" ht="12.95" customHeight="1">
      <c r="A141" s="2"/>
      <c r="B141" s="14" t="s">
        <v>136</v>
      </c>
      <c r="C141" s="15">
        <v>158</v>
      </c>
      <c r="D141" s="15">
        <v>78</v>
      </c>
      <c r="E141" s="15">
        <v>80</v>
      </c>
      <c r="F141" s="15">
        <v>58</v>
      </c>
      <c r="G141" s="15">
        <v>32</v>
      </c>
      <c r="H141" s="15">
        <v>26</v>
      </c>
      <c r="I141" s="15">
        <v>100</v>
      </c>
      <c r="J141" s="15">
        <v>46</v>
      </c>
      <c r="K141" s="15">
        <v>54</v>
      </c>
      <c r="L141" s="12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</row>
    <row r="142" spans="1:55" ht="12.95" customHeight="1">
      <c r="A142" s="2"/>
      <c r="B142" s="14" t="s">
        <v>137</v>
      </c>
      <c r="C142" s="15">
        <v>296</v>
      </c>
      <c r="D142" s="15">
        <v>142</v>
      </c>
      <c r="E142" s="15">
        <v>154</v>
      </c>
      <c r="F142" s="15">
        <v>52</v>
      </c>
      <c r="G142" s="15">
        <v>22</v>
      </c>
      <c r="H142" s="15">
        <v>30</v>
      </c>
      <c r="I142" s="15">
        <v>244</v>
      </c>
      <c r="J142" s="15">
        <v>120</v>
      </c>
      <c r="K142" s="15">
        <v>124</v>
      </c>
      <c r="L142" s="12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</row>
    <row r="143" spans="1:55" ht="12.95" customHeight="1">
      <c r="A143" s="2"/>
      <c r="B143" s="14" t="s">
        <v>138</v>
      </c>
      <c r="C143" s="15">
        <v>75</v>
      </c>
      <c r="D143" s="15">
        <v>38</v>
      </c>
      <c r="E143" s="15">
        <v>37</v>
      </c>
      <c r="F143" s="15">
        <v>25</v>
      </c>
      <c r="G143" s="15">
        <v>11</v>
      </c>
      <c r="H143" s="15">
        <v>14</v>
      </c>
      <c r="I143" s="15">
        <v>50</v>
      </c>
      <c r="J143" s="15">
        <v>27</v>
      </c>
      <c r="K143" s="15">
        <v>23</v>
      </c>
      <c r="L143" s="12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</row>
    <row r="144" spans="1:55" ht="12.95" customHeight="1">
      <c r="A144" s="2"/>
      <c r="B144" s="14" t="s">
        <v>139</v>
      </c>
      <c r="C144" s="15">
        <v>210</v>
      </c>
      <c r="D144" s="15">
        <v>115</v>
      </c>
      <c r="E144" s="15">
        <v>95</v>
      </c>
      <c r="F144" s="15">
        <v>34</v>
      </c>
      <c r="G144" s="15">
        <v>17</v>
      </c>
      <c r="H144" s="15">
        <v>17</v>
      </c>
      <c r="I144" s="15">
        <v>176</v>
      </c>
      <c r="J144" s="15">
        <v>98</v>
      </c>
      <c r="K144" s="15">
        <v>78</v>
      </c>
      <c r="L144" s="12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</row>
    <row r="145" spans="1:55" ht="12.95" customHeight="1">
      <c r="A145" s="2"/>
      <c r="B145" s="14" t="s">
        <v>140</v>
      </c>
      <c r="C145" s="15">
        <v>62</v>
      </c>
      <c r="D145" s="15">
        <v>38</v>
      </c>
      <c r="E145" s="15">
        <v>24</v>
      </c>
      <c r="F145" s="15">
        <v>42</v>
      </c>
      <c r="G145" s="15">
        <v>26</v>
      </c>
      <c r="H145" s="15">
        <v>16</v>
      </c>
      <c r="I145" s="15">
        <v>20</v>
      </c>
      <c r="J145" s="15">
        <v>12</v>
      </c>
      <c r="K145" s="15">
        <v>8</v>
      </c>
      <c r="L145" s="12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</row>
    <row r="146" spans="1:55" ht="12.95" customHeight="1">
      <c r="A146" s="2"/>
      <c r="B146" s="14" t="s">
        <v>141</v>
      </c>
      <c r="C146" s="15">
        <v>143</v>
      </c>
      <c r="D146" s="15">
        <v>69</v>
      </c>
      <c r="E146" s="15">
        <v>74</v>
      </c>
      <c r="F146" s="15">
        <v>99</v>
      </c>
      <c r="G146" s="15">
        <v>48</v>
      </c>
      <c r="H146" s="15">
        <v>51</v>
      </c>
      <c r="I146" s="15">
        <v>44</v>
      </c>
      <c r="J146" s="15">
        <v>21</v>
      </c>
      <c r="K146" s="15">
        <v>23</v>
      </c>
      <c r="L146" s="12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</row>
    <row r="147" spans="1:55" ht="12.95" customHeight="1">
      <c r="A147" s="2"/>
      <c r="B147" s="14" t="s">
        <v>142</v>
      </c>
      <c r="C147" s="15">
        <v>199</v>
      </c>
      <c r="D147" s="15">
        <v>106</v>
      </c>
      <c r="E147" s="15">
        <v>93</v>
      </c>
      <c r="F147" s="15">
        <v>23</v>
      </c>
      <c r="G147" s="15">
        <v>12</v>
      </c>
      <c r="H147" s="15">
        <v>11</v>
      </c>
      <c r="I147" s="15">
        <v>176</v>
      </c>
      <c r="J147" s="15">
        <v>94</v>
      </c>
      <c r="K147" s="15">
        <v>82</v>
      </c>
      <c r="L147" s="12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</row>
    <row r="148" spans="1:55" ht="12.95" customHeight="1">
      <c r="A148" s="2"/>
      <c r="B148" s="14" t="s">
        <v>143</v>
      </c>
      <c r="C148" s="15">
        <v>214</v>
      </c>
      <c r="D148" s="15">
        <v>114</v>
      </c>
      <c r="E148" s="15">
        <v>100</v>
      </c>
      <c r="F148" s="15">
        <v>99</v>
      </c>
      <c r="G148" s="15">
        <v>56</v>
      </c>
      <c r="H148" s="15">
        <v>43</v>
      </c>
      <c r="I148" s="15">
        <v>115</v>
      </c>
      <c r="J148" s="15">
        <v>58</v>
      </c>
      <c r="K148" s="15">
        <v>57</v>
      </c>
      <c r="L148" s="12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</row>
    <row r="149" spans="1:55" ht="12.95" customHeight="1">
      <c r="A149" s="2"/>
      <c r="B149" s="14" t="s">
        <v>144</v>
      </c>
      <c r="C149" s="15">
        <v>937</v>
      </c>
      <c r="D149" s="15">
        <v>469</v>
      </c>
      <c r="E149" s="15">
        <v>468</v>
      </c>
      <c r="F149" s="15">
        <v>192</v>
      </c>
      <c r="G149" s="15">
        <v>104</v>
      </c>
      <c r="H149" s="15">
        <v>88</v>
      </c>
      <c r="I149" s="15">
        <v>745</v>
      </c>
      <c r="J149" s="15">
        <v>365</v>
      </c>
      <c r="K149" s="15">
        <v>380</v>
      </c>
      <c r="L149" s="12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</row>
    <row r="150" spans="1:55" ht="12.95" customHeight="1">
      <c r="A150" s="2"/>
      <c r="B150" s="14" t="s">
        <v>145</v>
      </c>
      <c r="C150" s="15">
        <v>264</v>
      </c>
      <c r="D150" s="15">
        <v>135</v>
      </c>
      <c r="E150" s="15">
        <v>129</v>
      </c>
      <c r="F150" s="15">
        <v>85</v>
      </c>
      <c r="G150" s="15">
        <v>37</v>
      </c>
      <c r="H150" s="15">
        <v>48</v>
      </c>
      <c r="I150" s="15">
        <v>179</v>
      </c>
      <c r="J150" s="15">
        <v>98</v>
      </c>
      <c r="K150" s="15">
        <v>81</v>
      </c>
      <c r="L150" s="12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</row>
    <row r="151" spans="1:55" ht="12.95" customHeight="1">
      <c r="A151" s="2"/>
      <c r="B151" s="14" t="s">
        <v>146</v>
      </c>
      <c r="C151" s="15">
        <v>127</v>
      </c>
      <c r="D151" s="15">
        <v>69</v>
      </c>
      <c r="E151" s="15">
        <v>58</v>
      </c>
      <c r="F151" s="15">
        <v>59</v>
      </c>
      <c r="G151" s="15">
        <v>33</v>
      </c>
      <c r="H151" s="15">
        <v>26</v>
      </c>
      <c r="I151" s="15">
        <v>68</v>
      </c>
      <c r="J151" s="15">
        <v>36</v>
      </c>
      <c r="K151" s="15">
        <v>32</v>
      </c>
      <c r="L151" s="12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</row>
    <row r="152" spans="1:55" ht="12.95" customHeight="1">
      <c r="A152" s="2"/>
      <c r="B152" s="14" t="s">
        <v>147</v>
      </c>
      <c r="C152" s="15">
        <v>47</v>
      </c>
      <c r="D152" s="15">
        <v>24</v>
      </c>
      <c r="E152" s="15">
        <v>23</v>
      </c>
      <c r="F152" s="15">
        <v>44</v>
      </c>
      <c r="G152" s="15">
        <v>24</v>
      </c>
      <c r="H152" s="15">
        <v>20</v>
      </c>
      <c r="I152" s="15">
        <v>3</v>
      </c>
      <c r="J152" s="15">
        <v>0</v>
      </c>
      <c r="K152" s="15">
        <v>3</v>
      </c>
      <c r="L152" s="12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</row>
    <row r="153" spans="1:55" ht="12.95" customHeight="1">
      <c r="A153" s="2"/>
      <c r="B153" s="14" t="s">
        <v>148</v>
      </c>
      <c r="C153" s="15">
        <v>218</v>
      </c>
      <c r="D153" s="15">
        <v>98</v>
      </c>
      <c r="E153" s="15">
        <v>120</v>
      </c>
      <c r="F153" s="15">
        <v>98</v>
      </c>
      <c r="G153" s="15">
        <v>44</v>
      </c>
      <c r="H153" s="15">
        <v>54</v>
      </c>
      <c r="I153" s="15">
        <v>120</v>
      </c>
      <c r="J153" s="15">
        <v>54</v>
      </c>
      <c r="K153" s="15">
        <v>66</v>
      </c>
      <c r="L153" s="12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</row>
    <row r="154" spans="1:55" ht="12.95" customHeight="1">
      <c r="A154" s="2"/>
      <c r="B154" s="14" t="s">
        <v>149</v>
      </c>
      <c r="C154" s="15">
        <v>446</v>
      </c>
      <c r="D154" s="15">
        <v>230</v>
      </c>
      <c r="E154" s="15">
        <v>216</v>
      </c>
      <c r="F154" s="15">
        <v>125</v>
      </c>
      <c r="G154" s="15">
        <v>67</v>
      </c>
      <c r="H154" s="15">
        <v>58</v>
      </c>
      <c r="I154" s="15">
        <v>321</v>
      </c>
      <c r="J154" s="15">
        <v>163</v>
      </c>
      <c r="K154" s="15">
        <v>158</v>
      </c>
      <c r="L154" s="12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</row>
    <row r="155" spans="1:55" ht="12.95" customHeight="1">
      <c r="A155" s="2"/>
      <c r="B155" s="14" t="s">
        <v>150</v>
      </c>
      <c r="C155" s="15">
        <v>131</v>
      </c>
      <c r="D155" s="15">
        <v>71</v>
      </c>
      <c r="E155" s="15">
        <v>60</v>
      </c>
      <c r="F155" s="15">
        <v>16</v>
      </c>
      <c r="G155" s="15">
        <v>10</v>
      </c>
      <c r="H155" s="15">
        <v>6</v>
      </c>
      <c r="I155" s="15">
        <v>115</v>
      </c>
      <c r="J155" s="15">
        <v>61</v>
      </c>
      <c r="K155" s="15">
        <v>54</v>
      </c>
      <c r="L155" s="12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</row>
    <row r="156" spans="1:55" ht="12.95" customHeight="1">
      <c r="A156" s="2"/>
      <c r="B156" s="8"/>
      <c r="C156" s="13"/>
      <c r="D156" s="13"/>
      <c r="E156" s="13"/>
      <c r="F156" s="13"/>
      <c r="G156" s="13"/>
      <c r="H156" s="13"/>
      <c r="I156" s="13"/>
      <c r="J156" s="13"/>
      <c r="K156" s="13"/>
      <c r="L156" s="12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</row>
    <row r="157" spans="1:55" ht="12.95" customHeight="1">
      <c r="A157" s="2"/>
      <c r="B157" s="10" t="s">
        <v>151</v>
      </c>
      <c r="C157" s="17">
        <f>SUM(C158:C179)</f>
        <v>6395</v>
      </c>
      <c r="D157" s="17">
        <f>SUM(D158:D179)</f>
        <v>3272</v>
      </c>
      <c r="E157" s="17">
        <f>SUM(E158:E179)</f>
        <v>3123</v>
      </c>
      <c r="F157" s="17">
        <f>SUM(F158:F179)</f>
        <v>3371</v>
      </c>
      <c r="G157" s="17">
        <f>SUM(G158:G179)</f>
        <v>1742</v>
      </c>
      <c r="H157" s="17">
        <f>SUM(H158:H179)</f>
        <v>1629</v>
      </c>
      <c r="I157" s="17">
        <f>SUM(I158:I179)</f>
        <v>3024</v>
      </c>
      <c r="J157" s="17">
        <f>SUM(J158:J179)</f>
        <v>1530</v>
      </c>
      <c r="K157" s="17">
        <f>SUM(K158:K179)</f>
        <v>1494</v>
      </c>
      <c r="L157" s="12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</row>
    <row r="158" spans="1:55" ht="12.95" customHeight="1">
      <c r="A158" s="2"/>
      <c r="B158" s="14" t="s">
        <v>152</v>
      </c>
      <c r="C158" s="15">
        <v>1420</v>
      </c>
      <c r="D158" s="15">
        <v>711</v>
      </c>
      <c r="E158" s="15">
        <v>709</v>
      </c>
      <c r="F158" s="15">
        <v>842</v>
      </c>
      <c r="G158" s="15">
        <v>421</v>
      </c>
      <c r="H158" s="15">
        <v>421</v>
      </c>
      <c r="I158" s="15">
        <v>578</v>
      </c>
      <c r="J158" s="15">
        <v>290</v>
      </c>
      <c r="K158" s="15">
        <v>288</v>
      </c>
      <c r="L158" s="12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</row>
    <row r="159" spans="1:55" ht="12.95" customHeight="1">
      <c r="A159" s="2"/>
      <c r="B159" s="14" t="s">
        <v>153</v>
      </c>
      <c r="C159" s="15">
        <v>92</v>
      </c>
      <c r="D159" s="15">
        <v>41</v>
      </c>
      <c r="E159" s="15">
        <v>51</v>
      </c>
      <c r="F159" s="15">
        <v>66</v>
      </c>
      <c r="G159" s="15">
        <v>32</v>
      </c>
      <c r="H159" s="15">
        <v>34</v>
      </c>
      <c r="I159" s="15">
        <v>26</v>
      </c>
      <c r="J159" s="15">
        <v>9</v>
      </c>
      <c r="K159" s="15">
        <v>17</v>
      </c>
      <c r="L159" s="12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</row>
    <row r="160" spans="1:55" ht="12.95" customHeight="1">
      <c r="A160" s="2"/>
      <c r="B160" s="14" t="s">
        <v>154</v>
      </c>
      <c r="C160" s="15">
        <v>304</v>
      </c>
      <c r="D160" s="15">
        <v>159</v>
      </c>
      <c r="E160" s="15">
        <v>145</v>
      </c>
      <c r="F160" s="15">
        <v>184</v>
      </c>
      <c r="G160" s="15">
        <v>90</v>
      </c>
      <c r="H160" s="15">
        <v>94</v>
      </c>
      <c r="I160" s="15">
        <v>120</v>
      </c>
      <c r="J160" s="15">
        <v>69</v>
      </c>
      <c r="K160" s="15">
        <v>51</v>
      </c>
      <c r="L160" s="12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</row>
    <row r="161" spans="1:55" ht="12.95" customHeight="1">
      <c r="A161" s="2"/>
      <c r="B161" s="14" t="s">
        <v>155</v>
      </c>
      <c r="C161" s="15">
        <v>61</v>
      </c>
      <c r="D161" s="15">
        <v>26</v>
      </c>
      <c r="E161" s="15">
        <v>35</v>
      </c>
      <c r="F161" s="15">
        <v>16</v>
      </c>
      <c r="G161" s="15">
        <v>9</v>
      </c>
      <c r="H161" s="15">
        <v>7</v>
      </c>
      <c r="I161" s="15">
        <v>45</v>
      </c>
      <c r="J161" s="15">
        <v>17</v>
      </c>
      <c r="K161" s="15">
        <v>28</v>
      </c>
      <c r="L161" s="12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</row>
    <row r="162" spans="1:55" ht="12.95" customHeight="1">
      <c r="A162" s="2"/>
      <c r="B162" s="14" t="s">
        <v>156</v>
      </c>
      <c r="C162" s="15">
        <v>39</v>
      </c>
      <c r="D162" s="15">
        <v>23</v>
      </c>
      <c r="E162" s="15">
        <v>16</v>
      </c>
      <c r="F162" s="15">
        <v>19</v>
      </c>
      <c r="G162" s="15">
        <v>12</v>
      </c>
      <c r="H162" s="15">
        <v>7</v>
      </c>
      <c r="I162" s="15">
        <v>20</v>
      </c>
      <c r="J162" s="15">
        <v>11</v>
      </c>
      <c r="K162" s="15">
        <v>9</v>
      </c>
      <c r="L162" s="12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</row>
    <row r="163" spans="1:55" ht="12.95" customHeight="1">
      <c r="A163" s="2"/>
      <c r="B163" s="14" t="s">
        <v>157</v>
      </c>
      <c r="C163" s="15">
        <v>622</v>
      </c>
      <c r="D163" s="15">
        <v>310</v>
      </c>
      <c r="E163" s="15">
        <v>312</v>
      </c>
      <c r="F163" s="15">
        <v>385</v>
      </c>
      <c r="G163" s="15">
        <v>196</v>
      </c>
      <c r="H163" s="15">
        <v>189</v>
      </c>
      <c r="I163" s="15">
        <v>237</v>
      </c>
      <c r="J163" s="15">
        <v>114</v>
      </c>
      <c r="K163" s="15">
        <v>123</v>
      </c>
      <c r="L163" s="12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</row>
    <row r="164" spans="1:55" ht="12.95" customHeight="1">
      <c r="A164" s="2"/>
      <c r="B164" s="14" t="s">
        <v>158</v>
      </c>
      <c r="C164" s="15">
        <v>53</v>
      </c>
      <c r="D164" s="15">
        <v>38</v>
      </c>
      <c r="E164" s="15">
        <v>15</v>
      </c>
      <c r="F164" s="15">
        <v>46</v>
      </c>
      <c r="G164" s="15">
        <v>35</v>
      </c>
      <c r="H164" s="15">
        <v>11</v>
      </c>
      <c r="I164" s="15">
        <v>7</v>
      </c>
      <c r="J164" s="15">
        <v>3</v>
      </c>
      <c r="K164" s="15">
        <v>4</v>
      </c>
      <c r="L164" s="12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</row>
    <row r="165" spans="1:55" ht="12.95" customHeight="1">
      <c r="A165" s="2"/>
      <c r="B165" s="14" t="s">
        <v>159</v>
      </c>
      <c r="C165" s="15">
        <v>81</v>
      </c>
      <c r="D165" s="15">
        <v>41</v>
      </c>
      <c r="E165" s="15">
        <v>40</v>
      </c>
      <c r="F165" s="15">
        <v>57</v>
      </c>
      <c r="G165" s="15">
        <v>29</v>
      </c>
      <c r="H165" s="15">
        <v>28</v>
      </c>
      <c r="I165" s="15">
        <v>24</v>
      </c>
      <c r="J165" s="15">
        <v>12</v>
      </c>
      <c r="K165" s="15">
        <v>12</v>
      </c>
      <c r="L165" s="12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</row>
    <row r="166" spans="1:55" ht="12.95" customHeight="1">
      <c r="A166" s="2"/>
      <c r="B166" s="14" t="s">
        <v>160</v>
      </c>
      <c r="C166" s="15">
        <v>49</v>
      </c>
      <c r="D166" s="15">
        <v>23</v>
      </c>
      <c r="E166" s="15">
        <v>26</v>
      </c>
      <c r="F166" s="15">
        <v>35</v>
      </c>
      <c r="G166" s="15">
        <v>18</v>
      </c>
      <c r="H166" s="15">
        <v>17</v>
      </c>
      <c r="I166" s="15">
        <v>14</v>
      </c>
      <c r="J166" s="15">
        <v>5</v>
      </c>
      <c r="K166" s="15">
        <v>9</v>
      </c>
      <c r="L166" s="12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</row>
    <row r="167" spans="1:55" ht="12.95" customHeight="1">
      <c r="A167" s="2"/>
      <c r="B167" s="14" t="s">
        <v>161</v>
      </c>
      <c r="C167" s="15">
        <v>133</v>
      </c>
      <c r="D167" s="15">
        <v>64</v>
      </c>
      <c r="E167" s="15">
        <v>69</v>
      </c>
      <c r="F167" s="15">
        <v>109</v>
      </c>
      <c r="G167" s="15">
        <v>53</v>
      </c>
      <c r="H167" s="15">
        <v>56</v>
      </c>
      <c r="I167" s="15">
        <v>24</v>
      </c>
      <c r="J167" s="15">
        <v>11</v>
      </c>
      <c r="K167" s="15">
        <v>13</v>
      </c>
      <c r="L167" s="12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</row>
    <row r="168" spans="1:55" ht="12.95" customHeight="1">
      <c r="A168" s="2"/>
      <c r="B168" s="14" t="s">
        <v>162</v>
      </c>
      <c r="C168" s="15">
        <v>316</v>
      </c>
      <c r="D168" s="15">
        <v>157</v>
      </c>
      <c r="E168" s="15">
        <v>159</v>
      </c>
      <c r="F168" s="15">
        <v>155</v>
      </c>
      <c r="G168" s="15">
        <v>77</v>
      </c>
      <c r="H168" s="15">
        <v>78</v>
      </c>
      <c r="I168" s="15">
        <v>161</v>
      </c>
      <c r="J168" s="15">
        <v>80</v>
      </c>
      <c r="K168" s="15">
        <v>81</v>
      </c>
      <c r="L168" s="12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</row>
    <row r="169" spans="1:55" ht="12.95" customHeight="1">
      <c r="A169" s="2"/>
      <c r="B169" s="14" t="s">
        <v>163</v>
      </c>
      <c r="C169" s="15">
        <v>162</v>
      </c>
      <c r="D169" s="15">
        <v>86</v>
      </c>
      <c r="E169" s="15">
        <v>76</v>
      </c>
      <c r="F169" s="15">
        <v>92</v>
      </c>
      <c r="G169" s="15">
        <v>49</v>
      </c>
      <c r="H169" s="15">
        <v>43</v>
      </c>
      <c r="I169" s="15">
        <v>70</v>
      </c>
      <c r="J169" s="15">
        <v>37</v>
      </c>
      <c r="K169" s="15">
        <v>33</v>
      </c>
      <c r="L169" s="12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</row>
    <row r="170" spans="1:55" ht="12.95" customHeight="1">
      <c r="A170" s="2"/>
      <c r="B170" s="14" t="s">
        <v>164</v>
      </c>
      <c r="C170" s="15">
        <v>74</v>
      </c>
      <c r="D170" s="15">
        <v>40</v>
      </c>
      <c r="E170" s="15">
        <v>34</v>
      </c>
      <c r="F170" s="15">
        <v>49</v>
      </c>
      <c r="G170" s="15">
        <v>26</v>
      </c>
      <c r="H170" s="15">
        <v>23</v>
      </c>
      <c r="I170" s="15">
        <v>25</v>
      </c>
      <c r="J170" s="15">
        <v>14</v>
      </c>
      <c r="K170" s="15">
        <v>11</v>
      </c>
      <c r="L170" s="12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</row>
    <row r="171" spans="1:55" ht="12.95" customHeight="1">
      <c r="A171" s="2"/>
      <c r="B171" s="14" t="s">
        <v>165</v>
      </c>
      <c r="C171" s="15">
        <v>460</v>
      </c>
      <c r="D171" s="15">
        <v>236</v>
      </c>
      <c r="E171" s="15">
        <v>224</v>
      </c>
      <c r="F171" s="15">
        <v>273</v>
      </c>
      <c r="G171" s="15">
        <v>143</v>
      </c>
      <c r="H171" s="15">
        <v>130</v>
      </c>
      <c r="I171" s="15">
        <v>187</v>
      </c>
      <c r="J171" s="15">
        <v>93</v>
      </c>
      <c r="K171" s="15">
        <v>94</v>
      </c>
      <c r="L171" s="12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</row>
    <row r="172" spans="1:55" ht="12.95" customHeight="1">
      <c r="A172" s="2"/>
      <c r="B172" s="14" t="s">
        <v>166</v>
      </c>
      <c r="C172" s="15">
        <v>502</v>
      </c>
      <c r="D172" s="15">
        <v>259</v>
      </c>
      <c r="E172" s="15">
        <v>243</v>
      </c>
      <c r="F172" s="15">
        <v>166</v>
      </c>
      <c r="G172" s="15">
        <v>86</v>
      </c>
      <c r="H172" s="15">
        <v>80</v>
      </c>
      <c r="I172" s="15">
        <v>336</v>
      </c>
      <c r="J172" s="15">
        <v>173</v>
      </c>
      <c r="K172" s="15">
        <v>163</v>
      </c>
      <c r="L172" s="12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</row>
    <row r="173" spans="1:55" ht="12.95" customHeight="1">
      <c r="A173" s="2"/>
      <c r="B173" s="14" t="s">
        <v>167</v>
      </c>
      <c r="C173" s="15">
        <v>128</v>
      </c>
      <c r="D173" s="15">
        <v>71</v>
      </c>
      <c r="E173" s="15">
        <v>57</v>
      </c>
      <c r="F173" s="15">
        <v>116</v>
      </c>
      <c r="G173" s="15">
        <v>65</v>
      </c>
      <c r="H173" s="15">
        <v>51</v>
      </c>
      <c r="I173" s="15">
        <v>12</v>
      </c>
      <c r="J173" s="15">
        <v>6</v>
      </c>
      <c r="K173" s="15">
        <v>6</v>
      </c>
      <c r="L173" s="12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</row>
    <row r="174" spans="1:55" ht="12.95" customHeight="1">
      <c r="A174" s="2"/>
      <c r="B174" s="14" t="s">
        <v>168</v>
      </c>
      <c r="C174" s="15">
        <v>496</v>
      </c>
      <c r="D174" s="15">
        <v>248</v>
      </c>
      <c r="E174" s="15">
        <v>248</v>
      </c>
      <c r="F174" s="15">
        <v>178</v>
      </c>
      <c r="G174" s="15">
        <v>89</v>
      </c>
      <c r="H174" s="15">
        <v>89</v>
      </c>
      <c r="I174" s="15">
        <v>318</v>
      </c>
      <c r="J174" s="15">
        <v>159</v>
      </c>
      <c r="K174" s="15">
        <v>159</v>
      </c>
      <c r="L174" s="12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</row>
    <row r="175" spans="1:55" ht="12.95" customHeight="1">
      <c r="A175" s="2"/>
      <c r="B175" s="14" t="s">
        <v>169</v>
      </c>
      <c r="C175" s="15">
        <v>191</v>
      </c>
      <c r="D175" s="15">
        <v>98</v>
      </c>
      <c r="E175" s="15">
        <v>93</v>
      </c>
      <c r="F175" s="15">
        <v>91</v>
      </c>
      <c r="G175" s="15">
        <v>45</v>
      </c>
      <c r="H175" s="15">
        <v>46</v>
      </c>
      <c r="I175" s="15">
        <v>100</v>
      </c>
      <c r="J175" s="15">
        <v>53</v>
      </c>
      <c r="K175" s="15">
        <v>47</v>
      </c>
      <c r="L175" s="12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</row>
    <row r="176" spans="1:55" ht="12.95" customHeight="1">
      <c r="A176" s="2"/>
      <c r="B176" s="14" t="s">
        <v>170</v>
      </c>
      <c r="C176" s="15">
        <v>208</v>
      </c>
      <c r="D176" s="15">
        <v>120</v>
      </c>
      <c r="E176" s="15">
        <v>88</v>
      </c>
      <c r="F176" s="15">
        <v>160</v>
      </c>
      <c r="G176" s="15">
        <v>92</v>
      </c>
      <c r="H176" s="15">
        <v>68</v>
      </c>
      <c r="I176" s="15">
        <v>48</v>
      </c>
      <c r="J176" s="15">
        <v>28</v>
      </c>
      <c r="K176" s="15">
        <v>20</v>
      </c>
      <c r="L176" s="12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</row>
    <row r="177" spans="1:55" ht="12.95" customHeight="1">
      <c r="A177" s="2"/>
      <c r="B177" s="14" t="s">
        <v>171</v>
      </c>
      <c r="C177" s="15">
        <v>105</v>
      </c>
      <c r="D177" s="15">
        <v>49</v>
      </c>
      <c r="E177" s="15">
        <v>56</v>
      </c>
      <c r="F177" s="15">
        <v>31</v>
      </c>
      <c r="G177" s="15">
        <v>11</v>
      </c>
      <c r="H177" s="15">
        <v>20</v>
      </c>
      <c r="I177" s="15">
        <v>74</v>
      </c>
      <c r="J177" s="15">
        <v>38</v>
      </c>
      <c r="K177" s="15">
        <v>36</v>
      </c>
      <c r="L177" s="12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</row>
    <row r="178" spans="1:55" ht="12.95" customHeight="1">
      <c r="A178" s="2"/>
      <c r="B178" s="14" t="s">
        <v>172</v>
      </c>
      <c r="C178" s="15">
        <v>846</v>
      </c>
      <c r="D178" s="15">
        <v>441</v>
      </c>
      <c r="E178" s="15">
        <v>405</v>
      </c>
      <c r="F178" s="15">
        <v>276</v>
      </c>
      <c r="G178" s="15">
        <v>149</v>
      </c>
      <c r="H178" s="15">
        <v>127</v>
      </c>
      <c r="I178" s="15">
        <v>570</v>
      </c>
      <c r="J178" s="15">
        <v>292</v>
      </c>
      <c r="K178" s="15">
        <v>278</v>
      </c>
      <c r="L178" s="12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</row>
    <row r="179" spans="1:55" ht="12.95" customHeight="1">
      <c r="A179" s="2"/>
      <c r="B179" s="14" t="s">
        <v>173</v>
      </c>
      <c r="C179" s="15">
        <v>53</v>
      </c>
      <c r="D179" s="15">
        <v>31</v>
      </c>
      <c r="E179" s="15">
        <v>22</v>
      </c>
      <c r="F179" s="15">
        <v>25</v>
      </c>
      <c r="G179" s="15">
        <v>15</v>
      </c>
      <c r="H179" s="15">
        <v>10</v>
      </c>
      <c r="I179" s="15">
        <v>28</v>
      </c>
      <c r="J179" s="15">
        <v>16</v>
      </c>
      <c r="K179" s="15">
        <v>12</v>
      </c>
      <c r="L179" s="12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</row>
    <row r="180" spans="1:55" ht="12.95" customHeight="1">
      <c r="A180" s="2"/>
      <c r="B180" s="8"/>
      <c r="C180" s="13"/>
      <c r="D180" s="13"/>
      <c r="E180" s="13"/>
      <c r="F180" s="13"/>
      <c r="G180" s="13"/>
      <c r="H180" s="13"/>
      <c r="I180" s="13"/>
      <c r="J180" s="13"/>
      <c r="K180" s="13"/>
      <c r="L180" s="12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</row>
    <row r="181" spans="1:55" ht="12.95" customHeight="1">
      <c r="A181" s="2"/>
      <c r="B181" s="10" t="s">
        <v>174</v>
      </c>
      <c r="C181" s="11">
        <f>SUM(C182:C190)</f>
        <v>3411</v>
      </c>
      <c r="D181" s="11">
        <f>SUM(D182:D190)</f>
        <v>1731</v>
      </c>
      <c r="E181" s="11">
        <f>SUM(E182:E190)</f>
        <v>1680</v>
      </c>
      <c r="F181" s="11">
        <f>SUM(F182:F190)</f>
        <v>1215</v>
      </c>
      <c r="G181" s="11">
        <f>SUM(G182:G190)</f>
        <v>611</v>
      </c>
      <c r="H181" s="11">
        <f>SUM(H182:H190)</f>
        <v>604</v>
      </c>
      <c r="I181" s="11">
        <f>SUM(I182:I190)</f>
        <v>2196</v>
      </c>
      <c r="J181" s="11">
        <f>SUM(J182:J190)</f>
        <v>1120</v>
      </c>
      <c r="K181" s="11">
        <f>SUM(K182:K190)</f>
        <v>1076</v>
      </c>
      <c r="L181" s="12"/>
      <c r="M181" s="7"/>
      <c r="N181" s="7"/>
      <c r="O181" s="7"/>
      <c r="P181" s="1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</row>
    <row r="182" spans="1:55" ht="12.95" customHeight="1">
      <c r="A182" s="2"/>
      <c r="B182" s="14" t="s">
        <v>175</v>
      </c>
      <c r="C182" s="15">
        <v>967</v>
      </c>
      <c r="D182" s="15">
        <v>483</v>
      </c>
      <c r="E182" s="15">
        <v>484</v>
      </c>
      <c r="F182" s="15">
        <v>427</v>
      </c>
      <c r="G182" s="15">
        <v>207</v>
      </c>
      <c r="H182" s="15">
        <v>220</v>
      </c>
      <c r="I182" s="15">
        <v>540</v>
      </c>
      <c r="J182" s="15">
        <v>276</v>
      </c>
      <c r="K182" s="15">
        <v>264</v>
      </c>
      <c r="L182" s="12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</row>
    <row r="183" spans="1:55" ht="12.95" customHeight="1">
      <c r="A183" s="2"/>
      <c r="B183" s="14" t="s">
        <v>176</v>
      </c>
      <c r="C183" s="15">
        <v>28</v>
      </c>
      <c r="D183" s="15">
        <v>13</v>
      </c>
      <c r="E183" s="15">
        <v>15</v>
      </c>
      <c r="F183" s="15">
        <v>10</v>
      </c>
      <c r="G183" s="15">
        <v>6</v>
      </c>
      <c r="H183" s="15">
        <v>4</v>
      </c>
      <c r="I183" s="15">
        <v>18</v>
      </c>
      <c r="J183" s="15">
        <v>7</v>
      </c>
      <c r="K183" s="15">
        <v>11</v>
      </c>
      <c r="L183" s="12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</row>
    <row r="184" spans="1:55" ht="12.95" customHeight="1">
      <c r="A184" s="2"/>
      <c r="B184" s="14" t="s">
        <v>177</v>
      </c>
      <c r="C184" s="15">
        <v>145</v>
      </c>
      <c r="D184" s="15">
        <v>78</v>
      </c>
      <c r="E184" s="15">
        <v>67</v>
      </c>
      <c r="F184" s="15">
        <v>59</v>
      </c>
      <c r="G184" s="15">
        <v>34</v>
      </c>
      <c r="H184" s="15">
        <v>25</v>
      </c>
      <c r="I184" s="15">
        <v>86</v>
      </c>
      <c r="J184" s="15">
        <v>44</v>
      </c>
      <c r="K184" s="15">
        <v>42</v>
      </c>
      <c r="L184" s="12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</row>
    <row r="185" spans="1:55" ht="12.95" customHeight="1">
      <c r="A185" s="2"/>
      <c r="B185" s="14" t="s">
        <v>178</v>
      </c>
      <c r="C185" s="15">
        <v>109</v>
      </c>
      <c r="D185" s="15">
        <v>44</v>
      </c>
      <c r="E185" s="15">
        <v>65</v>
      </c>
      <c r="F185" s="15">
        <v>23</v>
      </c>
      <c r="G185" s="15">
        <v>12</v>
      </c>
      <c r="H185" s="15">
        <v>11</v>
      </c>
      <c r="I185" s="15">
        <v>86</v>
      </c>
      <c r="J185" s="15">
        <v>32</v>
      </c>
      <c r="K185" s="15">
        <v>54</v>
      </c>
      <c r="L185" s="12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</row>
    <row r="186" spans="1:55" ht="12.95" customHeight="1">
      <c r="A186" s="2"/>
      <c r="B186" s="14" t="s">
        <v>179</v>
      </c>
      <c r="C186" s="15">
        <v>1493</v>
      </c>
      <c r="D186" s="15">
        <v>779</v>
      </c>
      <c r="E186" s="15">
        <v>714</v>
      </c>
      <c r="F186" s="15">
        <v>500</v>
      </c>
      <c r="G186" s="15">
        <v>254</v>
      </c>
      <c r="H186" s="15">
        <v>246</v>
      </c>
      <c r="I186" s="15">
        <v>993</v>
      </c>
      <c r="J186" s="15">
        <v>525</v>
      </c>
      <c r="K186" s="15">
        <v>468</v>
      </c>
      <c r="L186" s="12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</row>
    <row r="187" spans="1:55" ht="12.95" customHeight="1">
      <c r="A187" s="2"/>
      <c r="B187" s="14" t="s">
        <v>180</v>
      </c>
      <c r="C187" s="15">
        <v>132</v>
      </c>
      <c r="D187" s="15">
        <v>66</v>
      </c>
      <c r="E187" s="15">
        <v>66</v>
      </c>
      <c r="F187" s="15">
        <v>19</v>
      </c>
      <c r="G187" s="15">
        <v>7</v>
      </c>
      <c r="H187" s="15">
        <v>12</v>
      </c>
      <c r="I187" s="15">
        <v>113</v>
      </c>
      <c r="J187" s="15">
        <v>59</v>
      </c>
      <c r="K187" s="15">
        <v>54</v>
      </c>
      <c r="L187" s="12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</row>
    <row r="188" spans="1:55" ht="12.95" customHeight="1">
      <c r="A188" s="2"/>
      <c r="B188" s="14" t="s">
        <v>181</v>
      </c>
      <c r="C188" s="15">
        <v>153</v>
      </c>
      <c r="D188" s="15">
        <v>73</v>
      </c>
      <c r="E188" s="15">
        <v>80</v>
      </c>
      <c r="F188" s="15">
        <v>60</v>
      </c>
      <c r="G188" s="15">
        <v>34</v>
      </c>
      <c r="H188" s="15">
        <v>26</v>
      </c>
      <c r="I188" s="15">
        <v>93</v>
      </c>
      <c r="J188" s="15">
        <v>39</v>
      </c>
      <c r="K188" s="15">
        <v>54</v>
      </c>
      <c r="L188" s="12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</row>
    <row r="189" spans="1:55" ht="12.95" customHeight="1">
      <c r="A189" s="2"/>
      <c r="B189" s="14" t="s">
        <v>182</v>
      </c>
      <c r="C189" s="15">
        <v>126</v>
      </c>
      <c r="D189" s="15">
        <v>66</v>
      </c>
      <c r="E189" s="15">
        <v>60</v>
      </c>
      <c r="F189" s="15">
        <v>64</v>
      </c>
      <c r="G189" s="15">
        <v>30</v>
      </c>
      <c r="H189" s="15">
        <v>34</v>
      </c>
      <c r="I189" s="15">
        <v>62</v>
      </c>
      <c r="J189" s="15">
        <v>36</v>
      </c>
      <c r="K189" s="15">
        <v>26</v>
      </c>
      <c r="L189" s="12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</row>
    <row r="190" spans="1:55" ht="12.95" customHeight="1">
      <c r="A190" s="2"/>
      <c r="B190" s="14" t="s">
        <v>183</v>
      </c>
      <c r="C190" s="15">
        <v>258</v>
      </c>
      <c r="D190" s="15">
        <v>129</v>
      </c>
      <c r="E190" s="15">
        <v>129</v>
      </c>
      <c r="F190" s="15">
        <v>53</v>
      </c>
      <c r="G190" s="15">
        <v>27</v>
      </c>
      <c r="H190" s="15">
        <v>26</v>
      </c>
      <c r="I190" s="15">
        <v>205</v>
      </c>
      <c r="J190" s="15">
        <v>102</v>
      </c>
      <c r="K190" s="15">
        <v>103</v>
      </c>
      <c r="L190" s="12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</row>
    <row r="191" spans="1:55" ht="12.95" customHeight="1">
      <c r="A191" s="2"/>
      <c r="B191" s="8"/>
      <c r="C191" s="13"/>
      <c r="D191" s="13"/>
      <c r="E191" s="13"/>
      <c r="F191" s="13"/>
      <c r="G191" s="13"/>
      <c r="H191" s="13"/>
      <c r="I191" s="15"/>
      <c r="J191" s="13"/>
      <c r="K191" s="13"/>
      <c r="L191" s="12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spans="1:55" ht="12.95" customHeight="1">
      <c r="A192" s="2"/>
      <c r="B192" s="10" t="s">
        <v>184</v>
      </c>
      <c r="C192" s="11">
        <f>SUM(C193:C205)</f>
        <v>3073</v>
      </c>
      <c r="D192" s="11">
        <f>SUM(D193:D205)</f>
        <v>1562</v>
      </c>
      <c r="E192" s="11">
        <f>SUM(E193:E205)</f>
        <v>1511</v>
      </c>
      <c r="F192" s="11">
        <f>SUM(F193:F205)</f>
        <v>1702</v>
      </c>
      <c r="G192" s="11">
        <f>SUM(G193:G205)</f>
        <v>887</v>
      </c>
      <c r="H192" s="11">
        <f>SUM(H193:H205)</f>
        <v>815</v>
      </c>
      <c r="I192" s="11">
        <f>SUM(I193:I205)</f>
        <v>1371</v>
      </c>
      <c r="J192" s="11">
        <f>SUM(J193:J205)</f>
        <v>675</v>
      </c>
      <c r="K192" s="11">
        <f>SUM(K193:K205)</f>
        <v>696</v>
      </c>
      <c r="L192" s="12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spans="1:55" ht="12.95" customHeight="1">
      <c r="A193" s="2"/>
      <c r="B193" s="14" t="s">
        <v>185</v>
      </c>
      <c r="C193" s="15">
        <v>1017</v>
      </c>
      <c r="D193" s="15">
        <v>508</v>
      </c>
      <c r="E193" s="15">
        <v>509</v>
      </c>
      <c r="F193" s="15">
        <v>787</v>
      </c>
      <c r="G193" s="15">
        <v>400</v>
      </c>
      <c r="H193" s="15">
        <v>387</v>
      </c>
      <c r="I193" s="15">
        <v>230</v>
      </c>
      <c r="J193" s="15">
        <v>108</v>
      </c>
      <c r="K193" s="15">
        <v>122</v>
      </c>
      <c r="L193" s="12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spans="1:55" ht="12.95" customHeight="1">
      <c r="A194" s="2"/>
      <c r="B194" s="14" t="s">
        <v>186</v>
      </c>
      <c r="C194" s="15">
        <v>389</v>
      </c>
      <c r="D194" s="15">
        <v>190</v>
      </c>
      <c r="E194" s="15">
        <v>199</v>
      </c>
      <c r="F194" s="15">
        <v>153</v>
      </c>
      <c r="G194" s="15">
        <v>71</v>
      </c>
      <c r="H194" s="15">
        <v>82</v>
      </c>
      <c r="I194" s="15">
        <v>236</v>
      </c>
      <c r="J194" s="15">
        <v>119</v>
      </c>
      <c r="K194" s="15">
        <v>117</v>
      </c>
      <c r="L194" s="12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</row>
    <row r="195" spans="1:55" ht="12.95" customHeight="1">
      <c r="A195" s="2"/>
      <c r="B195" s="14" t="s">
        <v>187</v>
      </c>
      <c r="C195" s="15">
        <v>121</v>
      </c>
      <c r="D195" s="15">
        <v>60</v>
      </c>
      <c r="E195" s="15">
        <v>61</v>
      </c>
      <c r="F195" s="15">
        <v>75</v>
      </c>
      <c r="G195" s="15">
        <v>38</v>
      </c>
      <c r="H195" s="15">
        <v>37</v>
      </c>
      <c r="I195" s="15">
        <v>46</v>
      </c>
      <c r="J195" s="15">
        <v>22</v>
      </c>
      <c r="K195" s="15">
        <v>24</v>
      </c>
      <c r="L195" s="12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</row>
    <row r="196" spans="1:55" ht="12.95" customHeight="1">
      <c r="A196" s="2"/>
      <c r="B196" s="14" t="s">
        <v>188</v>
      </c>
      <c r="C196" s="15">
        <v>70</v>
      </c>
      <c r="D196" s="15">
        <v>38</v>
      </c>
      <c r="E196" s="15">
        <v>32</v>
      </c>
      <c r="F196" s="15">
        <v>39</v>
      </c>
      <c r="G196" s="15">
        <v>21</v>
      </c>
      <c r="H196" s="15">
        <v>18</v>
      </c>
      <c r="I196" s="15">
        <v>31</v>
      </c>
      <c r="J196" s="15">
        <v>17</v>
      </c>
      <c r="K196" s="15">
        <v>14</v>
      </c>
      <c r="L196" s="12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</row>
    <row r="197" spans="1:55" ht="12.95" customHeight="1">
      <c r="A197" s="2"/>
      <c r="B197" s="14" t="s">
        <v>189</v>
      </c>
      <c r="C197" s="15">
        <v>97</v>
      </c>
      <c r="D197" s="15">
        <v>39</v>
      </c>
      <c r="E197" s="15">
        <v>58</v>
      </c>
      <c r="F197" s="15">
        <v>51</v>
      </c>
      <c r="G197" s="15">
        <v>21</v>
      </c>
      <c r="H197" s="15">
        <v>30</v>
      </c>
      <c r="I197" s="15">
        <v>46</v>
      </c>
      <c r="J197" s="15">
        <v>18</v>
      </c>
      <c r="K197" s="15">
        <v>28</v>
      </c>
      <c r="L197" s="12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</row>
    <row r="198" spans="1:55" ht="12.95" customHeight="1">
      <c r="A198" s="2"/>
      <c r="B198" s="14" t="s">
        <v>190</v>
      </c>
      <c r="C198" s="15">
        <v>124</v>
      </c>
      <c r="D198" s="15">
        <v>71</v>
      </c>
      <c r="E198" s="15">
        <v>53</v>
      </c>
      <c r="F198" s="15">
        <v>37</v>
      </c>
      <c r="G198" s="15">
        <v>21</v>
      </c>
      <c r="H198" s="15">
        <v>16</v>
      </c>
      <c r="I198" s="15">
        <v>87</v>
      </c>
      <c r="J198" s="15">
        <v>50</v>
      </c>
      <c r="K198" s="15">
        <v>37</v>
      </c>
      <c r="L198" s="12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</row>
    <row r="199" spans="1:55" ht="12.95" customHeight="1">
      <c r="A199" s="2"/>
      <c r="B199" s="14" t="s">
        <v>191</v>
      </c>
      <c r="C199" s="15">
        <v>90</v>
      </c>
      <c r="D199" s="15">
        <v>49</v>
      </c>
      <c r="E199" s="15">
        <v>41</v>
      </c>
      <c r="F199" s="15">
        <v>40</v>
      </c>
      <c r="G199" s="15">
        <v>23</v>
      </c>
      <c r="H199" s="15">
        <v>17</v>
      </c>
      <c r="I199" s="15">
        <v>50</v>
      </c>
      <c r="J199" s="15">
        <v>26</v>
      </c>
      <c r="K199" s="15">
        <v>24</v>
      </c>
      <c r="L199" s="12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</row>
    <row r="200" spans="1:55" ht="12.95" customHeight="1">
      <c r="A200" s="2"/>
      <c r="B200" s="14" t="s">
        <v>192</v>
      </c>
      <c r="C200" s="15">
        <v>249</v>
      </c>
      <c r="D200" s="15">
        <v>112</v>
      </c>
      <c r="E200" s="15">
        <v>137</v>
      </c>
      <c r="F200" s="15">
        <v>109</v>
      </c>
      <c r="G200" s="15">
        <v>56</v>
      </c>
      <c r="H200" s="15">
        <v>53</v>
      </c>
      <c r="I200" s="15">
        <v>140</v>
      </c>
      <c r="J200" s="15">
        <v>56</v>
      </c>
      <c r="K200" s="15">
        <v>84</v>
      </c>
      <c r="L200" s="12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</row>
    <row r="201" spans="1:55" ht="12.95" customHeight="1">
      <c r="A201" s="2"/>
      <c r="B201" s="14" t="s">
        <v>193</v>
      </c>
      <c r="C201" s="15">
        <v>113</v>
      </c>
      <c r="D201" s="15">
        <v>64</v>
      </c>
      <c r="E201" s="15">
        <v>49</v>
      </c>
      <c r="F201" s="15">
        <v>37</v>
      </c>
      <c r="G201" s="15">
        <v>22</v>
      </c>
      <c r="H201" s="15">
        <v>15</v>
      </c>
      <c r="I201" s="15">
        <v>76</v>
      </c>
      <c r="J201" s="15">
        <v>42</v>
      </c>
      <c r="K201" s="15">
        <v>34</v>
      </c>
      <c r="L201" s="12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</row>
    <row r="202" spans="1:55" ht="12.95" customHeight="1">
      <c r="A202" s="2"/>
      <c r="B202" s="14" t="s">
        <v>194</v>
      </c>
      <c r="C202" s="15">
        <v>149</v>
      </c>
      <c r="D202" s="15">
        <v>72</v>
      </c>
      <c r="E202" s="15">
        <v>77</v>
      </c>
      <c r="F202" s="15">
        <v>86</v>
      </c>
      <c r="G202" s="15">
        <v>46</v>
      </c>
      <c r="H202" s="15">
        <v>40</v>
      </c>
      <c r="I202" s="15">
        <v>63</v>
      </c>
      <c r="J202" s="15">
        <v>26</v>
      </c>
      <c r="K202" s="15">
        <v>37</v>
      </c>
      <c r="L202" s="12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</row>
    <row r="203" spans="1:55" ht="12.95" customHeight="1">
      <c r="A203" s="2"/>
      <c r="B203" s="14" t="s">
        <v>195</v>
      </c>
      <c r="C203" s="15">
        <v>490</v>
      </c>
      <c r="D203" s="15">
        <v>265</v>
      </c>
      <c r="E203" s="15">
        <v>225</v>
      </c>
      <c r="F203" s="15">
        <v>202</v>
      </c>
      <c r="G203" s="15">
        <v>115</v>
      </c>
      <c r="H203" s="15">
        <v>87</v>
      </c>
      <c r="I203" s="15">
        <v>288</v>
      </c>
      <c r="J203" s="15">
        <v>150</v>
      </c>
      <c r="K203" s="15">
        <v>138</v>
      </c>
      <c r="L203" s="12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</row>
    <row r="204" spans="1:55" ht="12.95" customHeight="1">
      <c r="A204" s="2"/>
      <c r="B204" s="14" t="s">
        <v>196</v>
      </c>
      <c r="C204" s="15">
        <v>48</v>
      </c>
      <c r="D204" s="15">
        <v>27</v>
      </c>
      <c r="E204" s="15">
        <v>21</v>
      </c>
      <c r="F204" s="15">
        <v>37</v>
      </c>
      <c r="G204" s="15">
        <v>21</v>
      </c>
      <c r="H204" s="15">
        <v>16</v>
      </c>
      <c r="I204" s="15">
        <v>11</v>
      </c>
      <c r="J204" s="15">
        <v>6</v>
      </c>
      <c r="K204" s="15">
        <v>5</v>
      </c>
      <c r="L204" s="12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</row>
    <row r="205" spans="1:55" ht="12.95" customHeight="1">
      <c r="A205" s="2"/>
      <c r="B205" s="14" t="s">
        <v>197</v>
      </c>
      <c r="C205" s="15">
        <v>116</v>
      </c>
      <c r="D205" s="15">
        <v>67</v>
      </c>
      <c r="E205" s="15">
        <v>49</v>
      </c>
      <c r="F205" s="15">
        <v>49</v>
      </c>
      <c r="G205" s="15">
        <v>32</v>
      </c>
      <c r="H205" s="15">
        <v>17</v>
      </c>
      <c r="I205" s="15">
        <v>67</v>
      </c>
      <c r="J205" s="15">
        <v>35</v>
      </c>
      <c r="K205" s="15">
        <v>32</v>
      </c>
      <c r="L205" s="12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</row>
    <row r="206" spans="1:55" ht="12.95" customHeight="1">
      <c r="A206" s="2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12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</row>
    <row r="207" spans="1:55" ht="12.95" customHeight="1">
      <c r="A207" s="2"/>
      <c r="B207" s="21" t="s">
        <v>198</v>
      </c>
      <c r="C207" s="11">
        <f>SUM(C208:C230)</f>
        <v>6723</v>
      </c>
      <c r="D207" s="11">
        <f>SUM(D208:D230)</f>
        <v>3475</v>
      </c>
      <c r="E207" s="11">
        <f>SUM(E208:E230)</f>
        <v>3248</v>
      </c>
      <c r="F207" s="11">
        <f>SUM(F208:F230)</f>
        <v>3426</v>
      </c>
      <c r="G207" s="11">
        <f>SUM(G208:G230)</f>
        <v>1732</v>
      </c>
      <c r="H207" s="11">
        <f>SUM(H208:H230)</f>
        <v>1694</v>
      </c>
      <c r="I207" s="11">
        <f>SUM(I208:I230)</f>
        <v>3297</v>
      </c>
      <c r="J207" s="11">
        <f>SUM(J208:J230)</f>
        <v>1743</v>
      </c>
      <c r="K207" s="11">
        <f>SUM(K208:K230)</f>
        <v>1554</v>
      </c>
      <c r="L207" s="12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</row>
    <row r="208" spans="1:55" ht="12.95" customHeight="1">
      <c r="A208" s="2"/>
      <c r="B208" s="14" t="s">
        <v>199</v>
      </c>
      <c r="C208" s="15">
        <v>1402</v>
      </c>
      <c r="D208" s="15">
        <v>727</v>
      </c>
      <c r="E208" s="15">
        <v>675</v>
      </c>
      <c r="F208" s="15">
        <v>1058</v>
      </c>
      <c r="G208" s="15">
        <v>540</v>
      </c>
      <c r="H208" s="15">
        <v>518</v>
      </c>
      <c r="I208" s="15">
        <v>344</v>
      </c>
      <c r="J208" s="15">
        <v>187</v>
      </c>
      <c r="K208" s="15">
        <v>157</v>
      </c>
      <c r="L208" s="12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</row>
    <row r="209" spans="1:55" ht="12.95" customHeight="1">
      <c r="A209" s="2"/>
      <c r="B209" s="14" t="s">
        <v>200</v>
      </c>
      <c r="C209" s="15">
        <v>207</v>
      </c>
      <c r="D209" s="15">
        <v>105</v>
      </c>
      <c r="E209" s="15">
        <v>102</v>
      </c>
      <c r="F209" s="15">
        <v>36</v>
      </c>
      <c r="G209" s="15">
        <v>18</v>
      </c>
      <c r="H209" s="15">
        <v>18</v>
      </c>
      <c r="I209" s="15">
        <v>171</v>
      </c>
      <c r="J209" s="15">
        <v>87</v>
      </c>
      <c r="K209" s="15">
        <v>84</v>
      </c>
      <c r="L209" s="12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</row>
    <row r="210" spans="1:55" ht="12.95" customHeight="1">
      <c r="A210" s="2"/>
      <c r="B210" s="14" t="s">
        <v>201</v>
      </c>
      <c r="C210" s="15">
        <v>398</v>
      </c>
      <c r="D210" s="15">
        <v>198</v>
      </c>
      <c r="E210" s="15">
        <v>200</v>
      </c>
      <c r="F210" s="15">
        <v>209</v>
      </c>
      <c r="G210" s="15">
        <v>98</v>
      </c>
      <c r="H210" s="15">
        <v>111</v>
      </c>
      <c r="I210" s="15">
        <v>189</v>
      </c>
      <c r="J210" s="15">
        <v>100</v>
      </c>
      <c r="K210" s="15">
        <v>89</v>
      </c>
      <c r="L210" s="12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</row>
    <row r="211" spans="1:55" ht="12.95" customHeight="1">
      <c r="A211" s="2"/>
      <c r="B211" s="14" t="s">
        <v>202</v>
      </c>
      <c r="C211" s="15">
        <v>52</v>
      </c>
      <c r="D211" s="15">
        <v>27</v>
      </c>
      <c r="E211" s="15">
        <v>25</v>
      </c>
      <c r="F211" s="15">
        <v>31</v>
      </c>
      <c r="G211" s="15">
        <v>14</v>
      </c>
      <c r="H211" s="15">
        <v>17</v>
      </c>
      <c r="I211" s="15">
        <v>21</v>
      </c>
      <c r="J211" s="15">
        <v>13</v>
      </c>
      <c r="K211" s="15">
        <v>8</v>
      </c>
      <c r="L211" s="12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</row>
    <row r="212" spans="1:55" ht="12.95" customHeight="1">
      <c r="A212" s="2"/>
      <c r="B212" s="14" t="s">
        <v>203</v>
      </c>
      <c r="C212" s="15">
        <v>261</v>
      </c>
      <c r="D212" s="15">
        <v>120</v>
      </c>
      <c r="E212" s="15">
        <v>141</v>
      </c>
      <c r="F212" s="15">
        <v>88</v>
      </c>
      <c r="G212" s="15">
        <v>44</v>
      </c>
      <c r="H212" s="15">
        <v>44</v>
      </c>
      <c r="I212" s="15">
        <v>173</v>
      </c>
      <c r="J212" s="15">
        <v>76</v>
      </c>
      <c r="K212" s="15">
        <v>97</v>
      </c>
      <c r="L212" s="12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</row>
    <row r="213" spans="1:55" ht="12.95" customHeight="1">
      <c r="A213" s="2"/>
      <c r="B213" s="14" t="s">
        <v>204</v>
      </c>
      <c r="C213" s="15">
        <v>141</v>
      </c>
      <c r="D213" s="15">
        <v>75</v>
      </c>
      <c r="E213" s="15">
        <v>66</v>
      </c>
      <c r="F213" s="15">
        <v>93</v>
      </c>
      <c r="G213" s="15">
        <v>43</v>
      </c>
      <c r="H213" s="15">
        <v>50</v>
      </c>
      <c r="I213" s="15">
        <v>48</v>
      </c>
      <c r="J213" s="15">
        <v>32</v>
      </c>
      <c r="K213" s="15">
        <v>16</v>
      </c>
      <c r="L213" s="12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</row>
    <row r="214" spans="1:55" ht="12.95" customHeight="1">
      <c r="A214" s="2"/>
      <c r="B214" s="14" t="s">
        <v>205</v>
      </c>
      <c r="C214" s="15">
        <v>139</v>
      </c>
      <c r="D214" s="15">
        <v>75</v>
      </c>
      <c r="E214" s="15">
        <v>64</v>
      </c>
      <c r="F214" s="15">
        <v>55</v>
      </c>
      <c r="G214" s="15">
        <v>28</v>
      </c>
      <c r="H214" s="15">
        <v>27</v>
      </c>
      <c r="I214" s="15">
        <v>84</v>
      </c>
      <c r="J214" s="15">
        <v>47</v>
      </c>
      <c r="K214" s="15">
        <v>37</v>
      </c>
      <c r="L214" s="12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</row>
    <row r="215" spans="1:55" ht="12.95" customHeight="1">
      <c r="A215" s="2"/>
      <c r="B215" s="14" t="s">
        <v>206</v>
      </c>
      <c r="C215" s="15">
        <v>175</v>
      </c>
      <c r="D215" s="15">
        <v>92</v>
      </c>
      <c r="E215" s="15">
        <v>83</v>
      </c>
      <c r="F215" s="15">
        <v>77</v>
      </c>
      <c r="G215" s="15">
        <v>40</v>
      </c>
      <c r="H215" s="15">
        <v>37</v>
      </c>
      <c r="I215" s="15">
        <v>98</v>
      </c>
      <c r="J215" s="15">
        <v>52</v>
      </c>
      <c r="K215" s="15">
        <v>46</v>
      </c>
      <c r="L215" s="12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</row>
    <row r="216" spans="1:55" ht="12.95" customHeight="1">
      <c r="A216" s="2"/>
      <c r="B216" s="14" t="s">
        <v>207</v>
      </c>
      <c r="C216" s="15">
        <v>970</v>
      </c>
      <c r="D216" s="15">
        <v>513</v>
      </c>
      <c r="E216" s="15">
        <v>457</v>
      </c>
      <c r="F216" s="15">
        <v>212</v>
      </c>
      <c r="G216" s="15">
        <v>109</v>
      </c>
      <c r="H216" s="15">
        <v>103</v>
      </c>
      <c r="I216" s="15">
        <v>758</v>
      </c>
      <c r="J216" s="15">
        <v>404</v>
      </c>
      <c r="K216" s="15">
        <v>354</v>
      </c>
      <c r="L216" s="12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</row>
    <row r="217" spans="1:55" ht="12.95" customHeight="1">
      <c r="A217" s="2"/>
      <c r="B217" s="14" t="s">
        <v>208</v>
      </c>
      <c r="C217" s="15">
        <v>372</v>
      </c>
      <c r="D217" s="15">
        <v>184</v>
      </c>
      <c r="E217" s="15">
        <v>188</v>
      </c>
      <c r="F217" s="15">
        <v>210</v>
      </c>
      <c r="G217" s="15">
        <v>101</v>
      </c>
      <c r="H217" s="15">
        <v>109</v>
      </c>
      <c r="I217" s="15">
        <v>162</v>
      </c>
      <c r="J217" s="15">
        <v>83</v>
      </c>
      <c r="K217" s="15">
        <v>79</v>
      </c>
      <c r="L217" s="12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</row>
    <row r="218" spans="1:55" ht="12.95" customHeight="1">
      <c r="A218" s="2"/>
      <c r="B218" s="14" t="s">
        <v>209</v>
      </c>
      <c r="C218" s="15">
        <v>212</v>
      </c>
      <c r="D218" s="15">
        <v>104</v>
      </c>
      <c r="E218" s="15">
        <v>108</v>
      </c>
      <c r="F218" s="15">
        <v>98</v>
      </c>
      <c r="G218" s="15">
        <v>48</v>
      </c>
      <c r="H218" s="15">
        <v>50</v>
      </c>
      <c r="I218" s="15">
        <v>114</v>
      </c>
      <c r="J218" s="15">
        <v>56</v>
      </c>
      <c r="K218" s="15">
        <v>58</v>
      </c>
      <c r="L218" s="12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</row>
    <row r="219" spans="1:55" ht="12.95" customHeight="1">
      <c r="A219" s="2"/>
      <c r="B219" s="14" t="s">
        <v>210</v>
      </c>
      <c r="C219" s="15">
        <v>228</v>
      </c>
      <c r="D219" s="15">
        <v>125</v>
      </c>
      <c r="E219" s="15">
        <v>103</v>
      </c>
      <c r="F219" s="15">
        <v>76</v>
      </c>
      <c r="G219" s="15">
        <v>38</v>
      </c>
      <c r="H219" s="15">
        <v>38</v>
      </c>
      <c r="I219" s="15">
        <v>152</v>
      </c>
      <c r="J219" s="15">
        <v>87</v>
      </c>
      <c r="K219" s="15">
        <v>65</v>
      </c>
      <c r="L219" s="12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</row>
    <row r="220" spans="1:55" ht="12.95" customHeight="1">
      <c r="A220" s="2"/>
      <c r="B220" s="14" t="s">
        <v>211</v>
      </c>
      <c r="C220" s="15">
        <v>139</v>
      </c>
      <c r="D220" s="15">
        <v>75</v>
      </c>
      <c r="E220" s="15">
        <v>64</v>
      </c>
      <c r="F220" s="15">
        <v>39</v>
      </c>
      <c r="G220" s="15">
        <v>21</v>
      </c>
      <c r="H220" s="15">
        <v>18</v>
      </c>
      <c r="I220" s="15">
        <v>100</v>
      </c>
      <c r="J220" s="15">
        <v>54</v>
      </c>
      <c r="K220" s="15">
        <v>46</v>
      </c>
      <c r="L220" s="12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</row>
    <row r="221" spans="1:55" ht="12.95" customHeight="1">
      <c r="A221" s="2"/>
      <c r="B221" s="14" t="s">
        <v>212</v>
      </c>
      <c r="C221" s="15">
        <v>230</v>
      </c>
      <c r="D221" s="15">
        <v>122</v>
      </c>
      <c r="E221" s="15">
        <v>108</v>
      </c>
      <c r="F221" s="15">
        <v>117</v>
      </c>
      <c r="G221" s="15">
        <v>60</v>
      </c>
      <c r="H221" s="15">
        <v>57</v>
      </c>
      <c r="I221" s="15">
        <v>113</v>
      </c>
      <c r="J221" s="15">
        <v>62</v>
      </c>
      <c r="K221" s="15">
        <v>51</v>
      </c>
      <c r="L221" s="12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</row>
    <row r="222" spans="1:55" ht="12.95" customHeight="1">
      <c r="A222" s="2"/>
      <c r="B222" s="14" t="s">
        <v>213</v>
      </c>
      <c r="C222" s="15">
        <v>291</v>
      </c>
      <c r="D222" s="15">
        <v>161</v>
      </c>
      <c r="E222" s="15">
        <v>130</v>
      </c>
      <c r="F222" s="15">
        <v>215</v>
      </c>
      <c r="G222" s="15">
        <v>118</v>
      </c>
      <c r="H222" s="15">
        <v>97</v>
      </c>
      <c r="I222" s="15">
        <v>76</v>
      </c>
      <c r="J222" s="15">
        <v>43</v>
      </c>
      <c r="K222" s="15">
        <v>33</v>
      </c>
      <c r="L222" s="12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</row>
    <row r="223" spans="1:55" ht="12.95" customHeight="1">
      <c r="A223" s="2"/>
      <c r="B223" s="14" t="s">
        <v>214</v>
      </c>
      <c r="C223" s="15">
        <v>106</v>
      </c>
      <c r="D223" s="15">
        <v>53</v>
      </c>
      <c r="E223" s="15">
        <v>53</v>
      </c>
      <c r="F223" s="15">
        <v>47</v>
      </c>
      <c r="G223" s="15">
        <v>25</v>
      </c>
      <c r="H223" s="15">
        <v>22</v>
      </c>
      <c r="I223" s="15">
        <v>59</v>
      </c>
      <c r="J223" s="15">
        <v>28</v>
      </c>
      <c r="K223" s="15">
        <v>31</v>
      </c>
      <c r="L223" s="12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</row>
    <row r="224" spans="1:55" ht="12.95" customHeight="1">
      <c r="A224" s="2"/>
      <c r="B224" s="14" t="s">
        <v>215</v>
      </c>
      <c r="C224" s="15">
        <v>110</v>
      </c>
      <c r="D224" s="15">
        <v>59</v>
      </c>
      <c r="E224" s="15">
        <v>51</v>
      </c>
      <c r="F224" s="15">
        <v>49</v>
      </c>
      <c r="G224" s="15">
        <v>28</v>
      </c>
      <c r="H224" s="15">
        <v>21</v>
      </c>
      <c r="I224" s="15">
        <v>61</v>
      </c>
      <c r="J224" s="15">
        <v>31</v>
      </c>
      <c r="K224" s="15">
        <v>30</v>
      </c>
      <c r="L224" s="12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</row>
    <row r="225" spans="1:55" ht="12.95" customHeight="1">
      <c r="A225" s="2"/>
      <c r="B225" s="14" t="s">
        <v>216</v>
      </c>
      <c r="C225" s="15">
        <v>110</v>
      </c>
      <c r="D225" s="15">
        <v>55</v>
      </c>
      <c r="E225" s="15">
        <v>55</v>
      </c>
      <c r="F225" s="15">
        <v>65</v>
      </c>
      <c r="G225" s="15">
        <v>34</v>
      </c>
      <c r="H225" s="15">
        <v>31</v>
      </c>
      <c r="I225" s="15">
        <v>45</v>
      </c>
      <c r="J225" s="15">
        <v>21</v>
      </c>
      <c r="K225" s="15">
        <v>24</v>
      </c>
      <c r="L225" s="12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</row>
    <row r="226" spans="1:55" ht="12.95" customHeight="1">
      <c r="A226" s="2"/>
      <c r="B226" s="14" t="s">
        <v>217</v>
      </c>
      <c r="C226" s="15">
        <v>109</v>
      </c>
      <c r="D226" s="15">
        <v>56</v>
      </c>
      <c r="E226" s="15">
        <v>53</v>
      </c>
      <c r="F226" s="15">
        <v>35</v>
      </c>
      <c r="G226" s="15">
        <v>15</v>
      </c>
      <c r="H226" s="15">
        <v>20</v>
      </c>
      <c r="I226" s="15">
        <v>74</v>
      </c>
      <c r="J226" s="15">
        <v>41</v>
      </c>
      <c r="K226" s="15">
        <v>33</v>
      </c>
      <c r="L226" s="12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</row>
    <row r="227" spans="1:55" ht="12.95" customHeight="1">
      <c r="A227" s="2"/>
      <c r="B227" s="14" t="s">
        <v>218</v>
      </c>
      <c r="C227" s="15">
        <v>379</v>
      </c>
      <c r="D227" s="15">
        <v>186</v>
      </c>
      <c r="E227" s="15">
        <v>193</v>
      </c>
      <c r="F227" s="15">
        <v>131</v>
      </c>
      <c r="G227" s="15">
        <v>56</v>
      </c>
      <c r="H227" s="15">
        <v>75</v>
      </c>
      <c r="I227" s="15">
        <v>248</v>
      </c>
      <c r="J227" s="15">
        <v>130</v>
      </c>
      <c r="K227" s="15">
        <v>118</v>
      </c>
      <c r="L227" s="12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</row>
    <row r="228" spans="1:55" ht="12.95" customHeight="1">
      <c r="A228" s="2"/>
      <c r="B228" s="14" t="s">
        <v>219</v>
      </c>
      <c r="C228" s="15">
        <v>179</v>
      </c>
      <c r="D228" s="15">
        <v>100</v>
      </c>
      <c r="E228" s="15">
        <v>79</v>
      </c>
      <c r="F228" s="15">
        <v>144</v>
      </c>
      <c r="G228" s="15">
        <v>78</v>
      </c>
      <c r="H228" s="15">
        <v>66</v>
      </c>
      <c r="I228" s="15">
        <v>35</v>
      </c>
      <c r="J228" s="15">
        <v>22</v>
      </c>
      <c r="K228" s="15">
        <v>13</v>
      </c>
      <c r="L228" s="12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</row>
    <row r="229" spans="1:55" ht="12.95" customHeight="1">
      <c r="A229" s="2"/>
      <c r="B229" s="14" t="s">
        <v>220</v>
      </c>
      <c r="C229" s="15">
        <v>354</v>
      </c>
      <c r="D229" s="15">
        <v>181</v>
      </c>
      <c r="E229" s="15">
        <v>173</v>
      </c>
      <c r="F229" s="15">
        <v>277</v>
      </c>
      <c r="G229" s="15">
        <v>141</v>
      </c>
      <c r="H229" s="15">
        <v>136</v>
      </c>
      <c r="I229" s="15">
        <v>77</v>
      </c>
      <c r="J229" s="15">
        <v>40</v>
      </c>
      <c r="K229" s="15">
        <v>37</v>
      </c>
      <c r="L229" s="12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</row>
    <row r="230" spans="1:55" ht="12.95" customHeight="1">
      <c r="A230" s="2"/>
      <c r="B230" s="14" t="s">
        <v>221</v>
      </c>
      <c r="C230" s="15">
        <v>159</v>
      </c>
      <c r="D230" s="15">
        <v>82</v>
      </c>
      <c r="E230" s="15">
        <v>77</v>
      </c>
      <c r="F230" s="15">
        <v>64</v>
      </c>
      <c r="G230" s="15">
        <v>35</v>
      </c>
      <c r="H230" s="15">
        <v>29</v>
      </c>
      <c r="I230" s="15">
        <v>95</v>
      </c>
      <c r="J230" s="15">
        <v>47</v>
      </c>
      <c r="K230" s="15">
        <v>48</v>
      </c>
      <c r="L230" s="12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</row>
    <row r="231" spans="1:55" ht="12.95" customHeight="1">
      <c r="A231" s="2"/>
      <c r="B231" s="8"/>
      <c r="C231" s="13"/>
      <c r="D231" s="13"/>
      <c r="E231" s="13"/>
      <c r="F231" s="13"/>
      <c r="G231" s="13"/>
      <c r="H231" s="13"/>
      <c r="I231" s="13"/>
      <c r="J231" s="13"/>
      <c r="K231" s="13"/>
      <c r="L231" s="12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</row>
    <row r="232" spans="1:55" ht="12.95" customHeight="1">
      <c r="A232" s="2"/>
      <c r="B232" s="10" t="s">
        <v>222</v>
      </c>
      <c r="C232" s="11">
        <f>SUM(C233:C252)</f>
        <v>9377</v>
      </c>
      <c r="D232" s="11">
        <f>SUM(D233:D252)</f>
        <v>4746</v>
      </c>
      <c r="E232" s="11">
        <f>SUM(E233:E252)</f>
        <v>4631</v>
      </c>
      <c r="F232" s="11">
        <f>SUM(F233:F252)</f>
        <v>6504</v>
      </c>
      <c r="G232" s="11">
        <f>SUM(G233:G252)</f>
        <v>3282</v>
      </c>
      <c r="H232" s="11">
        <f>SUM(H233:H252)</f>
        <v>3222</v>
      </c>
      <c r="I232" s="11">
        <f>SUM(I233:I252)</f>
        <v>2873</v>
      </c>
      <c r="J232" s="11">
        <f>SUM(J233:J252)</f>
        <v>1464</v>
      </c>
      <c r="K232" s="11">
        <f>SUM(K233:K252)</f>
        <v>1409</v>
      </c>
      <c r="L232" s="12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</row>
    <row r="233" spans="1:55" ht="12.95" customHeight="1">
      <c r="A233" s="2"/>
      <c r="B233" s="14" t="s">
        <v>223</v>
      </c>
      <c r="C233" s="15">
        <v>4818</v>
      </c>
      <c r="D233" s="15">
        <v>2432</v>
      </c>
      <c r="E233" s="15">
        <v>2386</v>
      </c>
      <c r="F233" s="15">
        <v>4740</v>
      </c>
      <c r="G233" s="15">
        <v>2397</v>
      </c>
      <c r="H233" s="15">
        <v>2343</v>
      </c>
      <c r="I233" s="15">
        <v>78</v>
      </c>
      <c r="J233" s="15">
        <v>35</v>
      </c>
      <c r="K233" s="15">
        <v>43</v>
      </c>
      <c r="L233" s="12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</row>
    <row r="234" spans="1:55" ht="12.95" customHeight="1">
      <c r="A234" s="2"/>
      <c r="B234" s="14" t="s">
        <v>224</v>
      </c>
      <c r="C234" s="15">
        <v>138</v>
      </c>
      <c r="D234" s="15">
        <v>81</v>
      </c>
      <c r="E234" s="15">
        <v>57</v>
      </c>
      <c r="F234" s="15">
        <v>34</v>
      </c>
      <c r="G234" s="15">
        <v>17</v>
      </c>
      <c r="H234" s="15">
        <v>17</v>
      </c>
      <c r="I234" s="15">
        <v>104</v>
      </c>
      <c r="J234" s="15">
        <v>64</v>
      </c>
      <c r="K234" s="15">
        <v>40</v>
      </c>
      <c r="L234" s="12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</row>
    <row r="235" spans="1:55" ht="12.95" customHeight="1">
      <c r="A235" s="2"/>
      <c r="B235" s="14" t="s">
        <v>225</v>
      </c>
      <c r="C235" s="15">
        <v>607</v>
      </c>
      <c r="D235" s="15">
        <v>301</v>
      </c>
      <c r="E235" s="15">
        <v>306</v>
      </c>
      <c r="F235" s="15">
        <v>261</v>
      </c>
      <c r="G235" s="15">
        <v>130</v>
      </c>
      <c r="H235" s="15">
        <v>131</v>
      </c>
      <c r="I235" s="15">
        <v>346</v>
      </c>
      <c r="J235" s="15">
        <v>171</v>
      </c>
      <c r="K235" s="15">
        <v>175</v>
      </c>
      <c r="L235" s="12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</row>
    <row r="236" spans="1:55" ht="12.95" customHeight="1">
      <c r="A236" s="2"/>
      <c r="B236" s="14" t="s">
        <v>226</v>
      </c>
      <c r="C236" s="15">
        <v>57</v>
      </c>
      <c r="D236" s="15">
        <v>31</v>
      </c>
      <c r="E236" s="15">
        <v>26</v>
      </c>
      <c r="F236" s="15">
        <v>17</v>
      </c>
      <c r="G236" s="15">
        <v>9</v>
      </c>
      <c r="H236" s="15">
        <v>8</v>
      </c>
      <c r="I236" s="15">
        <v>40</v>
      </c>
      <c r="J236" s="15">
        <v>22</v>
      </c>
      <c r="K236" s="15">
        <v>18</v>
      </c>
      <c r="L236" s="12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</row>
    <row r="237" spans="1:55" ht="12.95" customHeight="1">
      <c r="A237" s="2"/>
      <c r="B237" s="14" t="s">
        <v>227</v>
      </c>
      <c r="C237" s="15">
        <v>271</v>
      </c>
      <c r="D237" s="15">
        <v>139</v>
      </c>
      <c r="E237" s="15">
        <v>132</v>
      </c>
      <c r="F237" s="15">
        <v>84</v>
      </c>
      <c r="G237" s="15">
        <v>44</v>
      </c>
      <c r="H237" s="15">
        <v>40</v>
      </c>
      <c r="I237" s="15">
        <v>187</v>
      </c>
      <c r="J237" s="15">
        <v>95</v>
      </c>
      <c r="K237" s="15">
        <v>92</v>
      </c>
      <c r="L237" s="12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</row>
    <row r="238" spans="1:55" ht="12.95" customHeight="1">
      <c r="A238" s="2"/>
      <c r="B238" s="14" t="s">
        <v>228</v>
      </c>
      <c r="C238" s="15">
        <v>483</v>
      </c>
      <c r="D238" s="15">
        <v>252</v>
      </c>
      <c r="E238" s="15">
        <v>231</v>
      </c>
      <c r="F238" s="15">
        <v>195</v>
      </c>
      <c r="G238" s="15">
        <v>107</v>
      </c>
      <c r="H238" s="15">
        <v>88</v>
      </c>
      <c r="I238" s="15">
        <v>288</v>
      </c>
      <c r="J238" s="15">
        <v>145</v>
      </c>
      <c r="K238" s="15">
        <v>143</v>
      </c>
      <c r="L238" s="12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</row>
    <row r="239" spans="1:55" ht="12.95" customHeight="1">
      <c r="A239" s="2"/>
      <c r="B239" s="14" t="s">
        <v>229</v>
      </c>
      <c r="C239" s="15">
        <v>454</v>
      </c>
      <c r="D239" s="15">
        <v>225</v>
      </c>
      <c r="E239" s="15">
        <v>229</v>
      </c>
      <c r="F239" s="15">
        <v>199</v>
      </c>
      <c r="G239" s="15">
        <v>98</v>
      </c>
      <c r="H239" s="15">
        <v>101</v>
      </c>
      <c r="I239" s="15">
        <v>255</v>
      </c>
      <c r="J239" s="15">
        <v>127</v>
      </c>
      <c r="K239" s="15">
        <v>128</v>
      </c>
      <c r="L239" s="12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</row>
    <row r="240" spans="1:55" ht="12.95" customHeight="1">
      <c r="A240" s="2"/>
      <c r="B240" s="14" t="s">
        <v>230</v>
      </c>
      <c r="C240" s="15">
        <v>378</v>
      </c>
      <c r="D240" s="15">
        <v>186</v>
      </c>
      <c r="E240" s="15">
        <v>192</v>
      </c>
      <c r="F240" s="15">
        <v>213</v>
      </c>
      <c r="G240" s="15">
        <v>101</v>
      </c>
      <c r="H240" s="15">
        <v>112</v>
      </c>
      <c r="I240" s="15">
        <v>165</v>
      </c>
      <c r="J240" s="15">
        <v>85</v>
      </c>
      <c r="K240" s="15">
        <v>80</v>
      </c>
      <c r="L240" s="12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</row>
    <row r="241" spans="1:55" ht="12.95" customHeight="1">
      <c r="A241" s="2"/>
      <c r="B241" s="14" t="s">
        <v>231</v>
      </c>
      <c r="C241" s="15">
        <v>284</v>
      </c>
      <c r="D241" s="15">
        <v>157</v>
      </c>
      <c r="E241" s="15">
        <v>127</v>
      </c>
      <c r="F241" s="15">
        <v>96</v>
      </c>
      <c r="G241" s="15">
        <v>57</v>
      </c>
      <c r="H241" s="15">
        <v>39</v>
      </c>
      <c r="I241" s="15">
        <v>188</v>
      </c>
      <c r="J241" s="15">
        <v>100</v>
      </c>
      <c r="K241" s="15">
        <v>88</v>
      </c>
      <c r="L241" s="12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</row>
    <row r="242" spans="1:55" ht="12.95" customHeight="1">
      <c r="A242" s="2"/>
      <c r="B242" s="14" t="s">
        <v>232</v>
      </c>
      <c r="C242" s="15">
        <v>467</v>
      </c>
      <c r="D242" s="15">
        <v>234</v>
      </c>
      <c r="E242" s="15">
        <v>233</v>
      </c>
      <c r="F242" s="15">
        <v>72</v>
      </c>
      <c r="G242" s="15">
        <v>34</v>
      </c>
      <c r="H242" s="15">
        <v>38</v>
      </c>
      <c r="I242" s="15">
        <v>395</v>
      </c>
      <c r="J242" s="15">
        <v>200</v>
      </c>
      <c r="K242" s="15">
        <v>195</v>
      </c>
      <c r="L242" s="12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</row>
    <row r="243" spans="1:55" ht="12.95" customHeight="1">
      <c r="A243" s="2"/>
      <c r="B243" s="14" t="s">
        <v>233</v>
      </c>
      <c r="C243" s="15">
        <v>117</v>
      </c>
      <c r="D243" s="15">
        <v>49</v>
      </c>
      <c r="E243" s="15">
        <v>68</v>
      </c>
      <c r="F243" s="15">
        <v>116</v>
      </c>
      <c r="G243" s="15">
        <v>48</v>
      </c>
      <c r="H243" s="15">
        <v>68</v>
      </c>
      <c r="I243" s="15">
        <v>1</v>
      </c>
      <c r="J243" s="15">
        <v>1</v>
      </c>
      <c r="K243" s="15">
        <v>0</v>
      </c>
      <c r="L243" s="12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</row>
    <row r="244" spans="1:55" ht="12.95" customHeight="1">
      <c r="A244" s="2"/>
      <c r="B244" s="14" t="s">
        <v>234</v>
      </c>
      <c r="C244" s="15">
        <v>88</v>
      </c>
      <c r="D244" s="15">
        <v>45</v>
      </c>
      <c r="E244" s="15">
        <v>43</v>
      </c>
      <c r="F244" s="15">
        <v>22</v>
      </c>
      <c r="G244" s="15">
        <v>10</v>
      </c>
      <c r="H244" s="15">
        <v>12</v>
      </c>
      <c r="I244" s="15">
        <v>66</v>
      </c>
      <c r="J244" s="15">
        <v>35</v>
      </c>
      <c r="K244" s="15">
        <v>31</v>
      </c>
      <c r="L244" s="12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</row>
    <row r="245" spans="1:55" ht="12.95" customHeight="1">
      <c r="A245" s="2"/>
      <c r="B245" s="14" t="s">
        <v>235</v>
      </c>
      <c r="C245" s="15">
        <v>148</v>
      </c>
      <c r="D245" s="15">
        <v>80</v>
      </c>
      <c r="E245" s="15">
        <v>68</v>
      </c>
      <c r="F245" s="15">
        <v>52</v>
      </c>
      <c r="G245" s="15">
        <v>29</v>
      </c>
      <c r="H245" s="15">
        <v>23</v>
      </c>
      <c r="I245" s="15">
        <v>96</v>
      </c>
      <c r="J245" s="15">
        <v>51</v>
      </c>
      <c r="K245" s="15">
        <v>45</v>
      </c>
      <c r="L245" s="12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</row>
    <row r="246" spans="1:55" ht="12.95" customHeight="1">
      <c r="A246" s="2"/>
      <c r="B246" s="14" t="s">
        <v>236</v>
      </c>
      <c r="C246" s="15">
        <v>113</v>
      </c>
      <c r="D246" s="15">
        <v>59</v>
      </c>
      <c r="E246" s="15">
        <v>54</v>
      </c>
      <c r="F246" s="15">
        <v>13</v>
      </c>
      <c r="G246" s="15">
        <v>9</v>
      </c>
      <c r="H246" s="15">
        <v>4</v>
      </c>
      <c r="I246" s="15">
        <v>100</v>
      </c>
      <c r="J246" s="15">
        <v>50</v>
      </c>
      <c r="K246" s="15">
        <v>50</v>
      </c>
      <c r="L246" s="12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</row>
    <row r="247" spans="1:55" ht="12.95" customHeight="1">
      <c r="A247" s="2"/>
      <c r="B247" s="14" t="s">
        <v>237</v>
      </c>
      <c r="C247" s="15">
        <v>114</v>
      </c>
      <c r="D247" s="15">
        <v>60</v>
      </c>
      <c r="E247" s="15">
        <v>54</v>
      </c>
      <c r="F247" s="15">
        <v>43</v>
      </c>
      <c r="G247" s="15">
        <v>24</v>
      </c>
      <c r="H247" s="15">
        <v>19</v>
      </c>
      <c r="I247" s="15">
        <v>71</v>
      </c>
      <c r="J247" s="15">
        <v>36</v>
      </c>
      <c r="K247" s="15">
        <v>35</v>
      </c>
      <c r="L247" s="12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</row>
    <row r="248" spans="1:55" ht="12.95" customHeight="1">
      <c r="A248" s="2"/>
      <c r="B248" s="14" t="s">
        <v>238</v>
      </c>
      <c r="C248" s="15">
        <v>196</v>
      </c>
      <c r="D248" s="15">
        <v>97</v>
      </c>
      <c r="E248" s="15">
        <v>99</v>
      </c>
      <c r="F248" s="15">
        <v>93</v>
      </c>
      <c r="G248" s="15">
        <v>48</v>
      </c>
      <c r="H248" s="15">
        <v>45</v>
      </c>
      <c r="I248" s="15">
        <v>103</v>
      </c>
      <c r="J248" s="15">
        <v>49</v>
      </c>
      <c r="K248" s="15">
        <v>54</v>
      </c>
      <c r="L248" s="12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</row>
    <row r="249" spans="1:55" ht="12.95" customHeight="1">
      <c r="A249" s="2"/>
      <c r="B249" s="14" t="s">
        <v>239</v>
      </c>
      <c r="C249" s="15">
        <v>92</v>
      </c>
      <c r="D249" s="15">
        <v>41</v>
      </c>
      <c r="E249" s="15">
        <v>51</v>
      </c>
      <c r="F249" s="15">
        <v>24</v>
      </c>
      <c r="G249" s="15">
        <v>11</v>
      </c>
      <c r="H249" s="15">
        <v>13</v>
      </c>
      <c r="I249" s="15">
        <v>68</v>
      </c>
      <c r="J249" s="15">
        <v>30</v>
      </c>
      <c r="K249" s="15">
        <v>38</v>
      </c>
      <c r="L249" s="12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</row>
    <row r="250" spans="1:55" ht="12.95" customHeight="1">
      <c r="A250" s="2"/>
      <c r="B250" s="14" t="s">
        <v>240</v>
      </c>
      <c r="C250" s="15">
        <v>290</v>
      </c>
      <c r="D250" s="15">
        <v>145</v>
      </c>
      <c r="E250" s="15">
        <v>145</v>
      </c>
      <c r="F250" s="15">
        <v>163</v>
      </c>
      <c r="G250" s="15">
        <v>77</v>
      </c>
      <c r="H250" s="15">
        <v>86</v>
      </c>
      <c r="I250" s="15">
        <v>127</v>
      </c>
      <c r="J250" s="15">
        <v>68</v>
      </c>
      <c r="K250" s="15">
        <v>59</v>
      </c>
      <c r="L250" s="12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</row>
    <row r="251" spans="1:55" ht="12.95" customHeight="1">
      <c r="A251" s="2"/>
      <c r="B251" s="14" t="s">
        <v>241</v>
      </c>
      <c r="C251" s="15">
        <v>191</v>
      </c>
      <c r="D251" s="15">
        <v>100</v>
      </c>
      <c r="E251" s="15">
        <v>91</v>
      </c>
      <c r="F251" s="15">
        <v>36</v>
      </c>
      <c r="G251" s="15">
        <v>21</v>
      </c>
      <c r="H251" s="15">
        <v>15</v>
      </c>
      <c r="I251" s="15">
        <v>155</v>
      </c>
      <c r="J251" s="15">
        <v>79</v>
      </c>
      <c r="K251" s="15">
        <v>76</v>
      </c>
      <c r="L251" s="12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</row>
    <row r="252" spans="1:55" ht="12.95" customHeight="1">
      <c r="A252" s="2"/>
      <c r="B252" s="14" t="s">
        <v>242</v>
      </c>
      <c r="C252" s="15">
        <v>71</v>
      </c>
      <c r="D252" s="15">
        <v>32</v>
      </c>
      <c r="E252" s="15">
        <v>39</v>
      </c>
      <c r="F252" s="15">
        <v>31</v>
      </c>
      <c r="G252" s="15">
        <v>11</v>
      </c>
      <c r="H252" s="15">
        <v>20</v>
      </c>
      <c r="I252" s="15">
        <v>40</v>
      </c>
      <c r="J252" s="15">
        <v>21</v>
      </c>
      <c r="K252" s="15">
        <v>19</v>
      </c>
      <c r="L252" s="12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</row>
    <row r="253" spans="1:55" ht="12.95" customHeight="1">
      <c r="A253" s="2"/>
      <c r="B253" s="8"/>
      <c r="C253" s="13"/>
      <c r="D253" s="13"/>
      <c r="E253" s="13"/>
      <c r="F253" s="13"/>
      <c r="G253" s="13"/>
      <c r="H253" s="13"/>
      <c r="I253" s="13"/>
      <c r="J253" s="13"/>
      <c r="K253" s="13"/>
      <c r="L253" s="12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</row>
    <row r="254" spans="1:55" ht="12.95" customHeight="1">
      <c r="A254" s="2"/>
      <c r="B254" s="10" t="s">
        <v>243</v>
      </c>
      <c r="C254" s="17">
        <f>SUM(C255:C280)</f>
        <v>3834</v>
      </c>
      <c r="D254" s="17">
        <f>SUM(D255:D280)</f>
        <v>1994</v>
      </c>
      <c r="E254" s="17">
        <f>SUM(E255:E280)</f>
        <v>1840</v>
      </c>
      <c r="F254" s="17">
        <f>SUM(F255:F280)</f>
        <v>1321</v>
      </c>
      <c r="G254" s="17">
        <f>SUM(G255:G280)</f>
        <v>712</v>
      </c>
      <c r="H254" s="17">
        <f>SUM(H255:H280)</f>
        <v>609</v>
      </c>
      <c r="I254" s="17">
        <f>SUM(I255:I280)</f>
        <v>2513</v>
      </c>
      <c r="J254" s="17">
        <f>SUM(J255:J280)</f>
        <v>1282</v>
      </c>
      <c r="K254" s="17">
        <f>SUM(K255:K280)</f>
        <v>1231</v>
      </c>
      <c r="L254" s="12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</row>
    <row r="255" spans="1:55" ht="12.95" customHeight="1">
      <c r="A255" s="2"/>
      <c r="B255" s="14" t="s">
        <v>244</v>
      </c>
      <c r="C255" s="15">
        <v>473</v>
      </c>
      <c r="D255" s="15">
        <v>282</v>
      </c>
      <c r="E255" s="15">
        <v>191</v>
      </c>
      <c r="F255" s="15">
        <v>348</v>
      </c>
      <c r="G255" s="15">
        <v>209</v>
      </c>
      <c r="H255" s="15">
        <v>139</v>
      </c>
      <c r="I255" s="15">
        <v>125</v>
      </c>
      <c r="J255" s="15">
        <v>73</v>
      </c>
      <c r="K255" s="15">
        <v>52</v>
      </c>
      <c r="L255" s="12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</row>
    <row r="256" spans="1:55" ht="12.95" customHeight="1">
      <c r="A256" s="2"/>
      <c r="B256" s="14" t="s">
        <v>245</v>
      </c>
      <c r="C256" s="15">
        <v>117</v>
      </c>
      <c r="D256" s="15">
        <v>62</v>
      </c>
      <c r="E256" s="15">
        <v>55</v>
      </c>
      <c r="F256" s="15">
        <v>18</v>
      </c>
      <c r="G256" s="15">
        <v>11</v>
      </c>
      <c r="H256" s="15">
        <v>7</v>
      </c>
      <c r="I256" s="15">
        <v>99</v>
      </c>
      <c r="J256" s="15">
        <v>51</v>
      </c>
      <c r="K256" s="15">
        <v>48</v>
      </c>
      <c r="L256" s="12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</row>
    <row r="257" spans="1:55" ht="12.95" customHeight="1">
      <c r="A257" s="2"/>
      <c r="B257" s="14" t="s">
        <v>246</v>
      </c>
      <c r="C257" s="15">
        <v>191</v>
      </c>
      <c r="D257" s="15">
        <v>91</v>
      </c>
      <c r="E257" s="15">
        <v>100</v>
      </c>
      <c r="F257" s="15">
        <v>25</v>
      </c>
      <c r="G257" s="15">
        <v>9</v>
      </c>
      <c r="H257" s="15">
        <v>16</v>
      </c>
      <c r="I257" s="15">
        <v>166</v>
      </c>
      <c r="J257" s="15">
        <v>82</v>
      </c>
      <c r="K257" s="15">
        <v>84</v>
      </c>
      <c r="L257" s="12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</row>
    <row r="258" spans="1:55" ht="12.95" customHeight="1">
      <c r="A258" s="2"/>
      <c r="B258" s="14" t="s">
        <v>247</v>
      </c>
      <c r="C258" s="15">
        <v>427</v>
      </c>
      <c r="D258" s="15">
        <v>214</v>
      </c>
      <c r="E258" s="15">
        <v>213</v>
      </c>
      <c r="F258" s="15">
        <v>106</v>
      </c>
      <c r="G258" s="15">
        <v>55</v>
      </c>
      <c r="H258" s="15">
        <v>51</v>
      </c>
      <c r="I258" s="15">
        <v>321</v>
      </c>
      <c r="J258" s="15">
        <v>159</v>
      </c>
      <c r="K258" s="15">
        <v>162</v>
      </c>
      <c r="L258" s="12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</row>
    <row r="259" spans="1:55" ht="12.95" customHeight="1">
      <c r="A259" s="2"/>
      <c r="B259" s="14" t="s">
        <v>248</v>
      </c>
      <c r="C259" s="15">
        <v>224</v>
      </c>
      <c r="D259" s="15">
        <v>122</v>
      </c>
      <c r="E259" s="15">
        <v>102</v>
      </c>
      <c r="F259" s="15">
        <v>103</v>
      </c>
      <c r="G259" s="15">
        <v>60</v>
      </c>
      <c r="H259" s="15">
        <v>43</v>
      </c>
      <c r="I259" s="15">
        <v>121</v>
      </c>
      <c r="J259" s="15">
        <v>62</v>
      </c>
      <c r="K259" s="15">
        <v>59</v>
      </c>
      <c r="L259" s="12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</row>
    <row r="260" spans="1:55" ht="12.95" customHeight="1">
      <c r="A260" s="2"/>
      <c r="B260" s="14" t="s">
        <v>249</v>
      </c>
      <c r="C260" s="15">
        <v>92</v>
      </c>
      <c r="D260" s="15">
        <v>42</v>
      </c>
      <c r="E260" s="15">
        <v>50</v>
      </c>
      <c r="F260" s="15">
        <v>62</v>
      </c>
      <c r="G260" s="15">
        <v>27</v>
      </c>
      <c r="H260" s="15">
        <v>35</v>
      </c>
      <c r="I260" s="15">
        <v>30</v>
      </c>
      <c r="J260" s="15">
        <v>15</v>
      </c>
      <c r="K260" s="15">
        <v>15</v>
      </c>
      <c r="L260" s="12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</row>
    <row r="261" spans="1:55" ht="12.95" customHeight="1">
      <c r="A261" s="2"/>
      <c r="B261" s="14" t="s">
        <v>250</v>
      </c>
      <c r="C261" s="15">
        <v>158</v>
      </c>
      <c r="D261" s="15">
        <v>81</v>
      </c>
      <c r="E261" s="15">
        <v>77</v>
      </c>
      <c r="F261" s="15">
        <v>51</v>
      </c>
      <c r="G261" s="15">
        <v>24</v>
      </c>
      <c r="H261" s="15">
        <v>27</v>
      </c>
      <c r="I261" s="15">
        <v>107</v>
      </c>
      <c r="J261" s="15">
        <v>57</v>
      </c>
      <c r="K261" s="15">
        <v>50</v>
      </c>
      <c r="L261" s="12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</row>
    <row r="262" spans="1:55" ht="12.95" customHeight="1">
      <c r="A262" s="2"/>
      <c r="B262" s="14" t="s">
        <v>251</v>
      </c>
      <c r="C262" s="15">
        <v>25</v>
      </c>
      <c r="D262" s="15">
        <v>15</v>
      </c>
      <c r="E262" s="15">
        <v>10</v>
      </c>
      <c r="F262" s="15">
        <v>12</v>
      </c>
      <c r="G262" s="15">
        <v>9</v>
      </c>
      <c r="H262" s="15">
        <v>3</v>
      </c>
      <c r="I262" s="15">
        <v>13</v>
      </c>
      <c r="J262" s="15">
        <v>6</v>
      </c>
      <c r="K262" s="15">
        <v>7</v>
      </c>
      <c r="L262" s="12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</row>
    <row r="263" spans="1:55" ht="12.95" customHeight="1">
      <c r="A263" s="2"/>
      <c r="B263" s="14" t="s">
        <v>252</v>
      </c>
      <c r="C263" s="15">
        <v>77</v>
      </c>
      <c r="D263" s="15">
        <v>37</v>
      </c>
      <c r="E263" s="15">
        <v>40</v>
      </c>
      <c r="F263" s="15">
        <v>20</v>
      </c>
      <c r="G263" s="15">
        <v>10</v>
      </c>
      <c r="H263" s="15">
        <v>10</v>
      </c>
      <c r="I263" s="15">
        <v>57</v>
      </c>
      <c r="J263" s="15">
        <v>27</v>
      </c>
      <c r="K263" s="15">
        <v>30</v>
      </c>
      <c r="L263" s="12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</row>
    <row r="264" spans="1:55" ht="12.95" customHeight="1">
      <c r="A264" s="2"/>
      <c r="B264" s="14" t="s">
        <v>253</v>
      </c>
      <c r="C264" s="15">
        <v>272</v>
      </c>
      <c r="D264" s="15">
        <v>130</v>
      </c>
      <c r="E264" s="15">
        <v>142</v>
      </c>
      <c r="F264" s="15">
        <v>89</v>
      </c>
      <c r="G264" s="15">
        <v>39</v>
      </c>
      <c r="H264" s="15">
        <v>50</v>
      </c>
      <c r="I264" s="15">
        <v>183</v>
      </c>
      <c r="J264" s="15">
        <v>91</v>
      </c>
      <c r="K264" s="15">
        <v>92</v>
      </c>
      <c r="L264" s="12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</row>
    <row r="265" spans="1:55" ht="12.95" customHeight="1">
      <c r="A265" s="2"/>
      <c r="B265" s="14" t="s">
        <v>254</v>
      </c>
      <c r="C265" s="15">
        <v>80</v>
      </c>
      <c r="D265" s="15">
        <v>47</v>
      </c>
      <c r="E265" s="15">
        <v>33</v>
      </c>
      <c r="F265" s="15">
        <v>17</v>
      </c>
      <c r="G265" s="15">
        <v>7</v>
      </c>
      <c r="H265" s="15">
        <v>10</v>
      </c>
      <c r="I265" s="15">
        <v>63</v>
      </c>
      <c r="J265" s="15">
        <v>40</v>
      </c>
      <c r="K265" s="15">
        <v>23</v>
      </c>
      <c r="L265" s="12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</row>
    <row r="266" spans="1:55" ht="12.95" customHeight="1">
      <c r="A266" s="2"/>
      <c r="B266" s="14" t="s">
        <v>255</v>
      </c>
      <c r="C266" s="15">
        <v>77</v>
      </c>
      <c r="D266" s="15">
        <v>47</v>
      </c>
      <c r="E266" s="15">
        <v>30</v>
      </c>
      <c r="F266" s="15">
        <v>51</v>
      </c>
      <c r="G266" s="15">
        <v>31</v>
      </c>
      <c r="H266" s="15">
        <v>20</v>
      </c>
      <c r="I266" s="15">
        <v>26</v>
      </c>
      <c r="J266" s="15">
        <v>16</v>
      </c>
      <c r="K266" s="15">
        <v>10</v>
      </c>
      <c r="L266" s="12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</row>
    <row r="267" spans="1:55" ht="12.95" customHeight="1">
      <c r="A267" s="2"/>
      <c r="B267" s="14" t="s">
        <v>256</v>
      </c>
      <c r="C267" s="15">
        <v>195</v>
      </c>
      <c r="D267" s="15">
        <v>104</v>
      </c>
      <c r="E267" s="15">
        <v>91</v>
      </c>
      <c r="F267" s="15">
        <v>63</v>
      </c>
      <c r="G267" s="15">
        <v>32</v>
      </c>
      <c r="H267" s="15">
        <v>31</v>
      </c>
      <c r="I267" s="15">
        <v>132</v>
      </c>
      <c r="J267" s="15">
        <v>72</v>
      </c>
      <c r="K267" s="15">
        <v>60</v>
      </c>
      <c r="L267" s="12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</row>
    <row r="268" spans="1:55" ht="12.95" customHeight="1">
      <c r="A268" s="2"/>
      <c r="B268" s="14" t="s">
        <v>257</v>
      </c>
      <c r="C268" s="15">
        <v>97</v>
      </c>
      <c r="D268" s="15">
        <v>53</v>
      </c>
      <c r="E268" s="15">
        <v>44</v>
      </c>
      <c r="F268" s="15">
        <v>38</v>
      </c>
      <c r="G268" s="15">
        <v>22</v>
      </c>
      <c r="H268" s="15">
        <v>16</v>
      </c>
      <c r="I268" s="15">
        <v>59</v>
      </c>
      <c r="J268" s="15">
        <v>31</v>
      </c>
      <c r="K268" s="15">
        <v>28</v>
      </c>
      <c r="L268" s="12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</row>
    <row r="269" spans="1:55" ht="12.95" customHeight="1">
      <c r="A269" s="2"/>
      <c r="B269" s="14" t="s">
        <v>258</v>
      </c>
      <c r="C269" s="15">
        <v>116</v>
      </c>
      <c r="D269" s="15">
        <v>60</v>
      </c>
      <c r="E269" s="15">
        <v>56</v>
      </c>
      <c r="F269" s="15">
        <v>20</v>
      </c>
      <c r="G269" s="15">
        <v>11</v>
      </c>
      <c r="H269" s="15">
        <v>9</v>
      </c>
      <c r="I269" s="15">
        <v>96</v>
      </c>
      <c r="J269" s="15">
        <v>49</v>
      </c>
      <c r="K269" s="15">
        <v>47</v>
      </c>
      <c r="L269" s="12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</row>
    <row r="270" spans="1:55" ht="12.95" customHeight="1">
      <c r="A270" s="2"/>
      <c r="B270" s="14" t="s">
        <v>259</v>
      </c>
      <c r="C270" s="15">
        <v>179</v>
      </c>
      <c r="D270" s="15">
        <v>87</v>
      </c>
      <c r="E270" s="15">
        <v>92</v>
      </c>
      <c r="F270" s="15">
        <v>40</v>
      </c>
      <c r="G270" s="15">
        <v>15</v>
      </c>
      <c r="H270" s="15">
        <v>25</v>
      </c>
      <c r="I270" s="15">
        <v>139</v>
      </c>
      <c r="J270" s="15">
        <v>72</v>
      </c>
      <c r="K270" s="15">
        <v>67</v>
      </c>
      <c r="L270" s="12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</row>
    <row r="271" spans="1:55" ht="12.95" customHeight="1">
      <c r="A271" s="2"/>
      <c r="B271" s="14" t="s">
        <v>260</v>
      </c>
      <c r="C271" s="15">
        <v>137</v>
      </c>
      <c r="D271" s="15">
        <v>62</v>
      </c>
      <c r="E271" s="15">
        <v>75</v>
      </c>
      <c r="F271" s="15">
        <v>22</v>
      </c>
      <c r="G271" s="15">
        <v>13</v>
      </c>
      <c r="H271" s="15">
        <v>9</v>
      </c>
      <c r="I271" s="15">
        <v>115</v>
      </c>
      <c r="J271" s="15">
        <v>49</v>
      </c>
      <c r="K271" s="15">
        <v>66</v>
      </c>
      <c r="L271" s="12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</row>
    <row r="272" spans="1:55" ht="12.95" customHeight="1">
      <c r="A272" s="2"/>
      <c r="B272" s="14" t="s">
        <v>261</v>
      </c>
      <c r="C272" s="15">
        <v>101</v>
      </c>
      <c r="D272" s="15">
        <v>48</v>
      </c>
      <c r="E272" s="15">
        <v>53</v>
      </c>
      <c r="F272" s="15">
        <v>22</v>
      </c>
      <c r="G272" s="15">
        <v>12</v>
      </c>
      <c r="H272" s="15">
        <v>10</v>
      </c>
      <c r="I272" s="15">
        <v>79</v>
      </c>
      <c r="J272" s="15">
        <v>36</v>
      </c>
      <c r="K272" s="15">
        <v>43</v>
      </c>
      <c r="L272" s="12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</row>
    <row r="273" spans="1:55" ht="12.95" customHeight="1">
      <c r="A273" s="2"/>
      <c r="B273" s="14" t="s">
        <v>262</v>
      </c>
      <c r="C273" s="15">
        <v>34</v>
      </c>
      <c r="D273" s="15">
        <v>20</v>
      </c>
      <c r="E273" s="15">
        <v>14</v>
      </c>
      <c r="F273" s="15">
        <v>13</v>
      </c>
      <c r="G273" s="15">
        <v>10</v>
      </c>
      <c r="H273" s="15">
        <v>3</v>
      </c>
      <c r="I273" s="15">
        <v>21</v>
      </c>
      <c r="J273" s="15">
        <v>10</v>
      </c>
      <c r="K273" s="15">
        <v>11</v>
      </c>
      <c r="L273" s="12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</row>
    <row r="274" spans="1:55" ht="12.95" customHeight="1">
      <c r="A274" s="2"/>
      <c r="B274" s="14" t="s">
        <v>263</v>
      </c>
      <c r="C274" s="15">
        <v>51</v>
      </c>
      <c r="D274" s="15">
        <v>33</v>
      </c>
      <c r="E274" s="15">
        <v>18</v>
      </c>
      <c r="F274" s="15">
        <v>15</v>
      </c>
      <c r="G274" s="15">
        <v>11</v>
      </c>
      <c r="H274" s="15">
        <v>4</v>
      </c>
      <c r="I274" s="15">
        <v>36</v>
      </c>
      <c r="J274" s="15">
        <v>22</v>
      </c>
      <c r="K274" s="15">
        <v>14</v>
      </c>
      <c r="L274" s="12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</row>
    <row r="275" spans="1:55" ht="12.95" customHeight="1">
      <c r="A275" s="2"/>
      <c r="B275" s="14" t="s">
        <v>264</v>
      </c>
      <c r="C275" s="15">
        <v>234</v>
      </c>
      <c r="D275" s="15">
        <v>120</v>
      </c>
      <c r="E275" s="15">
        <v>114</v>
      </c>
      <c r="F275" s="15">
        <v>49</v>
      </c>
      <c r="G275" s="15">
        <v>28</v>
      </c>
      <c r="H275" s="15">
        <v>21</v>
      </c>
      <c r="I275" s="15">
        <v>185</v>
      </c>
      <c r="J275" s="15">
        <v>92</v>
      </c>
      <c r="K275" s="15">
        <v>93</v>
      </c>
      <c r="L275" s="12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</row>
    <row r="276" spans="1:55" ht="12.95" customHeight="1">
      <c r="A276" s="2"/>
      <c r="B276" s="14" t="s">
        <v>265</v>
      </c>
      <c r="C276" s="15">
        <v>47</v>
      </c>
      <c r="D276" s="15">
        <v>17</v>
      </c>
      <c r="E276" s="15">
        <v>30</v>
      </c>
      <c r="F276" s="15">
        <v>24</v>
      </c>
      <c r="G276" s="15">
        <v>8</v>
      </c>
      <c r="H276" s="15">
        <v>16</v>
      </c>
      <c r="I276" s="15">
        <v>23</v>
      </c>
      <c r="J276" s="15">
        <v>9</v>
      </c>
      <c r="K276" s="15">
        <v>14</v>
      </c>
      <c r="L276" s="12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</row>
    <row r="277" spans="1:55" ht="12.95" customHeight="1">
      <c r="A277" s="2"/>
      <c r="B277" s="14" t="s">
        <v>266</v>
      </c>
      <c r="C277" s="15">
        <v>217</v>
      </c>
      <c r="D277" s="15">
        <v>112</v>
      </c>
      <c r="E277" s="15">
        <v>105</v>
      </c>
      <c r="F277" s="15">
        <v>55</v>
      </c>
      <c r="G277" s="15">
        <v>32</v>
      </c>
      <c r="H277" s="15">
        <v>23</v>
      </c>
      <c r="I277" s="15">
        <v>162</v>
      </c>
      <c r="J277" s="15">
        <v>80</v>
      </c>
      <c r="K277" s="15">
        <v>82</v>
      </c>
      <c r="L277" s="12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</row>
    <row r="278" spans="1:55" ht="12.95" customHeight="1">
      <c r="A278" s="2"/>
      <c r="B278" s="14" t="s">
        <v>267</v>
      </c>
      <c r="C278" s="15">
        <v>58</v>
      </c>
      <c r="D278" s="15">
        <v>34</v>
      </c>
      <c r="E278" s="15">
        <v>24</v>
      </c>
      <c r="F278" s="15">
        <v>9</v>
      </c>
      <c r="G278" s="15">
        <v>5</v>
      </c>
      <c r="H278" s="15">
        <v>4</v>
      </c>
      <c r="I278" s="15">
        <v>49</v>
      </c>
      <c r="J278" s="15">
        <v>29</v>
      </c>
      <c r="K278" s="15">
        <v>20</v>
      </c>
      <c r="L278" s="12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</row>
    <row r="279" spans="1:55" ht="12.95" customHeight="1">
      <c r="A279" s="2"/>
      <c r="B279" s="14" t="s">
        <v>268</v>
      </c>
      <c r="C279" s="15">
        <v>94</v>
      </c>
      <c r="D279" s="15">
        <v>44</v>
      </c>
      <c r="E279" s="15">
        <v>50</v>
      </c>
      <c r="F279" s="15">
        <v>22</v>
      </c>
      <c r="G279" s="15">
        <v>10</v>
      </c>
      <c r="H279" s="15">
        <v>12</v>
      </c>
      <c r="I279" s="15">
        <v>72</v>
      </c>
      <c r="J279" s="15">
        <v>34</v>
      </c>
      <c r="K279" s="15">
        <v>38</v>
      </c>
      <c r="L279" s="12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</row>
    <row r="280" spans="1:55" ht="12.95" customHeight="1">
      <c r="A280" s="2"/>
      <c r="B280" s="14" t="s">
        <v>269</v>
      </c>
      <c r="C280" s="15">
        <v>61</v>
      </c>
      <c r="D280" s="15">
        <v>30</v>
      </c>
      <c r="E280" s="15">
        <v>31</v>
      </c>
      <c r="F280" s="15">
        <v>27</v>
      </c>
      <c r="G280" s="15">
        <v>12</v>
      </c>
      <c r="H280" s="15">
        <v>15</v>
      </c>
      <c r="I280" s="15">
        <v>34</v>
      </c>
      <c r="J280" s="15">
        <v>18</v>
      </c>
      <c r="K280" s="15">
        <v>16</v>
      </c>
      <c r="L280" s="12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</row>
    <row r="281" spans="1:55" ht="12.95" customHeight="1">
      <c r="A281" s="2"/>
      <c r="B281" s="8"/>
      <c r="C281" s="13"/>
      <c r="D281" s="13"/>
      <c r="E281" s="13"/>
      <c r="F281" s="13"/>
      <c r="G281" s="13"/>
      <c r="H281" s="13"/>
      <c r="I281" s="15"/>
      <c r="J281" s="13"/>
      <c r="K281" s="13"/>
      <c r="L281" s="12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</row>
    <row r="282" spans="1:55" ht="12.95" customHeight="1">
      <c r="A282" s="2"/>
      <c r="B282" s="10" t="s">
        <v>270</v>
      </c>
      <c r="C282" s="11">
        <f>SUM(C283:C300)</f>
        <v>5574</v>
      </c>
      <c r="D282" s="11">
        <f>SUM(D283:D300)</f>
        <v>2841</v>
      </c>
      <c r="E282" s="11">
        <f>SUM(E283:E300)</f>
        <v>2733</v>
      </c>
      <c r="F282" s="11">
        <f>SUM(F283:F300)</f>
        <v>2268</v>
      </c>
      <c r="G282" s="11">
        <f>SUM(G283:G300)</f>
        <v>1168</v>
      </c>
      <c r="H282" s="11">
        <f>SUM(H283:H300)</f>
        <v>1100</v>
      </c>
      <c r="I282" s="11">
        <f>SUM(I283:I300)</f>
        <v>3306</v>
      </c>
      <c r="J282" s="11">
        <f>SUM(J283:J300)</f>
        <v>1673</v>
      </c>
      <c r="K282" s="11">
        <f>SUM(K283:K300)</f>
        <v>1633</v>
      </c>
      <c r="L282" s="12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</row>
    <row r="283" spans="1:55" ht="12.95" customHeight="1">
      <c r="A283" s="2"/>
      <c r="B283" s="14" t="s">
        <v>271</v>
      </c>
      <c r="C283" s="15">
        <v>893</v>
      </c>
      <c r="D283" s="15">
        <v>456</v>
      </c>
      <c r="E283" s="15">
        <v>437</v>
      </c>
      <c r="F283" s="15">
        <v>617</v>
      </c>
      <c r="G283" s="15">
        <v>326</v>
      </c>
      <c r="H283" s="15">
        <v>291</v>
      </c>
      <c r="I283" s="15">
        <v>276</v>
      </c>
      <c r="J283" s="15">
        <v>130</v>
      </c>
      <c r="K283" s="15">
        <v>146</v>
      </c>
      <c r="L283" s="12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</row>
    <row r="284" spans="1:55" ht="12.95" customHeight="1">
      <c r="A284" s="2"/>
      <c r="B284" s="14" t="s">
        <v>272</v>
      </c>
      <c r="C284" s="15">
        <v>278</v>
      </c>
      <c r="D284" s="15">
        <v>146</v>
      </c>
      <c r="E284" s="15">
        <v>132</v>
      </c>
      <c r="F284" s="15">
        <v>52</v>
      </c>
      <c r="G284" s="15">
        <v>27</v>
      </c>
      <c r="H284" s="15">
        <v>25</v>
      </c>
      <c r="I284" s="15">
        <v>226</v>
      </c>
      <c r="J284" s="15">
        <v>119</v>
      </c>
      <c r="K284" s="15">
        <v>107</v>
      </c>
      <c r="L284" s="12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</row>
    <row r="285" spans="1:55" ht="12.95" customHeight="1">
      <c r="A285" s="2"/>
      <c r="B285" s="14" t="s">
        <v>273</v>
      </c>
      <c r="C285" s="15">
        <v>91</v>
      </c>
      <c r="D285" s="15">
        <v>44</v>
      </c>
      <c r="E285" s="15">
        <v>47</v>
      </c>
      <c r="F285" s="15">
        <v>27</v>
      </c>
      <c r="G285" s="15">
        <v>15</v>
      </c>
      <c r="H285" s="15">
        <v>12</v>
      </c>
      <c r="I285" s="15">
        <v>64</v>
      </c>
      <c r="J285" s="15">
        <v>29</v>
      </c>
      <c r="K285" s="15">
        <v>35</v>
      </c>
      <c r="L285" s="12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</row>
    <row r="286" spans="1:55" ht="12.95" customHeight="1">
      <c r="A286" s="2"/>
      <c r="B286" s="14" t="s">
        <v>274</v>
      </c>
      <c r="C286" s="15">
        <v>220</v>
      </c>
      <c r="D286" s="15">
        <v>119</v>
      </c>
      <c r="E286" s="15">
        <v>101</v>
      </c>
      <c r="F286" s="15">
        <v>36</v>
      </c>
      <c r="G286" s="15">
        <v>23</v>
      </c>
      <c r="H286" s="15">
        <v>13</v>
      </c>
      <c r="I286" s="15">
        <v>184</v>
      </c>
      <c r="J286" s="15">
        <v>96</v>
      </c>
      <c r="K286" s="15">
        <v>88</v>
      </c>
      <c r="L286" s="12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</row>
    <row r="287" spans="1:55" ht="12.95" customHeight="1">
      <c r="A287" s="2"/>
      <c r="B287" s="14" t="s">
        <v>275</v>
      </c>
      <c r="C287" s="15">
        <v>823</v>
      </c>
      <c r="D287" s="15">
        <v>432</v>
      </c>
      <c r="E287" s="15">
        <v>391</v>
      </c>
      <c r="F287" s="15">
        <v>296</v>
      </c>
      <c r="G287" s="15">
        <v>149</v>
      </c>
      <c r="H287" s="15">
        <v>147</v>
      </c>
      <c r="I287" s="15">
        <v>527</v>
      </c>
      <c r="J287" s="15">
        <v>283</v>
      </c>
      <c r="K287" s="15">
        <v>244</v>
      </c>
      <c r="L287" s="12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</row>
    <row r="288" spans="1:55" ht="12.95" customHeight="1">
      <c r="A288" s="2"/>
      <c r="B288" s="14" t="s">
        <v>276</v>
      </c>
      <c r="C288" s="15">
        <v>310</v>
      </c>
      <c r="D288" s="15">
        <v>140</v>
      </c>
      <c r="E288" s="15">
        <v>170</v>
      </c>
      <c r="F288" s="15">
        <v>72</v>
      </c>
      <c r="G288" s="15">
        <v>26</v>
      </c>
      <c r="H288" s="15">
        <v>46</v>
      </c>
      <c r="I288" s="15">
        <v>238</v>
      </c>
      <c r="J288" s="15">
        <v>114</v>
      </c>
      <c r="K288" s="15">
        <v>124</v>
      </c>
      <c r="L288" s="12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</row>
    <row r="289" spans="1:55" ht="12.95" customHeight="1">
      <c r="A289" s="2"/>
      <c r="B289" s="14" t="s">
        <v>277</v>
      </c>
      <c r="C289" s="15">
        <v>146</v>
      </c>
      <c r="D289" s="15">
        <v>72</v>
      </c>
      <c r="E289" s="15">
        <v>74</v>
      </c>
      <c r="F289" s="15">
        <v>37</v>
      </c>
      <c r="G289" s="15">
        <v>23</v>
      </c>
      <c r="H289" s="15">
        <v>14</v>
      </c>
      <c r="I289" s="15">
        <v>109</v>
      </c>
      <c r="J289" s="15">
        <v>49</v>
      </c>
      <c r="K289" s="15">
        <v>60</v>
      </c>
      <c r="L289" s="12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</row>
    <row r="290" spans="1:55" ht="12.95" customHeight="1">
      <c r="A290" s="2"/>
      <c r="B290" s="14" t="s">
        <v>278</v>
      </c>
      <c r="C290" s="15">
        <v>168</v>
      </c>
      <c r="D290" s="15">
        <v>87</v>
      </c>
      <c r="E290" s="15">
        <v>81</v>
      </c>
      <c r="F290" s="15">
        <v>109</v>
      </c>
      <c r="G290" s="15">
        <v>62</v>
      </c>
      <c r="H290" s="15">
        <v>47</v>
      </c>
      <c r="I290" s="15">
        <v>59</v>
      </c>
      <c r="J290" s="15">
        <v>25</v>
      </c>
      <c r="K290" s="15">
        <v>34</v>
      </c>
      <c r="L290" s="12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</row>
    <row r="291" spans="1:55" ht="12.95" customHeight="1">
      <c r="A291" s="2"/>
      <c r="B291" s="14" t="s">
        <v>279</v>
      </c>
      <c r="C291" s="15">
        <v>306</v>
      </c>
      <c r="D291" s="15">
        <v>148</v>
      </c>
      <c r="E291" s="15">
        <v>158</v>
      </c>
      <c r="F291" s="15">
        <v>14</v>
      </c>
      <c r="G291" s="15">
        <v>3</v>
      </c>
      <c r="H291" s="15">
        <v>11</v>
      </c>
      <c r="I291" s="15">
        <v>292</v>
      </c>
      <c r="J291" s="15">
        <v>145</v>
      </c>
      <c r="K291" s="15">
        <v>147</v>
      </c>
      <c r="L291" s="12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</row>
    <row r="292" spans="1:55" ht="12.95" customHeight="1">
      <c r="A292" s="2"/>
      <c r="B292" s="14" t="s">
        <v>280</v>
      </c>
      <c r="C292" s="15">
        <v>52</v>
      </c>
      <c r="D292" s="15">
        <v>23</v>
      </c>
      <c r="E292" s="15">
        <v>29</v>
      </c>
      <c r="F292" s="15">
        <v>38</v>
      </c>
      <c r="G292" s="15">
        <v>18</v>
      </c>
      <c r="H292" s="15">
        <v>20</v>
      </c>
      <c r="I292" s="15">
        <v>14</v>
      </c>
      <c r="J292" s="15">
        <v>5</v>
      </c>
      <c r="K292" s="15">
        <v>9</v>
      </c>
      <c r="L292" s="12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</row>
    <row r="293" spans="1:55" ht="12.95" customHeight="1">
      <c r="A293" s="2"/>
      <c r="B293" s="14" t="s">
        <v>281</v>
      </c>
      <c r="C293" s="15">
        <v>254</v>
      </c>
      <c r="D293" s="15">
        <v>135</v>
      </c>
      <c r="E293" s="15">
        <v>119</v>
      </c>
      <c r="F293" s="15">
        <v>56</v>
      </c>
      <c r="G293" s="15">
        <v>30</v>
      </c>
      <c r="H293" s="15">
        <v>26</v>
      </c>
      <c r="I293" s="15">
        <v>198</v>
      </c>
      <c r="J293" s="15">
        <v>105</v>
      </c>
      <c r="K293" s="15">
        <v>93</v>
      </c>
      <c r="L293" s="12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</row>
    <row r="294" spans="1:55" ht="12.95" customHeight="1">
      <c r="A294" s="2"/>
      <c r="B294" s="14" t="s">
        <v>282</v>
      </c>
      <c r="C294" s="15">
        <v>493</v>
      </c>
      <c r="D294" s="15">
        <v>250</v>
      </c>
      <c r="E294" s="15">
        <v>243</v>
      </c>
      <c r="F294" s="15">
        <v>126</v>
      </c>
      <c r="G294" s="15">
        <v>65</v>
      </c>
      <c r="H294" s="15">
        <v>61</v>
      </c>
      <c r="I294" s="15">
        <v>367</v>
      </c>
      <c r="J294" s="15">
        <v>185</v>
      </c>
      <c r="K294" s="15">
        <v>182</v>
      </c>
      <c r="L294" s="12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spans="1:55" ht="12.95" customHeight="1">
      <c r="A295" s="2"/>
      <c r="B295" s="14" t="s">
        <v>283</v>
      </c>
      <c r="C295" s="15">
        <v>231</v>
      </c>
      <c r="D295" s="15">
        <v>121</v>
      </c>
      <c r="E295" s="15">
        <v>110</v>
      </c>
      <c r="F295" s="15">
        <v>79</v>
      </c>
      <c r="G295" s="15">
        <v>44</v>
      </c>
      <c r="H295" s="15">
        <v>35</v>
      </c>
      <c r="I295" s="15">
        <v>152</v>
      </c>
      <c r="J295" s="15">
        <v>77</v>
      </c>
      <c r="K295" s="15">
        <v>75</v>
      </c>
      <c r="L295" s="12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spans="1:55" ht="12.95" customHeight="1">
      <c r="A296" s="2"/>
      <c r="B296" s="14" t="s">
        <v>284</v>
      </c>
      <c r="C296" s="15">
        <v>427</v>
      </c>
      <c r="D296" s="15">
        <v>234</v>
      </c>
      <c r="E296" s="15">
        <v>193</v>
      </c>
      <c r="F296" s="15">
        <v>182</v>
      </c>
      <c r="G296" s="15">
        <v>92</v>
      </c>
      <c r="H296" s="15">
        <v>90</v>
      </c>
      <c r="I296" s="15">
        <v>245</v>
      </c>
      <c r="J296" s="15">
        <v>142</v>
      </c>
      <c r="K296" s="15">
        <v>103</v>
      </c>
      <c r="L296" s="12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spans="1:55" ht="12.95" customHeight="1">
      <c r="A297" s="2"/>
      <c r="B297" s="14" t="s">
        <v>285</v>
      </c>
      <c r="C297" s="15">
        <v>58</v>
      </c>
      <c r="D297" s="15">
        <v>25</v>
      </c>
      <c r="E297" s="15">
        <v>33</v>
      </c>
      <c r="F297" s="15">
        <v>26</v>
      </c>
      <c r="G297" s="15">
        <v>10</v>
      </c>
      <c r="H297" s="15">
        <v>16</v>
      </c>
      <c r="I297" s="15">
        <v>32</v>
      </c>
      <c r="J297" s="15">
        <v>15</v>
      </c>
      <c r="K297" s="15">
        <v>17</v>
      </c>
      <c r="L297" s="12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</row>
    <row r="298" spans="1:55" ht="12.95" customHeight="1">
      <c r="A298" s="2"/>
      <c r="B298" s="14" t="s">
        <v>286</v>
      </c>
      <c r="C298" s="15">
        <v>593</v>
      </c>
      <c r="D298" s="15">
        <v>292</v>
      </c>
      <c r="E298" s="15">
        <v>301</v>
      </c>
      <c r="F298" s="15">
        <v>427</v>
      </c>
      <c r="G298" s="15">
        <v>217</v>
      </c>
      <c r="H298" s="15">
        <v>210</v>
      </c>
      <c r="I298" s="15">
        <v>166</v>
      </c>
      <c r="J298" s="15">
        <v>75</v>
      </c>
      <c r="K298" s="15">
        <v>91</v>
      </c>
      <c r="L298" s="12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</row>
    <row r="299" spans="1:55" ht="12.95" customHeight="1">
      <c r="A299" s="2"/>
      <c r="B299" s="14" t="s">
        <v>287</v>
      </c>
      <c r="C299" s="15">
        <v>89</v>
      </c>
      <c r="D299" s="15">
        <v>45</v>
      </c>
      <c r="E299" s="15">
        <v>44</v>
      </c>
      <c r="F299" s="15">
        <v>16</v>
      </c>
      <c r="G299" s="15">
        <v>10</v>
      </c>
      <c r="H299" s="15">
        <v>6</v>
      </c>
      <c r="I299" s="15">
        <v>73</v>
      </c>
      <c r="J299" s="15">
        <v>35</v>
      </c>
      <c r="K299" s="15">
        <v>38</v>
      </c>
      <c r="L299" s="12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</row>
    <row r="300" spans="1:55" ht="12.95" customHeight="1">
      <c r="A300" s="2"/>
      <c r="B300" s="22" t="s">
        <v>288</v>
      </c>
      <c r="C300" s="23">
        <v>142</v>
      </c>
      <c r="D300" s="23">
        <v>72</v>
      </c>
      <c r="E300" s="23">
        <v>70</v>
      </c>
      <c r="F300" s="23">
        <v>58</v>
      </c>
      <c r="G300" s="23">
        <v>28</v>
      </c>
      <c r="H300" s="23">
        <v>30</v>
      </c>
      <c r="I300" s="23">
        <v>84</v>
      </c>
      <c r="J300" s="23">
        <v>44</v>
      </c>
      <c r="K300" s="23">
        <v>40</v>
      </c>
      <c r="L300" s="12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</row>
    <row r="301" spans="1:55" ht="13.5" customHeight="1">
      <c r="A301" s="24"/>
      <c r="B301" s="28" t="s">
        <v>289</v>
      </c>
      <c r="C301" s="25"/>
      <c r="D301" s="25"/>
      <c r="E301" s="25"/>
      <c r="F301" s="25"/>
      <c r="G301" s="25"/>
      <c r="H301" s="25"/>
      <c r="I301" s="25"/>
      <c r="J301" s="26"/>
      <c r="K301" s="2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</row>
    <row r="302" spans="1:55" ht="10.5" customHeight="1">
      <c r="A302" s="24"/>
      <c r="B302" s="28" t="s">
        <v>290</v>
      </c>
      <c r="C302" s="25"/>
      <c r="D302" s="25"/>
      <c r="E302" s="25"/>
      <c r="F302" s="25"/>
      <c r="G302" s="25"/>
      <c r="H302" s="25"/>
      <c r="I302" s="25"/>
      <c r="J302" s="26"/>
      <c r="K302" s="2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</row>
    <row r="303" spans="1:55" ht="10.5" customHeight="1">
      <c r="B303" s="36" t="s">
        <v>292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</row>
    <row r="304" spans="1:55" ht="10.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</row>
    <row r="305" spans="2:55" ht="10.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</row>
    <row r="306" spans="2:55" ht="10.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</row>
    <row r="307" spans="2:55" ht="10.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</row>
    <row r="308" spans="2:55" ht="12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</row>
    <row r="309" spans="2:55" ht="12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</row>
    <row r="310" spans="2:55" ht="12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</row>
    <row r="311" spans="2:55" ht="12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</row>
    <row r="312" spans="2:55" ht="12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</row>
    <row r="313" spans="2:55" ht="12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</row>
    <row r="314" spans="2:55" ht="12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</row>
    <row r="315" spans="2:55" ht="12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</row>
    <row r="316" spans="2:55" ht="12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</row>
    <row r="317" spans="2:55" ht="12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</row>
    <row r="318" spans="2:55" ht="12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</row>
    <row r="319" spans="2:55" ht="12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</row>
    <row r="320" spans="2:55" ht="12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</row>
    <row r="321" spans="2:55" ht="12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</row>
    <row r="322" spans="2:55" ht="12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</row>
    <row r="323" spans="2:55" ht="12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</row>
    <row r="324" spans="2:55" ht="12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</row>
    <row r="325" spans="2:55" ht="12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</row>
    <row r="326" spans="2:55" ht="12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</row>
    <row r="327" spans="2:55" ht="12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</row>
    <row r="328" spans="2:55" ht="12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</row>
    <row r="329" spans="2:55" ht="12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</row>
    <row r="330" spans="2:55" ht="12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</row>
    <row r="331" spans="2:55" ht="12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</row>
    <row r="332" spans="2:55" ht="12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</row>
    <row r="333" spans="2:55" ht="12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</row>
    <row r="334" spans="2:55" ht="12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</row>
    <row r="335" spans="2:55" ht="12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</row>
    <row r="336" spans="2:55" ht="12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</row>
    <row r="337" spans="2:55" ht="12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</row>
    <row r="338" spans="2:55" ht="12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</row>
    <row r="339" spans="2:55" ht="12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</row>
    <row r="340" spans="2:55" ht="12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</row>
    <row r="341" spans="2:55" ht="12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</row>
    <row r="342" spans="2:55" ht="12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</row>
    <row r="343" spans="2:55" ht="12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</row>
    <row r="344" spans="2:55" ht="12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</row>
    <row r="345" spans="2:55" ht="12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</row>
    <row r="346" spans="2:55" ht="12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</row>
    <row r="347" spans="2:55" ht="12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</row>
    <row r="348" spans="2:55" ht="12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</row>
    <row r="349" spans="2:55" ht="12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</row>
    <row r="350" spans="2:55" ht="12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</row>
    <row r="351" spans="2:55" ht="12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</row>
    <row r="352" spans="2:55" ht="12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</row>
    <row r="353" spans="2:55" ht="12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</row>
    <row r="354" spans="2:55" ht="12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</row>
    <row r="355" spans="2:55" ht="12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</row>
    <row r="356" spans="2:55" ht="12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</row>
    <row r="357" spans="2:55" ht="12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</row>
    <row r="358" spans="2:55" ht="12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</row>
    <row r="359" spans="2:55" ht="12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</row>
    <row r="360" spans="2:55" ht="12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</row>
    <row r="361" spans="2:55" ht="12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</row>
    <row r="362" spans="2:55" ht="12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</row>
    <row r="363" spans="2:55" ht="12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</row>
    <row r="364" spans="2:55" ht="12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</row>
    <row r="365" spans="2:55" ht="12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</row>
    <row r="366" spans="2:55" ht="12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</row>
    <row r="367" spans="2:55" ht="12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</row>
    <row r="368" spans="2:55" ht="12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</row>
    <row r="369" spans="2:55" ht="12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</row>
    <row r="370" spans="2:55" ht="12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</row>
    <row r="371" spans="2:55" ht="12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</row>
    <row r="372" spans="2:55" ht="12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</row>
    <row r="373" spans="2:55" ht="12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</row>
    <row r="374" spans="2:55" ht="12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</row>
    <row r="375" spans="2:55" ht="12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</row>
    <row r="376" spans="2:55" ht="12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</row>
    <row r="377" spans="2:55" ht="12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</row>
    <row r="378" spans="2:55" ht="12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</row>
    <row r="379" spans="2:55" ht="12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</row>
    <row r="380" spans="2:55" ht="12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</row>
    <row r="381" spans="2:55" ht="12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</row>
    <row r="382" spans="2:55" ht="12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</row>
    <row r="383" spans="2:55" ht="12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</row>
    <row r="384" spans="2:55" ht="12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</row>
    <row r="385" spans="2:55" ht="12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</row>
    <row r="386" spans="2:55" ht="12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</row>
    <row r="387" spans="2:55" ht="12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</row>
    <row r="388" spans="2:55" ht="12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</row>
    <row r="389" spans="2:55" ht="12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</row>
    <row r="390" spans="2:55" ht="12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</row>
    <row r="391" spans="2:55" ht="12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</row>
    <row r="392" spans="2:5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</row>
    <row r="393" spans="2:5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</row>
    <row r="394" spans="2:5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</row>
    <row r="395" spans="2:5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</row>
    <row r="396" spans="2:5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</row>
    <row r="397" spans="2:5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</row>
    <row r="398" spans="2:5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</row>
    <row r="399" spans="2:5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</row>
    <row r="400" spans="2:5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</row>
    <row r="401" spans="2:5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</row>
    <row r="402" spans="2:5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</row>
    <row r="403" spans="2:5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</row>
    <row r="404" spans="2:5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</row>
    <row r="405" spans="2:5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</row>
    <row r="406" spans="2:5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</row>
    <row r="407" spans="2:5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</row>
    <row r="408" spans="2:5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</row>
    <row r="409" spans="2:5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</row>
    <row r="410" spans="2:5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</row>
    <row r="411" spans="2:5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</row>
    <row r="412" spans="2:5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</row>
    <row r="413" spans="2:5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</row>
    <row r="414" spans="2:5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</row>
    <row r="415" spans="2:5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</row>
    <row r="416" spans="2:5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</row>
    <row r="417" spans="2:5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</row>
    <row r="418" spans="2:5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</row>
    <row r="419" spans="2:5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</row>
    <row r="420" spans="2:5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</row>
    <row r="421" spans="2:5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</row>
    <row r="422" spans="2:5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</row>
    <row r="423" spans="2:5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</row>
    <row r="424" spans="2:5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</row>
    <row r="425" spans="2:5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</row>
    <row r="426" spans="2:5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</row>
    <row r="427" spans="2:5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</row>
    <row r="428" spans="2:5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</row>
    <row r="429" spans="2:5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</row>
    <row r="430" spans="2:5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</row>
    <row r="431" spans="2:5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</row>
    <row r="432" spans="2:5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</row>
  </sheetData>
  <mergeCells count="5">
    <mergeCell ref="B1:K1"/>
    <mergeCell ref="B2:K2"/>
    <mergeCell ref="B3:K3"/>
    <mergeCell ref="B5:B8"/>
    <mergeCell ref="C6:E7"/>
  </mergeCells>
  <printOptions horizontalCentered="1" gridLines="1" gridLinesSet="0"/>
  <pageMargins left="0.51181102362204722" right="0.51181102362204722" top="0.34" bottom="0.56000000000000005" header="0" footer="0.38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BC432"/>
  <sheetViews>
    <sheetView tabSelected="1" workbookViewId="0">
      <selection activeCell="F29" sqref="F29"/>
    </sheetView>
  </sheetViews>
  <sheetFormatPr baseColWidth="10" defaultColWidth="9.7109375" defaultRowHeight="14.25"/>
  <cols>
    <col min="1" max="1" width="0.7109375" style="5" customWidth="1"/>
    <col min="2" max="2" width="24.28515625" style="5" customWidth="1"/>
    <col min="3" max="11" width="9.7109375" style="5" customWidth="1"/>
    <col min="12" max="12" width="1.5703125" style="5" customWidth="1"/>
    <col min="13" max="16384" width="9.7109375" style="5"/>
  </cols>
  <sheetData>
    <row r="1" spans="1:55" s="1" customFormat="1" ht="21" customHeight="1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</row>
    <row r="2" spans="1:55" s="1" customFormat="1" ht="21" customHeight="1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</row>
    <row r="3" spans="1:55" s="1" customFormat="1" ht="21" customHeight="1">
      <c r="B3" s="33" t="s">
        <v>294</v>
      </c>
      <c r="C3" s="33"/>
      <c r="D3" s="33"/>
      <c r="E3" s="33"/>
      <c r="F3" s="33"/>
      <c r="G3" s="33"/>
      <c r="H3" s="33"/>
      <c r="I3" s="33"/>
      <c r="J3" s="33"/>
      <c r="K3" s="33"/>
    </row>
    <row r="4" spans="1:55" ht="21" customHeight="1" thickBot="1">
      <c r="A4" s="2"/>
      <c r="B4" s="3"/>
      <c r="C4" s="3"/>
      <c r="D4" s="3"/>
      <c r="E4" s="3"/>
      <c r="F4" s="3"/>
      <c r="G4" s="3"/>
      <c r="H4" s="3"/>
      <c r="I4" s="3"/>
      <c r="J4" s="3"/>
      <c r="K4" s="4"/>
    </row>
    <row r="5" spans="1:55" ht="21" customHeight="1" thickBot="1">
      <c r="A5" s="6"/>
      <c r="B5" s="34" t="s">
        <v>3</v>
      </c>
      <c r="C5" s="30" t="s">
        <v>4</v>
      </c>
      <c r="D5" s="31"/>
      <c r="E5" s="31"/>
      <c r="F5" s="31"/>
      <c r="G5" s="31"/>
      <c r="H5" s="31"/>
      <c r="I5" s="31"/>
      <c r="J5" s="31"/>
      <c r="K5" s="3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spans="1:55" ht="21" customHeight="1" thickBot="1">
      <c r="A6" s="2"/>
      <c r="B6" s="35"/>
      <c r="C6" s="34" t="s">
        <v>5</v>
      </c>
      <c r="D6" s="35"/>
      <c r="E6" s="35"/>
      <c r="F6" s="30" t="s">
        <v>6</v>
      </c>
      <c r="G6" s="31"/>
      <c r="H6" s="31"/>
      <c r="I6" s="31"/>
      <c r="J6" s="31"/>
      <c r="K6" s="3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</row>
    <row r="7" spans="1:55" ht="21" customHeight="1" thickBot="1">
      <c r="A7" s="2"/>
      <c r="B7" s="35"/>
      <c r="C7" s="35"/>
      <c r="D7" s="35"/>
      <c r="E7" s="35"/>
      <c r="F7" s="30" t="s">
        <v>7</v>
      </c>
      <c r="G7" s="31"/>
      <c r="H7" s="31"/>
      <c r="I7" s="30" t="s">
        <v>8</v>
      </c>
      <c r="J7" s="31"/>
      <c r="K7" s="3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ht="21" customHeight="1" thickBot="1">
      <c r="A8" s="2"/>
      <c r="B8" s="35"/>
      <c r="C8" s="30" t="s">
        <v>9</v>
      </c>
      <c r="D8" s="30" t="s">
        <v>10</v>
      </c>
      <c r="E8" s="30" t="s">
        <v>11</v>
      </c>
      <c r="F8" s="30" t="s">
        <v>9</v>
      </c>
      <c r="G8" s="30" t="s">
        <v>10</v>
      </c>
      <c r="H8" s="30" t="s">
        <v>11</v>
      </c>
      <c r="I8" s="30" t="s">
        <v>9</v>
      </c>
      <c r="J8" s="30" t="s">
        <v>10</v>
      </c>
      <c r="K8" s="30" t="s">
        <v>11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ht="12.95" customHeight="1">
      <c r="A9" s="2"/>
      <c r="B9" s="8"/>
      <c r="C9" s="8"/>
      <c r="D9" s="8"/>
      <c r="E9" s="8"/>
      <c r="F9" s="8"/>
      <c r="G9" s="8"/>
      <c r="H9" s="8"/>
      <c r="I9" s="8"/>
      <c r="J9" s="8"/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ht="12.95" customHeight="1">
      <c r="A10" s="2"/>
      <c r="B10" s="10" t="s">
        <v>5</v>
      </c>
      <c r="C10" s="11">
        <f>SUM(C12+C26+C41+C59+C94+C118+C139+C157+C181+C192+C207+C232+C254+C282)</f>
        <v>107880</v>
      </c>
      <c r="D10" s="11">
        <f>SUM(D12+D26+D41+D59+D94+D118+D139+D157+D181+D192+D207+D232+D254+D282)</f>
        <v>57670</v>
      </c>
      <c r="E10" s="11">
        <f>SUM(E12+E26+E41+E59+E94+E118+E139+E157+E181+E192+E207+E232+E254+E282)</f>
        <v>50210</v>
      </c>
      <c r="F10" s="11">
        <f>SUM(F12+F26+F41+F59+F94+F118+F139+F157+F181+F192+F207+F232+F254+F282)</f>
        <v>68529</v>
      </c>
      <c r="G10" s="11">
        <f>SUM(G12+G26+G41+G59+G94+G118+G139+G157+G181+G192+G207+G232+G254+G282)</f>
        <v>36712</v>
      </c>
      <c r="H10" s="11">
        <f>SUM(H12+H26+H41+H59+H94+H118+H139+H157+H181+H192+H207+H232+H254+H282)</f>
        <v>31817</v>
      </c>
      <c r="I10" s="11">
        <f>SUM(I12+I26+I41+I59+I94+I118+I139+I157+I181+I192+I207+I232+I254+I282)</f>
        <v>39351</v>
      </c>
      <c r="J10" s="11">
        <f>SUM(J12+J26+J41+J59+J94+J118+J139+J157+J181+J192+J207+J232+J254+J282)</f>
        <v>20958</v>
      </c>
      <c r="K10" s="11">
        <f>SUM(K12+K26+K41+K59+K94+K118+K139+K157+K181+K192+K207+K232+K254+K282)</f>
        <v>18393</v>
      </c>
      <c r="L10" s="1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</row>
    <row r="11" spans="1:55" ht="12.95" customHeight="1">
      <c r="A11" s="2"/>
      <c r="B11" s="8"/>
      <c r="C11" s="13" t="s">
        <v>12</v>
      </c>
      <c r="D11" s="13"/>
      <c r="E11" s="13"/>
      <c r="F11" s="13"/>
      <c r="G11" s="13"/>
      <c r="H11" s="13"/>
      <c r="I11" s="13"/>
      <c r="J11" s="13"/>
      <c r="K11" s="13"/>
      <c r="L11" s="1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</row>
    <row r="12" spans="1:55" ht="12.95" customHeight="1">
      <c r="A12" s="2"/>
      <c r="B12" s="10" t="s">
        <v>13</v>
      </c>
      <c r="C12" s="11">
        <f>SUM(C13:C24)</f>
        <v>6317</v>
      </c>
      <c r="D12" s="11">
        <f>SUM(D13:D24)</f>
        <v>3272</v>
      </c>
      <c r="E12" s="11">
        <f>SUM(E13:E24)</f>
        <v>3045</v>
      </c>
      <c r="F12" s="11">
        <f>SUM(F13:F24)</f>
        <v>2169</v>
      </c>
      <c r="G12" s="11">
        <f>SUM(G13:G24)</f>
        <v>1123</v>
      </c>
      <c r="H12" s="11">
        <f>SUM(H13:H24)</f>
        <v>1046</v>
      </c>
      <c r="I12" s="11">
        <f>SUM(I13:I24)</f>
        <v>4148</v>
      </c>
      <c r="J12" s="11">
        <f>SUM(J13:J24)</f>
        <v>2149</v>
      </c>
      <c r="K12" s="11">
        <f>SUM(K13:K24)</f>
        <v>1999</v>
      </c>
      <c r="L12" s="1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1:55" ht="12.95" customHeight="1">
      <c r="A13" s="2"/>
      <c r="B13" s="14" t="s">
        <v>14</v>
      </c>
      <c r="C13" s="15">
        <v>1989</v>
      </c>
      <c r="D13" s="15">
        <v>1019</v>
      </c>
      <c r="E13" s="15">
        <v>970</v>
      </c>
      <c r="F13" s="15">
        <v>539</v>
      </c>
      <c r="G13" s="15">
        <v>280</v>
      </c>
      <c r="H13" s="15">
        <v>259</v>
      </c>
      <c r="I13" s="15">
        <v>1450</v>
      </c>
      <c r="J13" s="15">
        <v>739</v>
      </c>
      <c r="K13" s="15">
        <v>711</v>
      </c>
      <c r="L13" s="1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</row>
    <row r="14" spans="1:55" ht="12.95" customHeight="1">
      <c r="A14" s="2"/>
      <c r="B14" s="14" t="s">
        <v>15</v>
      </c>
      <c r="C14" s="15">
        <v>170</v>
      </c>
      <c r="D14" s="15">
        <v>100</v>
      </c>
      <c r="E14" s="15">
        <v>70</v>
      </c>
      <c r="F14" s="15">
        <v>88</v>
      </c>
      <c r="G14" s="15">
        <v>54</v>
      </c>
      <c r="H14" s="15">
        <v>34</v>
      </c>
      <c r="I14" s="15">
        <v>82</v>
      </c>
      <c r="J14" s="15">
        <v>46</v>
      </c>
      <c r="K14" s="15">
        <v>36</v>
      </c>
      <c r="L14" s="12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</row>
    <row r="15" spans="1:55" ht="12.95" customHeight="1">
      <c r="A15" s="2"/>
      <c r="B15" s="14" t="s">
        <v>16</v>
      </c>
      <c r="C15" s="15">
        <v>498</v>
      </c>
      <c r="D15" s="15">
        <v>252</v>
      </c>
      <c r="E15" s="15">
        <v>246</v>
      </c>
      <c r="F15" s="15">
        <v>167</v>
      </c>
      <c r="G15" s="15">
        <v>83</v>
      </c>
      <c r="H15" s="15">
        <v>84</v>
      </c>
      <c r="I15" s="15">
        <v>331</v>
      </c>
      <c r="J15" s="15">
        <v>169</v>
      </c>
      <c r="K15" s="15">
        <v>162</v>
      </c>
      <c r="L15" s="12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</row>
    <row r="16" spans="1:55" ht="12.95" customHeight="1">
      <c r="A16" s="2"/>
      <c r="B16" s="14" t="s">
        <v>17</v>
      </c>
      <c r="C16" s="15">
        <v>250</v>
      </c>
      <c r="D16" s="15">
        <v>131</v>
      </c>
      <c r="E16" s="15">
        <v>119</v>
      </c>
      <c r="F16" s="15">
        <v>125</v>
      </c>
      <c r="G16" s="15">
        <v>63</v>
      </c>
      <c r="H16" s="15">
        <v>62</v>
      </c>
      <c r="I16" s="15">
        <v>125</v>
      </c>
      <c r="J16" s="15">
        <v>68</v>
      </c>
      <c r="K16" s="15">
        <v>57</v>
      </c>
      <c r="L16" s="12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spans="1:55" ht="12.95" customHeight="1">
      <c r="A17" s="2"/>
      <c r="B17" s="14" t="s">
        <v>18</v>
      </c>
      <c r="C17" s="15">
        <v>169</v>
      </c>
      <c r="D17" s="15">
        <v>83</v>
      </c>
      <c r="E17" s="15">
        <v>86</v>
      </c>
      <c r="F17" s="15">
        <v>166</v>
      </c>
      <c r="G17" s="15">
        <v>82</v>
      </c>
      <c r="H17" s="15">
        <v>84</v>
      </c>
      <c r="I17" s="15">
        <v>3</v>
      </c>
      <c r="J17" s="15">
        <v>1</v>
      </c>
      <c r="K17" s="15">
        <v>2</v>
      </c>
      <c r="L17" s="12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</row>
    <row r="18" spans="1:55" ht="12.95" customHeight="1">
      <c r="A18" s="2"/>
      <c r="B18" s="14" t="s">
        <v>19</v>
      </c>
      <c r="C18" s="15">
        <v>405</v>
      </c>
      <c r="D18" s="15">
        <v>209</v>
      </c>
      <c r="E18" s="15">
        <v>196</v>
      </c>
      <c r="F18" s="15">
        <v>76</v>
      </c>
      <c r="G18" s="15">
        <v>40</v>
      </c>
      <c r="H18" s="15">
        <v>36</v>
      </c>
      <c r="I18" s="15">
        <v>329</v>
      </c>
      <c r="J18" s="15">
        <v>169</v>
      </c>
      <c r="K18" s="15">
        <v>160</v>
      </c>
      <c r="L18" s="12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</row>
    <row r="19" spans="1:55" ht="12.95" customHeight="1">
      <c r="A19" s="2"/>
      <c r="B19" s="14" t="s">
        <v>20</v>
      </c>
      <c r="C19" s="15">
        <v>479</v>
      </c>
      <c r="D19" s="15">
        <v>249</v>
      </c>
      <c r="E19" s="15">
        <v>230</v>
      </c>
      <c r="F19" s="15">
        <v>143</v>
      </c>
      <c r="G19" s="15">
        <v>79</v>
      </c>
      <c r="H19" s="15">
        <v>64</v>
      </c>
      <c r="I19" s="15">
        <v>336</v>
      </c>
      <c r="J19" s="15">
        <v>170</v>
      </c>
      <c r="K19" s="15">
        <v>166</v>
      </c>
      <c r="L19" s="12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ht="12.95" customHeight="1">
      <c r="A20" s="2"/>
      <c r="B20" s="14" t="s">
        <v>21</v>
      </c>
      <c r="C20" s="15">
        <v>1023</v>
      </c>
      <c r="D20" s="15">
        <v>536</v>
      </c>
      <c r="E20" s="15">
        <v>487</v>
      </c>
      <c r="F20" s="15">
        <v>462</v>
      </c>
      <c r="G20" s="15">
        <v>250</v>
      </c>
      <c r="H20" s="15">
        <v>212</v>
      </c>
      <c r="I20" s="15">
        <v>561</v>
      </c>
      <c r="J20" s="15">
        <v>286</v>
      </c>
      <c r="K20" s="15">
        <v>275</v>
      </c>
      <c r="L20" s="12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1:55" ht="12.95" customHeight="1">
      <c r="A21" s="2"/>
      <c r="B21" s="14" t="s">
        <v>22</v>
      </c>
      <c r="C21" s="15">
        <v>186</v>
      </c>
      <c r="D21" s="15">
        <v>95</v>
      </c>
      <c r="E21" s="15">
        <v>91</v>
      </c>
      <c r="F21" s="15">
        <v>43</v>
      </c>
      <c r="G21" s="15">
        <v>16</v>
      </c>
      <c r="H21" s="15">
        <v>27</v>
      </c>
      <c r="I21" s="15">
        <v>143</v>
      </c>
      <c r="J21" s="15">
        <v>79</v>
      </c>
      <c r="K21" s="15">
        <v>64</v>
      </c>
      <c r="L21" s="1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</row>
    <row r="22" spans="1:55" ht="12.95" customHeight="1">
      <c r="A22" s="2"/>
      <c r="B22" s="14" t="s">
        <v>23</v>
      </c>
      <c r="C22" s="15">
        <v>162</v>
      </c>
      <c r="D22" s="15">
        <v>78</v>
      </c>
      <c r="E22" s="15">
        <v>84</v>
      </c>
      <c r="F22" s="15">
        <v>59</v>
      </c>
      <c r="G22" s="15">
        <v>30</v>
      </c>
      <c r="H22" s="15">
        <v>29</v>
      </c>
      <c r="I22" s="15">
        <v>103</v>
      </c>
      <c r="J22" s="15">
        <v>48</v>
      </c>
      <c r="K22" s="15">
        <v>55</v>
      </c>
      <c r="L22" s="12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</row>
    <row r="23" spans="1:55" ht="12.95" customHeight="1">
      <c r="A23" s="2"/>
      <c r="B23" s="14" t="s">
        <v>24</v>
      </c>
      <c r="C23" s="15">
        <v>790</v>
      </c>
      <c r="D23" s="15">
        <v>416</v>
      </c>
      <c r="E23" s="15">
        <v>374</v>
      </c>
      <c r="F23" s="15">
        <v>215</v>
      </c>
      <c r="G23" s="15">
        <v>100</v>
      </c>
      <c r="H23" s="15">
        <v>115</v>
      </c>
      <c r="I23" s="15">
        <v>575</v>
      </c>
      <c r="J23" s="15">
        <v>316</v>
      </c>
      <c r="K23" s="15">
        <v>259</v>
      </c>
      <c r="L23" s="1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</row>
    <row r="24" spans="1:55" ht="12.95" customHeight="1">
      <c r="A24" s="2"/>
      <c r="B24" s="14" t="s">
        <v>25</v>
      </c>
      <c r="C24" s="15">
        <v>196</v>
      </c>
      <c r="D24" s="15">
        <v>104</v>
      </c>
      <c r="E24" s="15">
        <v>92</v>
      </c>
      <c r="F24" s="15">
        <v>86</v>
      </c>
      <c r="G24" s="15">
        <v>46</v>
      </c>
      <c r="H24" s="15">
        <v>40</v>
      </c>
      <c r="I24" s="15">
        <v>110</v>
      </c>
      <c r="J24" s="15">
        <v>58</v>
      </c>
      <c r="K24" s="15">
        <v>52</v>
      </c>
      <c r="L24" s="12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</row>
    <row r="25" spans="1:55" ht="12.95" customHeight="1">
      <c r="A25" s="2"/>
      <c r="B25" s="8"/>
      <c r="C25" s="13"/>
      <c r="D25" s="13"/>
      <c r="E25" s="13"/>
      <c r="F25" s="13"/>
      <c r="G25" s="13"/>
      <c r="H25" s="13"/>
      <c r="I25" s="13"/>
      <c r="J25" s="13"/>
      <c r="K25" s="13"/>
      <c r="L25" s="1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2.95" customHeight="1">
      <c r="A26" s="2"/>
      <c r="B26" s="10" t="s">
        <v>26</v>
      </c>
      <c r="C26" s="11">
        <f>SUM(C27:C39)</f>
        <v>9604</v>
      </c>
      <c r="D26" s="11">
        <f>SUM(D27:D39)</f>
        <v>5076</v>
      </c>
      <c r="E26" s="11">
        <f>SUM(E27:E39)</f>
        <v>4528</v>
      </c>
      <c r="F26" s="11">
        <f>SUM(F27:F39)</f>
        <v>6115</v>
      </c>
      <c r="G26" s="11">
        <f>SUM(G27:G39)</f>
        <v>3276</v>
      </c>
      <c r="H26" s="11">
        <f>SUM(H27:H39)</f>
        <v>2839</v>
      </c>
      <c r="I26" s="11">
        <f>SUM(I27:I39)</f>
        <v>3489</v>
      </c>
      <c r="J26" s="11">
        <f>SUM(J27:J39)</f>
        <v>1800</v>
      </c>
      <c r="K26" s="11">
        <f>SUM(K27:K39)</f>
        <v>1689</v>
      </c>
      <c r="L26" s="1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2.95" customHeight="1">
      <c r="A27" s="2"/>
      <c r="B27" s="14" t="s">
        <v>27</v>
      </c>
      <c r="C27" s="15">
        <v>4326</v>
      </c>
      <c r="D27" s="15">
        <v>2319</v>
      </c>
      <c r="E27" s="15">
        <v>2007</v>
      </c>
      <c r="F27" s="15">
        <v>3224</v>
      </c>
      <c r="G27" s="15">
        <v>1726</v>
      </c>
      <c r="H27" s="15">
        <v>1498</v>
      </c>
      <c r="I27" s="15">
        <v>1102</v>
      </c>
      <c r="J27" s="15">
        <v>593</v>
      </c>
      <c r="K27" s="15">
        <v>509</v>
      </c>
      <c r="L27" s="1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2.95" customHeight="1">
      <c r="A28" s="2"/>
      <c r="B28" s="14" t="s">
        <v>28</v>
      </c>
      <c r="C28" s="15">
        <v>453</v>
      </c>
      <c r="D28" s="15">
        <v>254</v>
      </c>
      <c r="E28" s="15">
        <v>199</v>
      </c>
      <c r="F28" s="15">
        <v>168</v>
      </c>
      <c r="G28" s="15">
        <v>102</v>
      </c>
      <c r="H28" s="15">
        <v>66</v>
      </c>
      <c r="I28" s="15">
        <v>285</v>
      </c>
      <c r="J28" s="15">
        <v>152</v>
      </c>
      <c r="K28" s="15">
        <v>133</v>
      </c>
      <c r="L28" s="1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ht="12.95" customHeight="1">
      <c r="A29" s="2"/>
      <c r="B29" s="14" t="s">
        <v>29</v>
      </c>
      <c r="C29" s="15">
        <v>567</v>
      </c>
      <c r="D29" s="15">
        <v>281</v>
      </c>
      <c r="E29" s="15">
        <v>286</v>
      </c>
      <c r="F29" s="15">
        <v>206</v>
      </c>
      <c r="G29" s="15">
        <v>103</v>
      </c>
      <c r="H29" s="15">
        <v>103</v>
      </c>
      <c r="I29" s="15">
        <v>361</v>
      </c>
      <c r="J29" s="15">
        <v>178</v>
      </c>
      <c r="K29" s="15">
        <v>183</v>
      </c>
      <c r="L29" s="1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ht="12.95" customHeight="1">
      <c r="A30" s="2"/>
      <c r="B30" s="14" t="s">
        <v>30</v>
      </c>
      <c r="C30" s="15">
        <v>1378</v>
      </c>
      <c r="D30" s="15">
        <v>737</v>
      </c>
      <c r="E30" s="15">
        <v>641</v>
      </c>
      <c r="F30" s="15">
        <v>905</v>
      </c>
      <c r="G30" s="15">
        <v>497</v>
      </c>
      <c r="H30" s="15">
        <v>408</v>
      </c>
      <c r="I30" s="15">
        <v>473</v>
      </c>
      <c r="J30" s="15">
        <v>240</v>
      </c>
      <c r="K30" s="15">
        <v>233</v>
      </c>
      <c r="L30" s="1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12.95" customHeight="1">
      <c r="A31" s="2"/>
      <c r="B31" s="14" t="s">
        <v>31</v>
      </c>
      <c r="C31" s="15">
        <v>520</v>
      </c>
      <c r="D31" s="15">
        <v>262</v>
      </c>
      <c r="E31" s="15">
        <v>258</v>
      </c>
      <c r="F31" s="15">
        <v>305</v>
      </c>
      <c r="G31" s="15">
        <v>155</v>
      </c>
      <c r="H31" s="15">
        <v>150</v>
      </c>
      <c r="I31" s="15">
        <v>215</v>
      </c>
      <c r="J31" s="15">
        <v>107</v>
      </c>
      <c r="K31" s="15">
        <v>108</v>
      </c>
      <c r="L31" s="1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ht="12.95" customHeight="1">
      <c r="A32" s="2"/>
      <c r="B32" s="14" t="s">
        <v>32</v>
      </c>
      <c r="C32" s="15">
        <v>157</v>
      </c>
      <c r="D32" s="15">
        <v>76</v>
      </c>
      <c r="E32" s="15">
        <v>81</v>
      </c>
      <c r="F32" s="15">
        <v>63</v>
      </c>
      <c r="G32" s="15">
        <v>26</v>
      </c>
      <c r="H32" s="15">
        <v>37</v>
      </c>
      <c r="I32" s="15">
        <v>94</v>
      </c>
      <c r="J32" s="15">
        <v>50</v>
      </c>
      <c r="K32" s="15">
        <v>44</v>
      </c>
      <c r="L32" s="1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12.95" customHeight="1">
      <c r="A33" s="2"/>
      <c r="B33" s="14" t="s">
        <v>33</v>
      </c>
      <c r="C33" s="15">
        <v>57</v>
      </c>
      <c r="D33" s="15">
        <v>34</v>
      </c>
      <c r="E33" s="15">
        <v>23</v>
      </c>
      <c r="F33" s="15">
        <v>25</v>
      </c>
      <c r="G33" s="15">
        <v>16</v>
      </c>
      <c r="H33" s="15">
        <v>9</v>
      </c>
      <c r="I33" s="15">
        <v>32</v>
      </c>
      <c r="J33" s="15">
        <v>18</v>
      </c>
      <c r="K33" s="15">
        <v>14</v>
      </c>
      <c r="L33" s="1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12.95" customHeight="1">
      <c r="A34" s="2"/>
      <c r="B34" s="14" t="s">
        <v>34</v>
      </c>
      <c r="C34" s="15">
        <v>1205</v>
      </c>
      <c r="D34" s="15">
        <v>626</v>
      </c>
      <c r="E34" s="15">
        <v>579</v>
      </c>
      <c r="F34" s="15">
        <v>868</v>
      </c>
      <c r="G34" s="15">
        <v>462</v>
      </c>
      <c r="H34" s="15">
        <v>406</v>
      </c>
      <c r="I34" s="15">
        <v>337</v>
      </c>
      <c r="J34" s="15">
        <v>164</v>
      </c>
      <c r="K34" s="15">
        <v>173</v>
      </c>
      <c r="L34" s="1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ht="12.95" customHeight="1">
      <c r="A35" s="2"/>
      <c r="B35" s="14" t="s">
        <v>35</v>
      </c>
      <c r="C35" s="15">
        <v>63</v>
      </c>
      <c r="D35" s="15">
        <v>32</v>
      </c>
      <c r="E35" s="15">
        <v>31</v>
      </c>
      <c r="F35" s="15">
        <v>41</v>
      </c>
      <c r="G35" s="15">
        <v>21</v>
      </c>
      <c r="H35" s="15">
        <v>20</v>
      </c>
      <c r="I35" s="15">
        <v>22</v>
      </c>
      <c r="J35" s="15">
        <v>11</v>
      </c>
      <c r="K35" s="15">
        <v>11</v>
      </c>
      <c r="L35" s="1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12.95" customHeight="1">
      <c r="A36" s="2"/>
      <c r="B36" s="14" t="s">
        <v>36</v>
      </c>
      <c r="C36" s="15">
        <v>286</v>
      </c>
      <c r="D36" s="15">
        <v>141</v>
      </c>
      <c r="E36" s="15">
        <v>145</v>
      </c>
      <c r="F36" s="15">
        <v>154</v>
      </c>
      <c r="G36" s="15">
        <v>84</v>
      </c>
      <c r="H36" s="15">
        <v>70</v>
      </c>
      <c r="I36" s="15">
        <v>132</v>
      </c>
      <c r="J36" s="15">
        <v>57</v>
      </c>
      <c r="K36" s="15">
        <v>75</v>
      </c>
      <c r="L36" s="1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12.95" customHeight="1">
      <c r="A37" s="2"/>
      <c r="B37" s="16" t="s">
        <v>37</v>
      </c>
      <c r="C37" s="15">
        <v>70</v>
      </c>
      <c r="D37" s="15">
        <v>37</v>
      </c>
      <c r="E37" s="15">
        <v>33</v>
      </c>
      <c r="F37" s="15">
        <v>25</v>
      </c>
      <c r="G37" s="15">
        <v>18</v>
      </c>
      <c r="H37" s="15">
        <v>7</v>
      </c>
      <c r="I37" s="15">
        <v>45</v>
      </c>
      <c r="J37" s="15">
        <v>19</v>
      </c>
      <c r="K37" s="15">
        <v>26</v>
      </c>
      <c r="L37" s="1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12.95" customHeight="1">
      <c r="A38" s="2"/>
      <c r="B38" s="14" t="s">
        <v>38</v>
      </c>
      <c r="C38" s="15">
        <v>106</v>
      </c>
      <c r="D38" s="15">
        <v>48</v>
      </c>
      <c r="E38" s="15">
        <v>58</v>
      </c>
      <c r="F38" s="15">
        <v>46</v>
      </c>
      <c r="G38" s="15">
        <v>20</v>
      </c>
      <c r="H38" s="15">
        <v>26</v>
      </c>
      <c r="I38" s="15">
        <v>60</v>
      </c>
      <c r="J38" s="15">
        <v>28</v>
      </c>
      <c r="K38" s="15">
        <v>32</v>
      </c>
      <c r="L38" s="1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12.95" customHeight="1">
      <c r="A39" s="2"/>
      <c r="B39" s="14" t="s">
        <v>39</v>
      </c>
      <c r="C39" s="15">
        <v>416</v>
      </c>
      <c r="D39" s="15">
        <v>229</v>
      </c>
      <c r="E39" s="15">
        <v>187</v>
      </c>
      <c r="F39" s="15">
        <v>85</v>
      </c>
      <c r="G39" s="15">
        <v>46</v>
      </c>
      <c r="H39" s="15">
        <v>39</v>
      </c>
      <c r="I39" s="15">
        <v>331</v>
      </c>
      <c r="J39" s="15">
        <v>183</v>
      </c>
      <c r="K39" s="15">
        <v>148</v>
      </c>
      <c r="L39" s="1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12.95" customHeight="1">
      <c r="A40" s="2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12.95" customHeight="1">
      <c r="A41" s="2"/>
      <c r="B41" s="10" t="s">
        <v>40</v>
      </c>
      <c r="C41" s="11">
        <f>SUM(C42:C57)</f>
        <v>8661</v>
      </c>
      <c r="D41" s="11">
        <f>SUM(D42:D57)</f>
        <v>4552</v>
      </c>
      <c r="E41" s="11">
        <f>SUM(E42:E57)</f>
        <v>4109</v>
      </c>
      <c r="F41" s="11">
        <f>SUM(F42:F57)</f>
        <v>4833</v>
      </c>
      <c r="G41" s="11">
        <f>SUM(G42:G57)</f>
        <v>2571</v>
      </c>
      <c r="H41" s="11">
        <f>SUM(H42:H57)</f>
        <v>2262</v>
      </c>
      <c r="I41" s="11">
        <f>SUM(I42:I57)</f>
        <v>3828</v>
      </c>
      <c r="J41" s="11">
        <f>SUM(J42:J57)</f>
        <v>1981</v>
      </c>
      <c r="K41" s="11">
        <f>SUM(K42:K57)</f>
        <v>1847</v>
      </c>
      <c r="L41" s="1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ht="12.95" customHeight="1">
      <c r="A42" s="2"/>
      <c r="B42" s="14" t="s">
        <v>41</v>
      </c>
      <c r="C42" s="15">
        <v>1623</v>
      </c>
      <c r="D42" s="15">
        <v>864</v>
      </c>
      <c r="E42" s="15">
        <v>759</v>
      </c>
      <c r="F42" s="15">
        <v>1329</v>
      </c>
      <c r="G42" s="15">
        <v>713</v>
      </c>
      <c r="H42" s="15">
        <v>616</v>
      </c>
      <c r="I42" s="15">
        <v>294</v>
      </c>
      <c r="J42" s="15">
        <v>151</v>
      </c>
      <c r="K42" s="15">
        <v>143</v>
      </c>
      <c r="L42" s="12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ht="12.95" customHeight="1">
      <c r="A43" s="2"/>
      <c r="B43" s="14" t="s">
        <v>42</v>
      </c>
      <c r="C43" s="15">
        <v>1017</v>
      </c>
      <c r="D43" s="15">
        <v>540</v>
      </c>
      <c r="E43" s="15">
        <v>477</v>
      </c>
      <c r="F43" s="15">
        <v>462</v>
      </c>
      <c r="G43" s="15">
        <v>253</v>
      </c>
      <c r="H43" s="15">
        <v>209</v>
      </c>
      <c r="I43" s="15">
        <v>555</v>
      </c>
      <c r="J43" s="15">
        <v>287</v>
      </c>
      <c r="K43" s="15">
        <v>268</v>
      </c>
      <c r="L43" s="12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ht="12.95" customHeight="1">
      <c r="A44" s="2"/>
      <c r="B44" s="16" t="s">
        <v>43</v>
      </c>
      <c r="C44" s="15">
        <v>604</v>
      </c>
      <c r="D44" s="15">
        <v>309</v>
      </c>
      <c r="E44" s="15">
        <v>295</v>
      </c>
      <c r="F44" s="15">
        <v>454</v>
      </c>
      <c r="G44" s="15">
        <v>234</v>
      </c>
      <c r="H44" s="15">
        <v>220</v>
      </c>
      <c r="I44" s="15">
        <v>150</v>
      </c>
      <c r="J44" s="15">
        <v>75</v>
      </c>
      <c r="K44" s="15">
        <v>75</v>
      </c>
      <c r="L44" s="12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12.95" customHeight="1">
      <c r="A45" s="2"/>
      <c r="B45" s="14" t="s">
        <v>44</v>
      </c>
      <c r="C45" s="15">
        <v>206</v>
      </c>
      <c r="D45" s="15">
        <v>102</v>
      </c>
      <c r="E45" s="15">
        <v>104</v>
      </c>
      <c r="F45" s="15">
        <v>78</v>
      </c>
      <c r="G45" s="15">
        <v>39</v>
      </c>
      <c r="H45" s="15">
        <v>39</v>
      </c>
      <c r="I45" s="15">
        <v>128</v>
      </c>
      <c r="J45" s="15">
        <v>63</v>
      </c>
      <c r="K45" s="15">
        <v>65</v>
      </c>
      <c r="L45" s="12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12.95" customHeight="1">
      <c r="A46" s="2"/>
      <c r="B46" s="14" t="s">
        <v>45</v>
      </c>
      <c r="C46" s="15">
        <v>220</v>
      </c>
      <c r="D46" s="15">
        <v>120</v>
      </c>
      <c r="E46" s="15">
        <v>100</v>
      </c>
      <c r="F46" s="15">
        <v>83</v>
      </c>
      <c r="G46" s="15">
        <v>44</v>
      </c>
      <c r="H46" s="15">
        <v>39</v>
      </c>
      <c r="I46" s="15">
        <v>137</v>
      </c>
      <c r="J46" s="15">
        <v>76</v>
      </c>
      <c r="K46" s="15">
        <v>61</v>
      </c>
      <c r="L46" s="12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12.95" customHeight="1">
      <c r="A47" s="2"/>
      <c r="B47" s="14" t="s">
        <v>46</v>
      </c>
      <c r="C47" s="15">
        <v>1405</v>
      </c>
      <c r="D47" s="15">
        <v>730</v>
      </c>
      <c r="E47" s="15">
        <v>675</v>
      </c>
      <c r="F47" s="15">
        <v>415</v>
      </c>
      <c r="G47" s="15">
        <v>221</v>
      </c>
      <c r="H47" s="15">
        <v>194</v>
      </c>
      <c r="I47" s="15">
        <v>990</v>
      </c>
      <c r="J47" s="15">
        <v>509</v>
      </c>
      <c r="K47" s="15">
        <v>481</v>
      </c>
      <c r="L47" s="1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12.95" customHeight="1">
      <c r="A48" s="2"/>
      <c r="B48" s="14" t="s">
        <v>47</v>
      </c>
      <c r="C48" s="15">
        <v>457</v>
      </c>
      <c r="D48" s="15">
        <v>235</v>
      </c>
      <c r="E48" s="15">
        <v>222</v>
      </c>
      <c r="F48" s="15">
        <v>299</v>
      </c>
      <c r="G48" s="15">
        <v>154</v>
      </c>
      <c r="H48" s="15">
        <v>145</v>
      </c>
      <c r="I48" s="15">
        <v>158</v>
      </c>
      <c r="J48" s="15">
        <v>81</v>
      </c>
      <c r="K48" s="15">
        <v>77</v>
      </c>
      <c r="L48" s="12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1:55" ht="12.95" customHeight="1">
      <c r="A49" s="2"/>
      <c r="B49" s="14" t="s">
        <v>48</v>
      </c>
      <c r="C49" s="15">
        <v>1029</v>
      </c>
      <c r="D49" s="15">
        <v>541</v>
      </c>
      <c r="E49" s="15">
        <v>488</v>
      </c>
      <c r="F49" s="15">
        <v>377</v>
      </c>
      <c r="G49" s="15">
        <v>205</v>
      </c>
      <c r="H49" s="15">
        <v>172</v>
      </c>
      <c r="I49" s="15">
        <v>652</v>
      </c>
      <c r="J49" s="15">
        <v>336</v>
      </c>
      <c r="K49" s="15">
        <v>316</v>
      </c>
      <c r="L49" s="12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  <row r="50" spans="1:55" ht="12.95" customHeight="1">
      <c r="A50" s="2"/>
      <c r="B50" s="16" t="s">
        <v>49</v>
      </c>
      <c r="C50" s="15">
        <v>195</v>
      </c>
      <c r="D50" s="15">
        <v>103</v>
      </c>
      <c r="E50" s="15">
        <v>92</v>
      </c>
      <c r="F50" s="15">
        <v>132</v>
      </c>
      <c r="G50" s="15">
        <v>75</v>
      </c>
      <c r="H50" s="15">
        <v>57</v>
      </c>
      <c r="I50" s="15">
        <v>63</v>
      </c>
      <c r="J50" s="15">
        <v>28</v>
      </c>
      <c r="K50" s="15">
        <v>35</v>
      </c>
      <c r="L50" s="12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spans="1:55" ht="12.95" customHeight="1">
      <c r="A51" s="2"/>
      <c r="B51" s="14" t="s">
        <v>50</v>
      </c>
      <c r="C51" s="15">
        <v>93</v>
      </c>
      <c r="D51" s="15">
        <v>51</v>
      </c>
      <c r="E51" s="15">
        <v>42</v>
      </c>
      <c r="F51" s="15">
        <v>84</v>
      </c>
      <c r="G51" s="15">
        <v>48</v>
      </c>
      <c r="H51" s="15">
        <v>36</v>
      </c>
      <c r="I51" s="15">
        <v>9</v>
      </c>
      <c r="J51" s="15">
        <v>3</v>
      </c>
      <c r="K51" s="15">
        <v>6</v>
      </c>
      <c r="L51" s="12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12.95" customHeight="1">
      <c r="A52" s="2"/>
      <c r="B52" s="14" t="s">
        <v>51</v>
      </c>
      <c r="C52" s="15">
        <v>496</v>
      </c>
      <c r="D52" s="15">
        <v>258</v>
      </c>
      <c r="E52" s="15">
        <v>238</v>
      </c>
      <c r="F52" s="15">
        <v>354</v>
      </c>
      <c r="G52" s="15">
        <v>179</v>
      </c>
      <c r="H52" s="15">
        <v>175</v>
      </c>
      <c r="I52" s="15">
        <v>142</v>
      </c>
      <c r="J52" s="15">
        <v>79</v>
      </c>
      <c r="K52" s="15">
        <v>63</v>
      </c>
      <c r="L52" s="12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</row>
    <row r="53" spans="1:55" ht="12.95" customHeight="1">
      <c r="A53" s="2"/>
      <c r="B53" s="14" t="s">
        <v>52</v>
      </c>
      <c r="C53" s="15">
        <v>422</v>
      </c>
      <c r="D53" s="15">
        <v>213</v>
      </c>
      <c r="E53" s="15">
        <v>209</v>
      </c>
      <c r="F53" s="15">
        <v>142</v>
      </c>
      <c r="G53" s="15">
        <v>70</v>
      </c>
      <c r="H53" s="15">
        <v>72</v>
      </c>
      <c r="I53" s="15">
        <v>280</v>
      </c>
      <c r="J53" s="15">
        <v>143</v>
      </c>
      <c r="K53" s="15">
        <v>137</v>
      </c>
      <c r="L53" s="12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</row>
    <row r="54" spans="1:55" ht="12.95" customHeight="1">
      <c r="A54" s="2"/>
      <c r="B54" s="14" t="s">
        <v>53</v>
      </c>
      <c r="C54" s="15">
        <v>194</v>
      </c>
      <c r="D54" s="15">
        <v>111</v>
      </c>
      <c r="E54" s="15">
        <v>83</v>
      </c>
      <c r="F54" s="15">
        <v>127</v>
      </c>
      <c r="G54" s="15">
        <v>71</v>
      </c>
      <c r="H54" s="15">
        <v>56</v>
      </c>
      <c r="I54" s="15">
        <v>67</v>
      </c>
      <c r="J54" s="15">
        <v>40</v>
      </c>
      <c r="K54" s="15">
        <v>27</v>
      </c>
      <c r="L54" s="12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</row>
    <row r="55" spans="1:55" ht="12.95" customHeight="1">
      <c r="A55" s="2"/>
      <c r="B55" s="14" t="s">
        <v>54</v>
      </c>
      <c r="C55" s="15">
        <v>192</v>
      </c>
      <c r="D55" s="15">
        <v>104</v>
      </c>
      <c r="E55" s="15">
        <v>88</v>
      </c>
      <c r="F55" s="15">
        <v>51</v>
      </c>
      <c r="G55" s="15">
        <v>31</v>
      </c>
      <c r="H55" s="15">
        <v>20</v>
      </c>
      <c r="I55" s="15">
        <v>141</v>
      </c>
      <c r="J55" s="15">
        <v>73</v>
      </c>
      <c r="K55" s="15">
        <v>68</v>
      </c>
      <c r="L55" s="12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 ht="12.95" customHeight="1">
      <c r="A56" s="2"/>
      <c r="B56" s="14" t="s">
        <v>55</v>
      </c>
      <c r="C56" s="15">
        <v>121</v>
      </c>
      <c r="D56" s="15">
        <v>63</v>
      </c>
      <c r="E56" s="15">
        <v>58</v>
      </c>
      <c r="F56" s="15">
        <v>59</v>
      </c>
      <c r="G56" s="15">
        <v>26</v>
      </c>
      <c r="H56" s="15">
        <v>33</v>
      </c>
      <c r="I56" s="15">
        <v>62</v>
      </c>
      <c r="J56" s="15">
        <v>37</v>
      </c>
      <c r="K56" s="15">
        <v>25</v>
      </c>
      <c r="L56" s="12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spans="1:55" ht="12.95" customHeight="1">
      <c r="A57" s="2"/>
      <c r="B57" s="14" t="s">
        <v>56</v>
      </c>
      <c r="C57" s="15">
        <v>387</v>
      </c>
      <c r="D57" s="15">
        <v>208</v>
      </c>
      <c r="E57" s="15">
        <v>179</v>
      </c>
      <c r="F57" s="15">
        <v>387</v>
      </c>
      <c r="G57" s="15">
        <v>208</v>
      </c>
      <c r="H57" s="15">
        <v>179</v>
      </c>
      <c r="I57" s="15">
        <v>0</v>
      </c>
      <c r="J57" s="15">
        <v>0</v>
      </c>
      <c r="K57" s="15">
        <v>0</v>
      </c>
      <c r="L57" s="12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spans="1:55" ht="12.95" customHeight="1">
      <c r="A58" s="2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2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1:55" ht="12.95" customHeight="1">
      <c r="A59" s="2"/>
      <c r="B59" s="10" t="s">
        <v>57</v>
      </c>
      <c r="C59" s="17">
        <f>SUM(C60:C92)</f>
        <v>3446</v>
      </c>
      <c r="D59" s="17">
        <f>SUM(D60:D92)</f>
        <v>1860</v>
      </c>
      <c r="E59" s="17">
        <f>SUM(E60:E92)</f>
        <v>1586</v>
      </c>
      <c r="F59" s="17">
        <f>SUM(F60:F92)</f>
        <v>1661</v>
      </c>
      <c r="G59" s="17">
        <f>SUM(G60:G92)</f>
        <v>888</v>
      </c>
      <c r="H59" s="17">
        <f>SUM(H60:H92)</f>
        <v>773</v>
      </c>
      <c r="I59" s="17">
        <f>SUM(I60:I92)</f>
        <v>1785</v>
      </c>
      <c r="J59" s="17">
        <f>SUM(J60:J92)</f>
        <v>972</v>
      </c>
      <c r="K59" s="17">
        <f>SUM(K60:K92)</f>
        <v>813</v>
      </c>
      <c r="L59" s="12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spans="1:55" ht="12.95" customHeight="1">
      <c r="A60" s="2"/>
      <c r="B60" s="14" t="s">
        <v>58</v>
      </c>
      <c r="C60" s="15">
        <v>492</v>
      </c>
      <c r="D60" s="15">
        <v>276</v>
      </c>
      <c r="E60" s="15">
        <v>216</v>
      </c>
      <c r="F60" s="15">
        <v>376</v>
      </c>
      <c r="G60" s="15">
        <v>203</v>
      </c>
      <c r="H60" s="15">
        <v>173</v>
      </c>
      <c r="I60" s="15">
        <v>116</v>
      </c>
      <c r="J60" s="15">
        <v>73</v>
      </c>
      <c r="K60" s="15">
        <v>43</v>
      </c>
      <c r="L60" s="12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 ht="12.95" customHeight="1">
      <c r="A61" s="2"/>
      <c r="B61" s="14" t="s">
        <v>59</v>
      </c>
      <c r="C61" s="15">
        <v>172</v>
      </c>
      <c r="D61" s="15">
        <v>94</v>
      </c>
      <c r="E61" s="15">
        <v>78</v>
      </c>
      <c r="F61" s="15">
        <v>72</v>
      </c>
      <c r="G61" s="15">
        <v>37</v>
      </c>
      <c r="H61" s="15">
        <v>35</v>
      </c>
      <c r="I61" s="15">
        <v>100</v>
      </c>
      <c r="J61" s="15">
        <v>57</v>
      </c>
      <c r="K61" s="15">
        <v>43</v>
      </c>
      <c r="L61" s="12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spans="1:55" ht="12.95" customHeight="1">
      <c r="A62" s="2"/>
      <c r="B62" s="14" t="s">
        <v>60</v>
      </c>
      <c r="C62" s="15">
        <v>55</v>
      </c>
      <c r="D62" s="15">
        <v>29</v>
      </c>
      <c r="E62" s="15">
        <v>26</v>
      </c>
      <c r="F62" s="15">
        <v>25</v>
      </c>
      <c r="G62" s="15">
        <v>14</v>
      </c>
      <c r="H62" s="15">
        <v>11</v>
      </c>
      <c r="I62" s="15">
        <v>30</v>
      </c>
      <c r="J62" s="15">
        <v>15</v>
      </c>
      <c r="K62" s="15">
        <v>15</v>
      </c>
      <c r="L62" s="12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spans="1:55" ht="12.95" customHeight="1">
      <c r="A63" s="2"/>
      <c r="B63" s="14" t="s">
        <v>61</v>
      </c>
      <c r="C63" s="15">
        <v>27</v>
      </c>
      <c r="D63" s="15">
        <v>14</v>
      </c>
      <c r="E63" s="15">
        <v>13</v>
      </c>
      <c r="F63" s="15">
        <v>22</v>
      </c>
      <c r="G63" s="15">
        <v>11</v>
      </c>
      <c r="H63" s="15">
        <v>11</v>
      </c>
      <c r="I63" s="15">
        <v>5</v>
      </c>
      <c r="J63" s="15">
        <v>3</v>
      </c>
      <c r="K63" s="15">
        <v>2</v>
      </c>
      <c r="L63" s="12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spans="1:55" ht="12.95" customHeight="1">
      <c r="A64" s="2"/>
      <c r="B64" s="14" t="s">
        <v>62</v>
      </c>
      <c r="C64" s="15">
        <v>27</v>
      </c>
      <c r="D64" s="15">
        <v>16</v>
      </c>
      <c r="E64" s="15">
        <v>11</v>
      </c>
      <c r="F64" s="15">
        <v>19</v>
      </c>
      <c r="G64" s="15">
        <v>11</v>
      </c>
      <c r="H64" s="15">
        <v>8</v>
      </c>
      <c r="I64" s="15">
        <v>8</v>
      </c>
      <c r="J64" s="15">
        <v>5</v>
      </c>
      <c r="K64" s="15">
        <v>3</v>
      </c>
      <c r="L64" s="12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5" spans="1:55" ht="12.95" customHeight="1">
      <c r="A65" s="2"/>
      <c r="B65" s="14" t="s">
        <v>63</v>
      </c>
      <c r="C65" s="15">
        <v>96</v>
      </c>
      <c r="D65" s="15">
        <v>57</v>
      </c>
      <c r="E65" s="15">
        <v>39</v>
      </c>
      <c r="F65" s="15">
        <v>50</v>
      </c>
      <c r="G65" s="15">
        <v>31</v>
      </c>
      <c r="H65" s="15">
        <v>19</v>
      </c>
      <c r="I65" s="15">
        <v>46</v>
      </c>
      <c r="J65" s="15">
        <v>26</v>
      </c>
      <c r="K65" s="15">
        <v>20</v>
      </c>
      <c r="L65" s="12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spans="1:55" ht="12.95" customHeight="1">
      <c r="A66" s="2"/>
      <c r="B66" s="14" t="s">
        <v>64</v>
      </c>
      <c r="C66" s="15">
        <v>57</v>
      </c>
      <c r="D66" s="15">
        <v>33</v>
      </c>
      <c r="E66" s="15">
        <v>24</v>
      </c>
      <c r="F66" s="15">
        <v>20</v>
      </c>
      <c r="G66" s="15">
        <v>14</v>
      </c>
      <c r="H66" s="15">
        <v>6</v>
      </c>
      <c r="I66" s="15">
        <v>37</v>
      </c>
      <c r="J66" s="15">
        <v>19</v>
      </c>
      <c r="K66" s="15">
        <v>18</v>
      </c>
      <c r="L66" s="12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spans="1:55" ht="12.95" customHeight="1">
      <c r="A67" s="2"/>
      <c r="B67" s="14" t="s">
        <v>65</v>
      </c>
      <c r="C67" s="15">
        <v>108</v>
      </c>
      <c r="D67" s="15">
        <v>58</v>
      </c>
      <c r="E67" s="15">
        <v>50</v>
      </c>
      <c r="F67" s="15">
        <v>83</v>
      </c>
      <c r="G67" s="15">
        <v>43</v>
      </c>
      <c r="H67" s="15">
        <v>40</v>
      </c>
      <c r="I67" s="15">
        <v>25</v>
      </c>
      <c r="J67" s="15">
        <v>15</v>
      </c>
      <c r="K67" s="15">
        <v>10</v>
      </c>
      <c r="L67" s="12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</row>
    <row r="68" spans="1:55" ht="12.95" customHeight="1">
      <c r="A68" s="2"/>
      <c r="B68" s="14" t="s">
        <v>66</v>
      </c>
      <c r="C68" s="15">
        <v>66</v>
      </c>
      <c r="D68" s="15">
        <v>35</v>
      </c>
      <c r="E68" s="15">
        <v>31</v>
      </c>
      <c r="F68" s="15">
        <v>25</v>
      </c>
      <c r="G68" s="15">
        <v>16</v>
      </c>
      <c r="H68" s="15">
        <v>9</v>
      </c>
      <c r="I68" s="15">
        <v>41</v>
      </c>
      <c r="J68" s="15">
        <v>19</v>
      </c>
      <c r="K68" s="15">
        <v>22</v>
      </c>
      <c r="L68" s="12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spans="1:55" ht="12.95" customHeight="1">
      <c r="A69" s="2"/>
      <c r="B69" s="14" t="s">
        <v>67</v>
      </c>
      <c r="C69" s="15">
        <v>60</v>
      </c>
      <c r="D69" s="15">
        <v>31</v>
      </c>
      <c r="E69" s="15">
        <v>29</v>
      </c>
      <c r="F69" s="15">
        <v>14</v>
      </c>
      <c r="G69" s="15">
        <v>10</v>
      </c>
      <c r="H69" s="15">
        <v>4</v>
      </c>
      <c r="I69" s="15">
        <v>46</v>
      </c>
      <c r="J69" s="15">
        <v>21</v>
      </c>
      <c r="K69" s="15">
        <v>25</v>
      </c>
      <c r="L69" s="12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1:55" ht="12.95" customHeight="1">
      <c r="A70" s="2"/>
      <c r="B70" s="14" t="s">
        <v>68</v>
      </c>
      <c r="C70" s="15">
        <v>192</v>
      </c>
      <c r="D70" s="15">
        <v>99</v>
      </c>
      <c r="E70" s="15">
        <v>93</v>
      </c>
      <c r="F70" s="15">
        <v>102</v>
      </c>
      <c r="G70" s="15">
        <v>59</v>
      </c>
      <c r="H70" s="15">
        <v>43</v>
      </c>
      <c r="I70" s="15">
        <v>90</v>
      </c>
      <c r="J70" s="15">
        <v>40</v>
      </c>
      <c r="K70" s="15">
        <v>50</v>
      </c>
      <c r="L70" s="12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1:55" ht="12.95" customHeight="1">
      <c r="A71" s="2"/>
      <c r="B71" s="14" t="s">
        <v>69</v>
      </c>
      <c r="C71" s="15">
        <v>60</v>
      </c>
      <c r="D71" s="15">
        <v>30</v>
      </c>
      <c r="E71" s="15">
        <v>30</v>
      </c>
      <c r="F71" s="15">
        <v>27</v>
      </c>
      <c r="G71" s="15">
        <v>12</v>
      </c>
      <c r="H71" s="15">
        <v>15</v>
      </c>
      <c r="I71" s="15">
        <v>33</v>
      </c>
      <c r="J71" s="15">
        <v>18</v>
      </c>
      <c r="K71" s="15">
        <v>15</v>
      </c>
      <c r="L71" s="12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1:55" ht="12.95" customHeight="1">
      <c r="A72" s="2"/>
      <c r="B72" s="14" t="s">
        <v>70</v>
      </c>
      <c r="C72" s="15">
        <v>253</v>
      </c>
      <c r="D72" s="15">
        <v>136</v>
      </c>
      <c r="E72" s="15">
        <v>117</v>
      </c>
      <c r="F72" s="15">
        <v>86</v>
      </c>
      <c r="G72" s="15">
        <v>47</v>
      </c>
      <c r="H72" s="15">
        <v>39</v>
      </c>
      <c r="I72" s="15">
        <v>167</v>
      </c>
      <c r="J72" s="15">
        <v>89</v>
      </c>
      <c r="K72" s="15">
        <v>78</v>
      </c>
      <c r="L72" s="12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1:55" ht="12.95" customHeight="1">
      <c r="A73" s="2"/>
      <c r="B73" s="14" t="s">
        <v>71</v>
      </c>
      <c r="C73" s="15">
        <v>136</v>
      </c>
      <c r="D73" s="15">
        <v>77</v>
      </c>
      <c r="E73" s="15">
        <v>59</v>
      </c>
      <c r="F73" s="15">
        <v>106</v>
      </c>
      <c r="G73" s="15">
        <v>62</v>
      </c>
      <c r="H73" s="15">
        <v>44</v>
      </c>
      <c r="I73" s="15">
        <v>30</v>
      </c>
      <c r="J73" s="15">
        <v>15</v>
      </c>
      <c r="K73" s="15">
        <v>15</v>
      </c>
      <c r="L73" s="12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1:55" ht="12.95" customHeight="1">
      <c r="A74" s="2"/>
      <c r="B74" s="14" t="s">
        <v>72</v>
      </c>
      <c r="C74" s="15">
        <v>24</v>
      </c>
      <c r="D74" s="15">
        <v>13</v>
      </c>
      <c r="E74" s="15">
        <v>11</v>
      </c>
      <c r="F74" s="15">
        <v>13</v>
      </c>
      <c r="G74" s="15">
        <v>7</v>
      </c>
      <c r="H74" s="15">
        <v>6</v>
      </c>
      <c r="I74" s="15">
        <v>11</v>
      </c>
      <c r="J74" s="15">
        <v>6</v>
      </c>
      <c r="K74" s="15">
        <v>5</v>
      </c>
      <c r="L74" s="12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55" ht="12.95" customHeight="1">
      <c r="A75" s="2"/>
      <c r="B75" s="14" t="s">
        <v>73</v>
      </c>
      <c r="C75" s="15">
        <v>23</v>
      </c>
      <c r="D75" s="15">
        <v>14</v>
      </c>
      <c r="E75" s="15">
        <v>9</v>
      </c>
      <c r="F75" s="15">
        <v>15</v>
      </c>
      <c r="G75" s="15">
        <v>7</v>
      </c>
      <c r="H75" s="15">
        <v>8</v>
      </c>
      <c r="I75" s="15">
        <v>8</v>
      </c>
      <c r="J75" s="15">
        <v>7</v>
      </c>
      <c r="K75" s="15">
        <v>1</v>
      </c>
      <c r="L75" s="12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55" ht="12.95" customHeight="1">
      <c r="A76" s="2"/>
      <c r="B76" s="14" t="s">
        <v>74</v>
      </c>
      <c r="C76" s="15">
        <v>67</v>
      </c>
      <c r="D76" s="15">
        <v>32</v>
      </c>
      <c r="E76" s="15">
        <v>35</v>
      </c>
      <c r="F76" s="15">
        <v>21</v>
      </c>
      <c r="G76" s="15">
        <v>10</v>
      </c>
      <c r="H76" s="15">
        <v>11</v>
      </c>
      <c r="I76" s="15">
        <v>46</v>
      </c>
      <c r="J76" s="15">
        <v>22</v>
      </c>
      <c r="K76" s="15">
        <v>24</v>
      </c>
      <c r="L76" s="12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spans="1:55" ht="12.95" customHeight="1">
      <c r="A77" s="2"/>
      <c r="B77" s="14" t="s">
        <v>75</v>
      </c>
      <c r="C77" s="15">
        <v>652</v>
      </c>
      <c r="D77" s="15">
        <v>346</v>
      </c>
      <c r="E77" s="15">
        <v>306</v>
      </c>
      <c r="F77" s="15">
        <v>241</v>
      </c>
      <c r="G77" s="15">
        <v>119</v>
      </c>
      <c r="H77" s="15">
        <v>122</v>
      </c>
      <c r="I77" s="15">
        <v>411</v>
      </c>
      <c r="J77" s="15">
        <v>227</v>
      </c>
      <c r="K77" s="15">
        <v>184</v>
      </c>
      <c r="L77" s="12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spans="1:55" ht="12.95" customHeight="1">
      <c r="A78" s="2"/>
      <c r="B78" s="14" t="s">
        <v>76</v>
      </c>
      <c r="C78" s="15">
        <v>33</v>
      </c>
      <c r="D78" s="15">
        <v>11</v>
      </c>
      <c r="E78" s="15">
        <v>22</v>
      </c>
      <c r="F78" s="15">
        <v>7</v>
      </c>
      <c r="G78" s="15">
        <v>2</v>
      </c>
      <c r="H78" s="15">
        <v>5</v>
      </c>
      <c r="I78" s="15">
        <v>26</v>
      </c>
      <c r="J78" s="15">
        <v>9</v>
      </c>
      <c r="K78" s="15">
        <v>17</v>
      </c>
      <c r="L78" s="12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 ht="12.95" customHeight="1">
      <c r="A79" s="2"/>
      <c r="B79" s="14" t="s">
        <v>77</v>
      </c>
      <c r="C79" s="15">
        <v>39</v>
      </c>
      <c r="D79" s="15">
        <v>24</v>
      </c>
      <c r="E79" s="15">
        <v>15</v>
      </c>
      <c r="F79" s="15">
        <v>16</v>
      </c>
      <c r="G79" s="15">
        <v>11</v>
      </c>
      <c r="H79" s="15">
        <v>5</v>
      </c>
      <c r="I79" s="15">
        <v>23</v>
      </c>
      <c r="J79" s="15">
        <v>13</v>
      </c>
      <c r="K79" s="15">
        <v>10</v>
      </c>
      <c r="L79" s="12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 ht="12.95" customHeight="1">
      <c r="A80" s="2"/>
      <c r="B80" s="14" t="s">
        <v>78</v>
      </c>
      <c r="C80" s="15">
        <v>30</v>
      </c>
      <c r="D80" s="15">
        <v>18</v>
      </c>
      <c r="E80" s="15">
        <v>12</v>
      </c>
      <c r="F80" s="15">
        <v>20</v>
      </c>
      <c r="G80" s="15">
        <v>11</v>
      </c>
      <c r="H80" s="15">
        <v>9</v>
      </c>
      <c r="I80" s="15">
        <v>10</v>
      </c>
      <c r="J80" s="15">
        <v>7</v>
      </c>
      <c r="K80" s="15">
        <v>3</v>
      </c>
      <c r="L80" s="12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 ht="12.95" customHeight="1">
      <c r="A81" s="2"/>
      <c r="B81" s="14" t="s">
        <v>79</v>
      </c>
      <c r="C81" s="15">
        <v>31</v>
      </c>
      <c r="D81" s="15">
        <v>18</v>
      </c>
      <c r="E81" s="15">
        <v>13</v>
      </c>
      <c r="F81" s="15">
        <v>15</v>
      </c>
      <c r="G81" s="15">
        <v>10</v>
      </c>
      <c r="H81" s="15">
        <v>5</v>
      </c>
      <c r="I81" s="15">
        <v>16</v>
      </c>
      <c r="J81" s="15">
        <v>8</v>
      </c>
      <c r="K81" s="15">
        <v>8</v>
      </c>
      <c r="L81" s="12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 ht="12.95" customHeight="1">
      <c r="A82" s="2"/>
      <c r="B82" s="14" t="s">
        <v>80</v>
      </c>
      <c r="C82" s="15">
        <v>17</v>
      </c>
      <c r="D82" s="15">
        <v>11</v>
      </c>
      <c r="E82" s="15">
        <v>6</v>
      </c>
      <c r="F82" s="15">
        <v>17</v>
      </c>
      <c r="G82" s="15">
        <v>11</v>
      </c>
      <c r="H82" s="15">
        <v>6</v>
      </c>
      <c r="I82" s="15">
        <v>0</v>
      </c>
      <c r="J82" s="15">
        <v>0</v>
      </c>
      <c r="K82" s="15">
        <v>0</v>
      </c>
      <c r="L82" s="12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 ht="12.95" customHeight="1">
      <c r="A83" s="2"/>
      <c r="B83" s="14" t="s">
        <v>81</v>
      </c>
      <c r="C83" s="15">
        <v>42</v>
      </c>
      <c r="D83" s="15">
        <v>24</v>
      </c>
      <c r="E83" s="15">
        <v>18</v>
      </c>
      <c r="F83" s="15">
        <v>17</v>
      </c>
      <c r="G83" s="15">
        <v>6</v>
      </c>
      <c r="H83" s="15">
        <v>11</v>
      </c>
      <c r="I83" s="15">
        <v>25</v>
      </c>
      <c r="J83" s="15">
        <v>18</v>
      </c>
      <c r="K83" s="15">
        <v>7</v>
      </c>
      <c r="L83" s="12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1:55" ht="12.95" customHeight="1">
      <c r="A84" s="2"/>
      <c r="B84" s="14" t="s">
        <v>82</v>
      </c>
      <c r="C84" s="15">
        <v>13</v>
      </c>
      <c r="D84" s="15">
        <v>5</v>
      </c>
      <c r="E84" s="15">
        <v>8</v>
      </c>
      <c r="F84" s="15">
        <v>12</v>
      </c>
      <c r="G84" s="15">
        <v>5</v>
      </c>
      <c r="H84" s="15">
        <v>7</v>
      </c>
      <c r="I84" s="15">
        <v>1</v>
      </c>
      <c r="J84" s="15">
        <v>0</v>
      </c>
      <c r="K84" s="15">
        <v>1</v>
      </c>
      <c r="L84" s="12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spans="1:55" ht="12.95" customHeight="1">
      <c r="A85" s="2"/>
      <c r="B85" s="14" t="s">
        <v>83</v>
      </c>
      <c r="C85" s="15">
        <v>43</v>
      </c>
      <c r="D85" s="15">
        <v>30</v>
      </c>
      <c r="E85" s="15">
        <v>13</v>
      </c>
      <c r="F85" s="15">
        <v>13</v>
      </c>
      <c r="G85" s="15">
        <v>8</v>
      </c>
      <c r="H85" s="15">
        <v>5</v>
      </c>
      <c r="I85" s="15">
        <v>30</v>
      </c>
      <c r="J85" s="15">
        <v>22</v>
      </c>
      <c r="K85" s="15">
        <v>8</v>
      </c>
      <c r="L85" s="12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spans="1:55" ht="12.95" customHeight="1">
      <c r="A86" s="2"/>
      <c r="B86" s="14" t="s">
        <v>84</v>
      </c>
      <c r="C86" s="15">
        <v>155</v>
      </c>
      <c r="D86" s="15">
        <v>80</v>
      </c>
      <c r="E86" s="15">
        <v>75</v>
      </c>
      <c r="F86" s="15">
        <v>30</v>
      </c>
      <c r="G86" s="15">
        <v>16</v>
      </c>
      <c r="H86" s="15">
        <v>14</v>
      </c>
      <c r="I86" s="15">
        <v>125</v>
      </c>
      <c r="J86" s="15">
        <v>64</v>
      </c>
      <c r="K86" s="15">
        <v>61</v>
      </c>
      <c r="L86" s="12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spans="1:55" ht="12.95" customHeight="1">
      <c r="A87" s="2"/>
      <c r="B87" s="14" t="s">
        <v>85</v>
      </c>
      <c r="C87" s="15">
        <v>12</v>
      </c>
      <c r="D87" s="15">
        <v>7</v>
      </c>
      <c r="E87" s="15">
        <v>5</v>
      </c>
      <c r="F87" s="15">
        <v>8</v>
      </c>
      <c r="G87" s="15">
        <v>5</v>
      </c>
      <c r="H87" s="15">
        <v>3</v>
      </c>
      <c r="I87" s="15">
        <v>4</v>
      </c>
      <c r="J87" s="15">
        <v>2</v>
      </c>
      <c r="K87" s="15">
        <v>2</v>
      </c>
      <c r="L87" s="12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</row>
    <row r="88" spans="1:55" ht="12.95" customHeight="1">
      <c r="A88" s="2"/>
      <c r="B88" s="14" t="s">
        <v>86</v>
      </c>
      <c r="C88" s="15">
        <v>16</v>
      </c>
      <c r="D88" s="15">
        <v>10</v>
      </c>
      <c r="E88" s="15">
        <v>6</v>
      </c>
      <c r="F88" s="15">
        <v>4</v>
      </c>
      <c r="G88" s="15">
        <v>2</v>
      </c>
      <c r="H88" s="15">
        <v>2</v>
      </c>
      <c r="I88" s="15">
        <v>12</v>
      </c>
      <c r="J88" s="15">
        <v>8</v>
      </c>
      <c r="K88" s="15">
        <v>4</v>
      </c>
      <c r="L88" s="12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spans="1:55" ht="12.95" customHeight="1">
      <c r="A89" s="2"/>
      <c r="B89" s="14" t="s">
        <v>87</v>
      </c>
      <c r="C89" s="15">
        <v>34</v>
      </c>
      <c r="D89" s="15">
        <v>24</v>
      </c>
      <c r="E89" s="15">
        <v>10</v>
      </c>
      <c r="F89" s="15">
        <v>22</v>
      </c>
      <c r="G89" s="15">
        <v>14</v>
      </c>
      <c r="H89" s="15">
        <v>8</v>
      </c>
      <c r="I89" s="15">
        <v>12</v>
      </c>
      <c r="J89" s="15">
        <v>10</v>
      </c>
      <c r="K89" s="15">
        <v>2</v>
      </c>
      <c r="L89" s="12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spans="1:55" ht="12.95" customHeight="1">
      <c r="A90" s="2"/>
      <c r="B90" s="14" t="s">
        <v>88</v>
      </c>
      <c r="C90" s="15">
        <v>57</v>
      </c>
      <c r="D90" s="15">
        <v>29</v>
      </c>
      <c r="E90" s="15">
        <v>28</v>
      </c>
      <c r="F90" s="15">
        <v>25</v>
      </c>
      <c r="G90" s="15">
        <v>10</v>
      </c>
      <c r="H90" s="15">
        <v>15</v>
      </c>
      <c r="I90" s="15">
        <v>32</v>
      </c>
      <c r="J90" s="15">
        <v>19</v>
      </c>
      <c r="K90" s="15">
        <v>13</v>
      </c>
      <c r="L90" s="12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spans="1:55" ht="12.95" customHeight="1">
      <c r="A91" s="2"/>
      <c r="B91" s="14" t="s">
        <v>89</v>
      </c>
      <c r="C91" s="15">
        <v>75</v>
      </c>
      <c r="D91" s="15">
        <v>40</v>
      </c>
      <c r="E91" s="15">
        <v>35</v>
      </c>
      <c r="F91" s="15">
        <v>44</v>
      </c>
      <c r="G91" s="15">
        <v>23</v>
      </c>
      <c r="H91" s="15">
        <v>21</v>
      </c>
      <c r="I91" s="15">
        <v>31</v>
      </c>
      <c r="J91" s="15">
        <v>17</v>
      </c>
      <c r="K91" s="15">
        <v>14</v>
      </c>
      <c r="L91" s="12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spans="1:55" ht="12.95" customHeight="1">
      <c r="A92" s="2"/>
      <c r="B92" s="14" t="s">
        <v>90</v>
      </c>
      <c r="C92" s="15">
        <v>282</v>
      </c>
      <c r="D92" s="15">
        <v>139</v>
      </c>
      <c r="E92" s="15">
        <v>143</v>
      </c>
      <c r="F92" s="15">
        <v>94</v>
      </c>
      <c r="G92" s="15">
        <v>41</v>
      </c>
      <c r="H92" s="15">
        <v>53</v>
      </c>
      <c r="I92" s="15">
        <v>188</v>
      </c>
      <c r="J92" s="15">
        <v>98</v>
      </c>
      <c r="K92" s="15">
        <v>90</v>
      </c>
      <c r="L92" s="12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spans="1:55" ht="12.95" customHeight="1">
      <c r="A93" s="2"/>
      <c r="B93" s="8"/>
      <c r="C93" s="15" t="s">
        <v>12</v>
      </c>
      <c r="D93" s="13"/>
      <c r="E93" s="13"/>
      <c r="F93" s="13"/>
      <c r="G93" s="13"/>
      <c r="H93" s="13"/>
      <c r="I93" s="13"/>
      <c r="J93" s="13"/>
      <c r="K93" s="13"/>
      <c r="L93" s="12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spans="1:55" ht="12.95" customHeight="1">
      <c r="A94" s="2"/>
      <c r="B94" s="10" t="s">
        <v>91</v>
      </c>
      <c r="C94" s="11">
        <f>SUM(C95:C116)</f>
        <v>10977</v>
      </c>
      <c r="D94" s="11">
        <f>SUM(D95:D116)</f>
        <v>5883</v>
      </c>
      <c r="E94" s="11">
        <f>SUM(E95:E116)</f>
        <v>5094</v>
      </c>
      <c r="F94" s="11">
        <f>SUM(F95:F116)</f>
        <v>7060</v>
      </c>
      <c r="G94" s="11">
        <f>SUM(G95:G116)</f>
        <v>3805</v>
      </c>
      <c r="H94" s="11">
        <f>SUM(H95:H116)</f>
        <v>3255</v>
      </c>
      <c r="I94" s="11">
        <f>SUM(I95:I116)</f>
        <v>3917</v>
      </c>
      <c r="J94" s="11">
        <f>SUM(J95:J116)</f>
        <v>2078</v>
      </c>
      <c r="K94" s="11">
        <f>SUM(K95:K116)</f>
        <v>1839</v>
      </c>
      <c r="L94" s="12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spans="1:55" ht="12.95" customHeight="1">
      <c r="A95" s="2"/>
      <c r="B95" s="14" t="s">
        <v>92</v>
      </c>
      <c r="C95" s="15">
        <v>1817</v>
      </c>
      <c r="D95" s="15">
        <v>986</v>
      </c>
      <c r="E95" s="15">
        <v>831</v>
      </c>
      <c r="F95" s="15">
        <v>1609</v>
      </c>
      <c r="G95" s="15">
        <v>879</v>
      </c>
      <c r="H95" s="15">
        <v>730</v>
      </c>
      <c r="I95" s="15">
        <v>208</v>
      </c>
      <c r="J95" s="15">
        <v>107</v>
      </c>
      <c r="K95" s="15">
        <v>101</v>
      </c>
      <c r="L95" s="12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1:55" ht="12.95" customHeight="1">
      <c r="A96" s="2"/>
      <c r="B96" s="14" t="s">
        <v>93</v>
      </c>
      <c r="C96" s="15">
        <v>275</v>
      </c>
      <c r="D96" s="15">
        <v>139</v>
      </c>
      <c r="E96" s="15">
        <v>136</v>
      </c>
      <c r="F96" s="15">
        <v>275</v>
      </c>
      <c r="G96" s="15">
        <v>139</v>
      </c>
      <c r="H96" s="15">
        <v>136</v>
      </c>
      <c r="I96" s="15">
        <v>0</v>
      </c>
      <c r="J96" s="15">
        <v>0</v>
      </c>
      <c r="K96" s="15">
        <v>0</v>
      </c>
      <c r="L96" s="12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1:55" ht="12.95" customHeight="1">
      <c r="A97" s="2"/>
      <c r="B97" s="14" t="s">
        <v>94</v>
      </c>
      <c r="C97" s="15">
        <v>1040</v>
      </c>
      <c r="D97" s="15">
        <v>576</v>
      </c>
      <c r="E97" s="15">
        <v>464</v>
      </c>
      <c r="F97" s="15">
        <v>509</v>
      </c>
      <c r="G97" s="15">
        <v>273</v>
      </c>
      <c r="H97" s="15">
        <v>236</v>
      </c>
      <c r="I97" s="15">
        <v>531</v>
      </c>
      <c r="J97" s="15">
        <v>303</v>
      </c>
      <c r="K97" s="15">
        <v>228</v>
      </c>
      <c r="L97" s="12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1:55" ht="12.95" customHeight="1">
      <c r="A98" s="2"/>
      <c r="B98" s="14" t="s">
        <v>95</v>
      </c>
      <c r="C98" s="15">
        <v>1441</v>
      </c>
      <c r="D98" s="15">
        <v>797</v>
      </c>
      <c r="E98" s="15">
        <v>644</v>
      </c>
      <c r="F98" s="15">
        <v>1416</v>
      </c>
      <c r="G98" s="15">
        <v>784</v>
      </c>
      <c r="H98" s="15">
        <v>632</v>
      </c>
      <c r="I98" s="15">
        <v>25</v>
      </c>
      <c r="J98" s="15">
        <v>13</v>
      </c>
      <c r="K98" s="15">
        <v>12</v>
      </c>
      <c r="L98" s="12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spans="1:55" ht="12.95" customHeight="1">
      <c r="A99" s="2"/>
      <c r="B99" s="14" t="s">
        <v>96</v>
      </c>
      <c r="C99" s="15">
        <v>263</v>
      </c>
      <c r="D99" s="15">
        <v>134</v>
      </c>
      <c r="E99" s="15">
        <v>129</v>
      </c>
      <c r="F99" s="15">
        <v>104</v>
      </c>
      <c r="G99" s="15">
        <v>55</v>
      </c>
      <c r="H99" s="15">
        <v>49</v>
      </c>
      <c r="I99" s="15">
        <v>159</v>
      </c>
      <c r="J99" s="15">
        <v>79</v>
      </c>
      <c r="K99" s="15">
        <v>80</v>
      </c>
      <c r="L99" s="12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spans="1:55" ht="12.95" customHeight="1">
      <c r="A100" s="2"/>
      <c r="B100" s="14" t="s">
        <v>97</v>
      </c>
      <c r="C100" s="15">
        <v>214</v>
      </c>
      <c r="D100" s="15">
        <v>114</v>
      </c>
      <c r="E100" s="15">
        <v>100</v>
      </c>
      <c r="F100" s="15">
        <v>56</v>
      </c>
      <c r="G100" s="15">
        <v>29</v>
      </c>
      <c r="H100" s="15">
        <v>27</v>
      </c>
      <c r="I100" s="15">
        <v>158</v>
      </c>
      <c r="J100" s="15">
        <v>85</v>
      </c>
      <c r="K100" s="15">
        <v>73</v>
      </c>
      <c r="L100" s="12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1:55" ht="12.95" customHeight="1">
      <c r="A101" s="2"/>
      <c r="B101" s="14" t="s">
        <v>98</v>
      </c>
      <c r="C101" s="15">
        <v>202</v>
      </c>
      <c r="D101" s="15">
        <v>118</v>
      </c>
      <c r="E101" s="15">
        <v>84</v>
      </c>
      <c r="F101" s="15">
        <v>88</v>
      </c>
      <c r="G101" s="15">
        <v>51</v>
      </c>
      <c r="H101" s="15">
        <v>37</v>
      </c>
      <c r="I101" s="15">
        <v>114</v>
      </c>
      <c r="J101" s="15">
        <v>67</v>
      </c>
      <c r="K101" s="15">
        <v>47</v>
      </c>
      <c r="L101" s="12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spans="1:55" ht="12.95" customHeight="1">
      <c r="A102" s="2"/>
      <c r="B102" s="14" t="s">
        <v>99</v>
      </c>
      <c r="C102" s="15">
        <v>256</v>
      </c>
      <c r="D102" s="15">
        <v>133</v>
      </c>
      <c r="E102" s="15">
        <v>123</v>
      </c>
      <c r="F102" s="15">
        <v>238</v>
      </c>
      <c r="G102" s="15">
        <v>122</v>
      </c>
      <c r="H102" s="15">
        <v>116</v>
      </c>
      <c r="I102" s="15">
        <v>18</v>
      </c>
      <c r="J102" s="15">
        <v>11</v>
      </c>
      <c r="K102" s="15">
        <v>7</v>
      </c>
      <c r="L102" s="12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spans="1:55" ht="12.95" customHeight="1">
      <c r="A103" s="2"/>
      <c r="B103" s="14" t="s">
        <v>100</v>
      </c>
      <c r="C103" s="15">
        <v>178</v>
      </c>
      <c r="D103" s="15">
        <v>95</v>
      </c>
      <c r="E103" s="15">
        <v>83</v>
      </c>
      <c r="F103" s="15">
        <v>104</v>
      </c>
      <c r="G103" s="15">
        <v>53</v>
      </c>
      <c r="H103" s="15">
        <v>51</v>
      </c>
      <c r="I103" s="15">
        <v>74</v>
      </c>
      <c r="J103" s="15">
        <v>42</v>
      </c>
      <c r="K103" s="15">
        <v>32</v>
      </c>
      <c r="L103" s="12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spans="1:55" ht="12.95" customHeight="1">
      <c r="A104" s="2"/>
      <c r="B104" s="14" t="s">
        <v>101</v>
      </c>
      <c r="C104" s="15">
        <v>865</v>
      </c>
      <c r="D104" s="15">
        <v>430</v>
      </c>
      <c r="E104" s="15">
        <v>435</v>
      </c>
      <c r="F104" s="15">
        <v>394</v>
      </c>
      <c r="G104" s="15">
        <v>203</v>
      </c>
      <c r="H104" s="15">
        <v>191</v>
      </c>
      <c r="I104" s="15">
        <v>471</v>
      </c>
      <c r="J104" s="15">
        <v>227</v>
      </c>
      <c r="K104" s="15">
        <v>244</v>
      </c>
      <c r="L104" s="12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spans="1:55" ht="12.95" customHeight="1">
      <c r="A105" s="2"/>
      <c r="B105" s="14" t="s">
        <v>102</v>
      </c>
      <c r="C105" s="15">
        <v>139</v>
      </c>
      <c r="D105" s="15">
        <v>79</v>
      </c>
      <c r="E105" s="15">
        <v>60</v>
      </c>
      <c r="F105" s="15">
        <v>139</v>
      </c>
      <c r="G105" s="15">
        <v>79</v>
      </c>
      <c r="H105" s="15">
        <v>60</v>
      </c>
      <c r="I105" s="15">
        <v>0</v>
      </c>
      <c r="J105" s="15">
        <v>0</v>
      </c>
      <c r="K105" s="15">
        <v>0</v>
      </c>
      <c r="L105" s="12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spans="1:55" ht="12.95" customHeight="1">
      <c r="A106" s="2"/>
      <c r="B106" s="14" t="s">
        <v>103</v>
      </c>
      <c r="C106" s="15">
        <v>1137</v>
      </c>
      <c r="D106" s="15">
        <v>584</v>
      </c>
      <c r="E106" s="15">
        <v>553</v>
      </c>
      <c r="F106" s="15">
        <v>349</v>
      </c>
      <c r="G106" s="15">
        <v>175</v>
      </c>
      <c r="H106" s="15">
        <v>174</v>
      </c>
      <c r="I106" s="15">
        <v>788</v>
      </c>
      <c r="J106" s="15">
        <v>409</v>
      </c>
      <c r="K106" s="15">
        <v>379</v>
      </c>
      <c r="L106" s="12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spans="1:55" ht="12.95" customHeight="1">
      <c r="A107" s="2"/>
      <c r="B107" s="14" t="s">
        <v>104</v>
      </c>
      <c r="C107" s="15">
        <v>880</v>
      </c>
      <c r="D107" s="15">
        <v>476</v>
      </c>
      <c r="E107" s="15">
        <v>404</v>
      </c>
      <c r="F107" s="15">
        <v>829</v>
      </c>
      <c r="G107" s="15">
        <v>446</v>
      </c>
      <c r="H107" s="15">
        <v>383</v>
      </c>
      <c r="I107" s="15">
        <v>51</v>
      </c>
      <c r="J107" s="15">
        <v>30</v>
      </c>
      <c r="K107" s="15">
        <v>21</v>
      </c>
      <c r="L107" s="12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spans="1:55" ht="12.95" customHeight="1">
      <c r="A108" s="2"/>
      <c r="B108" s="14" t="s">
        <v>105</v>
      </c>
      <c r="C108" s="15">
        <v>240</v>
      </c>
      <c r="D108" s="15">
        <v>118</v>
      </c>
      <c r="E108" s="15">
        <v>122</v>
      </c>
      <c r="F108" s="15">
        <v>80</v>
      </c>
      <c r="G108" s="15">
        <v>42</v>
      </c>
      <c r="H108" s="15">
        <v>38</v>
      </c>
      <c r="I108" s="15">
        <v>160</v>
      </c>
      <c r="J108" s="15">
        <v>76</v>
      </c>
      <c r="K108" s="15">
        <v>84</v>
      </c>
      <c r="L108" s="12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spans="1:55" ht="12.95" customHeight="1">
      <c r="A109" s="2"/>
      <c r="B109" s="14" t="s">
        <v>106</v>
      </c>
      <c r="C109" s="15">
        <v>262</v>
      </c>
      <c r="D109" s="15">
        <v>136</v>
      </c>
      <c r="E109" s="15">
        <v>126</v>
      </c>
      <c r="F109" s="15">
        <v>81</v>
      </c>
      <c r="G109" s="15">
        <v>42</v>
      </c>
      <c r="H109" s="15">
        <v>39</v>
      </c>
      <c r="I109" s="15">
        <v>181</v>
      </c>
      <c r="J109" s="15">
        <v>94</v>
      </c>
      <c r="K109" s="15">
        <v>87</v>
      </c>
      <c r="L109" s="12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spans="1:55" ht="12.95" customHeight="1">
      <c r="A110" s="2"/>
      <c r="B110" s="14" t="s">
        <v>107</v>
      </c>
      <c r="C110" s="15">
        <v>137</v>
      </c>
      <c r="D110" s="15">
        <v>82</v>
      </c>
      <c r="E110" s="15">
        <v>55</v>
      </c>
      <c r="F110" s="15">
        <v>48</v>
      </c>
      <c r="G110" s="15">
        <v>27</v>
      </c>
      <c r="H110" s="15">
        <v>21</v>
      </c>
      <c r="I110" s="15">
        <v>89</v>
      </c>
      <c r="J110" s="15">
        <v>55</v>
      </c>
      <c r="K110" s="15">
        <v>34</v>
      </c>
      <c r="L110" s="12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1:55" ht="12.95" customHeight="1">
      <c r="A111" s="2"/>
      <c r="B111" s="14" t="s">
        <v>108</v>
      </c>
      <c r="C111" s="15">
        <v>415</v>
      </c>
      <c r="D111" s="15">
        <v>232</v>
      </c>
      <c r="E111" s="15">
        <v>183</v>
      </c>
      <c r="F111" s="15">
        <v>95</v>
      </c>
      <c r="G111" s="15">
        <v>49</v>
      </c>
      <c r="H111" s="15">
        <v>46</v>
      </c>
      <c r="I111" s="15">
        <v>320</v>
      </c>
      <c r="J111" s="15">
        <v>183</v>
      </c>
      <c r="K111" s="15">
        <v>137</v>
      </c>
      <c r="L111" s="12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1:55" ht="12.95" customHeight="1">
      <c r="A112" s="2"/>
      <c r="B112" s="14" t="s">
        <v>109</v>
      </c>
      <c r="C112" s="15">
        <v>151</v>
      </c>
      <c r="D112" s="15">
        <v>94</v>
      </c>
      <c r="E112" s="15">
        <v>57</v>
      </c>
      <c r="F112" s="15">
        <v>56</v>
      </c>
      <c r="G112" s="15">
        <v>39</v>
      </c>
      <c r="H112" s="15">
        <v>17</v>
      </c>
      <c r="I112" s="15">
        <v>95</v>
      </c>
      <c r="J112" s="15">
        <v>55</v>
      </c>
      <c r="K112" s="15">
        <v>40</v>
      </c>
      <c r="L112" s="12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5" ht="12.95" customHeight="1">
      <c r="A113" s="2"/>
      <c r="B113" s="14" t="s">
        <v>110</v>
      </c>
      <c r="C113" s="15">
        <v>259</v>
      </c>
      <c r="D113" s="15">
        <v>139</v>
      </c>
      <c r="E113" s="15">
        <v>120</v>
      </c>
      <c r="F113" s="15">
        <v>97</v>
      </c>
      <c r="G113" s="15">
        <v>55</v>
      </c>
      <c r="H113" s="15">
        <v>42</v>
      </c>
      <c r="I113" s="15">
        <v>162</v>
      </c>
      <c r="J113" s="15">
        <v>84</v>
      </c>
      <c r="K113" s="15">
        <v>78</v>
      </c>
      <c r="L113" s="12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 ht="12.95" customHeight="1">
      <c r="A114" s="2"/>
      <c r="B114" s="14" t="s">
        <v>111</v>
      </c>
      <c r="C114" s="15">
        <v>216</v>
      </c>
      <c r="D114" s="15">
        <v>114</v>
      </c>
      <c r="E114" s="15">
        <v>102</v>
      </c>
      <c r="F114" s="15">
        <v>55</v>
      </c>
      <c r="G114" s="15">
        <v>28</v>
      </c>
      <c r="H114" s="15">
        <v>27</v>
      </c>
      <c r="I114" s="15">
        <v>161</v>
      </c>
      <c r="J114" s="15">
        <v>86</v>
      </c>
      <c r="K114" s="15">
        <v>75</v>
      </c>
      <c r="L114" s="12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1:55" ht="12.95" customHeight="1">
      <c r="A115" s="2"/>
      <c r="B115" s="14" t="s">
        <v>112</v>
      </c>
      <c r="C115" s="15">
        <v>230</v>
      </c>
      <c r="D115" s="15">
        <v>122</v>
      </c>
      <c r="E115" s="15">
        <v>108</v>
      </c>
      <c r="F115" s="15">
        <v>123</v>
      </c>
      <c r="G115" s="15">
        <v>69</v>
      </c>
      <c r="H115" s="15">
        <v>54</v>
      </c>
      <c r="I115" s="15">
        <v>107</v>
      </c>
      <c r="J115" s="15">
        <v>53</v>
      </c>
      <c r="K115" s="15">
        <v>54</v>
      </c>
      <c r="L115" s="12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 ht="12.95" customHeight="1">
      <c r="A116" s="2"/>
      <c r="B116" s="14" t="s">
        <v>113</v>
      </c>
      <c r="C116" s="15">
        <v>360</v>
      </c>
      <c r="D116" s="15">
        <v>185</v>
      </c>
      <c r="E116" s="15">
        <v>175</v>
      </c>
      <c r="F116" s="15">
        <v>315</v>
      </c>
      <c r="G116" s="15">
        <v>166</v>
      </c>
      <c r="H116" s="15">
        <v>149</v>
      </c>
      <c r="I116" s="15">
        <v>45</v>
      </c>
      <c r="J116" s="15">
        <v>19</v>
      </c>
      <c r="K116" s="15">
        <v>26</v>
      </c>
      <c r="L116" s="12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 ht="12.95" customHeight="1">
      <c r="A117" s="2"/>
      <c r="B117" s="8"/>
      <c r="C117" s="13"/>
      <c r="D117" s="13"/>
      <c r="E117" s="13"/>
      <c r="F117" s="13"/>
      <c r="G117" s="13"/>
      <c r="H117" s="13"/>
      <c r="I117" s="13"/>
      <c r="J117" s="13"/>
      <c r="K117" s="13"/>
      <c r="L117" s="12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 ht="12.95" customHeight="1">
      <c r="A118" s="2"/>
      <c r="B118" s="10" t="s">
        <v>114</v>
      </c>
      <c r="C118" s="11">
        <f>SUM(C119:C137)</f>
        <v>26270</v>
      </c>
      <c r="D118" s="11">
        <f>SUM(D119:D137)</f>
        <v>13982</v>
      </c>
      <c r="E118" s="11">
        <f>SUM(E119:E137)</f>
        <v>12288</v>
      </c>
      <c r="F118" s="11">
        <f>SUM(F119:F137)</f>
        <v>24741</v>
      </c>
      <c r="G118" s="11">
        <f>SUM(G119:G137)</f>
        <v>13177</v>
      </c>
      <c r="H118" s="11">
        <f>SUM(H119:H137)</f>
        <v>11564</v>
      </c>
      <c r="I118" s="11">
        <f>SUM(I119:I137)</f>
        <v>1529</v>
      </c>
      <c r="J118" s="11">
        <f>SUM(J119:J137)</f>
        <v>805</v>
      </c>
      <c r="K118" s="11">
        <f>SUM(K119:K137)</f>
        <v>724</v>
      </c>
      <c r="L118" s="18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1:55" ht="12.95" customHeight="1">
      <c r="A119" s="2"/>
      <c r="B119" s="14" t="s">
        <v>115</v>
      </c>
      <c r="C119" s="15">
        <v>6257</v>
      </c>
      <c r="D119" s="15">
        <v>3313</v>
      </c>
      <c r="E119" s="15">
        <v>2944</v>
      </c>
      <c r="F119" s="15">
        <v>6257</v>
      </c>
      <c r="G119" s="15">
        <v>3313</v>
      </c>
      <c r="H119" s="15">
        <v>2944</v>
      </c>
      <c r="I119" s="15">
        <v>0</v>
      </c>
      <c r="J119" s="15">
        <v>0</v>
      </c>
      <c r="K119" s="15">
        <v>0</v>
      </c>
      <c r="L119" s="12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 ht="12.95" customHeight="1">
      <c r="A120" s="2"/>
      <c r="B120" s="14" t="s">
        <v>116</v>
      </c>
      <c r="C120" s="15">
        <v>360</v>
      </c>
      <c r="D120" s="15">
        <v>203</v>
      </c>
      <c r="E120" s="15">
        <v>157</v>
      </c>
      <c r="F120" s="15">
        <v>344</v>
      </c>
      <c r="G120" s="15">
        <v>195</v>
      </c>
      <c r="H120" s="15">
        <v>149</v>
      </c>
      <c r="I120" s="15">
        <v>16</v>
      </c>
      <c r="J120" s="15">
        <v>8</v>
      </c>
      <c r="K120" s="15">
        <v>8</v>
      </c>
      <c r="L120" s="12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1:55" ht="12.95" customHeight="1">
      <c r="A121" s="2"/>
      <c r="B121" s="14" t="s">
        <v>117</v>
      </c>
      <c r="C121" s="15">
        <v>2193</v>
      </c>
      <c r="D121" s="15">
        <v>1177</v>
      </c>
      <c r="E121" s="15">
        <v>1016</v>
      </c>
      <c r="F121" s="15">
        <v>2193</v>
      </c>
      <c r="G121" s="15">
        <v>1177</v>
      </c>
      <c r="H121" s="15">
        <v>1016</v>
      </c>
      <c r="I121" s="15">
        <v>0</v>
      </c>
      <c r="J121" s="15">
        <v>0</v>
      </c>
      <c r="K121" s="15">
        <v>0</v>
      </c>
      <c r="L121" s="12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1:55" ht="12.95" customHeight="1">
      <c r="A122" s="2"/>
      <c r="B122" s="14" t="s">
        <v>118</v>
      </c>
      <c r="C122" s="15">
        <v>490</v>
      </c>
      <c r="D122" s="15">
        <v>263</v>
      </c>
      <c r="E122" s="15">
        <v>227</v>
      </c>
      <c r="F122" s="15">
        <v>490</v>
      </c>
      <c r="G122" s="15">
        <v>263</v>
      </c>
      <c r="H122" s="15">
        <v>227</v>
      </c>
      <c r="I122" s="15">
        <v>0</v>
      </c>
      <c r="J122" s="15">
        <v>0</v>
      </c>
      <c r="K122" s="15">
        <v>0</v>
      </c>
      <c r="L122" s="12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spans="1:55" ht="12.95" customHeight="1">
      <c r="A123" s="2"/>
      <c r="B123" s="14" t="s">
        <v>119</v>
      </c>
      <c r="C123" s="15">
        <v>1206</v>
      </c>
      <c r="D123" s="15">
        <v>630</v>
      </c>
      <c r="E123" s="15">
        <v>576</v>
      </c>
      <c r="F123" s="15">
        <v>1206</v>
      </c>
      <c r="G123" s="15">
        <v>630</v>
      </c>
      <c r="H123" s="15">
        <v>576</v>
      </c>
      <c r="I123" s="15">
        <v>0</v>
      </c>
      <c r="J123" s="15">
        <v>0</v>
      </c>
      <c r="K123" s="15">
        <v>0</v>
      </c>
      <c r="L123" s="12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spans="1:55" ht="12.95" customHeight="1">
      <c r="A124" s="2"/>
      <c r="B124" s="14" t="s">
        <v>120</v>
      </c>
      <c r="C124" s="15">
        <v>1484</v>
      </c>
      <c r="D124" s="15">
        <v>754</v>
      </c>
      <c r="E124" s="15">
        <v>730</v>
      </c>
      <c r="F124" s="15">
        <v>1458</v>
      </c>
      <c r="G124" s="15">
        <v>741</v>
      </c>
      <c r="H124" s="15">
        <v>717</v>
      </c>
      <c r="I124" s="15">
        <v>26</v>
      </c>
      <c r="J124" s="15">
        <v>13</v>
      </c>
      <c r="K124" s="15">
        <v>13</v>
      </c>
      <c r="L124" s="12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1:55" ht="12.95" customHeight="1">
      <c r="A125" s="2"/>
      <c r="B125" s="14" t="s">
        <v>121</v>
      </c>
      <c r="C125" s="15">
        <v>233</v>
      </c>
      <c r="D125" s="15">
        <v>127</v>
      </c>
      <c r="E125" s="15">
        <v>106</v>
      </c>
      <c r="F125" s="15">
        <v>56</v>
      </c>
      <c r="G125" s="15">
        <v>30</v>
      </c>
      <c r="H125" s="15">
        <v>26</v>
      </c>
      <c r="I125" s="15">
        <v>177</v>
      </c>
      <c r="J125" s="15">
        <v>97</v>
      </c>
      <c r="K125" s="15">
        <v>80</v>
      </c>
      <c r="L125" s="12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 ht="12.95" customHeight="1">
      <c r="A126" s="2"/>
      <c r="B126" s="14" t="s">
        <v>122</v>
      </c>
      <c r="C126" s="15">
        <v>401</v>
      </c>
      <c r="D126" s="15">
        <v>224</v>
      </c>
      <c r="E126" s="15">
        <v>177</v>
      </c>
      <c r="F126" s="15">
        <v>352</v>
      </c>
      <c r="G126" s="15">
        <v>202</v>
      </c>
      <c r="H126" s="15">
        <v>150</v>
      </c>
      <c r="I126" s="15">
        <v>49</v>
      </c>
      <c r="J126" s="15">
        <v>22</v>
      </c>
      <c r="K126" s="15">
        <v>27</v>
      </c>
      <c r="L126" s="12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1:55" ht="12.95" customHeight="1">
      <c r="A127" s="2"/>
      <c r="B127" s="14" t="s">
        <v>123</v>
      </c>
      <c r="C127" s="15">
        <v>1597</v>
      </c>
      <c r="D127" s="15">
        <v>868</v>
      </c>
      <c r="E127" s="15">
        <v>729</v>
      </c>
      <c r="F127" s="15">
        <v>1597</v>
      </c>
      <c r="G127" s="15">
        <v>868</v>
      </c>
      <c r="H127" s="15">
        <v>729</v>
      </c>
      <c r="I127" s="15">
        <v>0</v>
      </c>
      <c r="J127" s="15">
        <v>0</v>
      </c>
      <c r="K127" s="15">
        <v>0</v>
      </c>
      <c r="L127" s="12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1:55" ht="12.95" customHeight="1">
      <c r="A128" s="2"/>
      <c r="B128" s="14" t="s">
        <v>124</v>
      </c>
      <c r="C128" s="15">
        <v>2129</v>
      </c>
      <c r="D128" s="15">
        <v>1109</v>
      </c>
      <c r="E128" s="15">
        <v>1020</v>
      </c>
      <c r="F128" s="15">
        <v>2129</v>
      </c>
      <c r="G128" s="15">
        <v>1109</v>
      </c>
      <c r="H128" s="15">
        <v>1020</v>
      </c>
      <c r="I128" s="15">
        <v>0</v>
      </c>
      <c r="J128" s="15">
        <v>0</v>
      </c>
      <c r="K128" s="15">
        <v>0</v>
      </c>
      <c r="L128" s="12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1:55" ht="12.95" customHeight="1">
      <c r="A129" s="2"/>
      <c r="B129" s="14" t="s">
        <v>125</v>
      </c>
      <c r="C129" s="15">
        <v>511</v>
      </c>
      <c r="D129" s="15">
        <v>260</v>
      </c>
      <c r="E129" s="15">
        <v>251</v>
      </c>
      <c r="F129" s="15">
        <v>229</v>
      </c>
      <c r="G129" s="15">
        <v>116</v>
      </c>
      <c r="H129" s="15">
        <v>113</v>
      </c>
      <c r="I129" s="15">
        <v>282</v>
      </c>
      <c r="J129" s="15">
        <v>144</v>
      </c>
      <c r="K129" s="15">
        <v>138</v>
      </c>
      <c r="L129" s="12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1:55" ht="12.95" customHeight="1">
      <c r="A130" s="2"/>
      <c r="B130" s="14" t="s">
        <v>126</v>
      </c>
      <c r="C130" s="15">
        <v>908</v>
      </c>
      <c r="D130" s="15">
        <v>492</v>
      </c>
      <c r="E130" s="15">
        <v>416</v>
      </c>
      <c r="F130" s="15">
        <v>513</v>
      </c>
      <c r="G130" s="15">
        <v>280</v>
      </c>
      <c r="H130" s="15">
        <v>233</v>
      </c>
      <c r="I130" s="15">
        <v>395</v>
      </c>
      <c r="J130" s="15">
        <v>212</v>
      </c>
      <c r="K130" s="15">
        <v>183</v>
      </c>
      <c r="L130" s="12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spans="1:55" ht="12.95" customHeight="1">
      <c r="A131" s="2"/>
      <c r="B131" s="14" t="s">
        <v>127</v>
      </c>
      <c r="C131" s="15">
        <v>337</v>
      </c>
      <c r="D131" s="15">
        <v>196</v>
      </c>
      <c r="E131" s="15">
        <v>141</v>
      </c>
      <c r="F131" s="15">
        <v>239</v>
      </c>
      <c r="G131" s="15">
        <v>143</v>
      </c>
      <c r="H131" s="15">
        <v>96</v>
      </c>
      <c r="I131" s="15">
        <v>98</v>
      </c>
      <c r="J131" s="15">
        <v>53</v>
      </c>
      <c r="K131" s="15">
        <v>45</v>
      </c>
      <c r="L131" s="12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spans="1:55" ht="12.95" customHeight="1">
      <c r="A132" s="2"/>
      <c r="B132" s="14" t="s">
        <v>128</v>
      </c>
      <c r="C132" s="15">
        <v>1060</v>
      </c>
      <c r="D132" s="15">
        <v>564</v>
      </c>
      <c r="E132" s="15">
        <v>496</v>
      </c>
      <c r="F132" s="15">
        <v>1060</v>
      </c>
      <c r="G132" s="15">
        <v>564</v>
      </c>
      <c r="H132" s="15">
        <v>496</v>
      </c>
      <c r="I132" s="15">
        <v>0</v>
      </c>
      <c r="J132" s="15">
        <v>0</v>
      </c>
      <c r="K132" s="15">
        <v>0</v>
      </c>
      <c r="L132" s="12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spans="1:55" ht="12.95" customHeight="1">
      <c r="A133" s="2"/>
      <c r="B133" s="14" t="s">
        <v>129</v>
      </c>
      <c r="C133" s="15">
        <v>1385</v>
      </c>
      <c r="D133" s="15">
        <v>759</v>
      </c>
      <c r="E133" s="15">
        <v>626</v>
      </c>
      <c r="F133" s="15">
        <v>1111</v>
      </c>
      <c r="G133" s="15">
        <v>619</v>
      </c>
      <c r="H133" s="15">
        <v>492</v>
      </c>
      <c r="I133" s="15">
        <v>274</v>
      </c>
      <c r="J133" s="15">
        <v>140</v>
      </c>
      <c r="K133" s="15">
        <v>134</v>
      </c>
      <c r="L133" s="12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spans="1:55" ht="12.95" customHeight="1">
      <c r="A134" s="2"/>
      <c r="B134" s="14" t="s">
        <v>130</v>
      </c>
      <c r="C134" s="15">
        <v>315</v>
      </c>
      <c r="D134" s="15">
        <v>153</v>
      </c>
      <c r="E134" s="15">
        <v>162</v>
      </c>
      <c r="F134" s="15">
        <v>273</v>
      </c>
      <c r="G134" s="15">
        <v>132</v>
      </c>
      <c r="H134" s="15">
        <v>141</v>
      </c>
      <c r="I134" s="15">
        <v>42</v>
      </c>
      <c r="J134" s="15">
        <v>21</v>
      </c>
      <c r="K134" s="15">
        <v>21</v>
      </c>
      <c r="L134" s="12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spans="1:55" ht="12.95" customHeight="1">
      <c r="A135" s="2"/>
      <c r="B135" s="14" t="s">
        <v>131</v>
      </c>
      <c r="C135" s="15">
        <v>365</v>
      </c>
      <c r="D135" s="15">
        <v>187</v>
      </c>
      <c r="E135" s="15">
        <v>178</v>
      </c>
      <c r="F135" s="15">
        <v>328</v>
      </c>
      <c r="G135" s="15">
        <v>164</v>
      </c>
      <c r="H135" s="15">
        <v>164</v>
      </c>
      <c r="I135" s="15">
        <v>37</v>
      </c>
      <c r="J135" s="15">
        <v>23</v>
      </c>
      <c r="K135" s="15">
        <v>14</v>
      </c>
      <c r="L135" s="12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</row>
    <row r="136" spans="1:55" ht="12.95" customHeight="1">
      <c r="A136" s="2"/>
      <c r="B136" s="14" t="s">
        <v>132</v>
      </c>
      <c r="C136" s="15">
        <v>3978</v>
      </c>
      <c r="D136" s="15">
        <v>2134</v>
      </c>
      <c r="E136" s="15">
        <v>1844</v>
      </c>
      <c r="F136" s="15">
        <v>3978</v>
      </c>
      <c r="G136" s="15">
        <v>2134</v>
      </c>
      <c r="H136" s="15">
        <v>1844</v>
      </c>
      <c r="I136" s="15">
        <v>0</v>
      </c>
      <c r="J136" s="15">
        <v>0</v>
      </c>
      <c r="K136" s="15">
        <v>0</v>
      </c>
      <c r="L136" s="12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</row>
    <row r="137" spans="1:55" ht="12.95" customHeight="1">
      <c r="A137" s="2"/>
      <c r="B137" s="14" t="s">
        <v>133</v>
      </c>
      <c r="C137" s="15">
        <v>1061</v>
      </c>
      <c r="D137" s="15">
        <v>569</v>
      </c>
      <c r="E137" s="15">
        <v>492</v>
      </c>
      <c r="F137" s="15">
        <v>928</v>
      </c>
      <c r="G137" s="15">
        <v>497</v>
      </c>
      <c r="H137" s="15">
        <v>431</v>
      </c>
      <c r="I137" s="15">
        <v>133</v>
      </c>
      <c r="J137" s="15">
        <v>72</v>
      </c>
      <c r="K137" s="15">
        <v>61</v>
      </c>
      <c r="L137" s="12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</row>
    <row r="138" spans="1:55" ht="12.95" customHeight="1">
      <c r="A138" s="2"/>
      <c r="B138" s="8"/>
      <c r="C138" s="13"/>
      <c r="D138" s="13"/>
      <c r="E138" s="13"/>
      <c r="F138" s="13"/>
      <c r="G138" s="13"/>
      <c r="H138" s="13"/>
      <c r="I138" s="13"/>
      <c r="J138" s="13"/>
      <c r="K138" s="13"/>
      <c r="L138" s="12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</row>
    <row r="139" spans="1:55" ht="12.95" customHeight="1">
      <c r="A139" s="2"/>
      <c r="B139" s="10" t="s">
        <v>134</v>
      </c>
      <c r="C139" s="11">
        <f>SUM(C140:C155)</f>
        <v>4670</v>
      </c>
      <c r="D139" s="11">
        <f>SUM(D140:D155)</f>
        <v>2547</v>
      </c>
      <c r="E139" s="11">
        <f>SUM(E140:E155)</f>
        <v>2123</v>
      </c>
      <c r="F139" s="11">
        <f>SUM(F140:F155)</f>
        <v>2235</v>
      </c>
      <c r="G139" s="11">
        <f>SUM(G140:G155)</f>
        <v>1233</v>
      </c>
      <c r="H139" s="11">
        <f>SUM(H140:H155)</f>
        <v>1002</v>
      </c>
      <c r="I139" s="11">
        <f>SUM(I140:I155)</f>
        <v>2435</v>
      </c>
      <c r="J139" s="11">
        <f>SUM(J140:J155)</f>
        <v>1314</v>
      </c>
      <c r="K139" s="11">
        <f>SUM(K140:K155)</f>
        <v>1121</v>
      </c>
      <c r="L139" s="12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</row>
    <row r="140" spans="1:55" ht="12.95" customHeight="1">
      <c r="A140" s="2"/>
      <c r="B140" s="14" t="s">
        <v>135</v>
      </c>
      <c r="C140" s="15">
        <v>1156</v>
      </c>
      <c r="D140" s="15">
        <v>627</v>
      </c>
      <c r="E140" s="15">
        <v>529</v>
      </c>
      <c r="F140" s="15">
        <v>1106</v>
      </c>
      <c r="G140" s="15">
        <v>599</v>
      </c>
      <c r="H140" s="15">
        <v>507</v>
      </c>
      <c r="I140" s="15">
        <v>50</v>
      </c>
      <c r="J140" s="15">
        <v>28</v>
      </c>
      <c r="K140" s="15">
        <v>22</v>
      </c>
      <c r="L140" s="12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</row>
    <row r="141" spans="1:55" ht="12.95" customHeight="1">
      <c r="A141" s="2"/>
      <c r="B141" s="14" t="s">
        <v>136</v>
      </c>
      <c r="C141" s="15">
        <v>170</v>
      </c>
      <c r="D141" s="15">
        <v>88</v>
      </c>
      <c r="E141" s="15">
        <v>82</v>
      </c>
      <c r="F141" s="15">
        <v>71</v>
      </c>
      <c r="G141" s="15">
        <v>41</v>
      </c>
      <c r="H141" s="15">
        <v>30</v>
      </c>
      <c r="I141" s="15">
        <v>99</v>
      </c>
      <c r="J141" s="15">
        <v>47</v>
      </c>
      <c r="K141" s="15">
        <v>52</v>
      </c>
      <c r="L141" s="12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</row>
    <row r="142" spans="1:55" ht="12.95" customHeight="1">
      <c r="A142" s="2"/>
      <c r="B142" s="14" t="s">
        <v>137</v>
      </c>
      <c r="C142" s="15">
        <v>276</v>
      </c>
      <c r="D142" s="15">
        <v>133</v>
      </c>
      <c r="E142" s="15">
        <v>143</v>
      </c>
      <c r="F142" s="15">
        <v>71</v>
      </c>
      <c r="G142" s="15">
        <v>38</v>
      </c>
      <c r="H142" s="15">
        <v>33</v>
      </c>
      <c r="I142" s="15">
        <v>205</v>
      </c>
      <c r="J142" s="15">
        <v>95</v>
      </c>
      <c r="K142" s="15">
        <v>110</v>
      </c>
      <c r="L142" s="12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</row>
    <row r="143" spans="1:55" ht="12.95" customHeight="1">
      <c r="A143" s="2"/>
      <c r="B143" s="14" t="s">
        <v>138</v>
      </c>
      <c r="C143" s="15">
        <v>71</v>
      </c>
      <c r="D143" s="15">
        <v>37</v>
      </c>
      <c r="E143" s="15">
        <v>34</v>
      </c>
      <c r="F143" s="15">
        <v>25</v>
      </c>
      <c r="G143" s="15">
        <v>15</v>
      </c>
      <c r="H143" s="15">
        <v>10</v>
      </c>
      <c r="I143" s="15">
        <v>46</v>
      </c>
      <c r="J143" s="15">
        <v>22</v>
      </c>
      <c r="K143" s="15">
        <v>24</v>
      </c>
      <c r="L143" s="12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</row>
    <row r="144" spans="1:55" ht="12.95" customHeight="1">
      <c r="A144" s="2"/>
      <c r="B144" s="14" t="s">
        <v>139</v>
      </c>
      <c r="C144" s="15">
        <v>168</v>
      </c>
      <c r="D144" s="15">
        <v>95</v>
      </c>
      <c r="E144" s="15">
        <v>73</v>
      </c>
      <c r="F144" s="15">
        <v>38</v>
      </c>
      <c r="G144" s="15">
        <v>20</v>
      </c>
      <c r="H144" s="15">
        <v>18</v>
      </c>
      <c r="I144" s="15">
        <v>130</v>
      </c>
      <c r="J144" s="15">
        <v>75</v>
      </c>
      <c r="K144" s="15">
        <v>55</v>
      </c>
      <c r="L144" s="12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</row>
    <row r="145" spans="1:55" ht="12.95" customHeight="1">
      <c r="A145" s="2"/>
      <c r="B145" s="14" t="s">
        <v>140</v>
      </c>
      <c r="C145" s="15">
        <v>66</v>
      </c>
      <c r="D145" s="15">
        <v>35</v>
      </c>
      <c r="E145" s="15">
        <v>31</v>
      </c>
      <c r="F145" s="15">
        <v>39</v>
      </c>
      <c r="G145" s="15">
        <v>21</v>
      </c>
      <c r="H145" s="15">
        <v>18</v>
      </c>
      <c r="I145" s="15">
        <v>27</v>
      </c>
      <c r="J145" s="15">
        <v>14</v>
      </c>
      <c r="K145" s="15">
        <v>13</v>
      </c>
      <c r="L145" s="12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</row>
    <row r="146" spans="1:55" ht="12.95" customHeight="1">
      <c r="A146" s="2"/>
      <c r="B146" s="14" t="s">
        <v>141</v>
      </c>
      <c r="C146" s="15">
        <v>152</v>
      </c>
      <c r="D146" s="15">
        <v>87</v>
      </c>
      <c r="E146" s="15">
        <v>65</v>
      </c>
      <c r="F146" s="15">
        <v>99</v>
      </c>
      <c r="G146" s="15">
        <v>59</v>
      </c>
      <c r="H146" s="15">
        <v>40</v>
      </c>
      <c r="I146" s="15">
        <v>53</v>
      </c>
      <c r="J146" s="15">
        <v>28</v>
      </c>
      <c r="K146" s="15">
        <v>25</v>
      </c>
      <c r="L146" s="12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</row>
    <row r="147" spans="1:55" ht="12.95" customHeight="1">
      <c r="A147" s="2"/>
      <c r="B147" s="14" t="s">
        <v>142</v>
      </c>
      <c r="C147" s="15">
        <v>213</v>
      </c>
      <c r="D147" s="15">
        <v>116</v>
      </c>
      <c r="E147" s="15">
        <v>97</v>
      </c>
      <c r="F147" s="15">
        <v>44</v>
      </c>
      <c r="G147" s="15">
        <v>27</v>
      </c>
      <c r="H147" s="15">
        <v>17</v>
      </c>
      <c r="I147" s="15">
        <v>169</v>
      </c>
      <c r="J147" s="15">
        <v>89</v>
      </c>
      <c r="K147" s="15">
        <v>80</v>
      </c>
      <c r="L147" s="12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</row>
    <row r="148" spans="1:55" ht="12.95" customHeight="1">
      <c r="A148" s="2"/>
      <c r="B148" s="14" t="s">
        <v>143</v>
      </c>
      <c r="C148" s="15">
        <v>170</v>
      </c>
      <c r="D148" s="15">
        <v>90</v>
      </c>
      <c r="E148" s="15">
        <v>80</v>
      </c>
      <c r="F148" s="15">
        <v>69</v>
      </c>
      <c r="G148" s="15">
        <v>30</v>
      </c>
      <c r="H148" s="15">
        <v>39</v>
      </c>
      <c r="I148" s="15">
        <v>101</v>
      </c>
      <c r="J148" s="15">
        <v>60</v>
      </c>
      <c r="K148" s="15">
        <v>41</v>
      </c>
      <c r="L148" s="12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</row>
    <row r="149" spans="1:55" ht="12.95" customHeight="1">
      <c r="A149" s="2"/>
      <c r="B149" s="14" t="s">
        <v>144</v>
      </c>
      <c r="C149" s="15">
        <v>951</v>
      </c>
      <c r="D149" s="15">
        <v>521</v>
      </c>
      <c r="E149" s="15">
        <v>430</v>
      </c>
      <c r="F149" s="15">
        <v>232</v>
      </c>
      <c r="G149" s="15">
        <v>138</v>
      </c>
      <c r="H149" s="15">
        <v>94</v>
      </c>
      <c r="I149" s="15">
        <v>719</v>
      </c>
      <c r="J149" s="15">
        <v>383</v>
      </c>
      <c r="K149" s="15">
        <v>336</v>
      </c>
      <c r="L149" s="12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</row>
    <row r="150" spans="1:55" ht="12.95" customHeight="1">
      <c r="A150" s="2"/>
      <c r="B150" s="14" t="s">
        <v>145</v>
      </c>
      <c r="C150" s="15">
        <v>352</v>
      </c>
      <c r="D150" s="15">
        <v>195</v>
      </c>
      <c r="E150" s="15">
        <v>157</v>
      </c>
      <c r="F150" s="15">
        <v>114</v>
      </c>
      <c r="G150" s="15">
        <v>61</v>
      </c>
      <c r="H150" s="15">
        <v>53</v>
      </c>
      <c r="I150" s="15">
        <v>238</v>
      </c>
      <c r="J150" s="15">
        <v>134</v>
      </c>
      <c r="K150" s="15">
        <v>104</v>
      </c>
      <c r="L150" s="12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</row>
    <row r="151" spans="1:55" ht="12.95" customHeight="1">
      <c r="A151" s="2"/>
      <c r="B151" s="14" t="s">
        <v>146</v>
      </c>
      <c r="C151" s="15">
        <v>98</v>
      </c>
      <c r="D151" s="15">
        <v>55</v>
      </c>
      <c r="E151" s="15">
        <v>43</v>
      </c>
      <c r="F151" s="15">
        <v>49</v>
      </c>
      <c r="G151" s="15">
        <v>26</v>
      </c>
      <c r="H151" s="15">
        <v>23</v>
      </c>
      <c r="I151" s="15">
        <v>49</v>
      </c>
      <c r="J151" s="15">
        <v>29</v>
      </c>
      <c r="K151" s="15">
        <v>20</v>
      </c>
      <c r="L151" s="12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</row>
    <row r="152" spans="1:55" ht="12.95" customHeight="1">
      <c r="A152" s="2"/>
      <c r="B152" s="14" t="s">
        <v>147</v>
      </c>
      <c r="C152" s="15">
        <v>47</v>
      </c>
      <c r="D152" s="15">
        <v>25</v>
      </c>
      <c r="E152" s="15">
        <v>22</v>
      </c>
      <c r="F152" s="15">
        <v>42</v>
      </c>
      <c r="G152" s="15">
        <v>24</v>
      </c>
      <c r="H152" s="15">
        <v>18</v>
      </c>
      <c r="I152" s="15">
        <v>5</v>
      </c>
      <c r="J152" s="15">
        <v>1</v>
      </c>
      <c r="K152" s="15">
        <v>4</v>
      </c>
      <c r="L152" s="12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</row>
    <row r="153" spans="1:55" ht="12.95" customHeight="1">
      <c r="A153" s="2"/>
      <c r="B153" s="14" t="s">
        <v>148</v>
      </c>
      <c r="C153" s="15">
        <v>216</v>
      </c>
      <c r="D153" s="15">
        <v>130</v>
      </c>
      <c r="E153" s="15">
        <v>86</v>
      </c>
      <c r="F153" s="15">
        <v>99</v>
      </c>
      <c r="G153" s="15">
        <v>59</v>
      </c>
      <c r="H153" s="15">
        <v>40</v>
      </c>
      <c r="I153" s="15">
        <v>117</v>
      </c>
      <c r="J153" s="15">
        <v>71</v>
      </c>
      <c r="K153" s="15">
        <v>46</v>
      </c>
      <c r="L153" s="12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</row>
    <row r="154" spans="1:55" ht="12.95" customHeight="1">
      <c r="A154" s="2"/>
      <c r="B154" s="14" t="s">
        <v>149</v>
      </c>
      <c r="C154" s="15">
        <v>424</v>
      </c>
      <c r="D154" s="15">
        <v>240</v>
      </c>
      <c r="E154" s="15">
        <v>184</v>
      </c>
      <c r="F154" s="15">
        <v>106</v>
      </c>
      <c r="G154" s="15">
        <v>61</v>
      </c>
      <c r="H154" s="15">
        <v>45</v>
      </c>
      <c r="I154" s="15">
        <v>318</v>
      </c>
      <c r="J154" s="15">
        <v>179</v>
      </c>
      <c r="K154" s="15">
        <v>139</v>
      </c>
      <c r="L154" s="12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</row>
    <row r="155" spans="1:55" ht="12.95" customHeight="1">
      <c r="A155" s="2"/>
      <c r="B155" s="14" t="s">
        <v>150</v>
      </c>
      <c r="C155" s="15">
        <v>140</v>
      </c>
      <c r="D155" s="15">
        <v>73</v>
      </c>
      <c r="E155" s="15">
        <v>67</v>
      </c>
      <c r="F155" s="15">
        <v>31</v>
      </c>
      <c r="G155" s="15">
        <v>14</v>
      </c>
      <c r="H155" s="15">
        <v>17</v>
      </c>
      <c r="I155" s="15">
        <v>109</v>
      </c>
      <c r="J155" s="15">
        <v>59</v>
      </c>
      <c r="K155" s="15">
        <v>50</v>
      </c>
      <c r="L155" s="12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</row>
    <row r="156" spans="1:55" ht="12.95" customHeight="1">
      <c r="A156" s="2"/>
      <c r="B156" s="8"/>
      <c r="C156" s="13"/>
      <c r="D156" s="13"/>
      <c r="E156" s="13"/>
      <c r="F156" s="13"/>
      <c r="G156" s="13"/>
      <c r="H156" s="13"/>
      <c r="I156" s="13"/>
      <c r="J156" s="13"/>
      <c r="K156" s="13"/>
      <c r="L156" s="12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</row>
    <row r="157" spans="1:55" ht="12.95" customHeight="1">
      <c r="A157" s="2"/>
      <c r="B157" s="10" t="s">
        <v>151</v>
      </c>
      <c r="C157" s="17">
        <f>SUM(C158:C179)</f>
        <v>5984</v>
      </c>
      <c r="D157" s="17">
        <f>SUM(D158:D179)</f>
        <v>3280</v>
      </c>
      <c r="E157" s="17">
        <f>SUM(E158:E179)</f>
        <v>2704</v>
      </c>
      <c r="F157" s="17">
        <f>SUM(F158:F179)</f>
        <v>3238</v>
      </c>
      <c r="G157" s="17">
        <f>SUM(G158:G179)</f>
        <v>1803</v>
      </c>
      <c r="H157" s="17">
        <f>SUM(H158:H179)</f>
        <v>1435</v>
      </c>
      <c r="I157" s="17">
        <f>SUM(I158:I179)</f>
        <v>2746</v>
      </c>
      <c r="J157" s="17">
        <f>SUM(J158:J179)</f>
        <v>1477</v>
      </c>
      <c r="K157" s="17">
        <f>SUM(K158:K179)</f>
        <v>1269</v>
      </c>
      <c r="L157" s="12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</row>
    <row r="158" spans="1:55" ht="12.95" customHeight="1">
      <c r="A158" s="2"/>
      <c r="B158" s="14" t="s">
        <v>152</v>
      </c>
      <c r="C158" s="15">
        <v>1342</v>
      </c>
      <c r="D158" s="15">
        <v>723</v>
      </c>
      <c r="E158" s="15">
        <v>619</v>
      </c>
      <c r="F158" s="15">
        <v>899</v>
      </c>
      <c r="G158" s="15">
        <v>476</v>
      </c>
      <c r="H158" s="15">
        <v>423</v>
      </c>
      <c r="I158" s="15">
        <v>443</v>
      </c>
      <c r="J158" s="15">
        <v>247</v>
      </c>
      <c r="K158" s="15">
        <v>196</v>
      </c>
      <c r="L158" s="12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</row>
    <row r="159" spans="1:55" ht="12.95" customHeight="1">
      <c r="A159" s="2"/>
      <c r="B159" s="14" t="s">
        <v>153</v>
      </c>
      <c r="C159" s="15">
        <v>92</v>
      </c>
      <c r="D159" s="15">
        <v>46</v>
      </c>
      <c r="E159" s="15">
        <v>46</v>
      </c>
      <c r="F159" s="15">
        <v>83</v>
      </c>
      <c r="G159" s="15">
        <v>41</v>
      </c>
      <c r="H159" s="15">
        <v>42</v>
      </c>
      <c r="I159" s="15">
        <v>9</v>
      </c>
      <c r="J159" s="15">
        <v>5</v>
      </c>
      <c r="K159" s="15">
        <v>4</v>
      </c>
      <c r="L159" s="12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</row>
    <row r="160" spans="1:55" ht="12.95" customHeight="1">
      <c r="A160" s="2"/>
      <c r="B160" s="14" t="s">
        <v>154</v>
      </c>
      <c r="C160" s="15">
        <v>247</v>
      </c>
      <c r="D160" s="15">
        <v>133</v>
      </c>
      <c r="E160" s="15">
        <v>114</v>
      </c>
      <c r="F160" s="15">
        <v>154</v>
      </c>
      <c r="G160" s="15">
        <v>83</v>
      </c>
      <c r="H160" s="15">
        <v>71</v>
      </c>
      <c r="I160" s="15">
        <v>93</v>
      </c>
      <c r="J160" s="15">
        <v>50</v>
      </c>
      <c r="K160" s="15">
        <v>43</v>
      </c>
      <c r="L160" s="12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</row>
    <row r="161" spans="1:55" ht="12.95" customHeight="1">
      <c r="A161" s="2"/>
      <c r="B161" s="14" t="s">
        <v>155</v>
      </c>
      <c r="C161" s="15">
        <v>41</v>
      </c>
      <c r="D161" s="15">
        <v>18</v>
      </c>
      <c r="E161" s="15">
        <v>23</v>
      </c>
      <c r="F161" s="15">
        <v>20</v>
      </c>
      <c r="G161" s="15">
        <v>7</v>
      </c>
      <c r="H161" s="15">
        <v>13</v>
      </c>
      <c r="I161" s="15">
        <v>21</v>
      </c>
      <c r="J161" s="15">
        <v>11</v>
      </c>
      <c r="K161" s="15">
        <v>10</v>
      </c>
      <c r="L161" s="12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</row>
    <row r="162" spans="1:55" ht="12.95" customHeight="1">
      <c r="A162" s="2"/>
      <c r="B162" s="14" t="s">
        <v>156</v>
      </c>
      <c r="C162" s="15">
        <v>31</v>
      </c>
      <c r="D162" s="15">
        <v>18</v>
      </c>
      <c r="E162" s="15">
        <v>13</v>
      </c>
      <c r="F162" s="15">
        <v>18</v>
      </c>
      <c r="G162" s="15">
        <v>12</v>
      </c>
      <c r="H162" s="15">
        <v>6</v>
      </c>
      <c r="I162" s="15">
        <v>13</v>
      </c>
      <c r="J162" s="15">
        <v>6</v>
      </c>
      <c r="K162" s="15">
        <v>7</v>
      </c>
      <c r="L162" s="12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</row>
    <row r="163" spans="1:55" ht="12.95" customHeight="1">
      <c r="A163" s="2"/>
      <c r="B163" s="14" t="s">
        <v>157</v>
      </c>
      <c r="C163" s="15">
        <v>541</v>
      </c>
      <c r="D163" s="15">
        <v>328</v>
      </c>
      <c r="E163" s="15">
        <v>213</v>
      </c>
      <c r="F163" s="15">
        <v>313</v>
      </c>
      <c r="G163" s="15">
        <v>185</v>
      </c>
      <c r="H163" s="15">
        <v>128</v>
      </c>
      <c r="I163" s="15">
        <v>228</v>
      </c>
      <c r="J163" s="15">
        <v>143</v>
      </c>
      <c r="K163" s="15">
        <v>85</v>
      </c>
      <c r="L163" s="12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</row>
    <row r="164" spans="1:55" ht="12.95" customHeight="1">
      <c r="A164" s="2"/>
      <c r="B164" s="14" t="s">
        <v>158</v>
      </c>
      <c r="C164" s="15">
        <v>61</v>
      </c>
      <c r="D164" s="15">
        <v>31</v>
      </c>
      <c r="E164" s="15">
        <v>30</v>
      </c>
      <c r="F164" s="15">
        <v>55</v>
      </c>
      <c r="G164" s="15">
        <v>30</v>
      </c>
      <c r="H164" s="15">
        <v>25</v>
      </c>
      <c r="I164" s="15">
        <v>6</v>
      </c>
      <c r="J164" s="15">
        <v>1</v>
      </c>
      <c r="K164" s="15">
        <v>5</v>
      </c>
      <c r="L164" s="12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</row>
    <row r="165" spans="1:55" ht="12.95" customHeight="1">
      <c r="A165" s="2"/>
      <c r="B165" s="14" t="s">
        <v>159</v>
      </c>
      <c r="C165" s="15">
        <v>91</v>
      </c>
      <c r="D165" s="15">
        <v>52</v>
      </c>
      <c r="E165" s="15">
        <v>39</v>
      </c>
      <c r="F165" s="15">
        <v>53</v>
      </c>
      <c r="G165" s="15">
        <v>29</v>
      </c>
      <c r="H165" s="15">
        <v>24</v>
      </c>
      <c r="I165" s="15">
        <v>38</v>
      </c>
      <c r="J165" s="15">
        <v>23</v>
      </c>
      <c r="K165" s="15">
        <v>15</v>
      </c>
      <c r="L165" s="12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</row>
    <row r="166" spans="1:55" ht="12.95" customHeight="1">
      <c r="A166" s="2"/>
      <c r="B166" s="14" t="s">
        <v>160</v>
      </c>
      <c r="C166" s="15">
        <v>46</v>
      </c>
      <c r="D166" s="15">
        <v>24</v>
      </c>
      <c r="E166" s="15">
        <v>22</v>
      </c>
      <c r="F166" s="15">
        <v>31</v>
      </c>
      <c r="G166" s="15">
        <v>15</v>
      </c>
      <c r="H166" s="15">
        <v>16</v>
      </c>
      <c r="I166" s="15">
        <v>15</v>
      </c>
      <c r="J166" s="15">
        <v>9</v>
      </c>
      <c r="K166" s="15">
        <v>6</v>
      </c>
      <c r="L166" s="12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</row>
    <row r="167" spans="1:55" ht="12.95" customHeight="1">
      <c r="A167" s="2"/>
      <c r="B167" s="14" t="s">
        <v>161</v>
      </c>
      <c r="C167" s="15">
        <v>123</v>
      </c>
      <c r="D167" s="15">
        <v>59</v>
      </c>
      <c r="E167" s="15">
        <v>64</v>
      </c>
      <c r="F167" s="15">
        <v>85</v>
      </c>
      <c r="G167" s="15">
        <v>43</v>
      </c>
      <c r="H167" s="15">
        <v>42</v>
      </c>
      <c r="I167" s="15">
        <v>38</v>
      </c>
      <c r="J167" s="15">
        <v>16</v>
      </c>
      <c r="K167" s="15">
        <v>22</v>
      </c>
      <c r="L167" s="12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</row>
    <row r="168" spans="1:55" ht="12.95" customHeight="1">
      <c r="A168" s="2"/>
      <c r="B168" s="14" t="s">
        <v>162</v>
      </c>
      <c r="C168" s="15">
        <v>328</v>
      </c>
      <c r="D168" s="15">
        <v>168</v>
      </c>
      <c r="E168" s="15">
        <v>160</v>
      </c>
      <c r="F168" s="15">
        <v>148</v>
      </c>
      <c r="G168" s="15">
        <v>81</v>
      </c>
      <c r="H168" s="15">
        <v>67</v>
      </c>
      <c r="I168" s="15">
        <v>180</v>
      </c>
      <c r="J168" s="15">
        <v>87</v>
      </c>
      <c r="K168" s="15">
        <v>93</v>
      </c>
      <c r="L168" s="12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</row>
    <row r="169" spans="1:55" ht="12.95" customHeight="1">
      <c r="A169" s="2"/>
      <c r="B169" s="14" t="s">
        <v>163</v>
      </c>
      <c r="C169" s="15">
        <v>180</v>
      </c>
      <c r="D169" s="15">
        <v>97</v>
      </c>
      <c r="E169" s="15">
        <v>83</v>
      </c>
      <c r="F169" s="15">
        <v>118</v>
      </c>
      <c r="G169" s="15">
        <v>64</v>
      </c>
      <c r="H169" s="15">
        <v>54</v>
      </c>
      <c r="I169" s="15">
        <v>62</v>
      </c>
      <c r="J169" s="15">
        <v>33</v>
      </c>
      <c r="K169" s="15">
        <v>29</v>
      </c>
      <c r="L169" s="12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</row>
    <row r="170" spans="1:55" ht="12.95" customHeight="1">
      <c r="A170" s="2"/>
      <c r="B170" s="14" t="s">
        <v>164</v>
      </c>
      <c r="C170" s="15">
        <v>65</v>
      </c>
      <c r="D170" s="15">
        <v>27</v>
      </c>
      <c r="E170" s="15">
        <v>38</v>
      </c>
      <c r="F170" s="15">
        <v>32</v>
      </c>
      <c r="G170" s="15">
        <v>15</v>
      </c>
      <c r="H170" s="15">
        <v>17</v>
      </c>
      <c r="I170" s="15">
        <v>33</v>
      </c>
      <c r="J170" s="15">
        <v>12</v>
      </c>
      <c r="K170" s="15">
        <v>21</v>
      </c>
      <c r="L170" s="12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</row>
    <row r="171" spans="1:55" ht="12.95" customHeight="1">
      <c r="A171" s="2"/>
      <c r="B171" s="14" t="s">
        <v>165</v>
      </c>
      <c r="C171" s="15">
        <v>401</v>
      </c>
      <c r="D171" s="15">
        <v>231</v>
      </c>
      <c r="E171" s="15">
        <v>170</v>
      </c>
      <c r="F171" s="15">
        <v>240</v>
      </c>
      <c r="G171" s="15">
        <v>154</v>
      </c>
      <c r="H171" s="15">
        <v>86</v>
      </c>
      <c r="I171" s="15">
        <v>161</v>
      </c>
      <c r="J171" s="15">
        <v>77</v>
      </c>
      <c r="K171" s="15">
        <v>84</v>
      </c>
      <c r="L171" s="12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</row>
    <row r="172" spans="1:55" ht="12.95" customHeight="1">
      <c r="A172" s="2"/>
      <c r="B172" s="14" t="s">
        <v>166</v>
      </c>
      <c r="C172" s="15">
        <v>437</v>
      </c>
      <c r="D172" s="15">
        <v>247</v>
      </c>
      <c r="E172" s="15">
        <v>190</v>
      </c>
      <c r="F172" s="15">
        <v>164</v>
      </c>
      <c r="G172" s="15">
        <v>91</v>
      </c>
      <c r="H172" s="15">
        <v>73</v>
      </c>
      <c r="I172" s="15">
        <v>273</v>
      </c>
      <c r="J172" s="15">
        <v>156</v>
      </c>
      <c r="K172" s="15">
        <v>117</v>
      </c>
      <c r="L172" s="12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</row>
    <row r="173" spans="1:55" ht="12.95" customHeight="1">
      <c r="A173" s="2"/>
      <c r="B173" s="14" t="s">
        <v>167</v>
      </c>
      <c r="C173" s="15">
        <v>127</v>
      </c>
      <c r="D173" s="15">
        <v>80</v>
      </c>
      <c r="E173" s="15">
        <v>47</v>
      </c>
      <c r="F173" s="15">
        <v>115</v>
      </c>
      <c r="G173" s="15">
        <v>69</v>
      </c>
      <c r="H173" s="15">
        <v>46</v>
      </c>
      <c r="I173" s="15">
        <v>12</v>
      </c>
      <c r="J173" s="15">
        <v>11</v>
      </c>
      <c r="K173" s="15">
        <v>1</v>
      </c>
      <c r="L173" s="12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</row>
    <row r="174" spans="1:55" ht="12.95" customHeight="1">
      <c r="A174" s="2"/>
      <c r="B174" s="14" t="s">
        <v>168</v>
      </c>
      <c r="C174" s="15">
        <v>445</v>
      </c>
      <c r="D174" s="15">
        <v>240</v>
      </c>
      <c r="E174" s="15">
        <v>205</v>
      </c>
      <c r="F174" s="15">
        <v>146</v>
      </c>
      <c r="G174" s="15">
        <v>77</v>
      </c>
      <c r="H174" s="15">
        <v>69</v>
      </c>
      <c r="I174" s="15">
        <v>299</v>
      </c>
      <c r="J174" s="15">
        <v>163</v>
      </c>
      <c r="K174" s="15">
        <v>136</v>
      </c>
      <c r="L174" s="12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</row>
    <row r="175" spans="1:55" ht="12.95" customHeight="1">
      <c r="A175" s="2"/>
      <c r="B175" s="14" t="s">
        <v>169</v>
      </c>
      <c r="C175" s="15">
        <v>166</v>
      </c>
      <c r="D175" s="15">
        <v>82</v>
      </c>
      <c r="E175" s="15">
        <v>84</v>
      </c>
      <c r="F175" s="15">
        <v>84</v>
      </c>
      <c r="G175" s="15">
        <v>43</v>
      </c>
      <c r="H175" s="15">
        <v>41</v>
      </c>
      <c r="I175" s="15">
        <v>82</v>
      </c>
      <c r="J175" s="15">
        <v>39</v>
      </c>
      <c r="K175" s="15">
        <v>43</v>
      </c>
      <c r="L175" s="12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</row>
    <row r="176" spans="1:55" ht="12.95" customHeight="1">
      <c r="A176" s="2"/>
      <c r="B176" s="14" t="s">
        <v>170</v>
      </c>
      <c r="C176" s="15">
        <v>201</v>
      </c>
      <c r="D176" s="15">
        <v>112</v>
      </c>
      <c r="E176" s="15">
        <v>89</v>
      </c>
      <c r="F176" s="15">
        <v>125</v>
      </c>
      <c r="G176" s="15">
        <v>74</v>
      </c>
      <c r="H176" s="15">
        <v>51</v>
      </c>
      <c r="I176" s="15">
        <v>76</v>
      </c>
      <c r="J176" s="15">
        <v>38</v>
      </c>
      <c r="K176" s="15">
        <v>38</v>
      </c>
      <c r="L176" s="12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</row>
    <row r="177" spans="1:55" ht="12.95" customHeight="1">
      <c r="A177" s="2"/>
      <c r="B177" s="14" t="s">
        <v>171</v>
      </c>
      <c r="C177" s="15">
        <v>110</v>
      </c>
      <c r="D177" s="15">
        <v>53</v>
      </c>
      <c r="E177" s="15">
        <v>57</v>
      </c>
      <c r="F177" s="15">
        <v>42</v>
      </c>
      <c r="G177" s="15">
        <v>23</v>
      </c>
      <c r="H177" s="15">
        <v>19</v>
      </c>
      <c r="I177" s="15">
        <v>68</v>
      </c>
      <c r="J177" s="15">
        <v>30</v>
      </c>
      <c r="K177" s="15">
        <v>38</v>
      </c>
      <c r="L177" s="12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</row>
    <row r="178" spans="1:55" ht="12.95" customHeight="1">
      <c r="A178" s="2"/>
      <c r="B178" s="14" t="s">
        <v>172</v>
      </c>
      <c r="C178" s="15">
        <v>867</v>
      </c>
      <c r="D178" s="15">
        <v>487</v>
      </c>
      <c r="E178" s="15">
        <v>380</v>
      </c>
      <c r="F178" s="15">
        <v>294</v>
      </c>
      <c r="G178" s="15">
        <v>183</v>
      </c>
      <c r="H178" s="15">
        <v>111</v>
      </c>
      <c r="I178" s="15">
        <v>573</v>
      </c>
      <c r="J178" s="15">
        <v>304</v>
      </c>
      <c r="K178" s="15">
        <v>269</v>
      </c>
      <c r="L178" s="12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</row>
    <row r="179" spans="1:55" ht="12.95" customHeight="1">
      <c r="A179" s="2"/>
      <c r="B179" s="14" t="s">
        <v>173</v>
      </c>
      <c r="C179" s="15">
        <v>42</v>
      </c>
      <c r="D179" s="15">
        <v>24</v>
      </c>
      <c r="E179" s="15">
        <v>18</v>
      </c>
      <c r="F179" s="15">
        <v>19</v>
      </c>
      <c r="G179" s="15">
        <v>8</v>
      </c>
      <c r="H179" s="15">
        <v>11</v>
      </c>
      <c r="I179" s="15">
        <v>23</v>
      </c>
      <c r="J179" s="15">
        <v>16</v>
      </c>
      <c r="K179" s="15">
        <v>7</v>
      </c>
      <c r="L179" s="12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</row>
    <row r="180" spans="1:55" ht="12.95" customHeight="1">
      <c r="A180" s="2"/>
      <c r="B180" s="8"/>
      <c r="C180" s="13"/>
      <c r="D180" s="13"/>
      <c r="E180" s="13"/>
      <c r="F180" s="13"/>
      <c r="G180" s="13"/>
      <c r="H180" s="13"/>
      <c r="I180" s="13"/>
      <c r="J180" s="13"/>
      <c r="K180" s="13"/>
      <c r="L180" s="12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</row>
    <row r="181" spans="1:55" ht="12.95" customHeight="1">
      <c r="A181" s="2"/>
      <c r="B181" s="10" t="s">
        <v>174</v>
      </c>
      <c r="C181" s="11">
        <f>SUM(C182:C190)</f>
        <v>3404</v>
      </c>
      <c r="D181" s="11">
        <f>SUM(D182:D190)</f>
        <v>1823</v>
      </c>
      <c r="E181" s="11">
        <f>SUM(E182:E190)</f>
        <v>1581</v>
      </c>
      <c r="F181" s="11">
        <f>SUM(F182:F190)</f>
        <v>1319</v>
      </c>
      <c r="G181" s="11">
        <f>SUM(G182:G190)</f>
        <v>689</v>
      </c>
      <c r="H181" s="11">
        <f>SUM(H182:H190)</f>
        <v>630</v>
      </c>
      <c r="I181" s="11">
        <f>SUM(I182:I190)</f>
        <v>2085</v>
      </c>
      <c r="J181" s="11">
        <f>SUM(J182:J190)</f>
        <v>1134</v>
      </c>
      <c r="K181" s="11">
        <f>SUM(K182:K190)</f>
        <v>951</v>
      </c>
      <c r="L181" s="12"/>
      <c r="M181" s="7"/>
      <c r="N181" s="7"/>
      <c r="O181" s="7"/>
      <c r="P181" s="1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</row>
    <row r="182" spans="1:55" ht="12.95" customHeight="1">
      <c r="A182" s="2"/>
      <c r="B182" s="14" t="s">
        <v>175</v>
      </c>
      <c r="C182" s="15">
        <v>970</v>
      </c>
      <c r="D182" s="15">
        <v>494</v>
      </c>
      <c r="E182" s="15">
        <v>476</v>
      </c>
      <c r="F182" s="15">
        <v>479</v>
      </c>
      <c r="G182" s="15">
        <v>245</v>
      </c>
      <c r="H182" s="15">
        <v>234</v>
      </c>
      <c r="I182" s="15">
        <v>491</v>
      </c>
      <c r="J182" s="15">
        <v>249</v>
      </c>
      <c r="K182" s="15">
        <v>242</v>
      </c>
      <c r="L182" s="12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</row>
    <row r="183" spans="1:55" ht="12.95" customHeight="1">
      <c r="A183" s="2"/>
      <c r="B183" s="14" t="s">
        <v>176</v>
      </c>
      <c r="C183" s="15">
        <v>37</v>
      </c>
      <c r="D183" s="15">
        <v>21</v>
      </c>
      <c r="E183" s="15">
        <v>16</v>
      </c>
      <c r="F183" s="15">
        <v>23</v>
      </c>
      <c r="G183" s="15">
        <v>10</v>
      </c>
      <c r="H183" s="15">
        <v>13</v>
      </c>
      <c r="I183" s="15">
        <v>14</v>
      </c>
      <c r="J183" s="15">
        <v>11</v>
      </c>
      <c r="K183" s="15">
        <v>3</v>
      </c>
      <c r="L183" s="12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</row>
    <row r="184" spans="1:55" ht="12.95" customHeight="1">
      <c r="A184" s="2"/>
      <c r="B184" s="14" t="s">
        <v>177</v>
      </c>
      <c r="C184" s="15">
        <v>131</v>
      </c>
      <c r="D184" s="15">
        <v>67</v>
      </c>
      <c r="E184" s="15">
        <v>64</v>
      </c>
      <c r="F184" s="15">
        <v>44</v>
      </c>
      <c r="G184" s="15">
        <v>20</v>
      </c>
      <c r="H184" s="15">
        <v>24</v>
      </c>
      <c r="I184" s="15">
        <v>87</v>
      </c>
      <c r="J184" s="15">
        <v>47</v>
      </c>
      <c r="K184" s="15">
        <v>40</v>
      </c>
      <c r="L184" s="12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</row>
    <row r="185" spans="1:55" ht="12.95" customHeight="1">
      <c r="A185" s="2"/>
      <c r="B185" s="14" t="s">
        <v>178</v>
      </c>
      <c r="C185" s="15">
        <v>133</v>
      </c>
      <c r="D185" s="15">
        <v>69</v>
      </c>
      <c r="E185" s="15">
        <v>64</v>
      </c>
      <c r="F185" s="15">
        <v>48</v>
      </c>
      <c r="G185" s="15">
        <v>17</v>
      </c>
      <c r="H185" s="15">
        <v>31</v>
      </c>
      <c r="I185" s="15">
        <v>85</v>
      </c>
      <c r="J185" s="15">
        <v>52</v>
      </c>
      <c r="K185" s="15">
        <v>33</v>
      </c>
      <c r="L185" s="12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</row>
    <row r="186" spans="1:55" ht="12.95" customHeight="1">
      <c r="A186" s="2"/>
      <c r="B186" s="14" t="s">
        <v>179</v>
      </c>
      <c r="C186" s="15">
        <v>1444</v>
      </c>
      <c r="D186" s="15">
        <v>795</v>
      </c>
      <c r="E186" s="15">
        <v>649</v>
      </c>
      <c r="F186" s="15">
        <v>530</v>
      </c>
      <c r="G186" s="15">
        <v>295</v>
      </c>
      <c r="H186" s="15">
        <v>235</v>
      </c>
      <c r="I186" s="15">
        <v>914</v>
      </c>
      <c r="J186" s="15">
        <v>500</v>
      </c>
      <c r="K186" s="15">
        <v>414</v>
      </c>
      <c r="L186" s="12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</row>
    <row r="187" spans="1:55" ht="12.95" customHeight="1">
      <c r="A187" s="2"/>
      <c r="B187" s="14" t="s">
        <v>180</v>
      </c>
      <c r="C187" s="15">
        <v>155</v>
      </c>
      <c r="D187" s="15">
        <v>86</v>
      </c>
      <c r="E187" s="15">
        <v>69</v>
      </c>
      <c r="F187" s="15">
        <v>29</v>
      </c>
      <c r="G187" s="15">
        <v>14</v>
      </c>
      <c r="H187" s="15">
        <v>15</v>
      </c>
      <c r="I187" s="15">
        <v>126</v>
      </c>
      <c r="J187" s="15">
        <v>72</v>
      </c>
      <c r="K187" s="15">
        <v>54</v>
      </c>
      <c r="L187" s="12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</row>
    <row r="188" spans="1:55" ht="12.95" customHeight="1">
      <c r="A188" s="2"/>
      <c r="B188" s="14" t="s">
        <v>181</v>
      </c>
      <c r="C188" s="15">
        <v>160</v>
      </c>
      <c r="D188" s="15">
        <v>88</v>
      </c>
      <c r="E188" s="15">
        <v>72</v>
      </c>
      <c r="F188" s="15">
        <v>48</v>
      </c>
      <c r="G188" s="15">
        <v>26</v>
      </c>
      <c r="H188" s="15">
        <v>22</v>
      </c>
      <c r="I188" s="15">
        <v>112</v>
      </c>
      <c r="J188" s="15">
        <v>62</v>
      </c>
      <c r="K188" s="15">
        <v>50</v>
      </c>
      <c r="L188" s="12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</row>
    <row r="189" spans="1:55" ht="12.95" customHeight="1">
      <c r="A189" s="2"/>
      <c r="B189" s="14" t="s">
        <v>182</v>
      </c>
      <c r="C189" s="15">
        <v>118</v>
      </c>
      <c r="D189" s="15">
        <v>62</v>
      </c>
      <c r="E189" s="15">
        <v>56</v>
      </c>
      <c r="F189" s="15">
        <v>59</v>
      </c>
      <c r="G189" s="15">
        <v>29</v>
      </c>
      <c r="H189" s="15">
        <v>30</v>
      </c>
      <c r="I189" s="15">
        <v>59</v>
      </c>
      <c r="J189" s="15">
        <v>33</v>
      </c>
      <c r="K189" s="15">
        <v>26</v>
      </c>
      <c r="L189" s="12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</row>
    <row r="190" spans="1:55" ht="12.95" customHeight="1">
      <c r="A190" s="2"/>
      <c r="B190" s="14" t="s">
        <v>183</v>
      </c>
      <c r="C190" s="15">
        <v>256</v>
      </c>
      <c r="D190" s="15">
        <v>141</v>
      </c>
      <c r="E190" s="15">
        <v>115</v>
      </c>
      <c r="F190" s="15">
        <v>59</v>
      </c>
      <c r="G190" s="15">
        <v>33</v>
      </c>
      <c r="H190" s="15">
        <v>26</v>
      </c>
      <c r="I190" s="15">
        <v>197</v>
      </c>
      <c r="J190" s="15">
        <v>108</v>
      </c>
      <c r="K190" s="15">
        <v>89</v>
      </c>
      <c r="L190" s="12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</row>
    <row r="191" spans="1:55" ht="12.95" customHeight="1">
      <c r="A191" s="2"/>
      <c r="B191" s="8"/>
      <c r="C191" s="13"/>
      <c r="D191" s="13"/>
      <c r="E191" s="13"/>
      <c r="F191" s="13"/>
      <c r="G191" s="13"/>
      <c r="H191" s="13"/>
      <c r="I191" s="15"/>
      <c r="J191" s="13"/>
      <c r="K191" s="13"/>
      <c r="L191" s="12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spans="1:55" ht="12.95" customHeight="1">
      <c r="A192" s="2"/>
      <c r="B192" s="10" t="s">
        <v>184</v>
      </c>
      <c r="C192" s="11">
        <f>SUM(C193:C205)</f>
        <v>3175</v>
      </c>
      <c r="D192" s="11">
        <f>SUM(D193:D205)</f>
        <v>1719</v>
      </c>
      <c r="E192" s="11">
        <f>SUM(E193:E205)</f>
        <v>1456</v>
      </c>
      <c r="F192" s="11">
        <f>SUM(F193:F205)</f>
        <v>1761</v>
      </c>
      <c r="G192" s="11">
        <f>SUM(G193:G205)</f>
        <v>964</v>
      </c>
      <c r="H192" s="11">
        <f>SUM(H193:H205)</f>
        <v>797</v>
      </c>
      <c r="I192" s="11">
        <f>SUM(I193:I205)</f>
        <v>1414</v>
      </c>
      <c r="J192" s="11">
        <f>SUM(J193:J205)</f>
        <v>755</v>
      </c>
      <c r="K192" s="11">
        <f>SUM(K193:K205)</f>
        <v>659</v>
      </c>
      <c r="L192" s="12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spans="1:55" ht="12.95" customHeight="1">
      <c r="A193" s="2"/>
      <c r="B193" s="14" t="s">
        <v>185</v>
      </c>
      <c r="C193" s="15">
        <v>986</v>
      </c>
      <c r="D193" s="15">
        <v>542</v>
      </c>
      <c r="E193" s="15">
        <v>444</v>
      </c>
      <c r="F193" s="15">
        <v>794</v>
      </c>
      <c r="G193" s="15">
        <v>442</v>
      </c>
      <c r="H193" s="15">
        <v>352</v>
      </c>
      <c r="I193" s="15">
        <v>192</v>
      </c>
      <c r="J193" s="15">
        <v>100</v>
      </c>
      <c r="K193" s="15">
        <v>92</v>
      </c>
      <c r="L193" s="12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spans="1:55" ht="12.95" customHeight="1">
      <c r="A194" s="2"/>
      <c r="B194" s="14" t="s">
        <v>186</v>
      </c>
      <c r="C194" s="15">
        <v>444</v>
      </c>
      <c r="D194" s="15">
        <v>240</v>
      </c>
      <c r="E194" s="15">
        <v>204</v>
      </c>
      <c r="F194" s="15">
        <v>188</v>
      </c>
      <c r="G194" s="15">
        <v>96</v>
      </c>
      <c r="H194" s="15">
        <v>92</v>
      </c>
      <c r="I194" s="15">
        <v>256</v>
      </c>
      <c r="J194" s="15">
        <v>144</v>
      </c>
      <c r="K194" s="15">
        <v>112</v>
      </c>
      <c r="L194" s="12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</row>
    <row r="195" spans="1:55" ht="12.95" customHeight="1">
      <c r="A195" s="2"/>
      <c r="B195" s="14" t="s">
        <v>187</v>
      </c>
      <c r="C195" s="15">
        <v>101</v>
      </c>
      <c r="D195" s="15">
        <v>54</v>
      </c>
      <c r="E195" s="15">
        <v>47</v>
      </c>
      <c r="F195" s="15">
        <v>71</v>
      </c>
      <c r="G195" s="15">
        <v>41</v>
      </c>
      <c r="H195" s="15">
        <v>30</v>
      </c>
      <c r="I195" s="15">
        <v>30</v>
      </c>
      <c r="J195" s="15">
        <v>13</v>
      </c>
      <c r="K195" s="15">
        <v>17</v>
      </c>
      <c r="L195" s="12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</row>
    <row r="196" spans="1:55" ht="12.95" customHeight="1">
      <c r="A196" s="2"/>
      <c r="B196" s="14" t="s">
        <v>188</v>
      </c>
      <c r="C196" s="15">
        <v>80</v>
      </c>
      <c r="D196" s="15">
        <v>44</v>
      </c>
      <c r="E196" s="15">
        <v>36</v>
      </c>
      <c r="F196" s="15">
        <v>41</v>
      </c>
      <c r="G196" s="15">
        <v>22</v>
      </c>
      <c r="H196" s="15">
        <v>19</v>
      </c>
      <c r="I196" s="15">
        <v>39</v>
      </c>
      <c r="J196" s="15">
        <v>22</v>
      </c>
      <c r="K196" s="15">
        <v>17</v>
      </c>
      <c r="L196" s="12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</row>
    <row r="197" spans="1:55" ht="12.95" customHeight="1">
      <c r="A197" s="2"/>
      <c r="B197" s="14" t="s">
        <v>189</v>
      </c>
      <c r="C197" s="15">
        <v>102</v>
      </c>
      <c r="D197" s="15">
        <v>50</v>
      </c>
      <c r="E197" s="15">
        <v>52</v>
      </c>
      <c r="F197" s="15">
        <v>63</v>
      </c>
      <c r="G197" s="15">
        <v>29</v>
      </c>
      <c r="H197" s="15">
        <v>34</v>
      </c>
      <c r="I197" s="15">
        <v>39</v>
      </c>
      <c r="J197" s="15">
        <v>21</v>
      </c>
      <c r="K197" s="15">
        <v>18</v>
      </c>
      <c r="L197" s="12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</row>
    <row r="198" spans="1:55" ht="12.95" customHeight="1">
      <c r="A198" s="2"/>
      <c r="B198" s="14" t="s">
        <v>190</v>
      </c>
      <c r="C198" s="15">
        <v>168</v>
      </c>
      <c r="D198" s="15">
        <v>92</v>
      </c>
      <c r="E198" s="15">
        <v>76</v>
      </c>
      <c r="F198" s="15">
        <v>47</v>
      </c>
      <c r="G198" s="15">
        <v>24</v>
      </c>
      <c r="H198" s="15">
        <v>23</v>
      </c>
      <c r="I198" s="15">
        <v>121</v>
      </c>
      <c r="J198" s="15">
        <v>68</v>
      </c>
      <c r="K198" s="15">
        <v>53</v>
      </c>
      <c r="L198" s="12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</row>
    <row r="199" spans="1:55" ht="12.95" customHeight="1">
      <c r="A199" s="2"/>
      <c r="B199" s="14" t="s">
        <v>191</v>
      </c>
      <c r="C199" s="15">
        <v>110</v>
      </c>
      <c r="D199" s="15">
        <v>63</v>
      </c>
      <c r="E199" s="15">
        <v>47</v>
      </c>
      <c r="F199" s="15">
        <v>43</v>
      </c>
      <c r="G199" s="15">
        <v>30</v>
      </c>
      <c r="H199" s="15">
        <v>13</v>
      </c>
      <c r="I199" s="15">
        <v>67</v>
      </c>
      <c r="J199" s="15">
        <v>33</v>
      </c>
      <c r="K199" s="15">
        <v>34</v>
      </c>
      <c r="L199" s="12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</row>
    <row r="200" spans="1:55" ht="12.95" customHeight="1">
      <c r="A200" s="2"/>
      <c r="B200" s="14" t="s">
        <v>192</v>
      </c>
      <c r="C200" s="15">
        <v>234</v>
      </c>
      <c r="D200" s="15">
        <v>128</v>
      </c>
      <c r="E200" s="15">
        <v>106</v>
      </c>
      <c r="F200" s="15">
        <v>110</v>
      </c>
      <c r="G200" s="15">
        <v>61</v>
      </c>
      <c r="H200" s="15">
        <v>49</v>
      </c>
      <c r="I200" s="15">
        <v>124</v>
      </c>
      <c r="J200" s="15">
        <v>67</v>
      </c>
      <c r="K200" s="15">
        <v>57</v>
      </c>
      <c r="L200" s="12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</row>
    <row r="201" spans="1:55" ht="12.95" customHeight="1">
      <c r="A201" s="2"/>
      <c r="B201" s="14" t="s">
        <v>193</v>
      </c>
      <c r="C201" s="15">
        <v>106</v>
      </c>
      <c r="D201" s="15">
        <v>52</v>
      </c>
      <c r="E201" s="15">
        <v>54</v>
      </c>
      <c r="F201" s="15">
        <v>22</v>
      </c>
      <c r="G201" s="15">
        <v>10</v>
      </c>
      <c r="H201" s="15">
        <v>12</v>
      </c>
      <c r="I201" s="15">
        <v>84</v>
      </c>
      <c r="J201" s="15">
        <v>42</v>
      </c>
      <c r="K201" s="15">
        <v>42</v>
      </c>
      <c r="L201" s="12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</row>
    <row r="202" spans="1:55" ht="12.95" customHeight="1">
      <c r="A202" s="2"/>
      <c r="B202" s="14" t="s">
        <v>194</v>
      </c>
      <c r="C202" s="15">
        <v>173</v>
      </c>
      <c r="D202" s="15">
        <v>93</v>
      </c>
      <c r="E202" s="15">
        <v>80</v>
      </c>
      <c r="F202" s="15">
        <v>88</v>
      </c>
      <c r="G202" s="15">
        <v>46</v>
      </c>
      <c r="H202" s="15">
        <v>42</v>
      </c>
      <c r="I202" s="15">
        <v>85</v>
      </c>
      <c r="J202" s="15">
        <v>47</v>
      </c>
      <c r="K202" s="15">
        <v>38</v>
      </c>
      <c r="L202" s="12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</row>
    <row r="203" spans="1:55" ht="12.95" customHeight="1">
      <c r="A203" s="2"/>
      <c r="B203" s="14" t="s">
        <v>195</v>
      </c>
      <c r="C203" s="15">
        <v>458</v>
      </c>
      <c r="D203" s="15">
        <v>246</v>
      </c>
      <c r="E203" s="15">
        <v>212</v>
      </c>
      <c r="F203" s="15">
        <v>196</v>
      </c>
      <c r="G203" s="15">
        <v>110</v>
      </c>
      <c r="H203" s="15">
        <v>86</v>
      </c>
      <c r="I203" s="15">
        <v>262</v>
      </c>
      <c r="J203" s="15">
        <v>136</v>
      </c>
      <c r="K203" s="15">
        <v>126</v>
      </c>
      <c r="L203" s="12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</row>
    <row r="204" spans="1:55" ht="12.95" customHeight="1">
      <c r="A204" s="2"/>
      <c r="B204" s="14" t="s">
        <v>196</v>
      </c>
      <c r="C204" s="15">
        <v>74</v>
      </c>
      <c r="D204" s="15">
        <v>40</v>
      </c>
      <c r="E204" s="15">
        <v>34</v>
      </c>
      <c r="F204" s="15">
        <v>49</v>
      </c>
      <c r="G204" s="15">
        <v>27</v>
      </c>
      <c r="H204" s="15">
        <v>22</v>
      </c>
      <c r="I204" s="15">
        <v>25</v>
      </c>
      <c r="J204" s="15">
        <v>13</v>
      </c>
      <c r="K204" s="15">
        <v>12</v>
      </c>
      <c r="L204" s="12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</row>
    <row r="205" spans="1:55" ht="12.95" customHeight="1">
      <c r="A205" s="2"/>
      <c r="B205" s="14" t="s">
        <v>197</v>
      </c>
      <c r="C205" s="15">
        <v>139</v>
      </c>
      <c r="D205" s="15">
        <v>75</v>
      </c>
      <c r="E205" s="15">
        <v>64</v>
      </c>
      <c r="F205" s="15">
        <v>49</v>
      </c>
      <c r="G205" s="15">
        <v>26</v>
      </c>
      <c r="H205" s="15">
        <v>23</v>
      </c>
      <c r="I205" s="15">
        <v>90</v>
      </c>
      <c r="J205" s="15">
        <v>49</v>
      </c>
      <c r="K205" s="15">
        <v>41</v>
      </c>
      <c r="L205" s="12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</row>
    <row r="206" spans="1:55" ht="12.95" customHeight="1">
      <c r="A206" s="2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12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</row>
    <row r="207" spans="1:55" ht="12.95" customHeight="1">
      <c r="A207" s="2"/>
      <c r="B207" s="21" t="s">
        <v>198</v>
      </c>
      <c r="C207" s="11">
        <f>SUM(C208:C230)</f>
        <v>6910</v>
      </c>
      <c r="D207" s="11">
        <f>SUM(D208:D230)</f>
        <v>3772</v>
      </c>
      <c r="E207" s="11">
        <f>SUM(E208:E230)</f>
        <v>3138</v>
      </c>
      <c r="F207" s="11">
        <f>SUM(F208:F230)</f>
        <v>3503</v>
      </c>
      <c r="G207" s="11">
        <f>SUM(G208:G230)</f>
        <v>1918</v>
      </c>
      <c r="H207" s="11">
        <f>SUM(H208:H230)</f>
        <v>1585</v>
      </c>
      <c r="I207" s="11">
        <f>SUM(I208:I230)</f>
        <v>3407</v>
      </c>
      <c r="J207" s="11">
        <f>SUM(J208:J230)</f>
        <v>1854</v>
      </c>
      <c r="K207" s="11">
        <f>SUM(K208:K230)</f>
        <v>1553</v>
      </c>
      <c r="L207" s="12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</row>
    <row r="208" spans="1:55" ht="12.95" customHeight="1">
      <c r="A208" s="2"/>
      <c r="B208" s="14" t="s">
        <v>199</v>
      </c>
      <c r="C208" s="15">
        <v>1546</v>
      </c>
      <c r="D208" s="15">
        <v>851</v>
      </c>
      <c r="E208" s="15">
        <v>695</v>
      </c>
      <c r="F208" s="15">
        <v>1148</v>
      </c>
      <c r="G208" s="15">
        <v>639</v>
      </c>
      <c r="H208" s="15">
        <v>509</v>
      </c>
      <c r="I208" s="15">
        <v>398</v>
      </c>
      <c r="J208" s="15">
        <v>212</v>
      </c>
      <c r="K208" s="15">
        <v>186</v>
      </c>
      <c r="L208" s="12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</row>
    <row r="209" spans="1:55" ht="12.95" customHeight="1">
      <c r="A209" s="2"/>
      <c r="B209" s="14" t="s">
        <v>200</v>
      </c>
      <c r="C209" s="15">
        <v>209</v>
      </c>
      <c r="D209" s="15">
        <v>118</v>
      </c>
      <c r="E209" s="15">
        <v>91</v>
      </c>
      <c r="F209" s="15">
        <v>40</v>
      </c>
      <c r="G209" s="15">
        <v>23</v>
      </c>
      <c r="H209" s="15">
        <v>17</v>
      </c>
      <c r="I209" s="15">
        <v>169</v>
      </c>
      <c r="J209" s="15">
        <v>95</v>
      </c>
      <c r="K209" s="15">
        <v>74</v>
      </c>
      <c r="L209" s="12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</row>
    <row r="210" spans="1:55" ht="12.95" customHeight="1">
      <c r="A210" s="2"/>
      <c r="B210" s="14" t="s">
        <v>201</v>
      </c>
      <c r="C210" s="15">
        <v>410</v>
      </c>
      <c r="D210" s="15">
        <v>203</v>
      </c>
      <c r="E210" s="15">
        <v>207</v>
      </c>
      <c r="F210" s="15">
        <v>208</v>
      </c>
      <c r="G210" s="15">
        <v>107</v>
      </c>
      <c r="H210" s="15">
        <v>101</v>
      </c>
      <c r="I210" s="15">
        <v>202</v>
      </c>
      <c r="J210" s="15">
        <v>96</v>
      </c>
      <c r="K210" s="15">
        <v>106</v>
      </c>
      <c r="L210" s="12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</row>
    <row r="211" spans="1:55" ht="12.95" customHeight="1">
      <c r="A211" s="2"/>
      <c r="B211" s="14" t="s">
        <v>202</v>
      </c>
      <c r="C211" s="15">
        <v>54</v>
      </c>
      <c r="D211" s="15">
        <v>31</v>
      </c>
      <c r="E211" s="15">
        <v>23</v>
      </c>
      <c r="F211" s="15">
        <v>39</v>
      </c>
      <c r="G211" s="15">
        <v>20</v>
      </c>
      <c r="H211" s="15">
        <v>19</v>
      </c>
      <c r="I211" s="15">
        <v>15</v>
      </c>
      <c r="J211" s="15">
        <v>11</v>
      </c>
      <c r="K211" s="15">
        <v>4</v>
      </c>
      <c r="L211" s="12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</row>
    <row r="212" spans="1:55" ht="12.95" customHeight="1">
      <c r="A212" s="2"/>
      <c r="B212" s="14" t="s">
        <v>203</v>
      </c>
      <c r="C212" s="15">
        <v>201</v>
      </c>
      <c r="D212" s="15">
        <v>119</v>
      </c>
      <c r="E212" s="15">
        <v>82</v>
      </c>
      <c r="F212" s="15">
        <v>85</v>
      </c>
      <c r="G212" s="15">
        <v>45</v>
      </c>
      <c r="H212" s="15">
        <v>40</v>
      </c>
      <c r="I212" s="15">
        <v>116</v>
      </c>
      <c r="J212" s="15">
        <v>74</v>
      </c>
      <c r="K212" s="15">
        <v>42</v>
      </c>
      <c r="L212" s="12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</row>
    <row r="213" spans="1:55" ht="12.95" customHeight="1">
      <c r="A213" s="2"/>
      <c r="B213" s="14" t="s">
        <v>204</v>
      </c>
      <c r="C213" s="15">
        <v>144</v>
      </c>
      <c r="D213" s="15">
        <v>81</v>
      </c>
      <c r="E213" s="15">
        <v>63</v>
      </c>
      <c r="F213" s="15">
        <v>88</v>
      </c>
      <c r="G213" s="15">
        <v>50</v>
      </c>
      <c r="H213" s="15">
        <v>38</v>
      </c>
      <c r="I213" s="15">
        <v>56</v>
      </c>
      <c r="J213" s="15">
        <v>31</v>
      </c>
      <c r="K213" s="15">
        <v>25</v>
      </c>
      <c r="L213" s="12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</row>
    <row r="214" spans="1:55" ht="12.95" customHeight="1">
      <c r="A214" s="2"/>
      <c r="B214" s="14" t="s">
        <v>205</v>
      </c>
      <c r="C214" s="15">
        <v>149</v>
      </c>
      <c r="D214" s="15">
        <v>84</v>
      </c>
      <c r="E214" s="15">
        <v>65</v>
      </c>
      <c r="F214" s="15">
        <v>65</v>
      </c>
      <c r="G214" s="15">
        <v>39</v>
      </c>
      <c r="H214" s="15">
        <v>26</v>
      </c>
      <c r="I214" s="15">
        <v>84</v>
      </c>
      <c r="J214" s="15">
        <v>45</v>
      </c>
      <c r="K214" s="15">
        <v>39</v>
      </c>
      <c r="L214" s="12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</row>
    <row r="215" spans="1:55" ht="12.95" customHeight="1">
      <c r="A215" s="2"/>
      <c r="B215" s="14" t="s">
        <v>206</v>
      </c>
      <c r="C215" s="15">
        <v>192</v>
      </c>
      <c r="D215" s="15">
        <v>96</v>
      </c>
      <c r="E215" s="15">
        <v>96</v>
      </c>
      <c r="F215" s="15">
        <v>95</v>
      </c>
      <c r="G215" s="15">
        <v>47</v>
      </c>
      <c r="H215" s="15">
        <v>48</v>
      </c>
      <c r="I215" s="15">
        <v>97</v>
      </c>
      <c r="J215" s="15">
        <v>49</v>
      </c>
      <c r="K215" s="15">
        <v>48</v>
      </c>
      <c r="L215" s="12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</row>
    <row r="216" spans="1:55" ht="12.95" customHeight="1">
      <c r="A216" s="2"/>
      <c r="B216" s="14" t="s">
        <v>207</v>
      </c>
      <c r="C216" s="15">
        <v>986</v>
      </c>
      <c r="D216" s="15">
        <v>554</v>
      </c>
      <c r="E216" s="15">
        <v>432</v>
      </c>
      <c r="F216" s="15">
        <v>231</v>
      </c>
      <c r="G216" s="15">
        <v>132</v>
      </c>
      <c r="H216" s="15">
        <v>99</v>
      </c>
      <c r="I216" s="15">
        <v>755</v>
      </c>
      <c r="J216" s="15">
        <v>422</v>
      </c>
      <c r="K216" s="15">
        <v>333</v>
      </c>
      <c r="L216" s="12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</row>
    <row r="217" spans="1:55" ht="12.95" customHeight="1">
      <c r="A217" s="2"/>
      <c r="B217" s="14" t="s">
        <v>208</v>
      </c>
      <c r="C217" s="15">
        <v>378</v>
      </c>
      <c r="D217" s="15">
        <v>210</v>
      </c>
      <c r="E217" s="15">
        <v>168</v>
      </c>
      <c r="F217" s="15">
        <v>224</v>
      </c>
      <c r="G217" s="15">
        <v>130</v>
      </c>
      <c r="H217" s="15">
        <v>94</v>
      </c>
      <c r="I217" s="15">
        <v>154</v>
      </c>
      <c r="J217" s="15">
        <v>80</v>
      </c>
      <c r="K217" s="15">
        <v>74</v>
      </c>
      <c r="L217" s="12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</row>
    <row r="218" spans="1:55" ht="12.95" customHeight="1">
      <c r="A218" s="2"/>
      <c r="B218" s="14" t="s">
        <v>209</v>
      </c>
      <c r="C218" s="15">
        <v>255</v>
      </c>
      <c r="D218" s="15">
        <v>146</v>
      </c>
      <c r="E218" s="15">
        <v>109</v>
      </c>
      <c r="F218" s="15">
        <v>60</v>
      </c>
      <c r="G218" s="15">
        <v>35</v>
      </c>
      <c r="H218" s="15">
        <v>25</v>
      </c>
      <c r="I218" s="15">
        <v>195</v>
      </c>
      <c r="J218" s="15">
        <v>111</v>
      </c>
      <c r="K218" s="15">
        <v>84</v>
      </c>
      <c r="L218" s="12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</row>
    <row r="219" spans="1:55" ht="12.95" customHeight="1">
      <c r="A219" s="2"/>
      <c r="B219" s="14" t="s">
        <v>210</v>
      </c>
      <c r="C219" s="15">
        <v>242</v>
      </c>
      <c r="D219" s="15">
        <v>136</v>
      </c>
      <c r="E219" s="15">
        <v>106</v>
      </c>
      <c r="F219" s="15">
        <v>65</v>
      </c>
      <c r="G219" s="15">
        <v>36</v>
      </c>
      <c r="H219" s="15">
        <v>29</v>
      </c>
      <c r="I219" s="15">
        <v>177</v>
      </c>
      <c r="J219" s="15">
        <v>100</v>
      </c>
      <c r="K219" s="15">
        <v>77</v>
      </c>
      <c r="L219" s="12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</row>
    <row r="220" spans="1:55" ht="12.95" customHeight="1">
      <c r="A220" s="2"/>
      <c r="B220" s="14" t="s">
        <v>211</v>
      </c>
      <c r="C220" s="15">
        <v>144</v>
      </c>
      <c r="D220" s="15">
        <v>76</v>
      </c>
      <c r="E220" s="15">
        <v>68</v>
      </c>
      <c r="F220" s="15">
        <v>32</v>
      </c>
      <c r="G220" s="15">
        <v>18</v>
      </c>
      <c r="H220" s="15">
        <v>14</v>
      </c>
      <c r="I220" s="15">
        <v>112</v>
      </c>
      <c r="J220" s="15">
        <v>58</v>
      </c>
      <c r="K220" s="15">
        <v>54</v>
      </c>
      <c r="L220" s="12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</row>
    <row r="221" spans="1:55" ht="12.95" customHeight="1">
      <c r="A221" s="2"/>
      <c r="B221" s="14" t="s">
        <v>212</v>
      </c>
      <c r="C221" s="15">
        <v>236</v>
      </c>
      <c r="D221" s="15">
        <v>131</v>
      </c>
      <c r="E221" s="15">
        <v>105</v>
      </c>
      <c r="F221" s="15">
        <v>92</v>
      </c>
      <c r="G221" s="15">
        <v>48</v>
      </c>
      <c r="H221" s="15">
        <v>44</v>
      </c>
      <c r="I221" s="15">
        <v>144</v>
      </c>
      <c r="J221" s="15">
        <v>83</v>
      </c>
      <c r="K221" s="15">
        <v>61</v>
      </c>
      <c r="L221" s="12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</row>
    <row r="222" spans="1:55" ht="12.95" customHeight="1">
      <c r="A222" s="2"/>
      <c r="B222" s="14" t="s">
        <v>213</v>
      </c>
      <c r="C222" s="15">
        <v>279</v>
      </c>
      <c r="D222" s="15">
        <v>158</v>
      </c>
      <c r="E222" s="15">
        <v>121</v>
      </c>
      <c r="F222" s="15">
        <v>219</v>
      </c>
      <c r="G222" s="15">
        <v>123</v>
      </c>
      <c r="H222" s="15">
        <v>96</v>
      </c>
      <c r="I222" s="15">
        <v>60</v>
      </c>
      <c r="J222" s="15">
        <v>35</v>
      </c>
      <c r="K222" s="15">
        <v>25</v>
      </c>
      <c r="L222" s="12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</row>
    <row r="223" spans="1:55" ht="12.95" customHeight="1">
      <c r="A223" s="2"/>
      <c r="B223" s="14" t="s">
        <v>214</v>
      </c>
      <c r="C223" s="15">
        <v>76</v>
      </c>
      <c r="D223" s="15">
        <v>42</v>
      </c>
      <c r="E223" s="15">
        <v>34</v>
      </c>
      <c r="F223" s="15">
        <v>33</v>
      </c>
      <c r="G223" s="15">
        <v>20</v>
      </c>
      <c r="H223" s="15">
        <v>13</v>
      </c>
      <c r="I223" s="15">
        <v>43</v>
      </c>
      <c r="J223" s="15">
        <v>22</v>
      </c>
      <c r="K223" s="15">
        <v>21</v>
      </c>
      <c r="L223" s="12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</row>
    <row r="224" spans="1:55" ht="12.95" customHeight="1">
      <c r="A224" s="2"/>
      <c r="B224" s="14" t="s">
        <v>215</v>
      </c>
      <c r="C224" s="15">
        <v>74</v>
      </c>
      <c r="D224" s="15">
        <v>37</v>
      </c>
      <c r="E224" s="15">
        <v>37</v>
      </c>
      <c r="F224" s="15">
        <v>27</v>
      </c>
      <c r="G224" s="15">
        <v>15</v>
      </c>
      <c r="H224" s="15">
        <v>12</v>
      </c>
      <c r="I224" s="15">
        <v>47</v>
      </c>
      <c r="J224" s="15">
        <v>22</v>
      </c>
      <c r="K224" s="15">
        <v>25</v>
      </c>
      <c r="L224" s="12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</row>
    <row r="225" spans="1:55" ht="12.95" customHeight="1">
      <c r="A225" s="2"/>
      <c r="B225" s="14" t="s">
        <v>216</v>
      </c>
      <c r="C225" s="15">
        <v>102</v>
      </c>
      <c r="D225" s="15">
        <v>58</v>
      </c>
      <c r="E225" s="15">
        <v>44</v>
      </c>
      <c r="F225" s="15">
        <v>64</v>
      </c>
      <c r="G225" s="15">
        <v>35</v>
      </c>
      <c r="H225" s="15">
        <v>29</v>
      </c>
      <c r="I225" s="15">
        <v>38</v>
      </c>
      <c r="J225" s="15">
        <v>23</v>
      </c>
      <c r="K225" s="15">
        <v>15</v>
      </c>
      <c r="L225" s="12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</row>
    <row r="226" spans="1:55" ht="12.95" customHeight="1">
      <c r="A226" s="2"/>
      <c r="B226" s="14" t="s">
        <v>217</v>
      </c>
      <c r="C226" s="15">
        <v>114</v>
      </c>
      <c r="D226" s="15">
        <v>55</v>
      </c>
      <c r="E226" s="15">
        <v>59</v>
      </c>
      <c r="F226" s="15">
        <v>30</v>
      </c>
      <c r="G226" s="15">
        <v>15</v>
      </c>
      <c r="H226" s="15">
        <v>15</v>
      </c>
      <c r="I226" s="15">
        <v>84</v>
      </c>
      <c r="J226" s="15">
        <v>40</v>
      </c>
      <c r="K226" s="15">
        <v>44</v>
      </c>
      <c r="L226" s="12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</row>
    <row r="227" spans="1:55" ht="12.95" customHeight="1">
      <c r="A227" s="2"/>
      <c r="B227" s="14" t="s">
        <v>218</v>
      </c>
      <c r="C227" s="15">
        <v>393</v>
      </c>
      <c r="D227" s="15">
        <v>198</v>
      </c>
      <c r="E227" s="15">
        <v>195</v>
      </c>
      <c r="F227" s="15">
        <v>145</v>
      </c>
      <c r="G227" s="15">
        <v>70</v>
      </c>
      <c r="H227" s="15">
        <v>75</v>
      </c>
      <c r="I227" s="15">
        <v>248</v>
      </c>
      <c r="J227" s="15">
        <v>128</v>
      </c>
      <c r="K227" s="15">
        <v>120</v>
      </c>
      <c r="L227" s="12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</row>
    <row r="228" spans="1:55" ht="12.95" customHeight="1">
      <c r="A228" s="2"/>
      <c r="B228" s="14" t="s">
        <v>219</v>
      </c>
      <c r="C228" s="15">
        <v>250</v>
      </c>
      <c r="D228" s="15">
        <v>132</v>
      </c>
      <c r="E228" s="15">
        <v>118</v>
      </c>
      <c r="F228" s="15">
        <v>179</v>
      </c>
      <c r="G228" s="15">
        <v>95</v>
      </c>
      <c r="H228" s="15">
        <v>84</v>
      </c>
      <c r="I228" s="15">
        <v>71</v>
      </c>
      <c r="J228" s="15">
        <v>37</v>
      </c>
      <c r="K228" s="15">
        <v>34</v>
      </c>
      <c r="L228" s="12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</row>
    <row r="229" spans="1:55" ht="12.95" customHeight="1">
      <c r="A229" s="2"/>
      <c r="B229" s="14" t="s">
        <v>220</v>
      </c>
      <c r="C229" s="15">
        <v>335</v>
      </c>
      <c r="D229" s="15">
        <v>176</v>
      </c>
      <c r="E229" s="15">
        <v>159</v>
      </c>
      <c r="F229" s="15">
        <v>258</v>
      </c>
      <c r="G229" s="15">
        <v>133</v>
      </c>
      <c r="H229" s="15">
        <v>125</v>
      </c>
      <c r="I229" s="15">
        <v>77</v>
      </c>
      <c r="J229" s="15">
        <v>43</v>
      </c>
      <c r="K229" s="15">
        <v>34</v>
      </c>
      <c r="L229" s="12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</row>
    <row r="230" spans="1:55" ht="12.95" customHeight="1">
      <c r="A230" s="2"/>
      <c r="B230" s="14" t="s">
        <v>221</v>
      </c>
      <c r="C230" s="15">
        <v>141</v>
      </c>
      <c r="D230" s="15">
        <v>80</v>
      </c>
      <c r="E230" s="15">
        <v>61</v>
      </c>
      <c r="F230" s="15">
        <v>76</v>
      </c>
      <c r="G230" s="15">
        <v>43</v>
      </c>
      <c r="H230" s="15">
        <v>33</v>
      </c>
      <c r="I230" s="15">
        <v>65</v>
      </c>
      <c r="J230" s="15">
        <v>37</v>
      </c>
      <c r="K230" s="15">
        <v>28</v>
      </c>
      <c r="L230" s="12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</row>
    <row r="231" spans="1:55" ht="12.95" customHeight="1">
      <c r="A231" s="2"/>
      <c r="B231" s="8"/>
      <c r="C231" s="13"/>
      <c r="D231" s="13"/>
      <c r="E231" s="13"/>
      <c r="F231" s="13"/>
      <c r="G231" s="13"/>
      <c r="H231" s="13"/>
      <c r="I231" s="13"/>
      <c r="J231" s="13"/>
      <c r="K231" s="13"/>
      <c r="L231" s="12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</row>
    <row r="232" spans="1:55" ht="12.95" customHeight="1">
      <c r="A232" s="2"/>
      <c r="B232" s="10" t="s">
        <v>222</v>
      </c>
      <c r="C232" s="11">
        <f>SUM(C233:C252)</f>
        <v>8975</v>
      </c>
      <c r="D232" s="11">
        <f>SUM(D233:D252)</f>
        <v>4792</v>
      </c>
      <c r="E232" s="11">
        <f>SUM(E233:E252)</f>
        <v>4183</v>
      </c>
      <c r="F232" s="11">
        <f>SUM(F233:F252)</f>
        <v>5905</v>
      </c>
      <c r="G232" s="11">
        <f>SUM(G233:G252)</f>
        <v>3137</v>
      </c>
      <c r="H232" s="11">
        <f>SUM(H233:H252)</f>
        <v>2768</v>
      </c>
      <c r="I232" s="11">
        <f>SUM(I233:I252)</f>
        <v>3070</v>
      </c>
      <c r="J232" s="11">
        <f>SUM(J233:J252)</f>
        <v>1655</v>
      </c>
      <c r="K232" s="11">
        <f>SUM(K233:K252)</f>
        <v>1415</v>
      </c>
      <c r="L232" s="12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</row>
    <row r="233" spans="1:55" ht="12.95" customHeight="1">
      <c r="A233" s="2"/>
      <c r="B233" s="14" t="s">
        <v>223</v>
      </c>
      <c r="C233" s="15">
        <v>4383</v>
      </c>
      <c r="D233" s="15">
        <v>2282</v>
      </c>
      <c r="E233" s="15">
        <v>2101</v>
      </c>
      <c r="F233" s="15">
        <v>3938</v>
      </c>
      <c r="G233" s="15">
        <v>2056</v>
      </c>
      <c r="H233" s="15">
        <v>1882</v>
      </c>
      <c r="I233" s="15">
        <v>445</v>
      </c>
      <c r="J233" s="15">
        <v>226</v>
      </c>
      <c r="K233" s="15">
        <v>219</v>
      </c>
      <c r="L233" s="12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</row>
    <row r="234" spans="1:55" ht="12.95" customHeight="1">
      <c r="A234" s="2"/>
      <c r="B234" s="14" t="s">
        <v>224</v>
      </c>
      <c r="C234" s="15">
        <v>159</v>
      </c>
      <c r="D234" s="15">
        <v>89</v>
      </c>
      <c r="E234" s="15">
        <v>70</v>
      </c>
      <c r="F234" s="15">
        <v>46</v>
      </c>
      <c r="G234" s="15">
        <v>23</v>
      </c>
      <c r="H234" s="15">
        <v>23</v>
      </c>
      <c r="I234" s="15">
        <v>113</v>
      </c>
      <c r="J234" s="15">
        <v>66</v>
      </c>
      <c r="K234" s="15">
        <v>47</v>
      </c>
      <c r="L234" s="12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</row>
    <row r="235" spans="1:55" ht="12.95" customHeight="1">
      <c r="A235" s="2"/>
      <c r="B235" s="14" t="s">
        <v>225</v>
      </c>
      <c r="C235" s="15">
        <v>613</v>
      </c>
      <c r="D235" s="15">
        <v>340</v>
      </c>
      <c r="E235" s="15">
        <v>273</v>
      </c>
      <c r="F235" s="15">
        <v>319</v>
      </c>
      <c r="G235" s="15">
        <v>180</v>
      </c>
      <c r="H235" s="15">
        <v>139</v>
      </c>
      <c r="I235" s="15">
        <v>294</v>
      </c>
      <c r="J235" s="15">
        <v>160</v>
      </c>
      <c r="K235" s="15">
        <v>134</v>
      </c>
      <c r="L235" s="12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</row>
    <row r="236" spans="1:55" ht="12.95" customHeight="1">
      <c r="A236" s="2"/>
      <c r="B236" s="14" t="s">
        <v>226</v>
      </c>
      <c r="C236" s="15">
        <v>70</v>
      </c>
      <c r="D236" s="15">
        <v>36</v>
      </c>
      <c r="E236" s="15">
        <v>34</v>
      </c>
      <c r="F236" s="15">
        <v>23</v>
      </c>
      <c r="G236" s="15">
        <v>11</v>
      </c>
      <c r="H236" s="15">
        <v>12</v>
      </c>
      <c r="I236" s="15">
        <v>47</v>
      </c>
      <c r="J236" s="15">
        <v>25</v>
      </c>
      <c r="K236" s="15">
        <v>22</v>
      </c>
      <c r="L236" s="12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</row>
    <row r="237" spans="1:55" ht="12.95" customHeight="1">
      <c r="A237" s="2"/>
      <c r="B237" s="14" t="s">
        <v>227</v>
      </c>
      <c r="C237" s="15">
        <v>293</v>
      </c>
      <c r="D237" s="15">
        <v>168</v>
      </c>
      <c r="E237" s="15">
        <v>125</v>
      </c>
      <c r="F237" s="15">
        <v>102</v>
      </c>
      <c r="G237" s="15">
        <v>56</v>
      </c>
      <c r="H237" s="15">
        <v>46</v>
      </c>
      <c r="I237" s="15">
        <v>191</v>
      </c>
      <c r="J237" s="15">
        <v>112</v>
      </c>
      <c r="K237" s="15">
        <v>79</v>
      </c>
      <c r="L237" s="12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</row>
    <row r="238" spans="1:55" ht="12.95" customHeight="1">
      <c r="A238" s="2"/>
      <c r="B238" s="14" t="s">
        <v>228</v>
      </c>
      <c r="C238" s="15">
        <v>461</v>
      </c>
      <c r="D238" s="15">
        <v>250</v>
      </c>
      <c r="E238" s="15">
        <v>211</v>
      </c>
      <c r="F238" s="15">
        <v>178</v>
      </c>
      <c r="G238" s="15">
        <v>98</v>
      </c>
      <c r="H238" s="15">
        <v>80</v>
      </c>
      <c r="I238" s="15">
        <v>283</v>
      </c>
      <c r="J238" s="15">
        <v>152</v>
      </c>
      <c r="K238" s="15">
        <v>131</v>
      </c>
      <c r="L238" s="12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</row>
    <row r="239" spans="1:55" ht="12.95" customHeight="1">
      <c r="A239" s="2"/>
      <c r="B239" s="14" t="s">
        <v>229</v>
      </c>
      <c r="C239" s="15">
        <v>425</v>
      </c>
      <c r="D239" s="15">
        <v>225</v>
      </c>
      <c r="E239" s="15">
        <v>200</v>
      </c>
      <c r="F239" s="15">
        <v>184</v>
      </c>
      <c r="G239" s="15">
        <v>104</v>
      </c>
      <c r="H239" s="15">
        <v>80</v>
      </c>
      <c r="I239" s="15">
        <v>241</v>
      </c>
      <c r="J239" s="15">
        <v>121</v>
      </c>
      <c r="K239" s="15">
        <v>120</v>
      </c>
      <c r="L239" s="12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</row>
    <row r="240" spans="1:55" ht="12.95" customHeight="1">
      <c r="A240" s="2"/>
      <c r="B240" s="14" t="s">
        <v>230</v>
      </c>
      <c r="C240" s="15">
        <v>416</v>
      </c>
      <c r="D240" s="15">
        <v>227</v>
      </c>
      <c r="E240" s="15">
        <v>189</v>
      </c>
      <c r="F240" s="15">
        <v>274</v>
      </c>
      <c r="G240" s="15">
        <v>144</v>
      </c>
      <c r="H240" s="15">
        <v>130</v>
      </c>
      <c r="I240" s="15">
        <v>142</v>
      </c>
      <c r="J240" s="15">
        <v>83</v>
      </c>
      <c r="K240" s="15">
        <v>59</v>
      </c>
      <c r="L240" s="12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</row>
    <row r="241" spans="1:55" ht="12.95" customHeight="1">
      <c r="A241" s="2"/>
      <c r="B241" s="14" t="s">
        <v>231</v>
      </c>
      <c r="C241" s="15">
        <v>315</v>
      </c>
      <c r="D241" s="15">
        <v>167</v>
      </c>
      <c r="E241" s="15">
        <v>148</v>
      </c>
      <c r="F241" s="15">
        <v>108</v>
      </c>
      <c r="G241" s="15">
        <v>58</v>
      </c>
      <c r="H241" s="15">
        <v>50</v>
      </c>
      <c r="I241" s="15">
        <v>207</v>
      </c>
      <c r="J241" s="15">
        <v>109</v>
      </c>
      <c r="K241" s="15">
        <v>98</v>
      </c>
      <c r="L241" s="12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</row>
    <row r="242" spans="1:55" ht="12.95" customHeight="1">
      <c r="A242" s="2"/>
      <c r="B242" s="14" t="s">
        <v>232</v>
      </c>
      <c r="C242" s="15">
        <v>475</v>
      </c>
      <c r="D242" s="15">
        <v>262</v>
      </c>
      <c r="E242" s="15">
        <v>213</v>
      </c>
      <c r="F242" s="15">
        <v>85</v>
      </c>
      <c r="G242" s="15">
        <v>48</v>
      </c>
      <c r="H242" s="15">
        <v>37</v>
      </c>
      <c r="I242" s="15">
        <v>390</v>
      </c>
      <c r="J242" s="15">
        <v>214</v>
      </c>
      <c r="K242" s="15">
        <v>176</v>
      </c>
      <c r="L242" s="12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</row>
    <row r="243" spans="1:55" ht="12.95" customHeight="1">
      <c r="A243" s="2"/>
      <c r="B243" s="14" t="s">
        <v>233</v>
      </c>
      <c r="C243" s="15">
        <v>142</v>
      </c>
      <c r="D243" s="15">
        <v>83</v>
      </c>
      <c r="E243" s="15">
        <v>59</v>
      </c>
      <c r="F243" s="15">
        <v>132</v>
      </c>
      <c r="G243" s="15">
        <v>77</v>
      </c>
      <c r="H243" s="15">
        <v>55</v>
      </c>
      <c r="I243" s="15">
        <v>10</v>
      </c>
      <c r="J243" s="15">
        <v>6</v>
      </c>
      <c r="K243" s="15">
        <v>4</v>
      </c>
      <c r="L243" s="12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</row>
    <row r="244" spans="1:55" ht="12.95" customHeight="1">
      <c r="A244" s="2"/>
      <c r="B244" s="14" t="s">
        <v>234</v>
      </c>
      <c r="C244" s="15">
        <v>73</v>
      </c>
      <c r="D244" s="15">
        <v>34</v>
      </c>
      <c r="E244" s="15">
        <v>39</v>
      </c>
      <c r="F244" s="15">
        <v>14</v>
      </c>
      <c r="G244" s="15">
        <v>7</v>
      </c>
      <c r="H244" s="15">
        <v>7</v>
      </c>
      <c r="I244" s="15">
        <v>59</v>
      </c>
      <c r="J244" s="15">
        <v>27</v>
      </c>
      <c r="K244" s="15">
        <v>32</v>
      </c>
      <c r="L244" s="12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</row>
    <row r="245" spans="1:55" ht="12.95" customHeight="1">
      <c r="A245" s="2"/>
      <c r="B245" s="14" t="s">
        <v>235</v>
      </c>
      <c r="C245" s="15">
        <v>118</v>
      </c>
      <c r="D245" s="15">
        <v>68</v>
      </c>
      <c r="E245" s="15">
        <v>50</v>
      </c>
      <c r="F245" s="15">
        <v>60</v>
      </c>
      <c r="G245" s="15">
        <v>40</v>
      </c>
      <c r="H245" s="15">
        <v>20</v>
      </c>
      <c r="I245" s="15">
        <v>58</v>
      </c>
      <c r="J245" s="15">
        <v>28</v>
      </c>
      <c r="K245" s="15">
        <v>30</v>
      </c>
      <c r="L245" s="12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</row>
    <row r="246" spans="1:55" ht="12.95" customHeight="1">
      <c r="A246" s="2"/>
      <c r="B246" s="14" t="s">
        <v>236</v>
      </c>
      <c r="C246" s="15">
        <v>99</v>
      </c>
      <c r="D246" s="15">
        <v>52</v>
      </c>
      <c r="E246" s="15">
        <v>47</v>
      </c>
      <c r="F246" s="15">
        <v>33</v>
      </c>
      <c r="G246" s="15">
        <v>18</v>
      </c>
      <c r="H246" s="15">
        <v>15</v>
      </c>
      <c r="I246" s="15">
        <v>66</v>
      </c>
      <c r="J246" s="15">
        <v>34</v>
      </c>
      <c r="K246" s="15">
        <v>32</v>
      </c>
      <c r="L246" s="12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</row>
    <row r="247" spans="1:55" ht="12.95" customHeight="1">
      <c r="A247" s="2"/>
      <c r="B247" s="14" t="s">
        <v>237</v>
      </c>
      <c r="C247" s="15">
        <v>103</v>
      </c>
      <c r="D247" s="15">
        <v>52</v>
      </c>
      <c r="E247" s="15">
        <v>51</v>
      </c>
      <c r="F247" s="15">
        <v>41</v>
      </c>
      <c r="G247" s="15">
        <v>24</v>
      </c>
      <c r="H247" s="15">
        <v>17</v>
      </c>
      <c r="I247" s="15">
        <v>62</v>
      </c>
      <c r="J247" s="15">
        <v>28</v>
      </c>
      <c r="K247" s="15">
        <v>34</v>
      </c>
      <c r="L247" s="12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</row>
    <row r="248" spans="1:55" ht="12.95" customHeight="1">
      <c r="A248" s="2"/>
      <c r="B248" s="14" t="s">
        <v>238</v>
      </c>
      <c r="C248" s="15">
        <v>199</v>
      </c>
      <c r="D248" s="15">
        <v>114</v>
      </c>
      <c r="E248" s="15">
        <v>85</v>
      </c>
      <c r="F248" s="15">
        <v>99</v>
      </c>
      <c r="G248" s="15">
        <v>58</v>
      </c>
      <c r="H248" s="15">
        <v>41</v>
      </c>
      <c r="I248" s="15">
        <v>100</v>
      </c>
      <c r="J248" s="15">
        <v>56</v>
      </c>
      <c r="K248" s="15">
        <v>44</v>
      </c>
      <c r="L248" s="12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</row>
    <row r="249" spans="1:55" ht="12.95" customHeight="1">
      <c r="A249" s="2"/>
      <c r="B249" s="14" t="s">
        <v>239</v>
      </c>
      <c r="C249" s="15">
        <v>102</v>
      </c>
      <c r="D249" s="15">
        <v>61</v>
      </c>
      <c r="E249" s="15">
        <v>41</v>
      </c>
      <c r="F249" s="15">
        <v>27</v>
      </c>
      <c r="G249" s="15">
        <v>15</v>
      </c>
      <c r="H249" s="15">
        <v>12</v>
      </c>
      <c r="I249" s="15">
        <v>75</v>
      </c>
      <c r="J249" s="15">
        <v>46</v>
      </c>
      <c r="K249" s="15">
        <v>29</v>
      </c>
      <c r="L249" s="12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</row>
    <row r="250" spans="1:55" ht="12.95" customHeight="1">
      <c r="A250" s="2"/>
      <c r="B250" s="14" t="s">
        <v>240</v>
      </c>
      <c r="C250" s="15">
        <v>268</v>
      </c>
      <c r="D250" s="15">
        <v>140</v>
      </c>
      <c r="E250" s="15">
        <v>128</v>
      </c>
      <c r="F250" s="15">
        <v>141</v>
      </c>
      <c r="G250" s="15">
        <v>73</v>
      </c>
      <c r="H250" s="15">
        <v>68</v>
      </c>
      <c r="I250" s="15">
        <v>127</v>
      </c>
      <c r="J250" s="15">
        <v>67</v>
      </c>
      <c r="K250" s="15">
        <v>60</v>
      </c>
      <c r="L250" s="12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</row>
    <row r="251" spans="1:55" ht="12.95" customHeight="1">
      <c r="A251" s="2"/>
      <c r="B251" s="14" t="s">
        <v>241</v>
      </c>
      <c r="C251" s="15">
        <v>207</v>
      </c>
      <c r="D251" s="15">
        <v>122</v>
      </c>
      <c r="E251" s="15">
        <v>85</v>
      </c>
      <c r="F251" s="15">
        <v>52</v>
      </c>
      <c r="G251" s="15">
        <v>28</v>
      </c>
      <c r="H251" s="15">
        <v>24</v>
      </c>
      <c r="I251" s="15">
        <v>155</v>
      </c>
      <c r="J251" s="15">
        <v>94</v>
      </c>
      <c r="K251" s="15">
        <v>61</v>
      </c>
      <c r="L251" s="12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</row>
    <row r="252" spans="1:55" ht="12.95" customHeight="1">
      <c r="A252" s="2"/>
      <c r="B252" s="14" t="s">
        <v>242</v>
      </c>
      <c r="C252" s="15">
        <v>54</v>
      </c>
      <c r="D252" s="15">
        <v>20</v>
      </c>
      <c r="E252" s="15">
        <v>34</v>
      </c>
      <c r="F252" s="15">
        <v>49</v>
      </c>
      <c r="G252" s="15">
        <v>19</v>
      </c>
      <c r="H252" s="15">
        <v>30</v>
      </c>
      <c r="I252" s="15">
        <v>5</v>
      </c>
      <c r="J252" s="15">
        <v>1</v>
      </c>
      <c r="K252" s="15">
        <v>4</v>
      </c>
      <c r="L252" s="12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</row>
    <row r="253" spans="1:55" ht="12.95" customHeight="1">
      <c r="A253" s="2"/>
      <c r="B253" s="8"/>
      <c r="C253" s="13"/>
      <c r="D253" s="13"/>
      <c r="E253" s="13"/>
      <c r="F253" s="13"/>
      <c r="G253" s="13"/>
      <c r="H253" s="13"/>
      <c r="I253" s="13"/>
      <c r="J253" s="13"/>
      <c r="K253" s="13"/>
      <c r="L253" s="12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</row>
    <row r="254" spans="1:55" ht="12.95" customHeight="1">
      <c r="A254" s="2"/>
      <c r="B254" s="10" t="s">
        <v>243</v>
      </c>
      <c r="C254" s="17">
        <f>SUM(C255:C280)</f>
        <v>3743</v>
      </c>
      <c r="D254" s="17">
        <f>SUM(D255:D280)</f>
        <v>2031</v>
      </c>
      <c r="E254" s="17">
        <f>SUM(E255:E280)</f>
        <v>1712</v>
      </c>
      <c r="F254" s="17">
        <f>SUM(F255:F280)</f>
        <v>1449</v>
      </c>
      <c r="G254" s="17">
        <f>SUM(G255:G280)</f>
        <v>763</v>
      </c>
      <c r="H254" s="17">
        <f>SUM(H255:H280)</f>
        <v>686</v>
      </c>
      <c r="I254" s="17">
        <f>SUM(I255:I280)</f>
        <v>2294</v>
      </c>
      <c r="J254" s="17">
        <f>SUM(J255:J280)</f>
        <v>1268</v>
      </c>
      <c r="K254" s="17">
        <f>SUM(K255:K280)</f>
        <v>1026</v>
      </c>
      <c r="L254" s="12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</row>
    <row r="255" spans="1:55" ht="12.95" customHeight="1">
      <c r="A255" s="2"/>
      <c r="B255" s="14" t="s">
        <v>244</v>
      </c>
      <c r="C255" s="15">
        <v>526</v>
      </c>
      <c r="D255" s="15">
        <v>281</v>
      </c>
      <c r="E255" s="15">
        <v>245</v>
      </c>
      <c r="F255" s="15">
        <v>405</v>
      </c>
      <c r="G255" s="15">
        <v>219</v>
      </c>
      <c r="H255" s="15">
        <v>186</v>
      </c>
      <c r="I255" s="15">
        <v>121</v>
      </c>
      <c r="J255" s="15">
        <v>62</v>
      </c>
      <c r="K255" s="15">
        <v>59</v>
      </c>
      <c r="L255" s="12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</row>
    <row r="256" spans="1:55" ht="12.95" customHeight="1">
      <c r="A256" s="2"/>
      <c r="B256" s="14" t="s">
        <v>245</v>
      </c>
      <c r="C256" s="15">
        <v>108</v>
      </c>
      <c r="D256" s="15">
        <v>54</v>
      </c>
      <c r="E256" s="15">
        <v>54</v>
      </c>
      <c r="F256" s="15">
        <v>26</v>
      </c>
      <c r="G256" s="15">
        <v>14</v>
      </c>
      <c r="H256" s="15">
        <v>12</v>
      </c>
      <c r="I256" s="15">
        <v>82</v>
      </c>
      <c r="J256" s="15">
        <v>40</v>
      </c>
      <c r="K256" s="15">
        <v>42</v>
      </c>
      <c r="L256" s="12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</row>
    <row r="257" spans="1:55" ht="12.95" customHeight="1">
      <c r="A257" s="2"/>
      <c r="B257" s="14" t="s">
        <v>246</v>
      </c>
      <c r="C257" s="15">
        <v>182</v>
      </c>
      <c r="D257" s="15">
        <v>99</v>
      </c>
      <c r="E257" s="15">
        <v>83</v>
      </c>
      <c r="F257" s="15">
        <v>57</v>
      </c>
      <c r="G257" s="15">
        <v>25</v>
      </c>
      <c r="H257" s="15">
        <v>32</v>
      </c>
      <c r="I257" s="15">
        <v>125</v>
      </c>
      <c r="J257" s="15">
        <v>74</v>
      </c>
      <c r="K257" s="15">
        <v>51</v>
      </c>
      <c r="L257" s="12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</row>
    <row r="258" spans="1:55" ht="12.95" customHeight="1">
      <c r="A258" s="2"/>
      <c r="B258" s="14" t="s">
        <v>247</v>
      </c>
      <c r="C258" s="15">
        <v>395</v>
      </c>
      <c r="D258" s="15">
        <v>226</v>
      </c>
      <c r="E258" s="15">
        <v>169</v>
      </c>
      <c r="F258" s="15">
        <v>104</v>
      </c>
      <c r="G258" s="15">
        <v>60</v>
      </c>
      <c r="H258" s="15">
        <v>44</v>
      </c>
      <c r="I258" s="15">
        <v>291</v>
      </c>
      <c r="J258" s="15">
        <v>166</v>
      </c>
      <c r="K258" s="15">
        <v>125</v>
      </c>
      <c r="L258" s="12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</row>
    <row r="259" spans="1:55" ht="12.95" customHeight="1">
      <c r="A259" s="2"/>
      <c r="B259" s="14" t="s">
        <v>248</v>
      </c>
      <c r="C259" s="15">
        <v>180</v>
      </c>
      <c r="D259" s="15">
        <v>93</v>
      </c>
      <c r="E259" s="15">
        <v>87</v>
      </c>
      <c r="F259" s="15">
        <v>62</v>
      </c>
      <c r="G259" s="15">
        <v>30</v>
      </c>
      <c r="H259" s="15">
        <v>32</v>
      </c>
      <c r="I259" s="15">
        <v>118</v>
      </c>
      <c r="J259" s="15">
        <v>63</v>
      </c>
      <c r="K259" s="15">
        <v>55</v>
      </c>
      <c r="L259" s="12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</row>
    <row r="260" spans="1:55" ht="12.95" customHeight="1">
      <c r="A260" s="2"/>
      <c r="B260" s="14" t="s">
        <v>249</v>
      </c>
      <c r="C260" s="15">
        <v>97</v>
      </c>
      <c r="D260" s="15">
        <v>49</v>
      </c>
      <c r="E260" s="15">
        <v>48</v>
      </c>
      <c r="F260" s="15">
        <v>62</v>
      </c>
      <c r="G260" s="15">
        <v>34</v>
      </c>
      <c r="H260" s="15">
        <v>28</v>
      </c>
      <c r="I260" s="15">
        <v>35</v>
      </c>
      <c r="J260" s="15">
        <v>15</v>
      </c>
      <c r="K260" s="15">
        <v>20</v>
      </c>
      <c r="L260" s="12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</row>
    <row r="261" spans="1:55" ht="12.95" customHeight="1">
      <c r="A261" s="2"/>
      <c r="B261" s="14" t="s">
        <v>250</v>
      </c>
      <c r="C261" s="15">
        <v>152</v>
      </c>
      <c r="D261" s="15">
        <v>75</v>
      </c>
      <c r="E261" s="15">
        <v>77</v>
      </c>
      <c r="F261" s="15">
        <v>52</v>
      </c>
      <c r="G261" s="15">
        <v>20</v>
      </c>
      <c r="H261" s="15">
        <v>32</v>
      </c>
      <c r="I261" s="15">
        <v>100</v>
      </c>
      <c r="J261" s="15">
        <v>55</v>
      </c>
      <c r="K261" s="15">
        <v>45</v>
      </c>
      <c r="L261" s="12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</row>
    <row r="262" spans="1:55" ht="12.95" customHeight="1">
      <c r="A262" s="2"/>
      <c r="B262" s="14" t="s">
        <v>251</v>
      </c>
      <c r="C262" s="15">
        <v>31</v>
      </c>
      <c r="D262" s="15">
        <v>19</v>
      </c>
      <c r="E262" s="15">
        <v>12</v>
      </c>
      <c r="F262" s="15">
        <v>19</v>
      </c>
      <c r="G262" s="15">
        <v>10</v>
      </c>
      <c r="H262" s="15">
        <v>9</v>
      </c>
      <c r="I262" s="15">
        <v>12</v>
      </c>
      <c r="J262" s="15">
        <v>9</v>
      </c>
      <c r="K262" s="15">
        <v>3</v>
      </c>
      <c r="L262" s="12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</row>
    <row r="263" spans="1:55" ht="12.95" customHeight="1">
      <c r="A263" s="2"/>
      <c r="B263" s="14" t="s">
        <v>252</v>
      </c>
      <c r="C263" s="15">
        <v>77</v>
      </c>
      <c r="D263" s="15">
        <v>49</v>
      </c>
      <c r="E263" s="15">
        <v>28</v>
      </c>
      <c r="F263" s="15">
        <v>34</v>
      </c>
      <c r="G263" s="15">
        <v>21</v>
      </c>
      <c r="H263" s="15">
        <v>13</v>
      </c>
      <c r="I263" s="15">
        <v>43</v>
      </c>
      <c r="J263" s="15">
        <v>28</v>
      </c>
      <c r="K263" s="15">
        <v>15</v>
      </c>
      <c r="L263" s="12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</row>
    <row r="264" spans="1:55" ht="12.95" customHeight="1">
      <c r="A264" s="2"/>
      <c r="B264" s="14" t="s">
        <v>253</v>
      </c>
      <c r="C264" s="15">
        <v>281</v>
      </c>
      <c r="D264" s="15">
        <v>146</v>
      </c>
      <c r="E264" s="15">
        <v>135</v>
      </c>
      <c r="F264" s="15">
        <v>114</v>
      </c>
      <c r="G264" s="15">
        <v>64</v>
      </c>
      <c r="H264" s="15">
        <v>50</v>
      </c>
      <c r="I264" s="15">
        <v>167</v>
      </c>
      <c r="J264" s="15">
        <v>82</v>
      </c>
      <c r="K264" s="15">
        <v>85</v>
      </c>
      <c r="L264" s="12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</row>
    <row r="265" spans="1:55" ht="12.95" customHeight="1">
      <c r="A265" s="2"/>
      <c r="B265" s="14" t="s">
        <v>254</v>
      </c>
      <c r="C265" s="15">
        <v>96</v>
      </c>
      <c r="D265" s="15">
        <v>61</v>
      </c>
      <c r="E265" s="15">
        <v>35</v>
      </c>
      <c r="F265" s="15">
        <v>31</v>
      </c>
      <c r="G265" s="15">
        <v>20</v>
      </c>
      <c r="H265" s="15">
        <v>11</v>
      </c>
      <c r="I265" s="15">
        <v>65</v>
      </c>
      <c r="J265" s="15">
        <v>41</v>
      </c>
      <c r="K265" s="15">
        <v>24</v>
      </c>
      <c r="L265" s="12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</row>
    <row r="266" spans="1:55" ht="12.95" customHeight="1">
      <c r="A266" s="2"/>
      <c r="B266" s="14" t="s">
        <v>255</v>
      </c>
      <c r="C266" s="15">
        <v>87</v>
      </c>
      <c r="D266" s="15">
        <v>42</v>
      </c>
      <c r="E266" s="15">
        <v>45</v>
      </c>
      <c r="F266" s="15">
        <v>66</v>
      </c>
      <c r="G266" s="15">
        <v>29</v>
      </c>
      <c r="H266" s="15">
        <v>37</v>
      </c>
      <c r="I266" s="15">
        <v>21</v>
      </c>
      <c r="J266" s="15">
        <v>13</v>
      </c>
      <c r="K266" s="15">
        <v>8</v>
      </c>
      <c r="L266" s="12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</row>
    <row r="267" spans="1:55" ht="12.95" customHeight="1">
      <c r="A267" s="2"/>
      <c r="B267" s="14" t="s">
        <v>256</v>
      </c>
      <c r="C267" s="15">
        <v>216</v>
      </c>
      <c r="D267" s="15">
        <v>111</v>
      </c>
      <c r="E267" s="15">
        <v>105</v>
      </c>
      <c r="F267" s="15">
        <v>81</v>
      </c>
      <c r="G267" s="15">
        <v>38</v>
      </c>
      <c r="H267" s="15">
        <v>43</v>
      </c>
      <c r="I267" s="15">
        <v>135</v>
      </c>
      <c r="J267" s="15">
        <v>73</v>
      </c>
      <c r="K267" s="15">
        <v>62</v>
      </c>
      <c r="L267" s="12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</row>
    <row r="268" spans="1:55" ht="12.95" customHeight="1">
      <c r="A268" s="2"/>
      <c r="B268" s="14" t="s">
        <v>257</v>
      </c>
      <c r="C268" s="15">
        <v>78</v>
      </c>
      <c r="D268" s="15">
        <v>48</v>
      </c>
      <c r="E268" s="15">
        <v>30</v>
      </c>
      <c r="F268" s="15">
        <v>31</v>
      </c>
      <c r="G268" s="15">
        <v>20</v>
      </c>
      <c r="H268" s="15">
        <v>11</v>
      </c>
      <c r="I268" s="15">
        <v>47</v>
      </c>
      <c r="J268" s="15">
        <v>28</v>
      </c>
      <c r="K268" s="15">
        <v>19</v>
      </c>
      <c r="L268" s="12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</row>
    <row r="269" spans="1:55" ht="12.95" customHeight="1">
      <c r="A269" s="2"/>
      <c r="B269" s="14" t="s">
        <v>258</v>
      </c>
      <c r="C269" s="15">
        <v>100</v>
      </c>
      <c r="D269" s="15">
        <v>53</v>
      </c>
      <c r="E269" s="15">
        <v>47</v>
      </c>
      <c r="F269" s="15">
        <v>6</v>
      </c>
      <c r="G269" s="15">
        <v>5</v>
      </c>
      <c r="H269" s="15">
        <v>1</v>
      </c>
      <c r="I269" s="15">
        <v>94</v>
      </c>
      <c r="J269" s="15">
        <v>48</v>
      </c>
      <c r="K269" s="15">
        <v>46</v>
      </c>
      <c r="L269" s="12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</row>
    <row r="270" spans="1:55" ht="12.95" customHeight="1">
      <c r="A270" s="2"/>
      <c r="B270" s="14" t="s">
        <v>259</v>
      </c>
      <c r="C270" s="15">
        <v>166</v>
      </c>
      <c r="D270" s="15">
        <v>88</v>
      </c>
      <c r="E270" s="15">
        <v>78</v>
      </c>
      <c r="F270" s="15">
        <v>54</v>
      </c>
      <c r="G270" s="15">
        <v>27</v>
      </c>
      <c r="H270" s="15">
        <v>27</v>
      </c>
      <c r="I270" s="15">
        <v>112</v>
      </c>
      <c r="J270" s="15">
        <v>61</v>
      </c>
      <c r="K270" s="15">
        <v>51</v>
      </c>
      <c r="L270" s="12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</row>
    <row r="271" spans="1:55" ht="12.95" customHeight="1">
      <c r="A271" s="2"/>
      <c r="B271" s="14" t="s">
        <v>260</v>
      </c>
      <c r="C271" s="15">
        <v>124</v>
      </c>
      <c r="D271" s="15">
        <v>78</v>
      </c>
      <c r="E271" s="15">
        <v>46</v>
      </c>
      <c r="F271" s="15">
        <v>16</v>
      </c>
      <c r="G271" s="15">
        <v>10</v>
      </c>
      <c r="H271" s="15">
        <v>6</v>
      </c>
      <c r="I271" s="15">
        <v>108</v>
      </c>
      <c r="J271" s="15">
        <v>68</v>
      </c>
      <c r="K271" s="15">
        <v>40</v>
      </c>
      <c r="L271" s="12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</row>
    <row r="272" spans="1:55" ht="12.95" customHeight="1">
      <c r="A272" s="2"/>
      <c r="B272" s="14" t="s">
        <v>261</v>
      </c>
      <c r="C272" s="15">
        <v>76</v>
      </c>
      <c r="D272" s="15">
        <v>42</v>
      </c>
      <c r="E272" s="15">
        <v>34</v>
      </c>
      <c r="F272" s="15">
        <v>15</v>
      </c>
      <c r="G272" s="15">
        <v>8</v>
      </c>
      <c r="H272" s="15">
        <v>7</v>
      </c>
      <c r="I272" s="15">
        <v>61</v>
      </c>
      <c r="J272" s="15">
        <v>34</v>
      </c>
      <c r="K272" s="15">
        <v>27</v>
      </c>
      <c r="L272" s="12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</row>
    <row r="273" spans="1:55" ht="12.95" customHeight="1">
      <c r="A273" s="2"/>
      <c r="B273" s="14" t="s">
        <v>262</v>
      </c>
      <c r="C273" s="15">
        <v>18</v>
      </c>
      <c r="D273" s="15">
        <v>7</v>
      </c>
      <c r="E273" s="15">
        <v>11</v>
      </c>
      <c r="F273" s="15">
        <v>9</v>
      </c>
      <c r="G273" s="15">
        <v>4</v>
      </c>
      <c r="H273" s="15">
        <v>5</v>
      </c>
      <c r="I273" s="15">
        <v>9</v>
      </c>
      <c r="J273" s="15">
        <v>3</v>
      </c>
      <c r="K273" s="15">
        <v>6</v>
      </c>
      <c r="L273" s="12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</row>
    <row r="274" spans="1:55" ht="12.95" customHeight="1">
      <c r="A274" s="2"/>
      <c r="B274" s="14" t="s">
        <v>263</v>
      </c>
      <c r="C274" s="15">
        <v>42</v>
      </c>
      <c r="D274" s="15">
        <v>30</v>
      </c>
      <c r="E274" s="15">
        <v>12</v>
      </c>
      <c r="F274" s="15">
        <v>12</v>
      </c>
      <c r="G274" s="15">
        <v>8</v>
      </c>
      <c r="H274" s="15">
        <v>4</v>
      </c>
      <c r="I274" s="15">
        <v>30</v>
      </c>
      <c r="J274" s="15">
        <v>22</v>
      </c>
      <c r="K274" s="15">
        <v>8</v>
      </c>
      <c r="L274" s="12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</row>
    <row r="275" spans="1:55" ht="12.95" customHeight="1">
      <c r="A275" s="2"/>
      <c r="B275" s="14" t="s">
        <v>264</v>
      </c>
      <c r="C275" s="15">
        <v>237</v>
      </c>
      <c r="D275" s="15">
        <v>129</v>
      </c>
      <c r="E275" s="15">
        <v>108</v>
      </c>
      <c r="F275" s="15">
        <v>55</v>
      </c>
      <c r="G275" s="15">
        <v>27</v>
      </c>
      <c r="H275" s="15">
        <v>28</v>
      </c>
      <c r="I275" s="15">
        <v>182</v>
      </c>
      <c r="J275" s="15">
        <v>102</v>
      </c>
      <c r="K275" s="15">
        <v>80</v>
      </c>
      <c r="L275" s="12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</row>
    <row r="276" spans="1:55" ht="12.95" customHeight="1">
      <c r="A276" s="2"/>
      <c r="B276" s="14" t="s">
        <v>265</v>
      </c>
      <c r="C276" s="15">
        <v>60</v>
      </c>
      <c r="D276" s="15">
        <v>29</v>
      </c>
      <c r="E276" s="15">
        <v>31</v>
      </c>
      <c r="F276" s="15">
        <v>25</v>
      </c>
      <c r="G276" s="15">
        <v>12</v>
      </c>
      <c r="H276" s="15">
        <v>13</v>
      </c>
      <c r="I276" s="15">
        <v>35</v>
      </c>
      <c r="J276" s="15">
        <v>17</v>
      </c>
      <c r="K276" s="15">
        <v>18</v>
      </c>
      <c r="L276" s="12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</row>
    <row r="277" spans="1:55" ht="12.95" customHeight="1">
      <c r="A277" s="2"/>
      <c r="B277" s="14" t="s">
        <v>266</v>
      </c>
      <c r="C277" s="15">
        <v>203</v>
      </c>
      <c r="D277" s="15">
        <v>106</v>
      </c>
      <c r="E277" s="15">
        <v>97</v>
      </c>
      <c r="F277" s="15">
        <v>50</v>
      </c>
      <c r="G277" s="15">
        <v>28</v>
      </c>
      <c r="H277" s="15">
        <v>22</v>
      </c>
      <c r="I277" s="15">
        <v>153</v>
      </c>
      <c r="J277" s="15">
        <v>78</v>
      </c>
      <c r="K277" s="15">
        <v>75</v>
      </c>
      <c r="L277" s="12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</row>
    <row r="278" spans="1:55" ht="12.95" customHeight="1">
      <c r="A278" s="2"/>
      <c r="B278" s="14" t="s">
        <v>267</v>
      </c>
      <c r="C278" s="15">
        <v>54</v>
      </c>
      <c r="D278" s="15">
        <v>29</v>
      </c>
      <c r="E278" s="15">
        <v>25</v>
      </c>
      <c r="F278" s="15">
        <v>12</v>
      </c>
      <c r="G278" s="15">
        <v>6</v>
      </c>
      <c r="H278" s="15">
        <v>6</v>
      </c>
      <c r="I278" s="15">
        <v>42</v>
      </c>
      <c r="J278" s="15">
        <v>23</v>
      </c>
      <c r="K278" s="15">
        <v>19</v>
      </c>
      <c r="L278" s="12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</row>
    <row r="279" spans="1:55" ht="12.95" customHeight="1">
      <c r="A279" s="2"/>
      <c r="B279" s="14" t="s">
        <v>268</v>
      </c>
      <c r="C279" s="15">
        <v>98</v>
      </c>
      <c r="D279" s="15">
        <v>60</v>
      </c>
      <c r="E279" s="15">
        <v>38</v>
      </c>
      <c r="F279" s="15">
        <v>18</v>
      </c>
      <c r="G279" s="15">
        <v>12</v>
      </c>
      <c r="H279" s="15">
        <v>6</v>
      </c>
      <c r="I279" s="15">
        <v>80</v>
      </c>
      <c r="J279" s="15">
        <v>48</v>
      </c>
      <c r="K279" s="15">
        <v>32</v>
      </c>
      <c r="L279" s="12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</row>
    <row r="280" spans="1:55" ht="12.95" customHeight="1">
      <c r="A280" s="2"/>
      <c r="B280" s="14" t="s">
        <v>269</v>
      </c>
      <c r="C280" s="15">
        <v>59</v>
      </c>
      <c r="D280" s="15">
        <v>27</v>
      </c>
      <c r="E280" s="15">
        <v>32</v>
      </c>
      <c r="F280" s="15">
        <v>33</v>
      </c>
      <c r="G280" s="15">
        <v>12</v>
      </c>
      <c r="H280" s="15">
        <v>21</v>
      </c>
      <c r="I280" s="15">
        <v>26</v>
      </c>
      <c r="J280" s="15">
        <v>15</v>
      </c>
      <c r="K280" s="15">
        <v>11</v>
      </c>
      <c r="L280" s="12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</row>
    <row r="281" spans="1:55" ht="12.95" customHeight="1">
      <c r="A281" s="2"/>
      <c r="B281" s="8"/>
      <c r="C281" s="13"/>
      <c r="D281" s="13"/>
      <c r="E281" s="13"/>
      <c r="F281" s="13"/>
      <c r="G281" s="13"/>
      <c r="H281" s="13"/>
      <c r="I281" s="15"/>
      <c r="J281" s="13"/>
      <c r="K281" s="13"/>
      <c r="L281" s="12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</row>
    <row r="282" spans="1:55" ht="12.95" customHeight="1">
      <c r="A282" s="2"/>
      <c r="B282" s="10" t="s">
        <v>270</v>
      </c>
      <c r="C282" s="11">
        <f>SUM(C283:C300)</f>
        <v>5744</v>
      </c>
      <c r="D282" s="11">
        <f>SUM(D283:D300)</f>
        <v>3081</v>
      </c>
      <c r="E282" s="11">
        <f>SUM(E283:E300)</f>
        <v>2663</v>
      </c>
      <c r="F282" s="11">
        <f>SUM(F283:F300)</f>
        <v>2540</v>
      </c>
      <c r="G282" s="11">
        <f>SUM(G283:G300)</f>
        <v>1365</v>
      </c>
      <c r="H282" s="11">
        <f>SUM(H283:H300)</f>
        <v>1175</v>
      </c>
      <c r="I282" s="11">
        <f>SUM(I283:I300)</f>
        <v>3204</v>
      </c>
      <c r="J282" s="11">
        <f>SUM(J283:J300)</f>
        <v>1716</v>
      </c>
      <c r="K282" s="11">
        <f>SUM(K283:K300)</f>
        <v>1488</v>
      </c>
      <c r="L282" s="12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</row>
    <row r="283" spans="1:55" ht="12.95" customHeight="1">
      <c r="A283" s="2"/>
      <c r="B283" s="14" t="s">
        <v>271</v>
      </c>
      <c r="C283" s="15">
        <v>927</v>
      </c>
      <c r="D283" s="15">
        <v>511</v>
      </c>
      <c r="E283" s="15">
        <v>416</v>
      </c>
      <c r="F283" s="15">
        <v>670</v>
      </c>
      <c r="G283" s="15">
        <v>378</v>
      </c>
      <c r="H283" s="15">
        <v>292</v>
      </c>
      <c r="I283" s="15">
        <v>257</v>
      </c>
      <c r="J283" s="15">
        <v>133</v>
      </c>
      <c r="K283" s="15">
        <v>124</v>
      </c>
      <c r="L283" s="12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</row>
    <row r="284" spans="1:55" ht="12.95" customHeight="1">
      <c r="A284" s="2"/>
      <c r="B284" s="14" t="s">
        <v>272</v>
      </c>
      <c r="C284" s="15">
        <v>369</v>
      </c>
      <c r="D284" s="15">
        <v>191</v>
      </c>
      <c r="E284" s="15">
        <v>178</v>
      </c>
      <c r="F284" s="15">
        <v>78</v>
      </c>
      <c r="G284" s="15">
        <v>41</v>
      </c>
      <c r="H284" s="15">
        <v>37</v>
      </c>
      <c r="I284" s="15">
        <v>291</v>
      </c>
      <c r="J284" s="15">
        <v>150</v>
      </c>
      <c r="K284" s="15">
        <v>141</v>
      </c>
      <c r="L284" s="12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</row>
    <row r="285" spans="1:55" ht="12.95" customHeight="1">
      <c r="A285" s="2"/>
      <c r="B285" s="14" t="s">
        <v>273</v>
      </c>
      <c r="C285" s="15">
        <v>99</v>
      </c>
      <c r="D285" s="15">
        <v>55</v>
      </c>
      <c r="E285" s="15">
        <v>44</v>
      </c>
      <c r="F285" s="15">
        <v>22</v>
      </c>
      <c r="G285" s="15">
        <v>11</v>
      </c>
      <c r="H285" s="15">
        <v>11</v>
      </c>
      <c r="I285" s="15">
        <v>77</v>
      </c>
      <c r="J285" s="15">
        <v>44</v>
      </c>
      <c r="K285" s="15">
        <v>33</v>
      </c>
      <c r="L285" s="12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</row>
    <row r="286" spans="1:55" ht="12.95" customHeight="1">
      <c r="A286" s="2"/>
      <c r="B286" s="14" t="s">
        <v>274</v>
      </c>
      <c r="C286" s="15">
        <v>234</v>
      </c>
      <c r="D286" s="15">
        <v>119</v>
      </c>
      <c r="E286" s="15">
        <v>115</v>
      </c>
      <c r="F286" s="15">
        <v>45</v>
      </c>
      <c r="G286" s="15">
        <v>27</v>
      </c>
      <c r="H286" s="15">
        <v>18</v>
      </c>
      <c r="I286" s="15">
        <v>189</v>
      </c>
      <c r="J286" s="15">
        <v>92</v>
      </c>
      <c r="K286" s="15">
        <v>97</v>
      </c>
      <c r="L286" s="12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</row>
    <row r="287" spans="1:55" ht="12.95" customHeight="1">
      <c r="A287" s="2"/>
      <c r="B287" s="14" t="s">
        <v>275</v>
      </c>
      <c r="C287" s="15">
        <v>819</v>
      </c>
      <c r="D287" s="15">
        <v>430</v>
      </c>
      <c r="E287" s="15">
        <v>389</v>
      </c>
      <c r="F287" s="15">
        <v>286</v>
      </c>
      <c r="G287" s="15">
        <v>132</v>
      </c>
      <c r="H287" s="15">
        <v>154</v>
      </c>
      <c r="I287" s="15">
        <v>533</v>
      </c>
      <c r="J287" s="15">
        <v>298</v>
      </c>
      <c r="K287" s="15">
        <v>235</v>
      </c>
      <c r="L287" s="12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</row>
    <row r="288" spans="1:55" ht="12.95" customHeight="1">
      <c r="A288" s="2"/>
      <c r="B288" s="14" t="s">
        <v>276</v>
      </c>
      <c r="C288" s="15">
        <v>280</v>
      </c>
      <c r="D288" s="15">
        <v>147</v>
      </c>
      <c r="E288" s="15">
        <v>133</v>
      </c>
      <c r="F288" s="15">
        <v>68</v>
      </c>
      <c r="G288" s="15">
        <v>36</v>
      </c>
      <c r="H288" s="15">
        <v>32</v>
      </c>
      <c r="I288" s="15">
        <v>212</v>
      </c>
      <c r="J288" s="15">
        <v>111</v>
      </c>
      <c r="K288" s="15">
        <v>101</v>
      </c>
      <c r="L288" s="12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</row>
    <row r="289" spans="1:55" ht="12.95" customHeight="1">
      <c r="A289" s="2"/>
      <c r="B289" s="14" t="s">
        <v>277</v>
      </c>
      <c r="C289" s="15">
        <v>145</v>
      </c>
      <c r="D289" s="15">
        <v>73</v>
      </c>
      <c r="E289" s="15">
        <v>72</v>
      </c>
      <c r="F289" s="15">
        <v>38</v>
      </c>
      <c r="G289" s="15">
        <v>14</v>
      </c>
      <c r="H289" s="15">
        <v>24</v>
      </c>
      <c r="I289" s="15">
        <v>107</v>
      </c>
      <c r="J289" s="15">
        <v>59</v>
      </c>
      <c r="K289" s="15">
        <v>48</v>
      </c>
      <c r="L289" s="12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</row>
    <row r="290" spans="1:55" ht="12.95" customHeight="1">
      <c r="A290" s="2"/>
      <c r="B290" s="14" t="s">
        <v>278</v>
      </c>
      <c r="C290" s="15">
        <v>132</v>
      </c>
      <c r="D290" s="15">
        <v>66</v>
      </c>
      <c r="E290" s="15">
        <v>66</v>
      </c>
      <c r="F290" s="15">
        <v>104</v>
      </c>
      <c r="G290" s="15">
        <v>49</v>
      </c>
      <c r="H290" s="15">
        <v>55</v>
      </c>
      <c r="I290" s="15">
        <v>28</v>
      </c>
      <c r="J290" s="15">
        <v>17</v>
      </c>
      <c r="K290" s="15">
        <v>11</v>
      </c>
      <c r="L290" s="12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</row>
    <row r="291" spans="1:55" ht="12.95" customHeight="1">
      <c r="A291" s="2"/>
      <c r="B291" s="14" t="s">
        <v>279</v>
      </c>
      <c r="C291" s="15">
        <v>294</v>
      </c>
      <c r="D291" s="15">
        <v>146</v>
      </c>
      <c r="E291" s="15">
        <v>148</v>
      </c>
      <c r="F291" s="15">
        <v>24</v>
      </c>
      <c r="G291" s="15">
        <v>15</v>
      </c>
      <c r="H291" s="15">
        <v>9</v>
      </c>
      <c r="I291" s="15">
        <v>270</v>
      </c>
      <c r="J291" s="15">
        <v>131</v>
      </c>
      <c r="K291" s="15">
        <v>139</v>
      </c>
      <c r="L291" s="12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</row>
    <row r="292" spans="1:55" ht="12.95" customHeight="1">
      <c r="A292" s="2"/>
      <c r="B292" s="14" t="s">
        <v>280</v>
      </c>
      <c r="C292" s="15">
        <v>43</v>
      </c>
      <c r="D292" s="15">
        <v>17</v>
      </c>
      <c r="E292" s="15">
        <v>26</v>
      </c>
      <c r="F292" s="15">
        <v>32</v>
      </c>
      <c r="G292" s="15">
        <v>14</v>
      </c>
      <c r="H292" s="15">
        <v>18</v>
      </c>
      <c r="I292" s="15">
        <v>11</v>
      </c>
      <c r="J292" s="15">
        <v>3</v>
      </c>
      <c r="K292" s="15">
        <v>8</v>
      </c>
      <c r="L292" s="12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</row>
    <row r="293" spans="1:55" ht="12.95" customHeight="1">
      <c r="A293" s="2"/>
      <c r="B293" s="14" t="s">
        <v>281</v>
      </c>
      <c r="C293" s="15">
        <v>268</v>
      </c>
      <c r="D293" s="15">
        <v>150</v>
      </c>
      <c r="E293" s="15">
        <v>118</v>
      </c>
      <c r="F293" s="15">
        <v>61</v>
      </c>
      <c r="G293" s="15">
        <v>36</v>
      </c>
      <c r="H293" s="15">
        <v>25</v>
      </c>
      <c r="I293" s="15">
        <v>207</v>
      </c>
      <c r="J293" s="15">
        <v>114</v>
      </c>
      <c r="K293" s="15">
        <v>93</v>
      </c>
      <c r="L293" s="12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</row>
    <row r="294" spans="1:55" ht="12.95" customHeight="1">
      <c r="A294" s="2"/>
      <c r="B294" s="14" t="s">
        <v>282</v>
      </c>
      <c r="C294" s="15">
        <v>524</v>
      </c>
      <c r="D294" s="15">
        <v>284</v>
      </c>
      <c r="E294" s="15">
        <v>240</v>
      </c>
      <c r="F294" s="15">
        <v>116</v>
      </c>
      <c r="G294" s="15">
        <v>56</v>
      </c>
      <c r="H294" s="15">
        <v>60</v>
      </c>
      <c r="I294" s="15">
        <v>408</v>
      </c>
      <c r="J294" s="15">
        <v>228</v>
      </c>
      <c r="K294" s="15">
        <v>180</v>
      </c>
      <c r="L294" s="12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spans="1:55" ht="12.95" customHeight="1">
      <c r="A295" s="2"/>
      <c r="B295" s="14" t="s">
        <v>283</v>
      </c>
      <c r="C295" s="15">
        <v>216</v>
      </c>
      <c r="D295" s="15">
        <v>130</v>
      </c>
      <c r="E295" s="15">
        <v>86</v>
      </c>
      <c r="F295" s="15">
        <v>61</v>
      </c>
      <c r="G295" s="15">
        <v>35</v>
      </c>
      <c r="H295" s="15">
        <v>26</v>
      </c>
      <c r="I295" s="15">
        <v>155</v>
      </c>
      <c r="J295" s="15">
        <v>95</v>
      </c>
      <c r="K295" s="15">
        <v>60</v>
      </c>
      <c r="L295" s="12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spans="1:55" ht="12.95" customHeight="1">
      <c r="A296" s="2"/>
      <c r="B296" s="14" t="s">
        <v>284</v>
      </c>
      <c r="C296" s="15">
        <v>422</v>
      </c>
      <c r="D296" s="15">
        <v>218</v>
      </c>
      <c r="E296" s="15">
        <v>204</v>
      </c>
      <c r="F296" s="15">
        <v>198</v>
      </c>
      <c r="G296" s="15">
        <v>100</v>
      </c>
      <c r="H296" s="15">
        <v>98</v>
      </c>
      <c r="I296" s="15">
        <v>224</v>
      </c>
      <c r="J296" s="15">
        <v>118</v>
      </c>
      <c r="K296" s="15">
        <v>106</v>
      </c>
      <c r="L296" s="12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spans="1:55" ht="12.95" customHeight="1">
      <c r="A297" s="2"/>
      <c r="B297" s="14" t="s">
        <v>285</v>
      </c>
      <c r="C297" s="15">
        <v>57</v>
      </c>
      <c r="D297" s="15">
        <v>33</v>
      </c>
      <c r="E297" s="15">
        <v>24</v>
      </c>
      <c r="F297" s="15">
        <v>33</v>
      </c>
      <c r="G297" s="15">
        <v>18</v>
      </c>
      <c r="H297" s="15">
        <v>15</v>
      </c>
      <c r="I297" s="15">
        <v>24</v>
      </c>
      <c r="J297" s="15">
        <v>15</v>
      </c>
      <c r="K297" s="15">
        <v>9</v>
      </c>
      <c r="L297" s="12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</row>
    <row r="298" spans="1:55" ht="12.95" customHeight="1">
      <c r="A298" s="2"/>
      <c r="B298" s="14" t="s">
        <v>286</v>
      </c>
      <c r="C298" s="15">
        <v>669</v>
      </c>
      <c r="D298" s="15">
        <v>382</v>
      </c>
      <c r="E298" s="15">
        <v>287</v>
      </c>
      <c r="F298" s="15">
        <v>594</v>
      </c>
      <c r="G298" s="15">
        <v>346</v>
      </c>
      <c r="H298" s="15">
        <v>248</v>
      </c>
      <c r="I298" s="15">
        <v>75</v>
      </c>
      <c r="J298" s="15">
        <v>36</v>
      </c>
      <c r="K298" s="15">
        <v>39</v>
      </c>
      <c r="L298" s="12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</row>
    <row r="299" spans="1:55" ht="12.95" customHeight="1">
      <c r="A299" s="2"/>
      <c r="B299" s="14" t="s">
        <v>287</v>
      </c>
      <c r="C299" s="15">
        <v>95</v>
      </c>
      <c r="D299" s="15">
        <v>52</v>
      </c>
      <c r="E299" s="15">
        <v>43</v>
      </c>
      <c r="F299" s="15">
        <v>45</v>
      </c>
      <c r="G299" s="15">
        <v>24</v>
      </c>
      <c r="H299" s="15">
        <v>21</v>
      </c>
      <c r="I299" s="15">
        <v>50</v>
      </c>
      <c r="J299" s="15">
        <v>28</v>
      </c>
      <c r="K299" s="15">
        <v>22</v>
      </c>
      <c r="L299" s="12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</row>
    <row r="300" spans="1:55" ht="12.95" customHeight="1">
      <c r="A300" s="2"/>
      <c r="B300" s="22" t="s">
        <v>288</v>
      </c>
      <c r="C300" s="23">
        <v>151</v>
      </c>
      <c r="D300" s="23">
        <v>77</v>
      </c>
      <c r="E300" s="23">
        <v>74</v>
      </c>
      <c r="F300" s="23">
        <v>65</v>
      </c>
      <c r="G300" s="23">
        <v>33</v>
      </c>
      <c r="H300" s="23">
        <v>32</v>
      </c>
      <c r="I300" s="23">
        <v>86</v>
      </c>
      <c r="J300" s="23">
        <v>44</v>
      </c>
      <c r="K300" s="23">
        <v>42</v>
      </c>
      <c r="L300" s="12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</row>
    <row r="301" spans="1:55" ht="13.5" customHeight="1">
      <c r="A301" s="24"/>
      <c r="B301" s="28" t="s">
        <v>289</v>
      </c>
      <c r="C301" s="25"/>
      <c r="D301" s="25"/>
      <c r="E301" s="25"/>
      <c r="F301" s="25"/>
      <c r="G301" s="25"/>
      <c r="H301" s="25"/>
      <c r="I301" s="25"/>
      <c r="J301" s="26"/>
      <c r="K301" s="2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</row>
    <row r="302" spans="1:55" ht="10.5" customHeight="1">
      <c r="A302" s="24"/>
      <c r="B302" s="28" t="s">
        <v>290</v>
      </c>
      <c r="C302" s="25"/>
      <c r="D302" s="25"/>
      <c r="E302" s="25"/>
      <c r="F302" s="25"/>
      <c r="G302" s="25"/>
      <c r="H302" s="25"/>
      <c r="I302" s="25"/>
      <c r="J302" s="26"/>
      <c r="K302" s="2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</row>
    <row r="303" spans="1:55" ht="10.5" customHeight="1">
      <c r="B303" s="36" t="s">
        <v>292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</row>
    <row r="304" spans="1:55" ht="10.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</row>
    <row r="305" spans="2:55" ht="10.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</row>
    <row r="306" spans="2:55" ht="10.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</row>
    <row r="307" spans="2:55" ht="10.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</row>
    <row r="308" spans="2:55" ht="12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</row>
    <row r="309" spans="2:55" ht="12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</row>
    <row r="310" spans="2:55" ht="12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</row>
    <row r="311" spans="2:55" ht="12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</row>
    <row r="312" spans="2:55" ht="12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</row>
    <row r="313" spans="2:55" ht="12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</row>
    <row r="314" spans="2:55" ht="12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</row>
    <row r="315" spans="2:55" ht="12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</row>
    <row r="316" spans="2:55" ht="12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</row>
    <row r="317" spans="2:55" ht="12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</row>
    <row r="318" spans="2:55" ht="12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</row>
    <row r="319" spans="2:55" ht="12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</row>
    <row r="320" spans="2:55" ht="12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</row>
    <row r="321" spans="2:55" ht="12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</row>
    <row r="322" spans="2:55" ht="12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</row>
    <row r="323" spans="2:55" ht="12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</row>
    <row r="324" spans="2:55" ht="12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</row>
    <row r="325" spans="2:55" ht="12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</row>
    <row r="326" spans="2:55" ht="12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</row>
    <row r="327" spans="2:55" ht="12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</row>
    <row r="328" spans="2:55" ht="12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</row>
    <row r="329" spans="2:55" ht="12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</row>
    <row r="330" spans="2:55" ht="12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</row>
    <row r="331" spans="2:55" ht="12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</row>
    <row r="332" spans="2:55" ht="12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</row>
    <row r="333" spans="2:55" ht="12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</row>
    <row r="334" spans="2:55" ht="12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</row>
    <row r="335" spans="2:55" ht="12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</row>
    <row r="336" spans="2:55" ht="12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</row>
    <row r="337" spans="2:55" ht="12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</row>
    <row r="338" spans="2:55" ht="12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</row>
    <row r="339" spans="2:55" ht="12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</row>
    <row r="340" spans="2:55" ht="12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</row>
    <row r="341" spans="2:55" ht="12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</row>
    <row r="342" spans="2:55" ht="12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</row>
    <row r="343" spans="2:55" ht="12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</row>
    <row r="344" spans="2:55" ht="12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</row>
    <row r="345" spans="2:55" ht="12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</row>
    <row r="346" spans="2:55" ht="12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</row>
    <row r="347" spans="2:55" ht="12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</row>
    <row r="348" spans="2:55" ht="12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</row>
    <row r="349" spans="2:55" ht="12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</row>
    <row r="350" spans="2:55" ht="12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</row>
    <row r="351" spans="2:55" ht="12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</row>
    <row r="352" spans="2:55" ht="12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</row>
    <row r="353" spans="2:55" ht="12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</row>
    <row r="354" spans="2:55" ht="12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</row>
    <row r="355" spans="2:55" ht="12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</row>
    <row r="356" spans="2:55" ht="12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</row>
    <row r="357" spans="2:55" ht="12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</row>
    <row r="358" spans="2:55" ht="12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</row>
    <row r="359" spans="2:55" ht="12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</row>
    <row r="360" spans="2:55" ht="12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</row>
    <row r="361" spans="2:55" ht="12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</row>
    <row r="362" spans="2:55" ht="12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</row>
    <row r="363" spans="2:55" ht="12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</row>
    <row r="364" spans="2:55" ht="12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</row>
    <row r="365" spans="2:55" ht="12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</row>
    <row r="366" spans="2:55" ht="12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</row>
    <row r="367" spans="2:55" ht="12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</row>
    <row r="368" spans="2:55" ht="12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</row>
    <row r="369" spans="2:55" ht="12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</row>
    <row r="370" spans="2:55" ht="12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</row>
    <row r="371" spans="2:55" ht="12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</row>
    <row r="372" spans="2:55" ht="12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</row>
    <row r="373" spans="2:55" ht="12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</row>
    <row r="374" spans="2:55" ht="12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</row>
    <row r="375" spans="2:55" ht="12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</row>
    <row r="376" spans="2:55" ht="12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</row>
    <row r="377" spans="2:55" ht="12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</row>
    <row r="378" spans="2:55" ht="12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</row>
    <row r="379" spans="2:55" ht="12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</row>
    <row r="380" spans="2:55" ht="12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</row>
    <row r="381" spans="2:55" ht="12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</row>
    <row r="382" spans="2:55" ht="12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</row>
    <row r="383" spans="2:55" ht="12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</row>
    <row r="384" spans="2:55" ht="12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</row>
    <row r="385" spans="2:55" ht="12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</row>
    <row r="386" spans="2:55" ht="12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</row>
    <row r="387" spans="2:55" ht="12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</row>
    <row r="388" spans="2:55" ht="12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</row>
    <row r="389" spans="2:55" ht="12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</row>
    <row r="390" spans="2:55" ht="12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</row>
    <row r="391" spans="2:55" ht="12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</row>
    <row r="392" spans="2:5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</row>
    <row r="393" spans="2:5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</row>
    <row r="394" spans="2:5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</row>
    <row r="395" spans="2:5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</row>
    <row r="396" spans="2:5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</row>
    <row r="397" spans="2:5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</row>
    <row r="398" spans="2:5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</row>
    <row r="399" spans="2:5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</row>
    <row r="400" spans="2:5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</row>
    <row r="401" spans="2:5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</row>
    <row r="402" spans="2:5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</row>
    <row r="403" spans="2:5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</row>
    <row r="404" spans="2:5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</row>
    <row r="405" spans="2:5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</row>
    <row r="406" spans="2:5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</row>
    <row r="407" spans="2:5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</row>
    <row r="408" spans="2:5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</row>
    <row r="409" spans="2:5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</row>
    <row r="410" spans="2:5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</row>
    <row r="411" spans="2:5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</row>
    <row r="412" spans="2:5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</row>
    <row r="413" spans="2:5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</row>
    <row r="414" spans="2:5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</row>
    <row r="415" spans="2:5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</row>
    <row r="416" spans="2:5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</row>
    <row r="417" spans="2:5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</row>
    <row r="418" spans="2:5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</row>
    <row r="419" spans="2:5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</row>
    <row r="420" spans="2:5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</row>
    <row r="421" spans="2:5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</row>
    <row r="422" spans="2:5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</row>
    <row r="423" spans="2:5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</row>
    <row r="424" spans="2:5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</row>
    <row r="425" spans="2:5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</row>
    <row r="426" spans="2:5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</row>
    <row r="427" spans="2:5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</row>
    <row r="428" spans="2:5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</row>
    <row r="429" spans="2:5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</row>
    <row r="430" spans="2:5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</row>
    <row r="431" spans="2:5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</row>
    <row r="432" spans="2:5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</row>
  </sheetData>
  <mergeCells count="5">
    <mergeCell ref="B1:K1"/>
    <mergeCell ref="B2:K2"/>
    <mergeCell ref="B3:K3"/>
    <mergeCell ref="B5:B8"/>
    <mergeCell ref="C6:E7"/>
  </mergeCells>
  <printOptions horizontalCentered="1" gridLines="1" gridLinesSet="0"/>
  <pageMargins left="0.51181102362204722" right="0.51181102362204722" top="0.34" bottom="0.56000000000000005" header="0" footer="0.38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12</vt:i4>
      </vt:variant>
    </vt:vector>
  </HeadingPairs>
  <TitlesOfParts>
    <vt:vector size="15" baseType="lpstr">
      <vt:lpstr>2007</vt:lpstr>
      <vt:lpstr>2008</vt:lpstr>
      <vt:lpstr>2009</vt:lpstr>
      <vt:lpstr>'2007'!A_impresión_IM</vt:lpstr>
      <vt:lpstr>'2008'!A_impresión_IM</vt:lpstr>
      <vt:lpstr>'2009'!A_impresión_IM</vt:lpstr>
      <vt:lpstr>'2007'!Área_de_impresión</vt:lpstr>
      <vt:lpstr>'2008'!Área_de_impresión</vt:lpstr>
      <vt:lpstr>'2009'!Área_de_impresión</vt:lpstr>
      <vt:lpstr>'2007'!Títulos_a_imprimir</vt:lpstr>
      <vt:lpstr>'2008'!Títulos_a_imprimir</vt:lpstr>
      <vt:lpstr>'2009'!Títulos_a_imprimir</vt:lpstr>
      <vt:lpstr>'2007'!Títulos_a_imprimir_IM</vt:lpstr>
      <vt:lpstr>'2008'!Títulos_a_imprimir_IM</vt:lpstr>
      <vt:lpstr>'2009'!Títulos_a_imprimir_IM</vt:lpstr>
    </vt:vector>
  </TitlesOfParts>
  <Company>digestyc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roberto.castaneda</dc:creator>
  <cp:lastModifiedBy>roberto.castaneda</cp:lastModifiedBy>
  <dcterms:created xsi:type="dcterms:W3CDTF">2011-07-27T19:07:56Z</dcterms:created>
  <dcterms:modified xsi:type="dcterms:W3CDTF">2011-08-26T16:43:22Z</dcterms:modified>
</cp:coreProperties>
</file>